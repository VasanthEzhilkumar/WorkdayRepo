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20001_{333C597A-A597-4604-A13B-3823D40D8BF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8" i="1" l="1"/>
  <c r="BQ8" i="1" a="1"/>
  <c r="BQ8" i="1" s="1"/>
  <c r="BC8" i="1" a="1"/>
  <c r="BC8" i="1" s="1"/>
  <c r="AX8" i="1" a="1"/>
  <c r="AX8" i="1" s="1"/>
  <c r="AU8" i="1"/>
  <c r="AM8" i="1"/>
  <c r="AL8" i="1"/>
  <c r="AK8" i="1"/>
  <c r="AJ8" i="1"/>
  <c r="K8" i="1"/>
  <c r="BU7" i="1"/>
  <c r="BQ7" i="1" a="1"/>
  <c r="BQ7" i="1" s="1"/>
  <c r="BC7" i="1" a="1"/>
  <c r="BC7" i="1" s="1"/>
  <c r="AX7" i="1" a="1"/>
  <c r="AX7" i="1" s="1"/>
  <c r="AU7" i="1"/>
  <c r="AM7" i="1"/>
  <c r="AL7" i="1"/>
  <c r="AK7" i="1"/>
  <c r="AJ7" i="1"/>
  <c r="K7" i="1"/>
  <c r="BU6" i="1"/>
  <c r="BQ6" i="1" a="1"/>
  <c r="BQ6" i="1" s="1"/>
  <c r="BC6" i="1" a="1"/>
  <c r="BC6" i="1" s="1"/>
  <c r="AX6" i="1" a="1"/>
  <c r="AX6" i="1" s="1"/>
  <c r="AU6" i="1"/>
  <c r="AM6" i="1"/>
  <c r="AL6" i="1"/>
  <c r="AK6" i="1"/>
  <c r="AJ6" i="1"/>
  <c r="K6" i="1"/>
  <c r="BU5" i="1"/>
  <c r="BQ5" i="1" a="1"/>
  <c r="BQ5" i="1" s="1"/>
  <c r="BC5" i="1" a="1"/>
  <c r="BC5" i="1" s="1"/>
  <c r="AX5" i="1" a="1"/>
  <c r="AX5" i="1" s="1"/>
  <c r="AU5" i="1"/>
  <c r="AM5" i="1"/>
  <c r="AL5" i="1"/>
  <c r="AK5" i="1"/>
  <c r="AJ5" i="1"/>
  <c r="K5" i="1"/>
  <c r="BU4" i="1"/>
  <c r="BQ4" i="1" a="1"/>
  <c r="BQ4" i="1" s="1"/>
  <c r="BC4" i="1" a="1"/>
  <c r="BC4" i="1" s="1"/>
  <c r="AX4" i="1" a="1"/>
  <c r="AX4" i="1" s="1"/>
  <c r="AU4" i="1"/>
  <c r="AM4" i="1"/>
  <c r="AL4" i="1"/>
  <c r="AK4" i="1"/>
  <c r="AJ4" i="1"/>
  <c r="K4" i="1"/>
  <c r="BU3" i="1"/>
  <c r="AU3" i="1"/>
  <c r="AM3" i="1"/>
  <c r="AL3" i="1"/>
  <c r="AK3" i="1"/>
  <c r="AJ3" i="1"/>
  <c r="K3" i="1"/>
  <c r="BU2" i="1"/>
  <c r="BQ2" i="1" a="1"/>
  <c r="BQ3" i="1" s="1"/>
  <c r="BC2" i="1" a="1"/>
  <c r="BC3" i="1" s="1"/>
  <c r="AX2" i="1" a="1"/>
  <c r="AX2" i="1" s="1"/>
  <c r="AU2" i="1"/>
  <c r="AM2" i="1"/>
  <c r="AL2" i="1"/>
  <c r="AK2" i="1"/>
  <c r="AJ2" i="1"/>
  <c r="K2" i="1"/>
  <c r="AX3" i="1" l="1"/>
  <c r="BQ2" i="1"/>
  <c r="BC2" i="1"/>
</calcChain>
</file>

<file path=xl/sharedStrings.xml><?xml version="1.0" encoding="utf-8"?>
<sst xmlns="http://schemas.openxmlformats.org/spreadsheetml/2006/main" count="466" uniqueCount="149">
  <si>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</si>
  <si>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</si>
  <si>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</si>
  <si>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</si>
  <si>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</si>
  <si>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</si>
  <si>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</si>
  <si>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</si>
  <si>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</si>
  <si>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</si>
  <si>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</si>
  <si>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AdressLine1</t>
  </si>
  <si>
    <t>AdressLine2</t>
  </si>
  <si>
    <t>City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</si>
  <si>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</si>
  <si>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</si>
  <si>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</si>
  <si>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</si>
  <si>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</si>
  <si>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</si>
  <si>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</si>
  <si>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</si>
  <si>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</si>
  <si>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</si>
  <si>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</si>
  <si>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</si>
  <si>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</si>
  <si>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</si>
  <si>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</si>
  <si>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</si>
  <si>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</si>
  <si>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</si>
  <si>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</si>
  <si>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</si>
  <si>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</si>
  <si>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</si>
  <si>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</si>
  <si>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DepartmentSection1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</si>
  <si>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</si>
  <si>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</si>
  <si>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</si>
  <si>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</si>
  <si>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</si>
  <si>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</si>
  <si>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</si>
  <si>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</si>
  <si>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</si>
  <si>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</si>
  <si>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</si>
  <si>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</si>
  <si>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GovernmentIDType2</t>
  </si>
  <si>
    <t>AddEditID2</t>
  </si>
  <si>
    <t>IssuedDate2</t>
  </si>
  <si>
    <t>ExpirationDate2</t>
  </si>
  <si>
    <t>Gender</t>
  </si>
  <si>
    <t>DateOfBirth</t>
  </si>
  <si>
    <t>CitizenshipStatus</t>
  </si>
  <si>
    <t>PrimaryNationality</t>
  </si>
  <si>
    <t>BankName</t>
  </si>
  <si>
    <t>BankIdentificationCode</t>
  </si>
  <si>
    <t>AccountType</t>
  </si>
  <si>
    <t>IBAN</t>
  </si>
  <si>
    <t>NameOnAccount</t>
  </si>
  <si>
    <t>PassportIDType</t>
  </si>
  <si>
    <t>IdentificationNo</t>
  </si>
  <si>
    <t>IssuedDate</t>
  </si>
  <si>
    <t>ExpirationDate</t>
  </si>
  <si>
    <t>DateWhenMedicalExamTaken</t>
  </si>
  <si>
    <t>ExpirationDateOfTheExam</t>
  </si>
  <si>
    <t>ProposedPayGroupFinal</t>
  </si>
  <si>
    <t>DefaultWeeklyHours</t>
  </si>
  <si>
    <t>Passed</t>
  </si>
  <si>
    <t>795 Recruitment (Zosig Depazi (10280602))</t>
  </si>
  <si>
    <t>Slovenia</t>
  </si>
  <si>
    <t>Test</t>
  </si>
  <si>
    <t>Thompson</t>
  </si>
  <si>
    <t xml:space="preserve">070-417-626 </t>
  </si>
  <si>
    <t>Landline</t>
  </si>
  <si>
    <t>Home</t>
  </si>
  <si>
    <t>Automation Street Name</t>
  </si>
  <si>
    <t>Ljubljana</t>
  </si>
  <si>
    <t>Street Address</t>
  </si>
  <si>
    <t>Test@email.com</t>
  </si>
  <si>
    <t>New Hire</t>
  </si>
  <si>
    <t>Yes</t>
  </si>
  <si>
    <t>Permanent</t>
  </si>
  <si>
    <t>In-Store P&amp;C Supervisor_NEW</t>
  </si>
  <si>
    <t>Part Time</t>
  </si>
  <si>
    <t>Salary</t>
  </si>
  <si>
    <t>N/A</t>
  </si>
  <si>
    <t>5 Days (Slovenia)</t>
  </si>
  <si>
    <t>0- Ne gre za zaposlitev po ZUTD-A ali ZIUPTDSV</t>
  </si>
  <si>
    <t>Active</t>
  </si>
  <si>
    <t>94 Retail Operatives</t>
  </si>
  <si>
    <t>250 Human Resources Retail</t>
  </si>
  <si>
    <t>Collective Agreement - Slovenia (01/01/1900 - )</t>
  </si>
  <si>
    <t>Asistent v prodaji</t>
  </si>
  <si>
    <t>IV.</t>
  </si>
  <si>
    <t>Unique Master Citizen Number</t>
  </si>
  <si>
    <t>01/01/1999</t>
  </si>
  <si>
    <t>01/01/2045</t>
  </si>
  <si>
    <t>Slovenia Tax Number</t>
  </si>
  <si>
    <t>01/01/2041</t>
  </si>
  <si>
    <t>Female</t>
  </si>
  <si>
    <t>Citizen (Slovenia)</t>
  </si>
  <si>
    <t>TestBankOFSlovenia</t>
  </si>
  <si>
    <t>Checking</t>
  </si>
  <si>
    <t>SI56 2633 0001 2039 086</t>
  </si>
  <si>
    <t>Grun Frun</t>
  </si>
  <si>
    <t>Standard</t>
  </si>
  <si>
    <t>SVN Monthly</t>
  </si>
  <si>
    <t>10700066</t>
  </si>
  <si>
    <t>Schambergert</t>
  </si>
  <si>
    <t>No</t>
  </si>
  <si>
    <t>10700071</t>
  </si>
  <si>
    <t>Johann</t>
  </si>
  <si>
    <t>Tillman</t>
  </si>
  <si>
    <t>070-417-627</t>
  </si>
  <si>
    <t>Retail Assistant_NEW</t>
  </si>
  <si>
    <t>Full time</t>
  </si>
  <si>
    <t>4 Days (Slovenia)</t>
  </si>
  <si>
    <t>08 Ladieswear</t>
  </si>
  <si>
    <t>10700069</t>
  </si>
  <si>
    <t>Vandervort</t>
  </si>
  <si>
    <t>070-417-628</t>
  </si>
  <si>
    <t>6 Days (Slovenia)</t>
  </si>
  <si>
    <t>11 Household</t>
  </si>
  <si>
    <t>10700072</t>
  </si>
  <si>
    <t>Ruthe</t>
  </si>
  <si>
    <t>Boyer</t>
  </si>
  <si>
    <t>070-417-629</t>
  </si>
  <si>
    <t>15 Childrens Accessories</t>
  </si>
  <si>
    <t>Test failed for 'Candice Jacobson' Employee: Errors and AlertsErrorErrorDepartment/Section is required to have a value. &amp; find failed Screenshot Path:-&gt;H:\Clone-Workday-Playwright/WorkdayFailedScreenshot/2025-07-03T06-50-55-513Z.png</t>
  </si>
  <si>
    <t>Jedidiah</t>
  </si>
  <si>
    <t>Wisozk</t>
  </si>
  <si>
    <t>070-417-630</t>
  </si>
  <si>
    <t>216 Tills</t>
  </si>
  <si>
    <t>10700070</t>
  </si>
  <si>
    <t>Medhurst</t>
  </si>
  <si>
    <t>070-417-631</t>
  </si>
  <si>
    <t>260 Fitting Rooms</t>
  </si>
  <si>
    <t>Failed</t>
  </si>
  <si>
    <t>[1]E2E001_SI_HIR_TC011</t>
  </si>
  <si>
    <t>[1]E2E001_SI_HIR_TC013</t>
  </si>
  <si>
    <t>[1]E2E001_SI_HIR_TC027</t>
  </si>
  <si>
    <t>[1]E2E001_SI_HIR_TC028</t>
  </si>
  <si>
    <t>[1]E2E001_SI_HIR_TC029</t>
  </si>
  <si>
    <t>[1]E2E001_SI_HIR_TC041</t>
  </si>
  <si>
    <t>[1]E2E001_SI_HIR_TC042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</si>
</sst>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0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Arial"/>
      <family val="2"/>
    </font>
    <font>
      <sz val="7"/>
      <color rgb="FF005CB9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0" borderId="2" xfId="0" applyBorder="1"/>
    <xf numFmtId="0" fontId="0" fillId="5" borderId="0" xfId="0" applyFill="1" applyAlignment="1">
      <alignment horizontal="left" wrapText="1"/>
    </xf>
    <xf numFmtId="0" fontId="0" fillId="6" borderId="0" xfId="0" applyFill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left"/>
    </xf>
    <xf numFmtId="0" fontId="0" fillId="4" borderId="2" xfId="0" applyFill="1" applyBorder="1"/>
    <xf numFmtId="0" fontId="3" fillId="0" borderId="0" xfId="0" applyFont="1"/>
    <xf numFmtId="0" fontId="2" fillId="0" borderId="2" xfId="0" applyFont="1" applyBorder="1" applyAlignment="1" applyProtection="1">
      <alignment horizontal="left"/>
      <protection locked="0"/>
    </xf>
    <xf numFmtId="14" fontId="4" fillId="0" borderId="2" xfId="0" applyNumberFormat="1" applyFont="1" applyBorder="1" applyAlignment="1">
      <alignment horizontal="left"/>
    </xf>
    <xf numFmtId="0" fontId="2" fillId="0" borderId="2" xfId="0" applyFont="1" applyBorder="1" applyProtection="1">
      <protection locked="0"/>
    </xf>
    <xf numFmtId="0" fontId="2" fillId="0" borderId="0" xfId="0" applyFont="1"/>
    <xf numFmtId="14" fontId="2" fillId="0" borderId="2" xfId="0" applyNumberFormat="1" applyFont="1" applyBorder="1" applyAlignment="1">
      <alignment horizontal="left"/>
    </xf>
    <xf numFmtId="0" fontId="5" fillId="0" borderId="2" xfId="0" applyFont="1" applyBorder="1" applyProtection="1">
      <protection locked="0"/>
    </xf>
    <xf numFmtId="14" fontId="6" fillId="0" borderId="2" xfId="0" applyNumberFormat="1" applyFont="1" applyBorder="1" applyAlignment="1">
      <alignment horizontal="left"/>
    </xf>
    <xf numFmtId="0" fontId="2" fillId="4" borderId="2" xfId="0" applyFont="1" applyFill="1" applyBorder="1" applyAlignment="1" applyProtection="1">
      <alignment horizontal="left"/>
      <protection locked="0"/>
    </xf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2" xfId="0" applyFont="1" applyBorder="1" applyAlignment="1" applyProtection="1">
      <alignment horizontal="left" wrapText="1"/>
      <protection locked="0"/>
    </xf>
    <xf numFmtId="0" fontId="5" fillId="0" borderId="0" xfId="0" applyFont="1"/>
    <xf numFmtId="0" fontId="7" fillId="0" borderId="0" xfId="0" applyFont="1"/>
    <xf numFmtId="14" fontId="1" fillId="0" borderId="0" xfId="0" applyNumberFormat="1" applyFont="1" applyAlignment="1">
      <alignment horizontal="left"/>
    </xf>
    <xf numFmtId="0" fontId="8" fillId="0" borderId="0" xfId="0" applyFont="1"/>
    <xf numFmtId="164" fontId="2" fillId="0" borderId="2" xfId="0" applyNumberFormat="1" applyFont="1" applyBorder="1" applyAlignment="1" applyProtection="1">
      <alignment horizontal="left"/>
      <protection locked="0"/>
    </xf>
    <xf numFmtId="1" fontId="2" fillId="0" borderId="2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0" fillId="0" borderId="0" xfId="0" applyAlignment="1">
      <alignment horizontal="left" wrapText="1"/>
    </xf>
    <xf numFmtId="0" fontId="7" fillId="0" borderId="2" xfId="0" applyFont="1" applyBorder="1" applyAlignment="1" applyProtection="1">
      <alignment horizontal="left" wrapText="1"/>
      <protection locked="0"/>
    </xf>
    <xf numFmtId="0" fontId="9" fillId="0" borderId="0" xfId="0" applyFont="1"/>
    <xf numFmtId="0" fontId="7" fillId="0" borderId="2" xfId="0" applyFont="1" applyBorder="1"/>
    <xf numFmtId="0" fontId="0" fillId="7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email.com" TargetMode="External"/><Relationship Id="rId7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1" Type="http://schemas.openxmlformats.org/officeDocument/2006/relationships/hyperlink" Target="mailto:Test@email.com" TargetMode="External"/><Relationship Id="rId6" Type="http://schemas.openxmlformats.org/officeDocument/2006/relationships/hyperlink" Target="mailto:Test@email.com" TargetMode="External"/><Relationship Id="rId5" Type="http://schemas.openxmlformats.org/officeDocument/2006/relationships/hyperlink" Target="mailto:Test@email.com" TargetMode="External"/><Relationship Id="rId4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8"/>
  <sheetViews>
    <sheetView tabSelected="1" zoomScale="90" zoomScaleNormal="90" workbookViewId="0">
      <selection activeCell="A7" sqref="A7"/>
    </sheetView>
  </sheetViews>
  <sheetFormatPr defaultRowHeight="15.65" customHeight="1" outlineLevelRow="1" x14ac:dyDescent="0.35"/>
  <cols>
    <col min="1" max="1" width="27.36328125" style="1" customWidth="1"/>
    <col min="2" max="2" width="40.54296875" style="1" customWidth="1"/>
    <col min="3" max="3" width="9.36328125" style="1" customWidth="1"/>
    <col min="4" max="4" width="28.90625" style="1" customWidth="1"/>
    <col min="5" max="5" width="10.54296875" style="1" customWidth="1"/>
    <col min="6" max="6" width="15.36328125" style="1" customWidth="1"/>
    <col min="7" max="7" width="24.36328125" style="1" customWidth="1"/>
    <col min="8" max="8" width="17.6328125" style="1" customWidth="1"/>
    <col min="9" max="9" width="16" style="1" customWidth="1"/>
    <col min="10" max="10" width="7.7265625" style="1" customWidth="1"/>
    <col min="11" max="11" width="16" style="1" customWidth="1"/>
    <col min="12" max="12" width="10.54296875" style="1" customWidth="1"/>
    <col min="13" max="13" width="29.1796875" style="2" customWidth="1"/>
    <col min="14" max="14" width="15.26953125" style="1" customWidth="1"/>
    <col min="15" max="15" width="11.1796875" style="1" customWidth="1"/>
    <col min="16" max="16" width="14.08984375" style="1" customWidth="1"/>
    <col min="17" max="17" width="7.7265625" style="1" customWidth="1"/>
    <col min="18" max="18" width="18" style="1" customWidth="1"/>
    <col min="19" max="19" width="16.81640625" style="1" customWidth="1"/>
    <col min="20" max="20" width="7.7265625" style="1" customWidth="1"/>
    <col min="21" max="21" width="10.81640625" style="1" customWidth="1"/>
    <col min="22" max="22" width="11.26953125" style="1" customWidth="1"/>
    <col min="23" max="23" width="28.453125" style="1" customWidth="1"/>
    <col min="24" max="24" width="29.81640625" style="1" customWidth="1"/>
    <col min="25" max="25" width="56.1796875" style="2" customWidth="1"/>
    <col min="26" max="26" width="12" style="1" customWidth="1"/>
    <col min="27" max="27" width="10.54296875" style="1" customWidth="1"/>
    <col min="28" max="28" width="16.08984375" style="1" customWidth="1"/>
    <col min="29" max="29" width="28.453125" style="1" customWidth="1"/>
    <col min="30" max="30" width="32.7265625" style="1" customWidth="1"/>
    <col min="31" max="31" width="20.90625" style="1" customWidth="1"/>
    <col min="32" max="32" width="25.453125" style="1" customWidth="1"/>
    <col min="33" max="33" width="57.6328125" style="1" customWidth="1"/>
    <col min="34" max="34" width="8.26953125" style="1" customWidth="1"/>
    <col min="35" max="35" width="19.36328125" style="1" customWidth="1"/>
    <col min="36" max="36" width="21.453125" style="1" customWidth="1"/>
    <col min="37" max="37" width="25.81640625" style="1" customWidth="1"/>
    <col min="38" max="38" width="25.1796875" style="1" customWidth="1"/>
    <col min="39" max="39" width="20.6328125" style="1" customWidth="1"/>
    <col min="40" max="40" width="24.08984375" style="1" customWidth="1"/>
    <col min="41" max="41" width="34.7265625" style="1" customWidth="1"/>
    <col min="42" max="42" width="55.453125" style="1" customWidth="1"/>
    <col min="43" max="43" width="44.54296875" style="1" customWidth="1"/>
    <col min="44" max="44" width="6.90625" style="1" customWidth="1"/>
    <col min="45" max="45" width="15.08984375" style="1" customWidth="1"/>
    <col min="46" max="46" width="6.26953125" style="1" customWidth="1"/>
    <col min="47" max="47" width="22" style="1" customWidth="1"/>
    <col min="48" max="48" width="11.26953125" style="1" customWidth="1"/>
    <col min="49" max="50" width="36.26953125" style="1" customWidth="1"/>
    <col min="51" max="51" width="13.90625" style="1" customWidth="1"/>
    <col min="52" max="52" width="17.6328125" style="2" customWidth="1"/>
    <col min="53" max="53" width="11.26953125" style="1" customWidth="1"/>
    <col min="54" max="55" width="25.453125" style="2" customWidth="1"/>
    <col min="56" max="56" width="15.36328125" style="1" customWidth="1"/>
    <col min="57" max="57" width="19.08984375" style="1" customWidth="1"/>
    <col min="58" max="58" width="9.453125" style="1" customWidth="1"/>
    <col min="59" max="59" width="14.36328125" style="1" customWidth="1"/>
    <col min="60" max="60" width="20.90625" style="1" customWidth="1"/>
    <col min="61" max="61" width="21.54296875" style="1" customWidth="1"/>
    <col min="62" max="62" width="25" style="1" customWidth="1"/>
    <col min="63" max="63" width="27.36328125" style="1" customWidth="1"/>
    <col min="64" max="64" width="15.81640625" style="1" customWidth="1"/>
    <col min="65" max="65" width="21.81640625" style="1" customWidth="1"/>
    <col min="66" max="66" width="20.6328125" style="1" customWidth="1"/>
    <col min="67" max="67" width="10.54296875" style="1" customWidth="1"/>
    <col min="68" max="69" width="19.1796875" style="1" customWidth="1"/>
    <col min="70" max="70" width="13.90625" customWidth="1"/>
    <col min="71" max="71" width="17.6328125" customWidth="1"/>
    <col min="72" max="72" width="35.6328125" customWidth="1"/>
    <col min="73" max="73" width="31.26953125" customWidth="1"/>
    <col min="74" max="74" width="29" customWidth="1"/>
    <col min="75" max="75" width="29.6328125" customWidth="1"/>
  </cols>
  <sheetData>
    <row r="1" spans="1:75" s="3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9</v>
      </c>
      <c r="R1" s="5" t="s">
        <v>15</v>
      </c>
      <c r="S1" s="5" t="s">
        <v>16</v>
      </c>
      <c r="T1" s="5" t="s">
        <v>9</v>
      </c>
      <c r="U1" s="4" t="s">
        <v>17</v>
      </c>
      <c r="V1" s="5" t="s">
        <v>18</v>
      </c>
      <c r="W1" s="8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4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4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9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9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4</v>
      </c>
      <c r="BP1" s="5" t="s">
        <v>63</v>
      </c>
      <c r="BQ1" s="9" t="s">
        <v>64</v>
      </c>
      <c r="BR1" s="5" t="s">
        <v>65</v>
      </c>
      <c r="BS1" s="5" t="s">
        <v>66</v>
      </c>
      <c r="BT1" s="4" t="s">
        <v>67</v>
      </c>
      <c r="BU1" s="4" t="s">
        <v>68</v>
      </c>
      <c r="BV1" s="9" t="s">
        <v>69</v>
      </c>
      <c r="BW1" s="9" t="s">
        <v>70</v>
      </c>
    </row>
    <row r="2" spans="1:75" ht="15.65" customHeight="1" x14ac:dyDescent="0.35">
      <c r="A2" s="10" t="s">
        <v>142</v>
      </c>
      <c r="B2" s="11">
        <v>10700067</v>
      </c>
      <c r="C2" s="12" t="s">
        <v>71</v>
      </c>
      <c r="D2" s="13" t="s">
        <v>72</v>
      </c>
      <c r="E2" s="14" t="s">
        <v>73</v>
      </c>
      <c r="F2" s="15" t="s">
        <v>74</v>
      </c>
      <c r="G2" s="15" t="s">
        <v>75</v>
      </c>
      <c r="H2" s="16" t="s">
        <v>76</v>
      </c>
      <c r="I2" s="17" t="s">
        <v>77</v>
      </c>
      <c r="J2" s="17" t="s">
        <v>78</v>
      </c>
      <c r="K2" s="18">
        <f t="shared" ref="K2:K8" ca="1" si="0">TODAY()-7</f>
        <v>45834</v>
      </c>
      <c r="L2" s="14" t="s">
        <v>73</v>
      </c>
      <c r="M2" s="19" t="s">
        <v>79</v>
      </c>
      <c r="N2" s="19" t="s">
        <v>80</v>
      </c>
      <c r="O2" s="20" t="s">
        <v>80</v>
      </c>
      <c r="P2" s="17">
        <v>1542</v>
      </c>
      <c r="Q2" s="17" t="s">
        <v>78</v>
      </c>
      <c r="R2" s="21" t="s">
        <v>81</v>
      </c>
      <c r="S2" s="22" t="s">
        <v>82</v>
      </c>
      <c r="T2" s="17" t="s">
        <v>78</v>
      </c>
      <c r="U2" s="23">
        <v>45658</v>
      </c>
      <c r="V2" s="17" t="s">
        <v>83</v>
      </c>
      <c r="W2" s="24" t="s">
        <v>84</v>
      </c>
      <c r="X2" s="25" t="s">
        <v>85</v>
      </c>
      <c r="Y2" s="26" t="s">
        <v>86</v>
      </c>
      <c r="Z2" s="25" t="s">
        <v>87</v>
      </c>
      <c r="AA2" s="27">
        <v>795</v>
      </c>
      <c r="AB2" s="27" t="s">
        <v>88</v>
      </c>
      <c r="AC2" s="28">
        <v>35</v>
      </c>
      <c r="AD2" s="29" t="s">
        <v>89</v>
      </c>
      <c r="AE2" s="30" t="s">
        <v>90</v>
      </c>
      <c r="AF2" s="31" t="s">
        <v>89</v>
      </c>
      <c r="AG2" s="17" t="s">
        <v>91</v>
      </c>
      <c r="AH2" s="17" t="s">
        <v>92</v>
      </c>
      <c r="AI2" s="17" t="s">
        <v>89</v>
      </c>
      <c r="AJ2" s="18">
        <f ca="1">TODAY()-100</f>
        <v>45741</v>
      </c>
      <c r="AK2" s="18">
        <f t="shared" ref="AK2:AL2" ca="1" si="1">TODAY()-100</f>
        <v>45741</v>
      </c>
      <c r="AL2" s="18">
        <f t="shared" ca="1" si="1"/>
        <v>45741</v>
      </c>
      <c r="AM2" s="23" t="str">
        <f t="shared" ref="AM2:AM3" si="2">AF2</f>
        <v>N/A</v>
      </c>
      <c r="AN2" s="17" t="s">
        <v>93</v>
      </c>
      <c r="AO2" s="32" t="s">
        <v>94</v>
      </c>
      <c r="AP2" s="25" t="s">
        <v>95</v>
      </c>
      <c r="AQ2" s="25" t="s">
        <v>96</v>
      </c>
      <c r="AR2" s="20" t="s">
        <v>97</v>
      </c>
      <c r="AS2" s="14" t="s">
        <v>89</v>
      </c>
      <c r="AT2" s="14" t="s">
        <v>89</v>
      </c>
      <c r="AU2" s="18">
        <f t="shared" ref="AU2:AU8" ca="1" si="3">TODAY()+7</f>
        <v>45848</v>
      </c>
      <c r="AV2" s="14" t="s">
        <v>73</v>
      </c>
      <c r="AW2" s="33" t="s">
        <v>98</v>
      </c>
      <c r="AX2" s="34">
        <f t="array" aca="1" ref="AX2:AX3" ca="1">_xlfn.RANDARRAY(2,1,1023456789000,9999999999999,TRUE)</f>
        <v>4182979509236</v>
      </c>
      <c r="AY2" s="18" t="s">
        <v>99</v>
      </c>
      <c r="AZ2" s="18" t="s">
        <v>100</v>
      </c>
      <c r="BA2" s="14" t="s">
        <v>73</v>
      </c>
      <c r="BB2" s="33" t="s">
        <v>101</v>
      </c>
      <c r="BC2" s="34">
        <f t="array" aca="1" ref="BC2:BC3" ca="1">_xlfn.RANDARRAY(2,1,12345678,99999999,TRUE)</f>
        <v>28182496</v>
      </c>
      <c r="BD2" s="18" t="s">
        <v>99</v>
      </c>
      <c r="BE2" s="18" t="s">
        <v>102</v>
      </c>
      <c r="BF2" s="20" t="s">
        <v>103</v>
      </c>
      <c r="BG2" s="18">
        <v>36159</v>
      </c>
      <c r="BH2" s="14" t="s">
        <v>104</v>
      </c>
      <c r="BI2" s="14" t="s">
        <v>73</v>
      </c>
      <c r="BJ2" s="14" t="s">
        <v>105</v>
      </c>
      <c r="BK2" s="35" t="s">
        <v>89</v>
      </c>
      <c r="BL2" s="14" t="s">
        <v>106</v>
      </c>
      <c r="BM2" s="36" t="s">
        <v>107</v>
      </c>
      <c r="BN2" s="14" t="s">
        <v>108</v>
      </c>
      <c r="BO2" s="14" t="s">
        <v>73</v>
      </c>
      <c r="BP2" s="14" t="s">
        <v>109</v>
      </c>
      <c r="BQ2" s="14">
        <f t="array" aca="1" ref="BQ2:BQ3" ca="1">_xlfn.RANDARRAY(2,1,12345,99999,TRUE)</f>
        <v>27384</v>
      </c>
      <c r="BR2" s="18">
        <v>44562</v>
      </c>
      <c r="BS2" s="18">
        <v>47119</v>
      </c>
      <c r="BT2" s="23">
        <v>44562</v>
      </c>
      <c r="BU2" s="23">
        <f t="shared" ref="BU2:BU8" ca="1" si="4">TODAY()+365</f>
        <v>46206</v>
      </c>
      <c r="BV2" s="17" t="s">
        <v>110</v>
      </c>
      <c r="BW2">
        <v>40</v>
      </c>
    </row>
    <row r="3" spans="1:75" ht="15.65" customHeight="1" x14ac:dyDescent="0.35">
      <c r="A3" s="10" t="s">
        <v>143</v>
      </c>
      <c r="B3" s="37" t="s">
        <v>111</v>
      </c>
      <c r="C3" s="12" t="s">
        <v>71</v>
      </c>
      <c r="D3" s="13" t="s">
        <v>72</v>
      </c>
      <c r="E3" s="14" t="s">
        <v>73</v>
      </c>
      <c r="F3" s="15" t="s">
        <v>74</v>
      </c>
      <c r="G3" s="15" t="s">
        <v>112</v>
      </c>
      <c r="H3" s="16" t="s">
        <v>76</v>
      </c>
      <c r="I3" s="17" t="s">
        <v>77</v>
      </c>
      <c r="J3" s="17" t="s">
        <v>78</v>
      </c>
      <c r="K3" s="18">
        <f t="shared" ca="1" si="0"/>
        <v>45834</v>
      </c>
      <c r="L3" s="14" t="s">
        <v>73</v>
      </c>
      <c r="M3" s="19" t="s">
        <v>79</v>
      </c>
      <c r="N3" s="19" t="s">
        <v>80</v>
      </c>
      <c r="O3" s="20" t="s">
        <v>80</v>
      </c>
      <c r="P3" s="17">
        <v>1542</v>
      </c>
      <c r="Q3" s="17" t="s">
        <v>78</v>
      </c>
      <c r="R3" s="21" t="s">
        <v>81</v>
      </c>
      <c r="S3" s="22" t="s">
        <v>82</v>
      </c>
      <c r="T3" s="17" t="s">
        <v>78</v>
      </c>
      <c r="U3" s="23">
        <v>45658</v>
      </c>
      <c r="V3" s="17" t="s">
        <v>83</v>
      </c>
      <c r="W3" s="24" t="s">
        <v>113</v>
      </c>
      <c r="X3" s="25" t="s">
        <v>85</v>
      </c>
      <c r="Y3" s="26" t="s">
        <v>86</v>
      </c>
      <c r="Z3" s="25" t="s">
        <v>87</v>
      </c>
      <c r="AA3" s="27">
        <v>795</v>
      </c>
      <c r="AB3" s="27" t="s">
        <v>88</v>
      </c>
      <c r="AC3" s="38">
        <v>35</v>
      </c>
      <c r="AD3" s="29" t="s">
        <v>89</v>
      </c>
      <c r="AE3" s="30" t="s">
        <v>90</v>
      </c>
      <c r="AF3" s="31" t="s">
        <v>89</v>
      </c>
      <c r="AG3" s="17" t="s">
        <v>91</v>
      </c>
      <c r="AH3" s="17" t="s">
        <v>92</v>
      </c>
      <c r="AI3" s="17" t="s">
        <v>89</v>
      </c>
      <c r="AJ3" s="18">
        <f ca="1">TODAY()-100</f>
        <v>45741</v>
      </c>
      <c r="AK3" s="18">
        <f t="shared" ref="AK3:AL3" ca="1" si="5">TODAY()-100</f>
        <v>45741</v>
      </c>
      <c r="AL3" s="18">
        <f t="shared" ca="1" si="5"/>
        <v>45741</v>
      </c>
      <c r="AM3" s="23" t="str">
        <f t="shared" si="2"/>
        <v>N/A</v>
      </c>
      <c r="AN3" s="17" t="s">
        <v>93</v>
      </c>
      <c r="AO3" s="32" t="s">
        <v>94</v>
      </c>
      <c r="AP3" s="25" t="s">
        <v>95</v>
      </c>
      <c r="AQ3" s="25" t="s">
        <v>96</v>
      </c>
      <c r="AR3" s="20" t="s">
        <v>97</v>
      </c>
      <c r="AS3" s="14" t="s">
        <v>89</v>
      </c>
      <c r="AT3" s="14" t="s">
        <v>89</v>
      </c>
      <c r="AU3" s="18">
        <f t="shared" ca="1" si="3"/>
        <v>45848</v>
      </c>
      <c r="AV3" s="14" t="s">
        <v>73</v>
      </c>
      <c r="AW3" s="33" t="s">
        <v>98</v>
      </c>
      <c r="AX3" s="34">
        <f ca="1"/>
        <v>3814262347955</v>
      </c>
      <c r="AY3" s="18" t="s">
        <v>99</v>
      </c>
      <c r="AZ3" s="18" t="s">
        <v>100</v>
      </c>
      <c r="BA3" s="14" t="s">
        <v>73</v>
      </c>
      <c r="BB3" s="33" t="s">
        <v>101</v>
      </c>
      <c r="BC3" s="34">
        <f ca="1"/>
        <v>66703281</v>
      </c>
      <c r="BD3" s="18" t="s">
        <v>99</v>
      </c>
      <c r="BE3" s="18" t="s">
        <v>102</v>
      </c>
      <c r="BF3" s="20" t="s">
        <v>103</v>
      </c>
      <c r="BG3" s="18">
        <v>36160</v>
      </c>
      <c r="BH3" s="14" t="s">
        <v>104</v>
      </c>
      <c r="BI3" s="14" t="s">
        <v>73</v>
      </c>
      <c r="BJ3" s="14" t="s">
        <v>105</v>
      </c>
      <c r="BK3" s="35" t="s">
        <v>89</v>
      </c>
      <c r="BL3" s="14" t="s">
        <v>106</v>
      </c>
      <c r="BM3" s="36" t="s">
        <v>107</v>
      </c>
      <c r="BN3" s="14" t="s">
        <v>108</v>
      </c>
      <c r="BO3" s="14" t="s">
        <v>73</v>
      </c>
      <c r="BP3" s="14" t="s">
        <v>109</v>
      </c>
      <c r="BQ3" s="14">
        <f ca="1"/>
        <v>35549</v>
      </c>
      <c r="BR3" s="18">
        <v>44562</v>
      </c>
      <c r="BS3" s="18">
        <v>47119</v>
      </c>
      <c r="BT3" s="23">
        <v>44562</v>
      </c>
      <c r="BU3" s="23">
        <f t="shared" ca="1" si="4"/>
        <v>46206</v>
      </c>
      <c r="BV3" s="17" t="s">
        <v>110</v>
      </c>
      <c r="BW3">
        <v>40</v>
      </c>
    </row>
    <row r="4" spans="1:75" ht="15.65" customHeight="1" x14ac:dyDescent="0.35">
      <c r="A4" s="10" t="s">
        <v>144</v>
      </c>
      <c r="B4" s="37" t="s">
        <v>114</v>
      </c>
      <c r="C4" s="12" t="s">
        <v>71</v>
      </c>
      <c r="D4" s="13" t="s">
        <v>72</v>
      </c>
      <c r="E4" s="14" t="s">
        <v>73</v>
      </c>
      <c r="F4" s="15" t="s">
        <v>115</v>
      </c>
      <c r="G4" s="15" t="s">
        <v>116</v>
      </c>
      <c r="H4" s="16" t="s">
        <v>117</v>
      </c>
      <c r="I4" s="17" t="s">
        <v>77</v>
      </c>
      <c r="J4" s="17" t="s">
        <v>78</v>
      </c>
      <c r="K4" s="18">
        <f t="shared" ca="1" si="0"/>
        <v>45834</v>
      </c>
      <c r="L4" s="14" t="s">
        <v>73</v>
      </c>
      <c r="M4" s="19" t="s">
        <v>79</v>
      </c>
      <c r="N4" s="19" t="s">
        <v>80</v>
      </c>
      <c r="O4" s="20" t="s">
        <v>80</v>
      </c>
      <c r="P4" s="17">
        <v>1542</v>
      </c>
      <c r="Q4" s="17" t="s">
        <v>78</v>
      </c>
      <c r="R4" s="21" t="s">
        <v>81</v>
      </c>
      <c r="S4" s="22" t="s">
        <v>82</v>
      </c>
      <c r="T4" s="17" t="s">
        <v>78</v>
      </c>
      <c r="U4" s="23">
        <v>45658</v>
      </c>
      <c r="V4" s="17" t="s">
        <v>83</v>
      </c>
      <c r="W4" s="24" t="s">
        <v>113</v>
      </c>
      <c r="X4" s="25" t="s">
        <v>85</v>
      </c>
      <c r="Y4" s="25" t="s">
        <v>118</v>
      </c>
      <c r="Z4" s="25" t="s">
        <v>119</v>
      </c>
      <c r="AA4" s="27">
        <v>795</v>
      </c>
      <c r="AB4" s="27" t="s">
        <v>88</v>
      </c>
      <c r="AC4" s="38">
        <v>40</v>
      </c>
      <c r="AD4" s="29" t="s">
        <v>89</v>
      </c>
      <c r="AE4" s="30" t="s">
        <v>120</v>
      </c>
      <c r="AF4" s="31" t="s">
        <v>89</v>
      </c>
      <c r="AG4" s="17" t="s">
        <v>91</v>
      </c>
      <c r="AH4" s="17" t="s">
        <v>92</v>
      </c>
      <c r="AI4" s="17" t="s">
        <v>89</v>
      </c>
      <c r="AJ4" s="18">
        <f t="shared" ref="AJ4:AL8" ca="1" si="6">TODAY()-100</f>
        <v>45741</v>
      </c>
      <c r="AK4" s="18">
        <f t="shared" ca="1" si="6"/>
        <v>45741</v>
      </c>
      <c r="AL4" s="18">
        <f t="shared" ca="1" si="6"/>
        <v>45741</v>
      </c>
      <c r="AM4" s="23" t="str">
        <f t="shared" ref="AM4:AM6" si="7">AF4</f>
        <v>N/A</v>
      </c>
      <c r="AN4" s="17" t="s">
        <v>93</v>
      </c>
      <c r="AO4" s="39" t="s">
        <v>121</v>
      </c>
      <c r="AP4" s="25" t="s">
        <v>95</v>
      </c>
      <c r="AQ4" s="25" t="s">
        <v>96</v>
      </c>
      <c r="AR4" s="20" t="s">
        <v>97</v>
      </c>
      <c r="AS4" s="14" t="s">
        <v>89</v>
      </c>
      <c r="AT4" s="14" t="s">
        <v>89</v>
      </c>
      <c r="AU4" s="18">
        <f t="shared" ca="1" si="3"/>
        <v>45848</v>
      </c>
      <c r="AV4" s="14" t="s">
        <v>73</v>
      </c>
      <c r="AW4" s="33" t="s">
        <v>98</v>
      </c>
      <c r="AX4" s="34">
        <f t="array" aca="1" ref="AX4" ca="1">_xlfn.RANDARRAY(2,1,1023456789000,9999999999999,TRUE)</f>
        <v>6822314752969</v>
      </c>
      <c r="AY4" s="18" t="s">
        <v>99</v>
      </c>
      <c r="AZ4" s="18" t="s">
        <v>100</v>
      </c>
      <c r="BA4" s="14" t="s">
        <v>73</v>
      </c>
      <c r="BB4" s="33" t="s">
        <v>101</v>
      </c>
      <c r="BC4" s="34">
        <f t="array" aca="1" ref="BC4" ca="1">_xlfn.RANDARRAY(2,1,12345678,99999999,TRUE)</f>
        <v>82334888</v>
      </c>
      <c r="BD4" s="18" t="s">
        <v>99</v>
      </c>
      <c r="BE4" s="18" t="s">
        <v>102</v>
      </c>
      <c r="BF4" s="20" t="s">
        <v>103</v>
      </c>
      <c r="BG4" s="18">
        <v>36161</v>
      </c>
      <c r="BH4" s="14" t="s">
        <v>104</v>
      </c>
      <c r="BI4" s="14" t="s">
        <v>73</v>
      </c>
      <c r="BJ4" s="14" t="s">
        <v>105</v>
      </c>
      <c r="BK4" s="35" t="s">
        <v>89</v>
      </c>
      <c r="BL4" s="14" t="s">
        <v>106</v>
      </c>
      <c r="BM4" s="36" t="s">
        <v>107</v>
      </c>
      <c r="BN4" s="14" t="s">
        <v>108</v>
      </c>
      <c r="BO4" s="14" t="s">
        <v>73</v>
      </c>
      <c r="BP4" s="14" t="s">
        <v>109</v>
      </c>
      <c r="BQ4" s="14">
        <f t="array" aca="1" ref="BQ4" ca="1">_xlfn.RANDARRAY(2,1,12345,99999,TRUE)</f>
        <v>76126</v>
      </c>
      <c r="BR4" s="18">
        <v>44562</v>
      </c>
      <c r="BS4" s="18">
        <v>47119</v>
      </c>
      <c r="BT4" s="23">
        <v>44562</v>
      </c>
      <c r="BU4" s="23">
        <f t="shared" ca="1" si="4"/>
        <v>46206</v>
      </c>
      <c r="BV4" s="17" t="s">
        <v>110</v>
      </c>
      <c r="BW4">
        <v>40</v>
      </c>
    </row>
    <row r="5" spans="1:75" ht="15.65" customHeight="1" x14ac:dyDescent="0.35">
      <c r="A5" s="10" t="s">
        <v>145</v>
      </c>
      <c r="B5" s="37" t="s">
        <v>122</v>
      </c>
      <c r="C5" s="12" t="s">
        <v>71</v>
      </c>
      <c r="D5" s="13" t="s">
        <v>72</v>
      </c>
      <c r="E5" s="14" t="s">
        <v>73</v>
      </c>
      <c r="F5" s="15" t="s">
        <v>74</v>
      </c>
      <c r="G5" s="15" t="s">
        <v>123</v>
      </c>
      <c r="H5" s="16" t="s">
        <v>124</v>
      </c>
      <c r="I5" s="17" t="s">
        <v>77</v>
      </c>
      <c r="J5" s="17" t="s">
        <v>78</v>
      </c>
      <c r="K5" s="18">
        <f t="shared" ca="1" si="0"/>
        <v>45834</v>
      </c>
      <c r="L5" s="14" t="s">
        <v>73</v>
      </c>
      <c r="M5" s="19" t="s">
        <v>79</v>
      </c>
      <c r="N5" s="19" t="s">
        <v>80</v>
      </c>
      <c r="O5" s="20" t="s">
        <v>80</v>
      </c>
      <c r="P5" s="17">
        <v>1542</v>
      </c>
      <c r="Q5" s="17" t="s">
        <v>78</v>
      </c>
      <c r="R5" s="21" t="s">
        <v>81</v>
      </c>
      <c r="S5" s="22" t="s">
        <v>82</v>
      </c>
      <c r="T5" s="17" t="s">
        <v>78</v>
      </c>
      <c r="U5" s="23">
        <v>45658</v>
      </c>
      <c r="V5" s="17" t="s">
        <v>83</v>
      </c>
      <c r="W5" s="24" t="s">
        <v>113</v>
      </c>
      <c r="X5" s="25" t="s">
        <v>85</v>
      </c>
      <c r="Y5" s="25" t="s">
        <v>118</v>
      </c>
      <c r="Z5" s="25" t="s">
        <v>119</v>
      </c>
      <c r="AA5" s="27">
        <v>795</v>
      </c>
      <c r="AB5" s="27" t="s">
        <v>88</v>
      </c>
      <c r="AC5" s="38">
        <v>40</v>
      </c>
      <c r="AD5" s="29" t="s">
        <v>89</v>
      </c>
      <c r="AE5" s="30" t="s">
        <v>125</v>
      </c>
      <c r="AF5" s="31" t="s">
        <v>89</v>
      </c>
      <c r="AG5" s="17" t="s">
        <v>91</v>
      </c>
      <c r="AH5" s="17" t="s">
        <v>92</v>
      </c>
      <c r="AI5" s="17" t="s">
        <v>89</v>
      </c>
      <c r="AJ5" s="18">
        <f t="shared" ca="1" si="6"/>
        <v>45741</v>
      </c>
      <c r="AK5" s="18">
        <f t="shared" ca="1" si="6"/>
        <v>45741</v>
      </c>
      <c r="AL5" s="18">
        <f t="shared" ca="1" si="6"/>
        <v>45741</v>
      </c>
      <c r="AM5" s="23" t="str">
        <f t="shared" si="7"/>
        <v>N/A</v>
      </c>
      <c r="AN5" s="17" t="s">
        <v>93</v>
      </c>
      <c r="AO5" s="39" t="s">
        <v>126</v>
      </c>
      <c r="AP5" s="25" t="s">
        <v>95</v>
      </c>
      <c r="AQ5" s="25" t="s">
        <v>96</v>
      </c>
      <c r="AR5" s="20" t="s">
        <v>97</v>
      </c>
      <c r="AS5" s="14" t="s">
        <v>89</v>
      </c>
      <c r="AT5" s="14" t="s">
        <v>89</v>
      </c>
      <c r="AU5" s="18">
        <f t="shared" ca="1" si="3"/>
        <v>45848</v>
      </c>
      <c r="AV5" s="14" t="s">
        <v>73</v>
      </c>
      <c r="AW5" s="33" t="s">
        <v>98</v>
      </c>
      <c r="AX5" s="34">
        <f t="array" aca="1" ref="AX5" ca="1">_xlfn.RANDARRAY(2,1,1023456789000,9999999999999,TRUE)</f>
        <v>9671562533748</v>
      </c>
      <c r="AY5" s="18" t="s">
        <v>99</v>
      </c>
      <c r="AZ5" s="18" t="s">
        <v>100</v>
      </c>
      <c r="BA5" s="14" t="s">
        <v>73</v>
      </c>
      <c r="BB5" s="33" t="s">
        <v>101</v>
      </c>
      <c r="BC5" s="34">
        <f t="array" aca="1" ref="BC5" ca="1">_xlfn.RANDARRAY(2,1,12345678,99999999,TRUE)</f>
        <v>39389119</v>
      </c>
      <c r="BD5" s="18" t="s">
        <v>99</v>
      </c>
      <c r="BE5" s="18" t="s">
        <v>102</v>
      </c>
      <c r="BF5" s="20" t="s">
        <v>103</v>
      </c>
      <c r="BG5" s="18">
        <v>36162</v>
      </c>
      <c r="BH5" s="14" t="s">
        <v>104</v>
      </c>
      <c r="BI5" s="14" t="s">
        <v>73</v>
      </c>
      <c r="BJ5" s="14" t="s">
        <v>105</v>
      </c>
      <c r="BK5" s="35" t="s">
        <v>89</v>
      </c>
      <c r="BL5" s="14" t="s">
        <v>106</v>
      </c>
      <c r="BM5" s="36" t="s">
        <v>107</v>
      </c>
      <c r="BN5" s="14" t="s">
        <v>108</v>
      </c>
      <c r="BO5" s="14" t="s">
        <v>73</v>
      </c>
      <c r="BP5" s="14" t="s">
        <v>109</v>
      </c>
      <c r="BQ5" s="14">
        <f t="array" aca="1" ref="BQ5" ca="1">_xlfn.RANDARRAY(2,1,12345,99999,TRUE)</f>
        <v>85770</v>
      </c>
      <c r="BR5" s="18">
        <v>44562</v>
      </c>
      <c r="BS5" s="18">
        <v>47119</v>
      </c>
      <c r="BT5" s="23">
        <v>44562</v>
      </c>
      <c r="BU5" s="23">
        <f t="shared" ca="1" si="4"/>
        <v>46206</v>
      </c>
      <c r="BV5" s="17" t="s">
        <v>110</v>
      </c>
      <c r="BW5">
        <v>40</v>
      </c>
    </row>
    <row r="6" spans="1:75" ht="15.65" customHeight="1" x14ac:dyDescent="0.35">
      <c r="A6" s="10" t="s">
        <v>146</v>
      </c>
      <c r="B6" s="37" t="s">
        <v>127</v>
      </c>
      <c r="C6" s="12" t="s">
        <v>71</v>
      </c>
      <c r="D6" s="13" t="s">
        <v>72</v>
      </c>
      <c r="E6" s="14" t="s">
        <v>73</v>
      </c>
      <c r="F6" s="15" t="s">
        <v>128</v>
      </c>
      <c r="G6" s="15" t="s">
        <v>129</v>
      </c>
      <c r="H6" s="16" t="s">
        <v>130</v>
      </c>
      <c r="I6" s="17" t="s">
        <v>77</v>
      </c>
      <c r="J6" s="17" t="s">
        <v>78</v>
      </c>
      <c r="K6" s="18">
        <f t="shared" ca="1" si="0"/>
        <v>45834</v>
      </c>
      <c r="L6" s="14" t="s">
        <v>73</v>
      </c>
      <c r="M6" s="19" t="s">
        <v>79</v>
      </c>
      <c r="N6" s="19" t="s">
        <v>80</v>
      </c>
      <c r="O6" s="20" t="s">
        <v>80</v>
      </c>
      <c r="P6" s="17">
        <v>1542</v>
      </c>
      <c r="Q6" s="17" t="s">
        <v>78</v>
      </c>
      <c r="R6" s="21" t="s">
        <v>81</v>
      </c>
      <c r="S6" s="22" t="s">
        <v>82</v>
      </c>
      <c r="T6" s="17" t="s">
        <v>78</v>
      </c>
      <c r="U6" s="23">
        <v>45658</v>
      </c>
      <c r="V6" s="17" t="s">
        <v>83</v>
      </c>
      <c r="W6" s="24" t="s">
        <v>113</v>
      </c>
      <c r="X6" s="25" t="s">
        <v>85</v>
      </c>
      <c r="Y6" s="25" t="s">
        <v>118</v>
      </c>
      <c r="Z6" s="25" t="s">
        <v>87</v>
      </c>
      <c r="AA6" s="27">
        <v>795</v>
      </c>
      <c r="AB6" s="27" t="s">
        <v>88</v>
      </c>
      <c r="AC6" s="38">
        <v>35</v>
      </c>
      <c r="AD6" s="29" t="s">
        <v>89</v>
      </c>
      <c r="AE6" s="30" t="s">
        <v>90</v>
      </c>
      <c r="AF6" s="31" t="s">
        <v>89</v>
      </c>
      <c r="AG6" s="17" t="s">
        <v>91</v>
      </c>
      <c r="AH6" s="17" t="s">
        <v>92</v>
      </c>
      <c r="AI6" s="17" t="s">
        <v>89</v>
      </c>
      <c r="AJ6" s="18">
        <f t="shared" ca="1" si="6"/>
        <v>45741</v>
      </c>
      <c r="AK6" s="18">
        <f t="shared" ca="1" si="6"/>
        <v>45741</v>
      </c>
      <c r="AL6" s="18">
        <f t="shared" ca="1" si="6"/>
        <v>45741</v>
      </c>
      <c r="AM6" s="23" t="str">
        <f t="shared" si="7"/>
        <v>N/A</v>
      </c>
      <c r="AN6" s="17" t="s">
        <v>93</v>
      </c>
      <c r="AO6" s="39" t="s">
        <v>131</v>
      </c>
      <c r="AP6" s="25" t="s">
        <v>95</v>
      </c>
      <c r="AQ6" s="25" t="s">
        <v>96</v>
      </c>
      <c r="AR6" s="20" t="s">
        <v>97</v>
      </c>
      <c r="AS6" s="14" t="s">
        <v>89</v>
      </c>
      <c r="AT6" s="14" t="s">
        <v>89</v>
      </c>
      <c r="AU6" s="18">
        <f t="shared" ca="1" si="3"/>
        <v>45848</v>
      </c>
      <c r="AV6" s="14" t="s">
        <v>73</v>
      </c>
      <c r="AW6" s="33" t="s">
        <v>98</v>
      </c>
      <c r="AX6" s="34">
        <f t="array" aca="1" ref="AX6" ca="1">_xlfn.RANDARRAY(2,1,1023456789000,9999999999999,TRUE)</f>
        <v>1571754459972</v>
      </c>
      <c r="AY6" s="18" t="s">
        <v>99</v>
      </c>
      <c r="AZ6" s="18" t="s">
        <v>100</v>
      </c>
      <c r="BA6" s="14" t="s">
        <v>73</v>
      </c>
      <c r="BB6" s="33" t="s">
        <v>101</v>
      </c>
      <c r="BC6" s="34">
        <f t="array" aca="1" ref="BC6" ca="1">_xlfn.RANDARRAY(2,1,12345678,99999999,TRUE)</f>
        <v>71141590</v>
      </c>
      <c r="BD6" s="18" t="s">
        <v>99</v>
      </c>
      <c r="BE6" s="18" t="s">
        <v>102</v>
      </c>
      <c r="BF6" s="20" t="s">
        <v>103</v>
      </c>
      <c r="BG6" s="18">
        <v>36163</v>
      </c>
      <c r="BH6" s="14" t="s">
        <v>104</v>
      </c>
      <c r="BI6" s="14" t="s">
        <v>73</v>
      </c>
      <c r="BJ6" s="14" t="s">
        <v>105</v>
      </c>
      <c r="BK6" s="35" t="s">
        <v>89</v>
      </c>
      <c r="BL6" s="14" t="s">
        <v>106</v>
      </c>
      <c r="BM6" s="36" t="s">
        <v>107</v>
      </c>
      <c r="BN6" s="14" t="s">
        <v>108</v>
      </c>
      <c r="BO6" s="14" t="s">
        <v>73</v>
      </c>
      <c r="BP6" s="14" t="s">
        <v>109</v>
      </c>
      <c r="BQ6" s="14">
        <f t="array" aca="1" ref="BQ6" ca="1">_xlfn.RANDARRAY(2,1,12345,99999,TRUE)</f>
        <v>30903</v>
      </c>
      <c r="BR6" s="18">
        <v>44562</v>
      </c>
      <c r="BS6" s="18">
        <v>47119</v>
      </c>
      <c r="BT6" s="23">
        <v>44562</v>
      </c>
      <c r="BU6" s="23">
        <f t="shared" ca="1" si="4"/>
        <v>46206</v>
      </c>
      <c r="BV6" s="17" t="s">
        <v>110</v>
      </c>
      <c r="BW6">
        <v>40</v>
      </c>
    </row>
    <row r="7" spans="1:75" ht="15.65" customHeight="1" x14ac:dyDescent="0.35">
      <c r="A7" s="10" t="s">
        <v>147</v>
      </c>
      <c r="B7" s="37" t="s">
        <v>141</v>
      </c>
      <c r="C7" s="41" t="s">
        <v>132</v>
      </c>
      <c r="D7" s="13" t="s">
        <v>72</v>
      </c>
      <c r="E7" s="14" t="s">
        <v>73</v>
      </c>
      <c r="F7" s="15" t="s">
        <v>133</v>
      </c>
      <c r="G7" s="15" t="s">
        <v>134</v>
      </c>
      <c r="H7" s="16" t="s">
        <v>135</v>
      </c>
      <c r="I7" s="17" t="s">
        <v>77</v>
      </c>
      <c r="J7" s="17" t="s">
        <v>78</v>
      </c>
      <c r="K7" s="18">
        <f t="shared" ca="1" si="0"/>
        <v>45834</v>
      </c>
      <c r="L7" s="14" t="s">
        <v>73</v>
      </c>
      <c r="M7" s="19" t="s">
        <v>79</v>
      </c>
      <c r="N7" s="19" t="s">
        <v>80</v>
      </c>
      <c r="O7" s="20" t="s">
        <v>80</v>
      </c>
      <c r="P7" s="17">
        <v>1542</v>
      </c>
      <c r="Q7" s="17" t="s">
        <v>78</v>
      </c>
      <c r="R7" s="21" t="s">
        <v>81</v>
      </c>
      <c r="S7" s="22" t="s">
        <v>82</v>
      </c>
      <c r="T7" s="17" t="s">
        <v>78</v>
      </c>
      <c r="U7" s="23">
        <v>45658</v>
      </c>
      <c r="V7" s="17" t="s">
        <v>83</v>
      </c>
      <c r="W7" s="24" t="s">
        <v>113</v>
      </c>
      <c r="X7" s="25" t="s">
        <v>85</v>
      </c>
      <c r="Y7" s="25" t="s">
        <v>118</v>
      </c>
      <c r="Z7" s="25" t="s">
        <v>87</v>
      </c>
      <c r="AA7" s="27">
        <v>795</v>
      </c>
      <c r="AB7" s="27" t="s">
        <v>88</v>
      </c>
      <c r="AC7" s="38">
        <v>20</v>
      </c>
      <c r="AD7" s="29" t="s">
        <v>89</v>
      </c>
      <c r="AE7" s="30" t="s">
        <v>90</v>
      </c>
      <c r="AF7" s="31" t="s">
        <v>89</v>
      </c>
      <c r="AG7" s="17" t="s">
        <v>91</v>
      </c>
      <c r="AH7" s="17" t="s">
        <v>92</v>
      </c>
      <c r="AI7" s="17" t="s">
        <v>89</v>
      </c>
      <c r="AJ7" s="18">
        <f t="shared" ca="1" si="6"/>
        <v>45741</v>
      </c>
      <c r="AK7" s="18">
        <f t="shared" ca="1" si="6"/>
        <v>45741</v>
      </c>
      <c r="AL7" s="18">
        <f t="shared" ca="1" si="6"/>
        <v>45741</v>
      </c>
      <c r="AM7" s="23" t="str">
        <f t="shared" ref="AM7:AM8" si="8">AF7</f>
        <v>N/A</v>
      </c>
      <c r="AN7" s="17" t="s">
        <v>93</v>
      </c>
      <c r="AO7" s="40" t="s">
        <v>136</v>
      </c>
      <c r="AP7" s="25" t="s">
        <v>95</v>
      </c>
      <c r="AQ7" s="25" t="s">
        <v>96</v>
      </c>
      <c r="AR7" s="20" t="s">
        <v>97</v>
      </c>
      <c r="AS7" s="14" t="s">
        <v>89</v>
      </c>
      <c r="AT7" s="14" t="s">
        <v>89</v>
      </c>
      <c r="AU7" s="18">
        <f t="shared" ca="1" si="3"/>
        <v>45848</v>
      </c>
      <c r="AV7" s="14" t="s">
        <v>73</v>
      </c>
      <c r="AW7" s="33" t="s">
        <v>98</v>
      </c>
      <c r="AX7" s="34">
        <f t="array" aca="1" ref="AX7" ca="1">_xlfn.RANDARRAY(2,1,1023456789000,9999999999999,TRUE)</f>
        <v>4692761795924</v>
      </c>
      <c r="AY7" s="18" t="s">
        <v>99</v>
      </c>
      <c r="AZ7" s="18" t="s">
        <v>100</v>
      </c>
      <c r="BA7" s="14" t="s">
        <v>73</v>
      </c>
      <c r="BB7" s="33" t="s">
        <v>101</v>
      </c>
      <c r="BC7" s="34">
        <f t="array" aca="1" ref="BC7" ca="1">_xlfn.RANDARRAY(2,1,12345678,99999999,TRUE)</f>
        <v>15460731</v>
      </c>
      <c r="BD7" s="18" t="s">
        <v>99</v>
      </c>
      <c r="BE7" s="18" t="s">
        <v>102</v>
      </c>
      <c r="BF7" s="20" t="s">
        <v>103</v>
      </c>
      <c r="BG7" s="18">
        <v>36164</v>
      </c>
      <c r="BH7" s="14" t="s">
        <v>104</v>
      </c>
      <c r="BI7" s="14" t="s">
        <v>73</v>
      </c>
      <c r="BJ7" s="14" t="s">
        <v>105</v>
      </c>
      <c r="BK7" s="35" t="s">
        <v>89</v>
      </c>
      <c r="BL7" s="14" t="s">
        <v>106</v>
      </c>
      <c r="BM7" s="36" t="s">
        <v>107</v>
      </c>
      <c r="BN7" s="14" t="s">
        <v>108</v>
      </c>
      <c r="BO7" s="14" t="s">
        <v>73</v>
      </c>
      <c r="BP7" s="14" t="s">
        <v>109</v>
      </c>
      <c r="BQ7" s="14">
        <f t="array" aca="1" ref="BQ7" ca="1">_xlfn.RANDARRAY(2,1,12345,99999,TRUE)</f>
        <v>91651</v>
      </c>
      <c r="BR7" s="18">
        <v>44562</v>
      </c>
      <c r="BS7" s="18">
        <v>47119</v>
      </c>
      <c r="BT7" s="23">
        <v>44562</v>
      </c>
      <c r="BU7" s="23">
        <f t="shared" ca="1" si="4"/>
        <v>46206</v>
      </c>
      <c r="BV7" s="17" t="s">
        <v>110</v>
      </c>
      <c r="BW7">
        <v>40</v>
      </c>
    </row>
    <row r="8" spans="1:75" ht="15.65" customHeight="1" x14ac:dyDescent="0.35">
      <c r="A8" s="10" t="s">
        <v>148</v>
      </c>
      <c r="B8" s="37" t="s">
        <v>137</v>
      </c>
      <c r="C8" s="12" t="s">
        <v>71</v>
      </c>
      <c r="D8" s="13" t="s">
        <v>72</v>
      </c>
      <c r="E8" s="14" t="s">
        <v>73</v>
      </c>
      <c r="F8" s="15" t="s">
        <v>74</v>
      </c>
      <c r="G8" s="15" t="s">
        <v>138</v>
      </c>
      <c r="H8" s="16" t="s">
        <v>139</v>
      </c>
      <c r="I8" s="17" t="s">
        <v>77</v>
      </c>
      <c r="J8" s="17" t="s">
        <v>78</v>
      </c>
      <c r="K8" s="18">
        <f t="shared" ca="1" si="0"/>
        <v>45834</v>
      </c>
      <c r="L8" s="14" t="s">
        <v>73</v>
      </c>
      <c r="M8" s="19" t="s">
        <v>79</v>
      </c>
      <c r="N8" s="19" t="s">
        <v>80</v>
      </c>
      <c r="O8" s="20" t="s">
        <v>80</v>
      </c>
      <c r="P8" s="17">
        <v>1542</v>
      </c>
      <c r="Q8" s="17" t="s">
        <v>78</v>
      </c>
      <c r="R8" s="21" t="s">
        <v>81</v>
      </c>
      <c r="S8" s="22" t="s">
        <v>82</v>
      </c>
      <c r="T8" s="17" t="s">
        <v>78</v>
      </c>
      <c r="U8" s="23">
        <v>45658</v>
      </c>
      <c r="V8" s="17" t="s">
        <v>83</v>
      </c>
      <c r="W8" s="24" t="s">
        <v>113</v>
      </c>
      <c r="X8" s="25" t="s">
        <v>85</v>
      </c>
      <c r="Y8" s="25" t="s">
        <v>118</v>
      </c>
      <c r="Z8" s="25" t="s">
        <v>119</v>
      </c>
      <c r="AA8" s="27">
        <v>795</v>
      </c>
      <c r="AB8" s="27" t="s">
        <v>88</v>
      </c>
      <c r="AC8" s="38">
        <v>40</v>
      </c>
      <c r="AD8" s="29" t="s">
        <v>89</v>
      </c>
      <c r="AE8" s="30" t="s">
        <v>90</v>
      </c>
      <c r="AF8" s="31" t="s">
        <v>89</v>
      </c>
      <c r="AG8" s="17" t="s">
        <v>91</v>
      </c>
      <c r="AH8" s="17" t="s">
        <v>92</v>
      </c>
      <c r="AI8" s="17" t="s">
        <v>89</v>
      </c>
      <c r="AJ8" s="18">
        <f t="shared" ca="1" si="6"/>
        <v>45741</v>
      </c>
      <c r="AK8" s="18">
        <f t="shared" ca="1" si="6"/>
        <v>45741</v>
      </c>
      <c r="AL8" s="18">
        <f t="shared" ca="1" si="6"/>
        <v>45741</v>
      </c>
      <c r="AM8" s="23" t="str">
        <f t="shared" si="8"/>
        <v>N/A</v>
      </c>
      <c r="AN8" s="17" t="s">
        <v>93</v>
      </c>
      <c r="AO8" s="40" t="s">
        <v>140</v>
      </c>
      <c r="AP8" s="25" t="s">
        <v>95</v>
      </c>
      <c r="AQ8" s="25" t="s">
        <v>96</v>
      </c>
      <c r="AR8" s="20" t="s">
        <v>97</v>
      </c>
      <c r="AS8" s="14" t="s">
        <v>89</v>
      </c>
      <c r="AT8" s="14" t="s">
        <v>89</v>
      </c>
      <c r="AU8" s="18">
        <f t="shared" ca="1" si="3"/>
        <v>45848</v>
      </c>
      <c r="AV8" s="14" t="s">
        <v>73</v>
      </c>
      <c r="AW8" s="33" t="s">
        <v>98</v>
      </c>
      <c r="AX8" s="34">
        <f t="array" aca="1" ref="AX8" ca="1">_xlfn.RANDARRAY(2,1,1023456789000,9999999999999,TRUE)</f>
        <v>9866380120678</v>
      </c>
      <c r="AY8" s="18" t="s">
        <v>99</v>
      </c>
      <c r="AZ8" s="18" t="s">
        <v>100</v>
      </c>
      <c r="BA8" s="14" t="s">
        <v>73</v>
      </c>
      <c r="BB8" s="33" t="s">
        <v>101</v>
      </c>
      <c r="BC8" s="34">
        <f t="array" aca="1" ref="BC8" ca="1">_xlfn.RANDARRAY(2,1,12345678,99999999,TRUE)</f>
        <v>85514618</v>
      </c>
      <c r="BD8" s="18" t="s">
        <v>99</v>
      </c>
      <c r="BE8" s="18" t="s">
        <v>102</v>
      </c>
      <c r="BF8" s="20" t="s">
        <v>103</v>
      </c>
      <c r="BG8" s="18">
        <v>36165</v>
      </c>
      <c r="BH8" s="14" t="s">
        <v>104</v>
      </c>
      <c r="BI8" s="14" t="s">
        <v>73</v>
      </c>
      <c r="BJ8" s="14" t="s">
        <v>105</v>
      </c>
      <c r="BK8" s="35" t="s">
        <v>89</v>
      </c>
      <c r="BL8" s="14" t="s">
        <v>106</v>
      </c>
      <c r="BM8" s="36" t="s">
        <v>107</v>
      </c>
      <c r="BN8" s="14" t="s">
        <v>108</v>
      </c>
      <c r="BO8" s="14" t="s">
        <v>73</v>
      </c>
      <c r="BP8" s="14" t="s">
        <v>109</v>
      </c>
      <c r="BQ8" s="14">
        <f t="array" aca="1" ref="BQ8" ca="1">_xlfn.RANDARRAY(2,1,12345,99999,TRUE)</f>
        <v>99502</v>
      </c>
      <c r="BR8" s="18">
        <v>44562</v>
      </c>
      <c r="BS8" s="18">
        <v>47119</v>
      </c>
      <c r="BT8" s="23">
        <v>44562</v>
      </c>
      <c r="BU8" s="23">
        <f t="shared" ca="1" si="4"/>
        <v>46206</v>
      </c>
      <c r="BV8" s="17" t="s">
        <v>110</v>
      </c>
      <c r="BW8">
        <v>40</v>
      </c>
    </row>
  </sheetData>
  <dataValidations count="1">
    <dataValidation type="list" allowBlank="1" showInputMessage="1" showErrorMessage="1" sqref="AH2:AH8 V2:V8 T2:T8 Q2:Q8 J2:J8 BL2:BL8" xr:uid="{00000000-0002-0000-0000-000000000000}">
      <formula1>INDIRECT($E2)</formula1>
    </dataValidation>
  </dataValidations>
  <hyperlinks>
    <hyperlink ref="S2" r:id="rId1" xr:uid="{00000000-0004-0000-0000-000000000000}"/>
    <hyperlink ref="S3" r:id="rId2" xr:uid="{00000000-0004-0000-0000-000001000000}"/>
    <hyperlink ref="S4" r:id="rId3" xr:uid="{00000000-0004-0000-0000-000002000000}"/>
    <hyperlink ref="S5" r:id="rId4" xr:uid="{00000000-0004-0000-0000-000003000000}"/>
    <hyperlink ref="S6" r:id="rId5" xr:uid="{00000000-0004-0000-0000-000004000000}"/>
    <hyperlink ref="S7" r:id="rId6" xr:uid="{00000000-0004-0000-0000-000005000000}"/>
    <hyperlink ref="S8" r:id="rId7" xr:uid="{00000000-0004-0000-0000-000006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2025-07-03T07:00:24Z</dcterms:modified>
</cp:coreProperties>
</file>