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AA7BE5B0-6AE4-457A-82C0-15C1FAE69D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AT44" i="1"/>
  <c r="AM44" i="1"/>
  <c r="K44" i="1"/>
  <c r="X44" i="1" s="1"/>
  <c r="K43" i="1"/>
  <c r="X43" i="1" s="1"/>
  <c r="AT42" i="1"/>
  <c r="AM42" i="1"/>
  <c r="K42" i="1"/>
  <c r="X42" i="1" s="1"/>
  <c r="K41" i="1"/>
  <c r="X41" i="1" s="1"/>
  <c r="AT40" i="1"/>
  <c r="AM40" i="1"/>
  <c r="K40" i="1"/>
  <c r="X40" i="1" s="1"/>
  <c r="K39" i="1"/>
  <c r="X39" i="1" s="1"/>
  <c r="AT38" i="1"/>
  <c r="AM38" i="1"/>
  <c r="K38" i="1"/>
  <c r="X38" i="1" s="1"/>
  <c r="K37" i="1"/>
  <c r="X37" i="1" s="1"/>
  <c r="AT36" i="1"/>
  <c r="AM36" i="1"/>
  <c r="K36" i="1"/>
  <c r="X36" i="1" s="1"/>
  <c r="AT35" i="1"/>
  <c r="K35" i="1"/>
  <c r="X35" i="1" s="1"/>
  <c r="AM34" i="1"/>
  <c r="AT34" i="1" s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AT2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AM24" i="1"/>
  <c r="K24" i="1"/>
  <c r="X24" i="1" s="1"/>
  <c r="AM23" i="1"/>
  <c r="K23" i="1"/>
  <c r="X23" i="1" s="1"/>
  <c r="AS23" i="1" s="1"/>
  <c r="AM22" i="1"/>
  <c r="K22" i="1"/>
  <c r="X22" i="1" s="1"/>
  <c r="AM20" i="1"/>
  <c r="K20" i="1"/>
  <c r="X20" i="1" s="1"/>
  <c r="K19" i="1"/>
  <c r="X19" i="1" s="1"/>
  <c r="K18" i="1"/>
  <c r="X18" i="1" s="1"/>
  <c r="AM17" i="1"/>
  <c r="K17" i="1"/>
  <c r="X17" i="1" s="1"/>
  <c r="AM16" i="1"/>
  <c r="K16" i="1"/>
  <c r="X16" i="1" s="1"/>
  <c r="AS16" i="1" s="1"/>
  <c r="AM15" i="1"/>
  <c r="K15" i="1"/>
  <c r="X15" i="1" s="1"/>
  <c r="AM14" i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<sst xmlns="http://schemas.openxmlformats.org/spreadsheetml/2006/main" count="3347" uniqueCount="421">
  <si>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</si>
  <si>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</si>
  <si>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</si>
  <si>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</si>
  <si>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</si>
  <si>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</si>
  <si>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</si>
  <si>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</si>
  <si>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</si>
  <si>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</si>
  <si>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</si>
  <si>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</si>
  <si>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</si>
  <si>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</si>
  <si>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</si>
  <si>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</si>
  <si>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</si>
  <si>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</si>
  <si>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</si>
  <si>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</si>
  <si>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</si>
  <si>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</si>
  <si>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</si>
  <si>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</si>
  <si>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</si>
  <si>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</si>
  <si>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</si>
  <si>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</si>
  <si>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</si>
  <si>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</si>
  <si>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</si>
  <si>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</si>
  <si>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</si>
  <si>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</si>
  <si>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</si>
  <si>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</si>
  <si>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</si>
  <si>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</si>
  <si>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</si>
  <si>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</si>
  <si>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</si>
  <si>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</si>
  <si>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</si>
  <si>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</si>
  <si>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</si>
  <si>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</si>
  <si>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</si>
  <si>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</si>
  <si>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</si>
  <si>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</si>
  <si>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</si>
  <si>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</si>
  <si>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</si>
  <si>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</si>
  <si>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</si>
  <si>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</si>
  <si>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</si>
  <si>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</si>
  <si>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</si>
  <si>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</si>
  <si>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</si>
  <si>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</si>
  <si>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</si>
  <si>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</si>
  <si>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</si>
  <si>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</si>
  <si>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</si>
  <si>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</si>
  <si>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</si>
  <si>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</si>
  <si>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</si>
  <si>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</si>
  <si>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</si>
  <si>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</si>
  <si>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</si>
  <si>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</si>
  <si>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</si>
  <si>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</si>
  <si>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</si>
  <si>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</si>
  <si>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</si>
  <si>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</si>
  <si>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</si>
  <si>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</si>
  <si>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</si>
  <si>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</si>
  <si>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</si>
  <si>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</si>
  <si>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</si>
  <si>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</si>
  <si>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</si>
  <si>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</si>
  <si>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</si>
  <si>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</si>
  <si>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</si>
  <si>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</si>
  <si>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</si>
  <si>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</si>
  <si>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</si>
  <si>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</si>
  <si>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</si>
  <si>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</si>
  <si>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</si>
  <si>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</si>
  <si>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</si>
  <si>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</si>
  <si>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</si>
  <si>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</si>
  <si>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</si>
  <si>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</si>
  <si>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</si>
  <si>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</si>
  <si>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</si>
  <si>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</si>
  <si>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</si>
  <si>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</si>
  <si>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</si>
  <si>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</si>
  <si>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</si>
  <si>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</si>
  <si>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</si>
  <si>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</si>
  <si>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</si>
  <si>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</si>
  <si>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</si>
  <si>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</si>
  <si>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</si>
  <si>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</si>
  <si>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</si>
  <si>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</si>
  <si>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</si>
  <si>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</si>
  <si>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</si>
  <si>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</si>
  <si>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</si>
  <si>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</si>
  <si>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</si>
  <si>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</si>
  <si>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</si>
  <si>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</si>
  <si>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</si>
  <si>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</si>
  <si>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</si>
  <si>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</si>
  <si>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</si>
  <si>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</si>
  <si>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</si>
  <si>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</si>
  <si>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</si>
  <si>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</si>
  <si>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</si>
  <si>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</si>
  <si>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</si>
  <si>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</si>
  <si>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</si>
  <si>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</si>
  <si>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</si>
  <si>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</si>
  <si>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</si>
  <si>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</si>
  <si>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</si>
  <si>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</si>
  <si>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</si>
  <si>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</si>
  <si>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</si>
  <si>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</si>
  <si>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</si>
  <si>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</si>
  <si>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</si>
  <si>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</si>
  <si>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</si>
  <si>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</si>
  <si>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</si>
  <si>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</si>
  <si>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</si>
  <si>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</si>
  <si>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</si>
  <si>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</si>
  <si>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</si>
  <si>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</si>
  <si>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</si>
  <si>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</si>
  <si>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</si>
  <si>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</si>
  <si>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</si>
  <si>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</si>
  <si>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</si>
  <si>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</si>
  <si>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</si>
  <si>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</si>
  <si>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</si>
  <si>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</si>
  <si>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</si>
  <si>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</si>
  <si>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</si>
  <si>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</si>
  <si>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</si>
  <si>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</si>
  <si>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</si>
  <si>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</si>
  <si>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</si>
  <si>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</si>
  <si>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</si>
  <si>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</si>
  <si>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</si>
  <si>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</si>
  <si>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</si>
  <si>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</si>
  <si>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</si>
  <si>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</si>
  <si>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</si>
  <si>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</si>
  <si>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</si>
  <si>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</si>
  <si>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</si>
  <si>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Visual Merchandiser_NEW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</si>
  <si>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</si>
  <si>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</si>
  <si>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</si>
  <si>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</si>
  <si>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</si>
  <si>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</si>
  <si>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</si>
  <si>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</si>
  <si>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</si>
  <si>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</si>
  <si>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</si>
  <si>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</si>
  <si>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</si>
  <si>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</si>
  <si>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</si>
  <si>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</si>
  <si>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</si>
  <si>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Operational Support_NEW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</si>
  <si>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</si>
  <si>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</si>
  <si>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</si>
  <si>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</si>
  <si>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</si>
  <si>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</si>
  <si>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</si>
  <si>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</si>
  <si>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</si>
  <si>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</si>
  <si>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</si>
  <si>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</si>
  <si>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</si>
  <si>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</si>
  <si>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</si>
  <si>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</si>
  <si>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</si>
  <si>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</si>
  <si>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</si>
  <si>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</si>
  <si>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</si>
  <si>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</si>
  <si>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</si>
  <si>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</si>
  <si>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</si>
  <si>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</si>
  <si>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</si>
  <si>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</si>
  <si>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</si>
  <si>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</si>
  <si>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</si>
  <si>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</si>
  <si>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</si>
  <si>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</si>
  <si>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</si>
  <si>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</si>
  <si>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</si>
  <si>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</si>
  <si>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</si>
  <si>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</si>
  <si>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</si>
  <si>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</si>
  <si>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</si>
  <si>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</si>
  <si>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</si>
  <si>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</si>
  <si>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</si>
  <si>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</si>
  <si>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</si>
  <si>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</si>
  <si>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</si>
  <si>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Job Profile Not Avaible</t>
  </si>
  <si>
    <t>Test_1</t>
  </si>
  <si>
    <t>Braxton</t>
  </si>
  <si>
    <t>Armstrong</t>
  </si>
  <si>
    <t>Za</t>
  </si>
  <si>
    <t>5 Days</t>
  </si>
  <si>
    <t>291 Apprenticeship</t>
  </si>
  <si>
    <t>GHE456123</t>
  </si>
  <si>
    <t>01/01/2019</t>
  </si>
  <si>
    <t>Department/Section is required to have a value.(Not a Correct Department Section)</t>
  </si>
  <si>
    <t>End Employement Date ShoulD N/a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</si>
  <si>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</si>
  <si>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</si>
  <si>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</si>
  <si>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</si>
  <si>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</si>
  <si>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</si>
  <si>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</si>
  <si>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</si>
  <si>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 xml:space="preserve">Test failed for 'Davion Hintz' Employee:{undefined}TimeoutError: locator.click: Timeout 30000ms exceeded.
Call log:
  [2m- waiting for getByLabel('Work Shift')[22m
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</si>
  <si>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</si>
  <si>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</si>
  <si>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</si>
  <si>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</si>
  <si>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</si>
  <si>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</si>
  <si>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</si>
  <si>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</si>
  <si>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</si>
  <si>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</si>
  <si>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</si>
  <si>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</si>
  <si>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</si>
  <si>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</si>
  <si>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</si>
  <si>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</si>
  <si>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 xml:space="preserve">Test failed for 'Astrid Rosenbaum' Employee:{}TimeoutError: locator.click: Timeout 30000ms exceeded.
Call log:
  [2m- waiting for locator('//label[contains(.,\'Date Employee Signed\')]/parent::div/following-sibling::div/descendant::input[@data-automation-id=\'dateSectionDay-input\']')[22m
[2m  -   locator resolved to &lt;input min="1" max="31" value="" width="2ch" tabindex="…/&gt;[22m
[2m  - attempting click action[22m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data-automation-label="All" data-automation-id="…&gt;All&lt;/div&gt; from &lt;div data-popup-type="ck" data-popup-version="2" clas…&gt;…&lt;/div&gt; subtree intercepts pointer events[22m
[2m  - retrying click action, attempt #53[22m
[2m  -   waiting 500ms[22m
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</si>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</sst>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5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topLeftCell="A31" zoomScaleNormal="100" workbookViewId="0">
      <selection activeCell="B5" sqref="B5"/>
    </sheetView>
  </sheetViews>
  <sheetFormatPr defaultRowHeight="14.5" customHeight="1" x14ac:dyDescent="0.35"/>
  <cols>
    <col min="1" max="1" width="10.81640625" customWidth="1"/>
    <col min="2" max="2" width="104.45312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36.36328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21.08984375" style="1" customWidth="1"/>
    <col min="39" max="40" width="25.453125" customWidth="1"/>
    <col min="41" max="41" width="9.36328125" customWidth="1"/>
    <col min="42" max="42" width="41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90625" customWidth="1"/>
    <col min="60" max="60" width="23.90625" customWidth="1"/>
    <col min="61" max="61" width="25.81640625" customWidth="1"/>
    <col min="62" max="62" width="14" customWidth="1"/>
    <col min="63" max="63" width="30.632812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90625" customWidth="1"/>
    <col min="70" max="70" width="20.54296875" customWidth="1"/>
    <col min="71" max="71" width="31.90625" customWidth="1"/>
    <col min="75" max="75" width="20.54296875" customWidth="1"/>
    <col min="76" max="76" width="21.26953125" customWidth="1"/>
    <col min="77" max="77" width="26.36328125" customWidth="1"/>
  </cols>
  <sheetData>
    <row r="1" spans="1:77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14.5" customHeight="1" x14ac:dyDescent="0.35">
      <c r="A2" s="37" t="s">
        <v>286</v>
      </c>
      <c r="B2" s="38" t="s">
        <v>294</v>
      </c>
      <c r="C2" s="1" t="s">
        <v>148</v>
      </c>
      <c r="D2" s="39" t="s">
        <v>77</v>
      </c>
      <c r="E2" s="34" t="s">
        <v>78</v>
      </c>
      <c r="F2" s="40" t="s">
        <v>287</v>
      </c>
      <c r="G2" s="41" t="s">
        <v>288</v>
      </c>
      <c r="H2" s="31" t="s">
        <v>81</v>
      </c>
      <c r="I2" s="31" t="s">
        <v>82</v>
      </c>
      <c r="J2" s="31" t="s">
        <v>83</v>
      </c>
      <c r="K2" s="33">
        <f ca="1">TODAY()-31</f>
        <v>45690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45690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289</v>
      </c>
      <c r="AI2" s="18">
        <v>43831</v>
      </c>
      <c r="AJ2" s="18">
        <v>45293</v>
      </c>
      <c r="AK2" s="31" t="s">
        <v>136</v>
      </c>
      <c r="AL2" s="31" t="s">
        <v>290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45690</v>
      </c>
      <c r="AS2" s="43">
        <v>46012</v>
      </c>
      <c r="AT2" s="20">
        <f>AN2</f>
        <v>110</v>
      </c>
      <c r="AU2" s="31" t="s">
        <v>103</v>
      </c>
      <c r="AV2" s="31" t="s">
        <v>291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292</v>
      </c>
      <c r="BM2" s="31" t="s">
        <v>130</v>
      </c>
      <c r="BN2" s="44">
        <v>35591</v>
      </c>
      <c r="BO2" s="31" t="s">
        <v>131</v>
      </c>
      <c r="BP2" s="31" t="s">
        <v>293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14.5" customHeight="1" x14ac:dyDescent="0.5">
      <c r="A3" t="s">
        <v>302</v>
      </c>
      <c r="B3" t="s">
        <v>296</v>
      </c>
      <c r="C3" s="36" t="s">
        <v>76</v>
      </c>
      <c r="D3" s="39" t="s">
        <v>77</v>
      </c>
      <c r="E3" s="34" t="s">
        <v>78</v>
      </c>
      <c r="F3" t="s">
        <v>297</v>
      </c>
      <c r="G3" t="s">
        <v>298</v>
      </c>
      <c r="H3" s="47" t="s">
        <v>81</v>
      </c>
      <c r="I3" s="47" t="s">
        <v>82</v>
      </c>
      <c r="J3" s="47" t="s">
        <v>83</v>
      </c>
      <c r="K3" s="48">
        <f ca="1">TODAY()-31</f>
        <v>45690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45690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289</v>
      </c>
      <c r="AI3" s="48">
        <v>43831</v>
      </c>
      <c r="AJ3" s="48">
        <v>45293</v>
      </c>
      <c r="AK3" s="56" t="s">
        <v>299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45690</v>
      </c>
      <c r="AS3" s="61">
        <f ca="1">X3</f>
        <v>45690</v>
      </c>
      <c r="AT3" s="58" t="str">
        <f>AM3</f>
        <v>N/A</v>
      </c>
      <c r="AU3" s="59" t="s">
        <v>103</v>
      </c>
      <c r="AV3" s="62" t="s">
        <v>300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301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14.5" customHeight="1" x14ac:dyDescent="0.35">
      <c r="A4" t="s">
        <v>251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252</v>
      </c>
      <c r="G4" t="s">
        <v>253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45690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45690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45690</v>
      </c>
      <c r="AS4" s="33">
        <f ca="1">X4</f>
        <v>45690</v>
      </c>
      <c r="AT4" s="34" t="str">
        <f t="shared" ref="AT4" si="2">AM4</f>
        <v>N/A</v>
      </c>
      <c r="AU4" s="34" t="s">
        <v>103</v>
      </c>
      <c r="AV4" s="34" t="s">
        <v>254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255</v>
      </c>
      <c r="BM4" s="31" t="s">
        <v>130</v>
      </c>
      <c r="BN4" s="44">
        <v>35591</v>
      </c>
      <c r="BO4" s="31" t="s">
        <v>131</v>
      </c>
      <c r="BP4" s="31" t="s">
        <v>293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14.5" customHeight="1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45690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45690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7" ca="1" si="5">TODAY()+365</f>
        <v>46086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45690</v>
      </c>
      <c r="AS5" s="33">
        <f ca="1">X5</f>
        <v>45690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14.5" customHeight="1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45690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45690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46086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45690</v>
      </c>
      <c r="AS6" s="33">
        <f ca="1">X6</f>
        <v>45690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293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14.5" customHeight="1" x14ac:dyDescent="0.5">
      <c r="A7" t="s">
        <v>256</v>
      </c>
      <c r="B7" t="s">
        <v>259</v>
      </c>
      <c r="C7" s="36" t="s">
        <v>76</v>
      </c>
      <c r="D7" s="30" t="s">
        <v>77</v>
      </c>
      <c r="E7" t="s">
        <v>78</v>
      </c>
      <c r="F7" t="s">
        <v>260</v>
      </c>
      <c r="G7" t="s">
        <v>261</v>
      </c>
      <c r="H7" s="31" t="s">
        <v>81</v>
      </c>
      <c r="I7" s="32" t="s">
        <v>82</v>
      </c>
      <c r="J7" s="32" t="s">
        <v>83</v>
      </c>
      <c r="K7" s="33">
        <f t="shared" ca="1" si="3"/>
        <v>45690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45690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262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45690</v>
      </c>
      <c r="AS7" s="33">
        <f t="shared" ref="AS7:AS9" ca="1" si="7">X7</f>
        <v>45690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263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14.5" customHeight="1" x14ac:dyDescent="0.35">
      <c r="A8" t="s">
        <v>257</v>
      </c>
      <c r="B8" t="s">
        <v>264</v>
      </c>
      <c r="C8" s="36" t="s">
        <v>76</v>
      </c>
      <c r="D8" s="30" t="s">
        <v>77</v>
      </c>
      <c r="E8" t="s">
        <v>78</v>
      </c>
      <c r="F8" t="s">
        <v>265</v>
      </c>
      <c r="G8" t="s">
        <v>266</v>
      </c>
      <c r="H8" s="31" t="s">
        <v>81</v>
      </c>
      <c r="I8" s="32" t="s">
        <v>82</v>
      </c>
      <c r="J8" s="32" t="s">
        <v>83</v>
      </c>
      <c r="K8" s="33">
        <f t="shared" ca="1" si="3"/>
        <v>45690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45690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45690</v>
      </c>
      <c r="AS8" s="33">
        <f t="shared" ca="1" si="7"/>
        <v>45690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267</v>
      </c>
      <c r="BM8" s="31" t="s">
        <v>130</v>
      </c>
      <c r="BN8" s="44">
        <v>35591</v>
      </c>
      <c r="BO8" s="31" t="s">
        <v>131</v>
      </c>
      <c r="BP8" s="31" t="s">
        <v>293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14.5" customHeight="1" x14ac:dyDescent="0.5">
      <c r="A9" t="s">
        <v>258</v>
      </c>
      <c r="B9" t="s">
        <v>268</v>
      </c>
      <c r="C9" s="36" t="s">
        <v>76</v>
      </c>
      <c r="D9" s="30" t="s">
        <v>77</v>
      </c>
      <c r="E9" t="s">
        <v>78</v>
      </c>
      <c r="F9" t="s">
        <v>269</v>
      </c>
      <c r="G9" t="s">
        <v>270</v>
      </c>
      <c r="H9" s="31" t="s">
        <v>81</v>
      </c>
      <c r="I9" s="32" t="s">
        <v>82</v>
      </c>
      <c r="J9" s="32" t="s">
        <v>83</v>
      </c>
      <c r="K9" s="33">
        <f t="shared" ca="1" si="3"/>
        <v>45690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45690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271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45690</v>
      </c>
      <c r="AS9" s="33">
        <f t="shared" ca="1" si="7"/>
        <v>45690</v>
      </c>
      <c r="AT9" s="34" t="str">
        <f t="shared" si="8"/>
        <v>N/A</v>
      </c>
      <c r="AU9" s="34" t="s">
        <v>103</v>
      </c>
      <c r="AV9" s="34" t="s">
        <v>272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273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14.5" customHeight="1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45690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45690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46086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45690</v>
      </c>
      <c r="AS10" s="33">
        <f t="shared" ref="AS10:AS53" ca="1" si="10">X10</f>
        <v>45690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293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14.5" customHeight="1" x14ac:dyDescent="0.5">
      <c r="A11" t="s">
        <v>274</v>
      </c>
      <c r="B11" t="s">
        <v>275</v>
      </c>
      <c r="C11" s="36" t="s">
        <v>76</v>
      </c>
      <c r="D11" s="30" t="s">
        <v>77</v>
      </c>
      <c r="E11" t="s">
        <v>78</v>
      </c>
      <c r="F11" t="s">
        <v>276</v>
      </c>
      <c r="G11" t="s">
        <v>277</v>
      </c>
      <c r="H11" s="31" t="s">
        <v>81</v>
      </c>
      <c r="I11" s="32" t="s">
        <v>82</v>
      </c>
      <c r="J11" s="32" t="s">
        <v>83</v>
      </c>
      <c r="K11" s="33">
        <f t="shared" ca="1" si="3"/>
        <v>45690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45690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45690</v>
      </c>
      <c r="AS11" s="33">
        <f t="shared" ca="1" si="10"/>
        <v>45690</v>
      </c>
      <c r="AT11" s="34" t="str">
        <f t="shared" ref="AT11" si="11">AM11</f>
        <v>N/A</v>
      </c>
      <c r="AU11" s="34" t="s">
        <v>103</v>
      </c>
      <c r="AV11" s="34" t="s">
        <v>278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279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14.5" customHeight="1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45690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45690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46086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45690</v>
      </c>
      <c r="AS12" s="33">
        <f t="shared" ca="1" si="10"/>
        <v>45690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293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14.5" customHeight="1" x14ac:dyDescent="0.5">
      <c r="A13" t="s">
        <v>147</v>
      </c>
      <c r="B13" t="s">
        <v>248</v>
      </c>
      <c r="C13" s="36" t="s">
        <v>76</v>
      </c>
      <c r="D13" s="30" t="s">
        <v>77</v>
      </c>
      <c r="E13" t="s">
        <v>78</v>
      </c>
      <c r="F13" t="s">
        <v>249</v>
      </c>
      <c r="G13" t="s">
        <v>250</v>
      </c>
      <c r="H13" s="31" t="s">
        <v>81</v>
      </c>
      <c r="I13" s="32" t="s">
        <v>82</v>
      </c>
      <c r="J13" s="32" t="s">
        <v>83</v>
      </c>
      <c r="K13" s="33">
        <f t="shared" ca="1" si="3"/>
        <v>45690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45690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46086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45690</v>
      </c>
      <c r="AS13" s="33">
        <f t="shared" ca="1" si="10"/>
        <v>45690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14.5" customHeight="1" x14ac:dyDescent="0.35">
      <c r="A14" t="s">
        <v>153</v>
      </c>
      <c r="B14" t="s">
        <v>295</v>
      </c>
      <c r="C14" s="1" t="s">
        <v>148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45690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45690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3">
        <f t="shared" ca="1" si="5"/>
        <v>46086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45690</v>
      </c>
      <c r="AS14" s="33">
        <f t="shared" ca="1" si="10"/>
        <v>45690</v>
      </c>
      <c r="AT14" s="33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293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14.5" customHeight="1" x14ac:dyDescent="0.5">
      <c r="A15" t="s">
        <v>160</v>
      </c>
      <c r="B15" t="s">
        <v>295</v>
      </c>
      <c r="C15" s="1" t="s">
        <v>148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45690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45690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3">
        <f t="shared" ca="1" si="5"/>
        <v>46086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45690</v>
      </c>
      <c r="AS15" s="33">
        <f t="shared" ca="1" si="10"/>
        <v>45690</v>
      </c>
      <c r="AT15" s="33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14.5" customHeight="1" x14ac:dyDescent="0.35">
      <c r="A16" t="s">
        <v>165</v>
      </c>
      <c r="B16" t="s">
        <v>295</v>
      </c>
      <c r="C16" s="1" t="s">
        <v>148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45690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45690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3">
        <f t="shared" ca="1" si="5"/>
        <v>46086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45690</v>
      </c>
      <c r="AS16" s="33">
        <f t="shared" ca="1" si="10"/>
        <v>45690</v>
      </c>
      <c r="AT16" s="33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293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14.5" customHeight="1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45690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45690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46086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45690</v>
      </c>
      <c r="AS17" s="33">
        <f t="shared" ca="1" si="10"/>
        <v>45690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14.5" customHeight="1" x14ac:dyDescent="0.35">
      <c r="A18" t="s">
        <v>176</v>
      </c>
      <c r="B18" t="s">
        <v>295</v>
      </c>
      <c r="C18" s="1" t="s">
        <v>148</v>
      </c>
      <c r="D18" s="30" t="s">
        <v>77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ca="1">TODAY()+60</f>
        <v>45781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45781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33" t="s">
        <v>102</v>
      </c>
      <c r="AN18" s="34">
        <v>110</v>
      </c>
      <c r="AO18" s="34" t="s">
        <v>99</v>
      </c>
      <c r="AP18" s="34" t="s">
        <v>100</v>
      </c>
      <c r="AQ18" s="34" t="s">
        <v>101</v>
      </c>
      <c r="AR18" s="33">
        <f t="shared" ca="1" si="9"/>
        <v>45781</v>
      </c>
      <c r="AS18" s="33">
        <f t="shared" ca="1" si="10"/>
        <v>45781</v>
      </c>
      <c r="AT18" s="33" t="s">
        <v>102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293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14.5" customHeight="1" x14ac:dyDescent="0.5">
      <c r="A19" t="s">
        <v>181</v>
      </c>
      <c r="B19" t="s">
        <v>295</v>
      </c>
      <c r="C19" s="1" t="s">
        <v>148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ref="K19:K26" ca="1" si="12">TODAY()-31</f>
        <v>45690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45690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33" t="s">
        <v>102</v>
      </c>
      <c r="AN19" s="34">
        <v>110</v>
      </c>
      <c r="AO19" s="34" t="s">
        <v>99</v>
      </c>
      <c r="AP19" s="34" t="s">
        <v>100</v>
      </c>
      <c r="AQ19" s="34" t="s">
        <v>101</v>
      </c>
      <c r="AR19" s="33">
        <f t="shared" ca="1" si="9"/>
        <v>45690</v>
      </c>
      <c r="AS19" s="33">
        <f t="shared" ca="1" si="10"/>
        <v>45690</v>
      </c>
      <c r="AT19" s="33" t="s">
        <v>102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14.5" customHeight="1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2"/>
        <v>45690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45690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46086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45690</v>
      </c>
      <c r="AS20" s="33">
        <f t="shared" ca="1" si="10"/>
        <v>45690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293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14.5" customHeight="1" x14ac:dyDescent="0.5">
      <c r="A21" t="s">
        <v>280</v>
      </c>
      <c r="B21" t="s">
        <v>281</v>
      </c>
      <c r="C21" s="36" t="s">
        <v>76</v>
      </c>
      <c r="D21" s="30" t="s">
        <v>77</v>
      </c>
      <c r="E21" t="s">
        <v>78</v>
      </c>
      <c r="F21" t="s">
        <v>282</v>
      </c>
      <c r="G21" t="s">
        <v>283</v>
      </c>
      <c r="H21" s="34" t="s">
        <v>81</v>
      </c>
      <c r="I21" s="34" t="s">
        <v>82</v>
      </c>
      <c r="J21" s="34" t="s">
        <v>83</v>
      </c>
      <c r="K21" s="33">
        <f t="shared" ca="1" si="12"/>
        <v>45690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45690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45690</v>
      </c>
      <c r="AS21" s="33">
        <f t="shared" ca="1" si="10"/>
        <v>45690</v>
      </c>
      <c r="AT21" s="34" t="str">
        <f t="shared" ref="AT21" si="13">AM21</f>
        <v>N/A</v>
      </c>
      <c r="AU21" s="34" t="s">
        <v>103</v>
      </c>
      <c r="AV21" s="34" t="s">
        <v>246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284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14.5" customHeight="1" x14ac:dyDescent="0.35">
      <c r="A22" t="s">
        <v>192</v>
      </c>
      <c r="B22" t="s">
        <v>295</v>
      </c>
      <c r="C22" s="1" t="s">
        <v>148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2"/>
        <v>45690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45690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3">
        <f t="shared" ref="AM22:AM28" ca="1" si="14">TODAY()+365</f>
        <v>46086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45690</v>
      </c>
      <c r="AS22" s="33">
        <f t="shared" ca="1" si="10"/>
        <v>45690</v>
      </c>
      <c r="AT22" s="33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293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14.5" customHeight="1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2"/>
        <v>45690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45690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ca="1" si="14"/>
        <v>46086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45690</v>
      </c>
      <c r="AS23" s="33">
        <f t="shared" ca="1" si="10"/>
        <v>45690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14.5" customHeight="1" x14ac:dyDescent="0.35">
      <c r="A24" t="s">
        <v>201</v>
      </c>
      <c r="B24" t="s">
        <v>295</v>
      </c>
      <c r="C24" s="1" t="s">
        <v>148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2"/>
        <v>45690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45690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3">
        <f t="shared" ca="1" si="14"/>
        <v>46086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45690</v>
      </c>
      <c r="AS24" s="33">
        <f t="shared" ca="1" si="10"/>
        <v>45690</v>
      </c>
      <c r="AT24" s="33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293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14.5" customHeight="1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2"/>
        <v>45690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45690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4"/>
        <v>46086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45690</v>
      </c>
      <c r="AS25" s="33">
        <f t="shared" ca="1" si="10"/>
        <v>45690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14.5" customHeight="1" x14ac:dyDescent="0.35">
      <c r="A26" t="s">
        <v>212</v>
      </c>
      <c r="B26" t="s">
        <v>285</v>
      </c>
      <c r="C26" s="1" t="s">
        <v>148</v>
      </c>
      <c r="D26" s="30" t="s">
        <v>77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2"/>
        <v>45690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45690</v>
      </c>
      <c r="Y26" s="34" t="s">
        <v>91</v>
      </c>
      <c r="Z26" s="34" t="s">
        <v>92</v>
      </c>
      <c r="AA26" s="34" t="s">
        <v>93</v>
      </c>
      <c r="AB26" s="34" t="s">
        <v>215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4"/>
        <v>46086</v>
      </c>
      <c r="AN26" s="34">
        <v>110</v>
      </c>
      <c r="AO26" s="34" t="s">
        <v>99</v>
      </c>
      <c r="AP26" s="34" t="s">
        <v>100</v>
      </c>
      <c r="AQ26" s="34" t="s">
        <v>101</v>
      </c>
      <c r="AR26" s="33">
        <f t="shared" ca="1" si="9"/>
        <v>45690</v>
      </c>
      <c r="AS26" s="33">
        <f t="shared" ca="1" si="10"/>
        <v>45690</v>
      </c>
      <c r="AT26" s="33" t="s">
        <v>102</v>
      </c>
      <c r="AU26" s="34" t="s">
        <v>103</v>
      </c>
      <c r="AV26" s="34" t="s">
        <v>216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217</v>
      </c>
      <c r="BM26" s="31" t="s">
        <v>130</v>
      </c>
      <c r="BN26" s="44">
        <v>35591</v>
      </c>
      <c r="BO26" s="31" t="s">
        <v>131</v>
      </c>
      <c r="BP26" s="31" t="s">
        <v>293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14.5" customHeight="1" x14ac:dyDescent="0.5">
      <c r="A27" t="s">
        <v>218</v>
      </c>
      <c r="B27" t="s">
        <v>285</v>
      </c>
      <c r="C27" s="1" t="s">
        <v>148</v>
      </c>
      <c r="D27" s="30" t="s">
        <v>77</v>
      </c>
      <c r="E27" t="s">
        <v>78</v>
      </c>
      <c r="F27" t="s">
        <v>219</v>
      </c>
      <c r="G27" t="s">
        <v>220</v>
      </c>
      <c r="H27" s="34" t="s">
        <v>81</v>
      </c>
      <c r="I27" s="34" t="s">
        <v>82</v>
      </c>
      <c r="J27" s="34" t="s">
        <v>83</v>
      </c>
      <c r="K27" s="33">
        <f ca="1">TODAY()+91</f>
        <v>45812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45812</v>
      </c>
      <c r="Y27" s="34" t="s">
        <v>91</v>
      </c>
      <c r="Z27" s="34" t="s">
        <v>92</v>
      </c>
      <c r="AA27" s="34" t="s">
        <v>93</v>
      </c>
      <c r="AB27" s="34" t="s">
        <v>215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4"/>
        <v>46086</v>
      </c>
      <c r="AN27" s="34">
        <v>110</v>
      </c>
      <c r="AO27" s="34" t="s">
        <v>99</v>
      </c>
      <c r="AP27" s="34" t="s">
        <v>100</v>
      </c>
      <c r="AQ27" s="34" t="s">
        <v>101</v>
      </c>
      <c r="AR27" s="33">
        <f t="shared" ca="1" si="9"/>
        <v>45812</v>
      </c>
      <c r="AS27" s="33">
        <f t="shared" ca="1" si="10"/>
        <v>45812</v>
      </c>
      <c r="AT27" s="33" t="s">
        <v>102</v>
      </c>
      <c r="AU27" s="34" t="s">
        <v>103</v>
      </c>
      <c r="AV27" s="34" t="s">
        <v>216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221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14.5" customHeight="1" x14ac:dyDescent="0.35">
      <c r="A28" t="s">
        <v>222</v>
      </c>
      <c r="B28" t="s">
        <v>285</v>
      </c>
      <c r="C28" s="1" t="s">
        <v>148</v>
      </c>
      <c r="D28" s="30" t="s">
        <v>77</v>
      </c>
      <c r="E28" t="s">
        <v>78</v>
      </c>
      <c r="F28" t="s">
        <v>223</v>
      </c>
      <c r="G28" t="s">
        <v>224</v>
      </c>
      <c r="H28" s="34" t="s">
        <v>81</v>
      </c>
      <c r="I28" s="34" t="s">
        <v>82</v>
      </c>
      <c r="J28" s="34" t="s">
        <v>83</v>
      </c>
      <c r="K28" s="33">
        <f ca="1">TODAY()-31</f>
        <v>45690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45690</v>
      </c>
      <c r="Y28" s="34" t="s">
        <v>91</v>
      </c>
      <c r="Z28" s="34" t="s">
        <v>92</v>
      </c>
      <c r="AA28" s="34" t="s">
        <v>156</v>
      </c>
      <c r="AB28" s="34" t="s">
        <v>215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4"/>
        <v>46086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45690</v>
      </c>
      <c r="AS28" s="33">
        <f t="shared" ca="1" si="10"/>
        <v>45690</v>
      </c>
      <c r="AT28" s="33" t="s">
        <v>102</v>
      </c>
      <c r="AU28" s="34" t="s">
        <v>103</v>
      </c>
      <c r="AV28" s="34" t="s">
        <v>216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225</v>
      </c>
      <c r="BM28" s="31" t="s">
        <v>130</v>
      </c>
      <c r="BN28" s="44">
        <v>35591</v>
      </c>
      <c r="BO28" s="31" t="s">
        <v>131</v>
      </c>
      <c r="BP28" s="31" t="s">
        <v>293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14.5" customHeight="1" x14ac:dyDescent="0.5">
      <c r="A29" t="s">
        <v>226</v>
      </c>
      <c r="B29" t="s">
        <v>285</v>
      </c>
      <c r="C29" s="1" t="s">
        <v>148</v>
      </c>
      <c r="D29" s="30" t="s">
        <v>77</v>
      </c>
      <c r="E29" t="s">
        <v>78</v>
      </c>
      <c r="F29" t="s">
        <v>227</v>
      </c>
      <c r="G29" t="s">
        <v>228</v>
      </c>
      <c r="H29" s="34" t="s">
        <v>81</v>
      </c>
      <c r="I29" s="34" t="s">
        <v>82</v>
      </c>
      <c r="J29" s="34" t="s">
        <v>83</v>
      </c>
      <c r="K29" s="33">
        <f ca="1">TODAY()+91</f>
        <v>45812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45812</v>
      </c>
      <c r="Y29" s="34" t="s">
        <v>91</v>
      </c>
      <c r="Z29" s="34" t="s">
        <v>92</v>
      </c>
      <c r="AA29" s="34" t="s">
        <v>93</v>
      </c>
      <c r="AB29" s="34" t="s">
        <v>215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100</v>
      </c>
      <c r="AQ29" s="34" t="s">
        <v>101</v>
      </c>
      <c r="AR29" s="33">
        <f t="shared" ca="1" si="9"/>
        <v>45812</v>
      </c>
      <c r="AS29" s="33">
        <f t="shared" ca="1" si="10"/>
        <v>45812</v>
      </c>
      <c r="AT29" s="33" t="s">
        <v>102</v>
      </c>
      <c r="AU29" s="34" t="s">
        <v>103</v>
      </c>
      <c r="AV29" s="34" t="s">
        <v>216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229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14.5" customHeight="1" x14ac:dyDescent="0.35">
      <c r="A30" t="s">
        <v>230</v>
      </c>
      <c r="B30" t="s">
        <v>285</v>
      </c>
      <c r="C30" s="1" t="s">
        <v>148</v>
      </c>
      <c r="D30" s="30" t="s">
        <v>77</v>
      </c>
      <c r="E30" t="s">
        <v>78</v>
      </c>
      <c r="F30" t="s">
        <v>231</v>
      </c>
      <c r="G30" t="s">
        <v>232</v>
      </c>
      <c r="H30" s="34" t="s">
        <v>81</v>
      </c>
      <c r="I30" s="34" t="s">
        <v>82</v>
      </c>
      <c r="J30" s="34" t="s">
        <v>83</v>
      </c>
      <c r="K30" s="33">
        <f ca="1">TODAY()-31</f>
        <v>45690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45690</v>
      </c>
      <c r="Y30" s="34" t="s">
        <v>91</v>
      </c>
      <c r="Z30" s="34" t="s">
        <v>92</v>
      </c>
      <c r="AA30" s="34" t="s">
        <v>93</v>
      </c>
      <c r="AB30" s="34" t="s">
        <v>233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 t="s">
        <v>102</v>
      </c>
      <c r="AN30" s="34">
        <v>110</v>
      </c>
      <c r="AO30" s="34" t="s">
        <v>99</v>
      </c>
      <c r="AP30" s="34" t="s">
        <v>100</v>
      </c>
      <c r="AQ30" s="34" t="s">
        <v>101</v>
      </c>
      <c r="AR30" s="33">
        <f t="shared" ca="1" si="9"/>
        <v>45690</v>
      </c>
      <c r="AS30" s="33">
        <f t="shared" ca="1" si="10"/>
        <v>45690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234</v>
      </c>
      <c r="BM30" s="31" t="s">
        <v>130</v>
      </c>
      <c r="BN30" s="44">
        <v>35591</v>
      </c>
      <c r="BO30" s="31" t="s">
        <v>131</v>
      </c>
      <c r="BP30" s="31" t="s">
        <v>293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14.5" customHeight="1" x14ac:dyDescent="0.5">
      <c r="A31" t="s">
        <v>235</v>
      </c>
      <c r="B31" t="s">
        <v>285</v>
      </c>
      <c r="C31" s="1" t="s">
        <v>148</v>
      </c>
      <c r="D31" s="30" t="s">
        <v>77</v>
      </c>
      <c r="E31" t="s">
        <v>78</v>
      </c>
      <c r="F31" t="s">
        <v>236</v>
      </c>
      <c r="G31" t="s">
        <v>237</v>
      </c>
      <c r="H31" s="34" t="s">
        <v>81</v>
      </c>
      <c r="I31" s="34" t="s">
        <v>82</v>
      </c>
      <c r="J31" s="34" t="s">
        <v>83</v>
      </c>
      <c r="K31" s="33">
        <f ca="1">TODAY()-31</f>
        <v>45690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45690</v>
      </c>
      <c r="Y31" s="34" t="s">
        <v>91</v>
      </c>
      <c r="Z31" s="34" t="s">
        <v>92</v>
      </c>
      <c r="AA31" s="34" t="s">
        <v>93</v>
      </c>
      <c r="AB31" s="34" t="s">
        <v>233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46086</v>
      </c>
      <c r="AN31" s="34">
        <v>110</v>
      </c>
      <c r="AO31" s="34" t="s">
        <v>99</v>
      </c>
      <c r="AP31" s="34" t="s">
        <v>100</v>
      </c>
      <c r="AQ31" s="34" t="s">
        <v>101</v>
      </c>
      <c r="AR31" s="33">
        <f t="shared" ca="1" si="9"/>
        <v>45690</v>
      </c>
      <c r="AS31" s="33">
        <f t="shared" ca="1" si="10"/>
        <v>45690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238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14.5" customHeight="1" x14ac:dyDescent="0.35">
      <c r="A32" t="s">
        <v>239</v>
      </c>
      <c r="B32" t="s">
        <v>285</v>
      </c>
      <c r="C32" s="1" t="s">
        <v>148</v>
      </c>
      <c r="D32" s="30" t="s">
        <v>77</v>
      </c>
      <c r="E32" t="s">
        <v>78</v>
      </c>
      <c r="F32" t="s">
        <v>240</v>
      </c>
      <c r="G32" t="s">
        <v>241</v>
      </c>
      <c r="H32" s="34" t="s">
        <v>81</v>
      </c>
      <c r="I32" s="34" t="s">
        <v>82</v>
      </c>
      <c r="J32" s="34" t="s">
        <v>83</v>
      </c>
      <c r="K32" s="33">
        <f ca="1">TODAY()-31</f>
        <v>45690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45690</v>
      </c>
      <c r="Y32" s="34" t="s">
        <v>91</v>
      </c>
      <c r="Z32" s="34" t="s">
        <v>92</v>
      </c>
      <c r="AA32" s="34" t="s">
        <v>156</v>
      </c>
      <c r="AB32" s="34" t="s">
        <v>233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45690</v>
      </c>
      <c r="AS32" s="33">
        <f t="shared" ca="1" si="10"/>
        <v>45690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242</v>
      </c>
      <c r="BM32" s="31" t="s">
        <v>130</v>
      </c>
      <c r="BN32" s="44">
        <v>35591</v>
      </c>
      <c r="BO32" s="31" t="s">
        <v>131</v>
      </c>
      <c r="BP32" s="31" t="s">
        <v>293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14.5" customHeight="1" x14ac:dyDescent="0.5">
      <c r="A33" t="s">
        <v>243</v>
      </c>
      <c r="B33" t="s">
        <v>285</v>
      </c>
      <c r="C33" s="1" t="s">
        <v>148</v>
      </c>
      <c r="D33" s="30" t="s">
        <v>77</v>
      </c>
      <c r="E33" t="s">
        <v>78</v>
      </c>
      <c r="F33" t="s">
        <v>244</v>
      </c>
      <c r="G33" t="s">
        <v>245</v>
      </c>
      <c r="H33" s="34" t="s">
        <v>81</v>
      </c>
      <c r="I33" s="34" t="s">
        <v>82</v>
      </c>
      <c r="J33" s="34" t="s">
        <v>83</v>
      </c>
      <c r="K33" s="33">
        <f ca="1">TODAY()-31</f>
        <v>45690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45690</v>
      </c>
      <c r="Y33" s="34" t="s">
        <v>91</v>
      </c>
      <c r="Z33" s="34" t="s">
        <v>92</v>
      </c>
      <c r="AA33" s="34" t="s">
        <v>156</v>
      </c>
      <c r="AB33" s="34" t="s">
        <v>233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46086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45690</v>
      </c>
      <c r="AS33" s="33">
        <f t="shared" ca="1" si="10"/>
        <v>45690</v>
      </c>
      <c r="AT33" s="33" t="s">
        <v>102</v>
      </c>
      <c r="AU33" s="34" t="s">
        <v>103</v>
      </c>
      <c r="AV33" s="34" t="s">
        <v>246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247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14.5" customHeight="1" x14ac:dyDescent="0.35">
      <c r="A34" t="s">
        <v>303</v>
      </c>
      <c r="B34" t="s">
        <v>304</v>
      </c>
      <c r="C34" s="1" t="s">
        <v>148</v>
      </c>
      <c r="D34" s="67" t="s">
        <v>305</v>
      </c>
      <c r="E34" t="s">
        <v>78</v>
      </c>
      <c r="F34" t="s">
        <v>306</v>
      </c>
      <c r="G34" t="s">
        <v>307</v>
      </c>
      <c r="H34" s="34" t="s">
        <v>81</v>
      </c>
      <c r="I34" s="34" t="s">
        <v>82</v>
      </c>
      <c r="J34" s="34" t="s">
        <v>83</v>
      </c>
      <c r="K34" s="68">
        <f ca="1">TODAY()+14</f>
        <v>45735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45735</v>
      </c>
      <c r="Y34" s="34" t="s">
        <v>91</v>
      </c>
      <c r="Z34" s="34" t="s">
        <v>308</v>
      </c>
      <c r="AA34" s="34" t="s">
        <v>93</v>
      </c>
      <c r="AB34" s="34" t="s">
        <v>309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46086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45735</v>
      </c>
      <c r="AS34" s="68">
        <f t="shared" ca="1" si="10"/>
        <v>45735</v>
      </c>
      <c r="AT34" s="68">
        <f t="shared" ref="AT34:AT35" ca="1" si="15">AM34</f>
        <v>46086</v>
      </c>
      <c r="AU34" s="34" t="s">
        <v>310</v>
      </c>
      <c r="AV34" s="34" t="s">
        <v>311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312</v>
      </c>
      <c r="BM34" s="34" t="s">
        <v>130</v>
      </c>
      <c r="BN34" s="68">
        <v>35591</v>
      </c>
      <c r="BO34" s="34" t="s">
        <v>131</v>
      </c>
      <c r="BP34" s="34" t="s">
        <v>313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14.5" customHeight="1" x14ac:dyDescent="0.35">
      <c r="A35" t="s">
        <v>314</v>
      </c>
      <c r="B35" t="s">
        <v>315</v>
      </c>
      <c r="C35" s="1" t="s">
        <v>148</v>
      </c>
      <c r="D35" s="67" t="s">
        <v>305</v>
      </c>
      <c r="E35" t="s">
        <v>78</v>
      </c>
      <c r="F35" t="s">
        <v>316</v>
      </c>
      <c r="G35" t="s">
        <v>194</v>
      </c>
      <c r="H35" s="34" t="s">
        <v>81</v>
      </c>
      <c r="I35" s="34" t="s">
        <v>82</v>
      </c>
      <c r="J35" s="34" t="s">
        <v>83</v>
      </c>
      <c r="K35" s="68">
        <f ca="1">TODAY()-31</f>
        <v>45690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45690</v>
      </c>
      <c r="Y35" s="34" t="s">
        <v>91</v>
      </c>
      <c r="Z35" s="34" t="s">
        <v>317</v>
      </c>
      <c r="AA35" s="34" t="s">
        <v>156</v>
      </c>
      <c r="AB35" s="34" t="s">
        <v>309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68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45690</v>
      </c>
      <c r="AS35" s="68">
        <f t="shared" ca="1" si="10"/>
        <v>45690</v>
      </c>
      <c r="AT35" s="68" t="str">
        <f t="shared" si="15"/>
        <v>N/A</v>
      </c>
      <c r="AU35" s="34" t="s">
        <v>310</v>
      </c>
      <c r="AV35" s="34" t="s">
        <v>311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318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319</v>
      </c>
      <c r="BM35" s="34" t="s">
        <v>130</v>
      </c>
      <c r="BN35" s="68">
        <v>35591</v>
      </c>
      <c r="BO35" s="34" t="s">
        <v>131</v>
      </c>
      <c r="BP35" s="34" t="s">
        <v>313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14.5" customHeight="1" x14ac:dyDescent="0.35">
      <c r="A36" t="s">
        <v>320</v>
      </c>
      <c r="B36" t="s">
        <v>321</v>
      </c>
      <c r="C36" s="1" t="s">
        <v>148</v>
      </c>
      <c r="D36" s="67" t="s">
        <v>305</v>
      </c>
      <c r="E36" t="s">
        <v>78</v>
      </c>
      <c r="F36" t="s">
        <v>322</v>
      </c>
      <c r="G36" t="s">
        <v>323</v>
      </c>
      <c r="H36" s="34" t="s">
        <v>81</v>
      </c>
      <c r="I36" s="34" t="s">
        <v>82</v>
      </c>
      <c r="J36" s="34" t="s">
        <v>83</v>
      </c>
      <c r="K36" s="68">
        <f ca="1">TODAY()-31</f>
        <v>45690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45690</v>
      </c>
      <c r="Y36" s="34" t="s">
        <v>91</v>
      </c>
      <c r="Z36" s="34" t="s">
        <v>324</v>
      </c>
      <c r="AA36" s="34" t="s">
        <v>93</v>
      </c>
      <c r="AB36" s="34" t="s">
        <v>309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46086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45690</v>
      </c>
      <c r="AS36" s="68">
        <f t="shared" ca="1" si="10"/>
        <v>45690</v>
      </c>
      <c r="AT36" s="68">
        <f ca="1">TODAY()+365</f>
        <v>46086</v>
      </c>
      <c r="AU36" s="34" t="s">
        <v>310</v>
      </c>
      <c r="AV36" s="34" t="s">
        <v>311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325</v>
      </c>
      <c r="BM36" s="34" t="s">
        <v>130</v>
      </c>
      <c r="BN36" s="68">
        <v>35591</v>
      </c>
      <c r="BO36" s="34" t="s">
        <v>131</v>
      </c>
      <c r="BP36" s="34" t="s">
        <v>313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14.5" customHeight="1" x14ac:dyDescent="0.35">
      <c r="A37" t="s">
        <v>326</v>
      </c>
      <c r="B37" t="s">
        <v>327</v>
      </c>
      <c r="C37" s="1" t="s">
        <v>148</v>
      </c>
      <c r="D37" s="67" t="s">
        <v>305</v>
      </c>
      <c r="E37" t="s">
        <v>78</v>
      </c>
      <c r="F37" t="s">
        <v>328</v>
      </c>
      <c r="G37" t="s">
        <v>329</v>
      </c>
      <c r="H37" s="34" t="s">
        <v>81</v>
      </c>
      <c r="I37" s="34" t="s">
        <v>82</v>
      </c>
      <c r="J37" s="34" t="s">
        <v>83</v>
      </c>
      <c r="K37" s="68">
        <f ca="1">TODAY()-31</f>
        <v>45690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45690</v>
      </c>
      <c r="Y37" s="34" t="s">
        <v>91</v>
      </c>
      <c r="Z37" s="34" t="s">
        <v>330</v>
      </c>
      <c r="AA37" s="34" t="s">
        <v>156</v>
      </c>
      <c r="AB37" s="34" t="s">
        <v>309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68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45690</v>
      </c>
      <c r="AS37" s="68">
        <f t="shared" ca="1" si="10"/>
        <v>45690</v>
      </c>
      <c r="AT37" s="68" t="s">
        <v>102</v>
      </c>
      <c r="AU37" s="34" t="s">
        <v>310</v>
      </c>
      <c r="AV37" s="34" t="s">
        <v>311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331</v>
      </c>
      <c r="BM37" s="34" t="s">
        <v>130</v>
      </c>
      <c r="BN37" s="68">
        <v>35591</v>
      </c>
      <c r="BO37" s="34" t="s">
        <v>131</v>
      </c>
      <c r="BP37" s="34" t="s">
        <v>313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14.5" customHeight="1" x14ac:dyDescent="0.35">
      <c r="A38" t="s">
        <v>332</v>
      </c>
      <c r="B38" t="s">
        <v>333</v>
      </c>
      <c r="C38" s="1" t="s">
        <v>148</v>
      </c>
      <c r="D38" s="67" t="s">
        <v>305</v>
      </c>
      <c r="E38" t="s">
        <v>78</v>
      </c>
      <c r="F38" t="s">
        <v>334</v>
      </c>
      <c r="G38" t="s">
        <v>335</v>
      </c>
      <c r="H38" s="34" t="s">
        <v>81</v>
      </c>
      <c r="I38" s="34" t="s">
        <v>82</v>
      </c>
      <c r="J38" s="34" t="s">
        <v>83</v>
      </c>
      <c r="K38" s="68">
        <f ca="1">TODAY()-31</f>
        <v>45690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45690</v>
      </c>
      <c r="Y38" s="34" t="s">
        <v>91</v>
      </c>
      <c r="Z38" s="34" t="s">
        <v>336</v>
      </c>
      <c r="AA38" s="34" t="s">
        <v>93</v>
      </c>
      <c r="AB38" s="34" t="s">
        <v>309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46086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45690</v>
      </c>
      <c r="AS38" s="68">
        <f t="shared" ca="1" si="10"/>
        <v>45690</v>
      </c>
      <c r="AT38" s="68">
        <f ca="1">TODAY()+365</f>
        <v>46086</v>
      </c>
      <c r="AU38" s="34" t="s">
        <v>310</v>
      </c>
      <c r="AV38" s="34" t="s">
        <v>311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337</v>
      </c>
      <c r="BM38" s="34" t="s">
        <v>130</v>
      </c>
      <c r="BN38" s="68">
        <v>35591</v>
      </c>
      <c r="BO38" s="34" t="s">
        <v>131</v>
      </c>
      <c r="BP38" s="34" t="s">
        <v>313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14.5" customHeight="1" x14ac:dyDescent="0.35">
      <c r="A39" t="s">
        <v>338</v>
      </c>
      <c r="B39" t="s">
        <v>339</v>
      </c>
      <c r="C39" s="1" t="s">
        <v>148</v>
      </c>
      <c r="D39" s="67" t="s">
        <v>305</v>
      </c>
      <c r="E39" t="s">
        <v>78</v>
      </c>
      <c r="F39" t="s">
        <v>340</v>
      </c>
      <c r="G39" t="s">
        <v>341</v>
      </c>
      <c r="H39" s="34" t="s">
        <v>81</v>
      </c>
      <c r="I39" s="34" t="s">
        <v>82</v>
      </c>
      <c r="J39" s="34" t="s">
        <v>83</v>
      </c>
      <c r="K39" s="68">
        <f ca="1">TODAY()-60</f>
        <v>45661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45661</v>
      </c>
      <c r="Y39" s="34" t="s">
        <v>91</v>
      </c>
      <c r="Z39" s="34" t="s">
        <v>342</v>
      </c>
      <c r="AA39" s="34" t="s">
        <v>156</v>
      </c>
      <c r="AB39" s="34" t="s">
        <v>309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68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45661</v>
      </c>
      <c r="AS39" s="68">
        <f t="shared" ca="1" si="10"/>
        <v>45661</v>
      </c>
      <c r="AT39" s="68" t="s">
        <v>102</v>
      </c>
      <c r="AU39" s="34" t="s">
        <v>310</v>
      </c>
      <c r="AV39" s="34" t="s">
        <v>311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343</v>
      </c>
      <c r="BM39" s="34" t="s">
        <v>130</v>
      </c>
      <c r="BN39" s="68">
        <v>35591</v>
      </c>
      <c r="BO39" s="34" t="s">
        <v>131</v>
      </c>
      <c r="BP39" s="34" t="s">
        <v>313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14.5" customHeight="1" x14ac:dyDescent="0.35">
      <c r="A40" t="s">
        <v>344</v>
      </c>
      <c r="B40" t="s">
        <v>345</v>
      </c>
      <c r="C40" s="1" t="s">
        <v>148</v>
      </c>
      <c r="D40" s="67" t="s">
        <v>305</v>
      </c>
      <c r="E40" t="s">
        <v>78</v>
      </c>
      <c r="F40" t="s">
        <v>346</v>
      </c>
      <c r="G40" t="s">
        <v>347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45690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45690</v>
      </c>
      <c r="Y40" s="34" t="s">
        <v>91</v>
      </c>
      <c r="Z40" s="34" t="s">
        <v>348</v>
      </c>
      <c r="AA40" s="34" t="s">
        <v>93</v>
      </c>
      <c r="AB40" s="34" t="s">
        <v>349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46086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45690</v>
      </c>
      <c r="AS40" s="68">
        <f t="shared" ca="1" si="10"/>
        <v>45690</v>
      </c>
      <c r="AT40" s="68">
        <f ca="1">TODAY()+365</f>
        <v>46086</v>
      </c>
      <c r="AU40" s="34" t="s">
        <v>310</v>
      </c>
      <c r="AV40" s="34" t="s">
        <v>311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350</v>
      </c>
      <c r="BM40" s="34" t="s">
        <v>130</v>
      </c>
      <c r="BN40" s="68">
        <v>35591</v>
      </c>
      <c r="BO40" s="34" t="s">
        <v>131</v>
      </c>
      <c r="BP40" s="34" t="s">
        <v>313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14.5" customHeight="1" x14ac:dyDescent="0.35">
      <c r="A41" t="s">
        <v>351</v>
      </c>
      <c r="B41" t="s">
        <v>352</v>
      </c>
      <c r="C41" s="1" t="s">
        <v>148</v>
      </c>
      <c r="D41" s="67" t="s">
        <v>305</v>
      </c>
      <c r="E41" t="s">
        <v>78</v>
      </c>
      <c r="F41" t="s">
        <v>353</v>
      </c>
      <c r="G41" t="s">
        <v>354</v>
      </c>
      <c r="H41" s="34" t="s">
        <v>81</v>
      </c>
      <c r="I41" s="34" t="s">
        <v>82</v>
      </c>
      <c r="J41" s="34" t="s">
        <v>83</v>
      </c>
      <c r="K41" s="68">
        <f t="shared" ca="1" si="16"/>
        <v>45690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45690</v>
      </c>
      <c r="Y41" s="34" t="s">
        <v>91</v>
      </c>
      <c r="Z41" s="34" t="s">
        <v>355</v>
      </c>
      <c r="AA41" s="34" t="s">
        <v>156</v>
      </c>
      <c r="AB41" s="34" t="s">
        <v>349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68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45690</v>
      </c>
      <c r="AS41" s="68">
        <f t="shared" ca="1" si="10"/>
        <v>45690</v>
      </c>
      <c r="AT41" s="68" t="s">
        <v>102</v>
      </c>
      <c r="AU41" s="34" t="s">
        <v>310</v>
      </c>
      <c r="AV41" s="34" t="s">
        <v>311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356</v>
      </c>
      <c r="BM41" s="34" t="s">
        <v>130</v>
      </c>
      <c r="BN41" s="68">
        <v>35591</v>
      </c>
      <c r="BO41" s="34" t="s">
        <v>131</v>
      </c>
      <c r="BP41" s="34" t="s">
        <v>313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14.5" customHeight="1" x14ac:dyDescent="0.35">
      <c r="A42" t="s">
        <v>357</v>
      </c>
      <c r="B42" t="s">
        <v>358</v>
      </c>
      <c r="C42" s="1" t="s">
        <v>148</v>
      </c>
      <c r="D42" s="67" t="s">
        <v>305</v>
      </c>
      <c r="E42" t="s">
        <v>78</v>
      </c>
      <c r="F42" t="s">
        <v>359</v>
      </c>
      <c r="G42" t="s">
        <v>360</v>
      </c>
      <c r="H42" s="34" t="s">
        <v>81</v>
      </c>
      <c r="I42" s="34" t="s">
        <v>82</v>
      </c>
      <c r="J42" s="34" t="s">
        <v>83</v>
      </c>
      <c r="K42" s="68">
        <f t="shared" ca="1" si="16"/>
        <v>45690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45690</v>
      </c>
      <c r="Y42" s="34" t="s">
        <v>91</v>
      </c>
      <c r="Z42" s="34" t="s">
        <v>361</v>
      </c>
      <c r="AA42" s="34" t="s">
        <v>93</v>
      </c>
      <c r="AB42" s="34" t="s">
        <v>362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46086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45690</v>
      </c>
      <c r="AS42" s="68">
        <f t="shared" ca="1" si="10"/>
        <v>45690</v>
      </c>
      <c r="AT42" s="68">
        <f ca="1">TODAY()+365</f>
        <v>46086</v>
      </c>
      <c r="AU42" s="34" t="s">
        <v>310</v>
      </c>
      <c r="AV42" s="34" t="s">
        <v>311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318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363</v>
      </c>
      <c r="BM42" s="34" t="s">
        <v>130</v>
      </c>
      <c r="BN42" s="68">
        <v>35591</v>
      </c>
      <c r="BO42" s="34" t="s">
        <v>131</v>
      </c>
      <c r="BP42" s="34" t="s">
        <v>313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14.5" customHeight="1" x14ac:dyDescent="0.35">
      <c r="A43" t="s">
        <v>364</v>
      </c>
      <c r="B43" t="s">
        <v>365</v>
      </c>
      <c r="C43" s="1" t="s">
        <v>148</v>
      </c>
      <c r="D43" s="67" t="s">
        <v>305</v>
      </c>
      <c r="E43" t="s">
        <v>78</v>
      </c>
      <c r="F43" t="s">
        <v>366</v>
      </c>
      <c r="G43" t="s">
        <v>367</v>
      </c>
      <c r="H43" s="34" t="s">
        <v>81</v>
      </c>
      <c r="I43" s="34" t="s">
        <v>82</v>
      </c>
      <c r="J43" s="34" t="s">
        <v>83</v>
      </c>
      <c r="K43" s="68">
        <f t="shared" ca="1" si="16"/>
        <v>45690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45690</v>
      </c>
      <c r="Y43" s="34" t="s">
        <v>91</v>
      </c>
      <c r="Z43" s="34" t="s">
        <v>368</v>
      </c>
      <c r="AA43" s="34" t="s">
        <v>156</v>
      </c>
      <c r="AB43" s="34" t="s">
        <v>362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68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45690</v>
      </c>
      <c r="AS43" s="68">
        <f t="shared" ca="1" si="10"/>
        <v>45690</v>
      </c>
      <c r="AT43" s="68" t="s">
        <v>102</v>
      </c>
      <c r="AU43" s="34" t="s">
        <v>310</v>
      </c>
      <c r="AV43" s="34" t="s">
        <v>311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369</v>
      </c>
      <c r="BM43" s="34" t="s">
        <v>130</v>
      </c>
      <c r="BN43" s="68">
        <v>35591</v>
      </c>
      <c r="BO43" s="34" t="s">
        <v>131</v>
      </c>
      <c r="BP43" s="34" t="s">
        <v>313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14.5" customHeight="1" x14ac:dyDescent="0.35">
      <c r="A44" t="s">
        <v>370</v>
      </c>
      <c r="C44" s="1" t="s">
        <v>148</v>
      </c>
      <c r="D44" s="67" t="s">
        <v>305</v>
      </c>
      <c r="E44" t="s">
        <v>78</v>
      </c>
      <c r="F44" t="s">
        <v>371</v>
      </c>
      <c r="G44" t="s">
        <v>372</v>
      </c>
      <c r="H44" s="34" t="s">
        <v>81</v>
      </c>
      <c r="I44" s="34" t="s">
        <v>82</v>
      </c>
      <c r="J44" s="34" t="s">
        <v>83</v>
      </c>
      <c r="K44" s="68">
        <f t="shared" ca="1" si="16"/>
        <v>45690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45690</v>
      </c>
      <c r="Y44" s="34" t="s">
        <v>91</v>
      </c>
      <c r="Z44" s="34" t="s">
        <v>318</v>
      </c>
      <c r="AA44" s="34" t="s">
        <v>93</v>
      </c>
      <c r="AB44" s="34" t="s">
        <v>373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46086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45690</v>
      </c>
      <c r="AS44" s="68">
        <f t="shared" ca="1" si="10"/>
        <v>45690</v>
      </c>
      <c r="AT44" s="68">
        <f ca="1">TODAY()+365</f>
        <v>46086</v>
      </c>
      <c r="AU44" s="34" t="s">
        <v>310</v>
      </c>
      <c r="AV44" s="34" t="s">
        <v>311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318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374</v>
      </c>
      <c r="BM44" s="34" t="s">
        <v>130</v>
      </c>
      <c r="BN44" s="68">
        <v>35591</v>
      </c>
      <c r="BO44" s="34" t="s">
        <v>131</v>
      </c>
      <c r="BP44" s="34" t="s">
        <v>313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14.5" customHeight="1" x14ac:dyDescent="0.35">
      <c r="A45" t="s">
        <v>375</v>
      </c>
      <c r="C45" s="1" t="s">
        <v>148</v>
      </c>
      <c r="D45" s="67" t="s">
        <v>305</v>
      </c>
      <c r="E45" t="s">
        <v>78</v>
      </c>
      <c r="F45" t="s">
        <v>376</v>
      </c>
      <c r="G45" t="s">
        <v>377</v>
      </c>
      <c r="H45" s="34" t="s">
        <v>81</v>
      </c>
      <c r="I45" s="34" t="s">
        <v>82</v>
      </c>
      <c r="J45" s="34" t="s">
        <v>83</v>
      </c>
      <c r="K45" s="68">
        <f t="shared" ca="1" si="16"/>
        <v>45690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45690</v>
      </c>
      <c r="Y45" s="34" t="s">
        <v>91</v>
      </c>
      <c r="Z45" s="34" t="s">
        <v>318</v>
      </c>
      <c r="AA45" s="34" t="s">
        <v>156</v>
      </c>
      <c r="AB45" s="34" t="s">
        <v>373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68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45690</v>
      </c>
      <c r="AS45" s="68">
        <f t="shared" ca="1" si="10"/>
        <v>45690</v>
      </c>
      <c r="AT45" s="68" t="s">
        <v>102</v>
      </c>
      <c r="AU45" s="34" t="s">
        <v>310</v>
      </c>
      <c r="AV45" s="34" t="s">
        <v>311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378</v>
      </c>
      <c r="BM45" s="34" t="s">
        <v>130</v>
      </c>
      <c r="BN45" s="68">
        <v>35591</v>
      </c>
      <c r="BO45" s="34" t="s">
        <v>131</v>
      </c>
      <c r="BP45" s="34" t="s">
        <v>313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14.5" customHeight="1" x14ac:dyDescent="0.35">
      <c r="A46" t="s">
        <v>379</v>
      </c>
      <c r="B46" t="s">
        <v>380</v>
      </c>
      <c r="C46" s="36" t="s">
        <v>76</v>
      </c>
      <c r="D46" s="30" t="s">
        <v>77</v>
      </c>
      <c r="E46" t="s">
        <v>78</v>
      </c>
      <c r="F46" t="s">
        <v>381</v>
      </c>
      <c r="G46" t="s">
        <v>232</v>
      </c>
      <c r="H46" s="34" t="s">
        <v>81</v>
      </c>
      <c r="I46" s="34" t="s">
        <v>82</v>
      </c>
      <c r="J46" s="34" t="s">
        <v>83</v>
      </c>
      <c r="K46" s="68">
        <f t="shared" ca="1" si="16"/>
        <v>45690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45690</v>
      </c>
      <c r="Y46" s="34" t="s">
        <v>91</v>
      </c>
      <c r="Z46" s="34" t="s">
        <v>92</v>
      </c>
      <c r="AA46" s="34" t="s">
        <v>93</v>
      </c>
      <c r="AB46" s="34" t="s">
        <v>382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46086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45690</v>
      </c>
      <c r="AS46" s="68">
        <f t="shared" ca="1" si="10"/>
        <v>45690</v>
      </c>
      <c r="AT46" s="68">
        <f ca="1">TODAY()+365</f>
        <v>46086</v>
      </c>
      <c r="AU46" s="34" t="s">
        <v>103</v>
      </c>
      <c r="AV46" s="34" t="s">
        <v>383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384</v>
      </c>
      <c r="BM46" s="34" t="s">
        <v>130</v>
      </c>
      <c r="BN46" s="68">
        <v>35591</v>
      </c>
      <c r="BO46" s="34" t="s">
        <v>131</v>
      </c>
      <c r="BP46" s="34" t="s">
        <v>313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14.5" customHeight="1" x14ac:dyDescent="0.35">
      <c r="A47" t="s">
        <v>385</v>
      </c>
      <c r="B47" t="s">
        <v>386</v>
      </c>
      <c r="C47" s="36" t="s">
        <v>76</v>
      </c>
      <c r="D47" s="30" t="s">
        <v>77</v>
      </c>
      <c r="E47" t="s">
        <v>78</v>
      </c>
      <c r="F47" t="s">
        <v>387</v>
      </c>
      <c r="G47" t="s">
        <v>388</v>
      </c>
      <c r="H47" s="34" t="s">
        <v>81</v>
      </c>
      <c r="I47" s="34" t="s">
        <v>82</v>
      </c>
      <c r="J47" s="34" t="s">
        <v>83</v>
      </c>
      <c r="K47" s="68">
        <f t="shared" ca="1" si="16"/>
        <v>45690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45690</v>
      </c>
      <c r="Y47" s="34" t="s">
        <v>91</v>
      </c>
      <c r="Z47" s="34" t="s">
        <v>92</v>
      </c>
      <c r="AA47" s="34" t="s">
        <v>93</v>
      </c>
      <c r="AB47" s="34" t="s">
        <v>382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46086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45690</v>
      </c>
      <c r="AS47" s="68">
        <f t="shared" ca="1" si="10"/>
        <v>45690</v>
      </c>
      <c r="AT47" s="68">
        <f ca="1">TODAY()+365</f>
        <v>46086</v>
      </c>
      <c r="AU47" s="34" t="s">
        <v>103</v>
      </c>
      <c r="AV47" s="34" t="s">
        <v>383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389</v>
      </c>
      <c r="BM47" s="34" t="s">
        <v>130</v>
      </c>
      <c r="BN47" s="68">
        <v>35591</v>
      </c>
      <c r="BO47" s="34" t="s">
        <v>131</v>
      </c>
      <c r="BP47" s="34" t="s">
        <v>313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14.5" customHeight="1" x14ac:dyDescent="0.35">
      <c r="A48" t="s">
        <v>390</v>
      </c>
      <c r="B48" t="s">
        <v>391</v>
      </c>
      <c r="C48" s="36" t="s">
        <v>76</v>
      </c>
      <c r="D48" s="30" t="s">
        <v>77</v>
      </c>
      <c r="E48" t="s">
        <v>78</v>
      </c>
      <c r="F48" t="s">
        <v>392</v>
      </c>
      <c r="G48" t="s">
        <v>393</v>
      </c>
      <c r="H48" s="34" t="s">
        <v>81</v>
      </c>
      <c r="I48" s="34" t="s">
        <v>82</v>
      </c>
      <c r="J48" s="34" t="s">
        <v>83</v>
      </c>
      <c r="K48" s="68">
        <f t="shared" ca="1" si="16"/>
        <v>45690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45690</v>
      </c>
      <c r="Y48" s="34" t="s">
        <v>91</v>
      </c>
      <c r="Z48" s="34" t="s">
        <v>92</v>
      </c>
      <c r="AA48" s="34" t="s">
        <v>156</v>
      </c>
      <c r="AB48" s="34" t="s">
        <v>382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45690</v>
      </c>
      <c r="AS48" s="68">
        <f t="shared" ca="1" si="10"/>
        <v>45690</v>
      </c>
      <c r="AT48" s="68" t="s">
        <v>102</v>
      </c>
      <c r="AU48" s="34" t="s">
        <v>103</v>
      </c>
      <c r="AV48" s="34" t="s">
        <v>383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394</v>
      </c>
      <c r="BM48" s="34" t="s">
        <v>130</v>
      </c>
      <c r="BN48" s="68">
        <v>35591</v>
      </c>
      <c r="BO48" s="34" t="s">
        <v>131</v>
      </c>
      <c r="BP48" s="34" t="s">
        <v>313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14.5" customHeight="1" x14ac:dyDescent="0.35">
      <c r="A49" t="s">
        <v>395</v>
      </c>
      <c r="B49" t="s">
        <v>396</v>
      </c>
      <c r="C49" s="36" t="s">
        <v>76</v>
      </c>
      <c r="D49" s="30" t="s">
        <v>77</v>
      </c>
      <c r="E49" t="s">
        <v>78</v>
      </c>
      <c r="F49" t="s">
        <v>397</v>
      </c>
      <c r="G49" t="s">
        <v>398</v>
      </c>
      <c r="H49" s="34" t="s">
        <v>81</v>
      </c>
      <c r="I49" s="34" t="s">
        <v>82</v>
      </c>
      <c r="J49" s="34" t="s">
        <v>83</v>
      </c>
      <c r="K49" s="68">
        <f t="shared" ca="1" si="16"/>
        <v>45690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45690</v>
      </c>
      <c r="Y49" s="34" t="s">
        <v>91</v>
      </c>
      <c r="Z49" s="34" t="s">
        <v>92</v>
      </c>
      <c r="AA49" s="34" t="s">
        <v>156</v>
      </c>
      <c r="AB49" s="34" t="s">
        <v>382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45690</v>
      </c>
      <c r="AS49" s="68">
        <f t="shared" ca="1" si="10"/>
        <v>45690</v>
      </c>
      <c r="AT49" s="68" t="s">
        <v>102</v>
      </c>
      <c r="AU49" s="34" t="s">
        <v>103</v>
      </c>
      <c r="AV49" s="34" t="s">
        <v>383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399</v>
      </c>
      <c r="BM49" s="34" t="s">
        <v>130</v>
      </c>
      <c r="BN49" s="68">
        <v>35591</v>
      </c>
      <c r="BO49" s="34" t="s">
        <v>131</v>
      </c>
      <c r="BP49" s="34" t="s">
        <v>313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14.5" customHeight="1" x14ac:dyDescent="0.35">
      <c r="A50" t="s">
        <v>400</v>
      </c>
      <c r="B50" t="s">
        <v>401</v>
      </c>
      <c r="C50" s="36" t="s">
        <v>76</v>
      </c>
      <c r="D50" s="30" t="s">
        <v>77</v>
      </c>
      <c r="E50" t="s">
        <v>78</v>
      </c>
      <c r="F50" t="s">
        <v>402</v>
      </c>
      <c r="G50" t="s">
        <v>403</v>
      </c>
      <c r="H50" s="34" t="s">
        <v>81</v>
      </c>
      <c r="I50" s="34" t="s">
        <v>82</v>
      </c>
      <c r="J50" s="34" t="s">
        <v>83</v>
      </c>
      <c r="K50" s="68">
        <f t="shared" ca="1" si="16"/>
        <v>45690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45690</v>
      </c>
      <c r="Y50" s="34" t="s">
        <v>91</v>
      </c>
      <c r="Z50" s="34" t="s">
        <v>92</v>
      </c>
      <c r="AA50" s="34" t="s">
        <v>93</v>
      </c>
      <c r="AB50" s="34" t="s">
        <v>404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46086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45690</v>
      </c>
      <c r="AS50" s="68">
        <f t="shared" ca="1" si="10"/>
        <v>45690</v>
      </c>
      <c r="AT50" s="68">
        <f ca="1">TODAY()+365</f>
        <v>46086</v>
      </c>
      <c r="AU50" s="34" t="s">
        <v>103</v>
      </c>
      <c r="AV50" s="34" t="s">
        <v>383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405</v>
      </c>
      <c r="BM50" s="34" t="s">
        <v>130</v>
      </c>
      <c r="BN50" s="68">
        <v>35591</v>
      </c>
      <c r="BO50" s="34" t="s">
        <v>131</v>
      </c>
      <c r="BP50" s="34" t="s">
        <v>313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14.5" customHeight="1" x14ac:dyDescent="0.35">
      <c r="A51" t="s">
        <v>406</v>
      </c>
      <c r="B51" t="s">
        <v>407</v>
      </c>
      <c r="C51" s="36" t="s">
        <v>76</v>
      </c>
      <c r="D51" s="30" t="s">
        <v>77</v>
      </c>
      <c r="E51" t="s">
        <v>78</v>
      </c>
      <c r="F51" t="s">
        <v>408</v>
      </c>
      <c r="G51" t="s">
        <v>409</v>
      </c>
      <c r="H51" s="34" t="s">
        <v>81</v>
      </c>
      <c r="I51" s="34" t="s">
        <v>82</v>
      </c>
      <c r="J51" s="34" t="s">
        <v>83</v>
      </c>
      <c r="K51" s="68">
        <f t="shared" ca="1" si="16"/>
        <v>45690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45690</v>
      </c>
      <c r="Y51" s="34" t="s">
        <v>91</v>
      </c>
      <c r="Z51" s="34" t="s">
        <v>92</v>
      </c>
      <c r="AA51" s="34" t="s">
        <v>93</v>
      </c>
      <c r="AB51" s="34" t="s">
        <v>404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46086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45690</v>
      </c>
      <c r="AS51" s="68">
        <f t="shared" ca="1" si="10"/>
        <v>45690</v>
      </c>
      <c r="AT51" s="68">
        <f ca="1">TODAY()+365</f>
        <v>46086</v>
      </c>
      <c r="AU51" s="34" t="s">
        <v>103</v>
      </c>
      <c r="AV51" s="34" t="s">
        <v>383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410</v>
      </c>
      <c r="BM51" s="34" t="s">
        <v>130</v>
      </c>
      <c r="BN51" s="68">
        <v>35591</v>
      </c>
      <c r="BO51" s="34" t="s">
        <v>131</v>
      </c>
      <c r="BP51" s="34" t="s">
        <v>313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14.5" customHeight="1" x14ac:dyDescent="0.35">
      <c r="A52" t="s">
        <v>411</v>
      </c>
      <c r="B52" t="s">
        <v>412</v>
      </c>
      <c r="C52" s="36" t="s">
        <v>76</v>
      </c>
      <c r="D52" s="30" t="s">
        <v>77</v>
      </c>
      <c r="E52" t="s">
        <v>78</v>
      </c>
      <c r="F52" t="s">
        <v>413</v>
      </c>
      <c r="G52" t="s">
        <v>414</v>
      </c>
      <c r="H52" s="34" t="s">
        <v>81</v>
      </c>
      <c r="I52" s="34" t="s">
        <v>82</v>
      </c>
      <c r="J52" s="34" t="s">
        <v>83</v>
      </c>
      <c r="K52" s="68">
        <f t="shared" ca="1" si="16"/>
        <v>45690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45690</v>
      </c>
      <c r="Y52" s="34" t="s">
        <v>91</v>
      </c>
      <c r="Z52" s="34" t="s">
        <v>92</v>
      </c>
      <c r="AA52" s="34" t="s">
        <v>156</v>
      </c>
      <c r="AB52" s="34" t="s">
        <v>404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45690</v>
      </c>
      <c r="AS52" s="68">
        <f t="shared" ca="1" si="10"/>
        <v>45690</v>
      </c>
      <c r="AT52" s="68" t="s">
        <v>102</v>
      </c>
      <c r="AU52" s="34" t="s">
        <v>103</v>
      </c>
      <c r="AV52" s="34" t="s">
        <v>383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415</v>
      </c>
      <c r="BM52" s="34" t="s">
        <v>130</v>
      </c>
      <c r="BN52" s="68">
        <v>35591</v>
      </c>
      <c r="BO52" s="34" t="s">
        <v>131</v>
      </c>
      <c r="BP52" s="34" t="s">
        <v>313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14.5" customHeight="1" x14ac:dyDescent="0.35">
      <c r="A53" t="s">
        <v>416</v>
      </c>
      <c r="B53" s="69" t="s">
        <v>417</v>
      </c>
      <c r="C53" s="36" t="s">
        <v>76</v>
      </c>
      <c r="D53" s="30" t="s">
        <v>77</v>
      </c>
      <c r="E53" t="s">
        <v>78</v>
      </c>
      <c r="F53" t="s">
        <v>418</v>
      </c>
      <c r="G53" t="s">
        <v>419</v>
      </c>
      <c r="H53" s="34" t="s">
        <v>81</v>
      </c>
      <c r="I53" s="34" t="s">
        <v>82</v>
      </c>
      <c r="J53" s="34" t="s">
        <v>83</v>
      </c>
      <c r="K53" s="68">
        <f t="shared" ca="1" si="16"/>
        <v>45690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45690</v>
      </c>
      <c r="Y53" s="34" t="s">
        <v>91</v>
      </c>
      <c r="Z53" s="34" t="s">
        <v>92</v>
      </c>
      <c r="AA53" s="34" t="s">
        <v>156</v>
      </c>
      <c r="AB53" s="34" t="s">
        <v>404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45690</v>
      </c>
      <c r="AS53" s="68">
        <f t="shared" ca="1" si="10"/>
        <v>45690</v>
      </c>
      <c r="AT53" s="68" t="s">
        <v>102</v>
      </c>
      <c r="AU53" s="34" t="s">
        <v>103</v>
      </c>
      <c r="AV53" s="34" t="s">
        <v>383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420</v>
      </c>
      <c r="BM53" s="34" t="s">
        <v>130</v>
      </c>
      <c r="BN53" s="68">
        <v>35591</v>
      </c>
      <c r="BO53" s="34" t="s">
        <v>131</v>
      </c>
      <c r="BP53" s="34" t="s">
        <v>313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/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2025-03-05T10:27:28Z</dcterms:modified>
</cp:coreProperties>
</file>