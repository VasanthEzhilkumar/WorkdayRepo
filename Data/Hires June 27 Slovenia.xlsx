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filterPrivacy="1"/>
  <xr:revisionPtr revIDLastSave="0" documentId="13_ncr:1_{11BB6D27-9F15-4BA5-A769-066548B3513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U30" i="1" l="1"/>
  <c r="BQ30" i="1" a="1"/>
  <c r="BQ30" i="1" s="1"/>
  <c r="BC30" i="1" a="1"/>
  <c r="BC30" i="1" s="1"/>
  <c r="AX30" i="1" a="1"/>
  <c r="AX30" i="1" s="1"/>
  <c r="AU30" i="1"/>
  <c r="AM30" i="1"/>
  <c r="AL30" i="1"/>
  <c r="AK30" i="1"/>
  <c r="AJ30" i="1"/>
  <c r="K30" i="1"/>
  <c r="BU29" i="1"/>
  <c r="BQ29" i="1" a="1"/>
  <c r="BQ29" i="1" s="1"/>
  <c r="BC29" i="1" a="1"/>
  <c r="BC29" i="1" s="1"/>
  <c r="AX29" i="1" a="1"/>
  <c r="AX29" i="1" s="1"/>
  <c r="AU29" i="1"/>
  <c r="AM29" i="1"/>
  <c r="AL29" i="1"/>
  <c r="AK29" i="1"/>
  <c r="AJ29" i="1"/>
  <c r="K29" i="1"/>
  <c r="BU28" i="1"/>
  <c r="BQ28" i="1" a="1"/>
  <c r="BQ28" i="1" s="1"/>
  <c r="BC28" i="1" a="1"/>
  <c r="BC28" i="1" s="1"/>
  <c r="AX28" i="1" a="1"/>
  <c r="AX28" i="1" s="1"/>
  <c r="AU28" i="1"/>
  <c r="AM28" i="1"/>
  <c r="AL28" i="1"/>
  <c r="AK28" i="1"/>
  <c r="AJ28" i="1"/>
  <c r="K28" i="1"/>
  <c r="BU27" i="1"/>
  <c r="BQ27" i="1"/>
  <c r="BQ27" i="1" a="1"/>
  <c r="BC27" i="1" a="1"/>
  <c r="BC27" i="1" s="1"/>
  <c r="AX27" i="1" a="1"/>
  <c r="AX27" i="1" s="1"/>
  <c r="AU27" i="1"/>
  <c r="AM27" i="1"/>
  <c r="AL27" i="1"/>
  <c r="AK27" i="1"/>
  <c r="AJ27" i="1"/>
  <c r="K27" i="1"/>
  <c r="BU26" i="1"/>
  <c r="BQ26" i="1" a="1"/>
  <c r="BQ26" i="1" s="1"/>
  <c r="BC26" i="1" a="1"/>
  <c r="BC26" i="1" s="1"/>
  <c r="AX26" i="1" a="1"/>
  <c r="AX26" i="1" s="1"/>
  <c r="AU26" i="1"/>
  <c r="AM26" i="1"/>
  <c r="AL26" i="1"/>
  <c r="AK26" i="1"/>
  <c r="AJ26" i="1"/>
  <c r="K26" i="1"/>
  <c r="BU25" i="1"/>
  <c r="BQ25" i="1" a="1"/>
  <c r="BQ25" i="1" s="1"/>
  <c r="BC25" i="1" a="1"/>
  <c r="BC25" i="1" s="1"/>
  <c r="AX25" i="1" a="1"/>
  <c r="AX25" i="1" s="1"/>
  <c r="AU25" i="1"/>
  <c r="AM25" i="1"/>
  <c r="AL25" i="1"/>
  <c r="AK25" i="1"/>
  <c r="AJ25" i="1"/>
  <c r="K25" i="1"/>
  <c r="BU24" i="1"/>
  <c r="BQ24" i="1" a="1"/>
  <c r="BQ24" i="1" s="1"/>
  <c r="BC24" i="1" a="1"/>
  <c r="BC24" i="1" s="1"/>
  <c r="AX24" i="1" a="1"/>
  <c r="AX24" i="1" s="1"/>
  <c r="AU24" i="1"/>
  <c r="AM24" i="1"/>
  <c r="AL24" i="1"/>
  <c r="AK24" i="1"/>
  <c r="AJ24" i="1"/>
  <c r="K24" i="1"/>
  <c r="BU23" i="1"/>
  <c r="BQ23" i="1" a="1"/>
  <c r="BQ23" i="1" s="1"/>
  <c r="BC23" i="1" a="1"/>
  <c r="BC23" i="1" s="1"/>
  <c r="AX23" i="1" a="1"/>
  <c r="AX23" i="1" s="1"/>
  <c r="AU23" i="1"/>
  <c r="AM23" i="1"/>
  <c r="AL23" i="1"/>
  <c r="AK23" i="1"/>
  <c r="AJ23" i="1"/>
  <c r="K23" i="1"/>
  <c r="BU22" i="1"/>
  <c r="BQ22" i="1" a="1"/>
  <c r="BQ22" i="1" s="1"/>
  <c r="BC22" i="1" a="1"/>
  <c r="BC22" i="1" s="1"/>
  <c r="AX22" i="1" a="1"/>
  <c r="AX22" i="1" s="1"/>
  <c r="AU22" i="1"/>
  <c r="AM22" i="1"/>
  <c r="AL22" i="1"/>
  <c r="AK22" i="1"/>
  <c r="AJ22" i="1"/>
  <c r="K22" i="1"/>
  <c r="BU21" i="1"/>
  <c r="BQ21" i="1" a="1"/>
  <c r="BQ21" i="1" s="1"/>
  <c r="BC21" i="1" a="1"/>
  <c r="BC21" i="1" s="1"/>
  <c r="AX21" i="1" a="1"/>
  <c r="AX21" i="1" s="1"/>
  <c r="AU21" i="1"/>
  <c r="AM21" i="1"/>
  <c r="AL21" i="1"/>
  <c r="AK21" i="1"/>
  <c r="AJ21" i="1"/>
  <c r="K21" i="1"/>
  <c r="BU20" i="1"/>
  <c r="BQ20" i="1" a="1"/>
  <c r="BQ20" i="1" s="1"/>
  <c r="BC20" i="1" a="1"/>
  <c r="BC20" i="1" s="1"/>
  <c r="AX20" i="1" a="1"/>
  <c r="AX20" i="1" s="1"/>
  <c r="AU20" i="1"/>
  <c r="AM20" i="1"/>
  <c r="AL20" i="1"/>
  <c r="AK20" i="1"/>
  <c r="AJ20" i="1"/>
  <c r="K20" i="1"/>
  <c r="BU19" i="1"/>
  <c r="BQ19" i="1" a="1"/>
  <c r="BQ19" i="1" s="1"/>
  <c r="BC19" i="1" a="1"/>
  <c r="BC19" i="1" s="1"/>
  <c r="AX19" i="1" a="1"/>
  <c r="AX19" i="1" s="1"/>
  <c r="AU19" i="1"/>
  <c r="AM19" i="1"/>
  <c r="AL19" i="1"/>
  <c r="AK19" i="1"/>
  <c r="AJ19" i="1"/>
  <c r="K19" i="1"/>
  <c r="BU18" i="1"/>
  <c r="BQ18" i="1" a="1"/>
  <c r="BQ18" i="1" s="1"/>
  <c r="BC18" i="1" a="1"/>
  <c r="BC18" i="1" s="1"/>
  <c r="AX18" i="1" a="1"/>
  <c r="AX18" i="1" s="1"/>
  <c r="AU18" i="1"/>
  <c r="AM18" i="1"/>
  <c r="AL18" i="1"/>
  <c r="AK18" i="1"/>
  <c r="AJ18" i="1"/>
  <c r="K18" i="1"/>
  <c r="BU17" i="1"/>
  <c r="BQ17" i="1" a="1"/>
  <c r="BQ17" i="1" s="1"/>
  <c r="BC17" i="1" a="1"/>
  <c r="BC17" i="1" s="1"/>
  <c r="AX17" i="1" a="1"/>
  <c r="AX17" i="1" s="1"/>
  <c r="AU17" i="1"/>
  <c r="AM17" i="1"/>
  <c r="AL17" i="1"/>
  <c r="AK17" i="1"/>
  <c r="AJ17" i="1"/>
  <c r="K17" i="1"/>
  <c r="BU16" i="1"/>
  <c r="BQ16" i="1" a="1"/>
  <c r="BQ16" i="1" s="1"/>
  <c r="BC16" i="1" a="1"/>
  <c r="BC16" i="1" s="1"/>
  <c r="AX16" i="1" a="1"/>
  <c r="AX16" i="1" s="1"/>
  <c r="AU16" i="1"/>
  <c r="AM16" i="1"/>
  <c r="AL16" i="1"/>
  <c r="AK16" i="1"/>
  <c r="AJ16" i="1"/>
  <c r="K16" i="1"/>
  <c r="BU15" i="1"/>
  <c r="BQ15" i="1" a="1"/>
  <c r="BQ15" i="1" s="1"/>
  <c r="BC15" i="1" a="1"/>
  <c r="BC15" i="1" s="1"/>
  <c r="AX15" i="1" a="1"/>
  <c r="AX15" i="1" s="1"/>
  <c r="AU15" i="1"/>
  <c r="AM15" i="1"/>
  <c r="AL15" i="1"/>
  <c r="AK15" i="1"/>
  <c r="AJ15" i="1"/>
  <c r="K15" i="1"/>
  <c r="BU14" i="1"/>
  <c r="BQ14" i="1" a="1"/>
  <c r="BQ14" i="1" s="1"/>
  <c r="BC14" i="1" a="1"/>
  <c r="BC14" i="1" s="1"/>
  <c r="AX14" i="1" a="1"/>
  <c r="AX14" i="1" s="1"/>
  <c r="AU14" i="1"/>
  <c r="AM14" i="1"/>
  <c r="AL14" i="1"/>
  <c r="AK14" i="1"/>
  <c r="AJ14" i="1"/>
  <c r="K14" i="1"/>
  <c r="BU13" i="1"/>
  <c r="BQ13" i="1" a="1"/>
  <c r="BQ13" i="1" s="1"/>
  <c r="BC13" i="1" a="1"/>
  <c r="BC13" i="1" s="1"/>
  <c r="AX13" i="1" a="1"/>
  <c r="AX13" i="1" s="1"/>
  <c r="AU13" i="1"/>
  <c r="AM13" i="1"/>
  <c r="AL13" i="1"/>
  <c r="AK13" i="1"/>
  <c r="AJ13" i="1"/>
  <c r="K13" i="1"/>
  <c r="BU12" i="1"/>
  <c r="BQ12" i="1" a="1"/>
  <c r="BQ12" i="1" s="1"/>
  <c r="BC12" i="1" a="1"/>
  <c r="BC12" i="1" s="1"/>
  <c r="AX12" i="1" a="1"/>
  <c r="AX12" i="1" s="1"/>
  <c r="AU12" i="1"/>
  <c r="AM12" i="1"/>
  <c r="AL12" i="1"/>
  <c r="AK12" i="1"/>
  <c r="AJ12" i="1"/>
  <c r="K12" i="1"/>
  <c r="BU11" i="1"/>
  <c r="BQ11" i="1" a="1"/>
  <c r="BQ11" i="1" s="1"/>
  <c r="BC11" i="1" a="1"/>
  <c r="BC11" i="1" s="1"/>
  <c r="AX11" i="1" a="1"/>
  <c r="AX11" i="1" s="1"/>
  <c r="AU11" i="1"/>
  <c r="AM11" i="1"/>
  <c r="AL11" i="1"/>
  <c r="AK11" i="1"/>
  <c r="AJ11" i="1"/>
  <c r="K11" i="1"/>
  <c r="BU10" i="1"/>
  <c r="BQ10" i="1" a="1"/>
  <c r="BQ10" i="1" s="1"/>
  <c r="BC10" i="1" a="1"/>
  <c r="BC10" i="1" s="1"/>
  <c r="AX10" i="1" a="1"/>
  <c r="AX10" i="1" s="1"/>
  <c r="AU10" i="1"/>
  <c r="AM10" i="1"/>
  <c r="AL10" i="1"/>
  <c r="AK10" i="1"/>
  <c r="AJ10" i="1"/>
  <c r="K10" i="1"/>
  <c r="BU9" i="1"/>
  <c r="BQ9" i="1" a="1"/>
  <c r="BQ9" i="1" s="1"/>
  <c r="BC9" i="1" a="1"/>
  <c r="BC9" i="1" s="1"/>
  <c r="AX9" i="1" a="1"/>
  <c r="AX9" i="1" s="1"/>
  <c r="AU9" i="1"/>
  <c r="AM9" i="1"/>
  <c r="AL9" i="1"/>
  <c r="AK9" i="1"/>
  <c r="AJ9" i="1"/>
  <c r="K9" i="1"/>
  <c r="BU8" i="1"/>
  <c r="BQ8" i="1" a="1"/>
  <c r="BQ8" i="1" s="1"/>
  <c r="BC8" i="1" a="1"/>
  <c r="BC8" i="1" s="1"/>
  <c r="AX8" i="1" a="1"/>
  <c r="AX8" i="1" s="1"/>
  <c r="AU8" i="1"/>
  <c r="AM8" i="1"/>
  <c r="AL8" i="1"/>
  <c r="AK8" i="1"/>
  <c r="AJ8" i="1"/>
  <c r="K8" i="1"/>
  <c r="BU7" i="1"/>
  <c r="BQ7" i="1" a="1"/>
  <c r="BQ7" i="1" s="1"/>
  <c r="BC7" i="1" a="1"/>
  <c r="BC7" i="1" s="1"/>
  <c r="AX7" i="1" a="1"/>
  <c r="AX7" i="1" s="1"/>
  <c r="AU7" i="1"/>
  <c r="AM7" i="1"/>
  <c r="AL7" i="1"/>
  <c r="AK7" i="1"/>
  <c r="AJ7" i="1"/>
  <c r="K7" i="1"/>
  <c r="BU6" i="1"/>
  <c r="BQ6" i="1" a="1"/>
  <c r="BQ6" i="1" s="1"/>
  <c r="BC6" i="1" a="1"/>
  <c r="BC6" i="1" s="1"/>
  <c r="AX6" i="1" a="1"/>
  <c r="AX6" i="1" s="1"/>
  <c r="AU6" i="1"/>
  <c r="AM6" i="1"/>
  <c r="AL6" i="1"/>
  <c r="AK6" i="1"/>
  <c r="AJ6" i="1"/>
  <c r="K6" i="1"/>
  <c r="BU5" i="1"/>
  <c r="BQ5" i="1" a="1"/>
  <c r="BQ5" i="1" s="1"/>
  <c r="BC5" i="1" a="1"/>
  <c r="BC5" i="1" s="1"/>
  <c r="AX5" i="1" a="1"/>
  <c r="AX5" i="1" s="1"/>
  <c r="AU5" i="1"/>
  <c r="AM5" i="1"/>
  <c r="AL5" i="1"/>
  <c r="AK5" i="1"/>
  <c r="AJ5" i="1"/>
  <c r="K5" i="1"/>
  <c r="BU4" i="1"/>
  <c r="BQ4" i="1" a="1"/>
  <c r="BQ4" i="1" s="1"/>
  <c r="BC4" i="1" a="1"/>
  <c r="BC4" i="1" s="1"/>
  <c r="AX4" i="1" a="1"/>
  <c r="AX4" i="1" s="1"/>
  <c r="AU4" i="1"/>
  <c r="AM4" i="1"/>
  <c r="AL4" i="1"/>
  <c r="AK4" i="1"/>
  <c r="AJ4" i="1"/>
  <c r="K4" i="1"/>
  <c r="BU3" i="1"/>
  <c r="BQ3" i="1" a="1"/>
  <c r="BQ3" i="1" s="1"/>
  <c r="BC3" i="1" a="1"/>
  <c r="BC3" i="1" s="1"/>
  <c r="AX3" i="1" a="1"/>
  <c r="AX3" i="1" s="1"/>
  <c r="AU3" i="1"/>
  <c r="AM3" i="1"/>
  <c r="AL3" i="1"/>
  <c r="AK3" i="1"/>
  <c r="AJ3" i="1"/>
  <c r="K3" i="1"/>
  <c r="BU2" i="1"/>
  <c r="BQ2" i="1" a="1"/>
  <c r="BQ2" i="1" s="1"/>
  <c r="BC2" i="1" a="1"/>
  <c r="BC2" i="1" s="1"/>
  <c r="AX2" i="1" a="1"/>
  <c r="AX2" i="1" s="1"/>
  <c r="AU2" i="1"/>
  <c r="AM2" i="1"/>
  <c r="AL2" i="1"/>
  <c r="AK2" i="1"/>
  <c r="AJ2" i="1"/>
  <c r="K2" i="1"/>
</calcChain>
</file>

<file path=xl/sharedStrings.xml><?xml version="1.0" encoding="utf-8"?>
<sst xmlns="http://schemas.openxmlformats.org/spreadsheetml/2006/main" count="1678" uniqueCount="210">
  <si>
    <t>TestCaseIDs</t>
  </si>
  <si>
    <t>EmployeeID</t>
  </si>
  <si>
    <t>TestStatus</t>
  </si>
  <si>
    <t>SupervisoryOrganisation</t>
  </si>
  <si>
    <t>Country</t>
  </si>
  <si>
    <t>GivenName</t>
  </si>
  <si>
    <t>FamilyName</t>
  </si>
  <si>
    <t>PhoneNumber</t>
  </si>
  <si>
    <t>PhoneDevice</t>
  </si>
  <si>
    <t>Type</t>
  </si>
  <si>
    <t>EffectiveDate</t>
  </si>
  <si>
    <t>AdressLine1</t>
  </si>
  <si>
    <t>AdressLine2</t>
  </si>
  <si>
    <t>City</t>
  </si>
  <si>
    <t>PostalCode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</si>
  <si>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</si>
  <si>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</si>
  <si>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</si>
  <si>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</si>
  <si>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</si>
  <si>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</si>
  <si>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</si>
  <si>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</si>
  <si>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</si>
  <si>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</si>
  <si>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</si>
  <si>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AdditionalJobClassifications</t>
  </si>
  <si>
    <t>WorkShift</t>
  </si>
  <si>
    <t>EndEmploymentDate</t>
  </si>
  <si>
    <t>ContractType</t>
  </si>
  <si>
    <t>Status</t>
  </si>
  <si>
    <t>ContractReason</t>
  </si>
  <si>
    <t>ContractStartDate</t>
  </si>
  <si>
    <t>DateEmployeeSigned</t>
  </si>
  <si>
    <t>DateEmployerSigned</t>
  </si>
  <si>
    <t>ContractEndDate</t>
  </si>
  <si>
    <t>CostCenter</t>
  </si>
  <si>
    <t>DepartmentSection1</t>
  </si>
  <si>
    <t>CollectiveAgreement</t>
  </si>
  <si>
    <t>ProfessionalCategory</t>
  </si>
  <si>
    <t>Level</t>
  </si>
  <si>
    <t>GradeProfile</t>
  </si>
  <si>
    <t>Step</t>
  </si>
  <si>
    <t>ProbationEndDate</t>
  </si>
  <si>
    <t>Country1</t>
  </si>
  <si>
    <t>NationalIDType1</t>
  </si>
  <si>
    <t>AddEditID1</t>
  </si>
  <si>
    <t>IssuedDate1</t>
  </si>
  <si>
    <t>ExpirationDate1</t>
  </si>
  <si>
    <t>Country2</t>
  </si>
  <si>
    <t>GovernmentIDType2</t>
  </si>
  <si>
    <t>AddEditID2</t>
  </si>
  <si>
    <t>IssuedDate2</t>
  </si>
  <si>
    <t>ExpirationDate2</t>
  </si>
  <si>
    <t>Gender</t>
  </si>
  <si>
    <t>DateOfBirth</t>
  </si>
  <si>
    <t>CitizenshipStatus</t>
  </si>
  <si>
    <t>PrimaryNationality</t>
  </si>
  <si>
    <t>BankName</t>
  </si>
  <si>
    <t>BankIdentificationCode</t>
  </si>
  <si>
    <t>AccountType</t>
  </si>
  <si>
    <t>IBAN</t>
  </si>
  <si>
    <t>NameOnAccount</t>
  </si>
  <si>
    <t>PassportIDType</t>
  </si>
  <si>
    <t>IdentificationNo</t>
  </si>
  <si>
    <t>IssuedDate</t>
  </si>
  <si>
    <t>ExpirationDate</t>
  </si>
  <si>
    <t>DateWhenMedicalExamTaken</t>
  </si>
  <si>
    <t>ExpirationDateOfTheExam</t>
  </si>
  <si>
    <t>ProposedPayGroupFinal</t>
  </si>
  <si>
    <t>SL-TIM-030-TC003</t>
  </si>
  <si>
    <t>Passed</t>
  </si>
  <si>
    <t>795 Recruitment (Zosig Depazi (10280602))</t>
  </si>
  <si>
    <t>Slovenia</t>
  </si>
  <si>
    <t>Angelita</t>
  </si>
  <si>
    <t>McLaughlin</t>
  </si>
  <si>
    <t xml:space="preserve">070-417-626 </t>
  </si>
  <si>
    <t>Landline</t>
  </si>
  <si>
    <t>Home</t>
  </si>
  <si>
    <t>Automation Street Name</t>
  </si>
  <si>
    <t>Ljubljana</t>
  </si>
  <si>
    <t>Street Address</t>
  </si>
  <si>
    <t>Test@email.com</t>
  </si>
  <si>
    <t>New Hire</t>
  </si>
  <si>
    <t>No</t>
  </si>
  <si>
    <t>Permanent</t>
  </si>
  <si>
    <t>Retail Assistant_NEW</t>
  </si>
  <si>
    <t>Part Time</t>
  </si>
  <si>
    <t>Salary</t>
  </si>
  <si>
    <t>N/A</t>
  </si>
  <si>
    <t>3 Days (Slovenia)</t>
  </si>
  <si>
    <t>0- Ne gre za zaposlitev po ZUTD-A ali ZIUPTDSV</t>
  </si>
  <si>
    <t>Active</t>
  </si>
  <si>
    <t>94 Retail Operatives</t>
  </si>
  <si>
    <t>260 Fitting Rooms</t>
  </si>
  <si>
    <t>Collective Agreement - Slovenia (01/01/1900 - )</t>
  </si>
  <si>
    <t>Asistent v prodaji</t>
  </si>
  <si>
    <t>IV.</t>
  </si>
  <si>
    <t>Unique Master Citizen Number</t>
  </si>
  <si>
    <t>01/01/1999</t>
  </si>
  <si>
    <t>01/01/2045</t>
  </si>
  <si>
    <t>Slovenia Tax Number</t>
  </si>
  <si>
    <t>01/01/2041</t>
  </si>
  <si>
    <t>Female</t>
  </si>
  <si>
    <t>Citizen (Slovenia)</t>
  </si>
  <si>
    <t>TestBankOFSlovenia</t>
  </si>
  <si>
    <t>Checking</t>
  </si>
  <si>
    <t>SI56 2633 0001 2039 086</t>
  </si>
  <si>
    <t>Grun Frun</t>
  </si>
  <si>
    <t>Standard</t>
  </si>
  <si>
    <t>SVN Monthly</t>
  </si>
  <si>
    <t>Test failed for 'Dewitt Weber' Employee:{10699995}TypeError: Cannot read properties of undefined (reading '0')</t>
  </si>
  <si>
    <t>Dewitt</t>
  </si>
  <si>
    <t>Weber</t>
  </si>
  <si>
    <t>070-417-627</t>
  </si>
  <si>
    <t>4 Days (Slovenia)</t>
  </si>
  <si>
    <t>Test failed for 'Burnice Herman' Employee:{undefined}TypeError: Cannot read properties of undefined (reading 'split')</t>
  </si>
  <si>
    <t>Burnice</t>
  </si>
  <si>
    <t>Herman</t>
  </si>
  <si>
    <t>Pansy</t>
  </si>
  <si>
    <t>Koepp</t>
  </si>
  <si>
    <t>5 Days (Slovenia)</t>
  </si>
  <si>
    <t>Vernice</t>
  </si>
  <si>
    <t>Legros</t>
  </si>
  <si>
    <t xml:space="preserve">Full Time </t>
  </si>
  <si>
    <t>10700030</t>
  </si>
  <si>
    <t>Bruce</t>
  </si>
  <si>
    <t>Abbott</t>
  </si>
  <si>
    <t>10700032</t>
  </si>
  <si>
    <t>Bridget</t>
  </si>
  <si>
    <t>Berge</t>
  </si>
  <si>
    <t>10700034</t>
  </si>
  <si>
    <t>Mara</t>
  </si>
  <si>
    <t>Satterfield</t>
  </si>
  <si>
    <t>Christopher</t>
  </si>
  <si>
    <t>Quitzon</t>
  </si>
  <si>
    <t>10700036</t>
  </si>
  <si>
    <t>Hope</t>
  </si>
  <si>
    <t>Abshire</t>
  </si>
  <si>
    <t>10700037</t>
  </si>
  <si>
    <t>Sandra</t>
  </si>
  <si>
    <t>Keebler</t>
  </si>
  <si>
    <t>Test failed for 'Emmanuel Cronin' Employee:{10700042}Error: locator.focus: Target page, context or browser has been closed</t>
  </si>
  <si>
    <t>Failed</t>
  </si>
  <si>
    <t>Travon</t>
  </si>
  <si>
    <t>Baumbach</t>
  </si>
  <si>
    <t>Jalyn</t>
  </si>
  <si>
    <t>Kilback</t>
  </si>
  <si>
    <t>2 Days (Slovenia)</t>
  </si>
  <si>
    <t>10700038</t>
  </si>
  <si>
    <t>Velva</t>
  </si>
  <si>
    <t>Bayer</t>
  </si>
  <si>
    <t>SL-TIM-020-TC007</t>
  </si>
  <si>
    <t>Helen</t>
  </si>
  <si>
    <t>Jast</t>
  </si>
  <si>
    <t>SL-TIM-020-TC006</t>
  </si>
  <si>
    <t>Loma</t>
  </si>
  <si>
    <t>Kiehn</t>
  </si>
  <si>
    <t>SL-TIM-020-TC004</t>
  </si>
  <si>
    <t>Mallory</t>
  </si>
  <si>
    <t>Goodwin</t>
  </si>
  <si>
    <t>SL-TIM-020-TC003</t>
  </si>
  <si>
    <t>Geovany</t>
  </si>
  <si>
    <t>Brown-Raynor</t>
  </si>
  <si>
    <t>SL-TIM-020-TC002</t>
  </si>
  <si>
    <t>Bartholome</t>
  </si>
  <si>
    <t>Welch</t>
  </si>
  <si>
    <t>SL-TIM-020-TC001</t>
  </si>
  <si>
    <t>Donavon</t>
  </si>
  <si>
    <t>Macejkovic</t>
  </si>
  <si>
    <t>SL-TIM-019-TC022</t>
  </si>
  <si>
    <t>Failed :Page:ERROR-"A valid Pay Group has already been assigned: " Please select a Slovenia Pay Group " . To remove this task from your Workday Inbox(My Tasks), click the “DENY” button. (Assign Pay Group Event)."</t>
  </si>
  <si>
    <t>Myrtice</t>
  </si>
  <si>
    <t>McGlynn</t>
  </si>
  <si>
    <t>SL-TIM-019-TC020</t>
  </si>
  <si>
    <t>Henriette</t>
  </si>
  <si>
    <t>Marks</t>
  </si>
  <si>
    <t>SL-TIM-019-TC019</t>
  </si>
  <si>
    <t>Chasity</t>
  </si>
  <si>
    <t>SL-TIM-019-TC018</t>
  </si>
  <si>
    <t>Jessy</t>
  </si>
  <si>
    <t>Turcotte</t>
  </si>
  <si>
    <t>SL-TIM-019-TC017</t>
  </si>
  <si>
    <t>Monserrate</t>
  </si>
  <si>
    <t>Jaskolski</t>
  </si>
  <si>
    <t>SL-TIM-019-TC016</t>
  </si>
  <si>
    <t>Lloyd</t>
  </si>
  <si>
    <t>Hermann</t>
  </si>
  <si>
    <t>SL-TIM-019-TC015</t>
  </si>
  <si>
    <t>Enola</t>
  </si>
  <si>
    <t>Runolfsdottir</t>
  </si>
  <si>
    <t>SL-TIM-019-TC014</t>
  </si>
  <si>
    <t>Michelle</t>
  </si>
  <si>
    <t>Renner</t>
  </si>
  <si>
    <t>SL-TIM-025-TC007</t>
  </si>
  <si>
    <t>Dean</t>
  </si>
  <si>
    <t>Homenick</t>
  </si>
  <si>
    <t>SL-TIM-030-TC002</t>
  </si>
  <si>
    <t>SL-TIM-030-TC001</t>
  </si>
  <si>
    <t>SL-TIM-029-TC007</t>
  </si>
  <si>
    <t>SL-TIM-029-TC005</t>
  </si>
  <si>
    <t>SL-TIM-029-TC004</t>
  </si>
  <si>
    <t>SL-TIM-029-TC003</t>
  </si>
  <si>
    <t>SL-TIM-029-TC002</t>
  </si>
  <si>
    <t>SL-TIM-028-TC005</t>
  </si>
  <si>
    <t>SL-TIM-028-TC004</t>
  </si>
  <si>
    <t>SL-TIM-028-TC003</t>
  </si>
  <si>
    <t>SL-TIM-025-TC004</t>
  </si>
  <si>
    <t>SL-TIM-025-TC003</t>
  </si>
  <si>
    <t>SL-TIM-020-TC008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</si>
</sst>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4"/>
      <color rgb="FFFF0000"/>
      <name val="Arial"/>
      <family val="2"/>
    </font>
    <font>
      <sz val="14"/>
      <color theme="1"/>
      <name val="Arial"/>
      <family val="2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</patternFill>
    </fill>
    <fill>
      <patternFill patternType="solid">
        <fgColor rgb="FF00B050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xfId="0"/>
    <xf numFmtId="49" fontId="1" fillId="2" borderId="0" xfId="0" applyNumberFormat="1" applyFont="1" applyFill="1"/>
    <xf numFmtId="49" fontId="1" fillId="0" borderId="0" xfId="0" applyNumberFormat="1" applyFont="1" applyAlignment="1">
      <alignment horizontal="left"/>
    </xf>
    <xf numFmtId="0" fontId="2" fillId="3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0" fontId="3" fillId="4" borderId="2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left"/>
    </xf>
    <xf numFmtId="0" fontId="3" fillId="5" borderId="1" xfId="0" applyFont="1" applyFill="1" applyBorder="1" applyAlignment="1">
      <alignment horizontal="left"/>
    </xf>
    <xf numFmtId="0" fontId="1" fillId="0" borderId="2" xfId="0" applyFont="1" applyBorder="1"/>
    <xf numFmtId="0" fontId="1" fillId="0" borderId="0" xfId="0" applyFont="1" applyAlignment="1">
      <alignment horizontal="left" wrapText="1"/>
    </xf>
    <xf numFmtId="0" fontId="1" fillId="6" borderId="0" xfId="0" applyFont="1" applyFill="1" applyAlignment="1">
      <alignment horizontal="left"/>
    </xf>
    <xf numFmtId="0" fontId="2" fillId="0" borderId="0" xfId="0" applyFont="1" applyAlignment="1">
      <alignment vertical="center" wrapText="1"/>
    </xf>
    <xf numFmtId="0" fontId="3" fillId="0" borderId="2" xfId="0" applyFont="1" applyBorder="1" applyAlignment="1">
      <alignment horizontal="left"/>
    </xf>
    <xf numFmtId="0" fontId="1" fillId="4" borderId="2" xfId="0" applyFont="1" applyFill="1" applyBorder="1"/>
    <xf numFmtId="0" fontId="4" fillId="0" borderId="0" xfId="0" applyFont="1"/>
    <xf numFmtId="0" fontId="3" fillId="0" borderId="2" xfId="0" applyFont="1" applyBorder="1" applyAlignment="1" applyProtection="1">
      <alignment horizontal="left"/>
      <protection locked="0"/>
    </xf>
    <xf numFmtId="14" fontId="5" fillId="0" borderId="2" xfId="0" applyNumberFormat="1" applyFont="1" applyBorder="1" applyAlignment="1">
      <alignment horizontal="left"/>
    </xf>
    <xf numFmtId="0" fontId="3" fillId="0" borderId="2" xfId="0" applyFont="1" applyBorder="1" applyProtection="1">
      <protection locked="0"/>
    </xf>
    <xf numFmtId="0" fontId="3" fillId="0" borderId="0" xfId="0" applyFont="1"/>
    <xf numFmtId="14" fontId="3" fillId="0" borderId="2" xfId="0" applyNumberFormat="1" applyFont="1" applyBorder="1" applyAlignment="1">
      <alignment horizontal="left"/>
    </xf>
    <xf numFmtId="0" fontId="6" fillId="0" borderId="2" xfId="0" applyFont="1" applyBorder="1" applyProtection="1">
      <protection locked="0"/>
    </xf>
    <xf numFmtId="14" fontId="7" fillId="0" borderId="2" xfId="0" applyNumberFormat="1" applyFont="1" applyBorder="1" applyAlignment="1">
      <alignment horizontal="left"/>
    </xf>
    <xf numFmtId="0" fontId="3" fillId="4" borderId="2" xfId="0" applyFont="1" applyFill="1" applyBorder="1" applyAlignment="1" applyProtection="1">
      <alignment horizontal="left"/>
      <protection locked="0"/>
    </xf>
    <xf numFmtId="0" fontId="3" fillId="0" borderId="2" xfId="0" applyFont="1" applyBorder="1"/>
    <xf numFmtId="0" fontId="3" fillId="0" borderId="0" xfId="0" applyFont="1" applyAlignment="1">
      <alignment horizontal="left"/>
    </xf>
    <xf numFmtId="0" fontId="8" fillId="0" borderId="2" xfId="0" applyFont="1" applyBorder="1" applyAlignment="1" applyProtection="1">
      <alignment horizontal="left" wrapText="1"/>
      <protection locked="0"/>
    </xf>
    <xf numFmtId="0" fontId="6" fillId="0" borderId="0" xfId="0" applyFont="1"/>
    <xf numFmtId="0" fontId="8" fillId="0" borderId="0" xfId="0" applyFont="1"/>
    <xf numFmtId="14" fontId="2" fillId="0" borderId="0" xfId="0" applyNumberFormat="1" applyFont="1" applyAlignment="1">
      <alignment horizontal="left"/>
    </xf>
    <xf numFmtId="0" fontId="8" fillId="0" borderId="2" xfId="0" applyFont="1" applyBorder="1"/>
    <xf numFmtId="164" fontId="3" fillId="0" borderId="2" xfId="0" applyNumberFormat="1" applyFont="1" applyBorder="1" applyAlignment="1" applyProtection="1">
      <alignment horizontal="left"/>
      <protection locked="0"/>
    </xf>
    <xf numFmtId="1" fontId="3" fillId="0" borderId="2" xfId="0" applyNumberFormat="1" applyFont="1" applyBorder="1" applyAlignment="1" applyProtection="1">
      <alignment horizontal="left"/>
      <protection locked="0"/>
    </xf>
    <xf numFmtId="0" fontId="5" fillId="0" borderId="2" xfId="0" applyFont="1" applyBorder="1" applyAlignment="1">
      <alignment horizontal="left"/>
    </xf>
    <xf numFmtId="164" fontId="5" fillId="0" borderId="2" xfId="0" applyNumberFormat="1" applyFont="1" applyBorder="1" applyAlignment="1" applyProtection="1">
      <alignment horizontal="left"/>
      <protection locked="0"/>
    </xf>
    <xf numFmtId="0" fontId="1" fillId="0" borderId="0" xfId="0" applyFont="1" applyAlignment="1">
      <alignment horizontal="left"/>
    </xf>
    <xf numFmtId="0" fontId="1" fillId="0" borderId="2" xfId="0" applyFont="1" applyBorder="1" applyAlignment="1">
      <alignment wrapText="1"/>
    </xf>
    <xf numFmtId="0" fontId="1" fillId="7" borderId="0" xfId="0" applyFont="1" applyFill="1" applyAlignment="1">
      <alignment horizontal="left"/>
    </xf>
    <xf numFmtId="0" fontId="1" fillId="8" borderId="2" xfId="0" applyFont="1" applyFill="1" applyBorder="1" applyAlignment="1">
      <alignment wrapText="1"/>
    </xf>
    <xf numFmtId="0" fontId="2" fillId="9" borderId="0" xfId="0" applyFont="1" applyFill="1" applyAlignment="1">
      <alignment vertical="center" wrapText="1"/>
    </xf>
    <xf numFmtId="0" fontId="3" fillId="9" borderId="2" xfId="0" applyFont="1" applyFill="1" applyBorder="1" applyAlignment="1">
      <alignment horizontal="left"/>
    </xf>
    <xf numFmtId="0" fontId="1" fillId="9" borderId="2" xfId="0" applyFont="1" applyFill="1" applyBorder="1"/>
    <xf numFmtId="0" fontId="4" fillId="9" borderId="0" xfId="0" applyFont="1" applyFill="1"/>
    <xf numFmtId="0" fontId="3" fillId="9" borderId="2" xfId="0" applyFont="1" applyFill="1" applyBorder="1" applyAlignment="1" applyProtection="1">
      <alignment horizontal="left"/>
      <protection locked="0"/>
    </xf>
    <xf numFmtId="14" fontId="5" fillId="9" borderId="2" xfId="0" applyNumberFormat="1" applyFont="1" applyFill="1" applyBorder="1" applyAlignment="1">
      <alignment horizontal="left"/>
    </xf>
    <xf numFmtId="0" fontId="3" fillId="9" borderId="2" xfId="0" applyFont="1" applyFill="1" applyBorder="1" applyProtection="1">
      <protection locked="0"/>
    </xf>
    <xf numFmtId="0" fontId="3" fillId="9" borderId="0" xfId="0" applyFont="1" applyFill="1"/>
    <xf numFmtId="14" fontId="3" fillId="9" borderId="2" xfId="0" applyNumberFormat="1" applyFont="1" applyFill="1" applyBorder="1" applyAlignment="1">
      <alignment horizontal="left"/>
    </xf>
    <xf numFmtId="0" fontId="6" fillId="9" borderId="2" xfId="0" applyFont="1" applyFill="1" applyBorder="1" applyProtection="1">
      <protection locked="0"/>
    </xf>
    <xf numFmtId="14" fontId="7" fillId="9" borderId="2" xfId="0" applyNumberFormat="1" applyFont="1" applyFill="1" applyBorder="1" applyAlignment="1">
      <alignment horizontal="left"/>
    </xf>
    <xf numFmtId="0" fontId="3" fillId="9" borderId="2" xfId="0" applyFont="1" applyFill="1" applyBorder="1"/>
    <xf numFmtId="0" fontId="3" fillId="9" borderId="0" xfId="0" applyFont="1" applyFill="1" applyAlignment="1">
      <alignment horizontal="left"/>
    </xf>
    <xf numFmtId="0" fontId="8" fillId="9" borderId="2" xfId="0" applyFont="1" applyFill="1" applyBorder="1" applyAlignment="1" applyProtection="1">
      <alignment horizontal="left" wrapText="1"/>
      <protection locked="0"/>
    </xf>
    <xf numFmtId="0" fontId="6" fillId="9" borderId="0" xfId="0" applyFont="1" applyFill="1"/>
    <xf numFmtId="0" fontId="8" fillId="9" borderId="0" xfId="0" applyFont="1" applyFill="1"/>
    <xf numFmtId="14" fontId="2" fillId="9" borderId="0" xfId="0" applyNumberFormat="1" applyFont="1" applyFill="1" applyAlignment="1">
      <alignment horizontal="left"/>
    </xf>
    <xf numFmtId="0" fontId="8" fillId="9" borderId="2" xfId="0" applyFont="1" applyFill="1" applyBorder="1"/>
    <xf numFmtId="164" fontId="3" fillId="9" borderId="2" xfId="0" applyNumberFormat="1" applyFont="1" applyFill="1" applyBorder="1" applyAlignment="1" applyProtection="1">
      <alignment horizontal="left"/>
      <protection locked="0"/>
    </xf>
    <xf numFmtId="1" fontId="3" fillId="9" borderId="2" xfId="0" applyNumberFormat="1" applyFont="1" applyFill="1" applyBorder="1" applyAlignment="1" applyProtection="1">
      <alignment horizontal="left"/>
      <protection locked="0"/>
    </xf>
    <xf numFmtId="0" fontId="5" fillId="9" borderId="2" xfId="0" applyFont="1" applyFill="1" applyBorder="1" applyAlignment="1">
      <alignment horizontal="left"/>
    </xf>
    <xf numFmtId="164" fontId="5" fillId="9" borderId="2" xfId="0" applyNumberFormat="1" applyFont="1" applyFill="1" applyBorder="1" applyAlignment="1" applyProtection="1">
      <alignment horizontal="left"/>
      <protection locked="0"/>
    </xf>
    <xf numFmtId="0" fontId="0" fillId="9" borderId="0" xfId="0" applyFill="1"/>
    <xf numFmtId="0" fontId="1" fillId="0" borderId="2" xfId="0" applyFont="1" applyFill="1" applyBorder="1" applyAlignment="1">
      <alignment wrapText="1"/>
    </xf>
    <xf numFmtId="0" fontId="1" fillId="10" borderId="2" xfId="0" applyFont="1" applyFill="1" applyBorder="1"/>
    <xf numFmtId="0" fontId="1" fillId="10" borderId="2" xfId="0" applyFont="1" applyFill="1" applyBorder="1" applyAlignment="1">
      <alignment wrapText="1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0" fillId="9" borderId="0" xfId="0" applyFill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est@email.com" TargetMode="External"/><Relationship Id="rId13" Type="http://schemas.openxmlformats.org/officeDocument/2006/relationships/hyperlink" Target="mailto:Test@email.com" TargetMode="External"/><Relationship Id="rId18" Type="http://schemas.openxmlformats.org/officeDocument/2006/relationships/hyperlink" Target="mailto:Test@email.com" TargetMode="External"/><Relationship Id="rId26" Type="http://schemas.openxmlformats.org/officeDocument/2006/relationships/hyperlink" Target="mailto:Test@email.com" TargetMode="External"/><Relationship Id="rId3" Type="http://schemas.openxmlformats.org/officeDocument/2006/relationships/hyperlink" Target="mailto:Test@email.com" TargetMode="External"/><Relationship Id="rId21" Type="http://schemas.openxmlformats.org/officeDocument/2006/relationships/hyperlink" Target="mailto:Test@email.com" TargetMode="External"/><Relationship Id="rId7" Type="http://schemas.openxmlformats.org/officeDocument/2006/relationships/hyperlink" Target="mailto:Test@email.com" TargetMode="External"/><Relationship Id="rId12" Type="http://schemas.openxmlformats.org/officeDocument/2006/relationships/hyperlink" Target="mailto:Test@email.com" TargetMode="External"/><Relationship Id="rId17" Type="http://schemas.openxmlformats.org/officeDocument/2006/relationships/hyperlink" Target="mailto:Test@email.com" TargetMode="External"/><Relationship Id="rId25" Type="http://schemas.openxmlformats.org/officeDocument/2006/relationships/hyperlink" Target="mailto:Test@email.com" TargetMode="External"/><Relationship Id="rId2" Type="http://schemas.openxmlformats.org/officeDocument/2006/relationships/hyperlink" Target="mailto:Test@email.com" TargetMode="External"/><Relationship Id="rId16" Type="http://schemas.openxmlformats.org/officeDocument/2006/relationships/hyperlink" Target="mailto:Test@email.com" TargetMode="External"/><Relationship Id="rId20" Type="http://schemas.openxmlformats.org/officeDocument/2006/relationships/hyperlink" Target="mailto:Test@email.com" TargetMode="External"/><Relationship Id="rId29" Type="http://schemas.openxmlformats.org/officeDocument/2006/relationships/hyperlink" Target="mailto:Test@email.com" TargetMode="External"/><Relationship Id="rId1" Type="http://schemas.openxmlformats.org/officeDocument/2006/relationships/hyperlink" Target="mailto:Test@email.com" TargetMode="External"/><Relationship Id="rId6" Type="http://schemas.openxmlformats.org/officeDocument/2006/relationships/hyperlink" Target="mailto:Test@email.com" TargetMode="External"/><Relationship Id="rId11" Type="http://schemas.openxmlformats.org/officeDocument/2006/relationships/hyperlink" Target="mailto:Test@email.com" TargetMode="External"/><Relationship Id="rId24" Type="http://schemas.openxmlformats.org/officeDocument/2006/relationships/hyperlink" Target="mailto:Test@email.com" TargetMode="External"/><Relationship Id="rId5" Type="http://schemas.openxmlformats.org/officeDocument/2006/relationships/hyperlink" Target="mailto:Test@email.com" TargetMode="External"/><Relationship Id="rId15" Type="http://schemas.openxmlformats.org/officeDocument/2006/relationships/hyperlink" Target="mailto:Test@email.com" TargetMode="External"/><Relationship Id="rId23" Type="http://schemas.openxmlformats.org/officeDocument/2006/relationships/hyperlink" Target="mailto:Test@email.com" TargetMode="External"/><Relationship Id="rId28" Type="http://schemas.openxmlformats.org/officeDocument/2006/relationships/hyperlink" Target="mailto:Test@email.com" TargetMode="External"/><Relationship Id="rId10" Type="http://schemas.openxmlformats.org/officeDocument/2006/relationships/hyperlink" Target="mailto:Test@email.com" TargetMode="External"/><Relationship Id="rId19" Type="http://schemas.openxmlformats.org/officeDocument/2006/relationships/hyperlink" Target="mailto:Test@email.com" TargetMode="External"/><Relationship Id="rId4" Type="http://schemas.openxmlformats.org/officeDocument/2006/relationships/hyperlink" Target="mailto:Test@email.com" TargetMode="External"/><Relationship Id="rId9" Type="http://schemas.openxmlformats.org/officeDocument/2006/relationships/hyperlink" Target="mailto:Test@email.com" TargetMode="External"/><Relationship Id="rId14" Type="http://schemas.openxmlformats.org/officeDocument/2006/relationships/hyperlink" Target="mailto:Test@email.com" TargetMode="External"/><Relationship Id="rId22" Type="http://schemas.openxmlformats.org/officeDocument/2006/relationships/hyperlink" Target="mailto:Test@email.com" TargetMode="External"/><Relationship Id="rId27" Type="http://schemas.openxmlformats.org/officeDocument/2006/relationships/hyperlink" Target="mailto:Test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V30"/>
  <sheetViews>
    <sheetView tabSelected="1" topLeftCell="A3" zoomScale="90" zoomScaleNormal="90" workbookViewId="0">
      <selection activeCell="D15" sqref="D15"/>
    </sheetView>
  </sheetViews>
  <sheetFormatPr defaultRowHeight="14.5" customHeight="1" outlineLevelRow="1" x14ac:dyDescent="0.35"/>
  <cols>
    <col min="1" max="1" width="26.7265625" customWidth="1"/>
    <col min="2" max="2" width="25.26953125" customWidth="1"/>
    <col min="3" max="3" width="17.6328125" customWidth="1"/>
    <col min="4" max="4" width="8.7265625" customWidth="1"/>
    <col min="5" max="5" width="14.54296875" customWidth="1"/>
    <col min="6" max="6" width="16.1796875" customWidth="1"/>
    <col min="7" max="7" width="10.6328125" customWidth="1"/>
    <col min="8" max="10" width="8.7265625" customWidth="1"/>
    <col min="11" max="11" width="23.90625" customWidth="1"/>
    <col min="12" max="19" width="8.7265625" customWidth="1"/>
    <col min="20" max="20" width="4.26953125" customWidth="1"/>
    <col min="21" max="21" width="29.81640625" customWidth="1"/>
    <col min="22" max="22" width="15.26953125" customWidth="1"/>
    <col min="25" max="26" width="14" customWidth="1"/>
    <col min="36" max="36" width="44.08984375" customWidth="1"/>
    <col min="37" max="37" width="39.36328125" customWidth="1"/>
    <col min="38" max="38" width="59.26953125" customWidth="1"/>
    <col min="47" max="47" width="29.36328125" customWidth="1"/>
    <col min="50" max="50" width="63.08984375" customWidth="1"/>
    <col min="51" max="51" width="35.54296875" customWidth="1"/>
    <col min="55" max="55" width="49.36328125" customWidth="1"/>
    <col min="59" max="59" width="81.6328125" customWidth="1"/>
    <col min="65" max="65" width="35.453125" customWidth="1"/>
    <col min="69" max="69" width="28" customWidth="1"/>
    <col min="70" max="70" width="56.36328125" customWidth="1"/>
    <col min="71" max="71" width="35.54296875" customWidth="1"/>
    <col min="72" max="72" width="33.08984375" customWidth="1"/>
    <col min="73" max="73" width="31.7265625" customWidth="1"/>
  </cols>
  <sheetData>
    <row r="1" spans="1:74" s="1" customFormat="1" ht="21.5" customHeight="1" outlineLevel="1" collapsed="1" x14ac:dyDescent="0.35">
      <c r="A1" s="2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5" t="s">
        <v>6</v>
      </c>
      <c r="H1" s="6" t="s">
        <v>7</v>
      </c>
      <c r="I1" s="4" t="s">
        <v>8</v>
      </c>
      <c r="J1" s="4" t="s">
        <v>9</v>
      </c>
      <c r="K1" s="4" t="s">
        <v>10</v>
      </c>
      <c r="L1" s="4" t="s">
        <v>4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9</v>
      </c>
      <c r="R1" s="4" t="s">
        <v>15</v>
      </c>
      <c r="S1" s="4" t="s">
        <v>16</v>
      </c>
      <c r="T1" s="4" t="s">
        <v>9</v>
      </c>
      <c r="U1" s="3" t="s">
        <v>17</v>
      </c>
      <c r="V1" s="4" t="s">
        <v>18</v>
      </c>
      <c r="W1" s="7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4" t="s">
        <v>25</v>
      </c>
      <c r="AD1" s="4" t="s">
        <v>26</v>
      </c>
      <c r="AE1" s="4" t="s">
        <v>27</v>
      </c>
      <c r="AF1" s="3" t="s">
        <v>28</v>
      </c>
      <c r="AG1" s="4" t="s">
        <v>29</v>
      </c>
      <c r="AH1" s="4" t="s">
        <v>30</v>
      </c>
      <c r="AI1" s="4" t="s">
        <v>31</v>
      </c>
      <c r="AJ1" s="4" t="s">
        <v>32</v>
      </c>
      <c r="AK1" s="4" t="s">
        <v>33</v>
      </c>
      <c r="AL1" s="4" t="s">
        <v>34</v>
      </c>
      <c r="AM1" s="3" t="s">
        <v>35</v>
      </c>
      <c r="AN1" s="4" t="s">
        <v>36</v>
      </c>
      <c r="AO1" s="4" t="s">
        <v>37</v>
      </c>
      <c r="AP1" s="4" t="s">
        <v>38</v>
      </c>
      <c r="AQ1" s="4" t="s">
        <v>39</v>
      </c>
      <c r="AR1" s="4" t="s">
        <v>40</v>
      </c>
      <c r="AS1" s="4" t="s">
        <v>41</v>
      </c>
      <c r="AT1" s="4" t="s">
        <v>42</v>
      </c>
      <c r="AU1" s="4" t="s">
        <v>43</v>
      </c>
      <c r="AV1" s="4" t="s">
        <v>44</v>
      </c>
      <c r="AW1" s="4" t="s">
        <v>45</v>
      </c>
      <c r="AX1" s="8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8" t="s">
        <v>51</v>
      </c>
      <c r="BD1" s="4" t="s">
        <v>52</v>
      </c>
      <c r="BE1" s="4" t="s">
        <v>53</v>
      </c>
      <c r="BF1" s="4" t="s">
        <v>54</v>
      </c>
      <c r="BG1" s="4" t="s">
        <v>55</v>
      </c>
      <c r="BH1" s="4" t="s">
        <v>56</v>
      </c>
      <c r="BI1" s="4" t="s">
        <v>57</v>
      </c>
      <c r="BJ1" s="4" t="s">
        <v>58</v>
      </c>
      <c r="BK1" s="4" t="s">
        <v>59</v>
      </c>
      <c r="BL1" s="4" t="s">
        <v>60</v>
      </c>
      <c r="BM1" s="4" t="s">
        <v>61</v>
      </c>
      <c r="BN1" s="4" t="s">
        <v>62</v>
      </c>
      <c r="BO1" s="4" t="s">
        <v>4</v>
      </c>
      <c r="BP1" s="4" t="s">
        <v>63</v>
      </c>
      <c r="BQ1" s="8" t="s">
        <v>64</v>
      </c>
      <c r="BR1" s="4" t="s">
        <v>65</v>
      </c>
      <c r="BS1" s="4" t="s">
        <v>66</v>
      </c>
      <c r="BT1" s="3" t="s">
        <v>67</v>
      </c>
      <c r="BU1" s="3" t="s">
        <v>68</v>
      </c>
      <c r="BV1" s="8" t="s">
        <v>69</v>
      </c>
    </row>
    <row r="2" spans="1:74" ht="16" customHeight="1" x14ac:dyDescent="0.35">
      <c r="A2" s="9" t="s">
        <v>70</v>
      </c>
      <c r="B2" s="10">
        <v>10699991</v>
      </c>
      <c r="C2" s="37" t="s">
        <v>71</v>
      </c>
      <c r="D2" s="12" t="s">
        <v>72</v>
      </c>
      <c r="E2" s="13" t="s">
        <v>73</v>
      </c>
      <c r="F2" s="14" t="s">
        <v>74</v>
      </c>
      <c r="G2" s="14" t="s">
        <v>75</v>
      </c>
      <c r="H2" s="15" t="s">
        <v>76</v>
      </c>
      <c r="I2" s="16" t="s">
        <v>77</v>
      </c>
      <c r="J2" s="16" t="s">
        <v>78</v>
      </c>
      <c r="K2" s="17">
        <f>U2</f>
        <v>45658</v>
      </c>
      <c r="L2" s="13" t="s">
        <v>73</v>
      </c>
      <c r="M2" s="18" t="s">
        <v>79</v>
      </c>
      <c r="N2" s="18" t="s">
        <v>80</v>
      </c>
      <c r="O2" s="19" t="s">
        <v>80</v>
      </c>
      <c r="P2" s="16">
        <v>1542</v>
      </c>
      <c r="Q2" s="16" t="s">
        <v>78</v>
      </c>
      <c r="R2" s="20" t="s">
        <v>81</v>
      </c>
      <c r="S2" s="21" t="s">
        <v>82</v>
      </c>
      <c r="T2" s="16" t="s">
        <v>78</v>
      </c>
      <c r="U2" s="22">
        <v>45658</v>
      </c>
      <c r="V2" s="16" t="s">
        <v>83</v>
      </c>
      <c r="W2" s="23" t="s">
        <v>84</v>
      </c>
      <c r="X2" s="24" t="s">
        <v>85</v>
      </c>
      <c r="Y2" s="24" t="s">
        <v>86</v>
      </c>
      <c r="Z2" s="24" t="s">
        <v>87</v>
      </c>
      <c r="AA2" s="25">
        <v>795</v>
      </c>
      <c r="AB2" s="25" t="s">
        <v>88</v>
      </c>
      <c r="AC2" s="26">
        <v>16</v>
      </c>
      <c r="AD2" s="27" t="s">
        <v>89</v>
      </c>
      <c r="AE2" s="28" t="s">
        <v>90</v>
      </c>
      <c r="AF2" s="29" t="s">
        <v>89</v>
      </c>
      <c r="AG2" s="16" t="s">
        <v>91</v>
      </c>
      <c r="AH2" s="16" t="s">
        <v>92</v>
      </c>
      <c r="AI2" s="16" t="s">
        <v>89</v>
      </c>
      <c r="AJ2" s="17">
        <f t="shared" ref="AJ2:AJ3" si="0">U2</f>
        <v>45658</v>
      </c>
      <c r="AK2" s="17">
        <f t="shared" ref="AK2:AK3" si="1">U2</f>
        <v>45658</v>
      </c>
      <c r="AL2" s="17">
        <f>U2</f>
        <v>45658</v>
      </c>
      <c r="AM2" s="22" t="str">
        <f t="shared" ref="AM2:AM3" si="2">AF2</f>
        <v>N/A</v>
      </c>
      <c r="AN2" s="16" t="s">
        <v>93</v>
      </c>
      <c r="AO2" s="30" t="s">
        <v>94</v>
      </c>
      <c r="AP2" s="24" t="s">
        <v>95</v>
      </c>
      <c r="AQ2" s="24" t="s">
        <v>96</v>
      </c>
      <c r="AR2" s="19" t="s">
        <v>97</v>
      </c>
      <c r="AS2" s="13" t="s">
        <v>89</v>
      </c>
      <c r="AT2" s="13" t="s">
        <v>89</v>
      </c>
      <c r="AU2" s="17">
        <f>U2+30</f>
        <v>45688</v>
      </c>
      <c r="AV2" s="13" t="s">
        <v>73</v>
      </c>
      <c r="AW2" s="31" t="s">
        <v>98</v>
      </c>
      <c r="AX2" s="32">
        <f t="array" aca="1" ref="AX2" ca="1">_xlfn.RANDARRAY(2,1,1023456789000,9999999999999,TRUE)</f>
        <v>4477811626635</v>
      </c>
      <c r="AY2" s="17" t="s">
        <v>99</v>
      </c>
      <c r="AZ2" s="17" t="s">
        <v>100</v>
      </c>
      <c r="BA2" s="13" t="s">
        <v>73</v>
      </c>
      <c r="BB2" s="31" t="s">
        <v>101</v>
      </c>
      <c r="BC2" s="32">
        <f t="array" aca="1" ref="BC2" ca="1">_xlfn.RANDARRAY(2,1,12345678,99999999,TRUE)</f>
        <v>82126228</v>
      </c>
      <c r="BD2" s="17" t="s">
        <v>99</v>
      </c>
      <c r="BE2" s="17" t="s">
        <v>102</v>
      </c>
      <c r="BF2" s="19" t="s">
        <v>103</v>
      </c>
      <c r="BG2" s="17">
        <v>39417</v>
      </c>
      <c r="BH2" s="13" t="s">
        <v>104</v>
      </c>
      <c r="BI2" s="13" t="s">
        <v>73</v>
      </c>
      <c r="BJ2" s="13" t="s">
        <v>105</v>
      </c>
      <c r="BK2" s="33" t="s">
        <v>89</v>
      </c>
      <c r="BL2" s="13" t="s">
        <v>106</v>
      </c>
      <c r="BM2" s="34" t="s">
        <v>107</v>
      </c>
      <c r="BN2" s="13" t="s">
        <v>108</v>
      </c>
      <c r="BO2" s="13" t="s">
        <v>73</v>
      </c>
      <c r="BP2" s="13" t="s">
        <v>109</v>
      </c>
      <c r="BQ2" s="13">
        <f t="array" aca="1" ref="BQ2" ca="1">_xlfn.RANDARRAY(2,1,12345,99999,TRUE)</f>
        <v>82573</v>
      </c>
      <c r="BR2" s="17">
        <v>44562</v>
      </c>
      <c r="BS2" s="17">
        <v>47119</v>
      </c>
      <c r="BT2" s="22">
        <v>44562</v>
      </c>
      <c r="BU2" s="22">
        <f t="shared" ref="BU2:BU30" ca="1" si="3">TODAY()+365</f>
        <v>46203</v>
      </c>
      <c r="BV2" s="16" t="s">
        <v>110</v>
      </c>
    </row>
    <row r="3" spans="1:74" ht="15.65" customHeight="1" x14ac:dyDescent="0.35">
      <c r="A3" s="63" t="s">
        <v>197</v>
      </c>
      <c r="B3" s="10" t="s">
        <v>111</v>
      </c>
      <c r="C3" s="11" t="s">
        <v>171</v>
      </c>
      <c r="D3" s="12" t="s">
        <v>72</v>
      </c>
      <c r="E3" s="13" t="s">
        <v>73</v>
      </c>
      <c r="F3" s="14" t="s">
        <v>112</v>
      </c>
      <c r="G3" s="14" t="s">
        <v>113</v>
      </c>
      <c r="H3" s="15" t="s">
        <v>114</v>
      </c>
      <c r="I3" s="16" t="s">
        <v>77</v>
      </c>
      <c r="J3" s="16" t="s">
        <v>78</v>
      </c>
      <c r="K3" s="17">
        <f>U3</f>
        <v>45854</v>
      </c>
      <c r="L3" s="13" t="s">
        <v>73</v>
      </c>
      <c r="M3" s="18" t="s">
        <v>79</v>
      </c>
      <c r="N3" s="18" t="s">
        <v>80</v>
      </c>
      <c r="O3" s="19" t="s">
        <v>80</v>
      </c>
      <c r="P3" s="16">
        <v>1542</v>
      </c>
      <c r="Q3" s="16" t="s">
        <v>78</v>
      </c>
      <c r="R3" s="20" t="s">
        <v>81</v>
      </c>
      <c r="S3" s="21" t="s">
        <v>82</v>
      </c>
      <c r="T3" s="16" t="s">
        <v>78</v>
      </c>
      <c r="U3" s="22">
        <v>45854</v>
      </c>
      <c r="V3" s="16" t="s">
        <v>83</v>
      </c>
      <c r="W3" s="23" t="s">
        <v>84</v>
      </c>
      <c r="X3" s="24" t="s">
        <v>85</v>
      </c>
      <c r="Y3" s="24" t="s">
        <v>86</v>
      </c>
      <c r="Z3" s="24" t="s">
        <v>87</v>
      </c>
      <c r="AA3" s="25">
        <v>795</v>
      </c>
      <c r="AB3" s="25" t="s">
        <v>88</v>
      </c>
      <c r="AC3" s="26">
        <v>20</v>
      </c>
      <c r="AD3" s="27" t="s">
        <v>89</v>
      </c>
      <c r="AE3" s="28" t="s">
        <v>115</v>
      </c>
      <c r="AF3" s="29" t="s">
        <v>89</v>
      </c>
      <c r="AG3" s="16" t="s">
        <v>91</v>
      </c>
      <c r="AH3" s="16" t="s">
        <v>92</v>
      </c>
      <c r="AI3" s="16" t="s">
        <v>89</v>
      </c>
      <c r="AJ3" s="17">
        <f t="shared" si="0"/>
        <v>45854</v>
      </c>
      <c r="AK3" s="17">
        <f t="shared" si="1"/>
        <v>45854</v>
      </c>
      <c r="AL3" s="17">
        <f>U3</f>
        <v>45854</v>
      </c>
      <c r="AM3" s="22" t="str">
        <f t="shared" si="2"/>
        <v>N/A</v>
      </c>
      <c r="AN3" s="16" t="s">
        <v>93</v>
      </c>
      <c r="AO3" s="30" t="s">
        <v>94</v>
      </c>
      <c r="AP3" s="24" t="s">
        <v>95</v>
      </c>
      <c r="AQ3" s="24" t="s">
        <v>96</v>
      </c>
      <c r="AR3" s="19" t="s">
        <v>97</v>
      </c>
      <c r="AS3" s="13" t="s">
        <v>89</v>
      </c>
      <c r="AT3" s="13" t="s">
        <v>89</v>
      </c>
      <c r="AU3" s="17">
        <f t="shared" ref="AU3" si="4">U3+30</f>
        <v>45884</v>
      </c>
      <c r="AV3" s="13" t="s">
        <v>73</v>
      </c>
      <c r="AW3" s="31" t="s">
        <v>98</v>
      </c>
      <c r="AX3" s="32">
        <f t="array" aca="1" ref="AX3" ca="1">_xlfn.RANDARRAY(2,1,1023456789000,9999999999999,TRUE)</f>
        <v>4894200719079</v>
      </c>
      <c r="AY3" s="17" t="s">
        <v>99</v>
      </c>
      <c r="AZ3" s="17" t="s">
        <v>100</v>
      </c>
      <c r="BA3" s="13" t="s">
        <v>73</v>
      </c>
      <c r="BB3" s="31" t="s">
        <v>101</v>
      </c>
      <c r="BC3" s="32">
        <f t="array" aca="1" ref="BC3" ca="1">_xlfn.RANDARRAY(2,1,12345678,99999999,TRUE)</f>
        <v>38633313</v>
      </c>
      <c r="BD3" s="17" t="s">
        <v>99</v>
      </c>
      <c r="BE3" s="17" t="s">
        <v>102</v>
      </c>
      <c r="BF3" s="19" t="s">
        <v>103</v>
      </c>
      <c r="BG3" s="17">
        <v>39449</v>
      </c>
      <c r="BH3" s="13" t="s">
        <v>104</v>
      </c>
      <c r="BI3" s="13" t="s">
        <v>73</v>
      </c>
      <c r="BJ3" s="13" t="s">
        <v>105</v>
      </c>
      <c r="BK3" s="33" t="s">
        <v>89</v>
      </c>
      <c r="BL3" s="13" t="s">
        <v>106</v>
      </c>
      <c r="BM3" s="34" t="s">
        <v>107</v>
      </c>
      <c r="BN3" s="13" t="s">
        <v>108</v>
      </c>
      <c r="BO3" s="13" t="s">
        <v>73</v>
      </c>
      <c r="BP3" s="13" t="s">
        <v>109</v>
      </c>
      <c r="BQ3" s="13">
        <f t="array" aca="1" ref="BQ3" ca="1">_xlfn.RANDARRAY(2,1,12345,99999,TRUE)</f>
        <v>55292</v>
      </c>
      <c r="BR3" s="17">
        <v>44562</v>
      </c>
      <c r="BS3" s="17">
        <v>47119</v>
      </c>
      <c r="BT3" s="22">
        <v>44562</v>
      </c>
      <c r="BU3" s="22">
        <f t="shared" ca="1" si="3"/>
        <v>46203</v>
      </c>
      <c r="BV3" s="16" t="s">
        <v>110</v>
      </c>
    </row>
    <row r="4" spans="1:74" ht="14.5" customHeight="1" x14ac:dyDescent="0.35">
      <c r="A4" s="63" t="s">
        <v>198</v>
      </c>
      <c r="B4" s="65" t="s">
        <v>116</v>
      </c>
      <c r="C4" s="11" t="s">
        <v>143</v>
      </c>
      <c r="D4" s="12" t="s">
        <v>72</v>
      </c>
      <c r="E4" s="13" t="s">
        <v>73</v>
      </c>
      <c r="F4" s="14" t="s">
        <v>117</v>
      </c>
      <c r="G4" s="14" t="s">
        <v>118</v>
      </c>
      <c r="H4" s="15" t="s">
        <v>76</v>
      </c>
      <c r="I4" s="16" t="s">
        <v>77</v>
      </c>
      <c r="J4" s="16" t="s">
        <v>78</v>
      </c>
      <c r="K4" s="17">
        <f>U4</f>
        <v>45658</v>
      </c>
      <c r="L4" s="13" t="s">
        <v>73</v>
      </c>
      <c r="M4" s="18" t="s">
        <v>79</v>
      </c>
      <c r="N4" s="18" t="s">
        <v>80</v>
      </c>
      <c r="O4" s="19" t="s">
        <v>80</v>
      </c>
      <c r="P4" s="16">
        <v>1542</v>
      </c>
      <c r="Q4" s="16" t="s">
        <v>78</v>
      </c>
      <c r="R4" s="20" t="s">
        <v>81</v>
      </c>
      <c r="S4" s="21" t="s">
        <v>82</v>
      </c>
      <c r="T4" s="16" t="s">
        <v>78</v>
      </c>
      <c r="U4" s="22">
        <v>45658</v>
      </c>
      <c r="V4" s="16" t="s">
        <v>83</v>
      </c>
      <c r="W4" s="23" t="s">
        <v>84</v>
      </c>
      <c r="X4" s="24" t="s">
        <v>85</v>
      </c>
      <c r="Y4" s="24" t="s">
        <v>86</v>
      </c>
      <c r="Z4" s="24" t="s">
        <v>87</v>
      </c>
      <c r="AA4" s="25">
        <v>795</v>
      </c>
      <c r="AB4" s="25" t="s">
        <v>88</v>
      </c>
      <c r="AC4" s="26">
        <v>16</v>
      </c>
      <c r="AD4" s="27" t="s">
        <v>89</v>
      </c>
      <c r="AE4" s="28" t="s">
        <v>90</v>
      </c>
      <c r="AF4" s="29" t="s">
        <v>89</v>
      </c>
      <c r="AG4" s="16" t="s">
        <v>91</v>
      </c>
      <c r="AH4" s="16" t="s">
        <v>92</v>
      </c>
      <c r="AI4" s="16" t="s">
        <v>89</v>
      </c>
      <c r="AJ4" s="17">
        <f t="shared" ref="AJ4:AJ5" si="5">U4</f>
        <v>45658</v>
      </c>
      <c r="AK4" s="17">
        <f t="shared" ref="AK4:AK5" si="6">U4</f>
        <v>45658</v>
      </c>
      <c r="AL4" s="17">
        <f>U4</f>
        <v>45658</v>
      </c>
      <c r="AM4" s="22" t="str">
        <f t="shared" ref="AM4:AM5" si="7">AF4</f>
        <v>N/A</v>
      </c>
      <c r="AN4" s="16" t="s">
        <v>93</v>
      </c>
      <c r="AO4" s="30" t="s">
        <v>94</v>
      </c>
      <c r="AP4" s="24" t="s">
        <v>95</v>
      </c>
      <c r="AQ4" s="24" t="s">
        <v>96</v>
      </c>
      <c r="AR4" s="19" t="s">
        <v>97</v>
      </c>
      <c r="AS4" s="13" t="s">
        <v>89</v>
      </c>
      <c r="AT4" s="13" t="s">
        <v>89</v>
      </c>
      <c r="AU4" s="17">
        <f>U4+30</f>
        <v>45688</v>
      </c>
      <c r="AV4" s="13" t="s">
        <v>73</v>
      </c>
      <c r="AW4" s="31" t="s">
        <v>98</v>
      </c>
      <c r="AX4" s="32">
        <f t="array" aca="1" ref="AX4" ca="1">_xlfn.RANDARRAY(2,1,1023456789000,9999999999999,TRUE)</f>
        <v>2289151473356</v>
      </c>
      <c r="AY4" s="17" t="s">
        <v>99</v>
      </c>
      <c r="AZ4" s="17" t="s">
        <v>100</v>
      </c>
      <c r="BA4" s="13" t="s">
        <v>73</v>
      </c>
      <c r="BB4" s="31" t="s">
        <v>101</v>
      </c>
      <c r="BC4" s="32">
        <f t="array" aca="1" ref="BC4" ca="1">_xlfn.RANDARRAY(2,1,12345678,99999999,TRUE)</f>
        <v>74106671</v>
      </c>
      <c r="BD4" s="17" t="s">
        <v>99</v>
      </c>
      <c r="BE4" s="17" t="s">
        <v>102</v>
      </c>
      <c r="BF4" s="19" t="s">
        <v>103</v>
      </c>
      <c r="BG4" s="17">
        <v>39450</v>
      </c>
      <c r="BH4" s="13" t="s">
        <v>104</v>
      </c>
      <c r="BI4" s="13" t="s">
        <v>73</v>
      </c>
      <c r="BJ4" s="13" t="s">
        <v>105</v>
      </c>
      <c r="BK4" s="33" t="s">
        <v>89</v>
      </c>
      <c r="BL4" s="13" t="s">
        <v>106</v>
      </c>
      <c r="BM4" s="34" t="s">
        <v>107</v>
      </c>
      <c r="BN4" s="13" t="s">
        <v>108</v>
      </c>
      <c r="BO4" s="13" t="s">
        <v>73</v>
      </c>
      <c r="BP4" s="13" t="s">
        <v>109</v>
      </c>
      <c r="BQ4" s="13">
        <f t="array" aca="1" ref="BQ4" ca="1">_xlfn.RANDARRAY(2,1,12345,99999,TRUE)</f>
        <v>45308</v>
      </c>
      <c r="BR4" s="17">
        <v>44562</v>
      </c>
      <c r="BS4" s="17">
        <v>47119</v>
      </c>
      <c r="BT4" s="22">
        <v>44562</v>
      </c>
      <c r="BU4" s="22">
        <f t="shared" ca="1" si="3"/>
        <v>46203</v>
      </c>
      <c r="BV4" s="16" t="s">
        <v>110</v>
      </c>
    </row>
    <row r="5" spans="1:74" ht="14" customHeight="1" x14ac:dyDescent="0.35">
      <c r="A5" s="9" t="s">
        <v>199</v>
      </c>
      <c r="B5" s="10">
        <v>10700023</v>
      </c>
      <c r="C5" s="37" t="s">
        <v>71</v>
      </c>
      <c r="D5" s="12" t="s">
        <v>72</v>
      </c>
      <c r="E5" s="13" t="s">
        <v>73</v>
      </c>
      <c r="F5" s="14" t="s">
        <v>119</v>
      </c>
      <c r="G5" s="14" t="s">
        <v>120</v>
      </c>
      <c r="H5" s="15" t="s">
        <v>114</v>
      </c>
      <c r="I5" s="16" t="s">
        <v>77</v>
      </c>
      <c r="J5" s="16" t="s">
        <v>78</v>
      </c>
      <c r="K5" s="17">
        <f>U5</f>
        <v>45658</v>
      </c>
      <c r="L5" s="13" t="s">
        <v>73</v>
      </c>
      <c r="M5" s="18" t="s">
        <v>79</v>
      </c>
      <c r="N5" s="18" t="s">
        <v>80</v>
      </c>
      <c r="O5" s="19" t="s">
        <v>80</v>
      </c>
      <c r="P5" s="16">
        <v>1542</v>
      </c>
      <c r="Q5" s="16" t="s">
        <v>78</v>
      </c>
      <c r="R5" s="20" t="s">
        <v>81</v>
      </c>
      <c r="S5" s="21" t="s">
        <v>82</v>
      </c>
      <c r="T5" s="16" t="s">
        <v>78</v>
      </c>
      <c r="U5" s="22">
        <v>45658</v>
      </c>
      <c r="V5" s="16" t="s">
        <v>83</v>
      </c>
      <c r="W5" s="23" t="s">
        <v>84</v>
      </c>
      <c r="X5" s="24" t="s">
        <v>85</v>
      </c>
      <c r="Y5" s="24" t="s">
        <v>86</v>
      </c>
      <c r="Z5" s="24" t="s">
        <v>87</v>
      </c>
      <c r="AA5" s="25">
        <v>795</v>
      </c>
      <c r="AB5" s="25" t="s">
        <v>88</v>
      </c>
      <c r="AC5" s="26">
        <v>20</v>
      </c>
      <c r="AD5" s="27" t="s">
        <v>89</v>
      </c>
      <c r="AE5" s="28" t="s">
        <v>121</v>
      </c>
      <c r="AF5" s="29" t="s">
        <v>89</v>
      </c>
      <c r="AG5" s="16" t="s">
        <v>91</v>
      </c>
      <c r="AH5" s="16" t="s">
        <v>92</v>
      </c>
      <c r="AI5" s="16" t="s">
        <v>89</v>
      </c>
      <c r="AJ5" s="17">
        <f t="shared" si="5"/>
        <v>45658</v>
      </c>
      <c r="AK5" s="17">
        <f t="shared" si="6"/>
        <v>45658</v>
      </c>
      <c r="AL5" s="17">
        <f>U5</f>
        <v>45658</v>
      </c>
      <c r="AM5" s="22" t="str">
        <f t="shared" si="7"/>
        <v>N/A</v>
      </c>
      <c r="AN5" s="16" t="s">
        <v>93</v>
      </c>
      <c r="AO5" s="30" t="s">
        <v>94</v>
      </c>
      <c r="AP5" s="24" t="s">
        <v>95</v>
      </c>
      <c r="AQ5" s="24" t="s">
        <v>96</v>
      </c>
      <c r="AR5" s="19" t="s">
        <v>97</v>
      </c>
      <c r="AS5" s="13" t="s">
        <v>89</v>
      </c>
      <c r="AT5" s="13" t="s">
        <v>89</v>
      </c>
      <c r="AU5" s="17">
        <f t="shared" ref="AU5" si="8">U5+30</f>
        <v>45688</v>
      </c>
      <c r="AV5" s="13" t="s">
        <v>73</v>
      </c>
      <c r="AW5" s="31" t="s">
        <v>98</v>
      </c>
      <c r="AX5" s="32">
        <f t="array" aca="1" ref="AX5" ca="1">_xlfn.RANDARRAY(2,1,1023456789000,9999999999999,TRUE)</f>
        <v>9411298506140</v>
      </c>
      <c r="AY5" s="17" t="s">
        <v>99</v>
      </c>
      <c r="AZ5" s="17" t="s">
        <v>100</v>
      </c>
      <c r="BA5" s="13" t="s">
        <v>73</v>
      </c>
      <c r="BB5" s="31" t="s">
        <v>101</v>
      </c>
      <c r="BC5" s="32">
        <f t="array" aca="1" ref="BC5" ca="1">_xlfn.RANDARRAY(2,1,12345678,99999999,TRUE)</f>
        <v>33133979</v>
      </c>
      <c r="BD5" s="17" t="s">
        <v>99</v>
      </c>
      <c r="BE5" s="17" t="s">
        <v>102</v>
      </c>
      <c r="BF5" s="19" t="s">
        <v>103</v>
      </c>
      <c r="BG5" s="17">
        <v>25873</v>
      </c>
      <c r="BH5" s="13" t="s">
        <v>104</v>
      </c>
      <c r="BI5" s="13" t="s">
        <v>73</v>
      </c>
      <c r="BJ5" s="13" t="s">
        <v>105</v>
      </c>
      <c r="BK5" s="33" t="s">
        <v>89</v>
      </c>
      <c r="BL5" s="13" t="s">
        <v>106</v>
      </c>
      <c r="BM5" s="34" t="s">
        <v>107</v>
      </c>
      <c r="BN5" s="13" t="s">
        <v>108</v>
      </c>
      <c r="BO5" s="13" t="s">
        <v>73</v>
      </c>
      <c r="BP5" s="13" t="s">
        <v>109</v>
      </c>
      <c r="BQ5" s="13">
        <f t="array" aca="1" ref="BQ5" ca="1">_xlfn.RANDARRAY(2,1,12345,99999,TRUE)</f>
        <v>40175</v>
      </c>
      <c r="BR5" s="17">
        <v>44562</v>
      </c>
      <c r="BS5" s="17">
        <v>47119</v>
      </c>
      <c r="BT5" s="22">
        <v>44562</v>
      </c>
      <c r="BU5" s="22">
        <f t="shared" ca="1" si="3"/>
        <v>46203</v>
      </c>
      <c r="BV5" s="16" t="s">
        <v>110</v>
      </c>
    </row>
    <row r="6" spans="1:74" ht="14.5" customHeight="1" x14ac:dyDescent="0.35">
      <c r="A6" s="9" t="s">
        <v>200</v>
      </c>
      <c r="B6" s="10">
        <v>10700027</v>
      </c>
      <c r="C6" s="37" t="s">
        <v>71</v>
      </c>
      <c r="D6" s="12" t="s">
        <v>72</v>
      </c>
      <c r="E6" s="13" t="s">
        <v>73</v>
      </c>
      <c r="F6" s="14" t="s">
        <v>122</v>
      </c>
      <c r="G6" s="14" t="s">
        <v>123</v>
      </c>
      <c r="H6" s="15" t="s">
        <v>114</v>
      </c>
      <c r="I6" s="16" t="s">
        <v>77</v>
      </c>
      <c r="J6" s="16" t="s">
        <v>78</v>
      </c>
      <c r="K6" s="17">
        <f t="shared" ref="K6:K30" si="9">U6</f>
        <v>45658</v>
      </c>
      <c r="L6" s="13" t="s">
        <v>73</v>
      </c>
      <c r="M6" s="18" t="s">
        <v>79</v>
      </c>
      <c r="N6" s="18" t="s">
        <v>80</v>
      </c>
      <c r="O6" s="19" t="s">
        <v>80</v>
      </c>
      <c r="P6" s="16">
        <v>1542</v>
      </c>
      <c r="Q6" s="16" t="s">
        <v>78</v>
      </c>
      <c r="R6" s="20" t="s">
        <v>81</v>
      </c>
      <c r="S6" s="21" t="s">
        <v>82</v>
      </c>
      <c r="T6" s="16" t="s">
        <v>78</v>
      </c>
      <c r="U6" s="22">
        <v>45658</v>
      </c>
      <c r="V6" s="16" t="s">
        <v>83</v>
      </c>
      <c r="W6" s="23" t="s">
        <v>84</v>
      </c>
      <c r="X6" s="24" t="s">
        <v>85</v>
      </c>
      <c r="Y6" s="24" t="s">
        <v>86</v>
      </c>
      <c r="Z6" s="24" t="s">
        <v>124</v>
      </c>
      <c r="AA6" s="25">
        <v>795</v>
      </c>
      <c r="AB6" s="25" t="s">
        <v>88</v>
      </c>
      <c r="AC6" s="26">
        <v>40</v>
      </c>
      <c r="AD6" s="27" t="s">
        <v>89</v>
      </c>
      <c r="AE6" s="28" t="s">
        <v>121</v>
      </c>
      <c r="AF6" s="29" t="s">
        <v>89</v>
      </c>
      <c r="AG6" s="16" t="s">
        <v>91</v>
      </c>
      <c r="AH6" s="16" t="s">
        <v>92</v>
      </c>
      <c r="AI6" s="16" t="s">
        <v>89</v>
      </c>
      <c r="AJ6" s="17">
        <f t="shared" ref="AJ6:AJ30" si="10">U6</f>
        <v>45658</v>
      </c>
      <c r="AK6" s="17">
        <f t="shared" ref="AK6:AK30" si="11">U6</f>
        <v>45658</v>
      </c>
      <c r="AL6" s="17">
        <f t="shared" ref="AL6:AL30" si="12">U6</f>
        <v>45658</v>
      </c>
      <c r="AM6" s="22" t="str">
        <f t="shared" ref="AM6:AM30" si="13">AF6</f>
        <v>N/A</v>
      </c>
      <c r="AN6" s="16" t="s">
        <v>93</v>
      </c>
      <c r="AO6" s="30" t="s">
        <v>94</v>
      </c>
      <c r="AP6" s="24" t="s">
        <v>95</v>
      </c>
      <c r="AQ6" s="24" t="s">
        <v>96</v>
      </c>
      <c r="AR6" s="19" t="s">
        <v>97</v>
      </c>
      <c r="AS6" s="13" t="s">
        <v>89</v>
      </c>
      <c r="AT6" s="13" t="s">
        <v>89</v>
      </c>
      <c r="AU6" s="17">
        <f t="shared" ref="AU6:AU30" si="14">U6+30</f>
        <v>45688</v>
      </c>
      <c r="AV6" s="13" t="s">
        <v>73</v>
      </c>
      <c r="AW6" s="31" t="s">
        <v>98</v>
      </c>
      <c r="AX6" s="32">
        <f t="array" aca="1" ref="AX6" ca="1">_xlfn.RANDARRAY(2,1,1023456789000,9999999999999,TRUE)</f>
        <v>8865082127814</v>
      </c>
      <c r="AY6" s="17" t="s">
        <v>99</v>
      </c>
      <c r="AZ6" s="17" t="s">
        <v>100</v>
      </c>
      <c r="BA6" s="13" t="s">
        <v>73</v>
      </c>
      <c r="BB6" s="31" t="s">
        <v>101</v>
      </c>
      <c r="BC6" s="32">
        <f t="array" aca="1" ref="BC6" ca="1">_xlfn.RANDARRAY(2,1,12345678,99999999,TRUE)</f>
        <v>30025519</v>
      </c>
      <c r="BD6" s="17" t="s">
        <v>99</v>
      </c>
      <c r="BE6" s="17" t="s">
        <v>102</v>
      </c>
      <c r="BF6" s="19" t="s">
        <v>103</v>
      </c>
      <c r="BG6" s="17">
        <v>25873</v>
      </c>
      <c r="BH6" s="13" t="s">
        <v>104</v>
      </c>
      <c r="BI6" s="13" t="s">
        <v>73</v>
      </c>
      <c r="BJ6" s="13" t="s">
        <v>105</v>
      </c>
      <c r="BK6" s="33" t="s">
        <v>89</v>
      </c>
      <c r="BL6" s="13" t="s">
        <v>106</v>
      </c>
      <c r="BM6" s="34" t="s">
        <v>107</v>
      </c>
      <c r="BN6" s="13" t="s">
        <v>108</v>
      </c>
      <c r="BO6" s="13" t="s">
        <v>73</v>
      </c>
      <c r="BP6" s="13" t="s">
        <v>109</v>
      </c>
      <c r="BQ6" s="13">
        <f t="array" aca="1" ref="BQ6" ca="1">_xlfn.RANDARRAY(2,1,12345,99999,TRUE)</f>
        <v>60952</v>
      </c>
      <c r="BR6" s="17">
        <v>44562</v>
      </c>
      <c r="BS6" s="17">
        <v>47119</v>
      </c>
      <c r="BT6" s="22">
        <v>44562</v>
      </c>
      <c r="BU6" s="22">
        <f t="shared" ca="1" si="3"/>
        <v>46203</v>
      </c>
      <c r="BV6" s="16" t="s">
        <v>110</v>
      </c>
    </row>
    <row r="7" spans="1:74" ht="14.5" customHeight="1" x14ac:dyDescent="0.35">
      <c r="A7" s="9" t="s">
        <v>201</v>
      </c>
      <c r="B7" s="35" t="s">
        <v>125</v>
      </c>
      <c r="C7" s="37" t="s">
        <v>71</v>
      </c>
      <c r="D7" s="12" t="s">
        <v>72</v>
      </c>
      <c r="E7" s="13" t="s">
        <v>73</v>
      </c>
      <c r="F7" s="14" t="s">
        <v>126</v>
      </c>
      <c r="G7" s="14" t="s">
        <v>127</v>
      </c>
      <c r="H7" s="15" t="s">
        <v>76</v>
      </c>
      <c r="I7" s="16" t="s">
        <v>77</v>
      </c>
      <c r="J7" s="16" t="s">
        <v>78</v>
      </c>
      <c r="K7" s="17">
        <f t="shared" si="9"/>
        <v>45658</v>
      </c>
      <c r="L7" s="13" t="s">
        <v>73</v>
      </c>
      <c r="M7" s="18" t="s">
        <v>79</v>
      </c>
      <c r="N7" s="18" t="s">
        <v>80</v>
      </c>
      <c r="O7" s="19" t="s">
        <v>80</v>
      </c>
      <c r="P7" s="16">
        <v>1542</v>
      </c>
      <c r="Q7" s="16" t="s">
        <v>78</v>
      </c>
      <c r="R7" s="20" t="s">
        <v>81</v>
      </c>
      <c r="S7" s="21" t="s">
        <v>82</v>
      </c>
      <c r="T7" s="16" t="s">
        <v>78</v>
      </c>
      <c r="U7" s="22">
        <v>45658</v>
      </c>
      <c r="V7" s="16" t="s">
        <v>83</v>
      </c>
      <c r="W7" s="23" t="s">
        <v>84</v>
      </c>
      <c r="X7" s="24" t="s">
        <v>85</v>
      </c>
      <c r="Y7" s="24" t="s">
        <v>86</v>
      </c>
      <c r="Z7" s="24" t="s">
        <v>124</v>
      </c>
      <c r="AA7" s="25">
        <v>795</v>
      </c>
      <c r="AB7" s="25" t="s">
        <v>88</v>
      </c>
      <c r="AC7" s="26">
        <v>40</v>
      </c>
      <c r="AD7" s="27" t="s">
        <v>89</v>
      </c>
      <c r="AE7" s="28" t="s">
        <v>121</v>
      </c>
      <c r="AF7" s="29" t="s">
        <v>89</v>
      </c>
      <c r="AG7" s="16" t="s">
        <v>91</v>
      </c>
      <c r="AH7" s="16" t="s">
        <v>92</v>
      </c>
      <c r="AI7" s="16" t="s">
        <v>89</v>
      </c>
      <c r="AJ7" s="17">
        <f t="shared" si="10"/>
        <v>45658</v>
      </c>
      <c r="AK7" s="17">
        <f t="shared" si="11"/>
        <v>45658</v>
      </c>
      <c r="AL7" s="17">
        <f t="shared" si="12"/>
        <v>45658</v>
      </c>
      <c r="AM7" s="22" t="str">
        <f t="shared" si="13"/>
        <v>N/A</v>
      </c>
      <c r="AN7" s="16" t="s">
        <v>93</v>
      </c>
      <c r="AO7" s="30" t="s">
        <v>94</v>
      </c>
      <c r="AP7" s="24" t="s">
        <v>95</v>
      </c>
      <c r="AQ7" s="24" t="s">
        <v>96</v>
      </c>
      <c r="AR7" s="19" t="s">
        <v>97</v>
      </c>
      <c r="AS7" s="13" t="s">
        <v>89</v>
      </c>
      <c r="AT7" s="13" t="s">
        <v>89</v>
      </c>
      <c r="AU7" s="17">
        <f t="shared" si="14"/>
        <v>45688</v>
      </c>
      <c r="AV7" s="13" t="s">
        <v>73</v>
      </c>
      <c r="AW7" s="31" t="s">
        <v>98</v>
      </c>
      <c r="AX7" s="32">
        <f t="array" aca="1" ref="AX7" ca="1">_xlfn.RANDARRAY(2,1,1023456789000,9999999999999,TRUE)</f>
        <v>9113518693673</v>
      </c>
      <c r="AY7" s="17" t="s">
        <v>99</v>
      </c>
      <c r="AZ7" s="17" t="s">
        <v>100</v>
      </c>
      <c r="BA7" s="13" t="s">
        <v>73</v>
      </c>
      <c r="BB7" s="31" t="s">
        <v>101</v>
      </c>
      <c r="BC7" s="32">
        <f t="array" aca="1" ref="BC7" ca="1">_xlfn.RANDARRAY(2,1,12345678,99999999,TRUE)</f>
        <v>69963017</v>
      </c>
      <c r="BD7" s="17" t="s">
        <v>99</v>
      </c>
      <c r="BE7" s="17" t="s">
        <v>102</v>
      </c>
      <c r="BF7" s="19" t="s">
        <v>103</v>
      </c>
      <c r="BG7" s="17">
        <v>25984</v>
      </c>
      <c r="BH7" s="13" t="s">
        <v>104</v>
      </c>
      <c r="BI7" s="13" t="s">
        <v>73</v>
      </c>
      <c r="BJ7" s="13" t="s">
        <v>105</v>
      </c>
      <c r="BK7" s="33" t="s">
        <v>89</v>
      </c>
      <c r="BL7" s="13" t="s">
        <v>106</v>
      </c>
      <c r="BM7" s="34" t="s">
        <v>107</v>
      </c>
      <c r="BN7" s="13" t="s">
        <v>108</v>
      </c>
      <c r="BO7" s="13" t="s">
        <v>73</v>
      </c>
      <c r="BP7" s="13" t="s">
        <v>109</v>
      </c>
      <c r="BQ7" s="13">
        <f t="array" aca="1" ref="BQ7" ca="1">_xlfn.RANDARRAY(2,1,12345,99999,TRUE)</f>
        <v>95433</v>
      </c>
      <c r="BR7" s="17">
        <v>44562</v>
      </c>
      <c r="BS7" s="17">
        <v>47119</v>
      </c>
      <c r="BT7" s="22">
        <v>44562</v>
      </c>
      <c r="BU7" s="22">
        <f t="shared" ca="1" si="3"/>
        <v>46203</v>
      </c>
      <c r="BV7" s="16" t="s">
        <v>110</v>
      </c>
    </row>
    <row r="8" spans="1:74" ht="14.5" customHeight="1" x14ac:dyDescent="0.35">
      <c r="A8" s="9" t="s">
        <v>202</v>
      </c>
      <c r="B8" s="35" t="s">
        <v>128</v>
      </c>
      <c r="C8" s="37" t="s">
        <v>71</v>
      </c>
      <c r="D8" s="12" t="s">
        <v>72</v>
      </c>
      <c r="E8" s="13" t="s">
        <v>73</v>
      </c>
      <c r="F8" s="14" t="s">
        <v>129</v>
      </c>
      <c r="G8" s="14" t="s">
        <v>130</v>
      </c>
      <c r="H8" s="15" t="s">
        <v>114</v>
      </c>
      <c r="I8" s="16" t="s">
        <v>77</v>
      </c>
      <c r="J8" s="16" t="s">
        <v>78</v>
      </c>
      <c r="K8" s="17">
        <f t="shared" si="9"/>
        <v>45658</v>
      </c>
      <c r="L8" s="13" t="s">
        <v>73</v>
      </c>
      <c r="M8" s="18" t="s">
        <v>79</v>
      </c>
      <c r="N8" s="18" t="s">
        <v>80</v>
      </c>
      <c r="O8" s="19" t="s">
        <v>80</v>
      </c>
      <c r="P8" s="16">
        <v>1542</v>
      </c>
      <c r="Q8" s="16" t="s">
        <v>78</v>
      </c>
      <c r="R8" s="20" t="s">
        <v>81</v>
      </c>
      <c r="S8" s="21" t="s">
        <v>82</v>
      </c>
      <c r="T8" s="16" t="s">
        <v>78</v>
      </c>
      <c r="U8" s="22">
        <v>45658</v>
      </c>
      <c r="V8" s="16" t="s">
        <v>83</v>
      </c>
      <c r="W8" s="23" t="s">
        <v>84</v>
      </c>
      <c r="X8" s="24" t="s">
        <v>85</v>
      </c>
      <c r="Y8" s="24" t="s">
        <v>86</v>
      </c>
      <c r="Z8" s="24" t="s">
        <v>124</v>
      </c>
      <c r="AA8" s="25">
        <v>795</v>
      </c>
      <c r="AB8" s="25" t="s">
        <v>88</v>
      </c>
      <c r="AC8" s="26">
        <v>40</v>
      </c>
      <c r="AD8" s="27" t="s">
        <v>89</v>
      </c>
      <c r="AE8" s="28" t="s">
        <v>121</v>
      </c>
      <c r="AF8" s="29" t="s">
        <v>89</v>
      </c>
      <c r="AG8" s="16" t="s">
        <v>91</v>
      </c>
      <c r="AH8" s="16" t="s">
        <v>92</v>
      </c>
      <c r="AI8" s="16" t="s">
        <v>89</v>
      </c>
      <c r="AJ8" s="17">
        <f t="shared" si="10"/>
        <v>45658</v>
      </c>
      <c r="AK8" s="17">
        <f t="shared" si="11"/>
        <v>45658</v>
      </c>
      <c r="AL8" s="17">
        <f t="shared" si="12"/>
        <v>45658</v>
      </c>
      <c r="AM8" s="22" t="str">
        <f t="shared" si="13"/>
        <v>N/A</v>
      </c>
      <c r="AN8" s="16" t="s">
        <v>93</v>
      </c>
      <c r="AO8" s="30" t="s">
        <v>94</v>
      </c>
      <c r="AP8" s="24" t="s">
        <v>95</v>
      </c>
      <c r="AQ8" s="24" t="s">
        <v>96</v>
      </c>
      <c r="AR8" s="19" t="s">
        <v>97</v>
      </c>
      <c r="AS8" s="13" t="s">
        <v>89</v>
      </c>
      <c r="AT8" s="13" t="s">
        <v>89</v>
      </c>
      <c r="AU8" s="17">
        <f t="shared" si="14"/>
        <v>45688</v>
      </c>
      <c r="AV8" s="13" t="s">
        <v>73</v>
      </c>
      <c r="AW8" s="31" t="s">
        <v>98</v>
      </c>
      <c r="AX8" s="32">
        <f t="array" aca="1" ref="AX8" ca="1">_xlfn.RANDARRAY(2,1,1023456789000,9999999999999,TRUE)</f>
        <v>3195395902169</v>
      </c>
      <c r="AY8" s="17" t="s">
        <v>99</v>
      </c>
      <c r="AZ8" s="17" t="s">
        <v>100</v>
      </c>
      <c r="BA8" s="13" t="s">
        <v>73</v>
      </c>
      <c r="BB8" s="31" t="s">
        <v>101</v>
      </c>
      <c r="BC8" s="32">
        <f t="array" aca="1" ref="BC8" ca="1">_xlfn.RANDARRAY(2,1,12345678,99999999,TRUE)</f>
        <v>37991333</v>
      </c>
      <c r="BD8" s="17" t="s">
        <v>99</v>
      </c>
      <c r="BE8" s="17" t="s">
        <v>102</v>
      </c>
      <c r="BF8" s="19" t="s">
        <v>103</v>
      </c>
      <c r="BG8" s="17">
        <v>25873</v>
      </c>
      <c r="BH8" s="13" t="s">
        <v>104</v>
      </c>
      <c r="BI8" s="13" t="s">
        <v>73</v>
      </c>
      <c r="BJ8" s="13" t="s">
        <v>105</v>
      </c>
      <c r="BK8" s="33" t="s">
        <v>89</v>
      </c>
      <c r="BL8" s="13" t="s">
        <v>106</v>
      </c>
      <c r="BM8" s="34" t="s">
        <v>107</v>
      </c>
      <c r="BN8" s="13" t="s">
        <v>108</v>
      </c>
      <c r="BO8" s="13" t="s">
        <v>73</v>
      </c>
      <c r="BP8" s="13" t="s">
        <v>109</v>
      </c>
      <c r="BQ8" s="13">
        <f t="array" aca="1" ref="BQ8" ca="1">_xlfn.RANDARRAY(2,1,12345,99999,TRUE)</f>
        <v>87459</v>
      </c>
      <c r="BR8" s="17">
        <v>44562</v>
      </c>
      <c r="BS8" s="17">
        <v>47119</v>
      </c>
      <c r="BT8" s="22">
        <v>44562</v>
      </c>
      <c r="BU8" s="22">
        <f t="shared" ca="1" si="3"/>
        <v>46203</v>
      </c>
      <c r="BV8" s="16" t="s">
        <v>110</v>
      </c>
    </row>
    <row r="9" spans="1:74" ht="14.5" customHeight="1" x14ac:dyDescent="0.35">
      <c r="A9" s="9" t="s">
        <v>203</v>
      </c>
      <c r="B9" s="10" t="s">
        <v>131</v>
      </c>
      <c r="C9" s="37" t="s">
        <v>71</v>
      </c>
      <c r="D9" s="12" t="s">
        <v>72</v>
      </c>
      <c r="E9" s="13" t="s">
        <v>73</v>
      </c>
      <c r="F9" s="14" t="s">
        <v>132</v>
      </c>
      <c r="G9" s="14" t="s">
        <v>133</v>
      </c>
      <c r="H9" s="15" t="s">
        <v>76</v>
      </c>
      <c r="I9" s="16" t="s">
        <v>77</v>
      </c>
      <c r="J9" s="16" t="s">
        <v>78</v>
      </c>
      <c r="K9" s="17">
        <f t="shared" si="9"/>
        <v>45658</v>
      </c>
      <c r="L9" s="13" t="s">
        <v>73</v>
      </c>
      <c r="M9" s="18" t="s">
        <v>79</v>
      </c>
      <c r="N9" s="18" t="s">
        <v>80</v>
      </c>
      <c r="O9" s="19" t="s">
        <v>80</v>
      </c>
      <c r="P9" s="16">
        <v>1542</v>
      </c>
      <c r="Q9" s="16" t="s">
        <v>78</v>
      </c>
      <c r="R9" s="20" t="s">
        <v>81</v>
      </c>
      <c r="S9" s="21" t="s">
        <v>82</v>
      </c>
      <c r="T9" s="16" t="s">
        <v>78</v>
      </c>
      <c r="U9" s="22">
        <v>45658</v>
      </c>
      <c r="V9" s="16" t="s">
        <v>83</v>
      </c>
      <c r="W9" s="23" t="s">
        <v>84</v>
      </c>
      <c r="X9" s="24" t="s">
        <v>85</v>
      </c>
      <c r="Y9" s="24" t="s">
        <v>86</v>
      </c>
      <c r="Z9" s="24" t="s">
        <v>124</v>
      </c>
      <c r="AA9" s="25">
        <v>795</v>
      </c>
      <c r="AB9" s="25" t="s">
        <v>88</v>
      </c>
      <c r="AC9" s="26">
        <v>40</v>
      </c>
      <c r="AD9" s="27" t="s">
        <v>89</v>
      </c>
      <c r="AE9" s="28" t="s">
        <v>121</v>
      </c>
      <c r="AF9" s="29" t="s">
        <v>89</v>
      </c>
      <c r="AG9" s="16" t="s">
        <v>91</v>
      </c>
      <c r="AH9" s="16" t="s">
        <v>92</v>
      </c>
      <c r="AI9" s="16" t="s">
        <v>89</v>
      </c>
      <c r="AJ9" s="17">
        <f t="shared" si="10"/>
        <v>45658</v>
      </c>
      <c r="AK9" s="17">
        <f t="shared" si="11"/>
        <v>45658</v>
      </c>
      <c r="AL9" s="17">
        <f t="shared" si="12"/>
        <v>45658</v>
      </c>
      <c r="AM9" s="22" t="str">
        <f t="shared" si="13"/>
        <v>N/A</v>
      </c>
      <c r="AN9" s="16" t="s">
        <v>93</v>
      </c>
      <c r="AO9" s="30" t="s">
        <v>94</v>
      </c>
      <c r="AP9" s="24" t="s">
        <v>95</v>
      </c>
      <c r="AQ9" s="24" t="s">
        <v>96</v>
      </c>
      <c r="AR9" s="19" t="s">
        <v>97</v>
      </c>
      <c r="AS9" s="13" t="s">
        <v>89</v>
      </c>
      <c r="AT9" s="13" t="s">
        <v>89</v>
      </c>
      <c r="AU9" s="17">
        <f t="shared" si="14"/>
        <v>45688</v>
      </c>
      <c r="AV9" s="13" t="s">
        <v>73</v>
      </c>
      <c r="AW9" s="31" t="s">
        <v>98</v>
      </c>
      <c r="AX9" s="32">
        <f t="array" aca="1" ref="AX9" ca="1">_xlfn.RANDARRAY(2,1,1023456789000,9999999999999,TRUE)</f>
        <v>9746322108775</v>
      </c>
      <c r="AY9" s="17" t="s">
        <v>99</v>
      </c>
      <c r="AZ9" s="17" t="s">
        <v>100</v>
      </c>
      <c r="BA9" s="13" t="s">
        <v>73</v>
      </c>
      <c r="BB9" s="31" t="s">
        <v>101</v>
      </c>
      <c r="BC9" s="32">
        <f t="array" aca="1" ref="BC9" ca="1">_xlfn.RANDARRAY(2,1,12345678,99999999,TRUE)</f>
        <v>49203791</v>
      </c>
      <c r="BD9" s="17" t="s">
        <v>99</v>
      </c>
      <c r="BE9" s="17" t="s">
        <v>102</v>
      </c>
      <c r="BF9" s="19" t="s">
        <v>103</v>
      </c>
      <c r="BG9" s="17">
        <v>25984</v>
      </c>
      <c r="BH9" s="13" t="s">
        <v>104</v>
      </c>
      <c r="BI9" s="13" t="s">
        <v>73</v>
      </c>
      <c r="BJ9" s="13" t="s">
        <v>105</v>
      </c>
      <c r="BK9" s="33" t="s">
        <v>89</v>
      </c>
      <c r="BL9" s="13" t="s">
        <v>106</v>
      </c>
      <c r="BM9" s="34" t="s">
        <v>107</v>
      </c>
      <c r="BN9" s="13" t="s">
        <v>108</v>
      </c>
      <c r="BO9" s="13" t="s">
        <v>73</v>
      </c>
      <c r="BP9" s="13" t="s">
        <v>109</v>
      </c>
      <c r="BQ9" s="13">
        <f t="array" aca="1" ref="BQ9" ca="1">_xlfn.RANDARRAY(2,1,12345,99999,TRUE)</f>
        <v>43375</v>
      </c>
      <c r="BR9" s="17">
        <v>44562</v>
      </c>
      <c r="BS9" s="17">
        <v>47119</v>
      </c>
      <c r="BT9" s="22">
        <v>44562</v>
      </c>
      <c r="BU9" s="22">
        <f t="shared" ca="1" si="3"/>
        <v>46203</v>
      </c>
      <c r="BV9" s="16" t="s">
        <v>110</v>
      </c>
    </row>
    <row r="10" spans="1:74" ht="15" customHeight="1" x14ac:dyDescent="0.35">
      <c r="A10" s="9" t="s">
        <v>204</v>
      </c>
      <c r="B10" s="10">
        <v>10700035</v>
      </c>
      <c r="C10" s="37" t="s">
        <v>71</v>
      </c>
      <c r="D10" s="12" t="s">
        <v>72</v>
      </c>
      <c r="E10" s="13" t="s">
        <v>73</v>
      </c>
      <c r="F10" s="14" t="s">
        <v>134</v>
      </c>
      <c r="G10" s="14" t="s">
        <v>135</v>
      </c>
      <c r="H10" s="15" t="s">
        <v>114</v>
      </c>
      <c r="I10" s="16" t="s">
        <v>77</v>
      </c>
      <c r="J10" s="16" t="s">
        <v>78</v>
      </c>
      <c r="K10" s="17">
        <f t="shared" si="9"/>
        <v>45658</v>
      </c>
      <c r="L10" s="13" t="s">
        <v>73</v>
      </c>
      <c r="M10" s="18" t="s">
        <v>79</v>
      </c>
      <c r="N10" s="18" t="s">
        <v>80</v>
      </c>
      <c r="O10" s="19" t="s">
        <v>80</v>
      </c>
      <c r="P10" s="16">
        <v>1542</v>
      </c>
      <c r="Q10" s="16" t="s">
        <v>78</v>
      </c>
      <c r="R10" s="20" t="s">
        <v>81</v>
      </c>
      <c r="S10" s="21" t="s">
        <v>82</v>
      </c>
      <c r="T10" s="16" t="s">
        <v>78</v>
      </c>
      <c r="U10" s="22">
        <v>45658</v>
      </c>
      <c r="V10" s="16" t="s">
        <v>83</v>
      </c>
      <c r="W10" s="23" t="s">
        <v>84</v>
      </c>
      <c r="X10" s="24" t="s">
        <v>85</v>
      </c>
      <c r="Y10" s="24" t="s">
        <v>86</v>
      </c>
      <c r="Z10" s="24" t="s">
        <v>87</v>
      </c>
      <c r="AA10" s="25">
        <v>795</v>
      </c>
      <c r="AB10" s="25" t="s">
        <v>88</v>
      </c>
      <c r="AC10" s="26">
        <v>20</v>
      </c>
      <c r="AD10" s="27" t="s">
        <v>89</v>
      </c>
      <c r="AE10" s="28" t="s">
        <v>121</v>
      </c>
      <c r="AF10" s="29" t="s">
        <v>89</v>
      </c>
      <c r="AG10" s="16" t="s">
        <v>91</v>
      </c>
      <c r="AH10" s="16" t="s">
        <v>92</v>
      </c>
      <c r="AI10" s="16" t="s">
        <v>89</v>
      </c>
      <c r="AJ10" s="17">
        <f t="shared" si="10"/>
        <v>45658</v>
      </c>
      <c r="AK10" s="17">
        <f t="shared" si="11"/>
        <v>45658</v>
      </c>
      <c r="AL10" s="17">
        <f t="shared" si="12"/>
        <v>45658</v>
      </c>
      <c r="AM10" s="22" t="str">
        <f t="shared" si="13"/>
        <v>N/A</v>
      </c>
      <c r="AN10" s="16" t="s">
        <v>93</v>
      </c>
      <c r="AO10" s="30" t="s">
        <v>94</v>
      </c>
      <c r="AP10" s="24" t="s">
        <v>95</v>
      </c>
      <c r="AQ10" s="24" t="s">
        <v>96</v>
      </c>
      <c r="AR10" s="19" t="s">
        <v>97</v>
      </c>
      <c r="AS10" s="13" t="s">
        <v>89</v>
      </c>
      <c r="AT10" s="13" t="s">
        <v>89</v>
      </c>
      <c r="AU10" s="17">
        <f t="shared" si="14"/>
        <v>45688</v>
      </c>
      <c r="AV10" s="13" t="s">
        <v>73</v>
      </c>
      <c r="AW10" s="31" t="s">
        <v>98</v>
      </c>
      <c r="AX10" s="32">
        <f t="array" aca="1" ref="AX10" ca="1">_xlfn.RANDARRAY(2,1,1023456789000,9999999999999,TRUE)</f>
        <v>3532184752614</v>
      </c>
      <c r="AY10" s="17" t="s">
        <v>99</v>
      </c>
      <c r="AZ10" s="17" t="s">
        <v>100</v>
      </c>
      <c r="BA10" s="13" t="s">
        <v>73</v>
      </c>
      <c r="BB10" s="31" t="s">
        <v>101</v>
      </c>
      <c r="BC10" s="32">
        <f t="array" aca="1" ref="BC10" ca="1">_xlfn.RANDARRAY(2,1,12345678,99999999,TRUE)</f>
        <v>64673777</v>
      </c>
      <c r="BD10" s="17" t="s">
        <v>99</v>
      </c>
      <c r="BE10" s="17" t="s">
        <v>102</v>
      </c>
      <c r="BF10" s="19" t="s">
        <v>103</v>
      </c>
      <c r="BG10" s="17">
        <v>25873</v>
      </c>
      <c r="BH10" s="13" t="s">
        <v>104</v>
      </c>
      <c r="BI10" s="13" t="s">
        <v>73</v>
      </c>
      <c r="BJ10" s="13" t="s">
        <v>105</v>
      </c>
      <c r="BK10" s="33" t="s">
        <v>89</v>
      </c>
      <c r="BL10" s="13" t="s">
        <v>106</v>
      </c>
      <c r="BM10" s="34" t="s">
        <v>107</v>
      </c>
      <c r="BN10" s="13" t="s">
        <v>108</v>
      </c>
      <c r="BO10" s="13" t="s">
        <v>73</v>
      </c>
      <c r="BP10" s="13" t="s">
        <v>109</v>
      </c>
      <c r="BQ10" s="13">
        <f t="array" aca="1" ref="BQ10" ca="1">_xlfn.RANDARRAY(2,1,12345,99999,TRUE)</f>
        <v>14808</v>
      </c>
      <c r="BR10" s="17">
        <v>44562</v>
      </c>
      <c r="BS10" s="17">
        <v>47119</v>
      </c>
      <c r="BT10" s="22">
        <v>44562</v>
      </c>
      <c r="BU10" s="22">
        <f t="shared" ca="1" si="3"/>
        <v>46203</v>
      </c>
      <c r="BV10" s="16" t="s">
        <v>110</v>
      </c>
    </row>
    <row r="11" spans="1:74" ht="15" customHeight="1" x14ac:dyDescent="0.35">
      <c r="A11" s="9" t="s">
        <v>205</v>
      </c>
      <c r="B11" s="35" t="s">
        <v>136</v>
      </c>
      <c r="C11" s="37" t="s">
        <v>71</v>
      </c>
      <c r="D11" s="12" t="s">
        <v>72</v>
      </c>
      <c r="E11" s="13" t="s">
        <v>73</v>
      </c>
      <c r="F11" s="14" t="s">
        <v>137</v>
      </c>
      <c r="G11" s="14" t="s">
        <v>138</v>
      </c>
      <c r="H11" s="15" t="s">
        <v>76</v>
      </c>
      <c r="I11" s="16" t="s">
        <v>77</v>
      </c>
      <c r="J11" s="16" t="s">
        <v>78</v>
      </c>
      <c r="K11" s="17">
        <f t="shared" si="9"/>
        <v>45658</v>
      </c>
      <c r="L11" s="13" t="s">
        <v>73</v>
      </c>
      <c r="M11" s="18" t="s">
        <v>79</v>
      </c>
      <c r="N11" s="18" t="s">
        <v>80</v>
      </c>
      <c r="O11" s="19" t="s">
        <v>80</v>
      </c>
      <c r="P11" s="16">
        <v>1542</v>
      </c>
      <c r="Q11" s="16" t="s">
        <v>78</v>
      </c>
      <c r="R11" s="20" t="s">
        <v>81</v>
      </c>
      <c r="S11" s="21" t="s">
        <v>82</v>
      </c>
      <c r="T11" s="16" t="s">
        <v>78</v>
      </c>
      <c r="U11" s="22">
        <v>45658</v>
      </c>
      <c r="V11" s="16" t="s">
        <v>83</v>
      </c>
      <c r="W11" s="23" t="s">
        <v>84</v>
      </c>
      <c r="X11" s="24" t="s">
        <v>85</v>
      </c>
      <c r="Y11" s="24" t="s">
        <v>86</v>
      </c>
      <c r="Z11" s="24" t="s">
        <v>124</v>
      </c>
      <c r="AA11" s="25">
        <v>795</v>
      </c>
      <c r="AB11" s="25" t="s">
        <v>88</v>
      </c>
      <c r="AC11" s="26">
        <v>40</v>
      </c>
      <c r="AD11" s="27" t="s">
        <v>89</v>
      </c>
      <c r="AE11" s="28" t="s">
        <v>121</v>
      </c>
      <c r="AF11" s="29" t="s">
        <v>89</v>
      </c>
      <c r="AG11" s="16" t="s">
        <v>91</v>
      </c>
      <c r="AH11" s="16" t="s">
        <v>92</v>
      </c>
      <c r="AI11" s="16" t="s">
        <v>89</v>
      </c>
      <c r="AJ11" s="17">
        <f t="shared" si="10"/>
        <v>45658</v>
      </c>
      <c r="AK11" s="17">
        <f t="shared" si="11"/>
        <v>45658</v>
      </c>
      <c r="AL11" s="17">
        <f t="shared" si="12"/>
        <v>45658</v>
      </c>
      <c r="AM11" s="22" t="str">
        <f t="shared" si="13"/>
        <v>N/A</v>
      </c>
      <c r="AN11" s="16" t="s">
        <v>93</v>
      </c>
      <c r="AO11" s="30" t="s">
        <v>94</v>
      </c>
      <c r="AP11" s="24" t="s">
        <v>95</v>
      </c>
      <c r="AQ11" s="24" t="s">
        <v>96</v>
      </c>
      <c r="AR11" s="19" t="s">
        <v>97</v>
      </c>
      <c r="AS11" s="13" t="s">
        <v>89</v>
      </c>
      <c r="AT11" s="13" t="s">
        <v>89</v>
      </c>
      <c r="AU11" s="17">
        <f t="shared" si="14"/>
        <v>45688</v>
      </c>
      <c r="AV11" s="13" t="s">
        <v>73</v>
      </c>
      <c r="AW11" s="31" t="s">
        <v>98</v>
      </c>
      <c r="AX11" s="32">
        <f t="array" aca="1" ref="AX11" ca="1">_xlfn.RANDARRAY(2,1,1023456789000,9999999999999,TRUE)</f>
        <v>7243893249366</v>
      </c>
      <c r="AY11" s="17" t="s">
        <v>99</v>
      </c>
      <c r="AZ11" s="17" t="s">
        <v>100</v>
      </c>
      <c r="BA11" s="13" t="s">
        <v>73</v>
      </c>
      <c r="BB11" s="31" t="s">
        <v>101</v>
      </c>
      <c r="BC11" s="32">
        <f t="array" aca="1" ref="BC11" ca="1">_xlfn.RANDARRAY(2,1,12345678,99999999,TRUE)</f>
        <v>93317950</v>
      </c>
      <c r="BD11" s="17" t="s">
        <v>99</v>
      </c>
      <c r="BE11" s="17" t="s">
        <v>102</v>
      </c>
      <c r="BF11" s="19" t="s">
        <v>103</v>
      </c>
      <c r="BG11" s="17">
        <v>25984</v>
      </c>
      <c r="BH11" s="13" t="s">
        <v>104</v>
      </c>
      <c r="BI11" s="13" t="s">
        <v>73</v>
      </c>
      <c r="BJ11" s="13" t="s">
        <v>105</v>
      </c>
      <c r="BK11" s="33" t="s">
        <v>89</v>
      </c>
      <c r="BL11" s="13" t="s">
        <v>106</v>
      </c>
      <c r="BM11" s="34" t="s">
        <v>107</v>
      </c>
      <c r="BN11" s="13" t="s">
        <v>108</v>
      </c>
      <c r="BO11" s="13" t="s">
        <v>73</v>
      </c>
      <c r="BP11" s="13" t="s">
        <v>109</v>
      </c>
      <c r="BQ11" s="13">
        <f t="array" aca="1" ref="BQ11" ca="1">_xlfn.RANDARRAY(2,1,12345,99999,TRUE)</f>
        <v>48932</v>
      </c>
      <c r="BR11" s="17">
        <v>44562</v>
      </c>
      <c r="BS11" s="17">
        <v>47119</v>
      </c>
      <c r="BT11" s="22">
        <v>44562</v>
      </c>
      <c r="BU11" s="22">
        <f t="shared" ca="1" si="3"/>
        <v>46203</v>
      </c>
      <c r="BV11" s="16" t="s">
        <v>110</v>
      </c>
    </row>
    <row r="12" spans="1:74" ht="15" customHeight="1" x14ac:dyDescent="0.35">
      <c r="A12" s="9" t="s">
        <v>206</v>
      </c>
      <c r="B12" s="35" t="s">
        <v>139</v>
      </c>
      <c r="C12" s="37" t="s">
        <v>71</v>
      </c>
      <c r="D12" s="12" t="s">
        <v>72</v>
      </c>
      <c r="E12" s="13" t="s">
        <v>73</v>
      </c>
      <c r="F12" s="14" t="s">
        <v>140</v>
      </c>
      <c r="G12" s="14" t="s">
        <v>141</v>
      </c>
      <c r="H12" s="15" t="s">
        <v>114</v>
      </c>
      <c r="I12" s="16" t="s">
        <v>77</v>
      </c>
      <c r="J12" s="16" t="s">
        <v>78</v>
      </c>
      <c r="K12" s="17">
        <f t="shared" si="9"/>
        <v>45703</v>
      </c>
      <c r="L12" s="13" t="s">
        <v>73</v>
      </c>
      <c r="M12" s="18" t="s">
        <v>79</v>
      </c>
      <c r="N12" s="18" t="s">
        <v>80</v>
      </c>
      <c r="O12" s="19" t="s">
        <v>80</v>
      </c>
      <c r="P12" s="16">
        <v>1542</v>
      </c>
      <c r="Q12" s="16" t="s">
        <v>78</v>
      </c>
      <c r="R12" s="20" t="s">
        <v>81</v>
      </c>
      <c r="S12" s="21" t="s">
        <v>82</v>
      </c>
      <c r="T12" s="16" t="s">
        <v>78</v>
      </c>
      <c r="U12" s="22">
        <v>45703</v>
      </c>
      <c r="V12" s="16" t="s">
        <v>83</v>
      </c>
      <c r="W12" s="23" t="s">
        <v>84</v>
      </c>
      <c r="X12" s="24" t="s">
        <v>85</v>
      </c>
      <c r="Y12" s="24" t="s">
        <v>86</v>
      </c>
      <c r="Z12" s="24" t="s">
        <v>124</v>
      </c>
      <c r="AA12" s="25">
        <v>795</v>
      </c>
      <c r="AB12" s="25" t="s">
        <v>88</v>
      </c>
      <c r="AC12" s="26">
        <v>40</v>
      </c>
      <c r="AD12" s="27" t="s">
        <v>89</v>
      </c>
      <c r="AE12" s="28" t="s">
        <v>121</v>
      </c>
      <c r="AF12" s="29" t="s">
        <v>89</v>
      </c>
      <c r="AG12" s="16" t="s">
        <v>91</v>
      </c>
      <c r="AH12" s="16" t="s">
        <v>92</v>
      </c>
      <c r="AI12" s="16" t="s">
        <v>89</v>
      </c>
      <c r="AJ12" s="17">
        <f t="shared" si="10"/>
        <v>45703</v>
      </c>
      <c r="AK12" s="17">
        <f t="shared" si="11"/>
        <v>45703</v>
      </c>
      <c r="AL12" s="17">
        <f t="shared" si="12"/>
        <v>45703</v>
      </c>
      <c r="AM12" s="22" t="str">
        <f t="shared" si="13"/>
        <v>N/A</v>
      </c>
      <c r="AN12" s="16" t="s">
        <v>93</v>
      </c>
      <c r="AO12" s="30" t="s">
        <v>94</v>
      </c>
      <c r="AP12" s="24" t="s">
        <v>95</v>
      </c>
      <c r="AQ12" s="24" t="s">
        <v>96</v>
      </c>
      <c r="AR12" s="19" t="s">
        <v>97</v>
      </c>
      <c r="AS12" s="13" t="s">
        <v>89</v>
      </c>
      <c r="AT12" s="13" t="s">
        <v>89</v>
      </c>
      <c r="AU12" s="17">
        <f t="shared" si="14"/>
        <v>45733</v>
      </c>
      <c r="AV12" s="13" t="s">
        <v>73</v>
      </c>
      <c r="AW12" s="31" t="s">
        <v>98</v>
      </c>
      <c r="AX12" s="32">
        <f t="array" aca="1" ref="AX12" ca="1">_xlfn.RANDARRAY(2,1,1023456789000,9999999999999,TRUE)</f>
        <v>3000774852500</v>
      </c>
      <c r="AY12" s="17" t="s">
        <v>99</v>
      </c>
      <c r="AZ12" s="17" t="s">
        <v>100</v>
      </c>
      <c r="BA12" s="13" t="s">
        <v>73</v>
      </c>
      <c r="BB12" s="31" t="s">
        <v>101</v>
      </c>
      <c r="BC12" s="32">
        <f t="array" aca="1" ref="BC12" ca="1">_xlfn.RANDARRAY(2,1,12345678,99999999,TRUE)</f>
        <v>55606461</v>
      </c>
      <c r="BD12" s="17" t="s">
        <v>99</v>
      </c>
      <c r="BE12" s="17" t="s">
        <v>102</v>
      </c>
      <c r="BF12" s="19" t="s">
        <v>103</v>
      </c>
      <c r="BG12" s="17">
        <v>25873</v>
      </c>
      <c r="BH12" s="13" t="s">
        <v>104</v>
      </c>
      <c r="BI12" s="13" t="s">
        <v>73</v>
      </c>
      <c r="BJ12" s="13" t="s">
        <v>105</v>
      </c>
      <c r="BK12" s="33" t="s">
        <v>89</v>
      </c>
      <c r="BL12" s="13" t="s">
        <v>106</v>
      </c>
      <c r="BM12" s="34" t="s">
        <v>107</v>
      </c>
      <c r="BN12" s="13" t="s">
        <v>108</v>
      </c>
      <c r="BO12" s="13" t="s">
        <v>73</v>
      </c>
      <c r="BP12" s="13" t="s">
        <v>109</v>
      </c>
      <c r="BQ12" s="13">
        <f t="array" aca="1" ref="BQ12" ca="1">_xlfn.RANDARRAY(2,1,12345,99999,TRUE)</f>
        <v>68651</v>
      </c>
      <c r="BR12" s="17">
        <v>44562</v>
      </c>
      <c r="BS12" s="17">
        <v>47119</v>
      </c>
      <c r="BT12" s="22">
        <v>44562</v>
      </c>
      <c r="BU12" s="22">
        <f t="shared" ca="1" si="3"/>
        <v>46203</v>
      </c>
      <c r="BV12" s="16" t="s">
        <v>110</v>
      </c>
    </row>
    <row r="13" spans="1:74" ht="14.5" customHeight="1" x14ac:dyDescent="0.35">
      <c r="A13" s="63" t="s">
        <v>207</v>
      </c>
      <c r="B13" s="11" t="s">
        <v>142</v>
      </c>
      <c r="C13" s="11" t="s">
        <v>143</v>
      </c>
      <c r="D13" s="12" t="s">
        <v>72</v>
      </c>
      <c r="E13" s="13" t="s">
        <v>73</v>
      </c>
      <c r="F13" s="14" t="s">
        <v>144</v>
      </c>
      <c r="G13" s="14" t="s">
        <v>145</v>
      </c>
      <c r="H13" s="15" t="s">
        <v>76</v>
      </c>
      <c r="I13" s="16" t="s">
        <v>77</v>
      </c>
      <c r="J13" s="16" t="s">
        <v>78</v>
      </c>
      <c r="K13" s="17">
        <f t="shared" si="9"/>
        <v>46188</v>
      </c>
      <c r="L13" s="13" t="s">
        <v>73</v>
      </c>
      <c r="M13" s="18" t="s">
        <v>79</v>
      </c>
      <c r="N13" s="18" t="s">
        <v>80</v>
      </c>
      <c r="O13" s="19" t="s">
        <v>80</v>
      </c>
      <c r="P13" s="16">
        <v>1542</v>
      </c>
      <c r="Q13" s="16" t="s">
        <v>78</v>
      </c>
      <c r="R13" s="20" t="s">
        <v>81</v>
      </c>
      <c r="S13" s="21" t="s">
        <v>82</v>
      </c>
      <c r="T13" s="16" t="s">
        <v>78</v>
      </c>
      <c r="U13" s="22">
        <v>46188</v>
      </c>
      <c r="V13" s="16" t="s">
        <v>83</v>
      </c>
      <c r="W13" s="23" t="s">
        <v>84</v>
      </c>
      <c r="X13" s="24" t="s">
        <v>85</v>
      </c>
      <c r="Y13" s="24" t="s">
        <v>86</v>
      </c>
      <c r="Z13" s="24" t="s">
        <v>87</v>
      </c>
      <c r="AA13" s="25">
        <v>795</v>
      </c>
      <c r="AB13" s="25" t="s">
        <v>88</v>
      </c>
      <c r="AC13" s="26">
        <v>16</v>
      </c>
      <c r="AD13" s="27" t="s">
        <v>89</v>
      </c>
      <c r="AE13" s="28" t="s">
        <v>90</v>
      </c>
      <c r="AF13" s="29" t="s">
        <v>89</v>
      </c>
      <c r="AG13" s="16" t="s">
        <v>91</v>
      </c>
      <c r="AH13" s="16" t="s">
        <v>92</v>
      </c>
      <c r="AI13" s="16" t="s">
        <v>89</v>
      </c>
      <c r="AJ13" s="17">
        <f t="shared" si="10"/>
        <v>46188</v>
      </c>
      <c r="AK13" s="17">
        <f t="shared" si="11"/>
        <v>46188</v>
      </c>
      <c r="AL13" s="17">
        <f t="shared" si="12"/>
        <v>46188</v>
      </c>
      <c r="AM13" s="22" t="str">
        <f t="shared" si="13"/>
        <v>N/A</v>
      </c>
      <c r="AN13" s="16" t="s">
        <v>93</v>
      </c>
      <c r="AO13" s="30" t="s">
        <v>94</v>
      </c>
      <c r="AP13" s="24" t="s">
        <v>95</v>
      </c>
      <c r="AQ13" s="24" t="s">
        <v>96</v>
      </c>
      <c r="AR13" s="19" t="s">
        <v>97</v>
      </c>
      <c r="AS13" s="13" t="s">
        <v>89</v>
      </c>
      <c r="AT13" s="13" t="s">
        <v>89</v>
      </c>
      <c r="AU13" s="17">
        <f t="shared" si="14"/>
        <v>46218</v>
      </c>
      <c r="AV13" s="13" t="s">
        <v>73</v>
      </c>
      <c r="AW13" s="31" t="s">
        <v>98</v>
      </c>
      <c r="AX13" s="32">
        <f t="array" aca="1" ref="AX13" ca="1">_xlfn.RANDARRAY(2,1,1023456789000,9999999999999,TRUE)</f>
        <v>2416091827796</v>
      </c>
      <c r="AY13" s="17" t="s">
        <v>99</v>
      </c>
      <c r="AZ13" s="17" t="s">
        <v>100</v>
      </c>
      <c r="BA13" s="13" t="s">
        <v>73</v>
      </c>
      <c r="BB13" s="31" t="s">
        <v>101</v>
      </c>
      <c r="BC13" s="32">
        <f t="array" aca="1" ref="BC13" ca="1">_xlfn.RANDARRAY(2,1,12345678,99999999,TRUE)</f>
        <v>87389994</v>
      </c>
      <c r="BD13" s="17" t="s">
        <v>99</v>
      </c>
      <c r="BE13" s="17" t="s">
        <v>102</v>
      </c>
      <c r="BF13" s="19" t="s">
        <v>103</v>
      </c>
      <c r="BG13" s="17">
        <v>25984</v>
      </c>
      <c r="BH13" s="13" t="s">
        <v>104</v>
      </c>
      <c r="BI13" s="13" t="s">
        <v>73</v>
      </c>
      <c r="BJ13" s="13" t="s">
        <v>105</v>
      </c>
      <c r="BK13" s="33" t="s">
        <v>89</v>
      </c>
      <c r="BL13" s="13" t="s">
        <v>106</v>
      </c>
      <c r="BM13" s="34" t="s">
        <v>107</v>
      </c>
      <c r="BN13" s="13" t="s">
        <v>108</v>
      </c>
      <c r="BO13" s="13" t="s">
        <v>73</v>
      </c>
      <c r="BP13" s="13" t="s">
        <v>109</v>
      </c>
      <c r="BQ13" s="13">
        <f t="array" aca="1" ref="BQ13" ca="1">_xlfn.RANDARRAY(2,1,12345,99999,TRUE)</f>
        <v>12890</v>
      </c>
      <c r="BR13" s="17">
        <v>44562</v>
      </c>
      <c r="BS13" s="17">
        <v>47119</v>
      </c>
      <c r="BT13" s="22">
        <v>44562</v>
      </c>
      <c r="BU13" s="22">
        <f t="shared" ca="1" si="3"/>
        <v>46203</v>
      </c>
      <c r="BV13" s="16" t="s">
        <v>110</v>
      </c>
    </row>
    <row r="14" spans="1:74" ht="14.5" customHeight="1" x14ac:dyDescent="0.35">
      <c r="A14" s="36" t="s">
        <v>208</v>
      </c>
      <c r="B14" s="10">
        <v>10700044</v>
      </c>
      <c r="C14" s="37" t="s">
        <v>71</v>
      </c>
      <c r="D14" s="12" t="s">
        <v>72</v>
      </c>
      <c r="E14" s="13" t="s">
        <v>73</v>
      </c>
      <c r="F14" s="14" t="s">
        <v>146</v>
      </c>
      <c r="G14" s="14" t="s">
        <v>147</v>
      </c>
      <c r="H14" s="15" t="s">
        <v>114</v>
      </c>
      <c r="I14" s="16" t="s">
        <v>77</v>
      </c>
      <c r="J14" s="16" t="s">
        <v>78</v>
      </c>
      <c r="K14" s="17">
        <f t="shared" si="9"/>
        <v>45769</v>
      </c>
      <c r="L14" s="13" t="s">
        <v>73</v>
      </c>
      <c r="M14" s="18" t="s">
        <v>79</v>
      </c>
      <c r="N14" s="18" t="s">
        <v>80</v>
      </c>
      <c r="O14" s="19" t="s">
        <v>80</v>
      </c>
      <c r="P14" s="16">
        <v>1542</v>
      </c>
      <c r="Q14" s="16" t="s">
        <v>78</v>
      </c>
      <c r="R14" s="20" t="s">
        <v>81</v>
      </c>
      <c r="S14" s="21" t="s">
        <v>82</v>
      </c>
      <c r="T14" s="16" t="s">
        <v>78</v>
      </c>
      <c r="U14" s="22">
        <v>45769</v>
      </c>
      <c r="V14" s="16" t="s">
        <v>83</v>
      </c>
      <c r="W14" s="23" t="s">
        <v>84</v>
      </c>
      <c r="X14" s="24" t="s">
        <v>85</v>
      </c>
      <c r="Y14" s="24" t="s">
        <v>86</v>
      </c>
      <c r="Z14" s="24" t="s">
        <v>87</v>
      </c>
      <c r="AA14" s="25">
        <v>795</v>
      </c>
      <c r="AB14" s="25" t="s">
        <v>88</v>
      </c>
      <c r="AC14" s="26">
        <v>16</v>
      </c>
      <c r="AD14" s="27" t="s">
        <v>89</v>
      </c>
      <c r="AE14" s="28" t="s">
        <v>148</v>
      </c>
      <c r="AF14" s="29" t="s">
        <v>89</v>
      </c>
      <c r="AG14" s="16" t="s">
        <v>91</v>
      </c>
      <c r="AH14" s="16" t="s">
        <v>92</v>
      </c>
      <c r="AI14" s="16" t="s">
        <v>89</v>
      </c>
      <c r="AJ14" s="17">
        <f t="shared" si="10"/>
        <v>45769</v>
      </c>
      <c r="AK14" s="17">
        <f t="shared" si="11"/>
        <v>45769</v>
      </c>
      <c r="AL14" s="17">
        <f t="shared" si="12"/>
        <v>45769</v>
      </c>
      <c r="AM14" s="22" t="str">
        <f t="shared" si="13"/>
        <v>N/A</v>
      </c>
      <c r="AN14" s="16" t="s">
        <v>93</v>
      </c>
      <c r="AO14" s="30" t="s">
        <v>94</v>
      </c>
      <c r="AP14" s="24" t="s">
        <v>95</v>
      </c>
      <c r="AQ14" s="24" t="s">
        <v>96</v>
      </c>
      <c r="AR14" s="19" t="s">
        <v>97</v>
      </c>
      <c r="AS14" s="13" t="s">
        <v>89</v>
      </c>
      <c r="AT14" s="13" t="s">
        <v>89</v>
      </c>
      <c r="AU14" s="17">
        <f t="shared" si="14"/>
        <v>45799</v>
      </c>
      <c r="AV14" s="13" t="s">
        <v>73</v>
      </c>
      <c r="AW14" s="31" t="s">
        <v>98</v>
      </c>
      <c r="AX14" s="32">
        <f t="array" aca="1" ref="AX14" ca="1">_xlfn.RANDARRAY(2,1,1023456789000,9999999999999,TRUE)</f>
        <v>3845868399407</v>
      </c>
      <c r="AY14" s="17" t="s">
        <v>99</v>
      </c>
      <c r="AZ14" s="17" t="s">
        <v>100</v>
      </c>
      <c r="BA14" s="13" t="s">
        <v>73</v>
      </c>
      <c r="BB14" s="31" t="s">
        <v>101</v>
      </c>
      <c r="BC14" s="32">
        <f t="array" aca="1" ref="BC14" ca="1">_xlfn.RANDARRAY(2,1,12345678,99999999,TRUE)</f>
        <v>29937988</v>
      </c>
      <c r="BD14" s="17" t="s">
        <v>99</v>
      </c>
      <c r="BE14" s="17" t="s">
        <v>102</v>
      </c>
      <c r="BF14" s="19" t="s">
        <v>103</v>
      </c>
      <c r="BG14" s="17">
        <v>25873</v>
      </c>
      <c r="BH14" s="13" t="s">
        <v>104</v>
      </c>
      <c r="BI14" s="13" t="s">
        <v>73</v>
      </c>
      <c r="BJ14" s="13" t="s">
        <v>105</v>
      </c>
      <c r="BK14" s="33" t="s">
        <v>89</v>
      </c>
      <c r="BL14" s="13" t="s">
        <v>106</v>
      </c>
      <c r="BM14" s="34" t="s">
        <v>107</v>
      </c>
      <c r="BN14" s="13" t="s">
        <v>108</v>
      </c>
      <c r="BO14" s="13" t="s">
        <v>73</v>
      </c>
      <c r="BP14" s="13" t="s">
        <v>109</v>
      </c>
      <c r="BQ14" s="13">
        <f t="array" aca="1" ref="BQ14" ca="1">_xlfn.RANDARRAY(2,1,12345,99999,TRUE)</f>
        <v>60566</v>
      </c>
      <c r="BR14" s="17">
        <v>44562</v>
      </c>
      <c r="BS14" s="17">
        <v>47119</v>
      </c>
      <c r="BT14" s="22">
        <v>44562</v>
      </c>
      <c r="BU14" s="22">
        <f t="shared" ca="1" si="3"/>
        <v>46203</v>
      </c>
      <c r="BV14" s="16" t="s">
        <v>110</v>
      </c>
    </row>
    <row r="15" spans="1:74" ht="14.5" customHeight="1" x14ac:dyDescent="0.35">
      <c r="A15" s="62" t="s">
        <v>209</v>
      </c>
      <c r="B15" s="65" t="s">
        <v>149</v>
      </c>
      <c r="C15" s="37" t="s">
        <v>71</v>
      </c>
      <c r="D15" s="12" t="s">
        <v>72</v>
      </c>
      <c r="E15" s="13" t="s">
        <v>73</v>
      </c>
      <c r="F15" s="14" t="s">
        <v>150</v>
      </c>
      <c r="G15" s="14" t="s">
        <v>151</v>
      </c>
      <c r="H15" s="15" t="s">
        <v>76</v>
      </c>
      <c r="I15" s="16" t="s">
        <v>77</v>
      </c>
      <c r="J15" s="16" t="s">
        <v>78</v>
      </c>
      <c r="K15" s="17">
        <f t="shared" si="9"/>
        <v>45704</v>
      </c>
      <c r="L15" s="13" t="s">
        <v>73</v>
      </c>
      <c r="M15" s="18" t="s">
        <v>79</v>
      </c>
      <c r="N15" s="18" t="s">
        <v>80</v>
      </c>
      <c r="O15" s="19" t="s">
        <v>80</v>
      </c>
      <c r="P15" s="16">
        <v>1542</v>
      </c>
      <c r="Q15" s="16" t="s">
        <v>78</v>
      </c>
      <c r="R15" s="20" t="s">
        <v>81</v>
      </c>
      <c r="S15" s="21" t="s">
        <v>82</v>
      </c>
      <c r="T15" s="16" t="s">
        <v>78</v>
      </c>
      <c r="U15" s="22">
        <v>45704</v>
      </c>
      <c r="V15" s="16" t="s">
        <v>83</v>
      </c>
      <c r="W15" s="23" t="s">
        <v>84</v>
      </c>
      <c r="X15" s="24" t="s">
        <v>85</v>
      </c>
      <c r="Y15" s="24" t="s">
        <v>86</v>
      </c>
      <c r="Z15" s="24" t="s">
        <v>124</v>
      </c>
      <c r="AA15" s="25">
        <v>795</v>
      </c>
      <c r="AB15" s="25" t="s">
        <v>88</v>
      </c>
      <c r="AC15" s="26">
        <v>40</v>
      </c>
      <c r="AD15" s="27" t="s">
        <v>89</v>
      </c>
      <c r="AE15" s="28" t="s">
        <v>121</v>
      </c>
      <c r="AF15" s="29" t="s">
        <v>89</v>
      </c>
      <c r="AG15" s="16" t="s">
        <v>91</v>
      </c>
      <c r="AH15" s="16" t="s">
        <v>92</v>
      </c>
      <c r="AI15" s="16" t="s">
        <v>89</v>
      </c>
      <c r="AJ15" s="17">
        <f t="shared" si="10"/>
        <v>45704</v>
      </c>
      <c r="AK15" s="17">
        <f t="shared" si="11"/>
        <v>45704</v>
      </c>
      <c r="AL15" s="17">
        <f t="shared" si="12"/>
        <v>45704</v>
      </c>
      <c r="AM15" s="22" t="str">
        <f t="shared" si="13"/>
        <v>N/A</v>
      </c>
      <c r="AN15" s="16" t="s">
        <v>93</v>
      </c>
      <c r="AO15" s="30" t="s">
        <v>94</v>
      </c>
      <c r="AP15" s="24" t="s">
        <v>95</v>
      </c>
      <c r="AQ15" s="24" t="s">
        <v>96</v>
      </c>
      <c r="AR15" s="19" t="s">
        <v>97</v>
      </c>
      <c r="AS15" s="13" t="s">
        <v>89</v>
      </c>
      <c r="AT15" s="13" t="s">
        <v>89</v>
      </c>
      <c r="AU15" s="17">
        <f t="shared" si="14"/>
        <v>45734</v>
      </c>
      <c r="AV15" s="13" t="s">
        <v>73</v>
      </c>
      <c r="AW15" s="31" t="s">
        <v>98</v>
      </c>
      <c r="AX15" s="32">
        <f t="array" aca="1" ref="AX15" ca="1">_xlfn.RANDARRAY(2,1,1023456789000,9999999999999,TRUE)</f>
        <v>5937582884839</v>
      </c>
      <c r="AY15" s="17" t="s">
        <v>99</v>
      </c>
      <c r="AZ15" s="17" t="s">
        <v>100</v>
      </c>
      <c r="BA15" s="13" t="s">
        <v>73</v>
      </c>
      <c r="BB15" s="31" t="s">
        <v>101</v>
      </c>
      <c r="BC15" s="32">
        <f t="array" aca="1" ref="BC15" ca="1">_xlfn.RANDARRAY(2,1,12345678,99999999,TRUE)</f>
        <v>68651125</v>
      </c>
      <c r="BD15" s="17" t="s">
        <v>99</v>
      </c>
      <c r="BE15" s="17" t="s">
        <v>102</v>
      </c>
      <c r="BF15" s="19" t="s">
        <v>103</v>
      </c>
      <c r="BG15" s="17">
        <v>25984</v>
      </c>
      <c r="BH15" s="13" t="s">
        <v>104</v>
      </c>
      <c r="BI15" s="13" t="s">
        <v>73</v>
      </c>
      <c r="BJ15" s="13" t="s">
        <v>105</v>
      </c>
      <c r="BK15" s="33" t="s">
        <v>89</v>
      </c>
      <c r="BL15" s="13" t="s">
        <v>106</v>
      </c>
      <c r="BM15" s="34" t="s">
        <v>107</v>
      </c>
      <c r="BN15" s="13" t="s">
        <v>108</v>
      </c>
      <c r="BO15" s="13" t="s">
        <v>73</v>
      </c>
      <c r="BP15" s="13" t="s">
        <v>109</v>
      </c>
      <c r="BQ15" s="13">
        <f t="array" aca="1" ref="BQ15" ca="1">_xlfn.RANDARRAY(2,1,12345,99999,TRUE)</f>
        <v>97787</v>
      </c>
      <c r="BR15" s="17">
        <v>44562</v>
      </c>
      <c r="BS15" s="17">
        <v>47119</v>
      </c>
      <c r="BT15" s="22">
        <v>44562</v>
      </c>
      <c r="BU15" s="22">
        <f t="shared" ca="1" si="3"/>
        <v>46203</v>
      </c>
      <c r="BV15" s="16" t="s">
        <v>110</v>
      </c>
    </row>
    <row r="16" spans="1:74" ht="14.5" customHeight="1" x14ac:dyDescent="0.35">
      <c r="A16" s="36" t="s">
        <v>152</v>
      </c>
      <c r="B16" s="66">
        <v>10700022</v>
      </c>
      <c r="C16" s="37" t="s">
        <v>71</v>
      </c>
      <c r="D16" s="12" t="s">
        <v>72</v>
      </c>
      <c r="E16" s="13" t="s">
        <v>73</v>
      </c>
      <c r="F16" s="14" t="s">
        <v>153</v>
      </c>
      <c r="G16" s="14" t="s">
        <v>154</v>
      </c>
      <c r="H16" s="15" t="s">
        <v>114</v>
      </c>
      <c r="I16" s="16" t="s">
        <v>77</v>
      </c>
      <c r="J16" s="16" t="s">
        <v>78</v>
      </c>
      <c r="K16" s="17">
        <f t="shared" si="9"/>
        <v>45704</v>
      </c>
      <c r="L16" s="13" t="s">
        <v>73</v>
      </c>
      <c r="M16" s="18" t="s">
        <v>79</v>
      </c>
      <c r="N16" s="18" t="s">
        <v>80</v>
      </c>
      <c r="O16" s="19" t="s">
        <v>80</v>
      </c>
      <c r="P16" s="16">
        <v>1542</v>
      </c>
      <c r="Q16" s="16" t="s">
        <v>78</v>
      </c>
      <c r="R16" s="20" t="s">
        <v>81</v>
      </c>
      <c r="S16" s="21" t="s">
        <v>82</v>
      </c>
      <c r="T16" s="16" t="s">
        <v>78</v>
      </c>
      <c r="U16" s="22">
        <v>45704</v>
      </c>
      <c r="V16" s="16" t="s">
        <v>83</v>
      </c>
      <c r="W16" s="23" t="s">
        <v>84</v>
      </c>
      <c r="X16" s="24" t="s">
        <v>85</v>
      </c>
      <c r="Y16" s="24" t="s">
        <v>86</v>
      </c>
      <c r="Z16" s="24" t="s">
        <v>124</v>
      </c>
      <c r="AA16" s="25">
        <v>795</v>
      </c>
      <c r="AB16" s="25" t="s">
        <v>88</v>
      </c>
      <c r="AC16" s="26">
        <v>40</v>
      </c>
      <c r="AD16" s="27" t="s">
        <v>89</v>
      </c>
      <c r="AE16" s="28" t="s">
        <v>121</v>
      </c>
      <c r="AF16" s="29" t="s">
        <v>89</v>
      </c>
      <c r="AG16" s="16" t="s">
        <v>91</v>
      </c>
      <c r="AH16" s="16" t="s">
        <v>92</v>
      </c>
      <c r="AI16" s="16" t="s">
        <v>89</v>
      </c>
      <c r="AJ16" s="17">
        <f t="shared" si="10"/>
        <v>45704</v>
      </c>
      <c r="AK16" s="17">
        <f t="shared" si="11"/>
        <v>45704</v>
      </c>
      <c r="AL16" s="17">
        <f t="shared" si="12"/>
        <v>45704</v>
      </c>
      <c r="AM16" s="22" t="str">
        <f t="shared" si="13"/>
        <v>N/A</v>
      </c>
      <c r="AN16" s="16" t="s">
        <v>93</v>
      </c>
      <c r="AO16" s="30" t="s">
        <v>94</v>
      </c>
      <c r="AP16" s="24" t="s">
        <v>95</v>
      </c>
      <c r="AQ16" s="24" t="s">
        <v>96</v>
      </c>
      <c r="AR16" s="19" t="s">
        <v>97</v>
      </c>
      <c r="AS16" s="13" t="s">
        <v>89</v>
      </c>
      <c r="AT16" s="13" t="s">
        <v>89</v>
      </c>
      <c r="AU16" s="17">
        <f t="shared" si="14"/>
        <v>45734</v>
      </c>
      <c r="AV16" s="13" t="s">
        <v>73</v>
      </c>
      <c r="AW16" s="31" t="s">
        <v>98</v>
      </c>
      <c r="AX16" s="32">
        <f t="array" aca="1" ref="AX16" ca="1">_xlfn.RANDARRAY(2,1,1023456789000,9999999999999,TRUE)</f>
        <v>4706487344729</v>
      </c>
      <c r="AY16" s="17" t="s">
        <v>99</v>
      </c>
      <c r="AZ16" s="17" t="s">
        <v>100</v>
      </c>
      <c r="BA16" s="13" t="s">
        <v>73</v>
      </c>
      <c r="BB16" s="31" t="s">
        <v>101</v>
      </c>
      <c r="BC16" s="32">
        <f t="array" aca="1" ref="BC16" ca="1">_xlfn.RANDARRAY(2,1,12345678,99999999,TRUE)</f>
        <v>50497949</v>
      </c>
      <c r="BD16" s="17" t="s">
        <v>99</v>
      </c>
      <c r="BE16" s="17" t="s">
        <v>102</v>
      </c>
      <c r="BF16" s="19" t="s">
        <v>103</v>
      </c>
      <c r="BG16" s="17">
        <v>25873</v>
      </c>
      <c r="BH16" s="13" t="s">
        <v>104</v>
      </c>
      <c r="BI16" s="13" t="s">
        <v>73</v>
      </c>
      <c r="BJ16" s="13" t="s">
        <v>105</v>
      </c>
      <c r="BK16" s="33" t="s">
        <v>89</v>
      </c>
      <c r="BL16" s="13" t="s">
        <v>106</v>
      </c>
      <c r="BM16" s="34" t="s">
        <v>107</v>
      </c>
      <c r="BN16" s="13" t="s">
        <v>108</v>
      </c>
      <c r="BO16" s="13" t="s">
        <v>73</v>
      </c>
      <c r="BP16" s="13" t="s">
        <v>109</v>
      </c>
      <c r="BQ16" s="13">
        <f t="array" aca="1" ref="BQ16" ca="1">_xlfn.RANDARRAY(2,1,12345,99999,TRUE)</f>
        <v>45432</v>
      </c>
      <c r="BR16" s="17">
        <v>44562</v>
      </c>
      <c r="BS16" s="17">
        <v>47119</v>
      </c>
      <c r="BT16" s="22">
        <v>44562</v>
      </c>
      <c r="BU16" s="22">
        <f t="shared" ca="1" si="3"/>
        <v>46203</v>
      </c>
      <c r="BV16" s="16" t="s">
        <v>110</v>
      </c>
    </row>
    <row r="17" spans="1:74" ht="14.5" customHeight="1" x14ac:dyDescent="0.35">
      <c r="A17" s="38" t="s">
        <v>155</v>
      </c>
      <c r="B17" s="66">
        <v>10700033</v>
      </c>
      <c r="C17" s="37" t="s">
        <v>71</v>
      </c>
      <c r="D17" s="12" t="s">
        <v>72</v>
      </c>
      <c r="E17" s="13" t="s">
        <v>73</v>
      </c>
      <c r="F17" s="14" t="s">
        <v>156</v>
      </c>
      <c r="G17" s="14" t="s">
        <v>157</v>
      </c>
      <c r="H17" s="15" t="s">
        <v>76</v>
      </c>
      <c r="I17" s="16" t="s">
        <v>77</v>
      </c>
      <c r="J17" s="16" t="s">
        <v>78</v>
      </c>
      <c r="K17" s="17">
        <f t="shared" si="9"/>
        <v>45792</v>
      </c>
      <c r="L17" s="13" t="s">
        <v>73</v>
      </c>
      <c r="M17" s="18" t="s">
        <v>79</v>
      </c>
      <c r="N17" s="18" t="s">
        <v>80</v>
      </c>
      <c r="O17" s="19" t="s">
        <v>80</v>
      </c>
      <c r="P17" s="16">
        <v>1542</v>
      </c>
      <c r="Q17" s="16" t="s">
        <v>78</v>
      </c>
      <c r="R17" s="20" t="s">
        <v>81</v>
      </c>
      <c r="S17" s="21" t="s">
        <v>82</v>
      </c>
      <c r="T17" s="16" t="s">
        <v>78</v>
      </c>
      <c r="U17" s="22">
        <v>45792</v>
      </c>
      <c r="V17" s="16" t="s">
        <v>83</v>
      </c>
      <c r="W17" s="23" t="s">
        <v>84</v>
      </c>
      <c r="X17" s="24" t="s">
        <v>85</v>
      </c>
      <c r="Y17" s="24" t="s">
        <v>86</v>
      </c>
      <c r="Z17" s="24" t="s">
        <v>124</v>
      </c>
      <c r="AA17" s="25">
        <v>795</v>
      </c>
      <c r="AB17" s="25" t="s">
        <v>88</v>
      </c>
      <c r="AC17" s="26">
        <v>40</v>
      </c>
      <c r="AD17" s="27" t="s">
        <v>89</v>
      </c>
      <c r="AE17" s="28" t="s">
        <v>121</v>
      </c>
      <c r="AF17" s="29" t="s">
        <v>89</v>
      </c>
      <c r="AG17" s="16" t="s">
        <v>91</v>
      </c>
      <c r="AH17" s="16" t="s">
        <v>92</v>
      </c>
      <c r="AI17" s="16" t="s">
        <v>89</v>
      </c>
      <c r="AJ17" s="17">
        <f t="shared" si="10"/>
        <v>45792</v>
      </c>
      <c r="AK17" s="17">
        <f t="shared" si="11"/>
        <v>45792</v>
      </c>
      <c r="AL17" s="17">
        <f t="shared" si="12"/>
        <v>45792</v>
      </c>
      <c r="AM17" s="22" t="str">
        <f t="shared" si="13"/>
        <v>N/A</v>
      </c>
      <c r="AN17" s="16" t="s">
        <v>93</v>
      </c>
      <c r="AO17" s="30" t="s">
        <v>94</v>
      </c>
      <c r="AP17" s="24" t="s">
        <v>95</v>
      </c>
      <c r="AQ17" s="24" t="s">
        <v>96</v>
      </c>
      <c r="AR17" s="19" t="s">
        <v>97</v>
      </c>
      <c r="AS17" s="13" t="s">
        <v>89</v>
      </c>
      <c r="AT17" s="13" t="s">
        <v>89</v>
      </c>
      <c r="AU17" s="17">
        <f t="shared" si="14"/>
        <v>45822</v>
      </c>
      <c r="AV17" s="13" t="s">
        <v>73</v>
      </c>
      <c r="AW17" s="31" t="s">
        <v>98</v>
      </c>
      <c r="AX17" s="32">
        <f t="array" aca="1" ref="AX17" ca="1">_xlfn.RANDARRAY(2,1,1023456789000,9999999999999,TRUE)</f>
        <v>4927218133778</v>
      </c>
      <c r="AY17" s="17" t="s">
        <v>99</v>
      </c>
      <c r="AZ17" s="17" t="s">
        <v>100</v>
      </c>
      <c r="BA17" s="13" t="s">
        <v>73</v>
      </c>
      <c r="BB17" s="31" t="s">
        <v>101</v>
      </c>
      <c r="BC17" s="32">
        <f t="array" aca="1" ref="BC17" ca="1">_xlfn.RANDARRAY(2,1,12345678,99999999,TRUE)</f>
        <v>15452144</v>
      </c>
      <c r="BD17" s="17" t="s">
        <v>99</v>
      </c>
      <c r="BE17" s="17" t="s">
        <v>102</v>
      </c>
      <c r="BF17" s="19" t="s">
        <v>103</v>
      </c>
      <c r="BG17" s="17">
        <v>25984</v>
      </c>
      <c r="BH17" s="13" t="s">
        <v>104</v>
      </c>
      <c r="BI17" s="13" t="s">
        <v>73</v>
      </c>
      <c r="BJ17" s="13" t="s">
        <v>105</v>
      </c>
      <c r="BK17" s="33" t="s">
        <v>89</v>
      </c>
      <c r="BL17" s="13" t="s">
        <v>106</v>
      </c>
      <c r="BM17" s="34" t="s">
        <v>107</v>
      </c>
      <c r="BN17" s="13" t="s">
        <v>108</v>
      </c>
      <c r="BO17" s="13" t="s">
        <v>73</v>
      </c>
      <c r="BP17" s="13" t="s">
        <v>109</v>
      </c>
      <c r="BQ17" s="13">
        <f t="array" aca="1" ref="BQ17" ca="1">_xlfn.RANDARRAY(2,1,12345,99999,TRUE)</f>
        <v>25489</v>
      </c>
      <c r="BR17" s="17">
        <v>44562</v>
      </c>
      <c r="BS17" s="17">
        <v>47119</v>
      </c>
      <c r="BT17" s="22">
        <v>44562</v>
      </c>
      <c r="BU17" s="22">
        <f t="shared" ca="1" si="3"/>
        <v>46203</v>
      </c>
      <c r="BV17" s="16" t="s">
        <v>110</v>
      </c>
    </row>
    <row r="18" spans="1:74" ht="15" customHeight="1" x14ac:dyDescent="0.35">
      <c r="A18" s="38" t="s">
        <v>158</v>
      </c>
      <c r="B18" s="66">
        <v>10700026</v>
      </c>
      <c r="C18" s="37" t="s">
        <v>71</v>
      </c>
      <c r="D18" s="12" t="s">
        <v>72</v>
      </c>
      <c r="E18" s="13" t="s">
        <v>73</v>
      </c>
      <c r="F18" s="14" t="s">
        <v>159</v>
      </c>
      <c r="G18" s="14" t="s">
        <v>160</v>
      </c>
      <c r="H18" s="15" t="s">
        <v>114</v>
      </c>
      <c r="I18" s="16" t="s">
        <v>77</v>
      </c>
      <c r="J18" s="16" t="s">
        <v>78</v>
      </c>
      <c r="K18" s="17">
        <f t="shared" si="9"/>
        <v>45658</v>
      </c>
      <c r="L18" s="13" t="s">
        <v>73</v>
      </c>
      <c r="M18" s="18" t="s">
        <v>79</v>
      </c>
      <c r="N18" s="18" t="s">
        <v>80</v>
      </c>
      <c r="O18" s="19" t="s">
        <v>80</v>
      </c>
      <c r="P18" s="16">
        <v>1542</v>
      </c>
      <c r="Q18" s="16" t="s">
        <v>78</v>
      </c>
      <c r="R18" s="20" t="s">
        <v>81</v>
      </c>
      <c r="S18" s="21" t="s">
        <v>82</v>
      </c>
      <c r="T18" s="16" t="s">
        <v>78</v>
      </c>
      <c r="U18" s="22">
        <v>45658</v>
      </c>
      <c r="V18" s="16" t="s">
        <v>83</v>
      </c>
      <c r="W18" s="23" t="s">
        <v>84</v>
      </c>
      <c r="X18" s="24" t="s">
        <v>85</v>
      </c>
      <c r="Y18" s="24" t="s">
        <v>86</v>
      </c>
      <c r="Z18" s="24" t="s">
        <v>124</v>
      </c>
      <c r="AA18" s="25">
        <v>795</v>
      </c>
      <c r="AB18" s="25" t="s">
        <v>88</v>
      </c>
      <c r="AC18" s="26">
        <v>40</v>
      </c>
      <c r="AD18" s="27" t="s">
        <v>89</v>
      </c>
      <c r="AE18" s="28" t="s">
        <v>121</v>
      </c>
      <c r="AF18" s="29" t="s">
        <v>89</v>
      </c>
      <c r="AG18" s="16" t="s">
        <v>91</v>
      </c>
      <c r="AH18" s="16" t="s">
        <v>92</v>
      </c>
      <c r="AI18" s="16" t="s">
        <v>89</v>
      </c>
      <c r="AJ18" s="17">
        <f t="shared" si="10"/>
        <v>45658</v>
      </c>
      <c r="AK18" s="17">
        <f t="shared" si="11"/>
        <v>45658</v>
      </c>
      <c r="AL18" s="17">
        <f t="shared" si="12"/>
        <v>45658</v>
      </c>
      <c r="AM18" s="22" t="str">
        <f t="shared" si="13"/>
        <v>N/A</v>
      </c>
      <c r="AN18" s="16" t="s">
        <v>93</v>
      </c>
      <c r="AO18" s="30" t="s">
        <v>94</v>
      </c>
      <c r="AP18" s="24" t="s">
        <v>95</v>
      </c>
      <c r="AQ18" s="24" t="s">
        <v>96</v>
      </c>
      <c r="AR18" s="19" t="s">
        <v>97</v>
      </c>
      <c r="AS18" s="13" t="s">
        <v>89</v>
      </c>
      <c r="AT18" s="13" t="s">
        <v>89</v>
      </c>
      <c r="AU18" s="17">
        <f t="shared" si="14"/>
        <v>45688</v>
      </c>
      <c r="AV18" s="13" t="s">
        <v>73</v>
      </c>
      <c r="AW18" s="31" t="s">
        <v>98</v>
      </c>
      <c r="AX18" s="32">
        <f t="array" aca="1" ref="AX18" ca="1">_xlfn.RANDARRAY(2,1,1023456789000,9999999999999,TRUE)</f>
        <v>6337957473181</v>
      </c>
      <c r="AY18" s="17" t="s">
        <v>99</v>
      </c>
      <c r="AZ18" s="17" t="s">
        <v>100</v>
      </c>
      <c r="BA18" s="13" t="s">
        <v>73</v>
      </c>
      <c r="BB18" s="31" t="s">
        <v>101</v>
      </c>
      <c r="BC18" s="32">
        <f t="array" aca="1" ref="BC18" ca="1">_xlfn.RANDARRAY(2,1,12345678,99999999,TRUE)</f>
        <v>56230525</v>
      </c>
      <c r="BD18" s="17" t="s">
        <v>99</v>
      </c>
      <c r="BE18" s="17" t="s">
        <v>102</v>
      </c>
      <c r="BF18" s="19" t="s">
        <v>103</v>
      </c>
      <c r="BG18" s="17">
        <v>25873</v>
      </c>
      <c r="BH18" s="13" t="s">
        <v>104</v>
      </c>
      <c r="BI18" s="13" t="s">
        <v>73</v>
      </c>
      <c r="BJ18" s="13" t="s">
        <v>105</v>
      </c>
      <c r="BK18" s="33" t="s">
        <v>89</v>
      </c>
      <c r="BL18" s="13" t="s">
        <v>106</v>
      </c>
      <c r="BM18" s="34" t="s">
        <v>107</v>
      </c>
      <c r="BN18" s="13" t="s">
        <v>108</v>
      </c>
      <c r="BO18" s="13" t="s">
        <v>73</v>
      </c>
      <c r="BP18" s="13" t="s">
        <v>109</v>
      </c>
      <c r="BQ18" s="13">
        <f t="array" aca="1" ref="BQ18" ca="1">_xlfn.RANDARRAY(2,1,12345,99999,TRUE)</f>
        <v>12616</v>
      </c>
      <c r="BR18" s="17">
        <v>44562</v>
      </c>
      <c r="BS18" s="17">
        <v>47119</v>
      </c>
      <c r="BT18" s="22">
        <v>44562</v>
      </c>
      <c r="BU18" s="22">
        <f t="shared" ca="1" si="3"/>
        <v>46203</v>
      </c>
      <c r="BV18" s="16" t="s">
        <v>110</v>
      </c>
    </row>
    <row r="19" spans="1:74" ht="14.5" customHeight="1" x14ac:dyDescent="0.35">
      <c r="A19" s="36" t="s">
        <v>161</v>
      </c>
      <c r="B19" s="66">
        <v>10700028</v>
      </c>
      <c r="C19" s="37" t="s">
        <v>71</v>
      </c>
      <c r="D19" s="12" t="s">
        <v>72</v>
      </c>
      <c r="E19" s="13" t="s">
        <v>73</v>
      </c>
      <c r="F19" s="14" t="s">
        <v>162</v>
      </c>
      <c r="G19" s="14" t="s">
        <v>163</v>
      </c>
      <c r="H19" s="15" t="s">
        <v>76</v>
      </c>
      <c r="I19" s="16" t="s">
        <v>77</v>
      </c>
      <c r="J19" s="16" t="s">
        <v>78</v>
      </c>
      <c r="K19" s="17">
        <f t="shared" si="9"/>
        <v>45658</v>
      </c>
      <c r="L19" s="13" t="s">
        <v>73</v>
      </c>
      <c r="M19" s="18" t="s">
        <v>79</v>
      </c>
      <c r="N19" s="18" t="s">
        <v>80</v>
      </c>
      <c r="O19" s="19" t="s">
        <v>80</v>
      </c>
      <c r="P19" s="16">
        <v>1542</v>
      </c>
      <c r="Q19" s="16" t="s">
        <v>78</v>
      </c>
      <c r="R19" s="20" t="s">
        <v>81</v>
      </c>
      <c r="S19" s="21" t="s">
        <v>82</v>
      </c>
      <c r="T19" s="16" t="s">
        <v>78</v>
      </c>
      <c r="U19" s="22">
        <v>45658</v>
      </c>
      <c r="V19" s="16" t="s">
        <v>83</v>
      </c>
      <c r="W19" s="23" t="s">
        <v>84</v>
      </c>
      <c r="X19" s="24" t="s">
        <v>85</v>
      </c>
      <c r="Y19" s="24" t="s">
        <v>86</v>
      </c>
      <c r="Z19" s="24" t="s">
        <v>124</v>
      </c>
      <c r="AA19" s="25">
        <v>795</v>
      </c>
      <c r="AB19" s="25" t="s">
        <v>88</v>
      </c>
      <c r="AC19" s="26">
        <v>40</v>
      </c>
      <c r="AD19" s="27" t="s">
        <v>89</v>
      </c>
      <c r="AE19" s="28" t="s">
        <v>121</v>
      </c>
      <c r="AF19" s="29" t="s">
        <v>89</v>
      </c>
      <c r="AG19" s="16" t="s">
        <v>91</v>
      </c>
      <c r="AH19" s="16" t="s">
        <v>92</v>
      </c>
      <c r="AI19" s="16" t="s">
        <v>89</v>
      </c>
      <c r="AJ19" s="17">
        <f t="shared" si="10"/>
        <v>45658</v>
      </c>
      <c r="AK19" s="17">
        <f t="shared" si="11"/>
        <v>45658</v>
      </c>
      <c r="AL19" s="17">
        <f t="shared" si="12"/>
        <v>45658</v>
      </c>
      <c r="AM19" s="22" t="str">
        <f t="shared" si="13"/>
        <v>N/A</v>
      </c>
      <c r="AN19" s="16" t="s">
        <v>93</v>
      </c>
      <c r="AO19" s="30" t="s">
        <v>94</v>
      </c>
      <c r="AP19" s="24" t="s">
        <v>95</v>
      </c>
      <c r="AQ19" s="24" t="s">
        <v>96</v>
      </c>
      <c r="AR19" s="19" t="s">
        <v>97</v>
      </c>
      <c r="AS19" s="13" t="s">
        <v>89</v>
      </c>
      <c r="AT19" s="13" t="s">
        <v>89</v>
      </c>
      <c r="AU19" s="17">
        <f t="shared" si="14"/>
        <v>45688</v>
      </c>
      <c r="AV19" s="13" t="s">
        <v>73</v>
      </c>
      <c r="AW19" s="31" t="s">
        <v>98</v>
      </c>
      <c r="AX19" s="32">
        <f t="array" aca="1" ref="AX19" ca="1">_xlfn.RANDARRAY(2,1,1023456789000,9999999999999,TRUE)</f>
        <v>8823837122269</v>
      </c>
      <c r="AY19" s="17" t="s">
        <v>99</v>
      </c>
      <c r="AZ19" s="17" t="s">
        <v>100</v>
      </c>
      <c r="BA19" s="13" t="s">
        <v>73</v>
      </c>
      <c r="BB19" s="31" t="s">
        <v>101</v>
      </c>
      <c r="BC19" s="32">
        <f t="array" aca="1" ref="BC19" ca="1">_xlfn.RANDARRAY(2,1,12345678,99999999,TRUE)</f>
        <v>13239533</v>
      </c>
      <c r="BD19" s="17" t="s">
        <v>99</v>
      </c>
      <c r="BE19" s="17" t="s">
        <v>102</v>
      </c>
      <c r="BF19" s="19" t="s">
        <v>103</v>
      </c>
      <c r="BG19" s="17">
        <v>25984</v>
      </c>
      <c r="BH19" s="13" t="s">
        <v>104</v>
      </c>
      <c r="BI19" s="13" t="s">
        <v>73</v>
      </c>
      <c r="BJ19" s="13" t="s">
        <v>105</v>
      </c>
      <c r="BK19" s="33" t="s">
        <v>89</v>
      </c>
      <c r="BL19" s="13" t="s">
        <v>106</v>
      </c>
      <c r="BM19" s="34" t="s">
        <v>107</v>
      </c>
      <c r="BN19" s="13" t="s">
        <v>108</v>
      </c>
      <c r="BO19" s="13" t="s">
        <v>73</v>
      </c>
      <c r="BP19" s="13" t="s">
        <v>109</v>
      </c>
      <c r="BQ19" s="13">
        <f t="array" aca="1" ref="BQ19" ca="1">_xlfn.RANDARRAY(2,1,12345,99999,TRUE)</f>
        <v>98380</v>
      </c>
      <c r="BR19" s="17">
        <v>44562</v>
      </c>
      <c r="BS19" s="17">
        <v>47119</v>
      </c>
      <c r="BT19" s="22">
        <v>44562</v>
      </c>
      <c r="BU19" s="22">
        <f t="shared" ca="1" si="3"/>
        <v>46203</v>
      </c>
      <c r="BV19" s="16" t="s">
        <v>110</v>
      </c>
    </row>
    <row r="20" spans="1:74" ht="15" customHeight="1" x14ac:dyDescent="0.35">
      <c r="A20" s="38" t="s">
        <v>164</v>
      </c>
      <c r="B20" s="66">
        <v>10700029</v>
      </c>
      <c r="C20" s="37" t="s">
        <v>71</v>
      </c>
      <c r="D20" s="12" t="s">
        <v>72</v>
      </c>
      <c r="E20" s="13" t="s">
        <v>73</v>
      </c>
      <c r="F20" s="14" t="s">
        <v>165</v>
      </c>
      <c r="G20" s="14" t="s">
        <v>166</v>
      </c>
      <c r="H20" s="15" t="s">
        <v>114</v>
      </c>
      <c r="I20" s="16" t="s">
        <v>77</v>
      </c>
      <c r="J20" s="16" t="s">
        <v>78</v>
      </c>
      <c r="K20" s="17">
        <f t="shared" si="9"/>
        <v>45658</v>
      </c>
      <c r="L20" s="13" t="s">
        <v>73</v>
      </c>
      <c r="M20" s="18" t="s">
        <v>79</v>
      </c>
      <c r="N20" s="18" t="s">
        <v>80</v>
      </c>
      <c r="O20" s="19" t="s">
        <v>80</v>
      </c>
      <c r="P20" s="16">
        <v>1542</v>
      </c>
      <c r="Q20" s="16" t="s">
        <v>78</v>
      </c>
      <c r="R20" s="20" t="s">
        <v>81</v>
      </c>
      <c r="S20" s="21" t="s">
        <v>82</v>
      </c>
      <c r="T20" s="16" t="s">
        <v>78</v>
      </c>
      <c r="U20" s="22">
        <v>45658</v>
      </c>
      <c r="V20" s="16" t="s">
        <v>83</v>
      </c>
      <c r="W20" s="23" t="s">
        <v>84</v>
      </c>
      <c r="X20" s="24" t="s">
        <v>85</v>
      </c>
      <c r="Y20" s="24" t="s">
        <v>86</v>
      </c>
      <c r="Z20" s="24" t="s">
        <v>124</v>
      </c>
      <c r="AA20" s="25">
        <v>795</v>
      </c>
      <c r="AB20" s="25" t="s">
        <v>88</v>
      </c>
      <c r="AC20" s="26">
        <v>40</v>
      </c>
      <c r="AD20" s="27" t="s">
        <v>89</v>
      </c>
      <c r="AE20" s="28" t="s">
        <v>121</v>
      </c>
      <c r="AF20" s="29" t="s">
        <v>89</v>
      </c>
      <c r="AG20" s="16" t="s">
        <v>91</v>
      </c>
      <c r="AH20" s="16" t="s">
        <v>92</v>
      </c>
      <c r="AI20" s="16" t="s">
        <v>89</v>
      </c>
      <c r="AJ20" s="17">
        <f t="shared" si="10"/>
        <v>45658</v>
      </c>
      <c r="AK20" s="17">
        <f t="shared" si="11"/>
        <v>45658</v>
      </c>
      <c r="AL20" s="17">
        <f t="shared" si="12"/>
        <v>45658</v>
      </c>
      <c r="AM20" s="22" t="str">
        <f t="shared" si="13"/>
        <v>N/A</v>
      </c>
      <c r="AN20" s="16" t="s">
        <v>93</v>
      </c>
      <c r="AO20" s="30" t="s">
        <v>94</v>
      </c>
      <c r="AP20" s="24" t="s">
        <v>95</v>
      </c>
      <c r="AQ20" s="24" t="s">
        <v>96</v>
      </c>
      <c r="AR20" s="19" t="s">
        <v>97</v>
      </c>
      <c r="AS20" s="13" t="s">
        <v>89</v>
      </c>
      <c r="AT20" s="13" t="s">
        <v>89</v>
      </c>
      <c r="AU20" s="17">
        <f t="shared" si="14"/>
        <v>45688</v>
      </c>
      <c r="AV20" s="13" t="s">
        <v>73</v>
      </c>
      <c r="AW20" s="31" t="s">
        <v>98</v>
      </c>
      <c r="AX20" s="32">
        <f t="array" aca="1" ref="AX20" ca="1">_xlfn.RANDARRAY(2,1,1023456789000,9999999999999,TRUE)</f>
        <v>7169876379072</v>
      </c>
      <c r="AY20" s="17" t="s">
        <v>99</v>
      </c>
      <c r="AZ20" s="17" t="s">
        <v>100</v>
      </c>
      <c r="BA20" s="13" t="s">
        <v>73</v>
      </c>
      <c r="BB20" s="31" t="s">
        <v>101</v>
      </c>
      <c r="BC20" s="32">
        <f t="array" aca="1" ref="BC20" ca="1">_xlfn.RANDARRAY(2,1,12345678,99999999,TRUE)</f>
        <v>20559802</v>
      </c>
      <c r="BD20" s="17" t="s">
        <v>99</v>
      </c>
      <c r="BE20" s="17" t="s">
        <v>102</v>
      </c>
      <c r="BF20" s="19" t="s">
        <v>103</v>
      </c>
      <c r="BG20" s="17">
        <v>25873</v>
      </c>
      <c r="BH20" s="13" t="s">
        <v>104</v>
      </c>
      <c r="BI20" s="13" t="s">
        <v>73</v>
      </c>
      <c r="BJ20" s="13" t="s">
        <v>105</v>
      </c>
      <c r="BK20" s="33" t="s">
        <v>89</v>
      </c>
      <c r="BL20" s="13" t="s">
        <v>106</v>
      </c>
      <c r="BM20" s="34" t="s">
        <v>107</v>
      </c>
      <c r="BN20" s="13" t="s">
        <v>108</v>
      </c>
      <c r="BO20" s="13" t="s">
        <v>73</v>
      </c>
      <c r="BP20" s="13" t="s">
        <v>109</v>
      </c>
      <c r="BQ20" s="13">
        <f t="array" aca="1" ref="BQ20" ca="1">_xlfn.RANDARRAY(2,1,12345,99999,TRUE)</f>
        <v>87357</v>
      </c>
      <c r="BR20" s="17">
        <v>44562</v>
      </c>
      <c r="BS20" s="17">
        <v>47119</v>
      </c>
      <c r="BT20" s="22">
        <v>44562</v>
      </c>
      <c r="BU20" s="22">
        <f t="shared" ca="1" si="3"/>
        <v>46203</v>
      </c>
      <c r="BV20" s="16" t="s">
        <v>110</v>
      </c>
    </row>
    <row r="21" spans="1:74" ht="14.5" customHeight="1" x14ac:dyDescent="0.35">
      <c r="A21" s="36" t="s">
        <v>167</v>
      </c>
      <c r="B21" s="66">
        <v>10700031</v>
      </c>
      <c r="C21" s="37" t="s">
        <v>71</v>
      </c>
      <c r="D21" s="12" t="s">
        <v>72</v>
      </c>
      <c r="E21" s="13" t="s">
        <v>73</v>
      </c>
      <c r="F21" s="14" t="s">
        <v>168</v>
      </c>
      <c r="G21" s="14" t="s">
        <v>169</v>
      </c>
      <c r="H21" s="15" t="s">
        <v>76</v>
      </c>
      <c r="I21" s="16" t="s">
        <v>77</v>
      </c>
      <c r="J21" s="16" t="s">
        <v>78</v>
      </c>
      <c r="K21" s="17">
        <f t="shared" si="9"/>
        <v>45658</v>
      </c>
      <c r="L21" s="13" t="s">
        <v>73</v>
      </c>
      <c r="M21" s="18" t="s">
        <v>79</v>
      </c>
      <c r="N21" s="18" t="s">
        <v>80</v>
      </c>
      <c r="O21" s="19" t="s">
        <v>80</v>
      </c>
      <c r="P21" s="16">
        <v>1542</v>
      </c>
      <c r="Q21" s="16" t="s">
        <v>78</v>
      </c>
      <c r="R21" s="20" t="s">
        <v>81</v>
      </c>
      <c r="S21" s="21" t="s">
        <v>82</v>
      </c>
      <c r="T21" s="16" t="s">
        <v>78</v>
      </c>
      <c r="U21" s="22">
        <v>45658</v>
      </c>
      <c r="V21" s="16" t="s">
        <v>83</v>
      </c>
      <c r="W21" s="23" t="s">
        <v>84</v>
      </c>
      <c r="X21" s="24" t="s">
        <v>85</v>
      </c>
      <c r="Y21" s="24" t="s">
        <v>86</v>
      </c>
      <c r="Z21" s="24" t="s">
        <v>124</v>
      </c>
      <c r="AA21" s="25">
        <v>795</v>
      </c>
      <c r="AB21" s="25" t="s">
        <v>88</v>
      </c>
      <c r="AC21" s="26">
        <v>40</v>
      </c>
      <c r="AD21" s="27" t="s">
        <v>89</v>
      </c>
      <c r="AE21" s="28" t="s">
        <v>121</v>
      </c>
      <c r="AF21" s="29" t="s">
        <v>89</v>
      </c>
      <c r="AG21" s="16" t="s">
        <v>91</v>
      </c>
      <c r="AH21" s="16" t="s">
        <v>92</v>
      </c>
      <c r="AI21" s="16" t="s">
        <v>89</v>
      </c>
      <c r="AJ21" s="17">
        <f t="shared" si="10"/>
        <v>45658</v>
      </c>
      <c r="AK21" s="17">
        <f t="shared" si="11"/>
        <v>45658</v>
      </c>
      <c r="AL21" s="17">
        <f t="shared" si="12"/>
        <v>45658</v>
      </c>
      <c r="AM21" s="22" t="str">
        <f t="shared" si="13"/>
        <v>N/A</v>
      </c>
      <c r="AN21" s="16" t="s">
        <v>93</v>
      </c>
      <c r="AO21" s="30" t="s">
        <v>94</v>
      </c>
      <c r="AP21" s="24" t="s">
        <v>95</v>
      </c>
      <c r="AQ21" s="24" t="s">
        <v>96</v>
      </c>
      <c r="AR21" s="19" t="s">
        <v>97</v>
      </c>
      <c r="AS21" s="13" t="s">
        <v>89</v>
      </c>
      <c r="AT21" s="13" t="s">
        <v>89</v>
      </c>
      <c r="AU21" s="17">
        <f t="shared" si="14"/>
        <v>45688</v>
      </c>
      <c r="AV21" s="13" t="s">
        <v>73</v>
      </c>
      <c r="AW21" s="31" t="s">
        <v>98</v>
      </c>
      <c r="AX21" s="32">
        <f t="array" aca="1" ref="AX21" ca="1">_xlfn.RANDARRAY(2,1,1023456789000,9999999999999,TRUE)</f>
        <v>3695342689537</v>
      </c>
      <c r="AY21" s="17" t="s">
        <v>99</v>
      </c>
      <c r="AZ21" s="17" t="s">
        <v>100</v>
      </c>
      <c r="BA21" s="13" t="s">
        <v>73</v>
      </c>
      <c r="BB21" s="31" t="s">
        <v>101</v>
      </c>
      <c r="BC21" s="32">
        <f t="array" aca="1" ref="BC21" ca="1">_xlfn.RANDARRAY(2,1,12345678,99999999,TRUE)</f>
        <v>16497399</v>
      </c>
      <c r="BD21" s="17" t="s">
        <v>99</v>
      </c>
      <c r="BE21" s="17" t="s">
        <v>102</v>
      </c>
      <c r="BF21" s="19" t="s">
        <v>103</v>
      </c>
      <c r="BG21" s="17">
        <v>25984</v>
      </c>
      <c r="BH21" s="13" t="s">
        <v>104</v>
      </c>
      <c r="BI21" s="13" t="s">
        <v>73</v>
      </c>
      <c r="BJ21" s="13" t="s">
        <v>105</v>
      </c>
      <c r="BK21" s="33" t="s">
        <v>89</v>
      </c>
      <c r="BL21" s="13" t="s">
        <v>106</v>
      </c>
      <c r="BM21" s="34" t="s">
        <v>107</v>
      </c>
      <c r="BN21" s="13" t="s">
        <v>108</v>
      </c>
      <c r="BO21" s="13" t="s">
        <v>73</v>
      </c>
      <c r="BP21" s="13" t="s">
        <v>109</v>
      </c>
      <c r="BQ21" s="13">
        <f t="array" aca="1" ref="BQ21" ca="1">_xlfn.RANDARRAY(2,1,12345,99999,TRUE)</f>
        <v>36254</v>
      </c>
      <c r="BR21" s="17">
        <v>44562</v>
      </c>
      <c r="BS21" s="17">
        <v>47119</v>
      </c>
      <c r="BT21" s="22">
        <v>44562</v>
      </c>
      <c r="BU21" s="22">
        <f t="shared" ca="1" si="3"/>
        <v>46203</v>
      </c>
      <c r="BV21" s="16" t="s">
        <v>110</v>
      </c>
    </row>
    <row r="22" spans="1:74" s="61" customFormat="1" ht="14.5" customHeight="1" x14ac:dyDescent="0.35">
      <c r="A22" s="64" t="s">
        <v>170</v>
      </c>
      <c r="B22" s="67">
        <v>10700001</v>
      </c>
      <c r="C22" s="11" t="s">
        <v>171</v>
      </c>
      <c r="D22" s="39" t="s">
        <v>72</v>
      </c>
      <c r="E22" s="40" t="s">
        <v>73</v>
      </c>
      <c r="F22" s="41" t="s">
        <v>172</v>
      </c>
      <c r="G22" s="41" t="s">
        <v>173</v>
      </c>
      <c r="H22" s="42" t="s">
        <v>114</v>
      </c>
      <c r="I22" s="43" t="s">
        <v>77</v>
      </c>
      <c r="J22" s="43" t="s">
        <v>78</v>
      </c>
      <c r="K22" s="44">
        <f t="shared" si="9"/>
        <v>45977</v>
      </c>
      <c r="L22" s="40" t="s">
        <v>73</v>
      </c>
      <c r="M22" s="45" t="s">
        <v>79</v>
      </c>
      <c r="N22" s="45" t="s">
        <v>80</v>
      </c>
      <c r="O22" s="46" t="s">
        <v>80</v>
      </c>
      <c r="P22" s="43">
        <v>1542</v>
      </c>
      <c r="Q22" s="43" t="s">
        <v>78</v>
      </c>
      <c r="R22" s="47" t="s">
        <v>81</v>
      </c>
      <c r="S22" s="48" t="s">
        <v>82</v>
      </c>
      <c r="T22" s="43" t="s">
        <v>78</v>
      </c>
      <c r="U22" s="49">
        <v>45977</v>
      </c>
      <c r="V22" s="43" t="s">
        <v>83</v>
      </c>
      <c r="W22" s="43" t="s">
        <v>84</v>
      </c>
      <c r="X22" s="50" t="s">
        <v>85</v>
      </c>
      <c r="Y22" s="50" t="s">
        <v>86</v>
      </c>
      <c r="Z22" s="50" t="s">
        <v>124</v>
      </c>
      <c r="AA22" s="51">
        <v>795</v>
      </c>
      <c r="AB22" s="51" t="s">
        <v>88</v>
      </c>
      <c r="AC22" s="52">
        <v>40</v>
      </c>
      <c r="AD22" s="53" t="s">
        <v>89</v>
      </c>
      <c r="AE22" s="54" t="s">
        <v>121</v>
      </c>
      <c r="AF22" s="55" t="s">
        <v>89</v>
      </c>
      <c r="AG22" s="43" t="s">
        <v>91</v>
      </c>
      <c r="AH22" s="43" t="s">
        <v>92</v>
      </c>
      <c r="AI22" s="43" t="s">
        <v>89</v>
      </c>
      <c r="AJ22" s="44">
        <f t="shared" si="10"/>
        <v>45977</v>
      </c>
      <c r="AK22" s="44">
        <f t="shared" si="11"/>
        <v>45977</v>
      </c>
      <c r="AL22" s="44">
        <f t="shared" si="12"/>
        <v>45977</v>
      </c>
      <c r="AM22" s="49" t="str">
        <f t="shared" si="13"/>
        <v>N/A</v>
      </c>
      <c r="AN22" s="43" t="s">
        <v>93</v>
      </c>
      <c r="AO22" s="56" t="s">
        <v>94</v>
      </c>
      <c r="AP22" s="50" t="s">
        <v>95</v>
      </c>
      <c r="AQ22" s="50" t="s">
        <v>96</v>
      </c>
      <c r="AR22" s="46" t="s">
        <v>97</v>
      </c>
      <c r="AS22" s="40" t="s">
        <v>89</v>
      </c>
      <c r="AT22" s="40" t="s">
        <v>89</v>
      </c>
      <c r="AU22" s="44">
        <f t="shared" si="14"/>
        <v>46007</v>
      </c>
      <c r="AV22" s="40" t="s">
        <v>73</v>
      </c>
      <c r="AW22" s="57" t="s">
        <v>98</v>
      </c>
      <c r="AX22" s="58">
        <f t="array" aca="1" ref="AX22" ca="1">_xlfn.RANDARRAY(2,1,1023456789000,9999999999999,TRUE)</f>
        <v>2460426865486</v>
      </c>
      <c r="AY22" s="44" t="s">
        <v>99</v>
      </c>
      <c r="AZ22" s="44" t="s">
        <v>100</v>
      </c>
      <c r="BA22" s="40" t="s">
        <v>73</v>
      </c>
      <c r="BB22" s="57" t="s">
        <v>101</v>
      </c>
      <c r="BC22" s="58">
        <f t="array" aca="1" ref="BC22" ca="1">_xlfn.RANDARRAY(2,1,12345678,99999999,TRUE)</f>
        <v>45318140</v>
      </c>
      <c r="BD22" s="44" t="s">
        <v>99</v>
      </c>
      <c r="BE22" s="44" t="s">
        <v>102</v>
      </c>
      <c r="BF22" s="46" t="s">
        <v>103</v>
      </c>
      <c r="BG22" s="44">
        <v>25873</v>
      </c>
      <c r="BH22" s="40" t="s">
        <v>104</v>
      </c>
      <c r="BI22" s="40" t="s">
        <v>73</v>
      </c>
      <c r="BJ22" s="40" t="s">
        <v>105</v>
      </c>
      <c r="BK22" s="59" t="s">
        <v>89</v>
      </c>
      <c r="BL22" s="40" t="s">
        <v>106</v>
      </c>
      <c r="BM22" s="60" t="s">
        <v>107</v>
      </c>
      <c r="BN22" s="40" t="s">
        <v>108</v>
      </c>
      <c r="BO22" s="40" t="s">
        <v>73</v>
      </c>
      <c r="BP22" s="40" t="s">
        <v>109</v>
      </c>
      <c r="BQ22" s="40">
        <f t="array" aca="1" ref="BQ22" ca="1">_xlfn.RANDARRAY(2,1,12345,99999,TRUE)</f>
        <v>22428</v>
      </c>
      <c r="BR22" s="44">
        <v>44562</v>
      </c>
      <c r="BS22" s="44">
        <v>47119</v>
      </c>
      <c r="BT22" s="49">
        <v>44562</v>
      </c>
      <c r="BU22" s="49">
        <f t="shared" ca="1" si="3"/>
        <v>46203</v>
      </c>
      <c r="BV22" s="43" t="s">
        <v>110</v>
      </c>
    </row>
    <row r="23" spans="1:74" ht="14.5" customHeight="1" x14ac:dyDescent="0.35">
      <c r="A23" s="64" t="s">
        <v>174</v>
      </c>
      <c r="B23" s="65">
        <v>10700002</v>
      </c>
      <c r="C23" s="11" t="s">
        <v>171</v>
      </c>
      <c r="D23" s="12" t="s">
        <v>72</v>
      </c>
      <c r="E23" s="13" t="s">
        <v>73</v>
      </c>
      <c r="F23" s="14" t="s">
        <v>175</v>
      </c>
      <c r="G23" s="14" t="s">
        <v>176</v>
      </c>
      <c r="H23" s="15" t="s">
        <v>76</v>
      </c>
      <c r="I23" s="16" t="s">
        <v>77</v>
      </c>
      <c r="J23" s="16" t="s">
        <v>78</v>
      </c>
      <c r="K23" s="17">
        <f t="shared" si="9"/>
        <v>45946</v>
      </c>
      <c r="L23" s="13" t="s">
        <v>73</v>
      </c>
      <c r="M23" s="18" t="s">
        <v>79</v>
      </c>
      <c r="N23" s="18" t="s">
        <v>80</v>
      </c>
      <c r="O23" s="19" t="s">
        <v>80</v>
      </c>
      <c r="P23" s="16">
        <v>1542</v>
      </c>
      <c r="Q23" s="16" t="s">
        <v>78</v>
      </c>
      <c r="R23" s="20" t="s">
        <v>81</v>
      </c>
      <c r="S23" s="21" t="s">
        <v>82</v>
      </c>
      <c r="T23" s="16" t="s">
        <v>78</v>
      </c>
      <c r="U23" s="22">
        <v>45946</v>
      </c>
      <c r="V23" s="16" t="s">
        <v>83</v>
      </c>
      <c r="W23" s="23" t="s">
        <v>84</v>
      </c>
      <c r="X23" s="24" t="s">
        <v>85</v>
      </c>
      <c r="Y23" s="24" t="s">
        <v>86</v>
      </c>
      <c r="Z23" s="24" t="s">
        <v>124</v>
      </c>
      <c r="AA23" s="25">
        <v>795</v>
      </c>
      <c r="AB23" s="25" t="s">
        <v>88</v>
      </c>
      <c r="AC23" s="26">
        <v>40</v>
      </c>
      <c r="AD23" s="27" t="s">
        <v>89</v>
      </c>
      <c r="AE23" s="28" t="s">
        <v>121</v>
      </c>
      <c r="AF23" s="29" t="s">
        <v>89</v>
      </c>
      <c r="AG23" s="16" t="s">
        <v>91</v>
      </c>
      <c r="AH23" s="16" t="s">
        <v>92</v>
      </c>
      <c r="AI23" s="16" t="s">
        <v>89</v>
      </c>
      <c r="AJ23" s="17">
        <f t="shared" si="10"/>
        <v>45946</v>
      </c>
      <c r="AK23" s="17">
        <f t="shared" si="11"/>
        <v>45946</v>
      </c>
      <c r="AL23" s="17">
        <f t="shared" si="12"/>
        <v>45946</v>
      </c>
      <c r="AM23" s="22" t="str">
        <f t="shared" si="13"/>
        <v>N/A</v>
      </c>
      <c r="AN23" s="16" t="s">
        <v>93</v>
      </c>
      <c r="AO23" s="30" t="s">
        <v>94</v>
      </c>
      <c r="AP23" s="24" t="s">
        <v>95</v>
      </c>
      <c r="AQ23" s="24" t="s">
        <v>96</v>
      </c>
      <c r="AR23" s="19" t="s">
        <v>97</v>
      </c>
      <c r="AS23" s="13" t="s">
        <v>89</v>
      </c>
      <c r="AT23" s="13" t="s">
        <v>89</v>
      </c>
      <c r="AU23" s="17">
        <f t="shared" si="14"/>
        <v>45976</v>
      </c>
      <c r="AV23" s="13" t="s">
        <v>73</v>
      </c>
      <c r="AW23" s="31" t="s">
        <v>98</v>
      </c>
      <c r="AX23" s="32">
        <f t="array" aca="1" ref="AX23" ca="1">_xlfn.RANDARRAY(2,1,1023456789000,9999999999999,TRUE)</f>
        <v>7298900633579</v>
      </c>
      <c r="AY23" s="17" t="s">
        <v>99</v>
      </c>
      <c r="AZ23" s="17" t="s">
        <v>100</v>
      </c>
      <c r="BA23" s="13" t="s">
        <v>73</v>
      </c>
      <c r="BB23" s="31" t="s">
        <v>101</v>
      </c>
      <c r="BC23" s="32">
        <f t="array" aca="1" ref="BC23" ca="1">_xlfn.RANDARRAY(2,1,12345678,99999999,TRUE)</f>
        <v>77606710</v>
      </c>
      <c r="BD23" s="17" t="s">
        <v>99</v>
      </c>
      <c r="BE23" s="17" t="s">
        <v>102</v>
      </c>
      <c r="BF23" s="19" t="s">
        <v>103</v>
      </c>
      <c r="BG23" s="17">
        <v>25984</v>
      </c>
      <c r="BH23" s="13" t="s">
        <v>104</v>
      </c>
      <c r="BI23" s="13" t="s">
        <v>73</v>
      </c>
      <c r="BJ23" s="13" t="s">
        <v>105</v>
      </c>
      <c r="BK23" s="33" t="s">
        <v>89</v>
      </c>
      <c r="BL23" s="13" t="s">
        <v>106</v>
      </c>
      <c r="BM23" s="34" t="s">
        <v>107</v>
      </c>
      <c r="BN23" s="13" t="s">
        <v>108</v>
      </c>
      <c r="BO23" s="13" t="s">
        <v>73</v>
      </c>
      <c r="BP23" s="13" t="s">
        <v>109</v>
      </c>
      <c r="BQ23" s="13">
        <f t="array" aca="1" ref="BQ23" ca="1">_xlfn.RANDARRAY(2,1,12345,99999,TRUE)</f>
        <v>42952</v>
      </c>
      <c r="BR23" s="17">
        <v>44562</v>
      </c>
      <c r="BS23" s="17">
        <v>47119</v>
      </c>
      <c r="BT23" s="22">
        <v>44562</v>
      </c>
      <c r="BU23" s="22">
        <f t="shared" ca="1" si="3"/>
        <v>46203</v>
      </c>
      <c r="BV23" s="16" t="s">
        <v>110</v>
      </c>
    </row>
    <row r="24" spans="1:74" ht="14.5" customHeight="1" x14ac:dyDescent="0.35">
      <c r="A24" s="64" t="s">
        <v>177</v>
      </c>
      <c r="B24" s="65">
        <v>10700003</v>
      </c>
      <c r="C24" s="11" t="s">
        <v>171</v>
      </c>
      <c r="D24" s="12" t="s">
        <v>72</v>
      </c>
      <c r="E24" s="13" t="s">
        <v>73</v>
      </c>
      <c r="F24" s="14" t="s">
        <v>178</v>
      </c>
      <c r="G24" s="14" t="s">
        <v>75</v>
      </c>
      <c r="H24" s="15" t="s">
        <v>114</v>
      </c>
      <c r="I24" s="16" t="s">
        <v>77</v>
      </c>
      <c r="J24" s="16" t="s">
        <v>78</v>
      </c>
      <c r="K24" s="17">
        <f t="shared" si="9"/>
        <v>45945</v>
      </c>
      <c r="L24" s="13" t="s">
        <v>73</v>
      </c>
      <c r="M24" s="18" t="s">
        <v>79</v>
      </c>
      <c r="N24" s="18" t="s">
        <v>80</v>
      </c>
      <c r="O24" s="19" t="s">
        <v>80</v>
      </c>
      <c r="P24" s="16">
        <v>1542</v>
      </c>
      <c r="Q24" s="16" t="s">
        <v>78</v>
      </c>
      <c r="R24" s="20" t="s">
        <v>81</v>
      </c>
      <c r="S24" s="21" t="s">
        <v>82</v>
      </c>
      <c r="T24" s="16" t="s">
        <v>78</v>
      </c>
      <c r="U24" s="22">
        <v>45945</v>
      </c>
      <c r="V24" s="16" t="s">
        <v>83</v>
      </c>
      <c r="W24" s="23" t="s">
        <v>84</v>
      </c>
      <c r="X24" s="24" t="s">
        <v>85</v>
      </c>
      <c r="Y24" s="24" t="s">
        <v>86</v>
      </c>
      <c r="Z24" s="24" t="s">
        <v>124</v>
      </c>
      <c r="AA24" s="25">
        <v>795</v>
      </c>
      <c r="AB24" s="25" t="s">
        <v>88</v>
      </c>
      <c r="AC24" s="26">
        <v>40</v>
      </c>
      <c r="AD24" s="27" t="s">
        <v>89</v>
      </c>
      <c r="AE24" s="28" t="s">
        <v>121</v>
      </c>
      <c r="AF24" s="29" t="s">
        <v>89</v>
      </c>
      <c r="AG24" s="16" t="s">
        <v>91</v>
      </c>
      <c r="AH24" s="16" t="s">
        <v>92</v>
      </c>
      <c r="AI24" s="16" t="s">
        <v>89</v>
      </c>
      <c r="AJ24" s="17">
        <f t="shared" si="10"/>
        <v>45945</v>
      </c>
      <c r="AK24" s="17">
        <f t="shared" si="11"/>
        <v>45945</v>
      </c>
      <c r="AL24" s="17">
        <f t="shared" si="12"/>
        <v>45945</v>
      </c>
      <c r="AM24" s="22" t="str">
        <f t="shared" si="13"/>
        <v>N/A</v>
      </c>
      <c r="AN24" s="16" t="s">
        <v>93</v>
      </c>
      <c r="AO24" s="30" t="s">
        <v>94</v>
      </c>
      <c r="AP24" s="24" t="s">
        <v>95</v>
      </c>
      <c r="AQ24" s="24" t="s">
        <v>96</v>
      </c>
      <c r="AR24" s="19" t="s">
        <v>97</v>
      </c>
      <c r="AS24" s="13" t="s">
        <v>89</v>
      </c>
      <c r="AT24" s="13" t="s">
        <v>89</v>
      </c>
      <c r="AU24" s="17">
        <f t="shared" si="14"/>
        <v>45975</v>
      </c>
      <c r="AV24" s="13" t="s">
        <v>73</v>
      </c>
      <c r="AW24" s="31" t="s">
        <v>98</v>
      </c>
      <c r="AX24" s="32">
        <f t="array" aca="1" ref="AX24" ca="1">_xlfn.RANDARRAY(2,1,1023456789000,9999999999999,TRUE)</f>
        <v>7608889492184</v>
      </c>
      <c r="AY24" s="17" t="s">
        <v>99</v>
      </c>
      <c r="AZ24" s="17" t="s">
        <v>100</v>
      </c>
      <c r="BA24" s="13" t="s">
        <v>73</v>
      </c>
      <c r="BB24" s="31" t="s">
        <v>101</v>
      </c>
      <c r="BC24" s="32">
        <f t="array" aca="1" ref="BC24" ca="1">_xlfn.RANDARRAY(2,1,12345678,99999999,TRUE)</f>
        <v>62110445</v>
      </c>
      <c r="BD24" s="17" t="s">
        <v>99</v>
      </c>
      <c r="BE24" s="17" t="s">
        <v>102</v>
      </c>
      <c r="BF24" s="19" t="s">
        <v>103</v>
      </c>
      <c r="BG24" s="17">
        <v>25873</v>
      </c>
      <c r="BH24" s="13" t="s">
        <v>104</v>
      </c>
      <c r="BI24" s="13" t="s">
        <v>73</v>
      </c>
      <c r="BJ24" s="13" t="s">
        <v>105</v>
      </c>
      <c r="BK24" s="33" t="s">
        <v>89</v>
      </c>
      <c r="BL24" s="13" t="s">
        <v>106</v>
      </c>
      <c r="BM24" s="34" t="s">
        <v>107</v>
      </c>
      <c r="BN24" s="13" t="s">
        <v>108</v>
      </c>
      <c r="BO24" s="13" t="s">
        <v>73</v>
      </c>
      <c r="BP24" s="13" t="s">
        <v>109</v>
      </c>
      <c r="BQ24" s="13">
        <f t="array" aca="1" ref="BQ24" ca="1">_xlfn.RANDARRAY(2,1,12345,99999,TRUE)</f>
        <v>40082</v>
      </c>
      <c r="BR24" s="17">
        <v>44562</v>
      </c>
      <c r="BS24" s="17">
        <v>47119</v>
      </c>
      <c r="BT24" s="22">
        <v>44562</v>
      </c>
      <c r="BU24" s="22">
        <f t="shared" ca="1" si="3"/>
        <v>46203</v>
      </c>
      <c r="BV24" s="16" t="s">
        <v>110</v>
      </c>
    </row>
    <row r="25" spans="1:74" ht="14.5" customHeight="1" x14ac:dyDescent="0.35">
      <c r="A25" s="64" t="s">
        <v>179</v>
      </c>
      <c r="B25" s="66">
        <v>10700004</v>
      </c>
      <c r="C25" s="11" t="s">
        <v>171</v>
      </c>
      <c r="D25" s="12" t="s">
        <v>72</v>
      </c>
      <c r="E25" s="13" t="s">
        <v>73</v>
      </c>
      <c r="F25" s="14" t="s">
        <v>180</v>
      </c>
      <c r="G25" s="14" t="s">
        <v>181</v>
      </c>
      <c r="H25" s="15" t="s">
        <v>76</v>
      </c>
      <c r="I25" s="16" t="s">
        <v>77</v>
      </c>
      <c r="J25" s="16" t="s">
        <v>78</v>
      </c>
      <c r="K25" s="17">
        <f t="shared" si="9"/>
        <v>45916</v>
      </c>
      <c r="L25" s="13" t="s">
        <v>73</v>
      </c>
      <c r="M25" s="18" t="s">
        <v>79</v>
      </c>
      <c r="N25" s="18" t="s">
        <v>80</v>
      </c>
      <c r="O25" s="19" t="s">
        <v>80</v>
      </c>
      <c r="P25" s="16">
        <v>1542</v>
      </c>
      <c r="Q25" s="16" t="s">
        <v>78</v>
      </c>
      <c r="R25" s="20" t="s">
        <v>81</v>
      </c>
      <c r="S25" s="21" t="s">
        <v>82</v>
      </c>
      <c r="T25" s="16" t="s">
        <v>78</v>
      </c>
      <c r="U25" s="22">
        <v>45916</v>
      </c>
      <c r="V25" s="16" t="s">
        <v>83</v>
      </c>
      <c r="W25" s="23" t="s">
        <v>84</v>
      </c>
      <c r="X25" s="24" t="s">
        <v>85</v>
      </c>
      <c r="Y25" s="24" t="s">
        <v>86</v>
      </c>
      <c r="Z25" s="24" t="s">
        <v>124</v>
      </c>
      <c r="AA25" s="25">
        <v>795</v>
      </c>
      <c r="AB25" s="25" t="s">
        <v>88</v>
      </c>
      <c r="AC25" s="26">
        <v>40</v>
      </c>
      <c r="AD25" s="27" t="s">
        <v>89</v>
      </c>
      <c r="AE25" s="28" t="s">
        <v>121</v>
      </c>
      <c r="AF25" s="29" t="s">
        <v>89</v>
      </c>
      <c r="AG25" s="16" t="s">
        <v>91</v>
      </c>
      <c r="AH25" s="16" t="s">
        <v>92</v>
      </c>
      <c r="AI25" s="16" t="s">
        <v>89</v>
      </c>
      <c r="AJ25" s="17">
        <f t="shared" si="10"/>
        <v>45916</v>
      </c>
      <c r="AK25" s="17">
        <f t="shared" si="11"/>
        <v>45916</v>
      </c>
      <c r="AL25" s="17">
        <f t="shared" si="12"/>
        <v>45916</v>
      </c>
      <c r="AM25" s="22" t="str">
        <f t="shared" si="13"/>
        <v>N/A</v>
      </c>
      <c r="AN25" s="16" t="s">
        <v>93</v>
      </c>
      <c r="AO25" s="30" t="s">
        <v>94</v>
      </c>
      <c r="AP25" s="24" t="s">
        <v>95</v>
      </c>
      <c r="AQ25" s="24" t="s">
        <v>96</v>
      </c>
      <c r="AR25" s="19" t="s">
        <v>97</v>
      </c>
      <c r="AS25" s="13" t="s">
        <v>89</v>
      </c>
      <c r="AT25" s="13" t="s">
        <v>89</v>
      </c>
      <c r="AU25" s="17">
        <f t="shared" si="14"/>
        <v>45946</v>
      </c>
      <c r="AV25" s="13" t="s">
        <v>73</v>
      </c>
      <c r="AW25" s="31" t="s">
        <v>98</v>
      </c>
      <c r="AX25" s="32">
        <f t="array" aca="1" ref="AX25" ca="1">_xlfn.RANDARRAY(2,1,1023456789000,9999999999999,TRUE)</f>
        <v>1636312624604</v>
      </c>
      <c r="AY25" s="17" t="s">
        <v>99</v>
      </c>
      <c r="AZ25" s="17" t="s">
        <v>100</v>
      </c>
      <c r="BA25" s="13" t="s">
        <v>73</v>
      </c>
      <c r="BB25" s="31" t="s">
        <v>101</v>
      </c>
      <c r="BC25" s="32">
        <f t="array" aca="1" ref="BC25" ca="1">_xlfn.RANDARRAY(2,1,12345678,99999999,TRUE)</f>
        <v>61523347</v>
      </c>
      <c r="BD25" s="17" t="s">
        <v>99</v>
      </c>
      <c r="BE25" s="17" t="s">
        <v>102</v>
      </c>
      <c r="BF25" s="19" t="s">
        <v>103</v>
      </c>
      <c r="BG25" s="17">
        <v>25984</v>
      </c>
      <c r="BH25" s="13" t="s">
        <v>104</v>
      </c>
      <c r="BI25" s="13" t="s">
        <v>73</v>
      </c>
      <c r="BJ25" s="13" t="s">
        <v>105</v>
      </c>
      <c r="BK25" s="33" t="s">
        <v>89</v>
      </c>
      <c r="BL25" s="13" t="s">
        <v>106</v>
      </c>
      <c r="BM25" s="34" t="s">
        <v>107</v>
      </c>
      <c r="BN25" s="13" t="s">
        <v>108</v>
      </c>
      <c r="BO25" s="13" t="s">
        <v>73</v>
      </c>
      <c r="BP25" s="13" t="s">
        <v>109</v>
      </c>
      <c r="BQ25" s="13">
        <f t="array" aca="1" ref="BQ25" ca="1">_xlfn.RANDARRAY(2,1,12345,99999,TRUE)</f>
        <v>40526</v>
      </c>
      <c r="BR25" s="17">
        <v>44562</v>
      </c>
      <c r="BS25" s="17">
        <v>47119</v>
      </c>
      <c r="BT25" s="22">
        <v>44562</v>
      </c>
      <c r="BU25" s="22">
        <f t="shared" ca="1" si="3"/>
        <v>46203</v>
      </c>
      <c r="BV25" s="16" t="s">
        <v>110</v>
      </c>
    </row>
    <row r="26" spans="1:74" ht="14.5" customHeight="1" x14ac:dyDescent="0.35">
      <c r="A26" s="64" t="s">
        <v>182</v>
      </c>
      <c r="B26" s="66">
        <v>10700006</v>
      </c>
      <c r="C26" s="11" t="s">
        <v>171</v>
      </c>
      <c r="D26" s="12" t="s">
        <v>72</v>
      </c>
      <c r="E26" s="13" t="s">
        <v>73</v>
      </c>
      <c r="F26" s="14" t="s">
        <v>183</v>
      </c>
      <c r="G26" s="14" t="s">
        <v>184</v>
      </c>
      <c r="H26" s="15" t="s">
        <v>114</v>
      </c>
      <c r="I26" s="16" t="s">
        <v>77</v>
      </c>
      <c r="J26" s="16" t="s">
        <v>78</v>
      </c>
      <c r="K26" s="17">
        <f t="shared" si="9"/>
        <v>45915</v>
      </c>
      <c r="L26" s="13" t="s">
        <v>73</v>
      </c>
      <c r="M26" s="18" t="s">
        <v>79</v>
      </c>
      <c r="N26" s="18" t="s">
        <v>80</v>
      </c>
      <c r="O26" s="19" t="s">
        <v>80</v>
      </c>
      <c r="P26" s="16">
        <v>1542</v>
      </c>
      <c r="Q26" s="16" t="s">
        <v>78</v>
      </c>
      <c r="R26" s="20" t="s">
        <v>81</v>
      </c>
      <c r="S26" s="21" t="s">
        <v>82</v>
      </c>
      <c r="T26" s="16" t="s">
        <v>78</v>
      </c>
      <c r="U26" s="22">
        <v>45915</v>
      </c>
      <c r="V26" s="16" t="s">
        <v>83</v>
      </c>
      <c r="W26" s="23" t="s">
        <v>84</v>
      </c>
      <c r="X26" s="24" t="s">
        <v>85</v>
      </c>
      <c r="Y26" s="24" t="s">
        <v>86</v>
      </c>
      <c r="Z26" s="24" t="s">
        <v>124</v>
      </c>
      <c r="AA26" s="25">
        <v>795</v>
      </c>
      <c r="AB26" s="25" t="s">
        <v>88</v>
      </c>
      <c r="AC26" s="26">
        <v>40</v>
      </c>
      <c r="AD26" s="27" t="s">
        <v>89</v>
      </c>
      <c r="AE26" s="28" t="s">
        <v>121</v>
      </c>
      <c r="AF26" s="29" t="s">
        <v>89</v>
      </c>
      <c r="AG26" s="16" t="s">
        <v>91</v>
      </c>
      <c r="AH26" s="16" t="s">
        <v>92</v>
      </c>
      <c r="AI26" s="16" t="s">
        <v>89</v>
      </c>
      <c r="AJ26" s="17">
        <f t="shared" si="10"/>
        <v>45915</v>
      </c>
      <c r="AK26" s="17">
        <f t="shared" si="11"/>
        <v>45915</v>
      </c>
      <c r="AL26" s="17">
        <f t="shared" si="12"/>
        <v>45915</v>
      </c>
      <c r="AM26" s="22" t="str">
        <f t="shared" si="13"/>
        <v>N/A</v>
      </c>
      <c r="AN26" s="16" t="s">
        <v>93</v>
      </c>
      <c r="AO26" s="30" t="s">
        <v>94</v>
      </c>
      <c r="AP26" s="24" t="s">
        <v>95</v>
      </c>
      <c r="AQ26" s="24" t="s">
        <v>96</v>
      </c>
      <c r="AR26" s="19" t="s">
        <v>97</v>
      </c>
      <c r="AS26" s="13" t="s">
        <v>89</v>
      </c>
      <c r="AT26" s="13" t="s">
        <v>89</v>
      </c>
      <c r="AU26" s="17">
        <f t="shared" si="14"/>
        <v>45945</v>
      </c>
      <c r="AV26" s="13" t="s">
        <v>73</v>
      </c>
      <c r="AW26" s="31" t="s">
        <v>98</v>
      </c>
      <c r="AX26" s="32">
        <f t="array" aca="1" ref="AX26" ca="1">_xlfn.RANDARRAY(2,1,1023456789000,9999999999999,TRUE)</f>
        <v>9375703023502</v>
      </c>
      <c r="AY26" s="17" t="s">
        <v>99</v>
      </c>
      <c r="AZ26" s="17" t="s">
        <v>100</v>
      </c>
      <c r="BA26" s="13" t="s">
        <v>73</v>
      </c>
      <c r="BB26" s="31" t="s">
        <v>101</v>
      </c>
      <c r="BC26" s="32">
        <f t="array" aca="1" ref="BC26" ca="1">_xlfn.RANDARRAY(2,1,12345678,99999999,TRUE)</f>
        <v>66368625</v>
      </c>
      <c r="BD26" s="17" t="s">
        <v>99</v>
      </c>
      <c r="BE26" s="17" t="s">
        <v>102</v>
      </c>
      <c r="BF26" s="19" t="s">
        <v>103</v>
      </c>
      <c r="BG26" s="17">
        <v>25873</v>
      </c>
      <c r="BH26" s="13" t="s">
        <v>104</v>
      </c>
      <c r="BI26" s="13" t="s">
        <v>73</v>
      </c>
      <c r="BJ26" s="13" t="s">
        <v>105</v>
      </c>
      <c r="BK26" s="33" t="s">
        <v>89</v>
      </c>
      <c r="BL26" s="13" t="s">
        <v>106</v>
      </c>
      <c r="BM26" s="34" t="s">
        <v>107</v>
      </c>
      <c r="BN26" s="13" t="s">
        <v>108</v>
      </c>
      <c r="BO26" s="13" t="s">
        <v>73</v>
      </c>
      <c r="BP26" s="13" t="s">
        <v>109</v>
      </c>
      <c r="BQ26" s="13">
        <f t="array" aca="1" ref="BQ26" ca="1">_xlfn.RANDARRAY(2,1,12345,99999,TRUE)</f>
        <v>99147</v>
      </c>
      <c r="BR26" s="17">
        <v>44562</v>
      </c>
      <c r="BS26" s="17">
        <v>47119</v>
      </c>
      <c r="BT26" s="22">
        <v>44562</v>
      </c>
      <c r="BU26" s="22">
        <f t="shared" ca="1" si="3"/>
        <v>46203</v>
      </c>
      <c r="BV26" s="16" t="s">
        <v>110</v>
      </c>
    </row>
    <row r="27" spans="1:74" ht="14.5" customHeight="1" x14ac:dyDescent="0.35">
      <c r="A27" s="64" t="s">
        <v>185</v>
      </c>
      <c r="B27" s="10">
        <v>10700017</v>
      </c>
      <c r="C27" s="11" t="s">
        <v>171</v>
      </c>
      <c r="D27" s="12" t="s">
        <v>72</v>
      </c>
      <c r="E27" s="13" t="s">
        <v>73</v>
      </c>
      <c r="F27" s="14" t="s">
        <v>186</v>
      </c>
      <c r="G27" s="14" t="s">
        <v>187</v>
      </c>
      <c r="H27" s="15" t="s">
        <v>76</v>
      </c>
      <c r="I27" s="16" t="s">
        <v>77</v>
      </c>
      <c r="J27" s="16" t="s">
        <v>78</v>
      </c>
      <c r="K27" s="17">
        <f t="shared" si="9"/>
        <v>45885</v>
      </c>
      <c r="L27" s="13" t="s">
        <v>73</v>
      </c>
      <c r="M27" s="18" t="s">
        <v>79</v>
      </c>
      <c r="N27" s="18" t="s">
        <v>80</v>
      </c>
      <c r="O27" s="19" t="s">
        <v>80</v>
      </c>
      <c r="P27" s="16">
        <v>1542</v>
      </c>
      <c r="Q27" s="16" t="s">
        <v>78</v>
      </c>
      <c r="R27" s="20" t="s">
        <v>81</v>
      </c>
      <c r="S27" s="21" t="s">
        <v>82</v>
      </c>
      <c r="T27" s="16" t="s">
        <v>78</v>
      </c>
      <c r="U27" s="22">
        <v>45885</v>
      </c>
      <c r="V27" s="16" t="s">
        <v>83</v>
      </c>
      <c r="W27" s="23" t="s">
        <v>84</v>
      </c>
      <c r="X27" s="24" t="s">
        <v>85</v>
      </c>
      <c r="Y27" s="24" t="s">
        <v>86</v>
      </c>
      <c r="Z27" s="24" t="s">
        <v>124</v>
      </c>
      <c r="AA27" s="25">
        <v>795</v>
      </c>
      <c r="AB27" s="25" t="s">
        <v>88</v>
      </c>
      <c r="AC27" s="26">
        <v>40</v>
      </c>
      <c r="AD27" s="27" t="s">
        <v>89</v>
      </c>
      <c r="AE27" s="28" t="s">
        <v>121</v>
      </c>
      <c r="AF27" s="29" t="s">
        <v>89</v>
      </c>
      <c r="AG27" s="16" t="s">
        <v>91</v>
      </c>
      <c r="AH27" s="16" t="s">
        <v>92</v>
      </c>
      <c r="AI27" s="16" t="s">
        <v>89</v>
      </c>
      <c r="AJ27" s="17">
        <f t="shared" si="10"/>
        <v>45885</v>
      </c>
      <c r="AK27" s="17">
        <f t="shared" si="11"/>
        <v>45885</v>
      </c>
      <c r="AL27" s="17">
        <f t="shared" si="12"/>
        <v>45885</v>
      </c>
      <c r="AM27" s="22" t="str">
        <f t="shared" si="13"/>
        <v>N/A</v>
      </c>
      <c r="AN27" s="16" t="s">
        <v>93</v>
      </c>
      <c r="AO27" s="30" t="s">
        <v>94</v>
      </c>
      <c r="AP27" s="24" t="s">
        <v>95</v>
      </c>
      <c r="AQ27" s="24" t="s">
        <v>96</v>
      </c>
      <c r="AR27" s="19" t="s">
        <v>97</v>
      </c>
      <c r="AS27" s="13" t="s">
        <v>89</v>
      </c>
      <c r="AT27" s="13" t="s">
        <v>89</v>
      </c>
      <c r="AU27" s="17">
        <f t="shared" si="14"/>
        <v>45915</v>
      </c>
      <c r="AV27" s="13" t="s">
        <v>73</v>
      </c>
      <c r="AW27" s="31" t="s">
        <v>98</v>
      </c>
      <c r="AX27" s="32">
        <f t="array" aca="1" ref="AX27" ca="1">_xlfn.RANDARRAY(2,1,1023456789000,9999999999999,TRUE)</f>
        <v>6843041680111</v>
      </c>
      <c r="AY27" s="17" t="s">
        <v>99</v>
      </c>
      <c r="AZ27" s="17" t="s">
        <v>100</v>
      </c>
      <c r="BA27" s="13" t="s">
        <v>73</v>
      </c>
      <c r="BB27" s="31" t="s">
        <v>101</v>
      </c>
      <c r="BC27" s="32">
        <f t="array" aca="1" ref="BC27" ca="1">_xlfn.RANDARRAY(2,1,12345678,99999999,TRUE)</f>
        <v>62432768</v>
      </c>
      <c r="BD27" s="17" t="s">
        <v>99</v>
      </c>
      <c r="BE27" s="17" t="s">
        <v>102</v>
      </c>
      <c r="BF27" s="19" t="s">
        <v>103</v>
      </c>
      <c r="BG27" s="17">
        <v>25984</v>
      </c>
      <c r="BH27" s="13" t="s">
        <v>104</v>
      </c>
      <c r="BI27" s="13" t="s">
        <v>73</v>
      </c>
      <c r="BJ27" s="13" t="s">
        <v>105</v>
      </c>
      <c r="BK27" s="33" t="s">
        <v>89</v>
      </c>
      <c r="BL27" s="13" t="s">
        <v>106</v>
      </c>
      <c r="BM27" s="34" t="s">
        <v>107</v>
      </c>
      <c r="BN27" s="13" t="s">
        <v>108</v>
      </c>
      <c r="BO27" s="13" t="s">
        <v>73</v>
      </c>
      <c r="BP27" s="13" t="s">
        <v>109</v>
      </c>
      <c r="BQ27" s="13">
        <f t="array" aca="1" ref="BQ27" ca="1">_xlfn.RANDARRAY(2,1,12345,99999,TRUE)</f>
        <v>97619</v>
      </c>
      <c r="BR27" s="17">
        <v>44562</v>
      </c>
      <c r="BS27" s="17">
        <v>47119</v>
      </c>
      <c r="BT27" s="22">
        <v>44562</v>
      </c>
      <c r="BU27" s="22">
        <f t="shared" ca="1" si="3"/>
        <v>46203</v>
      </c>
      <c r="BV27" s="16" t="s">
        <v>110</v>
      </c>
    </row>
    <row r="28" spans="1:74" ht="14.5" customHeight="1" x14ac:dyDescent="0.35">
      <c r="A28" s="64" t="s">
        <v>188</v>
      </c>
      <c r="B28" s="66">
        <v>10700010</v>
      </c>
      <c r="C28" s="11" t="s">
        <v>171</v>
      </c>
      <c r="D28" s="12" t="s">
        <v>72</v>
      </c>
      <c r="E28" s="13" t="s">
        <v>73</v>
      </c>
      <c r="F28" s="14" t="s">
        <v>189</v>
      </c>
      <c r="G28" s="14" t="s">
        <v>190</v>
      </c>
      <c r="H28" s="15" t="s">
        <v>114</v>
      </c>
      <c r="I28" s="16" t="s">
        <v>77</v>
      </c>
      <c r="J28" s="16" t="s">
        <v>78</v>
      </c>
      <c r="K28" s="17">
        <f t="shared" si="9"/>
        <v>45884</v>
      </c>
      <c r="L28" s="13" t="s">
        <v>73</v>
      </c>
      <c r="M28" s="18" t="s">
        <v>79</v>
      </c>
      <c r="N28" s="18" t="s">
        <v>80</v>
      </c>
      <c r="O28" s="19" t="s">
        <v>80</v>
      </c>
      <c r="P28" s="16">
        <v>1542</v>
      </c>
      <c r="Q28" s="16" t="s">
        <v>78</v>
      </c>
      <c r="R28" s="20" t="s">
        <v>81</v>
      </c>
      <c r="S28" s="21" t="s">
        <v>82</v>
      </c>
      <c r="T28" s="16" t="s">
        <v>78</v>
      </c>
      <c r="U28" s="22">
        <v>45884</v>
      </c>
      <c r="V28" s="16" t="s">
        <v>83</v>
      </c>
      <c r="W28" s="23" t="s">
        <v>84</v>
      </c>
      <c r="X28" s="24" t="s">
        <v>85</v>
      </c>
      <c r="Y28" s="24" t="s">
        <v>86</v>
      </c>
      <c r="Z28" s="24" t="s">
        <v>124</v>
      </c>
      <c r="AA28" s="25">
        <v>795</v>
      </c>
      <c r="AB28" s="25" t="s">
        <v>88</v>
      </c>
      <c r="AC28" s="26">
        <v>40</v>
      </c>
      <c r="AD28" s="27" t="s">
        <v>89</v>
      </c>
      <c r="AE28" s="28" t="s">
        <v>121</v>
      </c>
      <c r="AF28" s="29" t="s">
        <v>89</v>
      </c>
      <c r="AG28" s="16" t="s">
        <v>91</v>
      </c>
      <c r="AH28" s="16" t="s">
        <v>92</v>
      </c>
      <c r="AI28" s="16" t="s">
        <v>89</v>
      </c>
      <c r="AJ28" s="17">
        <f t="shared" si="10"/>
        <v>45884</v>
      </c>
      <c r="AK28" s="17">
        <f t="shared" si="11"/>
        <v>45884</v>
      </c>
      <c r="AL28" s="17">
        <f t="shared" si="12"/>
        <v>45884</v>
      </c>
      <c r="AM28" s="22" t="str">
        <f t="shared" si="13"/>
        <v>N/A</v>
      </c>
      <c r="AN28" s="16" t="s">
        <v>93</v>
      </c>
      <c r="AO28" s="30" t="s">
        <v>94</v>
      </c>
      <c r="AP28" s="24" t="s">
        <v>95</v>
      </c>
      <c r="AQ28" s="24" t="s">
        <v>96</v>
      </c>
      <c r="AR28" s="19" t="s">
        <v>97</v>
      </c>
      <c r="AS28" s="13" t="s">
        <v>89</v>
      </c>
      <c r="AT28" s="13" t="s">
        <v>89</v>
      </c>
      <c r="AU28" s="17">
        <f t="shared" si="14"/>
        <v>45914</v>
      </c>
      <c r="AV28" s="13" t="s">
        <v>73</v>
      </c>
      <c r="AW28" s="31" t="s">
        <v>98</v>
      </c>
      <c r="AX28" s="32">
        <f t="array" aca="1" ref="AX28" ca="1">_xlfn.RANDARRAY(2,1,1023456789000,9999999999999,TRUE)</f>
        <v>8429496174347</v>
      </c>
      <c r="AY28" s="17" t="s">
        <v>99</v>
      </c>
      <c r="AZ28" s="17" t="s">
        <v>100</v>
      </c>
      <c r="BA28" s="13" t="s">
        <v>73</v>
      </c>
      <c r="BB28" s="31" t="s">
        <v>101</v>
      </c>
      <c r="BC28" s="32">
        <f t="array" aca="1" ref="BC28" ca="1">_xlfn.RANDARRAY(2,1,12345678,99999999,TRUE)</f>
        <v>12854320</v>
      </c>
      <c r="BD28" s="17" t="s">
        <v>99</v>
      </c>
      <c r="BE28" s="17" t="s">
        <v>102</v>
      </c>
      <c r="BF28" s="19" t="s">
        <v>103</v>
      </c>
      <c r="BG28" s="17">
        <v>25873</v>
      </c>
      <c r="BH28" s="13" t="s">
        <v>104</v>
      </c>
      <c r="BI28" s="13" t="s">
        <v>73</v>
      </c>
      <c r="BJ28" s="13" t="s">
        <v>105</v>
      </c>
      <c r="BK28" s="33" t="s">
        <v>89</v>
      </c>
      <c r="BL28" s="13" t="s">
        <v>106</v>
      </c>
      <c r="BM28" s="34" t="s">
        <v>107</v>
      </c>
      <c r="BN28" s="13" t="s">
        <v>108</v>
      </c>
      <c r="BO28" s="13" t="s">
        <v>73</v>
      </c>
      <c r="BP28" s="13" t="s">
        <v>109</v>
      </c>
      <c r="BQ28" s="13">
        <f t="array" aca="1" ref="BQ28" ca="1">_xlfn.RANDARRAY(2,1,12345,99999,TRUE)</f>
        <v>35440</v>
      </c>
      <c r="BR28" s="17">
        <v>44562</v>
      </c>
      <c r="BS28" s="17">
        <v>47119</v>
      </c>
      <c r="BT28" s="22">
        <v>44562</v>
      </c>
      <c r="BU28" s="22">
        <f t="shared" ca="1" si="3"/>
        <v>46203</v>
      </c>
      <c r="BV28" s="16" t="s">
        <v>110</v>
      </c>
    </row>
    <row r="29" spans="1:74" ht="14.5" customHeight="1" x14ac:dyDescent="0.35">
      <c r="A29" s="64" t="s">
        <v>191</v>
      </c>
      <c r="B29" s="66">
        <v>10700011</v>
      </c>
      <c r="C29" s="11" t="s">
        <v>171</v>
      </c>
      <c r="D29" s="12" t="s">
        <v>72</v>
      </c>
      <c r="E29" s="13" t="s">
        <v>73</v>
      </c>
      <c r="F29" s="14" t="s">
        <v>192</v>
      </c>
      <c r="G29" s="14" t="s">
        <v>193</v>
      </c>
      <c r="H29" s="15" t="s">
        <v>76</v>
      </c>
      <c r="I29" s="16" t="s">
        <v>77</v>
      </c>
      <c r="J29" s="16" t="s">
        <v>78</v>
      </c>
      <c r="K29" s="17">
        <f t="shared" si="9"/>
        <v>46584</v>
      </c>
      <c r="L29" s="13" t="s">
        <v>73</v>
      </c>
      <c r="M29" s="18" t="s">
        <v>79</v>
      </c>
      <c r="N29" s="18" t="s">
        <v>80</v>
      </c>
      <c r="O29" s="19" t="s">
        <v>80</v>
      </c>
      <c r="P29" s="16">
        <v>1542</v>
      </c>
      <c r="Q29" s="16" t="s">
        <v>78</v>
      </c>
      <c r="R29" s="20" t="s">
        <v>81</v>
      </c>
      <c r="S29" s="21" t="s">
        <v>82</v>
      </c>
      <c r="T29" s="16" t="s">
        <v>78</v>
      </c>
      <c r="U29" s="22">
        <v>46584</v>
      </c>
      <c r="V29" s="16" t="s">
        <v>83</v>
      </c>
      <c r="W29" s="23" t="s">
        <v>84</v>
      </c>
      <c r="X29" s="24" t="s">
        <v>85</v>
      </c>
      <c r="Y29" s="24" t="s">
        <v>86</v>
      </c>
      <c r="Z29" s="24" t="s">
        <v>124</v>
      </c>
      <c r="AA29" s="25">
        <v>795</v>
      </c>
      <c r="AB29" s="25" t="s">
        <v>88</v>
      </c>
      <c r="AC29" s="26">
        <v>40</v>
      </c>
      <c r="AD29" s="27" t="s">
        <v>89</v>
      </c>
      <c r="AE29" s="28" t="s">
        <v>121</v>
      </c>
      <c r="AF29" s="29" t="s">
        <v>89</v>
      </c>
      <c r="AG29" s="16" t="s">
        <v>91</v>
      </c>
      <c r="AH29" s="16" t="s">
        <v>92</v>
      </c>
      <c r="AI29" s="16" t="s">
        <v>89</v>
      </c>
      <c r="AJ29" s="17">
        <f t="shared" si="10"/>
        <v>46584</v>
      </c>
      <c r="AK29" s="17">
        <f t="shared" si="11"/>
        <v>46584</v>
      </c>
      <c r="AL29" s="17">
        <f t="shared" si="12"/>
        <v>46584</v>
      </c>
      <c r="AM29" s="22" t="str">
        <f t="shared" si="13"/>
        <v>N/A</v>
      </c>
      <c r="AN29" s="16" t="s">
        <v>93</v>
      </c>
      <c r="AO29" s="30" t="s">
        <v>94</v>
      </c>
      <c r="AP29" s="24" t="s">
        <v>95</v>
      </c>
      <c r="AQ29" s="24" t="s">
        <v>96</v>
      </c>
      <c r="AR29" s="19" t="s">
        <v>97</v>
      </c>
      <c r="AS29" s="13" t="s">
        <v>89</v>
      </c>
      <c r="AT29" s="13" t="s">
        <v>89</v>
      </c>
      <c r="AU29" s="17">
        <f t="shared" si="14"/>
        <v>46614</v>
      </c>
      <c r="AV29" s="13" t="s">
        <v>73</v>
      </c>
      <c r="AW29" s="31" t="s">
        <v>98</v>
      </c>
      <c r="AX29" s="32">
        <f t="array" aca="1" ref="AX29" ca="1">_xlfn.RANDARRAY(2,1,1023456789000,9999999999999,TRUE)</f>
        <v>1334756730382</v>
      </c>
      <c r="AY29" s="17" t="s">
        <v>99</v>
      </c>
      <c r="AZ29" s="17" t="s">
        <v>100</v>
      </c>
      <c r="BA29" s="13" t="s">
        <v>73</v>
      </c>
      <c r="BB29" s="31" t="s">
        <v>101</v>
      </c>
      <c r="BC29" s="32">
        <f t="array" aca="1" ref="BC29" ca="1">_xlfn.RANDARRAY(2,1,12345678,99999999,TRUE)</f>
        <v>36184413</v>
      </c>
      <c r="BD29" s="17" t="s">
        <v>99</v>
      </c>
      <c r="BE29" s="17" t="s">
        <v>102</v>
      </c>
      <c r="BF29" s="19" t="s">
        <v>103</v>
      </c>
      <c r="BG29" s="17">
        <v>25984</v>
      </c>
      <c r="BH29" s="13" t="s">
        <v>104</v>
      </c>
      <c r="BI29" s="13" t="s">
        <v>73</v>
      </c>
      <c r="BJ29" s="13" t="s">
        <v>105</v>
      </c>
      <c r="BK29" s="33" t="s">
        <v>89</v>
      </c>
      <c r="BL29" s="13" t="s">
        <v>106</v>
      </c>
      <c r="BM29" s="34" t="s">
        <v>107</v>
      </c>
      <c r="BN29" s="13" t="s">
        <v>108</v>
      </c>
      <c r="BO29" s="13" t="s">
        <v>73</v>
      </c>
      <c r="BP29" s="13" t="s">
        <v>109</v>
      </c>
      <c r="BQ29" s="13">
        <f t="array" aca="1" ref="BQ29" ca="1">_xlfn.RANDARRAY(2,1,12345,99999,TRUE)</f>
        <v>61789</v>
      </c>
      <c r="BR29" s="17">
        <v>44562</v>
      </c>
      <c r="BS29" s="17">
        <v>47119</v>
      </c>
      <c r="BT29" s="22">
        <v>44562</v>
      </c>
      <c r="BU29" s="22">
        <f t="shared" ca="1" si="3"/>
        <v>46203</v>
      </c>
      <c r="BV29" s="16" t="s">
        <v>110</v>
      </c>
    </row>
    <row r="30" spans="1:74" ht="14.5" customHeight="1" x14ac:dyDescent="0.35">
      <c r="A30" s="64" t="s">
        <v>194</v>
      </c>
      <c r="B30" s="66">
        <v>10700013</v>
      </c>
      <c r="C30" s="11" t="s">
        <v>171</v>
      </c>
      <c r="D30" s="12" t="s">
        <v>72</v>
      </c>
      <c r="E30" s="13" t="s">
        <v>73</v>
      </c>
      <c r="F30" s="14" t="s">
        <v>195</v>
      </c>
      <c r="G30" s="14" t="s">
        <v>196</v>
      </c>
      <c r="H30" s="15" t="s">
        <v>114</v>
      </c>
      <c r="I30" s="16" t="s">
        <v>77</v>
      </c>
      <c r="J30" s="16" t="s">
        <v>78</v>
      </c>
      <c r="K30" s="17">
        <f t="shared" si="9"/>
        <v>46006</v>
      </c>
      <c r="L30" s="13" t="s">
        <v>73</v>
      </c>
      <c r="M30" s="18" t="s">
        <v>79</v>
      </c>
      <c r="N30" s="18" t="s">
        <v>80</v>
      </c>
      <c r="O30" s="19" t="s">
        <v>80</v>
      </c>
      <c r="P30" s="16">
        <v>1542</v>
      </c>
      <c r="Q30" s="16" t="s">
        <v>78</v>
      </c>
      <c r="R30" s="20" t="s">
        <v>81</v>
      </c>
      <c r="S30" s="21" t="s">
        <v>82</v>
      </c>
      <c r="T30" s="16" t="s">
        <v>78</v>
      </c>
      <c r="U30" s="22">
        <v>46006</v>
      </c>
      <c r="V30" s="16" t="s">
        <v>83</v>
      </c>
      <c r="W30" s="23" t="s">
        <v>84</v>
      </c>
      <c r="X30" s="24" t="s">
        <v>85</v>
      </c>
      <c r="Y30" s="24" t="s">
        <v>86</v>
      </c>
      <c r="Z30" s="24" t="s">
        <v>87</v>
      </c>
      <c r="AA30" s="25">
        <v>795</v>
      </c>
      <c r="AB30" s="25" t="s">
        <v>88</v>
      </c>
      <c r="AC30" s="26">
        <v>20</v>
      </c>
      <c r="AD30" s="27" t="s">
        <v>89</v>
      </c>
      <c r="AE30" s="28" t="s">
        <v>115</v>
      </c>
      <c r="AF30" s="29" t="s">
        <v>89</v>
      </c>
      <c r="AG30" s="16" t="s">
        <v>91</v>
      </c>
      <c r="AH30" s="16" t="s">
        <v>92</v>
      </c>
      <c r="AI30" s="16" t="s">
        <v>89</v>
      </c>
      <c r="AJ30" s="17">
        <f t="shared" si="10"/>
        <v>46006</v>
      </c>
      <c r="AK30" s="17">
        <f t="shared" si="11"/>
        <v>46006</v>
      </c>
      <c r="AL30" s="17">
        <f t="shared" si="12"/>
        <v>46006</v>
      </c>
      <c r="AM30" s="22" t="str">
        <f t="shared" si="13"/>
        <v>N/A</v>
      </c>
      <c r="AN30" s="16" t="s">
        <v>93</v>
      </c>
      <c r="AO30" s="30" t="s">
        <v>94</v>
      </c>
      <c r="AP30" s="24" t="s">
        <v>95</v>
      </c>
      <c r="AQ30" s="24" t="s">
        <v>96</v>
      </c>
      <c r="AR30" s="19" t="s">
        <v>97</v>
      </c>
      <c r="AS30" s="13" t="s">
        <v>89</v>
      </c>
      <c r="AT30" s="13" t="s">
        <v>89</v>
      </c>
      <c r="AU30" s="17">
        <f t="shared" si="14"/>
        <v>46036</v>
      </c>
      <c r="AV30" s="13" t="s">
        <v>73</v>
      </c>
      <c r="AW30" s="31" t="s">
        <v>98</v>
      </c>
      <c r="AX30" s="32">
        <f t="array" aca="1" ref="AX30" ca="1">_xlfn.RANDARRAY(2,1,1023456789000,9999999999999,TRUE)</f>
        <v>1495580783466</v>
      </c>
      <c r="AY30" s="17" t="s">
        <v>99</v>
      </c>
      <c r="AZ30" s="17" t="s">
        <v>100</v>
      </c>
      <c r="BA30" s="13" t="s">
        <v>73</v>
      </c>
      <c r="BB30" s="31" t="s">
        <v>101</v>
      </c>
      <c r="BC30" s="32">
        <f t="array" aca="1" ref="BC30" ca="1">_xlfn.RANDARRAY(2,1,12345678,99999999,TRUE)</f>
        <v>30377561</v>
      </c>
      <c r="BD30" s="17" t="s">
        <v>99</v>
      </c>
      <c r="BE30" s="17" t="s">
        <v>102</v>
      </c>
      <c r="BF30" s="19" t="s">
        <v>103</v>
      </c>
      <c r="BG30" s="17">
        <v>25873</v>
      </c>
      <c r="BH30" s="13" t="s">
        <v>104</v>
      </c>
      <c r="BI30" s="13" t="s">
        <v>73</v>
      </c>
      <c r="BJ30" s="13" t="s">
        <v>105</v>
      </c>
      <c r="BK30" s="33" t="s">
        <v>89</v>
      </c>
      <c r="BL30" s="13" t="s">
        <v>106</v>
      </c>
      <c r="BM30" s="34" t="s">
        <v>107</v>
      </c>
      <c r="BN30" s="13" t="s">
        <v>108</v>
      </c>
      <c r="BO30" s="13" t="s">
        <v>73</v>
      </c>
      <c r="BP30" s="13" t="s">
        <v>109</v>
      </c>
      <c r="BQ30" s="13">
        <f t="array" aca="1" ref="BQ30" ca="1">_xlfn.RANDARRAY(2,1,12345,99999,TRUE)</f>
        <v>65803</v>
      </c>
      <c r="BR30" s="17">
        <v>44562</v>
      </c>
      <c r="BS30" s="17">
        <v>47119</v>
      </c>
      <c r="BT30" s="22">
        <v>44562</v>
      </c>
      <c r="BU30" s="22">
        <f t="shared" ca="1" si="3"/>
        <v>46203</v>
      </c>
      <c r="BV30" s="16" t="s">
        <v>110</v>
      </c>
    </row>
  </sheetData>
  <dataValidations count="2">
    <dataValidation type="list" allowBlank="1" showInputMessage="1" showErrorMessage="1" sqref="AH10:AH30 V10:V30 T10:T30 Q10:Q30 J10:J30 BL10:BL30" xr:uid="{00000000-0002-0000-0000-000000000000}">
      <formula1>INDIRECT($E2)</formula1>
    </dataValidation>
    <dataValidation type="list" allowBlank="1" showInputMessage="1" showErrorMessage="1" sqref="AH2:AH30 V2:V30 T2:T30 Q2:Q30 J2:J30 BL2:BL30" xr:uid="{00000000-0002-0000-0000-000001000000}">
      <formula1>INDIRECT($E2)</formula1>
    </dataValidation>
  </dataValidations>
  <hyperlinks>
    <hyperlink ref="S2" r:id="rId1" xr:uid="{00000000-0004-0000-0000-000000000000}"/>
    <hyperlink ref="S3" r:id="rId2" xr:uid="{00000000-0004-0000-0000-000001000000}"/>
    <hyperlink ref="S4" r:id="rId3" xr:uid="{00000000-0004-0000-0000-000002000000}"/>
    <hyperlink ref="S5" r:id="rId4" xr:uid="{00000000-0004-0000-0000-000003000000}"/>
    <hyperlink ref="S6" r:id="rId5" xr:uid="{00000000-0004-0000-0000-000004000000}"/>
    <hyperlink ref="S7" r:id="rId6" xr:uid="{00000000-0004-0000-0000-000005000000}"/>
    <hyperlink ref="S8" r:id="rId7" xr:uid="{00000000-0004-0000-0000-000006000000}"/>
    <hyperlink ref="S9" r:id="rId8" xr:uid="{00000000-0004-0000-0000-000007000000}"/>
    <hyperlink ref="S10" r:id="rId9" xr:uid="{00000000-0004-0000-0000-000008000000}"/>
    <hyperlink ref="S11" r:id="rId10" xr:uid="{00000000-0004-0000-0000-000009000000}"/>
    <hyperlink ref="S12" r:id="rId11" xr:uid="{00000000-0004-0000-0000-00000A000000}"/>
    <hyperlink ref="S13" r:id="rId12" xr:uid="{00000000-0004-0000-0000-00000B000000}"/>
    <hyperlink ref="S14" r:id="rId13" xr:uid="{00000000-0004-0000-0000-00000C000000}"/>
    <hyperlink ref="S15" r:id="rId14" xr:uid="{00000000-0004-0000-0000-00000D000000}"/>
    <hyperlink ref="S16" r:id="rId15" xr:uid="{03DBF120-C7EE-4AEF-A2A6-ED420EE4510C}"/>
    <hyperlink ref="S17" r:id="rId16" xr:uid="{42BC8437-CD97-4F1B-B2AD-7D503222D981}"/>
    <hyperlink ref="S18" r:id="rId17" xr:uid="{66C61AB1-9DD4-43FE-950B-32C4940799EC}"/>
    <hyperlink ref="S19" r:id="rId18" xr:uid="{C53DD5D9-E9F6-478A-AEDB-7D723D73CB93}"/>
    <hyperlink ref="S20" r:id="rId19" xr:uid="{4AF1D6D4-99B5-4C8A-8F82-E5772CD208E3}"/>
    <hyperlink ref="S21" r:id="rId20" xr:uid="{619B8E92-7384-486D-A091-49FD7A4D1FEB}"/>
    <hyperlink ref="S22" r:id="rId21" xr:uid="{EBF6A04A-8525-43C5-A41B-ADB0ED3BD23E}"/>
    <hyperlink ref="S23" r:id="rId22" xr:uid="{3F03871A-E184-460C-B44A-77FAC7593808}"/>
    <hyperlink ref="S24" r:id="rId23" xr:uid="{A305A9FA-F0FE-483E-8D48-A72A0D74EF39}"/>
    <hyperlink ref="S25" r:id="rId24" xr:uid="{CC8A3A0B-4C7B-4730-85D6-3EEF57F68653}"/>
    <hyperlink ref="S26" r:id="rId25" xr:uid="{C7A8CF2A-0649-4E31-9489-DD5938A398AE}"/>
    <hyperlink ref="S27" r:id="rId26" xr:uid="{4BF501CC-8779-4D9F-91A0-8A026B7FBA2C}"/>
    <hyperlink ref="S28" r:id="rId27" xr:uid="{385B2DCE-1B16-4BED-A09D-DF20880CEF5B}"/>
    <hyperlink ref="S29" r:id="rId28" xr:uid="{72AEB17A-E389-469A-BE9B-A574BBE680D3}"/>
    <hyperlink ref="S30" r:id="rId29" xr:uid="{08CDD826-65DD-4A25-A96C-11795B7CAFBE}"/>
  </hyperlinks>
  <pageMargins left="0.7" right="0.7" top="0.75" bottom="0.75" header="0.3" footer="0.3"/>
  <pageSetup paperSize="9"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2025-06-19T12:20:58Z</dcterms:created>
  <dcterms:modified xsi:type="dcterms:W3CDTF">2025-06-30T13:52:40Z</dcterms:modified>
</cp:coreProperties>
</file>