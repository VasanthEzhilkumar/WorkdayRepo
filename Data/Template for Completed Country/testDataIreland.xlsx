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77CDDEBF-C68C-4DF5-A3D0-C10C599D74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X6" i="1" s="1"/>
  <c r="Y6" i="1" s="1"/>
  <c r="L5" i="1"/>
  <c r="X5" i="1" s="1"/>
  <c r="Y5" i="1" s="1"/>
  <c r="L4" i="1"/>
  <c r="X4" i="1" s="1"/>
  <c r="X3" i="1"/>
  <c r="Y3" i="1" s="1"/>
  <c r="L3" i="1"/>
  <c r="L2" i="1"/>
  <c r="X2" i="1" s="1"/>
  <c r="Y2" i="1" s="1"/>
  <c r="AJ4" i="1" l="1"/>
  <c r="Y4" i="1"/>
</calcChain>
</file>

<file path=xl/sharedStrings.xml><?xml version="1.0" encoding="utf-8"?>
<sst xmlns="http://schemas.openxmlformats.org/spreadsheetml/2006/main" count="314" uniqueCount="136">
  <si>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</si>
  <si>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</si>
  <si>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</si>
  <si>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</si>
  <si>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</si>
  <si>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</si>
  <si>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</si>
  <si>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</si>
  <si>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</si>
  <si>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</si>
  <si>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</si>
  <si>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</si>
  <si>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</si>
  <si>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</si>
  <si>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</si>
  <si>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</si>
  <si>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</si>
  <si>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</si>
  <si>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</si>
  <si>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</si>
  <si>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</si>
  <si>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</si>
  <si>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</si>
  <si>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</si>
  <si>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</si>
  <si>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</si>
  <si>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</si>
  <si>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</si>
  <si>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</si>
  <si>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</si>
  <si>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</si>
  <si>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</si>
  <si>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</si>
  <si>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</si>
  <si>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</si>
  <si>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</si>
  <si>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</si>
  <si>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</si>
  <si>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</si>
  <si>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</si>
  <si>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</si>
  <si>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</si>
  <si>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</si>
  <si>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</si>
  <si>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</si>
  <si>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</si>
  <si>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</si>
  <si>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</si>
  <si>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</si>
  <si>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</si>
  <si>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</si>
  <si>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</si>
  <si>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</si>
  <si>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</si>
  <si>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</si>
  <si>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</si>
  <si>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</si>
  <si>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10698347</t>
  </si>
  <si>
    <t>Passed</t>
  </si>
  <si>
    <t>001 Recruitment (Lubym Wyvyfu (221849))</t>
  </si>
  <si>
    <t>Ireland</t>
  </si>
  <si>
    <t>Mr</t>
  </si>
  <si>
    <t>Teagan</t>
  </si>
  <si>
    <t>Blanda</t>
  </si>
  <si>
    <t>Landline</t>
  </si>
  <si>
    <t>Home</t>
  </si>
  <si>
    <t>Irel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</si>
  <si>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</si>
  <si>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</si>
  <si>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</si>
  <si>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</si>
  <si>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</si>
  <si>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</si>
  <si>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</si>
  <si>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</si>
  <si>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</si>
  <si>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</si>
  <si>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</si>
  <si>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</si>
  <si>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</si>
  <si>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</si>
  <si>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</si>
  <si>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</si>
  <si>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</si>
  <si>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</si>
  <si>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</si>
  <si>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2576988JA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</si>
  <si>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</si>
  <si>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</si>
  <si>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</si>
  <si>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</si>
  <si>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</si>
  <si>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</si>
  <si>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</si>
  <si>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</si>
  <si>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</si>
  <si>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</si>
  <si>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001 Store Management (Savip Gytape (100446))</t>
  </si>
  <si>
    <t>Ms</t>
  </si>
  <si>
    <t>Fixed Term (Fixed Term)</t>
  </si>
  <si>
    <t>92 Retail Management</t>
  </si>
  <si>
    <t>Female</t>
  </si>
  <si>
    <t>IE Management Group 20</t>
  </si>
  <si>
    <t>Test_3</t>
  </si>
  <si>
    <t>10698386</t>
  </si>
  <si>
    <t>Davonte</t>
  </si>
  <si>
    <t>Roob</t>
  </si>
  <si>
    <t>Auto 10053601</t>
  </si>
  <si>
    <t>Department Manager</t>
  </si>
  <si>
    <t>2577009JA</t>
  </si>
  <si>
    <t>Test_4</t>
  </si>
  <si>
    <t>10698388</t>
  </si>
  <si>
    <t>Elias</t>
  </si>
  <si>
    <t>Price</t>
  </si>
  <si>
    <t>Auto 85459929</t>
  </si>
  <si>
    <t>Weekend Manager</t>
  </si>
  <si>
    <t>Part time</t>
  </si>
  <si>
    <t>252 Weekend Management</t>
  </si>
  <si>
    <t>ROI Weekend Manager (Year 1)</t>
  </si>
  <si>
    <t>2576991JA</t>
  </si>
  <si>
    <t>Test_5</t>
  </si>
  <si>
    <t>10698389</t>
  </si>
  <si>
    <t>Helen</t>
  </si>
  <si>
    <t>Kshlerin</t>
  </si>
  <si>
    <t>Auto 51224412</t>
  </si>
  <si>
    <t>Team Manager - Retail</t>
  </si>
  <si>
    <t>ROI Team Manager - Retail (Probationary)</t>
  </si>
  <si>
    <t>Initial Step- ROI TM-Prob</t>
  </si>
  <si>
    <t>2576992JA</t>
  </si>
  <si>
    <t>Test_6</t>
  </si>
  <si>
    <t>Kennedy</t>
  </si>
  <si>
    <t>Kreiger</t>
  </si>
  <si>
    <t>Auto 81179745</t>
  </si>
  <si>
    <t>Temporary</t>
  </si>
  <si>
    <t>Assistant Manager</t>
  </si>
  <si>
    <t>2576993JA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</si>
</sst>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4" xfId="0" applyFill="1" applyBorder="1" applyAlignment="1">
      <alignment wrapText="1"/>
    </xf>
    <xf numFmtId="0" fontId="0" fillId="7" borderId="4" xfId="0" applyFill="1" applyBorder="1"/>
    <xf numFmtId="0" fontId="4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6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"/>
  <sheetViews>
    <sheetView tabSelected="1" topLeftCell="A2" zoomScale="90" zoomScaleNormal="90" workbookViewId="0">
      <selection activeCell="C8" sqref="C8"/>
    </sheetView>
  </sheetViews>
  <sheetFormatPr defaultRowHeight="14.5" customHeight="1" x14ac:dyDescent="0.35"/>
  <cols>
    <col min="1" max="1" width="23.6328125" customWidth="1"/>
    <col min="2" max="2" width="18.8164062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0" max="30" width="33.36328125" customWidth="1"/>
    <col min="32" max="32" width="24.453125" customWidth="1"/>
    <col min="33" max="33" width="18" customWidth="1"/>
    <col min="34" max="34" width="46.7265625" customWidth="1"/>
    <col min="35" max="35" width="26.81640625" customWidth="1"/>
    <col min="36" max="36" width="34.08984375" customWidth="1"/>
    <col min="37" max="37" width="36.1796875" customWidth="1"/>
    <col min="38" max="38" width="23.54296875" customWidth="1"/>
    <col min="39" max="39" width="24.453125" customWidth="1"/>
    <col min="40" max="40" width="41.7265625" customWidth="1"/>
    <col min="43" max="43" width="46.90625" customWidth="1"/>
    <col min="44" max="44" width="12.08984375" customWidth="1"/>
    <col min="46" max="46" width="23.54296875" customWidth="1"/>
    <col min="47" max="47" width="21.36328125" customWidth="1"/>
    <col min="48" max="48" width="25" customWidth="1"/>
    <col min="49" max="49" width="27.7265625" customWidth="1"/>
    <col min="50" max="50" width="24.26953125" customWidth="1"/>
    <col min="51" max="51" width="33.6328125" customWidth="1"/>
    <col min="52" max="52" width="28.36328125" customWidth="1"/>
    <col min="53" max="53" width="38.453125" customWidth="1"/>
    <col min="54" max="54" width="42.7265625" customWidth="1"/>
    <col min="55" max="55" width="24.54296875" customWidth="1"/>
    <col min="56" max="56" width="35.453125" customWidth="1"/>
    <col min="57" max="57" width="37.453125" customWidth="1"/>
    <col min="58" max="58" width="40.7265625" customWidth="1"/>
    <col min="59" max="59" width="44" customWidth="1"/>
    <col min="60" max="60" width="55.7265625" customWidth="1"/>
    <col min="61" max="61" width="28.54296875" customWidth="1"/>
    <col min="62" max="62" width="29.36328125" customWidth="1"/>
    <col min="66" max="66" width="34.36328125" customWidth="1"/>
    <col min="67" max="67" width="26.08984375" customWidth="1"/>
    <col min="79" max="79" width="21.6328125" customWidth="1"/>
    <col min="80" max="80" width="23.26953125" customWidth="1"/>
    <col min="99" max="99" width="54.81640625" customWidth="1"/>
    <col min="100" max="100" width="34.453125" customWidth="1"/>
  </cols>
  <sheetData>
    <row r="1" spans="1:60" ht="51" customHeight="1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8" t="s">
        <v>38</v>
      </c>
      <c r="AQ1" s="6" t="s">
        <v>39</v>
      </c>
      <c r="AR1" s="10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10" t="s">
        <v>55</v>
      </c>
      <c r="BH1" s="11"/>
    </row>
    <row r="2" spans="1:60" ht="87.5" customHeight="1" x14ac:dyDescent="0.35">
      <c r="A2" t="s">
        <v>56</v>
      </c>
      <c r="B2" s="12" t="s">
        <v>57</v>
      </c>
      <c r="C2" s="13" t="s">
        <v>58</v>
      </c>
      <c r="D2" s="14" t="s">
        <v>59</v>
      </c>
      <c r="E2" s="15" t="s">
        <v>60</v>
      </c>
      <c r="F2" s="16" t="s">
        <v>61</v>
      </c>
      <c r="G2" s="17" t="s">
        <v>62</v>
      </c>
      <c r="H2" s="17" t="s">
        <v>63</v>
      </c>
      <c r="I2" s="18">
        <v>861240232</v>
      </c>
      <c r="J2" s="18" t="s">
        <v>64</v>
      </c>
      <c r="K2" s="18" t="s">
        <v>65</v>
      </c>
      <c r="L2" s="19">
        <f t="shared" ref="L2:L6" ca="1" si="0">TODAY()-31</f>
        <v>45725</v>
      </c>
      <c r="M2" s="15" t="s">
        <v>66</v>
      </c>
      <c r="N2" s="20" t="s">
        <v>67</v>
      </c>
      <c r="O2" s="20" t="s">
        <v>68</v>
      </c>
      <c r="P2" s="18">
        <v>38</v>
      </c>
      <c r="Q2" s="18" t="s">
        <v>67</v>
      </c>
      <c r="R2" s="18" t="s">
        <v>69</v>
      </c>
      <c r="S2" s="18" t="s">
        <v>67</v>
      </c>
      <c r="T2" s="18" t="s">
        <v>65</v>
      </c>
      <c r="U2" s="21" t="s">
        <v>70</v>
      </c>
      <c r="V2" s="22" t="s">
        <v>71</v>
      </c>
      <c r="W2" s="18" t="s">
        <v>65</v>
      </c>
      <c r="X2" s="23">
        <f t="shared" ref="X2:X6" ca="1" si="1">L2</f>
        <v>45725</v>
      </c>
      <c r="Y2" s="19">
        <f t="shared" ref="Y2:Y6" ca="1" si="2">X2+90</f>
        <v>45815</v>
      </c>
      <c r="Z2" s="18" t="s">
        <v>72</v>
      </c>
      <c r="AA2" s="24" t="s">
        <v>73</v>
      </c>
      <c r="AB2" s="25" t="s">
        <v>74</v>
      </c>
      <c r="AC2" s="26" t="s">
        <v>75</v>
      </c>
      <c r="AD2" s="25" t="s">
        <v>76</v>
      </c>
      <c r="AE2" s="15" t="s">
        <v>77</v>
      </c>
      <c r="AF2" s="15" t="s">
        <v>78</v>
      </c>
      <c r="AG2" s="27">
        <v>37.5</v>
      </c>
      <c r="AH2" s="15" t="s">
        <v>79</v>
      </c>
      <c r="AI2" t="s">
        <v>80</v>
      </c>
      <c r="AJ2" s="23" t="s">
        <v>81</v>
      </c>
      <c r="AK2" s="18" t="s">
        <v>82</v>
      </c>
      <c r="AL2" s="18" t="s">
        <v>83</v>
      </c>
      <c r="AM2" t="s">
        <v>84</v>
      </c>
      <c r="AN2" s="28" t="s">
        <v>81</v>
      </c>
      <c r="AO2" s="28" t="s">
        <v>81</v>
      </c>
      <c r="AP2" s="28" t="s">
        <v>66</v>
      </c>
      <c r="AQ2" s="29" t="s">
        <v>85</v>
      </c>
      <c r="AR2" t="s">
        <v>86</v>
      </c>
      <c r="AS2" t="s">
        <v>87</v>
      </c>
      <c r="AT2" s="30">
        <v>35591</v>
      </c>
      <c r="AU2" t="s">
        <v>66</v>
      </c>
      <c r="AV2" t="s">
        <v>67</v>
      </c>
      <c r="AW2" s="30" t="s">
        <v>67</v>
      </c>
      <c r="AX2" s="30" t="s">
        <v>88</v>
      </c>
      <c r="AY2" s="30" t="s">
        <v>89</v>
      </c>
      <c r="AZ2" s="30" t="s">
        <v>90</v>
      </c>
      <c r="BA2" s="30" t="s">
        <v>66</v>
      </c>
      <c r="BB2" s="15" t="s">
        <v>91</v>
      </c>
      <c r="BC2" s="29" t="s">
        <v>92</v>
      </c>
      <c r="BD2" s="29" t="s">
        <v>93</v>
      </c>
      <c r="BE2" s="29" t="s">
        <v>94</v>
      </c>
      <c r="BF2" s="29" t="s">
        <v>95</v>
      </c>
      <c r="BG2" s="18" t="s">
        <v>96</v>
      </c>
      <c r="BH2" s="31"/>
    </row>
    <row r="3" spans="1:60" ht="14.5" customHeight="1" x14ac:dyDescent="0.35">
      <c r="A3" t="s">
        <v>103</v>
      </c>
      <c r="B3" s="33" t="s">
        <v>104</v>
      </c>
      <c r="C3" s="34" t="s">
        <v>58</v>
      </c>
      <c r="D3" s="14" t="s">
        <v>97</v>
      </c>
      <c r="E3" s="15" t="s">
        <v>60</v>
      </c>
      <c r="F3" s="16" t="s">
        <v>61</v>
      </c>
      <c r="G3" t="s">
        <v>105</v>
      </c>
      <c r="H3" t="s">
        <v>106</v>
      </c>
      <c r="I3" s="18">
        <v>861240232</v>
      </c>
      <c r="J3" s="18" t="s">
        <v>64</v>
      </c>
      <c r="K3" s="18" t="s">
        <v>65</v>
      </c>
      <c r="L3" s="19">
        <f t="shared" ca="1" si="0"/>
        <v>45725</v>
      </c>
      <c r="M3" s="15" t="s">
        <v>66</v>
      </c>
      <c r="N3" s="20" t="s">
        <v>67</v>
      </c>
      <c r="O3" s="20" t="s">
        <v>68</v>
      </c>
      <c r="P3" s="18">
        <v>38</v>
      </c>
      <c r="Q3" s="18" t="s">
        <v>67</v>
      </c>
      <c r="R3" s="18" t="s">
        <v>69</v>
      </c>
      <c r="S3" s="18" t="s">
        <v>67</v>
      </c>
      <c r="T3" s="18" t="s">
        <v>65</v>
      </c>
      <c r="U3" s="21" t="s">
        <v>70</v>
      </c>
      <c r="V3" s="22" t="s">
        <v>71</v>
      </c>
      <c r="W3" s="18" t="s">
        <v>65</v>
      </c>
      <c r="X3" s="23">
        <f t="shared" ca="1" si="1"/>
        <v>45725</v>
      </c>
      <c r="Y3" s="19">
        <f t="shared" ca="1" si="2"/>
        <v>45815</v>
      </c>
      <c r="Z3" s="18" t="s">
        <v>72</v>
      </c>
      <c r="AA3" s="24" t="s">
        <v>107</v>
      </c>
      <c r="AB3" s="25" t="s">
        <v>74</v>
      </c>
      <c r="AC3" s="26" t="s">
        <v>108</v>
      </c>
      <c r="AD3" s="25" t="s">
        <v>76</v>
      </c>
      <c r="AE3" s="15" t="s">
        <v>77</v>
      </c>
      <c r="AF3" s="15" t="s">
        <v>50</v>
      </c>
      <c r="AG3" s="27">
        <v>37.5</v>
      </c>
      <c r="AH3" s="15" t="s">
        <v>79</v>
      </c>
      <c r="AI3" t="s">
        <v>80</v>
      </c>
      <c r="AJ3" s="23" t="s">
        <v>81</v>
      </c>
      <c r="AK3" s="18" t="s">
        <v>82</v>
      </c>
      <c r="AL3" s="18" t="s">
        <v>100</v>
      </c>
      <c r="AM3" s="32">
        <v>251</v>
      </c>
      <c r="AN3" s="28" t="s">
        <v>81</v>
      </c>
      <c r="AO3" s="28" t="s">
        <v>81</v>
      </c>
      <c r="AP3" s="28" t="s">
        <v>66</v>
      </c>
      <c r="AQ3" s="29" t="s">
        <v>85</v>
      </c>
      <c r="AR3" t="s">
        <v>109</v>
      </c>
      <c r="AS3" t="s">
        <v>87</v>
      </c>
      <c r="AT3" s="30">
        <v>35591</v>
      </c>
      <c r="AU3" t="s">
        <v>66</v>
      </c>
      <c r="AV3" t="s">
        <v>67</v>
      </c>
      <c r="AW3" s="30" t="s">
        <v>67</v>
      </c>
      <c r="AX3" s="30" t="s">
        <v>88</v>
      </c>
      <c r="AY3" s="30" t="s">
        <v>89</v>
      </c>
      <c r="AZ3" s="30" t="s">
        <v>90</v>
      </c>
      <c r="BA3" s="30" t="s">
        <v>66</v>
      </c>
      <c r="BB3" s="15" t="s">
        <v>91</v>
      </c>
      <c r="BC3" s="29" t="s">
        <v>92</v>
      </c>
      <c r="BD3" s="29" t="s">
        <v>93</v>
      </c>
      <c r="BE3" s="29" t="s">
        <v>94</v>
      </c>
      <c r="BF3" s="29" t="s">
        <v>95</v>
      </c>
      <c r="BG3" s="18" t="s">
        <v>102</v>
      </c>
    </row>
    <row r="4" spans="1:60" ht="14.5" customHeight="1" x14ac:dyDescent="0.35">
      <c r="A4" t="s">
        <v>110</v>
      </c>
      <c r="B4" t="s">
        <v>111</v>
      </c>
      <c r="C4" s="34" t="s">
        <v>58</v>
      </c>
      <c r="D4" s="14" t="s">
        <v>97</v>
      </c>
      <c r="E4" s="15" t="s">
        <v>60</v>
      </c>
      <c r="F4" s="16" t="s">
        <v>98</v>
      </c>
      <c r="G4" t="s">
        <v>112</v>
      </c>
      <c r="H4" t="s">
        <v>113</v>
      </c>
      <c r="I4" s="18">
        <v>861240232</v>
      </c>
      <c r="J4" s="18" t="s">
        <v>64</v>
      </c>
      <c r="K4" s="18" t="s">
        <v>65</v>
      </c>
      <c r="L4" s="19">
        <f t="shared" ca="1" si="0"/>
        <v>45725</v>
      </c>
      <c r="M4" s="15" t="s">
        <v>66</v>
      </c>
      <c r="N4" s="20" t="s">
        <v>67</v>
      </c>
      <c r="O4" s="20" t="s">
        <v>68</v>
      </c>
      <c r="P4" s="18">
        <v>38</v>
      </c>
      <c r="Q4" s="18" t="s">
        <v>67</v>
      </c>
      <c r="R4" s="18" t="s">
        <v>69</v>
      </c>
      <c r="S4" s="18" t="s">
        <v>67</v>
      </c>
      <c r="T4" s="18" t="s">
        <v>65</v>
      </c>
      <c r="U4" s="21" t="s">
        <v>70</v>
      </c>
      <c r="V4" s="22" t="s">
        <v>71</v>
      </c>
      <c r="W4" s="18" t="s">
        <v>65</v>
      </c>
      <c r="X4" s="23">
        <f t="shared" ca="1" si="1"/>
        <v>45725</v>
      </c>
      <c r="Y4" s="19">
        <f t="shared" ca="1" si="2"/>
        <v>45815</v>
      </c>
      <c r="Z4" s="18" t="s">
        <v>72</v>
      </c>
      <c r="AA4" s="24" t="s">
        <v>114</v>
      </c>
      <c r="AB4" s="25" t="s">
        <v>99</v>
      </c>
      <c r="AC4" s="26" t="s">
        <v>115</v>
      </c>
      <c r="AD4" s="25" t="s">
        <v>116</v>
      </c>
      <c r="AE4" s="15" t="s">
        <v>77</v>
      </c>
      <c r="AF4" s="15" t="s">
        <v>50</v>
      </c>
      <c r="AG4" s="27">
        <v>25</v>
      </c>
      <c r="AH4" s="15" t="s">
        <v>79</v>
      </c>
      <c r="AI4" t="s">
        <v>80</v>
      </c>
      <c r="AJ4" s="23">
        <f ca="1">X4+365</f>
        <v>46090</v>
      </c>
      <c r="AK4" s="18" t="s">
        <v>82</v>
      </c>
      <c r="AL4" s="18" t="s">
        <v>100</v>
      </c>
      <c r="AM4" s="32" t="s">
        <v>117</v>
      </c>
      <c r="AN4" s="28" t="s">
        <v>118</v>
      </c>
      <c r="AO4" s="28" t="s">
        <v>81</v>
      </c>
      <c r="AP4" s="28" t="s">
        <v>66</v>
      </c>
      <c r="AQ4" s="29" t="s">
        <v>85</v>
      </c>
      <c r="AR4" t="s">
        <v>119</v>
      </c>
      <c r="AS4" t="s">
        <v>101</v>
      </c>
      <c r="AT4" s="30">
        <v>35591</v>
      </c>
      <c r="AU4" t="s">
        <v>66</v>
      </c>
      <c r="AV4" t="s">
        <v>67</v>
      </c>
      <c r="AW4" s="30" t="s">
        <v>67</v>
      </c>
      <c r="AX4" s="30" t="s">
        <v>88</v>
      </c>
      <c r="AY4" s="30" t="s">
        <v>89</v>
      </c>
      <c r="AZ4" s="30" t="s">
        <v>90</v>
      </c>
      <c r="BA4" s="30" t="s">
        <v>66</v>
      </c>
      <c r="BB4" s="15" t="s">
        <v>91</v>
      </c>
      <c r="BC4" s="29" t="s">
        <v>92</v>
      </c>
      <c r="BD4" s="29" t="s">
        <v>93</v>
      </c>
      <c r="BE4" s="29" t="s">
        <v>94</v>
      </c>
      <c r="BF4" s="29" t="s">
        <v>95</v>
      </c>
      <c r="BG4" s="18" t="s">
        <v>96</v>
      </c>
    </row>
    <row r="5" spans="1:60" ht="14.5" customHeight="1" x14ac:dyDescent="0.35">
      <c r="A5" t="s">
        <v>120</v>
      </c>
      <c r="B5" t="s">
        <v>121</v>
      </c>
      <c r="C5" s="34" t="s">
        <v>58</v>
      </c>
      <c r="D5" s="14" t="s">
        <v>97</v>
      </c>
      <c r="E5" s="15" t="s">
        <v>60</v>
      </c>
      <c r="F5" s="16" t="s">
        <v>61</v>
      </c>
      <c r="G5" t="s">
        <v>122</v>
      </c>
      <c r="H5" t="s">
        <v>123</v>
      </c>
      <c r="I5" s="18">
        <v>861240232</v>
      </c>
      <c r="J5" s="18" t="s">
        <v>64</v>
      </c>
      <c r="K5" s="18" t="s">
        <v>65</v>
      </c>
      <c r="L5" s="19">
        <f t="shared" ca="1" si="0"/>
        <v>45725</v>
      </c>
      <c r="M5" s="15" t="s">
        <v>66</v>
      </c>
      <c r="N5" s="20" t="s">
        <v>67</v>
      </c>
      <c r="O5" s="20" t="s">
        <v>68</v>
      </c>
      <c r="P5" s="18">
        <v>38</v>
      </c>
      <c r="Q5" s="18" t="s">
        <v>67</v>
      </c>
      <c r="R5" s="18" t="s">
        <v>69</v>
      </c>
      <c r="S5" s="18" t="s">
        <v>67</v>
      </c>
      <c r="T5" s="18" t="s">
        <v>65</v>
      </c>
      <c r="U5" s="21" t="s">
        <v>70</v>
      </c>
      <c r="V5" s="22" t="s">
        <v>71</v>
      </c>
      <c r="W5" s="18" t="s">
        <v>65</v>
      </c>
      <c r="X5" s="23">
        <f t="shared" ca="1" si="1"/>
        <v>45725</v>
      </c>
      <c r="Y5" s="19">
        <f t="shared" ca="1" si="2"/>
        <v>45815</v>
      </c>
      <c r="Z5" s="18" t="s">
        <v>72</v>
      </c>
      <c r="AA5" s="24" t="s">
        <v>124</v>
      </c>
      <c r="AB5" s="25" t="s">
        <v>74</v>
      </c>
      <c r="AC5" s="26" t="s">
        <v>125</v>
      </c>
      <c r="AD5" s="25" t="s">
        <v>76</v>
      </c>
      <c r="AE5" s="15" t="s">
        <v>77</v>
      </c>
      <c r="AF5" s="15" t="s">
        <v>50</v>
      </c>
      <c r="AG5" s="27">
        <v>37.5</v>
      </c>
      <c r="AH5" s="15" t="s">
        <v>79</v>
      </c>
      <c r="AI5" t="s">
        <v>80</v>
      </c>
      <c r="AJ5" s="23" t="s">
        <v>81</v>
      </c>
      <c r="AK5" s="18" t="s">
        <v>82</v>
      </c>
      <c r="AL5" s="18" t="s">
        <v>100</v>
      </c>
      <c r="AM5" s="32">
        <v>251</v>
      </c>
      <c r="AN5" s="28" t="s">
        <v>126</v>
      </c>
      <c r="AO5" s="28" t="s">
        <v>127</v>
      </c>
      <c r="AP5" s="28" t="s">
        <v>66</v>
      </c>
      <c r="AQ5" s="29" t="s">
        <v>85</v>
      </c>
      <c r="AR5" t="s">
        <v>128</v>
      </c>
      <c r="AS5" t="s">
        <v>87</v>
      </c>
      <c r="AT5" s="30">
        <v>35591</v>
      </c>
      <c r="AU5" t="s">
        <v>66</v>
      </c>
      <c r="AV5" t="s">
        <v>67</v>
      </c>
      <c r="AW5" s="30" t="s">
        <v>67</v>
      </c>
      <c r="AX5" s="30" t="s">
        <v>88</v>
      </c>
      <c r="AY5" s="30" t="s">
        <v>89</v>
      </c>
      <c r="AZ5" s="30" t="s">
        <v>90</v>
      </c>
      <c r="BA5" s="30" t="s">
        <v>66</v>
      </c>
      <c r="BB5" s="15" t="s">
        <v>91</v>
      </c>
      <c r="BC5" s="29" t="s">
        <v>92</v>
      </c>
      <c r="BD5" s="29" t="s">
        <v>93</v>
      </c>
      <c r="BE5" s="29" t="s">
        <v>94</v>
      </c>
      <c r="BF5" s="29" t="s">
        <v>95</v>
      </c>
      <c r="BG5" s="18" t="s">
        <v>102</v>
      </c>
    </row>
    <row r="6" spans="1:60" ht="14.5" customHeight="1" x14ac:dyDescent="0.35">
      <c r="A6" t="s">
        <v>129</v>
      </c>
      <c r="B6" s="32">
        <v>10698390</v>
      </c>
      <c r="C6" s="34" t="s">
        <v>58</v>
      </c>
      <c r="D6" s="14" t="s">
        <v>97</v>
      </c>
      <c r="E6" s="15" t="s">
        <v>60</v>
      </c>
      <c r="F6" s="16" t="s">
        <v>98</v>
      </c>
      <c r="G6" t="s">
        <v>130</v>
      </c>
      <c r="H6" t="s">
        <v>131</v>
      </c>
      <c r="I6" s="18">
        <v>861240232</v>
      </c>
      <c r="J6" s="18" t="s">
        <v>64</v>
      </c>
      <c r="K6" s="18" t="s">
        <v>65</v>
      </c>
      <c r="L6" s="19">
        <f t="shared" ca="1" si="0"/>
        <v>45725</v>
      </c>
      <c r="M6" s="15" t="s">
        <v>66</v>
      </c>
      <c r="N6" s="20" t="s">
        <v>67</v>
      </c>
      <c r="O6" s="20" t="s">
        <v>68</v>
      </c>
      <c r="P6" s="18">
        <v>38</v>
      </c>
      <c r="Q6" s="18" t="s">
        <v>67</v>
      </c>
      <c r="R6" s="18" t="s">
        <v>69</v>
      </c>
      <c r="S6" s="18" t="s">
        <v>67</v>
      </c>
      <c r="T6" s="18" t="s">
        <v>65</v>
      </c>
      <c r="U6" s="21" t="s">
        <v>70</v>
      </c>
      <c r="V6" s="22" t="s">
        <v>71</v>
      </c>
      <c r="W6" s="18" t="s">
        <v>65</v>
      </c>
      <c r="X6" s="23">
        <f t="shared" ca="1" si="1"/>
        <v>45725</v>
      </c>
      <c r="Y6" s="19">
        <f t="shared" ca="1" si="2"/>
        <v>45815</v>
      </c>
      <c r="Z6" s="18" t="s">
        <v>72</v>
      </c>
      <c r="AA6" s="24" t="s">
        <v>132</v>
      </c>
      <c r="AB6" s="25" t="s">
        <v>133</v>
      </c>
      <c r="AC6" s="26" t="s">
        <v>134</v>
      </c>
      <c r="AD6" s="25" t="s">
        <v>76</v>
      </c>
      <c r="AE6" s="15" t="s">
        <v>77</v>
      </c>
      <c r="AF6" s="15" t="s">
        <v>50</v>
      </c>
      <c r="AG6" s="27">
        <v>37.5</v>
      </c>
      <c r="AH6" s="15" t="s">
        <v>79</v>
      </c>
      <c r="AI6" t="s">
        <v>80</v>
      </c>
      <c r="AJ6" s="23" t="s">
        <v>81</v>
      </c>
      <c r="AK6" s="18" t="s">
        <v>82</v>
      </c>
      <c r="AL6" s="18" t="s">
        <v>100</v>
      </c>
      <c r="AM6" s="32">
        <v>251</v>
      </c>
      <c r="AN6" s="28" t="s">
        <v>81</v>
      </c>
      <c r="AO6" s="28" t="s">
        <v>81</v>
      </c>
      <c r="AP6" s="28" t="s">
        <v>66</v>
      </c>
      <c r="AQ6" s="29" t="s">
        <v>85</v>
      </c>
      <c r="AR6" t="s">
        <v>135</v>
      </c>
      <c r="AS6" t="s">
        <v>101</v>
      </c>
      <c r="AT6" s="30">
        <v>35591</v>
      </c>
      <c r="AU6" t="s">
        <v>66</v>
      </c>
      <c r="AV6" t="s">
        <v>67</v>
      </c>
      <c r="AW6" s="30" t="s">
        <v>67</v>
      </c>
      <c r="AX6" s="30" t="s">
        <v>88</v>
      </c>
      <c r="AY6" s="30" t="s">
        <v>89</v>
      </c>
      <c r="AZ6" s="30" t="s">
        <v>90</v>
      </c>
      <c r="BA6" s="30" t="s">
        <v>66</v>
      </c>
      <c r="BB6" s="15" t="s">
        <v>91</v>
      </c>
      <c r="BC6" s="29" t="s">
        <v>92</v>
      </c>
      <c r="BD6" s="29" t="s">
        <v>93</v>
      </c>
      <c r="BE6" s="29" t="s">
        <v>94</v>
      </c>
      <c r="BF6" s="29" t="s">
        <v>95</v>
      </c>
      <c r="BG6" s="18" t="s">
        <v>102</v>
      </c>
    </row>
  </sheetData>
  <dataValidations count="1">
    <dataValidation type="list" allowBlank="1" showInputMessage="1" showErrorMessage="1" sqref="Z2:Z6 W2:W6 T2:T6 K2:K6 BF2:BF6 AX2:AX6" xr:uid="{00000000-0002-0000-0000-000001000000}">
      <formula1>INDIRECT($E2)</formula1>
    </dataValidation>
  </dataValidations>
  <hyperlinks>
    <hyperlink ref="V2" r:id="rId1" xr:uid="{00000000-0004-0000-0000-000000000000}"/>
    <hyperlink ref="V3" r:id="rId2" xr:uid="{00000000-0004-0000-0000-000002000000}"/>
    <hyperlink ref="V4" r:id="rId3" xr:uid="{00000000-0004-0000-0000-000003000000}"/>
    <hyperlink ref="V5" r:id="rId4" xr:uid="{00000000-0004-0000-0000-000004000000}"/>
    <hyperlink ref="V6" r:id="rId5" xr:uid="{00000000-0004-0000-0000-000005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2025-04-09T04:53:11Z</dcterms:modified>
</cp:coreProperties>
</file>