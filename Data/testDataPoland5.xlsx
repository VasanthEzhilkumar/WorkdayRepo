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<sst xmlns="http://schemas.openxmlformats.org/spreadsheetml/2006/main" count="290" uniqueCount="169">
  <si>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</si>
  <si>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</si>
  <si>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</si>
  <si>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</si>
  <si>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</si>
  <si>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</si>
  <si>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</si>
  <si>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</si>
  <si>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</si>
  <si>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</si>
  <si>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</si>
  <si>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</si>
  <si>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</si>
  <si>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</si>
  <si>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</si>
  <si>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</si>
  <si>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</si>
  <si>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</si>
  <si>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</si>
  <si>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</si>
  <si>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</si>
  <si>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</si>
  <si>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</si>
  <si>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</si>
  <si>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</si>
  <si>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</si>
  <si>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</si>
  <si>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</si>
  <si>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</si>
  <si>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</si>
  <si>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</si>
  <si>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</si>
  <si>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</si>
  <si>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</si>
  <si>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</si>
  <si>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</si>
  <si>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</si>
  <si>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</si>
  <si>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</si>
  <si>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</si>
  <si>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</si>
  <si>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</si>
  <si>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</si>
  <si>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</si>
  <si>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</si>
  <si>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</si>
  <si>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</si>
  <si>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</si>
  <si>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</si>
  <si>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</si>
  <si>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</si>
  <si>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</si>
  <si>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</si>
  <si>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</si>
  <si>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</si>
  <si>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</si>
  <si>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</si>
  <si>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</si>
  <si>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</si>
  <si>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</si>
  <si>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</si>
  <si>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</si>
  <si>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</si>
  <si>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</si>
  <si>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</si>
  <si>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</si>
  <si>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</si>
  <si>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</si>
  <si>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</si>
  <si>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</si>
  <si>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</si>
  <si>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</si>
  <si>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</si>
  <si>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Test_1</t>
  </si>
  <si>
    <t>Test failed for 'Ryann Schneider' Employee: undefined&amp; find failed Screenshot Path:-&gt;H:\GKALE\WorkDaySuite_Playwright/WorkdayFailedScreenshot/2025-03-03T08-49-30-042Z.png</t>
  </si>
  <si>
    <t>Failed</t>
  </si>
  <si>
    <t>766 Recruitment (Gybop Sytavu (10223416))</t>
  </si>
  <si>
    <t>Poland</t>
  </si>
  <si>
    <t>Ryann</t>
  </si>
  <si>
    <t>Schneider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</si>
  <si>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</si>
  <si>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</si>
  <si>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</si>
  <si>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</si>
  <si>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</si>
  <si>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</si>
  <si>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</si>
  <si>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</si>
  <si>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</si>
  <si>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</si>
  <si>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</si>
  <si>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</si>
  <si>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</si>
  <si>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</si>
  <si>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Full time</t>
  </si>
  <si>
    <t>Za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</si>
  <si>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</si>
  <si>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</si>
  <si>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</si>
  <si>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</si>
  <si>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</si>
  <si>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</si>
  <si>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</si>
  <si>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16 Mens Acc</t>
  </si>
  <si>
    <t>0201-Izha</t>
  </si>
  <si>
    <t>Ulga podatkowa obowiązuje</t>
  </si>
  <si>
    <t>1/12 kwoty zmniejszającej podatek</t>
  </si>
  <si>
    <t>Standardowy</t>
  </si>
  <si>
    <t>PESEL</t>
  </si>
  <si>
    <t>Tax ID Number (NIP)</t>
  </si>
  <si>
    <t>Personal Identity (PESEL) Number</t>
  </si>
  <si>
    <t>ID Card</t>
  </si>
  <si>
    <t>GHE456902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</si>
  <si>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</si>
  <si>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</si>
  <si>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</si>
  <si>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</si>
  <si>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</si>
  <si>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</si>
  <si>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</si>
  <si>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</si>
  <si>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</si>
  <si>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</si>
  <si>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</si>
  <si>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</si>
  <si>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Test_2</t>
  </si>
  <si>
    <t>765 Store Management (Kires Pivyba (10226524))</t>
  </si>
  <si>
    <t>Auto 14500870</t>
  </si>
  <si>
    <t>Fixed Term (Fixed Term)</t>
  </si>
  <si>
    <t>Team Manager - Retail_NEW</t>
  </si>
  <si>
    <t xml:space="preserve">92 Retail Management </t>
  </si>
  <si>
    <t xml:space="preserve">251 Management Retail </t>
  </si>
  <si>
    <t>GHE456898</t>
  </si>
  <si>
    <t>Single (Poland)</t>
  </si>
  <si>
    <t>Test_3</t>
  </si>
  <si>
    <t>GHE456899</t>
  </si>
  <si>
    <t>Test_4</t>
  </si>
  <si>
    <t>GHE456900</t>
  </si>
  <si>
    <t>Test_5</t>
  </si>
  <si>
    <t>GHE456901</t>
  </si>
  <si>
    <t>Test_6</t>
  </si>
  <si>
    <t>Test_7</t>
  </si>
  <si>
    <t>GHE456903</t>
  </si>
  <si>
    <t>Test_8</t>
  </si>
  <si>
    <t>GHE456904</t>
  </si>
  <si>
    <t>Test_9</t>
  </si>
  <si>
    <t>GHE456905</t>
  </si>
  <si>
    <t>Test_10</t>
  </si>
  <si>
    <t>GHE456906</t>
  </si>
  <si>
    <t>Test_11</t>
  </si>
  <si>
    <t>GHE456907</t>
  </si>
  <si>
    <t>Test_12</t>
  </si>
  <si>
    <t>GHE456908</t>
  </si>
  <si>
    <t>Test_13</t>
  </si>
  <si>
    <t>GHE456909</t>
  </si>
  <si>
    <t>Test_14</t>
  </si>
  <si>
    <t>GHE456910</t>
  </si>
  <si>
    <t>Test_15</t>
  </si>
  <si>
    <t>GHE456911</t>
  </si>
  <si>
    <t>Test_16</t>
  </si>
  <si>
    <t>GHE456912</t>
  </si>
  <si>
    <t>Test_17</t>
  </si>
  <si>
    <t>GHE456913</t>
  </si>
  <si>
    <t>Test_18</t>
  </si>
  <si>
    <t>GHE456914</t>
  </si>
  <si>
    <t>Test_19</t>
  </si>
  <si>
    <t>GHE456915</t>
  </si>
  <si>
    <t>Test_20</t>
  </si>
  <si>
    <t>GHE456916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</si>
</sst>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4" x14ac:knownFonts="1">
    <font>
      <color theme="1"/>
      <family val="2"/>
      <scheme val="minor"/>
      <sz val="11"/>
      <name val="Calibri"/>
    </font>
    <font>
      <color rgb="FFFF0000"/>
      <family val="2"/>
      <sz val="10"/>
      <name val="Arial"/>
    </font>
    <font>
      <color indexed="8"/>
      <family val="2"/>
      <sz val="10"/>
      <name val="Arial"/>
    </font>
    <font>
      <color theme="1"/>
      <family val="2"/>
      <scheme val="minor"/>
      <sz val="10"/>
      <name val="Calibri"/>
    </font>
    <font>
      <b/>
      <color indexed="8"/>
      <family val="2"/>
      <sz val="10"/>
      <name val="Calibri"/>
    </font>
    <font>
      <b/>
      <color indexed="63"/>
      <family val="2"/>
      <sz val="10"/>
      <name val="Arial"/>
    </font>
    <font>
      <u/>
      <color indexed="12"/>
      <family val="2"/>
      <sz val="10"/>
      <name val="Calibri"/>
    </font>
    <font>
      <color indexed="8"/>
      <family val="2"/>
      <sz val="14"/>
      <name val="Arial"/>
    </font>
    <font>
      <color indexed="10"/>
      <family val="2"/>
      <sz val="14"/>
      <name val="Arial"/>
    </font>
    <font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b/>
      <family val="2"/>
      <sz val="10"/>
      <name val="Calibri"/>
    </font>
    <font>
      <b/>
      <family val="2"/>
      <sz val="11"/>
      <name val="Calibri"/>
    </font>
    <font>
      <family val="2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 applyProtection="1">
      <alignment horizontal="left" wrapText="1"/>
      <protection locked="0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4" fontId="2" fillId="3" borderId="0" xfId="0" applyNumberFormat="1" applyFont="1" applyFill="1" applyAlignment="1">
      <alignment horizontal="left" wrapText="1"/>
    </xf>
    <xf numFmtId="0" fontId="5" fillId="3" borderId="0" xfId="0" applyFont="1" applyFill="1" applyAlignment="1">
      <alignment wrapText="1"/>
    </xf>
    <xf numFmtId="14" fontId="2" fillId="3" borderId="1" xfId="0" applyNumberFormat="1" applyFont="1" applyFill="1" applyBorder="1" applyAlignment="1">
      <alignment horizontal="left" wrapText="1"/>
    </xf>
    <xf numFmtId="0" fontId="6" fillId="3" borderId="1" xfId="0" applyFont="1" applyFill="1" applyBorder="1" applyAlignment="1" applyProtection="1">
      <alignment wrapText="1"/>
      <protection locked="0"/>
    </xf>
    <xf numFmtId="14" fontId="1" fillId="3" borderId="0" xfId="0" applyNumberFormat="1" applyFont="1" applyFill="1" applyAlignment="1">
      <alignment horizontal="left" wrapText="1"/>
    </xf>
    <xf numFmtId="0" fontId="7" fillId="3" borderId="0" xfId="0" applyFont="1" applyFill="1"/>
    <xf numFmtId="0" fontId="2" fillId="3" borderId="0" xfId="0" applyFont="1" applyFill="1" applyAlignment="1">
      <alignment horizontal="left" wrapText="1"/>
    </xf>
    <xf numFmtId="0" fontId="7" fillId="3" borderId="1" xfId="0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wrapText="1"/>
    </xf>
    <xf numFmtId="14" fontId="8" fillId="3" borderId="0" xfId="0" applyNumberFormat="1" applyFont="1" applyFill="1" applyAlignment="1">
      <alignment horizontal="left"/>
    </xf>
    <xf numFmtId="14" fontId="9" fillId="3" borderId="1" xfId="0" applyNumberFormat="1" applyFont="1" applyFill="1" applyBorder="1" applyAlignment="1">
      <alignment horizontal="left" wrapText="1"/>
    </xf>
    <xf numFmtId="14" fontId="10" fillId="3" borderId="1" xfId="0" applyNumberFormat="1" applyFont="1" applyFill="1" applyBorder="1" applyAlignment="1">
      <alignment horizontal="left"/>
    </xf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164" fontId="2" fillId="3" borderId="2" xfId="0" applyNumberFormat="1" applyFont="1" applyFill="1" applyBorder="1" applyAlignment="1" applyProtection="1">
      <alignment horizontal="left" wrapText="1"/>
      <protection locked="0"/>
    </xf>
    <xf numFmtId="164" fontId="11" fillId="3" borderId="1" xfId="0" applyNumberFormat="1" applyFont="1" applyFill="1" applyBorder="1" applyAlignment="1" applyProtection="1">
      <alignment horizontal="left" wrapText="1"/>
      <protection locked="0"/>
    </xf>
    <xf numFmtId="15" fontId="12" fillId="3" borderId="1" xfId="0" applyNumberFormat="1" applyFont="1" applyFill="1" applyBorder="1" applyAlignment="1">
      <alignment horizontal="left"/>
    </xf>
    <xf numFmtId="164" fontId="13" fillId="3" borderId="1" xfId="0" applyNumberFormat="1" applyFont="1" applyFill="1" applyBorder="1" applyAlignment="1" applyProtection="1">
      <alignment horizontal="left" wrapText="1"/>
      <protection locked="0"/>
    </xf>
    <xf numFmtId="0" fontId="13" fillId="3" borderId="1" xfId="0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2" fillId="4" borderId="1" xfId="0" applyFont="1" applyFill="1" applyBorder="1" applyAlignment="1" applyProtection="1">
      <alignment horizontal="left" wrapText="1"/>
      <protection locked="0"/>
    </xf>
    <xf numFmtId="0" fontId="3" fillId="4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2" fillId="0" borderId="1" xfId="0" applyFont="1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 wrapText="1"/>
    </xf>
    <xf numFmtId="0" fontId="5" fillId="0" borderId="0" xfId="0" applyFont="1" applyAlignment="1">
      <alignment wrapText="1"/>
    </xf>
    <xf numFmtId="14" fontId="2" fillId="0" borderId="1" xfId="0" applyNumberFormat="1" applyFont="1" applyBorder="1" applyAlignment="1">
      <alignment horizontal="left" wrapText="1"/>
    </xf>
    <xf numFmtId="0" fontId="6" fillId="0" borderId="1" xfId="0" applyFont="1" applyBorder="1" applyAlignment="1" applyProtection="1">
      <alignment wrapText="1"/>
      <protection locked="0"/>
    </xf>
    <xf numFmtId="14" fontId="1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7" fillId="3" borderId="0" xfId="0" applyFont="1" applyFill="1" applyAlignment="1" applyProtection="1">
      <alignment horizontal="left" wrapText="1"/>
      <protection locked="0"/>
    </xf>
    <xf numFmtId="14" fontId="9" fillId="0" borderId="1" xfId="0" applyNumberFormat="1" applyFont="1" applyBorder="1" applyAlignment="1">
      <alignment horizontal="left" wrapText="1"/>
    </xf>
    <xf numFmtId="164" fontId="2" fillId="0" borderId="1" xfId="0" applyNumberFormat="1" applyFont="1" applyBorder="1" applyAlignment="1" applyProtection="1">
      <alignment horizontal="left" wrapText="1"/>
      <protection locked="0"/>
    </xf>
    <xf numFmtId="164" fontId="2" fillId="0" borderId="2" xfId="0" applyNumberFormat="1" applyFont="1" applyBorder="1" applyAlignment="1" applyProtection="1">
      <alignment horizontal="left" wrapText="1"/>
      <protection locked="0"/>
    </xf>
    <xf numFmtId="164" fontId="11" fillId="0" borderId="1" xfId="0" applyNumberFormat="1" applyFont="1" applyBorder="1" applyAlignment="1" applyProtection="1">
      <alignment horizontal="left" wrapText="1"/>
      <protection locked="0"/>
    </xf>
    <xf numFmtId="164" fontId="13" fillId="0" borderId="1" xfId="0" applyNumberFormat="1" applyFont="1" applyBorder="1" applyAlignment="1" applyProtection="1">
      <alignment horizontal="left" wrapText="1"/>
      <protection locked="0"/>
    </xf>
    <xf numFmtId="0" fontId="13" fillId="0" borderId="1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23"/>
  <sheetViews>
    <sheetView workbookViewId="0" zoomScale="100" zoomScaleNormal="100">
      <selection activeCell="BJ7" sqref="BJ7"/>
    </sheetView>
  </sheetViews>
  <sheetFormatPr defaultRowHeight="14.5" outlineLevelRow="0" outlineLevelCol="0" x14ac:dyDescent="0.35" customHeight="1"/>
  <cols>
    <col min="1" max="1" width="10.81640625" customWidth="1"/>
    <col min="2" max="2" width="34.1796875" customWidth="1"/>
    <col min="3" max="3" width="25.90625" customWidth="1"/>
    <col min="4" max="4" width="20.453125" customWidth="1"/>
    <col min="5" max="5" width="7" customWidth="1"/>
    <col min="6" max="6" width="10" customWidth="1"/>
    <col min="7" max="7" width="10.1796875" customWidth="1"/>
    <col min="8" max="8" width="11.90625" customWidth="1"/>
    <col min="9" max="9" width="11.1796875" customWidth="1"/>
    <col min="10" max="10" width="4.81640625" customWidth="1"/>
    <col min="11" max="11" width="11.54296875" customWidth="1"/>
    <col min="12" max="12" width="7" customWidth="1"/>
    <col min="13" max="13" width="10.36328125" customWidth="1"/>
    <col min="14" max="14" width="7.6328125" customWidth="1"/>
    <col min="15" max="15" width="11.1796875" customWidth="1"/>
    <col min="16" max="16" width="3.90625" customWidth="1"/>
    <col min="17" max="17" width="11.7265625" customWidth="1"/>
    <col min="18" max="18" width="10" customWidth="1"/>
    <col min="19" max="19" width="6.36328125" customWidth="1"/>
    <col min="20" max="20" width="4.81640625" customWidth="1"/>
    <col min="21" max="21" width="6.6328125" customWidth="1"/>
    <col min="22" max="22" width="11.08984375" customWidth="1"/>
    <col min="23" max="23" width="4.81640625" customWidth="1"/>
    <col min="24" max="24" width="29.08984375" customWidth="1"/>
    <col min="25" max="25" width="6.90625" customWidth="1"/>
    <col min="26" max="26" width="7.08984375" customWidth="1"/>
    <col min="27" max="27" width="12.7265625" style="1" customWidth="1"/>
    <col min="28" max="28" width="23.453125" customWidth="1"/>
    <col min="29" max="29" width="12" style="1" customWidth="1"/>
    <col min="30" max="30" width="7.54296875" customWidth="1"/>
    <col min="31" max="31" width="11.7265625" customWidth="1"/>
    <col min="32" max="32" width="8.08984375" customWidth="1"/>
    <col min="33" max="33" width="12.81640625" customWidth="1"/>
    <col min="34" max="34" width="10.81640625" customWidth="1"/>
    <col min="35" max="35" width="16.1796875" customWidth="1"/>
    <col min="36" max="36" width="17" customWidth="1"/>
    <col min="37" max="37" width="23.08984375" customWidth="1"/>
    <col min="38" max="38" width="8.6328125" style="1" customWidth="1"/>
    <col min="39" max="40" width="25.453125" customWidth="1"/>
    <col min="41" max="41" width="9.36328125" customWidth="1"/>
    <col min="42" max="42" width="16.08984375" customWidth="1"/>
    <col min="43" max="43" width="5.90625" customWidth="1"/>
    <col min="44" max="44" width="17" customWidth="1"/>
    <col min="45" max="45" width="16.6328125" customWidth="1"/>
    <col min="46" max="46" width="15.08984375" customWidth="1"/>
    <col min="47" max="47" width="9.90625" customWidth="1"/>
    <col min="48" max="55" width="27.1796875" customWidth="1"/>
    <col min="56" max="56" width="14.08984375" customWidth="1"/>
    <col min="57" max="57" width="19.08984375" customWidth="1"/>
    <col min="58" max="58" width="27.90625" customWidth="1"/>
    <col min="59" max="59" width="23.90625" customWidth="1"/>
    <col min="60" max="61" width="14" customWidth="1"/>
    <col min="62" max="62" width="30.6328125" customWidth="1"/>
    <col min="63" max="63" width="18.81640625" customWidth="1"/>
    <col min="64" max="64" width="11.1796875" customWidth="1"/>
    <col min="65" max="65" width="13.26953125" customWidth="1"/>
    <col min="66" max="66" width="4.54296875" customWidth="1"/>
    <col min="67" max="67" width="25.1796875" customWidth="1"/>
    <col min="68" max="68" width="20.90625" customWidth="1"/>
    <col min="69" max="69" width="20.54296875" customWidth="1"/>
    <col min="76" max="76" width="26.36328125" customWidth="1"/>
  </cols>
  <sheetData>
    <row r="1" ht="14.5" customHeight="1" spans="1:76" s="2" customFormat="1" x14ac:dyDescent="0.25">
      <c r="A1" s="3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5" t="s">
        <v>4</v>
      </c>
      <c r="M1" s="5" t="s">
        <v>11</v>
      </c>
      <c r="N1" s="6" t="s">
        <v>12</v>
      </c>
      <c r="O1" s="10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9</v>
      </c>
      <c r="U1" s="11" t="s">
        <v>18</v>
      </c>
      <c r="V1" s="12" t="s">
        <v>19</v>
      </c>
      <c r="W1" s="6" t="s">
        <v>9</v>
      </c>
      <c r="X1" s="13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14" t="s">
        <v>25</v>
      </c>
      <c r="AD1" s="15" t="s">
        <v>26</v>
      </c>
      <c r="AE1" s="15" t="s">
        <v>27</v>
      </c>
      <c r="AF1" s="16" t="s">
        <v>28</v>
      </c>
      <c r="AG1" s="17" t="s">
        <v>29</v>
      </c>
      <c r="AH1" s="17" t="s">
        <v>30</v>
      </c>
      <c r="AI1" s="17" t="s">
        <v>31</v>
      </c>
      <c r="AJ1" s="17" t="s">
        <v>32</v>
      </c>
      <c r="AK1" s="17" t="s">
        <v>33</v>
      </c>
      <c r="AL1" s="17" t="s">
        <v>34</v>
      </c>
      <c r="AM1" s="18" t="s">
        <v>35</v>
      </c>
      <c r="AN1" s="6" t="s">
        <v>36</v>
      </c>
      <c r="AO1" s="6" t="s">
        <v>37</v>
      </c>
      <c r="AP1" s="14" t="s">
        <v>38</v>
      </c>
      <c r="AQ1" s="6" t="s">
        <v>39</v>
      </c>
      <c r="AR1" s="19" t="s">
        <v>40</v>
      </c>
      <c r="AS1" s="19" t="s">
        <v>41</v>
      </c>
      <c r="AT1" s="20" t="s">
        <v>42</v>
      </c>
      <c r="AU1" s="6" t="s">
        <v>43</v>
      </c>
      <c r="AV1" s="2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2" t="s">
        <v>49</v>
      </c>
      <c r="BB1" s="2" t="s">
        <v>50</v>
      </c>
      <c r="BC1" s="2" t="s">
        <v>51</v>
      </c>
      <c r="BD1" s="21" t="s">
        <v>52</v>
      </c>
      <c r="BE1" s="15" t="s">
        <v>53</v>
      </c>
      <c r="BF1" s="2" t="s">
        <v>54</v>
      </c>
      <c r="BG1" s="21" t="s">
        <v>55</v>
      </c>
      <c r="BH1" s="15" t="s">
        <v>56</v>
      </c>
      <c r="BI1" s="15" t="s">
        <v>57</v>
      </c>
      <c r="BJ1" s="21" t="s">
        <v>58</v>
      </c>
      <c r="BK1" s="15" t="s">
        <v>59</v>
      </c>
      <c r="BL1" s="14" t="s">
        <v>60</v>
      </c>
      <c r="BM1" s="22" t="s">
        <v>61</v>
      </c>
      <c r="BN1" s="23" t="s">
        <v>62</v>
      </c>
      <c r="BO1" s="24" t="s">
        <v>63</v>
      </c>
      <c r="BP1" s="25" t="s">
        <v>64</v>
      </c>
      <c r="BQ1" s="5" t="s">
        <v>65</v>
      </c>
      <c r="BR1" s="26" t="s">
        <v>66</v>
      </c>
      <c r="BS1" s="5" t="s">
        <v>67</v>
      </c>
      <c r="BT1" s="25" t="s">
        <v>68</v>
      </c>
      <c r="BU1" s="25" t="s">
        <v>69</v>
      </c>
      <c r="BV1" s="5" t="s">
        <v>70</v>
      </c>
      <c r="BW1" s="5" t="s">
        <v>71</v>
      </c>
      <c r="BX1" s="5" t="s">
        <v>72</v>
      </c>
    </row>
    <row r="2" ht="14.5" customHeight="1" spans="1:76" x14ac:dyDescent="0.25">
      <c r="A2" s="27" t="s">
        <v>73</v>
      </c>
      <c r="B2" s="28" t="s">
        <v>74</v>
      </c>
      <c r="C2" s="1" t="s">
        <v>75</v>
      </c>
      <c r="D2" s="29" t="s">
        <v>76</v>
      </c>
      <c r="E2" s="30" t="s">
        <v>77</v>
      </c>
      <c r="F2" s="31" t="s">
        <v>78</v>
      </c>
      <c r="G2" s="32" t="s">
        <v>79</v>
      </c>
      <c r="H2" s="33" t="s">
        <v>80</v>
      </c>
      <c r="I2" s="34" t="s">
        <v>81</v>
      </c>
      <c r="J2" s="34" t="s">
        <v>82</v>
      </c>
      <c r="K2" s="35">
        <f t="shared" ref="K2:K4" si="0">TODAY()-31</f>
        <v>45688</v>
      </c>
      <c r="L2" s="30" t="s">
        <v>77</v>
      </c>
      <c r="M2" s="30" t="s">
        <v>83</v>
      </c>
      <c r="N2" s="34" t="s">
        <v>84</v>
      </c>
      <c r="O2" s="36" t="s">
        <v>85</v>
      </c>
      <c r="P2" s="34" t="s">
        <v>86</v>
      </c>
      <c r="Q2" s="34" t="s">
        <v>87</v>
      </c>
      <c r="R2" s="34" t="s">
        <v>87</v>
      </c>
      <c r="S2" s="34" t="s">
        <v>86</v>
      </c>
      <c r="T2" s="34" t="s">
        <v>82</v>
      </c>
      <c r="U2" s="37" t="s">
        <v>88</v>
      </c>
      <c r="V2" s="38" t="s">
        <v>89</v>
      </c>
      <c r="W2" s="34" t="s">
        <v>82</v>
      </c>
      <c r="X2" s="39">
        <f t="shared" ref="X2" si="1">K2</f>
        <v>45688</v>
      </c>
      <c r="Y2" s="34" t="s">
        <v>90</v>
      </c>
      <c r="Z2" s="6" t="s">
        <v>91</v>
      </c>
      <c r="AA2" s="6" t="s">
        <v>92</v>
      </c>
      <c r="AB2" s="6" t="s">
        <v>93</v>
      </c>
      <c r="AC2" s="14" t="s">
        <v>94</v>
      </c>
      <c r="AD2" s="40">
        <v>766</v>
      </c>
      <c r="AE2" s="40" t="s">
        <v>70</v>
      </c>
      <c r="AF2" s="16">
        <v>40</v>
      </c>
      <c r="AG2" s="41" t="s">
        <v>87</v>
      </c>
      <c r="AH2" s="41" t="s">
        <v>95</v>
      </c>
      <c r="AI2" s="18">
        <v>43831</v>
      </c>
      <c r="AJ2" s="18">
        <v>45292</v>
      </c>
      <c r="AK2" s="17" t="s">
        <v>96</v>
      </c>
      <c r="AL2" s="17" t="s">
        <v>97</v>
      </c>
      <c r="AM2" s="18" t="s">
        <v>98</v>
      </c>
      <c r="AN2" s="34">
        <v>110</v>
      </c>
      <c r="AO2" s="34" t="s">
        <v>99</v>
      </c>
      <c r="AP2" s="14" t="s">
        <v>100</v>
      </c>
      <c r="AQ2" s="34" t="s">
        <v>101</v>
      </c>
      <c r="AR2" s="42">
        <f t="shared" ref="AR2" si="2">X2</f>
        <v>45688</v>
      </c>
      <c r="AS2" s="42">
        <f t="shared" ref="AS2" si="3">X2</f>
        <v>45688</v>
      </c>
      <c r="AT2" s="20">
        <f t="shared" ref="AT2:AT3" si="4">AM2</f>
        <v>NaN</v>
      </c>
      <c r="AU2" s="6" t="s">
        <v>102</v>
      </c>
      <c r="AV2" s="2" t="s">
        <v>103</v>
      </c>
      <c r="AW2" s="2" t="s">
        <v>104</v>
      </c>
      <c r="AX2" s="2" t="s">
        <v>105</v>
      </c>
      <c r="AY2" s="2" t="s">
        <v>106</v>
      </c>
      <c r="AZ2" s="2" t="s">
        <v>107</v>
      </c>
      <c r="BA2" s="2" t="s">
        <v>108</v>
      </c>
      <c r="BB2" s="2" t="s">
        <v>91</v>
      </c>
      <c r="BC2" s="15" t="s">
        <v>77</v>
      </c>
      <c r="BD2" s="43" t="s">
        <v>109</v>
      </c>
      <c r="BE2" s="15">
        <v>9477896538</v>
      </c>
      <c r="BF2" s="15" t="s">
        <v>77</v>
      </c>
      <c r="BG2" s="43" t="s">
        <v>110</v>
      </c>
      <c r="BH2" s="15">
        <v>47678965283</v>
      </c>
      <c r="BI2" s="15" t="s">
        <v>77</v>
      </c>
      <c r="BJ2" s="43" t="s">
        <v>111</v>
      </c>
      <c r="BK2" s="15" t="s">
        <v>112</v>
      </c>
      <c r="BL2" s="14" t="s">
        <v>113</v>
      </c>
      <c r="BM2" s="44">
        <v>35591</v>
      </c>
      <c r="BN2" s="45" t="s">
        <v>114</v>
      </c>
      <c r="BO2" s="24" t="s">
        <v>115</v>
      </c>
      <c r="BP2" s="46" t="s">
        <v>116</v>
      </c>
      <c r="BQ2" s="30" t="s">
        <v>117</v>
      </c>
      <c r="BR2" s="47" t="s">
        <v>118</v>
      </c>
      <c r="BS2" s="30" t="s">
        <v>119</v>
      </c>
      <c r="BT2" s="46" t="s">
        <v>120</v>
      </c>
      <c r="BU2" s="46" t="s">
        <v>121</v>
      </c>
      <c r="BV2" s="30" t="s">
        <v>122</v>
      </c>
      <c r="BW2" s="30" t="s">
        <v>123</v>
      </c>
      <c r="BX2" s="30" t="s">
        <v>124</v>
      </c>
    </row>
    <row r="3" ht="14.5" customHeight="1" spans="1:76" x14ac:dyDescent="0.25">
      <c r="A3" s="27" t="s">
        <v>125</v>
      </c>
      <c r="B3" s="28"/>
      <c r="C3" s="1"/>
      <c r="D3" s="29" t="s">
        <v>126</v>
      </c>
      <c r="E3" s="30" t="s">
        <v>77</v>
      </c>
      <c r="F3" s="31"/>
      <c r="G3" s="32"/>
      <c r="H3" s="33" t="s">
        <v>80</v>
      </c>
      <c r="I3" s="34" t="s">
        <v>81</v>
      </c>
      <c r="J3" s="34" t="s">
        <v>82</v>
      </c>
      <c r="K3" s="35">
        <f t="shared" ref="K3" si="5">TODAY()-31</f>
        <v>45688</v>
      </c>
      <c r="L3" s="30" t="s">
        <v>77</v>
      </c>
      <c r="M3" s="30" t="s">
        <v>83</v>
      </c>
      <c r="N3" s="34" t="s">
        <v>84</v>
      </c>
      <c r="O3" s="36" t="s">
        <v>85</v>
      </c>
      <c r="P3" s="34" t="s">
        <v>86</v>
      </c>
      <c r="Q3" s="34" t="s">
        <v>87</v>
      </c>
      <c r="R3" s="34" t="s">
        <v>87</v>
      </c>
      <c r="S3" s="34" t="s">
        <v>86</v>
      </c>
      <c r="T3" s="34" t="s">
        <v>82</v>
      </c>
      <c r="U3" s="37" t="s">
        <v>88</v>
      </c>
      <c r="V3" s="38" t="s">
        <v>89</v>
      </c>
      <c r="W3" s="34" t="s">
        <v>82</v>
      </c>
      <c r="X3" s="39">
        <f t="shared" ref="X3:X4" si="6">K3</f>
        <v>45688</v>
      </c>
      <c r="Y3" s="34" t="s">
        <v>90</v>
      </c>
      <c r="Z3" s="6" t="s">
        <v>127</v>
      </c>
      <c r="AA3" s="6" t="s">
        <v>128</v>
      </c>
      <c r="AB3" s="6" t="s">
        <v>129</v>
      </c>
      <c r="AC3" s="14" t="s">
        <v>94</v>
      </c>
      <c r="AD3" s="40">
        <v>765</v>
      </c>
      <c r="AE3" s="40" t="s">
        <v>70</v>
      </c>
      <c r="AF3" s="16">
        <v>40</v>
      </c>
      <c r="AG3" s="41" t="s">
        <v>87</v>
      </c>
      <c r="AH3" s="41" t="s">
        <v>95</v>
      </c>
      <c r="AI3" s="18">
        <v>43831</v>
      </c>
      <c r="AJ3" s="18">
        <v>45292</v>
      </c>
      <c r="AK3" s="17" t="s">
        <v>96</v>
      </c>
      <c r="AL3" s="17" t="s">
        <v>97</v>
      </c>
      <c r="AM3" s="18">
        <f>TODAY()+365</f>
        <v>46084</v>
      </c>
      <c r="AN3" s="34">
        <v>110</v>
      </c>
      <c r="AO3" s="34" t="s">
        <v>99</v>
      </c>
      <c r="AP3" s="14" t="s">
        <v>92</v>
      </c>
      <c r="AQ3" s="34" t="s">
        <v>101</v>
      </c>
      <c r="AR3" s="42">
        <f t="shared" ref="AR3:AR4" si="7">X3</f>
        <v>45688</v>
      </c>
      <c r="AS3" s="42">
        <f t="shared" ref="AS3:AS4" si="8">X3</f>
        <v>45688</v>
      </c>
      <c r="AT3" s="20">
        <f t="shared" si="4"/>
        <v>46084</v>
      </c>
      <c r="AU3" s="6" t="s">
        <v>130</v>
      </c>
      <c r="AV3" s="2" t="s">
        <v>131</v>
      </c>
      <c r="AW3" s="2" t="s">
        <v>104</v>
      </c>
      <c r="AX3" s="2" t="s">
        <v>105</v>
      </c>
      <c r="AY3" s="2" t="s">
        <v>106</v>
      </c>
      <c r="AZ3" s="2" t="s">
        <v>107</v>
      </c>
      <c r="BA3" s="2" t="s">
        <v>108</v>
      </c>
      <c r="BB3" s="2" t="s">
        <v>91</v>
      </c>
      <c r="BC3" s="15" t="s">
        <v>77</v>
      </c>
      <c r="BD3" s="43" t="s">
        <v>109</v>
      </c>
      <c r="BE3" s="15">
        <v>9477896534</v>
      </c>
      <c r="BF3" s="15" t="s">
        <v>77</v>
      </c>
      <c r="BG3" s="43" t="s">
        <v>110</v>
      </c>
      <c r="BH3" s="15">
        <v>47678965279</v>
      </c>
      <c r="BI3" s="15" t="s">
        <v>77</v>
      </c>
      <c r="BJ3" s="43" t="s">
        <v>111</v>
      </c>
      <c r="BK3" s="15" t="s">
        <v>132</v>
      </c>
      <c r="BL3" s="14" t="s">
        <v>113</v>
      </c>
      <c r="BM3" s="44">
        <v>35591</v>
      </c>
      <c r="BN3" s="45" t="s">
        <v>133</v>
      </c>
      <c r="BO3" s="24" t="s">
        <v>98</v>
      </c>
      <c r="BP3" s="46" t="s">
        <v>116</v>
      </c>
      <c r="BQ3" s="30" t="s">
        <v>117</v>
      </c>
      <c r="BR3" s="47" t="s">
        <v>118</v>
      </c>
      <c r="BS3" s="30" t="s">
        <v>119</v>
      </c>
      <c r="BT3" s="46" t="s">
        <v>120</v>
      </c>
      <c r="BU3" s="46" t="s">
        <v>121</v>
      </c>
      <c r="BV3" s="30" t="s">
        <v>122</v>
      </c>
      <c r="BW3" s="30" t="s">
        <v>123</v>
      </c>
      <c r="BX3" s="30" t="s">
        <v>124</v>
      </c>
    </row>
    <row r="4" ht="14.5" customHeight="1" spans="1:76" x14ac:dyDescent="0.25">
      <c r="A4" s="27" t="s">
        <v>134</v>
      </c>
      <c r="B4" s="28"/>
      <c r="C4" s="1"/>
      <c r="D4" s="29" t="s">
        <v>76</v>
      </c>
      <c r="E4" s="30" t="s">
        <v>77</v>
      </c>
      <c r="F4" s="31"/>
      <c r="G4" s="32"/>
      <c r="H4" s="33" t="s">
        <v>80</v>
      </c>
      <c r="I4" s="34" t="s">
        <v>81</v>
      </c>
      <c r="J4" s="34" t="s">
        <v>82</v>
      </c>
      <c r="K4" s="35">
        <f t="shared" si="0"/>
        <v>45688</v>
      </c>
      <c r="L4" s="30" t="s">
        <v>77</v>
      </c>
      <c r="M4" s="30" t="s">
        <v>83</v>
      </c>
      <c r="N4" s="34" t="s">
        <v>84</v>
      </c>
      <c r="O4" s="36" t="s">
        <v>85</v>
      </c>
      <c r="P4" s="34" t="s">
        <v>86</v>
      </c>
      <c r="Q4" s="34" t="s">
        <v>87</v>
      </c>
      <c r="R4" s="34" t="s">
        <v>87</v>
      </c>
      <c r="S4" s="34" t="s">
        <v>86</v>
      </c>
      <c r="T4" s="34" t="s">
        <v>82</v>
      </c>
      <c r="U4" s="37" t="s">
        <v>88</v>
      </c>
      <c r="V4" s="38" t="s">
        <v>89</v>
      </c>
      <c r="W4" s="34" t="s">
        <v>82</v>
      </c>
      <c r="X4" s="39">
        <f t="shared" si="6"/>
        <v>45688</v>
      </c>
      <c r="Y4" s="34" t="s">
        <v>90</v>
      </c>
      <c r="Z4" s="6" t="s">
        <v>91</v>
      </c>
      <c r="AA4" s="6" t="s">
        <v>92</v>
      </c>
      <c r="AB4" s="6" t="s">
        <v>93</v>
      </c>
      <c r="AC4" s="14" t="s">
        <v>94</v>
      </c>
      <c r="AD4" s="40">
        <v>765</v>
      </c>
      <c r="AE4" s="40" t="s">
        <v>70</v>
      </c>
      <c r="AF4" s="16">
        <v>40</v>
      </c>
      <c r="AG4" s="41" t="s">
        <v>87</v>
      </c>
      <c r="AH4" s="41" t="s">
        <v>95</v>
      </c>
      <c r="AI4" s="18">
        <v>43831</v>
      </c>
      <c r="AJ4" s="18">
        <v>45292</v>
      </c>
      <c r="AK4" s="17" t="s">
        <v>96</v>
      </c>
      <c r="AL4" s="17" t="s">
        <v>97</v>
      </c>
      <c r="AM4" s="18" t="s">
        <v>98</v>
      </c>
      <c r="AN4" s="34">
        <v>110</v>
      </c>
      <c r="AO4" s="34" t="s">
        <v>99</v>
      </c>
      <c r="AP4" s="14" t="s">
        <v>100</v>
      </c>
      <c r="AQ4" s="34" t="s">
        <v>101</v>
      </c>
      <c r="AR4" s="42">
        <f t="shared" si="7"/>
        <v>45688</v>
      </c>
      <c r="AS4" s="42">
        <f t="shared" si="8"/>
        <v>45688</v>
      </c>
      <c r="AT4" s="20">
        <f t="shared" ref="AT4" si="9">AM4</f>
        <v>NaN</v>
      </c>
      <c r="AU4" s="6" t="s">
        <v>102</v>
      </c>
      <c r="AV4" s="2" t="s">
        <v>103</v>
      </c>
      <c r="AW4" s="2" t="s">
        <v>104</v>
      </c>
      <c r="AX4" s="2" t="s">
        <v>105</v>
      </c>
      <c r="AY4" s="2" t="s">
        <v>106</v>
      </c>
      <c r="AZ4" s="2" t="s">
        <v>107</v>
      </c>
      <c r="BA4" s="2" t="s">
        <v>108</v>
      </c>
      <c r="BB4" s="2" t="s">
        <v>91</v>
      </c>
      <c r="BC4" s="15" t="s">
        <v>77</v>
      </c>
      <c r="BD4" s="43" t="s">
        <v>109</v>
      </c>
      <c r="BE4" s="15">
        <v>9477896535</v>
      </c>
      <c r="BF4" s="15" t="s">
        <v>77</v>
      </c>
      <c r="BG4" s="43" t="s">
        <v>110</v>
      </c>
      <c r="BH4" s="15">
        <v>47678965280</v>
      </c>
      <c r="BI4" s="15" t="s">
        <v>77</v>
      </c>
      <c r="BJ4" s="43" t="s">
        <v>111</v>
      </c>
      <c r="BK4" s="15" t="s">
        <v>135</v>
      </c>
      <c r="BL4" s="14" t="s">
        <v>113</v>
      </c>
      <c r="BM4" s="44">
        <v>35591</v>
      </c>
      <c r="BN4" s="45" t="s">
        <v>114</v>
      </c>
      <c r="BO4" s="24" t="s">
        <v>115</v>
      </c>
      <c r="BP4" s="46" t="s">
        <v>116</v>
      </c>
      <c r="BQ4" s="30" t="s">
        <v>117</v>
      </c>
      <c r="BR4" s="47" t="s">
        <v>118</v>
      </c>
      <c r="BS4" s="30" t="s">
        <v>119</v>
      </c>
      <c r="BT4" s="46" t="s">
        <v>120</v>
      </c>
      <c r="BU4" s="46" t="s">
        <v>121</v>
      </c>
      <c r="BV4" s="30" t="s">
        <v>122</v>
      </c>
      <c r="BW4" s="30" t="s">
        <v>123</v>
      </c>
      <c r="BX4" s="30" t="s">
        <v>124</v>
      </c>
    </row>
    <row r="5" ht="14.5" customHeight="1" spans="1:63" x14ac:dyDescent="0.25">
      <c r="A5" s="27" t="s">
        <v>136</v>
      </c>
      <c r="BE5" s="15">
        <v>9477896536</v>
      </c>
      <c r="BH5" s="15">
        <v>47678965281</v>
      </c>
      <c r="BK5" s="15" t="s">
        <v>137</v>
      </c>
    </row>
    <row r="6" ht="14.5" customHeight="1" spans="1:63" x14ac:dyDescent="0.25">
      <c r="A6" s="27" t="s">
        <v>138</v>
      </c>
      <c r="BE6" s="15">
        <v>9477896537</v>
      </c>
      <c r="BH6" s="15">
        <v>47678965282</v>
      </c>
      <c r="BK6" s="15" t="s">
        <v>139</v>
      </c>
    </row>
    <row r="7" ht="14.5" customHeight="1" spans="1:63" x14ac:dyDescent="0.25">
      <c r="A7" s="27" t="s">
        <v>140</v>
      </c>
      <c r="BE7" s="15">
        <v>9477896538</v>
      </c>
      <c r="BH7" s="15">
        <v>47678965283</v>
      </c>
      <c r="BK7" s="15" t="s">
        <v>112</v>
      </c>
    </row>
    <row r="8" ht="14.5" customHeight="1" spans="1:63" x14ac:dyDescent="0.25">
      <c r="A8" s="27" t="s">
        <v>141</v>
      </c>
      <c r="BE8" s="15">
        <v>9477896539</v>
      </c>
      <c r="BH8" s="15">
        <v>47678965284</v>
      </c>
      <c r="BK8" s="15" t="s">
        <v>142</v>
      </c>
    </row>
    <row r="9" ht="14.5" customHeight="1" spans="1:63" x14ac:dyDescent="0.25">
      <c r="A9" s="27" t="s">
        <v>143</v>
      </c>
      <c r="BE9" s="15">
        <v>9477896540</v>
      </c>
      <c r="BH9" s="15">
        <v>47678965285</v>
      </c>
      <c r="BK9" s="15" t="s">
        <v>144</v>
      </c>
    </row>
    <row r="10" ht="14.5" customHeight="1" spans="1:63" x14ac:dyDescent="0.25">
      <c r="A10" s="27" t="s">
        <v>145</v>
      </c>
      <c r="BE10" s="15">
        <v>9477896541</v>
      </c>
      <c r="BH10" s="15">
        <v>47678965286</v>
      </c>
      <c r="BK10" s="15" t="s">
        <v>146</v>
      </c>
    </row>
    <row r="11" ht="14.5" customHeight="1" spans="1:63" x14ac:dyDescent="0.25">
      <c r="A11" s="27" t="s">
        <v>147</v>
      </c>
      <c r="BE11" s="15">
        <v>9477896542</v>
      </c>
      <c r="BH11" s="15">
        <v>47678965287</v>
      </c>
      <c r="BK11" s="15" t="s">
        <v>148</v>
      </c>
    </row>
    <row r="12" ht="14.5" customHeight="1" spans="1:63" x14ac:dyDescent="0.25">
      <c r="A12" s="27" t="s">
        <v>149</v>
      </c>
      <c r="BE12" s="15">
        <v>9477896543</v>
      </c>
      <c r="BH12" s="15">
        <v>47678965288</v>
      </c>
      <c r="BK12" s="15" t="s">
        <v>150</v>
      </c>
    </row>
    <row r="13" ht="14.5" customHeight="1" spans="1:63" x14ac:dyDescent="0.25">
      <c r="A13" s="27" t="s">
        <v>151</v>
      </c>
      <c r="BE13" s="15">
        <v>9477896544</v>
      </c>
      <c r="BH13" s="15">
        <v>47678965289</v>
      </c>
      <c r="BK13" s="15" t="s">
        <v>152</v>
      </c>
    </row>
    <row r="14" ht="14.5" customHeight="1" spans="1:63" x14ac:dyDescent="0.25">
      <c r="A14" s="27" t="s">
        <v>153</v>
      </c>
      <c r="BE14" s="15">
        <v>9477896545</v>
      </c>
      <c r="BH14" s="15">
        <v>47678965290</v>
      </c>
      <c r="BK14" s="15" t="s">
        <v>154</v>
      </c>
    </row>
    <row r="15" ht="14.5" customHeight="1" spans="1:63" x14ac:dyDescent="0.25">
      <c r="A15" s="27" t="s">
        <v>155</v>
      </c>
      <c r="BE15" s="15">
        <v>9477896546</v>
      </c>
      <c r="BH15" s="15">
        <v>47678965291</v>
      </c>
      <c r="BK15" s="15" t="s">
        <v>156</v>
      </c>
    </row>
    <row r="16" ht="14.5" customHeight="1" spans="1:63" x14ac:dyDescent="0.25">
      <c r="A16" s="27" t="s">
        <v>157</v>
      </c>
      <c r="BE16" s="15">
        <v>9477896547</v>
      </c>
      <c r="BH16" s="15">
        <v>47678965292</v>
      </c>
      <c r="BK16" s="15" t="s">
        <v>158</v>
      </c>
    </row>
    <row r="17" ht="14.5" customHeight="1" spans="1:63" x14ac:dyDescent="0.25">
      <c r="A17" s="27" t="s">
        <v>159</v>
      </c>
      <c r="BE17" s="15">
        <v>9477896548</v>
      </c>
      <c r="BH17" s="15">
        <v>47678965293</v>
      </c>
      <c r="BK17" s="15" t="s">
        <v>160</v>
      </c>
    </row>
    <row r="18" ht="14.5" customHeight="1" spans="1:63" x14ac:dyDescent="0.25">
      <c r="A18" s="27" t="s">
        <v>161</v>
      </c>
      <c r="BE18" s="15">
        <v>9477896549</v>
      </c>
      <c r="BH18" s="15">
        <v>47678965294</v>
      </c>
      <c r="BK18" s="15" t="s">
        <v>162</v>
      </c>
    </row>
    <row r="19" ht="14.5" customHeight="1" spans="1:63" x14ac:dyDescent="0.25">
      <c r="A19" s="27" t="s">
        <v>163</v>
      </c>
      <c r="BE19" s="15">
        <v>9477896550</v>
      </c>
      <c r="BH19" s="15">
        <v>47678965295</v>
      </c>
      <c r="BK19" s="15" t="s">
        <v>164</v>
      </c>
    </row>
    <row r="20" ht="14.5" customHeight="1" spans="1:63" x14ac:dyDescent="0.25">
      <c r="A20" s="27" t="s">
        <v>165</v>
      </c>
      <c r="BE20" s="15">
        <v>9477896551</v>
      </c>
      <c r="BH20" s="15">
        <v>47678965296</v>
      </c>
      <c r="BK20" s="15" t="s">
        <v>166</v>
      </c>
    </row>
    <row r="21" ht="14.5" customHeight="1" spans="1:63" x14ac:dyDescent="0.25">
      <c r="A21" s="27" t="s">
        <v>167</v>
      </c>
      <c r="BE21" s="15">
        <v>9477896552</v>
      </c>
      <c r="BH21" s="15">
        <v>47678965297</v>
      </c>
      <c r="BK21" s="15" t="s">
        <v>168</v>
      </c>
    </row>
    <row r="22" ht="14.5" customHeight="1" spans="57:57" x14ac:dyDescent="0.25">
      <c r="BE22" s="15">
        <v>9477896553</v>
      </c>
    </row>
    <row r="23" ht="14.5" customHeight="1" spans="57:57" x14ac:dyDescent="0.25">
      <c r="BE23" s="15">
        <v>9477896554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2025-03-03T08:44:03Z</dcterms:modified>
</cp:coreProperties>
</file>