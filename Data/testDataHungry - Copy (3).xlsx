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D390715C-B205-4925-B88A-F5F533D143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AJ2" i="1"/>
  <c r="AY2" i="1" s="1"/>
  <c r="K2" i="1"/>
  <c r="Y2" i="1" s="1"/>
  <c r="AR5" i="4"/>
  <c r="AG5" i="4"/>
  <c r="AV5" i="4" s="1"/>
  <c r="H5" i="4"/>
  <c r="V5" i="4" s="1"/>
  <c r="AH5" i="4" s="1"/>
  <c r="AR2" i="4"/>
  <c r="AG2" i="4"/>
  <c r="AV2" i="4" s="1"/>
  <c r="H2" i="4"/>
  <c r="V2" i="4" s="1"/>
  <c r="AK2" i="1" l="1"/>
  <c r="AX2" i="1"/>
  <c r="AW2" i="1"/>
  <c r="AT5" i="4"/>
  <c r="AU5" i="4"/>
  <c r="AH2" i="4"/>
  <c r="AU2" i="4"/>
  <c r="AT2" i="4"/>
</calcChain>
</file>

<file path=xl/sharedStrings.xml><?xml version="1.0" encoding="utf-8"?>
<sst xmlns="http://schemas.openxmlformats.org/spreadsheetml/2006/main" count="460" uniqueCount="206">
  <si>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</si>
  <si>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</si>
  <si>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</si>
  <si>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</si>
  <si>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</si>
  <si>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</si>
  <si>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</si>
  <si>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</si>
  <si>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</si>
  <si>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</si>
  <si>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</si>
  <si>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</si>
  <si>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PostalCode</t>
  </si>
  <si>
    <t>City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</si>
  <si>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</si>
  <si>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</si>
  <si>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</si>
  <si>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</si>
  <si>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</si>
  <si>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</si>
  <si>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</si>
  <si>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</si>
  <si>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</si>
  <si>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</si>
  <si>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</si>
  <si>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</si>
  <si>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</si>
  <si>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</si>
  <si>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</si>
  <si>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</si>
  <si>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</si>
  <si>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</si>
  <si>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</si>
  <si>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</si>
  <si>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</si>
  <si>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</si>
  <si>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</si>
  <si>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</si>
  <si>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</si>
  <si>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</si>
  <si>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</si>
  <si>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</si>
  <si>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</si>
  <si>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</si>
  <si>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</si>
  <si>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</si>
  <si>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</si>
  <si>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</si>
  <si>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</si>
  <si>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</si>
  <si>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</si>
  <si>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</si>
  <si>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Home</t>
  </si>
  <si>
    <t>Automation Street Name</t>
  </si>
  <si>
    <t>Street Address</t>
  </si>
  <si>
    <t>New Hire</t>
  </si>
  <si>
    <t>No</t>
  </si>
  <si>
    <t>Retail Assistant_NEW</t>
  </si>
  <si>
    <t>N/A</t>
  </si>
  <si>
    <t>Automation Comments here….</t>
  </si>
  <si>
    <t>Active</t>
  </si>
  <si>
    <t>Male</t>
  </si>
  <si>
    <t>Checking</t>
  </si>
  <si>
    <t>Defaulted</t>
  </si>
  <si>
    <t>846 Recruitment (Risaby Zosip (10632957))</t>
  </si>
  <si>
    <t>Hungary</t>
  </si>
  <si>
    <t>HungaryOne</t>
  </si>
  <si>
    <t>GobelREGDECTHIRTEENgKK</t>
  </si>
  <si>
    <t>(061)2123123</t>
  </si>
  <si>
    <t>Mobile</t>
  </si>
  <si>
    <t>A</t>
  </si>
  <si>
    <t>Csabai Kapu</t>
  </si>
  <si>
    <t>Building Number</t>
  </si>
  <si>
    <t>StreetOrPlaceName</t>
  </si>
  <si>
    <t>StreetOrPlaceType</t>
  </si>
  <si>
    <t>Street Number</t>
  </si>
  <si>
    <t>BuildingNumber</t>
  </si>
  <si>
    <t>N</t>
  </si>
  <si>
    <t>Supervisory Organisation</t>
  </si>
  <si>
    <t>Given Name</t>
  </si>
  <si>
    <t>Family Name</t>
  </si>
  <si>
    <t>Phone Number</t>
  </si>
  <si>
    <t>Phone Device</t>
  </si>
  <si>
    <t>Effective Date</t>
  </si>
  <si>
    <t>Street</t>
  </si>
  <si>
    <t>Postal Code</t>
  </si>
  <si>
    <t>County</t>
  </si>
  <si>
    <t>Use For</t>
  </si>
  <si>
    <t>Email Address</t>
  </si>
  <si>
    <t>Hire Date</t>
  </si>
  <si>
    <t>Employee Type</t>
  </si>
  <si>
    <t>Job Profile</t>
  </si>
  <si>
    <t>Time Type</t>
  </si>
  <si>
    <t>Pay Rate Type</t>
  </si>
  <si>
    <t>Scheduled Weekly Hours</t>
  </si>
  <si>
    <t>Additional Job Classifications</t>
  </si>
  <si>
    <t>Work Shift</t>
  </si>
  <si>
    <t>End Employment Date</t>
  </si>
  <si>
    <t>ProbationEndDate</t>
  </si>
  <si>
    <t>Cost Center</t>
  </si>
  <si>
    <t>Department Section</t>
  </si>
  <si>
    <t>Proposed Pay Group Final</t>
  </si>
  <si>
    <t>MainJob</t>
  </si>
  <si>
    <t>Pensioner</t>
  </si>
  <si>
    <t>Carer</t>
  </si>
  <si>
    <t>Contract ID</t>
  </si>
  <si>
    <t>Contract Type</t>
  </si>
  <si>
    <t>Date Employee Signed</t>
  </si>
  <si>
    <t>Date Employer Signed</t>
  </si>
  <si>
    <t>Contract End Date</t>
  </si>
  <si>
    <t>National ID Type1</t>
  </si>
  <si>
    <t>Issued Date1</t>
  </si>
  <si>
    <t>Expiration Date1</t>
  </si>
  <si>
    <t>Country2</t>
  </si>
  <si>
    <t>National ID Type2</t>
  </si>
  <si>
    <t>AddEditID2</t>
  </si>
  <si>
    <t>Issued Date2</t>
  </si>
  <si>
    <t>Expiration Date2</t>
  </si>
  <si>
    <t>Date Of Birth</t>
  </si>
  <si>
    <t>Country Of Birth</t>
  </si>
  <si>
    <t>City Of Birth</t>
  </si>
  <si>
    <t>Marital Status</t>
  </si>
  <si>
    <t>Marital Status Date</t>
  </si>
  <si>
    <t>Citizenship Status</t>
  </si>
  <si>
    <t>Primary Nationality</t>
  </si>
  <si>
    <t>Disability</t>
  </si>
  <si>
    <t>Disability Degree</t>
  </si>
  <si>
    <t>Bank Name</t>
  </si>
  <si>
    <t>Bank Identification Code</t>
  </si>
  <si>
    <t>Account Type</t>
  </si>
  <si>
    <t>Account Number</t>
  </si>
  <si>
    <t>Account Nickname</t>
  </si>
  <si>
    <t>Bank Name2</t>
  </si>
  <si>
    <t>Bank Identification Code2</t>
  </si>
  <si>
    <t>Account Type2</t>
  </si>
  <si>
    <t>Account Number2</t>
  </si>
  <si>
    <t>IBAN2</t>
  </si>
  <si>
    <t>Account Nickname2</t>
  </si>
  <si>
    <t xml:space="preserve">Payment Type </t>
  </si>
  <si>
    <t>Account</t>
  </si>
  <si>
    <t>Percent</t>
  </si>
  <si>
    <t>Name Type</t>
  </si>
  <si>
    <t>Name Type2</t>
  </si>
  <si>
    <t>AllowanceAmount</t>
  </si>
  <si>
    <t>Relationship1</t>
  </si>
  <si>
    <t>Dependent Name1</t>
  </si>
  <si>
    <t>Dependent Place of Birth1</t>
  </si>
  <si>
    <t>Dependent Date of Birth1</t>
  </si>
  <si>
    <t>Dependent Mothers Maiden Name1</t>
  </si>
  <si>
    <t>Dependent Tax ID1</t>
  </si>
  <si>
    <t>Dependent Social Security Number1</t>
  </si>
  <si>
    <t>Budapest</t>
  </si>
  <si>
    <t>automation@qe.com</t>
  </si>
  <si>
    <t>Fixed Term</t>
  </si>
  <si>
    <t>Full Time</t>
  </si>
  <si>
    <t>Regular</t>
  </si>
  <si>
    <t>5 Days (Hungary)</t>
  </si>
  <si>
    <t>94 Retail Operatives </t>
  </si>
  <si>
    <t>16 Men’s Accessories</t>
  </si>
  <si>
    <t>HU Monthly</t>
  </si>
  <si>
    <t>Yes</t>
  </si>
  <si>
    <t xml:space="preserve">Defaulted
</t>
  </si>
  <si>
    <t>Social Security</t>
  </si>
  <si>
    <t>091602990</t>
  </si>
  <si>
    <t>Tax ID Number</t>
  </si>
  <si>
    <t>Single</t>
  </si>
  <si>
    <t>Citizen (Hungary)</t>
  </si>
  <si>
    <t>ALLAMADOSSA KEZELO KOZPONT RT.</t>
  </si>
  <si>
    <t>AKKHHUHB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</si>
  <si>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</si>
  <si>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</si>
  <si>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</si>
  <si>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</si>
  <si>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</si>
  <si>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</si>
  <si>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</si>
  <si>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</si>
  <si>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</si>
  <si>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AutoMaiden</t>
  </si>
  <si>
    <t>MaidenMothers</t>
  </si>
  <si>
    <t>StreetNumber</t>
  </si>
  <si>
    <t>ContractID</t>
  </si>
  <si>
    <t>IssuedDate1</t>
  </si>
  <si>
    <t>ExpirationDate1</t>
  </si>
  <si>
    <t>NationalIDType2</t>
  </si>
  <si>
    <t>IssuedDate2</t>
  </si>
  <si>
    <t>ExpirationDate2</t>
  </si>
  <si>
    <t>CountryOfBirth</t>
  </si>
  <si>
    <t>CityOfBirth</t>
  </si>
  <si>
    <t>PrimaryNationality</t>
  </si>
  <si>
    <t>DisabilityDegree</t>
  </si>
  <si>
    <t>AccountNickname</t>
  </si>
  <si>
    <t>BankName2</t>
  </si>
  <si>
    <t>BankIdentificationCode2</t>
  </si>
  <si>
    <t>AccountType2</t>
  </si>
  <si>
    <t>AccountNumber2</t>
  </si>
  <si>
    <t>AccountNickname2</t>
  </si>
  <si>
    <t>PaymentType</t>
  </si>
  <si>
    <t>NameType</t>
  </si>
  <si>
    <t>NameType2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</si>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</sst>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2" xfId="0" applyNumberFormat="1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5" fillId="0" borderId="2" xfId="0" applyNumberFormat="1" applyFont="1" applyBorder="1" applyAlignment="1" applyProtection="1">
      <alignment horizontal="left" wrapText="1"/>
      <protection locked="0"/>
    </xf>
    <xf numFmtId="15" fontId="5" fillId="0" borderId="2" xfId="0" applyNumberFormat="1" applyFont="1" applyBorder="1" applyAlignment="1">
      <alignment horizontal="left" wrapText="1"/>
    </xf>
    <xf numFmtId="164" fontId="6" fillId="0" borderId="2" xfId="0" applyNumberFormat="1" applyFont="1" applyBorder="1" applyAlignment="1" applyProtection="1">
      <alignment horizontal="left" wrapText="1"/>
      <protection locked="0"/>
    </xf>
    <xf numFmtId="0" fontId="7" fillId="0" borderId="2" xfId="0" applyFont="1" applyBorder="1"/>
    <xf numFmtId="0" fontId="8" fillId="0" borderId="3" xfId="0" applyFont="1" applyBorder="1" applyAlignment="1">
      <alignment horizontal="left"/>
    </xf>
    <xf numFmtId="0" fontId="0" fillId="3" borderId="2" xfId="0" applyFill="1" applyBorder="1"/>
    <xf numFmtId="0" fontId="8" fillId="0" borderId="4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14" fontId="7" fillId="0" borderId="2" xfId="0" quotePrefix="1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Protection="1"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6" borderId="5" xfId="0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7" fillId="6" borderId="5" xfId="0" applyFont="1" applyFill="1" applyBorder="1" applyAlignment="1">
      <alignment wrapText="1"/>
    </xf>
    <xf numFmtId="0" fontId="0" fillId="3" borderId="5" xfId="0" applyFill="1" applyBorder="1" applyAlignment="1">
      <alignment horizontal="left"/>
    </xf>
    <xf numFmtId="0" fontId="0" fillId="6" borderId="5" xfId="0" applyFill="1" applyBorder="1" applyAlignment="1">
      <alignment wrapText="1"/>
    </xf>
    <xf numFmtId="0" fontId="0" fillId="4" borderId="5" xfId="0" applyFill="1" applyBorder="1" applyAlignment="1">
      <alignment horizontal="left"/>
    </xf>
    <xf numFmtId="0" fontId="8" fillId="6" borderId="5" xfId="0" applyFont="1" applyFill="1" applyBorder="1"/>
    <xf numFmtId="0" fontId="8" fillId="6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8" fillId="0" borderId="2" xfId="0" quotePrefix="1" applyFont="1" applyBorder="1" applyAlignment="1" applyProtection="1">
      <alignment horizontal="left"/>
      <protection locked="0"/>
    </xf>
    <xf numFmtId="164" fontId="8" fillId="0" borderId="2" xfId="0" quotePrefix="1" applyNumberFormat="1" applyFont="1" applyBorder="1" applyAlignment="1" applyProtection="1">
      <alignment horizontal="left"/>
      <protection locked="0"/>
    </xf>
    <xf numFmtId="14" fontId="8" fillId="0" borderId="2" xfId="0" applyNumberFormat="1" applyFont="1" applyBorder="1" applyAlignment="1">
      <alignment horizontal="left"/>
    </xf>
    <xf numFmtId="0" fontId="11" fillId="0" borderId="2" xfId="1" applyFont="1" applyFill="1" applyBorder="1" applyProtection="1">
      <protection locked="0"/>
    </xf>
    <xf numFmtId="14" fontId="8" fillId="3" borderId="2" xfId="0" applyNumberFormat="1" applyFont="1" applyFill="1" applyBorder="1" applyAlignment="1">
      <alignment horizontal="left"/>
    </xf>
    <xf numFmtId="0" fontId="10" fillId="0" borderId="4" xfId="0" applyFont="1" applyBorder="1"/>
    <xf numFmtId="0" fontId="10" fillId="0" borderId="2" xfId="0" applyFont="1" applyBorder="1"/>
    <xf numFmtId="0" fontId="10" fillId="0" borderId="0" xfId="0" applyFont="1"/>
    <xf numFmtId="14" fontId="7" fillId="0" borderId="0" xfId="0" applyNumberFormat="1" applyFont="1"/>
    <xf numFmtId="14" fontId="0" fillId="0" borderId="4" xfId="0" quotePrefix="1" applyNumberFormat="1" applyBorder="1"/>
    <xf numFmtId="49" fontId="10" fillId="4" borderId="2" xfId="0" applyNumberFormat="1" applyFont="1" applyFill="1" applyBorder="1" applyAlignment="1">
      <alignment horizontal="right"/>
    </xf>
    <xf numFmtId="0" fontId="10" fillId="4" borderId="0" xfId="0" applyFont="1" applyFill="1"/>
    <xf numFmtId="14" fontId="10" fillId="0" borderId="2" xfId="0" applyNumberFormat="1" applyFont="1" applyBorder="1"/>
    <xf numFmtId="0" fontId="12" fillId="0" borderId="2" xfId="0" applyFont="1" applyBorder="1" applyAlignment="1">
      <alignment horizontal="left"/>
    </xf>
    <xf numFmtId="0" fontId="8" fillId="0" borderId="2" xfId="0" applyFont="1" applyBorder="1"/>
    <xf numFmtId="15" fontId="8" fillId="0" borderId="2" xfId="0" applyNumberFormat="1" applyFont="1" applyBorder="1"/>
    <xf numFmtId="1" fontId="8" fillId="0" borderId="2" xfId="0" quotePrefix="1" applyNumberFormat="1" applyFont="1" applyBorder="1" applyAlignment="1" applyProtection="1">
      <alignment horizontal="left"/>
      <protection locked="0"/>
    </xf>
    <xf numFmtId="1" fontId="7" fillId="0" borderId="2" xfId="0" quotePrefix="1" applyNumberFormat="1" applyFont="1" applyBorder="1" applyAlignment="1" applyProtection="1">
      <alignment horizontal="left"/>
      <protection locked="0"/>
    </xf>
    <xf numFmtId="14" fontId="8" fillId="0" borderId="2" xfId="0" quotePrefix="1" applyNumberFormat="1" applyFont="1" applyBorder="1" applyAlignment="1" applyProtection="1">
      <alignment horizontal="left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"/>
  <sheetViews>
    <sheetView tabSelected="1" topLeftCell="AZ1" zoomScale="90" zoomScaleNormal="90" workbookViewId="0">
      <selection activeCell="N3" sqref="N3"/>
    </sheetView>
  </sheetViews>
  <sheetFormatPr defaultRowHeight="14.5" customHeight="1" x14ac:dyDescent="0.35"/>
  <cols>
    <col min="7" max="7" width="30.90625" customWidth="1"/>
    <col min="11" max="11" width="21.54296875" customWidth="1"/>
    <col min="13" max="17" width="26.7265625" customWidth="1"/>
    <col min="50" max="50" width="33.6328125" customWidth="1"/>
    <col min="52" max="52" width="38.453125" customWidth="1"/>
    <col min="101" max="101" width="21.1796875" customWidth="1"/>
  </cols>
  <sheetData>
    <row r="1" spans="1:100" ht="51" customHeight="1" thickBot="1" x14ac:dyDescent="0.4">
      <c r="A1" s="1" t="s">
        <v>0</v>
      </c>
      <c r="B1" s="1" t="s">
        <v>1</v>
      </c>
      <c r="C1" s="1" t="s">
        <v>2</v>
      </c>
      <c r="D1" s="26" t="s">
        <v>3</v>
      </c>
      <c r="E1" s="27" t="s">
        <v>4</v>
      </c>
      <c r="F1" s="28" t="s">
        <v>5</v>
      </c>
      <c r="G1" s="28" t="s">
        <v>6</v>
      </c>
      <c r="H1" s="29" t="s">
        <v>7</v>
      </c>
      <c r="I1" s="25" t="s">
        <v>8</v>
      </c>
      <c r="J1" s="25" t="s">
        <v>9</v>
      </c>
      <c r="K1" s="26" t="s">
        <v>10</v>
      </c>
      <c r="L1" s="25" t="s">
        <v>4</v>
      </c>
      <c r="M1" s="25" t="s">
        <v>84</v>
      </c>
      <c r="N1" s="25" t="s">
        <v>76</v>
      </c>
      <c r="O1" s="25" t="s">
        <v>73</v>
      </c>
      <c r="P1" s="25" t="s">
        <v>74</v>
      </c>
      <c r="Q1" s="25" t="s">
        <v>180</v>
      </c>
      <c r="R1" s="25" t="s">
        <v>12</v>
      </c>
      <c r="S1" s="25" t="s">
        <v>13</v>
      </c>
      <c r="T1" s="25" t="s">
        <v>86</v>
      </c>
      <c r="U1" s="25" t="s">
        <v>9</v>
      </c>
      <c r="V1" s="25" t="s">
        <v>14</v>
      </c>
      <c r="W1" s="25" t="s">
        <v>15</v>
      </c>
      <c r="X1" s="25" t="s">
        <v>9</v>
      </c>
      <c r="Y1" s="30" t="s">
        <v>16</v>
      </c>
      <c r="Z1" s="25" t="s">
        <v>17</v>
      </c>
      <c r="AA1" s="31" t="s">
        <v>18</v>
      </c>
      <c r="AB1" s="32" t="s">
        <v>19</v>
      </c>
      <c r="AC1" s="32" t="s">
        <v>20</v>
      </c>
      <c r="AD1" s="25" t="s">
        <v>21</v>
      </c>
      <c r="AE1" s="25" t="s">
        <v>22</v>
      </c>
      <c r="AF1" s="25" t="s">
        <v>23</v>
      </c>
      <c r="AG1" s="25" t="s">
        <v>24</v>
      </c>
      <c r="AH1" s="25" t="s">
        <v>25</v>
      </c>
      <c r="AI1" s="25" t="s">
        <v>26</v>
      </c>
      <c r="AJ1" s="26" t="s">
        <v>27</v>
      </c>
      <c r="AK1" s="26" t="s">
        <v>98</v>
      </c>
      <c r="AL1" s="25" t="s">
        <v>28</v>
      </c>
      <c r="AM1" s="25" t="s">
        <v>34</v>
      </c>
      <c r="AN1" s="25" t="s">
        <v>35</v>
      </c>
      <c r="AO1" s="25" t="s">
        <v>51</v>
      </c>
      <c r="AP1" s="25" t="s">
        <v>102</v>
      </c>
      <c r="AQ1" s="25" t="s">
        <v>103</v>
      </c>
      <c r="AR1" s="25" t="s">
        <v>104</v>
      </c>
      <c r="AS1" s="25" t="s">
        <v>17</v>
      </c>
      <c r="AT1" s="25" t="s">
        <v>181</v>
      </c>
      <c r="AU1" s="25" t="s">
        <v>29</v>
      </c>
      <c r="AV1" s="25" t="s">
        <v>30</v>
      </c>
      <c r="AW1" s="25" t="s">
        <v>31</v>
      </c>
      <c r="AX1" s="25" t="s">
        <v>32</v>
      </c>
      <c r="AY1" s="26" t="s">
        <v>33</v>
      </c>
      <c r="AZ1" s="25" t="s">
        <v>36</v>
      </c>
      <c r="BA1" s="25" t="s">
        <v>37</v>
      </c>
      <c r="BB1" s="33" t="s">
        <v>38</v>
      </c>
      <c r="BC1" s="25" t="s">
        <v>182</v>
      </c>
      <c r="BD1" s="25" t="s">
        <v>183</v>
      </c>
      <c r="BE1" s="25" t="s">
        <v>113</v>
      </c>
      <c r="BF1" s="25" t="s">
        <v>184</v>
      </c>
      <c r="BG1" s="33" t="s">
        <v>115</v>
      </c>
      <c r="BH1" s="25" t="s">
        <v>185</v>
      </c>
      <c r="BI1" s="25" t="s">
        <v>186</v>
      </c>
      <c r="BJ1" s="25" t="s">
        <v>49</v>
      </c>
      <c r="BK1" s="25" t="s">
        <v>39</v>
      </c>
      <c r="BL1" s="25" t="s">
        <v>40</v>
      </c>
      <c r="BM1" s="25" t="s">
        <v>187</v>
      </c>
      <c r="BN1" s="25" t="s">
        <v>188</v>
      </c>
      <c r="BO1" s="25" t="s">
        <v>41</v>
      </c>
      <c r="BP1" s="25" t="s">
        <v>42</v>
      </c>
      <c r="BQ1" s="25" t="s">
        <v>43</v>
      </c>
      <c r="BR1" s="25" t="s">
        <v>189</v>
      </c>
      <c r="BS1" s="34" t="s">
        <v>125</v>
      </c>
      <c r="BT1" s="34" t="s">
        <v>190</v>
      </c>
      <c r="BU1" s="25" t="s">
        <v>44</v>
      </c>
      <c r="BV1" s="25" t="s">
        <v>45</v>
      </c>
      <c r="BW1" s="25" t="s">
        <v>46</v>
      </c>
      <c r="BX1" s="25" t="s">
        <v>47</v>
      </c>
      <c r="BY1" s="25" t="s">
        <v>48</v>
      </c>
      <c r="BZ1" s="25" t="s">
        <v>191</v>
      </c>
      <c r="CA1" s="25" t="s">
        <v>192</v>
      </c>
      <c r="CB1" s="25" t="s">
        <v>193</v>
      </c>
      <c r="CC1" s="25" t="s">
        <v>194</v>
      </c>
      <c r="CD1" s="25" t="s">
        <v>195</v>
      </c>
      <c r="CE1" s="25" t="s">
        <v>136</v>
      </c>
      <c r="CF1" s="25" t="s">
        <v>196</v>
      </c>
      <c r="CG1" s="25" t="s">
        <v>197</v>
      </c>
      <c r="CH1" s="25" t="s">
        <v>139</v>
      </c>
      <c r="CI1" s="25" t="s">
        <v>140</v>
      </c>
      <c r="CJ1" s="25" t="s">
        <v>198</v>
      </c>
      <c r="CK1" s="25" t="s">
        <v>199</v>
      </c>
      <c r="CL1" s="25" t="s">
        <v>4</v>
      </c>
      <c r="CM1" s="25" t="s">
        <v>5</v>
      </c>
      <c r="CN1" s="25" t="s">
        <v>6</v>
      </c>
      <c r="CO1" s="35" t="s">
        <v>143</v>
      </c>
      <c r="CP1" s="25" t="s">
        <v>144</v>
      </c>
      <c r="CQ1" s="25" t="s">
        <v>200</v>
      </c>
      <c r="CR1" s="25" t="s">
        <v>201</v>
      </c>
      <c r="CS1" s="25" t="s">
        <v>202</v>
      </c>
      <c r="CT1" s="25" t="s">
        <v>203</v>
      </c>
      <c r="CU1" s="25" t="s">
        <v>204</v>
      </c>
      <c r="CV1" s="25" t="s">
        <v>205</v>
      </c>
    </row>
    <row r="2" spans="1:100" ht="87.5" customHeight="1" x14ac:dyDescent="0.35">
      <c r="C2" s="6"/>
      <c r="D2" s="16" t="s">
        <v>64</v>
      </c>
      <c r="E2" s="17" t="s">
        <v>65</v>
      </c>
      <c r="F2" s="18" t="s">
        <v>66</v>
      </c>
      <c r="G2" s="18" t="s">
        <v>67</v>
      </c>
      <c r="H2" s="19" t="s">
        <v>68</v>
      </c>
      <c r="I2" s="20" t="s">
        <v>69</v>
      </c>
      <c r="J2" s="20" t="s">
        <v>52</v>
      </c>
      <c r="K2" s="21">
        <f ca="1">TODAY()-31</f>
        <v>45670</v>
      </c>
      <c r="L2" s="22" t="s">
        <v>65</v>
      </c>
      <c r="M2" s="23" t="s">
        <v>53</v>
      </c>
      <c r="N2" s="20" t="s">
        <v>70</v>
      </c>
      <c r="O2" s="24" t="s">
        <v>71</v>
      </c>
      <c r="P2" s="36" t="s">
        <v>77</v>
      </c>
      <c r="Q2" s="20">
        <v>123</v>
      </c>
      <c r="R2" s="37">
        <v>1046</v>
      </c>
      <c r="S2" s="38" t="s">
        <v>151</v>
      </c>
      <c r="T2" s="38" t="s">
        <v>151</v>
      </c>
      <c r="U2" s="20" t="s">
        <v>52</v>
      </c>
      <c r="V2" s="39" t="s">
        <v>54</v>
      </c>
      <c r="W2" s="40" t="s">
        <v>152</v>
      </c>
      <c r="X2" s="20" t="s">
        <v>52</v>
      </c>
      <c r="Y2" s="21">
        <f ca="1">K2</f>
        <v>45670</v>
      </c>
      <c r="Z2" s="20" t="s">
        <v>55</v>
      </c>
      <c r="AA2" s="41" t="s">
        <v>58</v>
      </c>
      <c r="AB2" s="42" t="s">
        <v>153</v>
      </c>
      <c r="AC2" s="43" t="s">
        <v>57</v>
      </c>
      <c r="AD2" s="44" t="s">
        <v>154</v>
      </c>
      <c r="AE2" s="22">
        <v>846</v>
      </c>
      <c r="AF2" s="22" t="s">
        <v>49</v>
      </c>
      <c r="AG2" s="43">
        <v>40</v>
      </c>
      <c r="AH2" s="43" t="s">
        <v>155</v>
      </c>
      <c r="AI2" s="22" t="s">
        <v>156</v>
      </c>
      <c r="AJ2" s="45">
        <f ca="1">TODAY()+365</f>
        <v>46066</v>
      </c>
      <c r="AK2" s="45">
        <f ca="1">Y2+90</f>
        <v>45760</v>
      </c>
      <c r="AL2" s="20" t="s">
        <v>59</v>
      </c>
      <c r="AM2" s="44" t="s">
        <v>157</v>
      </c>
      <c r="AN2" s="43" t="s">
        <v>158</v>
      </c>
      <c r="AO2" s="20" t="s">
        <v>159</v>
      </c>
      <c r="AP2" s="42" t="s">
        <v>160</v>
      </c>
      <c r="AQ2" s="20" t="s">
        <v>56</v>
      </c>
      <c r="AR2" s="43" t="s">
        <v>56</v>
      </c>
      <c r="AS2" s="39" t="s">
        <v>58</v>
      </c>
      <c r="AT2" s="20" t="s">
        <v>161</v>
      </c>
      <c r="AU2" s="42" t="str">
        <f>AB2</f>
        <v>Fixed Term</v>
      </c>
      <c r="AV2" s="39" t="s">
        <v>60</v>
      </c>
      <c r="AW2" s="46">
        <f ca="1">Y2-1</f>
        <v>45669</v>
      </c>
      <c r="AX2" s="46">
        <f ca="1">Y2-1</f>
        <v>45669</v>
      </c>
      <c r="AY2" s="45">
        <f ca="1">AJ2</f>
        <v>46066</v>
      </c>
      <c r="AZ2" s="38" t="s">
        <v>65</v>
      </c>
      <c r="BA2" s="38" t="s">
        <v>162</v>
      </c>
      <c r="BB2" s="47" t="s">
        <v>163</v>
      </c>
      <c r="BC2" s="39">
        <v>36526</v>
      </c>
      <c r="BD2" s="39">
        <v>51136</v>
      </c>
      <c r="BE2" s="38" t="s">
        <v>65</v>
      </c>
      <c r="BF2" s="38" t="s">
        <v>164</v>
      </c>
      <c r="BG2" s="48">
        <v>8955000989</v>
      </c>
      <c r="BH2" s="39">
        <v>36526</v>
      </c>
      <c r="BI2" s="39">
        <v>51136</v>
      </c>
      <c r="BJ2" s="22" t="s">
        <v>63</v>
      </c>
      <c r="BK2" s="43" t="s">
        <v>61</v>
      </c>
      <c r="BL2" s="49">
        <v>32875</v>
      </c>
      <c r="BM2" s="50" t="s">
        <v>65</v>
      </c>
      <c r="BN2" s="38" t="s">
        <v>151</v>
      </c>
      <c r="BO2" s="51" t="s">
        <v>165</v>
      </c>
      <c r="BP2" s="52" t="s">
        <v>58</v>
      </c>
      <c r="BQ2" s="38" t="s">
        <v>166</v>
      </c>
      <c r="BR2" s="38" t="s">
        <v>65</v>
      </c>
      <c r="BS2" s="43" t="s">
        <v>56</v>
      </c>
      <c r="BT2" s="44" t="s">
        <v>58</v>
      </c>
      <c r="BU2" s="51" t="s">
        <v>167</v>
      </c>
      <c r="BV2" s="51" t="s">
        <v>168</v>
      </c>
      <c r="BW2" s="38" t="s">
        <v>62</v>
      </c>
      <c r="BX2" s="37" t="s">
        <v>169</v>
      </c>
      <c r="BY2" s="38" t="s">
        <v>170</v>
      </c>
      <c r="BZ2" s="38" t="s">
        <v>171</v>
      </c>
      <c r="CA2" s="38" t="s">
        <v>172</v>
      </c>
      <c r="CB2" s="38" t="s">
        <v>173</v>
      </c>
      <c r="CC2" s="38" t="s">
        <v>62</v>
      </c>
      <c r="CD2" s="37" t="s">
        <v>169</v>
      </c>
      <c r="CE2" s="38" t="s">
        <v>170</v>
      </c>
      <c r="CF2" s="38" t="s">
        <v>174</v>
      </c>
      <c r="CG2" s="38" t="s">
        <v>175</v>
      </c>
      <c r="CH2" s="38" t="s">
        <v>174</v>
      </c>
      <c r="CI2" s="53">
        <v>100</v>
      </c>
      <c r="CJ2" s="38" t="s">
        <v>176</v>
      </c>
      <c r="CK2" s="38" t="s">
        <v>177</v>
      </c>
      <c r="CL2" s="38" t="s">
        <v>65</v>
      </c>
      <c r="CM2" s="38" t="s">
        <v>178</v>
      </c>
      <c r="CN2" s="38" t="s">
        <v>179</v>
      </c>
      <c r="CO2" s="54">
        <v>500</v>
      </c>
      <c r="CP2" s="43" t="s">
        <v>58</v>
      </c>
      <c r="CQ2" s="44" t="s">
        <v>58</v>
      </c>
      <c r="CR2" s="55" t="s">
        <v>58</v>
      </c>
      <c r="CS2" s="49" t="s">
        <v>58</v>
      </c>
      <c r="CT2" s="44" t="s">
        <v>58</v>
      </c>
      <c r="CU2" s="53">
        <v>1234055</v>
      </c>
      <c r="CV2" s="53">
        <v>123456055</v>
      </c>
    </row>
  </sheetData>
  <dataValidations count="1">
    <dataValidation type="list" allowBlank="1" showInputMessage="1" showErrorMessage="1" sqref="CC2 I2:J2 X2 AV2 BW2 Z2 U2" xr:uid="{3570DF96-EBF0-4056-9222-7365881D7C1E}">
      <formula1>INDIRECT($C2)</formula1>
    </dataValidation>
  </dataValidations>
  <hyperlinks>
    <hyperlink ref="W2" r:id="rId1" xr:uid="{0AA980D9-C1AA-413C-AF0A-C35CA205EE64}"/>
  </hyperlink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4382-37FA-4809-BEC4-F9FB95811608}">
  <dimension ref="A1:CS5"/>
  <sheetViews>
    <sheetView topLeftCell="CD1" workbookViewId="0">
      <selection sqref="A1:CS2"/>
    </sheetView>
  </sheetViews>
  <sheetFormatPr defaultRowHeight="14.5" x14ac:dyDescent="0.35"/>
  <cols>
    <col min="2" max="2" width="24.90625" customWidth="1"/>
    <col min="6" max="6" width="17.08984375" customWidth="1"/>
    <col min="43" max="43" width="17.08984375" customWidth="1"/>
    <col min="44" max="44" width="15.1796875" customWidth="1"/>
    <col min="47" max="47" width="21.7265625" customWidth="1"/>
    <col min="97" max="97" width="24.08984375" customWidth="1"/>
  </cols>
  <sheetData>
    <row r="1" spans="1:97" ht="29.5" thickBot="1" x14ac:dyDescent="0.4">
      <c r="A1" s="26" t="s">
        <v>78</v>
      </c>
      <c r="B1" s="27" t="s">
        <v>4</v>
      </c>
      <c r="C1" s="28" t="s">
        <v>79</v>
      </c>
      <c r="D1" s="28" t="s">
        <v>80</v>
      </c>
      <c r="E1" s="29" t="s">
        <v>81</v>
      </c>
      <c r="F1" s="25" t="s">
        <v>82</v>
      </c>
      <c r="G1" s="25" t="s">
        <v>9</v>
      </c>
      <c r="H1" s="26" t="s">
        <v>83</v>
      </c>
      <c r="I1" s="25" t="s">
        <v>4</v>
      </c>
      <c r="J1" s="25" t="s">
        <v>84</v>
      </c>
      <c r="K1" s="25" t="s">
        <v>72</v>
      </c>
      <c r="L1" s="25" t="s">
        <v>73</v>
      </c>
      <c r="M1" s="25" t="s">
        <v>74</v>
      </c>
      <c r="N1" s="25" t="s">
        <v>75</v>
      </c>
      <c r="O1" s="25" t="s">
        <v>85</v>
      </c>
      <c r="P1" s="25" t="s">
        <v>13</v>
      </c>
      <c r="Q1" s="25" t="s">
        <v>86</v>
      </c>
      <c r="R1" s="25" t="s">
        <v>9</v>
      </c>
      <c r="S1" s="25" t="s">
        <v>87</v>
      </c>
      <c r="T1" s="25" t="s">
        <v>88</v>
      </c>
      <c r="U1" s="25" t="s">
        <v>9</v>
      </c>
      <c r="V1" s="30" t="s">
        <v>89</v>
      </c>
      <c r="W1" s="25" t="s">
        <v>17</v>
      </c>
      <c r="X1" s="31" t="s">
        <v>18</v>
      </c>
      <c r="Y1" s="32" t="s">
        <v>90</v>
      </c>
      <c r="Z1" s="32" t="s">
        <v>91</v>
      </c>
      <c r="AA1" s="25" t="s">
        <v>92</v>
      </c>
      <c r="AB1" s="25" t="s">
        <v>22</v>
      </c>
      <c r="AC1" s="25" t="s">
        <v>93</v>
      </c>
      <c r="AD1" s="25" t="s">
        <v>94</v>
      </c>
      <c r="AE1" s="25" t="s">
        <v>95</v>
      </c>
      <c r="AF1" s="25" t="s">
        <v>96</v>
      </c>
      <c r="AG1" s="26" t="s">
        <v>97</v>
      </c>
      <c r="AH1" s="26" t="s">
        <v>98</v>
      </c>
      <c r="AI1" s="25" t="s">
        <v>28</v>
      </c>
      <c r="AJ1" s="25" t="s">
        <v>99</v>
      </c>
      <c r="AK1" s="25" t="s">
        <v>100</v>
      </c>
      <c r="AL1" s="25" t="s">
        <v>101</v>
      </c>
      <c r="AM1" s="25" t="s">
        <v>102</v>
      </c>
      <c r="AN1" s="25" t="s">
        <v>103</v>
      </c>
      <c r="AO1" s="25" t="s">
        <v>104</v>
      </c>
      <c r="AP1" s="25" t="s">
        <v>17</v>
      </c>
      <c r="AQ1" s="25" t="s">
        <v>105</v>
      </c>
      <c r="AR1" s="25" t="s">
        <v>106</v>
      </c>
      <c r="AS1" s="25" t="s">
        <v>30</v>
      </c>
      <c r="AT1" s="25" t="s">
        <v>107</v>
      </c>
      <c r="AU1" s="25" t="s">
        <v>108</v>
      </c>
      <c r="AV1" s="26" t="s">
        <v>109</v>
      </c>
      <c r="AW1" s="25" t="s">
        <v>36</v>
      </c>
      <c r="AX1" s="25" t="s">
        <v>110</v>
      </c>
      <c r="AY1" s="33" t="s">
        <v>38</v>
      </c>
      <c r="AZ1" s="25" t="s">
        <v>111</v>
      </c>
      <c r="BA1" s="25" t="s">
        <v>112</v>
      </c>
      <c r="BB1" s="25" t="s">
        <v>113</v>
      </c>
      <c r="BC1" s="25" t="s">
        <v>114</v>
      </c>
      <c r="BD1" s="33" t="s">
        <v>115</v>
      </c>
      <c r="BE1" s="25" t="s">
        <v>116</v>
      </c>
      <c r="BF1" s="25" t="s">
        <v>117</v>
      </c>
      <c r="BG1" s="25" t="s">
        <v>49</v>
      </c>
      <c r="BH1" s="25" t="s">
        <v>39</v>
      </c>
      <c r="BI1" s="25" t="s">
        <v>118</v>
      </c>
      <c r="BJ1" s="25" t="s">
        <v>119</v>
      </c>
      <c r="BK1" s="25" t="s">
        <v>120</v>
      </c>
      <c r="BL1" s="25" t="s">
        <v>121</v>
      </c>
      <c r="BM1" s="25" t="s">
        <v>122</v>
      </c>
      <c r="BN1" s="25" t="s">
        <v>123</v>
      </c>
      <c r="BO1" s="25" t="s">
        <v>124</v>
      </c>
      <c r="BP1" s="34" t="s">
        <v>125</v>
      </c>
      <c r="BQ1" s="34" t="s">
        <v>126</v>
      </c>
      <c r="BR1" s="25" t="s">
        <v>127</v>
      </c>
      <c r="BS1" s="25" t="s">
        <v>128</v>
      </c>
      <c r="BT1" s="25" t="s">
        <v>129</v>
      </c>
      <c r="BU1" s="25" t="s">
        <v>130</v>
      </c>
      <c r="BV1" s="25" t="s">
        <v>48</v>
      </c>
      <c r="BW1" s="25" t="s">
        <v>131</v>
      </c>
      <c r="BX1" s="25" t="s">
        <v>132</v>
      </c>
      <c r="BY1" s="25" t="s">
        <v>133</v>
      </c>
      <c r="BZ1" s="25" t="s">
        <v>134</v>
      </c>
      <c r="CA1" s="25" t="s">
        <v>135</v>
      </c>
      <c r="CB1" s="25" t="s">
        <v>136</v>
      </c>
      <c r="CC1" s="25" t="s">
        <v>137</v>
      </c>
      <c r="CD1" s="25" t="s">
        <v>138</v>
      </c>
      <c r="CE1" s="25" t="s">
        <v>139</v>
      </c>
      <c r="CF1" s="25" t="s">
        <v>140</v>
      </c>
      <c r="CG1" s="25" t="s">
        <v>141</v>
      </c>
      <c r="CH1" s="25" t="s">
        <v>142</v>
      </c>
      <c r="CI1" s="25" t="s">
        <v>4</v>
      </c>
      <c r="CJ1" s="25" t="s">
        <v>79</v>
      </c>
      <c r="CK1" s="25" t="s">
        <v>80</v>
      </c>
      <c r="CL1" s="35" t="s">
        <v>143</v>
      </c>
      <c r="CM1" s="25" t="s">
        <v>144</v>
      </c>
      <c r="CN1" s="25" t="s">
        <v>145</v>
      </c>
      <c r="CO1" s="25" t="s">
        <v>146</v>
      </c>
      <c r="CP1" s="25" t="s">
        <v>147</v>
      </c>
      <c r="CQ1" s="25" t="s">
        <v>148</v>
      </c>
      <c r="CR1" s="25" t="s">
        <v>149</v>
      </c>
      <c r="CS1" s="25" t="s">
        <v>150</v>
      </c>
    </row>
    <row r="2" spans="1:97" x14ac:dyDescent="0.35">
      <c r="A2" s="16" t="s">
        <v>64</v>
      </c>
      <c r="B2" s="17" t="s">
        <v>65</v>
      </c>
      <c r="C2" s="18" t="s">
        <v>66</v>
      </c>
      <c r="D2" s="18" t="s">
        <v>67</v>
      </c>
      <c r="E2" s="19" t="s">
        <v>68</v>
      </c>
      <c r="F2" s="20" t="s">
        <v>69</v>
      </c>
      <c r="G2" s="20" t="s">
        <v>52</v>
      </c>
      <c r="H2" s="21">
        <f ca="1">TODAY()-31</f>
        <v>45670</v>
      </c>
      <c r="I2" s="22" t="s">
        <v>65</v>
      </c>
      <c r="J2" s="23" t="s">
        <v>53</v>
      </c>
      <c r="K2" s="20" t="s">
        <v>70</v>
      </c>
      <c r="L2" s="24" t="s">
        <v>71</v>
      </c>
      <c r="M2" s="36" t="s">
        <v>77</v>
      </c>
      <c r="N2" s="20">
        <v>123</v>
      </c>
      <c r="O2" s="37">
        <v>1046</v>
      </c>
      <c r="P2" s="38" t="s">
        <v>151</v>
      </c>
      <c r="Q2" s="38" t="s">
        <v>151</v>
      </c>
      <c r="R2" s="20" t="s">
        <v>52</v>
      </c>
      <c r="S2" s="39" t="s">
        <v>54</v>
      </c>
      <c r="T2" s="40" t="s">
        <v>152</v>
      </c>
      <c r="U2" s="20" t="s">
        <v>52</v>
      </c>
      <c r="V2" s="21">
        <f ca="1">H2</f>
        <v>45670</v>
      </c>
      <c r="W2" s="20" t="s">
        <v>55</v>
      </c>
      <c r="X2" s="41" t="s">
        <v>58</v>
      </c>
      <c r="Y2" s="42" t="s">
        <v>153</v>
      </c>
      <c r="Z2" s="43" t="s">
        <v>57</v>
      </c>
      <c r="AA2" s="44" t="s">
        <v>154</v>
      </c>
      <c r="AB2" s="22">
        <v>846</v>
      </c>
      <c r="AC2" s="22" t="s">
        <v>49</v>
      </c>
      <c r="AD2" s="43">
        <v>40</v>
      </c>
      <c r="AE2" s="43" t="s">
        <v>155</v>
      </c>
      <c r="AF2" s="22" t="s">
        <v>156</v>
      </c>
      <c r="AG2" s="45">
        <f ca="1">TODAY()+365</f>
        <v>46066</v>
      </c>
      <c r="AH2" s="45">
        <f ca="1">V2+90</f>
        <v>45760</v>
      </c>
      <c r="AI2" s="20" t="s">
        <v>59</v>
      </c>
      <c r="AJ2" s="44" t="s">
        <v>157</v>
      </c>
      <c r="AK2" s="43" t="s">
        <v>158</v>
      </c>
      <c r="AL2" s="20" t="s">
        <v>159</v>
      </c>
      <c r="AM2" s="42" t="s">
        <v>160</v>
      </c>
      <c r="AN2" s="20" t="s">
        <v>56</v>
      </c>
      <c r="AO2" s="43" t="s">
        <v>56</v>
      </c>
      <c r="AP2" s="39" t="s">
        <v>58</v>
      </c>
      <c r="AQ2" s="20" t="s">
        <v>161</v>
      </c>
      <c r="AR2" s="42" t="str">
        <f>Y2</f>
        <v>Fixed Term</v>
      </c>
      <c r="AS2" s="39" t="s">
        <v>60</v>
      </c>
      <c r="AT2" s="46">
        <f ca="1">V2-1</f>
        <v>45669</v>
      </c>
      <c r="AU2" s="46">
        <f ca="1">V2-1</f>
        <v>45669</v>
      </c>
      <c r="AV2" s="45">
        <f ca="1">AG2</f>
        <v>46066</v>
      </c>
      <c r="AW2" s="38" t="s">
        <v>65</v>
      </c>
      <c r="AX2" s="38" t="s">
        <v>162</v>
      </c>
      <c r="AY2" s="47" t="s">
        <v>163</v>
      </c>
      <c r="AZ2" s="39">
        <v>36526</v>
      </c>
      <c r="BA2" s="39">
        <v>51136</v>
      </c>
      <c r="BB2" s="38" t="s">
        <v>65</v>
      </c>
      <c r="BC2" s="38" t="s">
        <v>164</v>
      </c>
      <c r="BD2" s="48">
        <v>8955000989</v>
      </c>
      <c r="BE2" s="39">
        <v>36526</v>
      </c>
      <c r="BF2" s="39">
        <v>51136</v>
      </c>
      <c r="BG2" s="22" t="s">
        <v>63</v>
      </c>
      <c r="BH2" s="43" t="s">
        <v>61</v>
      </c>
      <c r="BI2" s="49">
        <v>32875</v>
      </c>
      <c r="BJ2" s="50" t="s">
        <v>65</v>
      </c>
      <c r="BK2" s="38" t="s">
        <v>151</v>
      </c>
      <c r="BL2" s="51" t="s">
        <v>165</v>
      </c>
      <c r="BM2" s="52" t="s">
        <v>58</v>
      </c>
      <c r="BN2" s="38" t="s">
        <v>166</v>
      </c>
      <c r="BO2" s="38" t="s">
        <v>65</v>
      </c>
      <c r="BP2" s="43" t="s">
        <v>56</v>
      </c>
      <c r="BQ2" s="44" t="s">
        <v>58</v>
      </c>
      <c r="BR2" s="51" t="s">
        <v>167</v>
      </c>
      <c r="BS2" s="51" t="s">
        <v>168</v>
      </c>
      <c r="BT2" s="38" t="s">
        <v>62</v>
      </c>
      <c r="BU2" s="37" t="s">
        <v>169</v>
      </c>
      <c r="BV2" s="38" t="s">
        <v>170</v>
      </c>
      <c r="BW2" s="38" t="s">
        <v>171</v>
      </c>
      <c r="BX2" s="38" t="s">
        <v>172</v>
      </c>
      <c r="BY2" s="38" t="s">
        <v>173</v>
      </c>
      <c r="BZ2" s="38" t="s">
        <v>62</v>
      </c>
      <c r="CA2" s="37" t="s">
        <v>169</v>
      </c>
      <c r="CB2" s="38" t="s">
        <v>170</v>
      </c>
      <c r="CC2" s="38" t="s">
        <v>174</v>
      </c>
      <c r="CD2" s="38" t="s">
        <v>175</v>
      </c>
      <c r="CE2" s="38" t="s">
        <v>174</v>
      </c>
      <c r="CF2" s="53">
        <v>100</v>
      </c>
      <c r="CG2" s="38" t="s">
        <v>176</v>
      </c>
      <c r="CH2" s="38" t="s">
        <v>177</v>
      </c>
      <c r="CI2" s="38" t="s">
        <v>65</v>
      </c>
      <c r="CJ2" s="38" t="s">
        <v>178</v>
      </c>
      <c r="CK2" s="38" t="s">
        <v>179</v>
      </c>
      <c r="CL2" s="54">
        <v>500</v>
      </c>
      <c r="CM2" s="43" t="s">
        <v>58</v>
      </c>
      <c r="CN2" s="44" t="s">
        <v>58</v>
      </c>
      <c r="CO2" s="55" t="s">
        <v>58</v>
      </c>
      <c r="CP2" s="49" t="s">
        <v>58</v>
      </c>
      <c r="CQ2" s="44" t="s">
        <v>58</v>
      </c>
      <c r="CR2" s="53">
        <v>1234055</v>
      </c>
      <c r="CS2" s="53">
        <v>123456055</v>
      </c>
    </row>
    <row r="4" spans="1:97" ht="38.5" x14ac:dyDescent="0.35">
      <c r="A4" s="2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4</v>
      </c>
      <c r="J4" s="3" t="s">
        <v>11</v>
      </c>
      <c r="K4" s="3" t="s">
        <v>76</v>
      </c>
      <c r="L4" s="3" t="s">
        <v>73</v>
      </c>
      <c r="M4" s="3" t="s">
        <v>74</v>
      </c>
      <c r="N4" s="3" t="s">
        <v>75</v>
      </c>
      <c r="O4" s="3" t="s">
        <v>12</v>
      </c>
      <c r="P4" s="3" t="s">
        <v>13</v>
      </c>
      <c r="Q4" s="25" t="s">
        <v>86</v>
      </c>
      <c r="R4" s="3" t="s">
        <v>9</v>
      </c>
      <c r="S4" s="3" t="s">
        <v>14</v>
      </c>
      <c r="T4" s="3" t="s">
        <v>15</v>
      </c>
      <c r="U4" s="3" t="s">
        <v>9</v>
      </c>
      <c r="V4" s="2" t="s">
        <v>16</v>
      </c>
      <c r="W4" s="3" t="s">
        <v>17</v>
      </c>
      <c r="X4" s="3" t="s">
        <v>18</v>
      </c>
      <c r="Y4" s="3" t="s">
        <v>19</v>
      </c>
      <c r="Z4" s="3" t="s">
        <v>20</v>
      </c>
      <c r="AA4" s="3" t="s">
        <v>21</v>
      </c>
      <c r="AB4" s="3" t="s">
        <v>22</v>
      </c>
      <c r="AC4" s="3" t="s">
        <v>23</v>
      </c>
      <c r="AD4" s="3" t="s">
        <v>24</v>
      </c>
      <c r="AE4" s="3" t="s">
        <v>25</v>
      </c>
      <c r="AF4" s="3" t="s">
        <v>26</v>
      </c>
      <c r="AG4" s="2" t="s">
        <v>27</v>
      </c>
      <c r="AH4" s="26" t="s">
        <v>98</v>
      </c>
      <c r="AI4" s="3" t="s">
        <v>28</v>
      </c>
      <c r="AJ4" s="3" t="s">
        <v>34</v>
      </c>
      <c r="AK4" s="3" t="s">
        <v>35</v>
      </c>
      <c r="AL4" s="3" t="s">
        <v>51</v>
      </c>
      <c r="AM4" s="25" t="s">
        <v>102</v>
      </c>
      <c r="AN4" s="25" t="s">
        <v>103</v>
      </c>
      <c r="AO4" s="25" t="s">
        <v>104</v>
      </c>
      <c r="AP4" s="25" t="s">
        <v>17</v>
      </c>
      <c r="AQ4" s="25" t="s">
        <v>105</v>
      </c>
      <c r="AR4" s="3" t="s">
        <v>29</v>
      </c>
      <c r="AS4" s="3" t="s">
        <v>30</v>
      </c>
      <c r="AT4" s="3" t="s">
        <v>31</v>
      </c>
      <c r="AU4" s="3" t="s">
        <v>32</v>
      </c>
      <c r="AV4" s="2" t="s">
        <v>33</v>
      </c>
      <c r="AW4" s="3" t="s">
        <v>36</v>
      </c>
      <c r="AX4" s="3" t="s">
        <v>37</v>
      </c>
      <c r="AY4" s="5" t="s">
        <v>38</v>
      </c>
      <c r="AZ4" s="25" t="s">
        <v>111</v>
      </c>
      <c r="BA4" s="25" t="s">
        <v>112</v>
      </c>
      <c r="BB4" s="25" t="s">
        <v>113</v>
      </c>
      <c r="BC4" s="25" t="s">
        <v>114</v>
      </c>
      <c r="BD4" s="33" t="s">
        <v>115</v>
      </c>
      <c r="BE4" s="25" t="s">
        <v>116</v>
      </c>
      <c r="BF4" s="25" t="s">
        <v>117</v>
      </c>
      <c r="BG4" s="25" t="s">
        <v>49</v>
      </c>
      <c r="BH4" s="3" t="s">
        <v>39</v>
      </c>
      <c r="BI4" s="3" t="s">
        <v>40</v>
      </c>
      <c r="BJ4" s="25" t="s">
        <v>119</v>
      </c>
      <c r="BK4" s="25" t="s">
        <v>120</v>
      </c>
      <c r="BL4" s="3" t="s">
        <v>41</v>
      </c>
      <c r="BM4" s="3" t="s">
        <v>42</v>
      </c>
      <c r="BN4" s="3" t="s">
        <v>43</v>
      </c>
      <c r="BO4" s="3" t="s">
        <v>44</v>
      </c>
      <c r="BP4" s="3" t="s">
        <v>45</v>
      </c>
      <c r="BQ4" s="3" t="s">
        <v>46</v>
      </c>
      <c r="BR4" s="3" t="s">
        <v>47</v>
      </c>
      <c r="BS4" s="3" t="s">
        <v>48</v>
      </c>
      <c r="BT4" s="3" t="s">
        <v>49</v>
      </c>
      <c r="BU4" s="3" t="s">
        <v>50</v>
      </c>
    </row>
    <row r="5" spans="1:97" x14ac:dyDescent="0.35">
      <c r="A5" s="16" t="s">
        <v>64</v>
      </c>
      <c r="B5" s="17" t="s">
        <v>65</v>
      </c>
      <c r="C5" s="18"/>
      <c r="D5" s="18"/>
      <c r="E5" s="19" t="s">
        <v>68</v>
      </c>
      <c r="F5" s="20" t="s">
        <v>69</v>
      </c>
      <c r="G5" s="20" t="s">
        <v>52</v>
      </c>
      <c r="H5" s="21">
        <f ca="1">TODAY()-31</f>
        <v>45670</v>
      </c>
      <c r="I5" s="22" t="s">
        <v>65</v>
      </c>
      <c r="J5" s="23" t="s">
        <v>53</v>
      </c>
      <c r="K5" s="23" t="s">
        <v>70</v>
      </c>
      <c r="L5" s="23" t="s">
        <v>71</v>
      </c>
      <c r="M5" s="23" t="s">
        <v>77</v>
      </c>
      <c r="N5" s="23">
        <v>123</v>
      </c>
      <c r="O5" s="8">
        <v>1046</v>
      </c>
      <c r="P5" s="38" t="s">
        <v>151</v>
      </c>
      <c r="Q5" s="38" t="s">
        <v>151</v>
      </c>
      <c r="R5" s="9" t="s">
        <v>52</v>
      </c>
      <c r="S5" s="39" t="s">
        <v>54</v>
      </c>
      <c r="T5" s="40" t="s">
        <v>152</v>
      </c>
      <c r="U5" s="20" t="s">
        <v>52</v>
      </c>
      <c r="V5" s="21">
        <f ca="1">H5</f>
        <v>45670</v>
      </c>
      <c r="W5" s="20" t="s">
        <v>55</v>
      </c>
      <c r="X5" s="41" t="s">
        <v>58</v>
      </c>
      <c r="Y5" s="42" t="s">
        <v>153</v>
      </c>
      <c r="Z5" s="43" t="s">
        <v>57</v>
      </c>
      <c r="AA5" s="44" t="s">
        <v>154</v>
      </c>
      <c r="AB5" s="22">
        <v>846</v>
      </c>
      <c r="AC5" s="22" t="s">
        <v>49</v>
      </c>
      <c r="AD5" s="43">
        <v>40</v>
      </c>
      <c r="AE5" s="43" t="s">
        <v>155</v>
      </c>
      <c r="AF5" s="22" t="s">
        <v>156</v>
      </c>
      <c r="AG5" s="45">
        <f ca="1">TODAY()+365</f>
        <v>46066</v>
      </c>
      <c r="AH5" s="45">
        <f ca="1">V5+90</f>
        <v>45760</v>
      </c>
      <c r="AI5" s="20" t="s">
        <v>59</v>
      </c>
      <c r="AJ5" s="11"/>
      <c r="AK5" s="10"/>
      <c r="AL5" s="20" t="s">
        <v>159</v>
      </c>
      <c r="AM5" s="42" t="s">
        <v>160</v>
      </c>
      <c r="AN5" s="20" t="s">
        <v>56</v>
      </c>
      <c r="AO5" s="43" t="s">
        <v>56</v>
      </c>
      <c r="AP5" s="39" t="s">
        <v>58</v>
      </c>
      <c r="AQ5" s="20" t="s">
        <v>161</v>
      </c>
      <c r="AR5" s="42" t="str">
        <f>Y5</f>
        <v>Fixed Term</v>
      </c>
      <c r="AS5" s="39" t="s">
        <v>60</v>
      </c>
      <c r="AT5" s="46">
        <f ca="1">V5-1</f>
        <v>45669</v>
      </c>
      <c r="AU5" s="46">
        <f ca="1">V5-1</f>
        <v>45669</v>
      </c>
      <c r="AV5" s="45">
        <f ca="1">AG5</f>
        <v>46066</v>
      </c>
      <c r="AW5" s="12"/>
      <c r="AX5" s="13"/>
      <c r="AY5" s="14"/>
      <c r="AZ5" s="39">
        <v>36526</v>
      </c>
      <c r="BA5" s="39">
        <v>51136</v>
      </c>
      <c r="BB5" s="38" t="s">
        <v>65</v>
      </c>
      <c r="BC5" s="38" t="s">
        <v>164</v>
      </c>
      <c r="BD5" s="48">
        <v>8955000989</v>
      </c>
      <c r="BE5" s="39">
        <v>36526</v>
      </c>
      <c r="BF5" s="39">
        <v>51136</v>
      </c>
      <c r="BG5" s="22" t="s">
        <v>63</v>
      </c>
      <c r="BH5" s="15"/>
      <c r="BI5" s="7"/>
      <c r="BJ5" s="50" t="s">
        <v>65</v>
      </c>
      <c r="BK5" s="38" t="s">
        <v>151</v>
      </c>
      <c r="BL5" s="51" t="s">
        <v>165</v>
      </c>
      <c r="BM5" s="52" t="s">
        <v>58</v>
      </c>
      <c r="BN5" s="38" t="s">
        <v>166</v>
      </c>
      <c r="BO5" s="15"/>
      <c r="BP5" s="7"/>
      <c r="BQ5" s="7"/>
      <c r="BR5" s="7"/>
    </row>
  </sheetData>
  <dataValidations count="2">
    <dataValidation type="list" allowBlank="1" showInputMessage="1" showErrorMessage="1" sqref="BZ2 F2:G2 U2 AS2 BT2 W2 R2 U5 W5 AS5" xr:uid="{F08A54B8-5FD2-4526-A46F-C4597C500E6F}">
      <formula1>INDIRECT($C2)</formula1>
    </dataValidation>
    <dataValidation type="list" allowBlank="1" showInputMessage="1" showErrorMessage="1" sqref="F5:G5" xr:uid="{B61B9A22-123D-4ED9-86BF-E7875F33BC6A}">
      <formula1>INDIRECT($E5)</formula1>
    </dataValidation>
  </dataValidations>
  <hyperlinks>
    <hyperlink ref="T2" r:id="rId1" xr:uid="{BF540F2A-9732-4C3F-9A12-EB85B28E5F3E}"/>
    <hyperlink ref="T5" r:id="rId2" xr:uid="{8D196765-E61E-4029-81C4-1E3DCBCCA4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2025-02-13T09:16:18Z</dcterms:modified>
</cp:coreProperties>
</file>