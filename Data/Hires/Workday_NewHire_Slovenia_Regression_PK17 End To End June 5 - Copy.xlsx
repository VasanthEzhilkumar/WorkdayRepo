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669D809E-226A-4A04-9652-71D3D5C3DC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26" i="1" l="1"/>
  <c r="BQ26" i="1" a="1"/>
  <c r="BQ26" i="1" s="1"/>
  <c r="BC26" i="1" a="1"/>
  <c r="BC26" i="1" s="1"/>
  <c r="AX26" i="1" a="1"/>
  <c r="AX26" i="1" s="1"/>
  <c r="AU26" i="1"/>
  <c r="AM26" i="1"/>
  <c r="AL26" i="1"/>
  <c r="AK26" i="1"/>
  <c r="AJ26" i="1"/>
  <c r="U26" i="1"/>
  <c r="K26" i="1"/>
  <c r="BU25" i="1"/>
  <c r="BQ25" i="1" a="1"/>
  <c r="BQ25" i="1" s="1"/>
  <c r="BC25" i="1" a="1"/>
  <c r="BC25" i="1" s="1"/>
  <c r="AX25" i="1" a="1"/>
  <c r="AX25" i="1" s="1"/>
  <c r="AU25" i="1"/>
  <c r="AM25" i="1"/>
  <c r="AL25" i="1"/>
  <c r="AK25" i="1"/>
  <c r="AJ25" i="1"/>
  <c r="U25" i="1"/>
  <c r="K25" i="1"/>
  <c r="BU24" i="1"/>
  <c r="BQ24" i="1" a="1"/>
  <c r="BQ24" i="1" s="1"/>
  <c r="BC24" i="1" a="1"/>
  <c r="BC24" i="1" s="1"/>
  <c r="AX24" i="1" a="1"/>
  <c r="AX24" i="1" s="1"/>
  <c r="AU24" i="1"/>
  <c r="AM24" i="1"/>
  <c r="AL24" i="1"/>
  <c r="AK24" i="1"/>
  <c r="AJ24" i="1"/>
  <c r="U24" i="1"/>
  <c r="K24" i="1"/>
  <c r="BU23" i="1"/>
  <c r="BQ23" i="1" a="1"/>
  <c r="BQ23" i="1" s="1"/>
  <c r="BC23" i="1" a="1"/>
  <c r="BC23" i="1" s="1"/>
  <c r="AX23" i="1" a="1"/>
  <c r="AX23" i="1" s="1"/>
  <c r="AU23" i="1"/>
  <c r="AM23" i="1"/>
  <c r="AL23" i="1"/>
  <c r="AK23" i="1"/>
  <c r="AJ23" i="1"/>
  <c r="U23" i="1"/>
  <c r="K23" i="1"/>
  <c r="BU22" i="1"/>
  <c r="BQ22" i="1" a="1"/>
  <c r="BQ22" i="1" s="1"/>
  <c r="BC22" i="1" a="1"/>
  <c r="BC22" i="1" s="1"/>
  <c r="AX22" i="1" a="1"/>
  <c r="AX22" i="1" s="1"/>
  <c r="AU22" i="1"/>
  <c r="AM22" i="1"/>
  <c r="AL22" i="1"/>
  <c r="AK22" i="1"/>
  <c r="AJ22" i="1"/>
  <c r="U22" i="1"/>
  <c r="K22" i="1"/>
  <c r="BU21" i="1"/>
  <c r="BQ21" i="1" a="1"/>
  <c r="BQ21" i="1" s="1"/>
  <c r="BC21" i="1" a="1"/>
  <c r="BC21" i="1" s="1"/>
  <c r="AX21" i="1" a="1"/>
  <c r="AX21" i="1" s="1"/>
  <c r="AU21" i="1"/>
  <c r="AM21" i="1"/>
  <c r="AL21" i="1"/>
  <c r="AK21" i="1"/>
  <c r="AJ21" i="1"/>
  <c r="U21" i="1"/>
  <c r="K21" i="1"/>
  <c r="BU20" i="1"/>
  <c r="BQ20" i="1" a="1"/>
  <c r="BQ20" i="1" s="1"/>
  <c r="BC20" i="1" a="1"/>
  <c r="BC20" i="1" s="1"/>
  <c r="AX20" i="1" a="1"/>
  <c r="AX20" i="1" s="1"/>
  <c r="AU20" i="1"/>
  <c r="AM20" i="1"/>
  <c r="AL20" i="1"/>
  <c r="AK20" i="1"/>
  <c r="AJ20" i="1"/>
  <c r="U20" i="1"/>
  <c r="K20" i="1"/>
  <c r="BU19" i="1"/>
  <c r="BQ19" i="1" a="1"/>
  <c r="BQ19" i="1" s="1"/>
  <c r="BC19" i="1" a="1"/>
  <c r="BC19" i="1" s="1"/>
  <c r="AX19" i="1" a="1"/>
  <c r="AX19" i="1" s="1"/>
  <c r="AU19" i="1"/>
  <c r="AM19" i="1"/>
  <c r="AL19" i="1"/>
  <c r="AK19" i="1"/>
  <c r="AJ19" i="1"/>
  <c r="U19" i="1"/>
  <c r="K19" i="1"/>
  <c r="BU18" i="1"/>
  <c r="BQ18" i="1" a="1"/>
  <c r="BQ18" i="1" s="1"/>
  <c r="BC18" i="1" a="1"/>
  <c r="BC18" i="1" s="1"/>
  <c r="AX18" i="1" a="1"/>
  <c r="AX18" i="1" s="1"/>
  <c r="AU18" i="1"/>
  <c r="AM18" i="1"/>
  <c r="AL18" i="1"/>
  <c r="AK18" i="1"/>
  <c r="AJ18" i="1"/>
  <c r="U18" i="1"/>
  <c r="K18" i="1"/>
  <c r="BU17" i="1"/>
  <c r="BQ17" i="1" a="1"/>
  <c r="BQ17" i="1" s="1"/>
  <c r="BC17" i="1" a="1"/>
  <c r="BC17" i="1" s="1"/>
  <c r="AX17" i="1" a="1"/>
  <c r="AX17" i="1" s="1"/>
  <c r="AU17" i="1"/>
  <c r="AM17" i="1"/>
  <c r="AL17" i="1"/>
  <c r="AK17" i="1"/>
  <c r="AJ17" i="1"/>
  <c r="U17" i="1"/>
  <c r="K17" i="1"/>
  <c r="BU16" i="1"/>
  <c r="BQ16" i="1" a="1"/>
  <c r="BQ16" i="1" s="1"/>
  <c r="BC16" i="1" a="1"/>
  <c r="BC16" i="1" s="1"/>
  <c r="AX16" i="1" a="1"/>
  <c r="AX16" i="1" s="1"/>
  <c r="AU16" i="1"/>
  <c r="AM16" i="1"/>
  <c r="AL16" i="1"/>
  <c r="AK16" i="1"/>
  <c r="AJ16" i="1"/>
  <c r="U16" i="1"/>
  <c r="K16" i="1"/>
  <c r="BU15" i="1"/>
  <c r="BQ15" i="1" a="1"/>
  <c r="BQ15" i="1" s="1"/>
  <c r="BC15" i="1" a="1"/>
  <c r="BC15" i="1" s="1"/>
  <c r="AX15" i="1" a="1"/>
  <c r="AX15" i="1" s="1"/>
  <c r="AU15" i="1"/>
  <c r="AM15" i="1"/>
  <c r="AL15" i="1"/>
  <c r="AK15" i="1"/>
  <c r="AJ15" i="1"/>
  <c r="U15" i="1"/>
  <c r="K15" i="1"/>
  <c r="BU14" i="1"/>
  <c r="BQ14" i="1" a="1"/>
  <c r="BQ14" i="1" s="1"/>
  <c r="BC14" i="1" a="1"/>
  <c r="BC14" i="1" s="1"/>
  <c r="AX14" i="1" a="1"/>
  <c r="AX14" i="1" s="1"/>
  <c r="AU14" i="1"/>
  <c r="AM14" i="1"/>
  <c r="AL14" i="1"/>
  <c r="AK14" i="1"/>
  <c r="AJ14" i="1"/>
  <c r="U14" i="1"/>
  <c r="K14" i="1"/>
  <c r="BU13" i="1"/>
  <c r="BQ13" i="1" a="1"/>
  <c r="BQ13" i="1" s="1"/>
  <c r="BC13" i="1" a="1"/>
  <c r="BC13" i="1" s="1"/>
  <c r="AX13" i="1" a="1"/>
  <c r="AX13" i="1" s="1"/>
  <c r="AU13" i="1"/>
  <c r="AM13" i="1"/>
  <c r="AL13" i="1"/>
  <c r="AK13" i="1"/>
  <c r="AJ13" i="1"/>
  <c r="U13" i="1"/>
  <c r="K13" i="1"/>
  <c r="BU12" i="1"/>
  <c r="BQ12" i="1" a="1"/>
  <c r="BQ12" i="1" s="1"/>
  <c r="BC12" i="1" a="1"/>
  <c r="BC12" i="1" s="1"/>
  <c r="AX12" i="1" a="1"/>
  <c r="AX12" i="1" s="1"/>
  <c r="AU12" i="1"/>
  <c r="AM12" i="1"/>
  <c r="AL12" i="1"/>
  <c r="AK12" i="1"/>
  <c r="AJ12" i="1"/>
  <c r="U12" i="1"/>
  <c r="K12" i="1"/>
  <c r="BU11" i="1"/>
  <c r="BQ11" i="1" a="1"/>
  <c r="BQ11" i="1" s="1"/>
  <c r="BC11" i="1" a="1"/>
  <c r="BC11" i="1" s="1"/>
  <c r="AX11" i="1" a="1"/>
  <c r="AX11" i="1" s="1"/>
  <c r="AU11" i="1"/>
  <c r="AM11" i="1"/>
  <c r="AL11" i="1"/>
  <c r="AK11" i="1"/>
  <c r="AJ11" i="1"/>
  <c r="U11" i="1"/>
  <c r="K11" i="1"/>
  <c r="BU10" i="1"/>
  <c r="BQ10" i="1" a="1"/>
  <c r="BQ10" i="1" s="1"/>
  <c r="BC10" i="1" a="1"/>
  <c r="BC10" i="1" s="1"/>
  <c r="AX10" i="1" a="1"/>
  <c r="AX10" i="1" s="1"/>
  <c r="AU10" i="1"/>
  <c r="AM10" i="1"/>
  <c r="AL10" i="1"/>
  <c r="AK10" i="1"/>
  <c r="AJ10" i="1"/>
  <c r="U10" i="1"/>
  <c r="K10" i="1"/>
  <c r="BU9" i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U9" i="1"/>
  <c r="K9" i="1"/>
  <c r="BU8" i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U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U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U6" i="1"/>
  <c r="K6" i="1"/>
  <c r="BU5" i="1"/>
  <c r="BQ5" i="1" a="1"/>
  <c r="BQ5" i="1" s="1"/>
  <c r="BC5" i="1" a="1"/>
  <c r="BC5" i="1" s="1"/>
  <c r="AX5" i="1" a="1"/>
  <c r="AX5" i="1" s="1"/>
  <c r="AU5" i="1"/>
  <c r="AM5" i="1"/>
  <c r="AL5" i="1"/>
  <c r="AK5" i="1"/>
  <c r="AJ5" i="1"/>
  <c r="U5" i="1"/>
  <c r="K5" i="1"/>
  <c r="BU4" i="1"/>
  <c r="BQ4" i="1" a="1"/>
  <c r="BQ4" i="1" s="1"/>
  <c r="BC4" i="1" a="1"/>
  <c r="BC4" i="1" s="1"/>
  <c r="AX4" i="1" a="1"/>
  <c r="AX4" i="1" s="1"/>
  <c r="AU4" i="1"/>
  <c r="AM4" i="1"/>
  <c r="AL4" i="1"/>
  <c r="AK4" i="1"/>
  <c r="AJ4" i="1"/>
  <c r="U4" i="1"/>
  <c r="K4" i="1"/>
  <c r="BU3" i="1"/>
  <c r="AU3" i="1"/>
  <c r="AM3" i="1"/>
  <c r="AL3" i="1"/>
  <c r="AK3" i="1"/>
  <c r="AJ3" i="1"/>
  <c r="U3" i="1"/>
  <c r="K3" i="1"/>
  <c r="BU2" i="1"/>
  <c r="BQ2" i="1" a="1"/>
  <c r="BQ3" i="1" s="1"/>
  <c r="BC2" i="1" a="1"/>
  <c r="BC2" i="1" s="1"/>
  <c r="AX2" i="1" a="1"/>
  <c r="AX3" i="1" s="1"/>
  <c r="AU2" i="1"/>
  <c r="AM2" i="1"/>
  <c r="AL2" i="1"/>
  <c r="AK2" i="1"/>
  <c r="AJ2" i="1"/>
  <c r="U2" i="1"/>
  <c r="K2" i="1"/>
  <c r="BQ2" i="1" l="1"/>
  <c r="AX2" i="1"/>
  <c r="BC3" i="1"/>
</calcChain>
</file>

<file path=xl/sharedStrings.xml><?xml version="1.0" encoding="utf-8"?>
<sst xmlns="http://schemas.openxmlformats.org/spreadsheetml/2006/main" count="1458" uniqueCount="207">
  <si>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</si>
  <si>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</si>
  <si>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</si>
  <si>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</si>
  <si>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</si>
  <si>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</si>
  <si>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</si>
  <si>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</si>
  <si>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</si>
  <si>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</si>
  <si>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</si>
  <si>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</si>
  <si>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</si>
  <si>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</si>
  <si>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</si>
  <si>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</si>
  <si>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</si>
  <si>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</si>
  <si>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</si>
  <si>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</si>
  <si>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</si>
  <si>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</si>
  <si>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</si>
  <si>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</si>
  <si>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</si>
  <si>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</si>
  <si>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</si>
  <si>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</si>
  <si>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</si>
  <si>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</si>
  <si>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</si>
  <si>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</si>
  <si>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</si>
  <si>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</si>
  <si>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</si>
  <si>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</si>
  <si>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</si>
  <si>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</si>
  <si>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</si>
  <si>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</si>
  <si>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</si>
  <si>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</si>
  <si>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</si>
  <si>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</si>
  <si>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</si>
  <si>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</si>
  <si>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</si>
  <si>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</si>
  <si>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</si>
  <si>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</si>
  <si>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</si>
  <si>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</si>
  <si>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</si>
  <si>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</si>
  <si>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</si>
  <si>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</si>
  <si>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</si>
  <si>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</si>
  <si>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</si>
  <si>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</si>
  <si>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</si>
  <si>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</si>
  <si>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</si>
  <si>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</si>
  <si>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</si>
  <si>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</si>
  <si>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</si>
  <si>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</si>
  <si>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</si>
  <si>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</si>
  <si>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 1</t>
  </si>
  <si>
    <t>Passed</t>
  </si>
  <si>
    <t>794 Recruitment (Zosig Depazi (10280602))</t>
  </si>
  <si>
    <t>Slovenia</t>
  </si>
  <si>
    <t>Name</t>
  </si>
  <si>
    <t>Test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</si>
  <si>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</si>
  <si>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</si>
  <si>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</si>
  <si>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</si>
  <si>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</si>
  <si>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</si>
  <si>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</si>
  <si>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</si>
  <si>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Yes</t>
  </si>
  <si>
    <t>Permanent</t>
  </si>
  <si>
    <t>Retail Assistant_NEW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</si>
  <si>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</si>
  <si>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</si>
  <si>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</si>
  <si>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</si>
  <si>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</si>
  <si>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</si>
  <si>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94 Retail Operatives</t>
  </si>
  <si>
    <t>260 Fitting Rooms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</si>
  <si>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</si>
  <si>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</si>
  <si>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</si>
  <si>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</si>
  <si>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</si>
  <si>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</si>
  <si>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</si>
  <si>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</si>
  <si>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</si>
  <si>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</si>
  <si>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</si>
  <si>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</si>
  <si>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</si>
  <si>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</si>
  <si>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</si>
  <si>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</si>
  <si>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 2</t>
  </si>
  <si>
    <t>Lee</t>
  </si>
  <si>
    <t>No</t>
  </si>
  <si>
    <t>Test 3</t>
  </si>
  <si>
    <t>Claire</t>
  </si>
  <si>
    <t>070-417-627</t>
  </si>
  <si>
    <t>Test 4</t>
  </si>
  <si>
    <t>Oisin</t>
  </si>
  <si>
    <t>070-417-628</t>
  </si>
  <si>
    <t>Test 5</t>
  </si>
  <si>
    <t>Bob</t>
  </si>
  <si>
    <t>070-417-629</t>
  </si>
  <si>
    <t>Test 6</t>
  </si>
  <si>
    <t>Andre</t>
  </si>
  <si>
    <t>070-417-630</t>
  </si>
  <si>
    <t>Test 7</t>
  </si>
  <si>
    <t>Frank</t>
  </si>
  <si>
    <t>070-417-631</t>
  </si>
  <si>
    <t>Test 8</t>
  </si>
  <si>
    <t>Daniel</t>
  </si>
  <si>
    <t>070-417-632</t>
  </si>
  <si>
    <t>Test 9</t>
  </si>
  <si>
    <t>Fiona</t>
  </si>
  <si>
    <t>070-417-633</t>
  </si>
  <si>
    <t>Test 10</t>
  </si>
  <si>
    <t>Martin</t>
  </si>
  <si>
    <t>070-417-634</t>
  </si>
  <si>
    <t>Test 11</t>
  </si>
  <si>
    <t>Julia</t>
  </si>
  <si>
    <t>070-417-635</t>
  </si>
  <si>
    <t>Test 12</t>
  </si>
  <si>
    <t>Jonny</t>
  </si>
  <si>
    <t>070-417-636</t>
  </si>
  <si>
    <t>Test 13</t>
  </si>
  <si>
    <t>Quinn</t>
  </si>
  <si>
    <t>070-417-637</t>
  </si>
  <si>
    <t>Test 14</t>
  </si>
  <si>
    <t>Mary</t>
  </si>
  <si>
    <t>070-417-638</t>
  </si>
  <si>
    <t>Test 15</t>
  </si>
  <si>
    <t>10699566</t>
  </si>
  <si>
    <t>795 Recruitment (Zosig Depazi (10280602))</t>
  </si>
  <si>
    <t>Leonor</t>
  </si>
  <si>
    <t>Reynolds</t>
  </si>
  <si>
    <t>070-417-639</t>
  </si>
  <si>
    <t>Test 16</t>
  </si>
  <si>
    <t>10699568</t>
  </si>
  <si>
    <t>Kamren</t>
  </si>
  <si>
    <t>Tillman</t>
  </si>
  <si>
    <t>070-417-640</t>
  </si>
  <si>
    <t>Test 17</t>
  </si>
  <si>
    <t>10699570</t>
  </si>
  <si>
    <t>Jensen</t>
  </si>
  <si>
    <t>Wiza</t>
  </si>
  <si>
    <t>070-417-641</t>
  </si>
  <si>
    <t>Test 18</t>
  </si>
  <si>
    <t>Failed</t>
  </si>
  <si>
    <t>Magdalen</t>
  </si>
  <si>
    <t>Kessler</t>
  </si>
  <si>
    <t>070-417-642</t>
  </si>
  <si>
    <t>Test 19</t>
  </si>
  <si>
    <t>10699571</t>
  </si>
  <si>
    <t>Renee</t>
  </si>
  <si>
    <t>Shanahan</t>
  </si>
  <si>
    <t>070-417-643</t>
  </si>
  <si>
    <t>Test 20</t>
  </si>
  <si>
    <t>10699573</t>
  </si>
  <si>
    <t>Robyn</t>
  </si>
  <si>
    <t>Bergstrom</t>
  </si>
  <si>
    <t>070-417-644</t>
  </si>
  <si>
    <t>Test 21</t>
  </si>
  <si>
    <t>10699575</t>
  </si>
  <si>
    <t>Mckayla</t>
  </si>
  <si>
    <t>Ankunding</t>
  </si>
  <si>
    <t>070-417-645</t>
  </si>
  <si>
    <t>Test 22</t>
  </si>
  <si>
    <t>10699577</t>
  </si>
  <si>
    <t>Jane</t>
  </si>
  <si>
    <t>Abshire</t>
  </si>
  <si>
    <t>070-417-646</t>
  </si>
  <si>
    <t>Test 23</t>
  </si>
  <si>
    <t>10699578</t>
  </si>
  <si>
    <t>Meaghan</t>
  </si>
  <si>
    <t>Williamson</t>
  </si>
  <si>
    <t>070-417-647</t>
  </si>
  <si>
    <t>Part Time</t>
  </si>
  <si>
    <t>Test 24</t>
  </si>
  <si>
    <t>Viviane</t>
  </si>
  <si>
    <t>Wehner</t>
  </si>
  <si>
    <t>070-417-648</t>
  </si>
  <si>
    <t>Test 25</t>
  </si>
  <si>
    <t>10699582</t>
  </si>
  <si>
    <t>Lessie</t>
  </si>
  <si>
    <t>Hauck</t>
  </si>
  <si>
    <t>070-417-649</t>
  </si>
  <si>
    <t>3 Days (Slovenia)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</si>
</sst>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7" fillId="0" borderId="0" xfId="0" applyFont="1"/>
    <xf numFmtId="14" fontId="1" fillId="0" borderId="0" xfId="0" applyNumberFormat="1" applyFont="1" applyAlignment="1">
      <alignment horizontal="left"/>
    </xf>
    <xf numFmtId="0" fontId="7" fillId="0" borderId="2" xfId="0" applyFont="1" applyBorder="1"/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6"/>
  <sheetViews>
    <sheetView tabSelected="1" topLeftCell="A13" zoomScale="90" zoomScaleNormal="90" workbookViewId="0">
      <selection activeCell="E31" sqref="E31"/>
    </sheetView>
  </sheetViews>
  <sheetFormatPr defaultRowHeight="15.65" customHeight="1" outlineLevelRow="1" x14ac:dyDescent="0.35"/>
  <cols>
    <col min="1" max="1" width="10.816406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25">
      <c r="A2" s="1" t="s">
        <v>70</v>
      </c>
      <c r="B2" s="10"/>
      <c r="C2" s="11" t="s">
        <v>71</v>
      </c>
      <c r="D2" s="12" t="s">
        <v>72</v>
      </c>
      <c r="E2" s="13" t="s">
        <v>73</v>
      </c>
      <c r="F2" s="14" t="s">
        <v>74</v>
      </c>
      <c r="G2" s="14" t="s">
        <v>75</v>
      </c>
      <c r="H2" s="15" t="s">
        <v>76</v>
      </c>
      <c r="I2" s="16" t="s">
        <v>77</v>
      </c>
      <c r="J2" s="16" t="s">
        <v>78</v>
      </c>
      <c r="K2" s="17">
        <f t="shared" ref="K2:K26" ca="1" si="0">TODAY()-7</f>
        <v>45806</v>
      </c>
      <c r="L2" s="13" t="s">
        <v>73</v>
      </c>
      <c r="M2" s="18" t="s">
        <v>79</v>
      </c>
      <c r="N2" s="18" t="s">
        <v>80</v>
      </c>
      <c r="O2" s="19" t="s">
        <v>80</v>
      </c>
      <c r="P2" s="16">
        <v>1542</v>
      </c>
      <c r="Q2" s="16" t="s">
        <v>78</v>
      </c>
      <c r="R2" s="20" t="s">
        <v>81</v>
      </c>
      <c r="S2" s="21" t="s">
        <v>82</v>
      </c>
      <c r="T2" s="16" t="s">
        <v>78</v>
      </c>
      <c r="U2" s="22">
        <f ca="1">TODAY()-100</f>
        <v>45713</v>
      </c>
      <c r="V2" s="16" t="s">
        <v>83</v>
      </c>
      <c r="W2" s="23" t="s">
        <v>84</v>
      </c>
      <c r="X2" s="24" t="s">
        <v>85</v>
      </c>
      <c r="Y2" s="24" t="s">
        <v>86</v>
      </c>
      <c r="Z2" s="24" t="s">
        <v>87</v>
      </c>
      <c r="AA2" s="25">
        <v>795</v>
      </c>
      <c r="AB2" s="25" t="s">
        <v>88</v>
      </c>
      <c r="AC2" s="26">
        <v>40</v>
      </c>
      <c r="AD2" s="27" t="s">
        <v>89</v>
      </c>
      <c r="AE2" s="28" t="s">
        <v>90</v>
      </c>
      <c r="AF2" s="29" t="s">
        <v>89</v>
      </c>
      <c r="AG2" s="16" t="s">
        <v>91</v>
      </c>
      <c r="AH2" s="16" t="s">
        <v>92</v>
      </c>
      <c r="AI2" s="16" t="s">
        <v>89</v>
      </c>
      <c r="AJ2" s="17">
        <f ca="1">TODAY()-100</f>
        <v>45713</v>
      </c>
      <c r="AK2" s="17">
        <f t="shared" ref="AK2:AL2" ca="1" si="1">TODAY()-100</f>
        <v>45713</v>
      </c>
      <c r="AL2" s="17">
        <f t="shared" ca="1" si="1"/>
        <v>45713</v>
      </c>
      <c r="AM2" s="22" t="str">
        <f t="shared" ref="AM2:AM3" si="2">AF2</f>
        <v>N/A</v>
      </c>
      <c r="AN2" s="16" t="s">
        <v>93</v>
      </c>
      <c r="AO2" s="30" t="s">
        <v>94</v>
      </c>
      <c r="AP2" s="24" t="s">
        <v>95</v>
      </c>
      <c r="AQ2" s="24" t="s">
        <v>96</v>
      </c>
      <c r="AR2" s="19" t="s">
        <v>97</v>
      </c>
      <c r="AS2" s="13" t="s">
        <v>89</v>
      </c>
      <c r="AT2" s="13" t="s">
        <v>89</v>
      </c>
      <c r="AU2" s="17">
        <f t="shared" ref="AU2:AU26" ca="1" si="3">TODAY()+7</f>
        <v>45820</v>
      </c>
      <c r="AV2" s="13" t="s">
        <v>73</v>
      </c>
      <c r="AW2" s="31" t="s">
        <v>98</v>
      </c>
      <c r="AX2" s="32">
        <f t="array" aca="1" ref="AX2:AX3" ca="1">_xlfn.RANDARRAY(2,1,1023456789000,9999999999999,TRUE)</f>
        <v>7512644933506</v>
      </c>
      <c r="AY2" s="17" t="s">
        <v>99</v>
      </c>
      <c r="AZ2" s="17" t="s">
        <v>100</v>
      </c>
      <c r="BA2" s="13" t="s">
        <v>73</v>
      </c>
      <c r="BB2" s="31" t="s">
        <v>101</v>
      </c>
      <c r="BC2" s="32">
        <f t="array" aca="1" ref="BC2:BC3" ca="1">_xlfn.RANDARRAY(2,1,12345678,99999999,TRUE)</f>
        <v>44577755</v>
      </c>
      <c r="BD2" s="17" t="s">
        <v>99</v>
      </c>
      <c r="BE2" s="17" t="s">
        <v>102</v>
      </c>
      <c r="BF2" s="19" t="s">
        <v>103</v>
      </c>
      <c r="BG2" s="17">
        <v>31776</v>
      </c>
      <c r="BH2" s="13" t="s">
        <v>104</v>
      </c>
      <c r="BI2" s="13" t="s">
        <v>73</v>
      </c>
      <c r="BJ2" s="13" t="s">
        <v>105</v>
      </c>
      <c r="BK2" s="33" t="s">
        <v>89</v>
      </c>
      <c r="BL2" s="13" t="s">
        <v>106</v>
      </c>
      <c r="BM2" s="34" t="s">
        <v>107</v>
      </c>
      <c r="BN2" s="13" t="s">
        <v>108</v>
      </c>
      <c r="BO2" s="13" t="s">
        <v>73</v>
      </c>
      <c r="BP2" s="13" t="s">
        <v>109</v>
      </c>
      <c r="BQ2" s="13">
        <f t="array" aca="1" ref="BQ2:BQ3" ca="1">_xlfn.RANDARRAY(2,1,12345,99999,TRUE)</f>
        <v>91634</v>
      </c>
      <c r="BR2" s="17">
        <v>44562</v>
      </c>
      <c r="BS2" s="17">
        <v>47119</v>
      </c>
      <c r="BT2" s="22">
        <v>44562</v>
      </c>
      <c r="BU2" s="22">
        <f t="shared" ref="BU2:BU26" ca="1" si="4">TODAY()+365</f>
        <v>46178</v>
      </c>
      <c r="BV2" s="16" t="s">
        <v>110</v>
      </c>
    </row>
    <row r="3" spans="1:74" ht="15.65" customHeight="1" x14ac:dyDescent="0.25">
      <c r="A3" s="1" t="s">
        <v>111</v>
      </c>
      <c r="B3" s="10"/>
      <c r="C3" s="11" t="s">
        <v>71</v>
      </c>
      <c r="D3" s="12" t="s">
        <v>72</v>
      </c>
      <c r="E3" s="13" t="s">
        <v>73</v>
      </c>
      <c r="F3" s="14" t="s">
        <v>74</v>
      </c>
      <c r="G3" s="14" t="s">
        <v>112</v>
      </c>
      <c r="H3" s="15" t="s">
        <v>76</v>
      </c>
      <c r="I3" s="16" t="s">
        <v>77</v>
      </c>
      <c r="J3" s="16" t="s">
        <v>78</v>
      </c>
      <c r="K3" s="17">
        <f t="shared" ca="1" si="0"/>
        <v>45806</v>
      </c>
      <c r="L3" s="13" t="s">
        <v>73</v>
      </c>
      <c r="M3" s="18" t="s">
        <v>79</v>
      </c>
      <c r="N3" s="18" t="s">
        <v>80</v>
      </c>
      <c r="O3" s="19" t="s">
        <v>80</v>
      </c>
      <c r="P3" s="16">
        <v>1542</v>
      </c>
      <c r="Q3" s="16" t="s">
        <v>78</v>
      </c>
      <c r="R3" s="20" t="s">
        <v>81</v>
      </c>
      <c r="S3" s="21" t="s">
        <v>82</v>
      </c>
      <c r="T3" s="16" t="s">
        <v>78</v>
      </c>
      <c r="U3" s="22">
        <f ca="1">TODAY()-100</f>
        <v>45713</v>
      </c>
      <c r="V3" s="16" t="s">
        <v>83</v>
      </c>
      <c r="W3" s="23" t="s">
        <v>113</v>
      </c>
      <c r="X3" s="24" t="s">
        <v>85</v>
      </c>
      <c r="Y3" s="24" t="s">
        <v>86</v>
      </c>
      <c r="Z3" s="24" t="s">
        <v>87</v>
      </c>
      <c r="AA3" s="25">
        <v>795</v>
      </c>
      <c r="AB3" s="25" t="s">
        <v>88</v>
      </c>
      <c r="AC3" s="35">
        <v>40</v>
      </c>
      <c r="AD3" s="27" t="s">
        <v>89</v>
      </c>
      <c r="AE3" s="28" t="s">
        <v>90</v>
      </c>
      <c r="AF3" s="29" t="s">
        <v>89</v>
      </c>
      <c r="AG3" s="16" t="s">
        <v>91</v>
      </c>
      <c r="AH3" s="16" t="s">
        <v>92</v>
      </c>
      <c r="AI3" s="16" t="s">
        <v>89</v>
      </c>
      <c r="AJ3" s="17">
        <f ca="1">TODAY()-100</f>
        <v>45713</v>
      </c>
      <c r="AK3" s="17">
        <f t="shared" ref="AK3:AL3" ca="1" si="5">TODAY()-100</f>
        <v>45713</v>
      </c>
      <c r="AL3" s="17">
        <f t="shared" ca="1" si="5"/>
        <v>45713</v>
      </c>
      <c r="AM3" s="22" t="str">
        <f t="shared" si="2"/>
        <v>N/A</v>
      </c>
      <c r="AN3" s="16" t="s">
        <v>93</v>
      </c>
      <c r="AO3" s="30" t="s">
        <v>94</v>
      </c>
      <c r="AP3" s="24" t="s">
        <v>95</v>
      </c>
      <c r="AQ3" s="24" t="s">
        <v>96</v>
      </c>
      <c r="AR3" s="19" t="s">
        <v>97</v>
      </c>
      <c r="AS3" s="13" t="s">
        <v>89</v>
      </c>
      <c r="AT3" s="13" t="s">
        <v>89</v>
      </c>
      <c r="AU3" s="17">
        <f t="shared" ca="1" si="3"/>
        <v>45820</v>
      </c>
      <c r="AV3" s="13" t="s">
        <v>73</v>
      </c>
      <c r="AW3" s="31" t="s">
        <v>98</v>
      </c>
      <c r="AX3" s="32">
        <f ca="1"/>
        <v>8589955940025</v>
      </c>
      <c r="AY3" s="17" t="s">
        <v>99</v>
      </c>
      <c r="AZ3" s="17" t="s">
        <v>100</v>
      </c>
      <c r="BA3" s="13" t="s">
        <v>73</v>
      </c>
      <c r="BB3" s="31" t="s">
        <v>101</v>
      </c>
      <c r="BC3" s="32">
        <f ca="1"/>
        <v>29310520</v>
      </c>
      <c r="BD3" s="17" t="s">
        <v>99</v>
      </c>
      <c r="BE3" s="17" t="s">
        <v>102</v>
      </c>
      <c r="BF3" s="19" t="s">
        <v>103</v>
      </c>
      <c r="BG3" s="17">
        <v>31777</v>
      </c>
      <c r="BH3" s="13" t="s">
        <v>104</v>
      </c>
      <c r="BI3" s="13" t="s">
        <v>73</v>
      </c>
      <c r="BJ3" s="13" t="s">
        <v>105</v>
      </c>
      <c r="BK3" s="33" t="s">
        <v>89</v>
      </c>
      <c r="BL3" s="13" t="s">
        <v>106</v>
      </c>
      <c r="BM3" s="34" t="s">
        <v>107</v>
      </c>
      <c r="BN3" s="13" t="s">
        <v>108</v>
      </c>
      <c r="BO3" s="13" t="s">
        <v>73</v>
      </c>
      <c r="BP3" s="13" t="s">
        <v>109</v>
      </c>
      <c r="BQ3" s="13">
        <f ca="1"/>
        <v>43420</v>
      </c>
      <c r="BR3" s="17">
        <v>44562</v>
      </c>
      <c r="BS3" s="17">
        <v>47119</v>
      </c>
      <c r="BT3" s="22">
        <v>44562</v>
      </c>
      <c r="BU3" s="22">
        <f t="shared" ca="1" si="4"/>
        <v>46178</v>
      </c>
      <c r="BV3" s="16" t="s">
        <v>110</v>
      </c>
    </row>
    <row r="4" spans="1:74" ht="15.65" customHeight="1" x14ac:dyDescent="0.25">
      <c r="A4" s="1" t="s">
        <v>114</v>
      </c>
      <c r="B4" s="10"/>
      <c r="C4" s="11" t="s">
        <v>71</v>
      </c>
      <c r="D4" s="12" t="s">
        <v>72</v>
      </c>
      <c r="E4" s="13" t="s">
        <v>73</v>
      </c>
      <c r="F4" s="14" t="s">
        <v>74</v>
      </c>
      <c r="G4" s="14" t="s">
        <v>115</v>
      </c>
      <c r="H4" s="15" t="s">
        <v>116</v>
      </c>
      <c r="I4" s="16" t="s">
        <v>77</v>
      </c>
      <c r="J4" s="16" t="s">
        <v>78</v>
      </c>
      <c r="K4" s="17">
        <f t="shared" ca="1" si="0"/>
        <v>45806</v>
      </c>
      <c r="L4" s="13" t="s">
        <v>73</v>
      </c>
      <c r="M4" s="18" t="s">
        <v>79</v>
      </c>
      <c r="N4" s="18" t="s">
        <v>80</v>
      </c>
      <c r="O4" s="19" t="s">
        <v>80</v>
      </c>
      <c r="P4" s="16">
        <v>1542</v>
      </c>
      <c r="Q4" s="16" t="s">
        <v>78</v>
      </c>
      <c r="R4" s="20" t="s">
        <v>81</v>
      </c>
      <c r="S4" s="21" t="s">
        <v>82</v>
      </c>
      <c r="T4" s="16" t="s">
        <v>78</v>
      </c>
      <c r="U4" s="22">
        <f t="shared" ref="U4:U26" ca="1" si="6">TODAY()-100</f>
        <v>45713</v>
      </c>
      <c r="V4" s="16" t="s">
        <v>83</v>
      </c>
      <c r="W4" s="23" t="s">
        <v>113</v>
      </c>
      <c r="X4" s="24" t="s">
        <v>85</v>
      </c>
      <c r="Y4" s="24" t="s">
        <v>86</v>
      </c>
      <c r="Z4" s="24" t="s">
        <v>87</v>
      </c>
      <c r="AA4" s="25">
        <v>795</v>
      </c>
      <c r="AB4" s="25" t="s">
        <v>88</v>
      </c>
      <c r="AC4" s="35">
        <v>40</v>
      </c>
      <c r="AD4" s="27" t="s">
        <v>89</v>
      </c>
      <c r="AE4" s="28" t="s">
        <v>90</v>
      </c>
      <c r="AF4" s="29" t="s">
        <v>89</v>
      </c>
      <c r="AG4" s="16" t="s">
        <v>91</v>
      </c>
      <c r="AH4" s="16" t="s">
        <v>92</v>
      </c>
      <c r="AI4" s="16" t="s">
        <v>89</v>
      </c>
      <c r="AJ4" s="17">
        <f t="shared" ref="AJ4:AL26" ca="1" si="7">TODAY()-100</f>
        <v>45713</v>
      </c>
      <c r="AK4" s="17">
        <f t="shared" ca="1" si="7"/>
        <v>45713</v>
      </c>
      <c r="AL4" s="17">
        <f t="shared" ca="1" si="7"/>
        <v>45713</v>
      </c>
      <c r="AM4" s="22" t="str">
        <f t="shared" ref="AM4:AM6" si="8">AF4</f>
        <v>N/A</v>
      </c>
      <c r="AN4" s="16" t="s">
        <v>93</v>
      </c>
      <c r="AO4" s="30" t="s">
        <v>94</v>
      </c>
      <c r="AP4" s="24" t="s">
        <v>95</v>
      </c>
      <c r="AQ4" s="24" t="s">
        <v>96</v>
      </c>
      <c r="AR4" s="19" t="s">
        <v>97</v>
      </c>
      <c r="AS4" s="13" t="s">
        <v>89</v>
      </c>
      <c r="AT4" s="13" t="s">
        <v>89</v>
      </c>
      <c r="AU4" s="17">
        <f t="shared" ca="1" si="3"/>
        <v>45820</v>
      </c>
      <c r="AV4" s="13" t="s">
        <v>73</v>
      </c>
      <c r="AW4" s="31" t="s">
        <v>98</v>
      </c>
      <c r="AX4" s="32">
        <f t="array" aca="1" ref="AX4" ca="1">_xlfn.RANDARRAY(2,1,1023456789000,9999999999999,TRUE)</f>
        <v>6758218985791</v>
      </c>
      <c r="AY4" s="17" t="s">
        <v>99</v>
      </c>
      <c r="AZ4" s="17" t="s">
        <v>100</v>
      </c>
      <c r="BA4" s="13" t="s">
        <v>73</v>
      </c>
      <c r="BB4" s="31" t="s">
        <v>101</v>
      </c>
      <c r="BC4" s="32">
        <f t="array" aca="1" ref="BC4" ca="1">_xlfn.RANDARRAY(2,1,12345678,99999999,TRUE)</f>
        <v>25842478</v>
      </c>
      <c r="BD4" s="17" t="s">
        <v>99</v>
      </c>
      <c r="BE4" s="17" t="s">
        <v>102</v>
      </c>
      <c r="BF4" s="19" t="s">
        <v>103</v>
      </c>
      <c r="BG4" s="17">
        <v>31778</v>
      </c>
      <c r="BH4" s="13" t="s">
        <v>104</v>
      </c>
      <c r="BI4" s="13" t="s">
        <v>73</v>
      </c>
      <c r="BJ4" s="13" t="s">
        <v>105</v>
      </c>
      <c r="BK4" s="33" t="s">
        <v>89</v>
      </c>
      <c r="BL4" s="13" t="s">
        <v>106</v>
      </c>
      <c r="BM4" s="34" t="s">
        <v>107</v>
      </c>
      <c r="BN4" s="13" t="s">
        <v>108</v>
      </c>
      <c r="BO4" s="13" t="s">
        <v>73</v>
      </c>
      <c r="BP4" s="13" t="s">
        <v>109</v>
      </c>
      <c r="BQ4" s="13">
        <f t="array" aca="1" ref="BQ4" ca="1">_xlfn.RANDARRAY(2,1,12345,99999,TRUE)</f>
        <v>56839</v>
      </c>
      <c r="BR4" s="17">
        <v>44562</v>
      </c>
      <c r="BS4" s="17">
        <v>47119</v>
      </c>
      <c r="BT4" s="22">
        <v>44562</v>
      </c>
      <c r="BU4" s="22">
        <f t="shared" ca="1" si="4"/>
        <v>46178</v>
      </c>
      <c r="BV4" s="16" t="s">
        <v>110</v>
      </c>
    </row>
    <row r="5" spans="1:74" ht="15.65" customHeight="1" x14ac:dyDescent="0.25">
      <c r="A5" s="1" t="s">
        <v>117</v>
      </c>
      <c r="B5" s="10"/>
      <c r="C5" s="11" t="s">
        <v>71</v>
      </c>
      <c r="D5" s="12" t="s">
        <v>72</v>
      </c>
      <c r="E5" s="13" t="s">
        <v>73</v>
      </c>
      <c r="F5" s="14" t="s">
        <v>74</v>
      </c>
      <c r="G5" s="14" t="s">
        <v>118</v>
      </c>
      <c r="H5" s="15" t="s">
        <v>119</v>
      </c>
      <c r="I5" s="16" t="s">
        <v>77</v>
      </c>
      <c r="J5" s="16" t="s">
        <v>78</v>
      </c>
      <c r="K5" s="17">
        <f t="shared" ca="1" si="0"/>
        <v>45806</v>
      </c>
      <c r="L5" s="13" t="s">
        <v>73</v>
      </c>
      <c r="M5" s="18" t="s">
        <v>79</v>
      </c>
      <c r="N5" s="18" t="s">
        <v>80</v>
      </c>
      <c r="O5" s="19" t="s">
        <v>80</v>
      </c>
      <c r="P5" s="16">
        <v>1542</v>
      </c>
      <c r="Q5" s="16" t="s">
        <v>78</v>
      </c>
      <c r="R5" s="20" t="s">
        <v>81</v>
      </c>
      <c r="S5" s="21" t="s">
        <v>82</v>
      </c>
      <c r="T5" s="16" t="s">
        <v>78</v>
      </c>
      <c r="U5" s="22">
        <f t="shared" ca="1" si="6"/>
        <v>45713</v>
      </c>
      <c r="V5" s="16" t="s">
        <v>83</v>
      </c>
      <c r="W5" s="23" t="s">
        <v>113</v>
      </c>
      <c r="X5" s="24" t="s">
        <v>85</v>
      </c>
      <c r="Y5" s="24" t="s">
        <v>86</v>
      </c>
      <c r="Z5" s="24" t="s">
        <v>87</v>
      </c>
      <c r="AA5" s="25">
        <v>795</v>
      </c>
      <c r="AB5" s="25" t="s">
        <v>88</v>
      </c>
      <c r="AC5" s="35">
        <v>40</v>
      </c>
      <c r="AD5" s="27" t="s">
        <v>89</v>
      </c>
      <c r="AE5" s="28" t="s">
        <v>90</v>
      </c>
      <c r="AF5" s="29" t="s">
        <v>89</v>
      </c>
      <c r="AG5" s="16" t="s">
        <v>91</v>
      </c>
      <c r="AH5" s="16" t="s">
        <v>92</v>
      </c>
      <c r="AI5" s="16" t="s">
        <v>89</v>
      </c>
      <c r="AJ5" s="17">
        <f t="shared" ca="1" si="7"/>
        <v>45713</v>
      </c>
      <c r="AK5" s="17">
        <f t="shared" ca="1" si="7"/>
        <v>45713</v>
      </c>
      <c r="AL5" s="17">
        <f t="shared" ca="1" si="7"/>
        <v>45713</v>
      </c>
      <c r="AM5" s="22" t="str">
        <f t="shared" si="8"/>
        <v>N/A</v>
      </c>
      <c r="AN5" s="16" t="s">
        <v>93</v>
      </c>
      <c r="AO5" s="30" t="s">
        <v>94</v>
      </c>
      <c r="AP5" s="24" t="s">
        <v>95</v>
      </c>
      <c r="AQ5" s="24" t="s">
        <v>96</v>
      </c>
      <c r="AR5" s="19" t="s">
        <v>97</v>
      </c>
      <c r="AS5" s="13" t="s">
        <v>89</v>
      </c>
      <c r="AT5" s="13" t="s">
        <v>89</v>
      </c>
      <c r="AU5" s="17">
        <f t="shared" ca="1" si="3"/>
        <v>45820</v>
      </c>
      <c r="AV5" s="13" t="s">
        <v>73</v>
      </c>
      <c r="AW5" s="31" t="s">
        <v>98</v>
      </c>
      <c r="AX5" s="32">
        <f t="array" aca="1" ref="AX5" ca="1">_xlfn.RANDARRAY(2,1,1023456789000,9999999999999,TRUE)</f>
        <v>4256745939558</v>
      </c>
      <c r="AY5" s="17" t="s">
        <v>99</v>
      </c>
      <c r="AZ5" s="17" t="s">
        <v>100</v>
      </c>
      <c r="BA5" s="13" t="s">
        <v>73</v>
      </c>
      <c r="BB5" s="31" t="s">
        <v>101</v>
      </c>
      <c r="BC5" s="32">
        <f t="array" aca="1" ref="BC5" ca="1">_xlfn.RANDARRAY(2,1,12345678,99999999,TRUE)</f>
        <v>62303993</v>
      </c>
      <c r="BD5" s="17" t="s">
        <v>99</v>
      </c>
      <c r="BE5" s="17" t="s">
        <v>102</v>
      </c>
      <c r="BF5" s="19" t="s">
        <v>103</v>
      </c>
      <c r="BG5" s="17">
        <v>31779</v>
      </c>
      <c r="BH5" s="13" t="s">
        <v>104</v>
      </c>
      <c r="BI5" s="13" t="s">
        <v>73</v>
      </c>
      <c r="BJ5" s="13" t="s">
        <v>105</v>
      </c>
      <c r="BK5" s="33" t="s">
        <v>89</v>
      </c>
      <c r="BL5" s="13" t="s">
        <v>106</v>
      </c>
      <c r="BM5" s="34" t="s">
        <v>107</v>
      </c>
      <c r="BN5" s="13" t="s">
        <v>108</v>
      </c>
      <c r="BO5" s="13" t="s">
        <v>73</v>
      </c>
      <c r="BP5" s="13" t="s">
        <v>109</v>
      </c>
      <c r="BQ5" s="13">
        <f t="array" aca="1" ref="BQ5" ca="1">_xlfn.RANDARRAY(2,1,12345,99999,TRUE)</f>
        <v>72996</v>
      </c>
      <c r="BR5" s="17">
        <v>44562</v>
      </c>
      <c r="BS5" s="17">
        <v>47119</v>
      </c>
      <c r="BT5" s="22">
        <v>44562</v>
      </c>
      <c r="BU5" s="22">
        <f t="shared" ca="1" si="4"/>
        <v>46178</v>
      </c>
      <c r="BV5" s="16" t="s">
        <v>110</v>
      </c>
    </row>
    <row r="6" spans="1:74" ht="15.65" customHeight="1" x14ac:dyDescent="0.25">
      <c r="A6" s="1" t="s">
        <v>120</v>
      </c>
      <c r="B6" s="10"/>
      <c r="C6" s="11" t="s">
        <v>71</v>
      </c>
      <c r="D6" s="12" t="s">
        <v>72</v>
      </c>
      <c r="E6" s="13" t="s">
        <v>73</v>
      </c>
      <c r="F6" s="14" t="s">
        <v>74</v>
      </c>
      <c r="G6" s="14" t="s">
        <v>121</v>
      </c>
      <c r="H6" s="15" t="s">
        <v>122</v>
      </c>
      <c r="I6" s="16" t="s">
        <v>77</v>
      </c>
      <c r="J6" s="16" t="s">
        <v>78</v>
      </c>
      <c r="K6" s="17">
        <f t="shared" ca="1" si="0"/>
        <v>45806</v>
      </c>
      <c r="L6" s="13" t="s">
        <v>73</v>
      </c>
      <c r="M6" s="18" t="s">
        <v>79</v>
      </c>
      <c r="N6" s="18" t="s">
        <v>80</v>
      </c>
      <c r="O6" s="19" t="s">
        <v>80</v>
      </c>
      <c r="P6" s="16">
        <v>1542</v>
      </c>
      <c r="Q6" s="16" t="s">
        <v>78</v>
      </c>
      <c r="R6" s="20" t="s">
        <v>81</v>
      </c>
      <c r="S6" s="21" t="s">
        <v>82</v>
      </c>
      <c r="T6" s="16" t="s">
        <v>78</v>
      </c>
      <c r="U6" s="22">
        <f t="shared" ca="1" si="6"/>
        <v>45713</v>
      </c>
      <c r="V6" s="16" t="s">
        <v>83</v>
      </c>
      <c r="W6" s="23" t="s">
        <v>113</v>
      </c>
      <c r="X6" s="24" t="s">
        <v>85</v>
      </c>
      <c r="Y6" s="24" t="s">
        <v>86</v>
      </c>
      <c r="Z6" s="24" t="s">
        <v>87</v>
      </c>
      <c r="AA6" s="25">
        <v>795</v>
      </c>
      <c r="AB6" s="25" t="s">
        <v>88</v>
      </c>
      <c r="AC6" s="35">
        <v>40</v>
      </c>
      <c r="AD6" s="27" t="s">
        <v>89</v>
      </c>
      <c r="AE6" s="28" t="s">
        <v>90</v>
      </c>
      <c r="AF6" s="29" t="s">
        <v>89</v>
      </c>
      <c r="AG6" s="16" t="s">
        <v>91</v>
      </c>
      <c r="AH6" s="16" t="s">
        <v>92</v>
      </c>
      <c r="AI6" s="16" t="s">
        <v>89</v>
      </c>
      <c r="AJ6" s="17">
        <f t="shared" ca="1" si="7"/>
        <v>45713</v>
      </c>
      <c r="AK6" s="17">
        <f t="shared" ca="1" si="7"/>
        <v>45713</v>
      </c>
      <c r="AL6" s="17">
        <f t="shared" ca="1" si="7"/>
        <v>45713</v>
      </c>
      <c r="AM6" s="22" t="str">
        <f t="shared" si="8"/>
        <v>N/A</v>
      </c>
      <c r="AN6" s="16" t="s">
        <v>93</v>
      </c>
      <c r="AO6" s="30" t="s">
        <v>94</v>
      </c>
      <c r="AP6" s="24" t="s">
        <v>95</v>
      </c>
      <c r="AQ6" s="24" t="s">
        <v>96</v>
      </c>
      <c r="AR6" s="19" t="s">
        <v>97</v>
      </c>
      <c r="AS6" s="13" t="s">
        <v>89</v>
      </c>
      <c r="AT6" s="13" t="s">
        <v>89</v>
      </c>
      <c r="AU6" s="17">
        <f t="shared" ca="1" si="3"/>
        <v>45820</v>
      </c>
      <c r="AV6" s="13" t="s">
        <v>73</v>
      </c>
      <c r="AW6" s="31" t="s">
        <v>98</v>
      </c>
      <c r="AX6" s="32">
        <f t="array" aca="1" ref="AX6" ca="1">_xlfn.RANDARRAY(2,1,1023456789000,9999999999999,TRUE)</f>
        <v>6006611100331</v>
      </c>
      <c r="AY6" s="17" t="s">
        <v>99</v>
      </c>
      <c r="AZ6" s="17" t="s">
        <v>100</v>
      </c>
      <c r="BA6" s="13" t="s">
        <v>73</v>
      </c>
      <c r="BB6" s="31" t="s">
        <v>101</v>
      </c>
      <c r="BC6" s="32">
        <f t="array" aca="1" ref="BC6" ca="1">_xlfn.RANDARRAY(2,1,12345678,99999999,TRUE)</f>
        <v>46872876</v>
      </c>
      <c r="BD6" s="17" t="s">
        <v>99</v>
      </c>
      <c r="BE6" s="17" t="s">
        <v>102</v>
      </c>
      <c r="BF6" s="19" t="s">
        <v>103</v>
      </c>
      <c r="BG6" s="17">
        <v>31780</v>
      </c>
      <c r="BH6" s="13" t="s">
        <v>104</v>
      </c>
      <c r="BI6" s="13" t="s">
        <v>73</v>
      </c>
      <c r="BJ6" s="13" t="s">
        <v>105</v>
      </c>
      <c r="BK6" s="33" t="s">
        <v>89</v>
      </c>
      <c r="BL6" s="13" t="s">
        <v>106</v>
      </c>
      <c r="BM6" s="34" t="s">
        <v>107</v>
      </c>
      <c r="BN6" s="13" t="s">
        <v>108</v>
      </c>
      <c r="BO6" s="13" t="s">
        <v>73</v>
      </c>
      <c r="BP6" s="13" t="s">
        <v>109</v>
      </c>
      <c r="BQ6" s="13">
        <f t="array" aca="1" ref="BQ6" ca="1">_xlfn.RANDARRAY(2,1,12345,99999,TRUE)</f>
        <v>13491</v>
      </c>
      <c r="BR6" s="17">
        <v>44562</v>
      </c>
      <c r="BS6" s="17">
        <v>47119</v>
      </c>
      <c r="BT6" s="22">
        <v>44562</v>
      </c>
      <c r="BU6" s="22">
        <f t="shared" ca="1" si="4"/>
        <v>46178</v>
      </c>
      <c r="BV6" s="16" t="s">
        <v>110</v>
      </c>
    </row>
    <row r="7" spans="1:74" ht="15.65" customHeight="1" x14ac:dyDescent="0.25">
      <c r="A7" s="1" t="s">
        <v>123</v>
      </c>
      <c r="B7" s="10"/>
      <c r="C7" s="11" t="s">
        <v>71</v>
      </c>
      <c r="D7" s="12" t="s">
        <v>72</v>
      </c>
      <c r="E7" s="13" t="s">
        <v>73</v>
      </c>
      <c r="F7" s="14" t="s">
        <v>74</v>
      </c>
      <c r="G7" s="14" t="s">
        <v>124</v>
      </c>
      <c r="H7" s="15" t="s">
        <v>125</v>
      </c>
      <c r="I7" s="16" t="s">
        <v>77</v>
      </c>
      <c r="J7" s="16" t="s">
        <v>78</v>
      </c>
      <c r="K7" s="17">
        <f t="shared" ca="1" si="0"/>
        <v>45806</v>
      </c>
      <c r="L7" s="13" t="s">
        <v>73</v>
      </c>
      <c r="M7" s="18" t="s">
        <v>79</v>
      </c>
      <c r="N7" s="18" t="s">
        <v>80</v>
      </c>
      <c r="O7" s="19" t="s">
        <v>80</v>
      </c>
      <c r="P7" s="16">
        <v>1542</v>
      </c>
      <c r="Q7" s="16" t="s">
        <v>78</v>
      </c>
      <c r="R7" s="20" t="s">
        <v>81</v>
      </c>
      <c r="S7" s="21" t="s">
        <v>82</v>
      </c>
      <c r="T7" s="16" t="s">
        <v>78</v>
      </c>
      <c r="U7" s="22">
        <f t="shared" ca="1" si="6"/>
        <v>45713</v>
      </c>
      <c r="V7" s="16" t="s">
        <v>83</v>
      </c>
      <c r="W7" s="23" t="s">
        <v>113</v>
      </c>
      <c r="X7" s="24" t="s">
        <v>85</v>
      </c>
      <c r="Y7" s="24" t="s">
        <v>86</v>
      </c>
      <c r="Z7" s="24" t="s">
        <v>87</v>
      </c>
      <c r="AA7" s="25">
        <v>795</v>
      </c>
      <c r="AB7" s="25" t="s">
        <v>88</v>
      </c>
      <c r="AC7" s="35">
        <v>40</v>
      </c>
      <c r="AD7" s="27" t="s">
        <v>89</v>
      </c>
      <c r="AE7" s="28" t="s">
        <v>90</v>
      </c>
      <c r="AF7" s="29" t="s">
        <v>89</v>
      </c>
      <c r="AG7" s="16" t="s">
        <v>91</v>
      </c>
      <c r="AH7" s="16" t="s">
        <v>92</v>
      </c>
      <c r="AI7" s="16" t="s">
        <v>89</v>
      </c>
      <c r="AJ7" s="17">
        <f t="shared" ca="1" si="7"/>
        <v>45713</v>
      </c>
      <c r="AK7" s="17">
        <f t="shared" ca="1" si="7"/>
        <v>45713</v>
      </c>
      <c r="AL7" s="17">
        <f t="shared" ca="1" si="7"/>
        <v>45713</v>
      </c>
      <c r="AM7" s="22" t="str">
        <f t="shared" ref="AM7:AM9" si="9">AF7</f>
        <v>N/A</v>
      </c>
      <c r="AN7" s="16" t="s">
        <v>93</v>
      </c>
      <c r="AO7" s="30" t="s">
        <v>94</v>
      </c>
      <c r="AP7" s="24" t="s">
        <v>95</v>
      </c>
      <c r="AQ7" s="24" t="s">
        <v>96</v>
      </c>
      <c r="AR7" s="19" t="s">
        <v>97</v>
      </c>
      <c r="AS7" s="13" t="s">
        <v>89</v>
      </c>
      <c r="AT7" s="13" t="s">
        <v>89</v>
      </c>
      <c r="AU7" s="17">
        <f t="shared" ca="1" si="3"/>
        <v>45820</v>
      </c>
      <c r="AV7" s="13" t="s">
        <v>73</v>
      </c>
      <c r="AW7" s="31" t="s">
        <v>98</v>
      </c>
      <c r="AX7" s="32">
        <f t="array" aca="1" ref="AX7" ca="1">_xlfn.RANDARRAY(2,1,1023456789000,9999999999999,TRUE)</f>
        <v>2868379070028</v>
      </c>
      <c r="AY7" s="17" t="s">
        <v>99</v>
      </c>
      <c r="AZ7" s="17" t="s">
        <v>100</v>
      </c>
      <c r="BA7" s="13" t="s">
        <v>73</v>
      </c>
      <c r="BB7" s="31" t="s">
        <v>101</v>
      </c>
      <c r="BC7" s="32">
        <f t="array" aca="1" ref="BC7" ca="1">_xlfn.RANDARRAY(2,1,12345678,99999999,TRUE)</f>
        <v>97932489</v>
      </c>
      <c r="BD7" s="17" t="s">
        <v>99</v>
      </c>
      <c r="BE7" s="17" t="s">
        <v>102</v>
      </c>
      <c r="BF7" s="19" t="s">
        <v>103</v>
      </c>
      <c r="BG7" s="17">
        <v>31781</v>
      </c>
      <c r="BH7" s="13" t="s">
        <v>104</v>
      </c>
      <c r="BI7" s="13" t="s">
        <v>73</v>
      </c>
      <c r="BJ7" s="13" t="s">
        <v>105</v>
      </c>
      <c r="BK7" s="33" t="s">
        <v>89</v>
      </c>
      <c r="BL7" s="13" t="s">
        <v>106</v>
      </c>
      <c r="BM7" s="34" t="s">
        <v>107</v>
      </c>
      <c r="BN7" s="13" t="s">
        <v>108</v>
      </c>
      <c r="BO7" s="13" t="s">
        <v>73</v>
      </c>
      <c r="BP7" s="13" t="s">
        <v>109</v>
      </c>
      <c r="BQ7" s="13">
        <f t="array" aca="1" ref="BQ7" ca="1">_xlfn.RANDARRAY(2,1,12345,99999,TRUE)</f>
        <v>13531</v>
      </c>
      <c r="BR7" s="17">
        <v>44562</v>
      </c>
      <c r="BS7" s="17">
        <v>47119</v>
      </c>
      <c r="BT7" s="22">
        <v>44562</v>
      </c>
      <c r="BU7" s="22">
        <f t="shared" ca="1" si="4"/>
        <v>46178</v>
      </c>
      <c r="BV7" s="16" t="s">
        <v>110</v>
      </c>
    </row>
    <row r="8" spans="1:74" ht="15.65" customHeight="1" x14ac:dyDescent="0.25">
      <c r="A8" s="1" t="s">
        <v>126</v>
      </c>
      <c r="B8" s="10"/>
      <c r="C8" s="11" t="s">
        <v>71</v>
      </c>
      <c r="D8" s="12" t="s">
        <v>72</v>
      </c>
      <c r="E8" s="13" t="s">
        <v>73</v>
      </c>
      <c r="F8" s="14" t="s">
        <v>74</v>
      </c>
      <c r="G8" s="14" t="s">
        <v>127</v>
      </c>
      <c r="H8" s="15" t="s">
        <v>128</v>
      </c>
      <c r="I8" s="16" t="s">
        <v>77</v>
      </c>
      <c r="J8" s="16" t="s">
        <v>78</v>
      </c>
      <c r="K8" s="17">
        <f t="shared" ca="1" si="0"/>
        <v>45806</v>
      </c>
      <c r="L8" s="13" t="s">
        <v>73</v>
      </c>
      <c r="M8" s="18" t="s">
        <v>79</v>
      </c>
      <c r="N8" s="18" t="s">
        <v>80</v>
      </c>
      <c r="O8" s="19" t="s">
        <v>80</v>
      </c>
      <c r="P8" s="16">
        <v>1542</v>
      </c>
      <c r="Q8" s="16" t="s">
        <v>78</v>
      </c>
      <c r="R8" s="20" t="s">
        <v>81</v>
      </c>
      <c r="S8" s="21" t="s">
        <v>82</v>
      </c>
      <c r="T8" s="16" t="s">
        <v>78</v>
      </c>
      <c r="U8" s="22">
        <f t="shared" ca="1" si="6"/>
        <v>45713</v>
      </c>
      <c r="V8" s="16" t="s">
        <v>83</v>
      </c>
      <c r="W8" s="23" t="s">
        <v>113</v>
      </c>
      <c r="X8" s="24" t="s">
        <v>85</v>
      </c>
      <c r="Y8" s="24" t="s">
        <v>86</v>
      </c>
      <c r="Z8" s="24" t="s">
        <v>87</v>
      </c>
      <c r="AA8" s="25">
        <v>795</v>
      </c>
      <c r="AB8" s="25" t="s">
        <v>88</v>
      </c>
      <c r="AC8" s="35">
        <v>40</v>
      </c>
      <c r="AD8" s="27" t="s">
        <v>89</v>
      </c>
      <c r="AE8" s="28" t="s">
        <v>90</v>
      </c>
      <c r="AF8" s="29" t="s">
        <v>89</v>
      </c>
      <c r="AG8" s="16" t="s">
        <v>91</v>
      </c>
      <c r="AH8" s="16" t="s">
        <v>92</v>
      </c>
      <c r="AI8" s="16" t="s">
        <v>89</v>
      </c>
      <c r="AJ8" s="17">
        <f t="shared" ca="1" si="7"/>
        <v>45713</v>
      </c>
      <c r="AK8" s="17">
        <f t="shared" ca="1" si="7"/>
        <v>45713</v>
      </c>
      <c r="AL8" s="17">
        <f t="shared" ca="1" si="7"/>
        <v>45713</v>
      </c>
      <c r="AM8" s="22" t="str">
        <f t="shared" si="9"/>
        <v>N/A</v>
      </c>
      <c r="AN8" s="16" t="s">
        <v>93</v>
      </c>
      <c r="AO8" s="30" t="s">
        <v>94</v>
      </c>
      <c r="AP8" s="24" t="s">
        <v>95</v>
      </c>
      <c r="AQ8" s="24" t="s">
        <v>96</v>
      </c>
      <c r="AR8" s="19" t="s">
        <v>97</v>
      </c>
      <c r="AS8" s="13" t="s">
        <v>89</v>
      </c>
      <c r="AT8" s="13" t="s">
        <v>89</v>
      </c>
      <c r="AU8" s="17">
        <f t="shared" ca="1" si="3"/>
        <v>45820</v>
      </c>
      <c r="AV8" s="13" t="s">
        <v>73</v>
      </c>
      <c r="AW8" s="31" t="s">
        <v>98</v>
      </c>
      <c r="AX8" s="32">
        <f t="array" aca="1" ref="AX8" ca="1">_xlfn.RANDARRAY(2,1,1023456789000,9999999999999,TRUE)</f>
        <v>1540936704657</v>
      </c>
      <c r="AY8" s="17" t="s">
        <v>99</v>
      </c>
      <c r="AZ8" s="17" t="s">
        <v>100</v>
      </c>
      <c r="BA8" s="13" t="s">
        <v>73</v>
      </c>
      <c r="BB8" s="31" t="s">
        <v>101</v>
      </c>
      <c r="BC8" s="32">
        <f t="array" aca="1" ref="BC8" ca="1">_xlfn.RANDARRAY(2,1,12345678,99999999,TRUE)</f>
        <v>15834079</v>
      </c>
      <c r="BD8" s="17" t="s">
        <v>99</v>
      </c>
      <c r="BE8" s="17" t="s">
        <v>102</v>
      </c>
      <c r="BF8" s="19" t="s">
        <v>103</v>
      </c>
      <c r="BG8" s="17">
        <v>31782</v>
      </c>
      <c r="BH8" s="13" t="s">
        <v>104</v>
      </c>
      <c r="BI8" s="13" t="s">
        <v>73</v>
      </c>
      <c r="BJ8" s="13" t="s">
        <v>105</v>
      </c>
      <c r="BK8" s="33" t="s">
        <v>89</v>
      </c>
      <c r="BL8" s="13" t="s">
        <v>106</v>
      </c>
      <c r="BM8" s="34" t="s">
        <v>107</v>
      </c>
      <c r="BN8" s="13" t="s">
        <v>108</v>
      </c>
      <c r="BO8" s="13" t="s">
        <v>73</v>
      </c>
      <c r="BP8" s="13" t="s">
        <v>109</v>
      </c>
      <c r="BQ8" s="13">
        <f t="array" aca="1" ref="BQ8" ca="1">_xlfn.RANDARRAY(2,1,12345,99999,TRUE)</f>
        <v>78961</v>
      </c>
      <c r="BR8" s="17">
        <v>44562</v>
      </c>
      <c r="BS8" s="17">
        <v>47119</v>
      </c>
      <c r="BT8" s="22">
        <v>44562</v>
      </c>
      <c r="BU8" s="22">
        <f t="shared" ca="1" si="4"/>
        <v>46178</v>
      </c>
      <c r="BV8" s="16" t="s">
        <v>110</v>
      </c>
    </row>
    <row r="9" spans="1:74" ht="15.65" customHeight="1" x14ac:dyDescent="0.25">
      <c r="A9" s="1" t="s">
        <v>129</v>
      </c>
      <c r="B9" s="10"/>
      <c r="C9" s="11" t="s">
        <v>71</v>
      </c>
      <c r="D9" s="12" t="s">
        <v>72</v>
      </c>
      <c r="E9" s="13" t="s">
        <v>73</v>
      </c>
      <c r="F9" s="14" t="s">
        <v>74</v>
      </c>
      <c r="G9" s="14" t="s">
        <v>130</v>
      </c>
      <c r="H9" s="15" t="s">
        <v>131</v>
      </c>
      <c r="I9" s="16" t="s">
        <v>77</v>
      </c>
      <c r="J9" s="16" t="s">
        <v>78</v>
      </c>
      <c r="K9" s="17">
        <f t="shared" ca="1" si="0"/>
        <v>45806</v>
      </c>
      <c r="L9" s="13" t="s">
        <v>73</v>
      </c>
      <c r="M9" s="18" t="s">
        <v>79</v>
      </c>
      <c r="N9" s="18" t="s">
        <v>80</v>
      </c>
      <c r="O9" s="19" t="s">
        <v>80</v>
      </c>
      <c r="P9" s="16">
        <v>1542</v>
      </c>
      <c r="Q9" s="16" t="s">
        <v>78</v>
      </c>
      <c r="R9" s="20" t="s">
        <v>81</v>
      </c>
      <c r="S9" s="21" t="s">
        <v>82</v>
      </c>
      <c r="T9" s="16" t="s">
        <v>78</v>
      </c>
      <c r="U9" s="22">
        <f t="shared" ca="1" si="6"/>
        <v>45713</v>
      </c>
      <c r="V9" s="16" t="s">
        <v>83</v>
      </c>
      <c r="W9" s="23" t="s">
        <v>113</v>
      </c>
      <c r="X9" s="24" t="s">
        <v>85</v>
      </c>
      <c r="Y9" s="24" t="s">
        <v>86</v>
      </c>
      <c r="Z9" s="24" t="s">
        <v>87</v>
      </c>
      <c r="AA9" s="25">
        <v>795</v>
      </c>
      <c r="AB9" s="25" t="s">
        <v>88</v>
      </c>
      <c r="AC9" s="35">
        <v>40</v>
      </c>
      <c r="AD9" s="27" t="s">
        <v>89</v>
      </c>
      <c r="AE9" s="28" t="s">
        <v>90</v>
      </c>
      <c r="AF9" s="29" t="s">
        <v>89</v>
      </c>
      <c r="AG9" s="16" t="s">
        <v>91</v>
      </c>
      <c r="AH9" s="16" t="s">
        <v>92</v>
      </c>
      <c r="AI9" s="16" t="s">
        <v>89</v>
      </c>
      <c r="AJ9" s="17">
        <f t="shared" ca="1" si="7"/>
        <v>45713</v>
      </c>
      <c r="AK9" s="17">
        <f t="shared" ca="1" si="7"/>
        <v>45713</v>
      </c>
      <c r="AL9" s="17">
        <f t="shared" ca="1" si="7"/>
        <v>45713</v>
      </c>
      <c r="AM9" s="22" t="str">
        <f t="shared" si="9"/>
        <v>N/A</v>
      </c>
      <c r="AN9" s="16" t="s">
        <v>93</v>
      </c>
      <c r="AO9" s="30" t="s">
        <v>94</v>
      </c>
      <c r="AP9" s="24" t="s">
        <v>95</v>
      </c>
      <c r="AQ9" s="24" t="s">
        <v>96</v>
      </c>
      <c r="AR9" s="19" t="s">
        <v>97</v>
      </c>
      <c r="AS9" s="13" t="s">
        <v>89</v>
      </c>
      <c r="AT9" s="13" t="s">
        <v>89</v>
      </c>
      <c r="AU9" s="17">
        <f t="shared" ca="1" si="3"/>
        <v>45820</v>
      </c>
      <c r="AV9" s="13" t="s">
        <v>73</v>
      </c>
      <c r="AW9" s="31" t="s">
        <v>98</v>
      </c>
      <c r="AX9" s="32">
        <f t="array" aca="1" ref="AX9" ca="1">_xlfn.RANDARRAY(2,1,1023456789000,9999999999999,TRUE)</f>
        <v>6326226534717</v>
      </c>
      <c r="AY9" s="17" t="s">
        <v>99</v>
      </c>
      <c r="AZ9" s="17" t="s">
        <v>100</v>
      </c>
      <c r="BA9" s="13" t="s">
        <v>73</v>
      </c>
      <c r="BB9" s="31" t="s">
        <v>101</v>
      </c>
      <c r="BC9" s="32">
        <f t="array" aca="1" ref="BC9" ca="1">_xlfn.RANDARRAY(2,1,12345678,99999999,TRUE)</f>
        <v>53259351</v>
      </c>
      <c r="BD9" s="17" t="s">
        <v>99</v>
      </c>
      <c r="BE9" s="17" t="s">
        <v>102</v>
      </c>
      <c r="BF9" s="19" t="s">
        <v>103</v>
      </c>
      <c r="BG9" s="17">
        <v>31783</v>
      </c>
      <c r="BH9" s="13" t="s">
        <v>104</v>
      </c>
      <c r="BI9" s="13" t="s">
        <v>73</v>
      </c>
      <c r="BJ9" s="13" t="s">
        <v>105</v>
      </c>
      <c r="BK9" s="33" t="s">
        <v>89</v>
      </c>
      <c r="BL9" s="13" t="s">
        <v>106</v>
      </c>
      <c r="BM9" s="34" t="s">
        <v>107</v>
      </c>
      <c r="BN9" s="13" t="s">
        <v>108</v>
      </c>
      <c r="BO9" s="13" t="s">
        <v>73</v>
      </c>
      <c r="BP9" s="13" t="s">
        <v>109</v>
      </c>
      <c r="BQ9" s="13">
        <f t="array" aca="1" ref="BQ9" ca="1">_xlfn.RANDARRAY(2,1,12345,99999,TRUE)</f>
        <v>75108</v>
      </c>
      <c r="BR9" s="17">
        <v>44562</v>
      </c>
      <c r="BS9" s="17">
        <v>47119</v>
      </c>
      <c r="BT9" s="22">
        <v>44562</v>
      </c>
      <c r="BU9" s="22">
        <f t="shared" ca="1" si="4"/>
        <v>46178</v>
      </c>
      <c r="BV9" s="16" t="s">
        <v>110</v>
      </c>
    </row>
    <row r="10" spans="1:74" ht="15.65" customHeight="1" x14ac:dyDescent="0.25">
      <c r="A10" s="1" t="s">
        <v>132</v>
      </c>
      <c r="B10" s="10"/>
      <c r="C10" s="11" t="s">
        <v>71</v>
      </c>
      <c r="D10" s="12" t="s">
        <v>72</v>
      </c>
      <c r="E10" s="13" t="s">
        <v>73</v>
      </c>
      <c r="F10" s="14" t="s">
        <v>74</v>
      </c>
      <c r="G10" s="14" t="s">
        <v>133</v>
      </c>
      <c r="H10" s="15" t="s">
        <v>134</v>
      </c>
      <c r="I10" s="16" t="s">
        <v>77</v>
      </c>
      <c r="J10" s="16" t="s">
        <v>78</v>
      </c>
      <c r="K10" s="17">
        <f t="shared" ca="1" si="0"/>
        <v>45806</v>
      </c>
      <c r="L10" s="13" t="s">
        <v>73</v>
      </c>
      <c r="M10" s="18" t="s">
        <v>79</v>
      </c>
      <c r="N10" s="18" t="s">
        <v>80</v>
      </c>
      <c r="O10" s="19" t="s">
        <v>80</v>
      </c>
      <c r="P10" s="16">
        <v>1542</v>
      </c>
      <c r="Q10" s="16" t="s">
        <v>78</v>
      </c>
      <c r="R10" s="20" t="s">
        <v>81</v>
      </c>
      <c r="S10" s="21" t="s">
        <v>82</v>
      </c>
      <c r="T10" s="16" t="s">
        <v>78</v>
      </c>
      <c r="U10" s="22">
        <f t="shared" ca="1" si="6"/>
        <v>45713</v>
      </c>
      <c r="V10" s="16" t="s">
        <v>83</v>
      </c>
      <c r="W10" s="23" t="s">
        <v>113</v>
      </c>
      <c r="X10" s="24" t="s">
        <v>85</v>
      </c>
      <c r="Y10" s="24" t="s">
        <v>86</v>
      </c>
      <c r="Z10" s="24" t="s">
        <v>87</v>
      </c>
      <c r="AA10" s="25">
        <v>795</v>
      </c>
      <c r="AB10" s="25" t="s">
        <v>88</v>
      </c>
      <c r="AC10" s="35">
        <v>40</v>
      </c>
      <c r="AD10" s="27" t="s">
        <v>89</v>
      </c>
      <c r="AE10" s="28" t="s">
        <v>90</v>
      </c>
      <c r="AF10" s="29" t="s">
        <v>89</v>
      </c>
      <c r="AG10" s="16" t="s">
        <v>91</v>
      </c>
      <c r="AH10" s="16" t="s">
        <v>92</v>
      </c>
      <c r="AI10" s="16" t="s">
        <v>89</v>
      </c>
      <c r="AJ10" s="17">
        <f t="shared" ca="1" si="7"/>
        <v>45713</v>
      </c>
      <c r="AK10" s="17">
        <f t="shared" ca="1" si="7"/>
        <v>45713</v>
      </c>
      <c r="AL10" s="17">
        <f t="shared" ca="1" si="7"/>
        <v>45713</v>
      </c>
      <c r="AM10" s="22" t="str">
        <f t="shared" ref="AM10:AM13" si="10">AF10</f>
        <v>N/A</v>
      </c>
      <c r="AN10" s="16" t="s">
        <v>93</v>
      </c>
      <c r="AO10" s="30" t="s">
        <v>94</v>
      </c>
      <c r="AP10" s="24" t="s">
        <v>95</v>
      </c>
      <c r="AQ10" s="24" t="s">
        <v>96</v>
      </c>
      <c r="AR10" s="19" t="s">
        <v>97</v>
      </c>
      <c r="AS10" s="13" t="s">
        <v>89</v>
      </c>
      <c r="AT10" s="13" t="s">
        <v>89</v>
      </c>
      <c r="AU10" s="17">
        <f t="shared" ca="1" si="3"/>
        <v>45820</v>
      </c>
      <c r="AV10" s="13" t="s">
        <v>73</v>
      </c>
      <c r="AW10" s="31" t="s">
        <v>98</v>
      </c>
      <c r="AX10" s="32">
        <f t="array" aca="1" ref="AX10" ca="1">_xlfn.RANDARRAY(2,1,1023456789000,9999999999999,TRUE)</f>
        <v>5444045739301</v>
      </c>
      <c r="AY10" s="17" t="s">
        <v>99</v>
      </c>
      <c r="AZ10" s="17" t="s">
        <v>100</v>
      </c>
      <c r="BA10" s="13" t="s">
        <v>73</v>
      </c>
      <c r="BB10" s="31" t="s">
        <v>101</v>
      </c>
      <c r="BC10" s="32">
        <f t="array" aca="1" ref="BC10" ca="1">_xlfn.RANDARRAY(2,1,12345678,99999999,TRUE)</f>
        <v>62888000</v>
      </c>
      <c r="BD10" s="17" t="s">
        <v>99</v>
      </c>
      <c r="BE10" s="17" t="s">
        <v>102</v>
      </c>
      <c r="BF10" s="19" t="s">
        <v>103</v>
      </c>
      <c r="BG10" s="17">
        <v>31784</v>
      </c>
      <c r="BH10" s="13" t="s">
        <v>104</v>
      </c>
      <c r="BI10" s="13" t="s">
        <v>73</v>
      </c>
      <c r="BJ10" s="13" t="s">
        <v>105</v>
      </c>
      <c r="BK10" s="33" t="s">
        <v>89</v>
      </c>
      <c r="BL10" s="13" t="s">
        <v>106</v>
      </c>
      <c r="BM10" s="34" t="s">
        <v>107</v>
      </c>
      <c r="BN10" s="13" t="s">
        <v>108</v>
      </c>
      <c r="BO10" s="13" t="s">
        <v>73</v>
      </c>
      <c r="BP10" s="13" t="s">
        <v>109</v>
      </c>
      <c r="BQ10" s="13">
        <f t="array" aca="1" ref="BQ10" ca="1">_xlfn.RANDARRAY(2,1,12345,99999,TRUE)</f>
        <v>48739</v>
      </c>
      <c r="BR10" s="17">
        <v>44562</v>
      </c>
      <c r="BS10" s="17">
        <v>47119</v>
      </c>
      <c r="BT10" s="22">
        <v>44562</v>
      </c>
      <c r="BU10" s="22">
        <f t="shared" ca="1" si="4"/>
        <v>46178</v>
      </c>
      <c r="BV10" s="16" t="s">
        <v>110</v>
      </c>
    </row>
    <row r="11" spans="1:74" ht="15.65" customHeight="1" x14ac:dyDescent="0.25">
      <c r="A11" s="1" t="s">
        <v>135</v>
      </c>
      <c r="B11" s="10"/>
      <c r="C11" s="11" t="s">
        <v>71</v>
      </c>
      <c r="D11" s="12" t="s">
        <v>72</v>
      </c>
      <c r="E11" s="13" t="s">
        <v>73</v>
      </c>
      <c r="F11" s="14" t="s">
        <v>74</v>
      </c>
      <c r="G11" s="14" t="s">
        <v>136</v>
      </c>
      <c r="H11" s="15" t="s">
        <v>137</v>
      </c>
      <c r="I11" s="16" t="s">
        <v>77</v>
      </c>
      <c r="J11" s="16" t="s">
        <v>78</v>
      </c>
      <c r="K11" s="17">
        <f t="shared" ca="1" si="0"/>
        <v>45806</v>
      </c>
      <c r="L11" s="13" t="s">
        <v>73</v>
      </c>
      <c r="M11" s="18" t="s">
        <v>79</v>
      </c>
      <c r="N11" s="18" t="s">
        <v>80</v>
      </c>
      <c r="O11" s="19" t="s">
        <v>80</v>
      </c>
      <c r="P11" s="16">
        <v>1542</v>
      </c>
      <c r="Q11" s="16" t="s">
        <v>78</v>
      </c>
      <c r="R11" s="20" t="s">
        <v>81</v>
      </c>
      <c r="S11" s="21" t="s">
        <v>82</v>
      </c>
      <c r="T11" s="16" t="s">
        <v>78</v>
      </c>
      <c r="U11" s="22">
        <f t="shared" ca="1" si="6"/>
        <v>45713</v>
      </c>
      <c r="V11" s="16" t="s">
        <v>83</v>
      </c>
      <c r="W11" s="23" t="s">
        <v>113</v>
      </c>
      <c r="X11" s="24" t="s">
        <v>85</v>
      </c>
      <c r="Y11" s="24" t="s">
        <v>86</v>
      </c>
      <c r="Z11" s="24" t="s">
        <v>87</v>
      </c>
      <c r="AA11" s="25">
        <v>795</v>
      </c>
      <c r="AB11" s="25" t="s">
        <v>88</v>
      </c>
      <c r="AC11" s="35">
        <v>40</v>
      </c>
      <c r="AD11" s="27" t="s">
        <v>89</v>
      </c>
      <c r="AE11" s="28" t="s">
        <v>90</v>
      </c>
      <c r="AF11" s="29" t="s">
        <v>89</v>
      </c>
      <c r="AG11" s="16" t="s">
        <v>91</v>
      </c>
      <c r="AH11" s="16" t="s">
        <v>92</v>
      </c>
      <c r="AI11" s="16" t="s">
        <v>89</v>
      </c>
      <c r="AJ11" s="17">
        <f t="shared" ca="1" si="7"/>
        <v>45713</v>
      </c>
      <c r="AK11" s="17">
        <f t="shared" ca="1" si="7"/>
        <v>45713</v>
      </c>
      <c r="AL11" s="17">
        <f t="shared" ca="1" si="7"/>
        <v>45713</v>
      </c>
      <c r="AM11" s="22" t="str">
        <f t="shared" si="10"/>
        <v>N/A</v>
      </c>
      <c r="AN11" s="16" t="s">
        <v>93</v>
      </c>
      <c r="AO11" s="30" t="s">
        <v>94</v>
      </c>
      <c r="AP11" s="24" t="s">
        <v>95</v>
      </c>
      <c r="AQ11" s="24" t="s">
        <v>96</v>
      </c>
      <c r="AR11" s="19" t="s">
        <v>97</v>
      </c>
      <c r="AS11" s="13" t="s">
        <v>89</v>
      </c>
      <c r="AT11" s="13" t="s">
        <v>89</v>
      </c>
      <c r="AU11" s="17">
        <f t="shared" ca="1" si="3"/>
        <v>45820</v>
      </c>
      <c r="AV11" s="13" t="s">
        <v>73</v>
      </c>
      <c r="AW11" s="31" t="s">
        <v>98</v>
      </c>
      <c r="AX11" s="32">
        <f t="array" aca="1" ref="AX11" ca="1">_xlfn.RANDARRAY(2,1,1023456789000,9999999999999,TRUE)</f>
        <v>2751052779468</v>
      </c>
      <c r="AY11" s="17" t="s">
        <v>99</v>
      </c>
      <c r="AZ11" s="17" t="s">
        <v>100</v>
      </c>
      <c r="BA11" s="13" t="s">
        <v>73</v>
      </c>
      <c r="BB11" s="31" t="s">
        <v>101</v>
      </c>
      <c r="BC11" s="32">
        <f t="array" aca="1" ref="BC11" ca="1">_xlfn.RANDARRAY(2,1,12345678,99999999,TRUE)</f>
        <v>68235213</v>
      </c>
      <c r="BD11" s="17" t="s">
        <v>99</v>
      </c>
      <c r="BE11" s="17" t="s">
        <v>102</v>
      </c>
      <c r="BF11" s="19" t="s">
        <v>103</v>
      </c>
      <c r="BG11" s="17">
        <v>31785</v>
      </c>
      <c r="BH11" s="13" t="s">
        <v>104</v>
      </c>
      <c r="BI11" s="13" t="s">
        <v>73</v>
      </c>
      <c r="BJ11" s="13" t="s">
        <v>105</v>
      </c>
      <c r="BK11" s="33" t="s">
        <v>89</v>
      </c>
      <c r="BL11" s="13" t="s">
        <v>106</v>
      </c>
      <c r="BM11" s="34" t="s">
        <v>107</v>
      </c>
      <c r="BN11" s="13" t="s">
        <v>108</v>
      </c>
      <c r="BO11" s="13" t="s">
        <v>73</v>
      </c>
      <c r="BP11" s="13" t="s">
        <v>109</v>
      </c>
      <c r="BQ11" s="13">
        <f t="array" aca="1" ref="BQ11" ca="1">_xlfn.RANDARRAY(2,1,12345,99999,TRUE)</f>
        <v>37541</v>
      </c>
      <c r="BR11" s="17">
        <v>44562</v>
      </c>
      <c r="BS11" s="17">
        <v>47119</v>
      </c>
      <c r="BT11" s="22">
        <v>44562</v>
      </c>
      <c r="BU11" s="22">
        <f t="shared" ca="1" si="4"/>
        <v>46178</v>
      </c>
      <c r="BV11" s="16" t="s">
        <v>110</v>
      </c>
    </row>
    <row r="12" spans="1:74" ht="15.65" customHeight="1" x14ac:dyDescent="0.25">
      <c r="A12" s="1" t="s">
        <v>138</v>
      </c>
      <c r="B12" s="10"/>
      <c r="C12" s="11" t="s">
        <v>71</v>
      </c>
      <c r="D12" s="12" t="s">
        <v>72</v>
      </c>
      <c r="E12" s="13" t="s">
        <v>73</v>
      </c>
      <c r="F12" s="14" t="s">
        <v>74</v>
      </c>
      <c r="G12" s="14" t="s">
        <v>139</v>
      </c>
      <c r="H12" s="15" t="s">
        <v>140</v>
      </c>
      <c r="I12" s="16" t="s">
        <v>77</v>
      </c>
      <c r="J12" s="16" t="s">
        <v>78</v>
      </c>
      <c r="K12" s="17">
        <f t="shared" ca="1" si="0"/>
        <v>45806</v>
      </c>
      <c r="L12" s="13" t="s">
        <v>73</v>
      </c>
      <c r="M12" s="18" t="s">
        <v>79</v>
      </c>
      <c r="N12" s="18" t="s">
        <v>80</v>
      </c>
      <c r="O12" s="19" t="s">
        <v>80</v>
      </c>
      <c r="P12" s="16">
        <v>1542</v>
      </c>
      <c r="Q12" s="16" t="s">
        <v>78</v>
      </c>
      <c r="R12" s="20" t="s">
        <v>81</v>
      </c>
      <c r="S12" s="21" t="s">
        <v>82</v>
      </c>
      <c r="T12" s="16" t="s">
        <v>78</v>
      </c>
      <c r="U12" s="22">
        <f t="shared" ca="1" si="6"/>
        <v>45713</v>
      </c>
      <c r="V12" s="16" t="s">
        <v>83</v>
      </c>
      <c r="W12" s="23" t="s">
        <v>113</v>
      </c>
      <c r="X12" s="24" t="s">
        <v>85</v>
      </c>
      <c r="Y12" s="24" t="s">
        <v>86</v>
      </c>
      <c r="Z12" s="24" t="s">
        <v>87</v>
      </c>
      <c r="AA12" s="25">
        <v>795</v>
      </c>
      <c r="AB12" s="25" t="s">
        <v>88</v>
      </c>
      <c r="AC12" s="35">
        <v>40</v>
      </c>
      <c r="AD12" s="27" t="s">
        <v>89</v>
      </c>
      <c r="AE12" s="28" t="s">
        <v>90</v>
      </c>
      <c r="AF12" s="29" t="s">
        <v>89</v>
      </c>
      <c r="AG12" s="16" t="s">
        <v>91</v>
      </c>
      <c r="AH12" s="16" t="s">
        <v>92</v>
      </c>
      <c r="AI12" s="16" t="s">
        <v>89</v>
      </c>
      <c r="AJ12" s="17">
        <f t="shared" ca="1" si="7"/>
        <v>45713</v>
      </c>
      <c r="AK12" s="17">
        <f t="shared" ca="1" si="7"/>
        <v>45713</v>
      </c>
      <c r="AL12" s="17">
        <f t="shared" ca="1" si="7"/>
        <v>45713</v>
      </c>
      <c r="AM12" s="22" t="str">
        <f t="shared" si="10"/>
        <v>N/A</v>
      </c>
      <c r="AN12" s="16" t="s">
        <v>93</v>
      </c>
      <c r="AO12" s="30" t="s">
        <v>94</v>
      </c>
      <c r="AP12" s="24" t="s">
        <v>95</v>
      </c>
      <c r="AQ12" s="24" t="s">
        <v>96</v>
      </c>
      <c r="AR12" s="19" t="s">
        <v>97</v>
      </c>
      <c r="AS12" s="13" t="s">
        <v>89</v>
      </c>
      <c r="AT12" s="13" t="s">
        <v>89</v>
      </c>
      <c r="AU12" s="17">
        <f t="shared" ca="1" si="3"/>
        <v>45820</v>
      </c>
      <c r="AV12" s="13" t="s">
        <v>73</v>
      </c>
      <c r="AW12" s="31" t="s">
        <v>98</v>
      </c>
      <c r="AX12" s="32">
        <f t="array" aca="1" ref="AX12" ca="1">_xlfn.RANDARRAY(2,1,1023456789000,9999999999999,TRUE)</f>
        <v>3346814236120</v>
      </c>
      <c r="AY12" s="17" t="s">
        <v>99</v>
      </c>
      <c r="AZ12" s="17" t="s">
        <v>100</v>
      </c>
      <c r="BA12" s="13" t="s">
        <v>73</v>
      </c>
      <c r="BB12" s="31" t="s">
        <v>101</v>
      </c>
      <c r="BC12" s="32">
        <f t="array" aca="1" ref="BC12" ca="1">_xlfn.RANDARRAY(2,1,12345678,99999999,TRUE)</f>
        <v>19064386</v>
      </c>
      <c r="BD12" s="17" t="s">
        <v>99</v>
      </c>
      <c r="BE12" s="17" t="s">
        <v>102</v>
      </c>
      <c r="BF12" s="19" t="s">
        <v>103</v>
      </c>
      <c r="BG12" s="17">
        <v>31786</v>
      </c>
      <c r="BH12" s="13" t="s">
        <v>104</v>
      </c>
      <c r="BI12" s="13" t="s">
        <v>73</v>
      </c>
      <c r="BJ12" s="13" t="s">
        <v>105</v>
      </c>
      <c r="BK12" s="33" t="s">
        <v>89</v>
      </c>
      <c r="BL12" s="13" t="s">
        <v>106</v>
      </c>
      <c r="BM12" s="34" t="s">
        <v>107</v>
      </c>
      <c r="BN12" s="13" t="s">
        <v>108</v>
      </c>
      <c r="BO12" s="13" t="s">
        <v>73</v>
      </c>
      <c r="BP12" s="13" t="s">
        <v>109</v>
      </c>
      <c r="BQ12" s="13">
        <f t="array" aca="1" ref="BQ12" ca="1">_xlfn.RANDARRAY(2,1,12345,99999,TRUE)</f>
        <v>72466</v>
      </c>
      <c r="BR12" s="17">
        <v>44562</v>
      </c>
      <c r="BS12" s="17">
        <v>47119</v>
      </c>
      <c r="BT12" s="22">
        <v>44562</v>
      </c>
      <c r="BU12" s="22">
        <f t="shared" ca="1" si="4"/>
        <v>46178</v>
      </c>
      <c r="BV12" s="16" t="s">
        <v>110</v>
      </c>
    </row>
    <row r="13" spans="1:74" ht="15.65" customHeight="1" x14ac:dyDescent="0.25">
      <c r="A13" s="1" t="s">
        <v>141</v>
      </c>
      <c r="B13" s="10"/>
      <c r="C13" s="11" t="s">
        <v>71</v>
      </c>
      <c r="D13" s="12" t="s">
        <v>72</v>
      </c>
      <c r="E13" s="13" t="s">
        <v>73</v>
      </c>
      <c r="F13" s="14" t="s">
        <v>74</v>
      </c>
      <c r="G13" s="14" t="s">
        <v>142</v>
      </c>
      <c r="H13" s="15" t="s">
        <v>143</v>
      </c>
      <c r="I13" s="16" t="s">
        <v>77</v>
      </c>
      <c r="J13" s="16" t="s">
        <v>78</v>
      </c>
      <c r="K13" s="17">
        <f t="shared" ca="1" si="0"/>
        <v>45806</v>
      </c>
      <c r="L13" s="13" t="s">
        <v>73</v>
      </c>
      <c r="M13" s="18" t="s">
        <v>79</v>
      </c>
      <c r="N13" s="18" t="s">
        <v>80</v>
      </c>
      <c r="O13" s="19" t="s">
        <v>80</v>
      </c>
      <c r="P13" s="16">
        <v>1542</v>
      </c>
      <c r="Q13" s="16" t="s">
        <v>78</v>
      </c>
      <c r="R13" s="20" t="s">
        <v>81</v>
      </c>
      <c r="S13" s="21" t="s">
        <v>82</v>
      </c>
      <c r="T13" s="16" t="s">
        <v>78</v>
      </c>
      <c r="U13" s="22">
        <f t="shared" ca="1" si="6"/>
        <v>45713</v>
      </c>
      <c r="V13" s="16" t="s">
        <v>83</v>
      </c>
      <c r="W13" s="23" t="s">
        <v>113</v>
      </c>
      <c r="X13" s="24" t="s">
        <v>85</v>
      </c>
      <c r="Y13" s="24" t="s">
        <v>86</v>
      </c>
      <c r="Z13" s="24" t="s">
        <v>87</v>
      </c>
      <c r="AA13" s="25">
        <v>795</v>
      </c>
      <c r="AB13" s="25" t="s">
        <v>88</v>
      </c>
      <c r="AC13" s="35">
        <v>40</v>
      </c>
      <c r="AD13" s="27" t="s">
        <v>89</v>
      </c>
      <c r="AE13" s="28" t="s">
        <v>90</v>
      </c>
      <c r="AF13" s="29" t="s">
        <v>89</v>
      </c>
      <c r="AG13" s="16" t="s">
        <v>91</v>
      </c>
      <c r="AH13" s="16" t="s">
        <v>92</v>
      </c>
      <c r="AI13" s="16" t="s">
        <v>89</v>
      </c>
      <c r="AJ13" s="17">
        <f t="shared" ca="1" si="7"/>
        <v>45713</v>
      </c>
      <c r="AK13" s="17">
        <f t="shared" ca="1" si="7"/>
        <v>45713</v>
      </c>
      <c r="AL13" s="17">
        <f t="shared" ca="1" si="7"/>
        <v>45713</v>
      </c>
      <c r="AM13" s="22" t="str">
        <f t="shared" si="10"/>
        <v>N/A</v>
      </c>
      <c r="AN13" s="16" t="s">
        <v>93</v>
      </c>
      <c r="AO13" s="30" t="s">
        <v>94</v>
      </c>
      <c r="AP13" s="24" t="s">
        <v>95</v>
      </c>
      <c r="AQ13" s="24" t="s">
        <v>96</v>
      </c>
      <c r="AR13" s="19" t="s">
        <v>97</v>
      </c>
      <c r="AS13" s="13" t="s">
        <v>89</v>
      </c>
      <c r="AT13" s="13" t="s">
        <v>89</v>
      </c>
      <c r="AU13" s="17">
        <f t="shared" ca="1" si="3"/>
        <v>45820</v>
      </c>
      <c r="AV13" s="13" t="s">
        <v>73</v>
      </c>
      <c r="AW13" s="31" t="s">
        <v>98</v>
      </c>
      <c r="AX13" s="32">
        <f t="array" aca="1" ref="AX13" ca="1">_xlfn.RANDARRAY(2,1,1023456789000,9999999999999,TRUE)</f>
        <v>1134560837667</v>
      </c>
      <c r="AY13" s="17" t="s">
        <v>99</v>
      </c>
      <c r="AZ13" s="17" t="s">
        <v>100</v>
      </c>
      <c r="BA13" s="13" t="s">
        <v>73</v>
      </c>
      <c r="BB13" s="31" t="s">
        <v>101</v>
      </c>
      <c r="BC13" s="32">
        <f t="array" aca="1" ref="BC13" ca="1">_xlfn.RANDARRAY(2,1,12345678,99999999,TRUE)</f>
        <v>56049230</v>
      </c>
      <c r="BD13" s="17" t="s">
        <v>99</v>
      </c>
      <c r="BE13" s="17" t="s">
        <v>102</v>
      </c>
      <c r="BF13" s="19" t="s">
        <v>103</v>
      </c>
      <c r="BG13" s="17">
        <v>31787</v>
      </c>
      <c r="BH13" s="13" t="s">
        <v>104</v>
      </c>
      <c r="BI13" s="13" t="s">
        <v>73</v>
      </c>
      <c r="BJ13" s="13" t="s">
        <v>105</v>
      </c>
      <c r="BK13" s="33" t="s">
        <v>89</v>
      </c>
      <c r="BL13" s="13" t="s">
        <v>106</v>
      </c>
      <c r="BM13" s="34" t="s">
        <v>107</v>
      </c>
      <c r="BN13" s="13" t="s">
        <v>108</v>
      </c>
      <c r="BO13" s="13" t="s">
        <v>73</v>
      </c>
      <c r="BP13" s="13" t="s">
        <v>109</v>
      </c>
      <c r="BQ13" s="13">
        <f t="array" aca="1" ref="BQ13" ca="1">_xlfn.RANDARRAY(2,1,12345,99999,TRUE)</f>
        <v>69786</v>
      </c>
      <c r="BR13" s="17">
        <v>44562</v>
      </c>
      <c r="BS13" s="17">
        <v>47119</v>
      </c>
      <c r="BT13" s="22">
        <v>44562</v>
      </c>
      <c r="BU13" s="22">
        <f t="shared" ca="1" si="4"/>
        <v>46178</v>
      </c>
      <c r="BV13" s="16" t="s">
        <v>110</v>
      </c>
    </row>
    <row r="14" spans="1:74" ht="15.65" customHeight="1" x14ac:dyDescent="0.25">
      <c r="A14" s="1" t="s">
        <v>144</v>
      </c>
      <c r="B14" s="10"/>
      <c r="C14" s="11" t="s">
        <v>71</v>
      </c>
      <c r="D14" s="12" t="s">
        <v>72</v>
      </c>
      <c r="E14" s="13" t="s">
        <v>73</v>
      </c>
      <c r="F14" s="14" t="s">
        <v>74</v>
      </c>
      <c r="G14" s="14" t="s">
        <v>145</v>
      </c>
      <c r="H14" s="15" t="s">
        <v>146</v>
      </c>
      <c r="I14" s="16" t="s">
        <v>77</v>
      </c>
      <c r="J14" s="16" t="s">
        <v>78</v>
      </c>
      <c r="K14" s="17">
        <f t="shared" ca="1" si="0"/>
        <v>45806</v>
      </c>
      <c r="L14" s="13" t="s">
        <v>73</v>
      </c>
      <c r="M14" s="18" t="s">
        <v>79</v>
      </c>
      <c r="N14" s="18" t="s">
        <v>80</v>
      </c>
      <c r="O14" s="19" t="s">
        <v>80</v>
      </c>
      <c r="P14" s="16">
        <v>1542</v>
      </c>
      <c r="Q14" s="16" t="s">
        <v>78</v>
      </c>
      <c r="R14" s="20" t="s">
        <v>81</v>
      </c>
      <c r="S14" s="21" t="s">
        <v>82</v>
      </c>
      <c r="T14" s="16" t="s">
        <v>78</v>
      </c>
      <c r="U14" s="22">
        <f t="shared" ca="1" si="6"/>
        <v>45713</v>
      </c>
      <c r="V14" s="16" t="s">
        <v>83</v>
      </c>
      <c r="W14" s="23" t="s">
        <v>113</v>
      </c>
      <c r="X14" s="24" t="s">
        <v>85</v>
      </c>
      <c r="Y14" s="24" t="s">
        <v>86</v>
      </c>
      <c r="Z14" s="24" t="s">
        <v>87</v>
      </c>
      <c r="AA14" s="25">
        <v>795</v>
      </c>
      <c r="AB14" s="25" t="s">
        <v>88</v>
      </c>
      <c r="AC14" s="35">
        <v>40</v>
      </c>
      <c r="AD14" s="27" t="s">
        <v>89</v>
      </c>
      <c r="AE14" s="28" t="s">
        <v>90</v>
      </c>
      <c r="AF14" s="29" t="s">
        <v>89</v>
      </c>
      <c r="AG14" s="16" t="s">
        <v>91</v>
      </c>
      <c r="AH14" s="16" t="s">
        <v>92</v>
      </c>
      <c r="AI14" s="16" t="s">
        <v>89</v>
      </c>
      <c r="AJ14" s="17">
        <f t="shared" ca="1" si="7"/>
        <v>45713</v>
      </c>
      <c r="AK14" s="17">
        <f t="shared" ca="1" si="7"/>
        <v>45713</v>
      </c>
      <c r="AL14" s="17">
        <f t="shared" ca="1" si="7"/>
        <v>45713</v>
      </c>
      <c r="AM14" s="22" t="str">
        <f t="shared" ref="AM14:AM17" si="11">AF14</f>
        <v>N/A</v>
      </c>
      <c r="AN14" s="16" t="s">
        <v>93</v>
      </c>
      <c r="AO14" s="30" t="s">
        <v>94</v>
      </c>
      <c r="AP14" s="24" t="s">
        <v>95</v>
      </c>
      <c r="AQ14" s="24" t="s">
        <v>96</v>
      </c>
      <c r="AR14" s="19" t="s">
        <v>97</v>
      </c>
      <c r="AS14" s="13" t="s">
        <v>89</v>
      </c>
      <c r="AT14" s="13" t="s">
        <v>89</v>
      </c>
      <c r="AU14" s="17">
        <f t="shared" ca="1" si="3"/>
        <v>45820</v>
      </c>
      <c r="AV14" s="13" t="s">
        <v>73</v>
      </c>
      <c r="AW14" s="31" t="s">
        <v>98</v>
      </c>
      <c r="AX14" s="32">
        <f t="array" aca="1" ref="AX14" ca="1">_xlfn.RANDARRAY(2,1,1023456789000,9999999999999,TRUE)</f>
        <v>8575240173070</v>
      </c>
      <c r="AY14" s="17" t="s">
        <v>99</v>
      </c>
      <c r="AZ14" s="17" t="s">
        <v>100</v>
      </c>
      <c r="BA14" s="13" t="s">
        <v>73</v>
      </c>
      <c r="BB14" s="31" t="s">
        <v>101</v>
      </c>
      <c r="BC14" s="32">
        <f t="array" aca="1" ref="BC14" ca="1">_xlfn.RANDARRAY(2,1,12345678,99999999,TRUE)</f>
        <v>17669061</v>
      </c>
      <c r="BD14" s="17" t="s">
        <v>99</v>
      </c>
      <c r="BE14" s="17" t="s">
        <v>102</v>
      </c>
      <c r="BF14" s="19" t="s">
        <v>103</v>
      </c>
      <c r="BG14" s="17">
        <v>31788</v>
      </c>
      <c r="BH14" s="13" t="s">
        <v>104</v>
      </c>
      <c r="BI14" s="13" t="s">
        <v>73</v>
      </c>
      <c r="BJ14" s="13" t="s">
        <v>105</v>
      </c>
      <c r="BK14" s="33" t="s">
        <v>89</v>
      </c>
      <c r="BL14" s="13" t="s">
        <v>106</v>
      </c>
      <c r="BM14" s="34" t="s">
        <v>107</v>
      </c>
      <c r="BN14" s="13" t="s">
        <v>108</v>
      </c>
      <c r="BO14" s="13" t="s">
        <v>73</v>
      </c>
      <c r="BP14" s="13" t="s">
        <v>109</v>
      </c>
      <c r="BQ14" s="13">
        <f t="array" aca="1" ref="BQ14" ca="1">_xlfn.RANDARRAY(2,1,12345,99999,TRUE)</f>
        <v>21357</v>
      </c>
      <c r="BR14" s="17">
        <v>44562</v>
      </c>
      <c r="BS14" s="17">
        <v>47119</v>
      </c>
      <c r="BT14" s="22">
        <v>44562</v>
      </c>
      <c r="BU14" s="22">
        <f t="shared" ca="1" si="4"/>
        <v>46178</v>
      </c>
      <c r="BV14" s="16" t="s">
        <v>110</v>
      </c>
    </row>
    <row r="15" spans="1:74" ht="15.65" customHeight="1" x14ac:dyDescent="0.25">
      <c r="A15" s="1" t="s">
        <v>147</v>
      </c>
      <c r="B15" s="10"/>
      <c r="C15" s="11" t="s">
        <v>71</v>
      </c>
      <c r="D15" s="12" t="s">
        <v>72</v>
      </c>
      <c r="E15" s="13" t="s">
        <v>73</v>
      </c>
      <c r="F15" s="14" t="s">
        <v>74</v>
      </c>
      <c r="G15" s="14" t="s">
        <v>148</v>
      </c>
      <c r="H15" s="15" t="s">
        <v>149</v>
      </c>
      <c r="I15" s="16" t="s">
        <v>77</v>
      </c>
      <c r="J15" s="16" t="s">
        <v>78</v>
      </c>
      <c r="K15" s="17">
        <f t="shared" ca="1" si="0"/>
        <v>45806</v>
      </c>
      <c r="L15" s="13" t="s">
        <v>73</v>
      </c>
      <c r="M15" s="18" t="s">
        <v>79</v>
      </c>
      <c r="N15" s="18" t="s">
        <v>80</v>
      </c>
      <c r="O15" s="19" t="s">
        <v>80</v>
      </c>
      <c r="P15" s="16">
        <v>1542</v>
      </c>
      <c r="Q15" s="16" t="s">
        <v>78</v>
      </c>
      <c r="R15" s="20" t="s">
        <v>81</v>
      </c>
      <c r="S15" s="21" t="s">
        <v>82</v>
      </c>
      <c r="T15" s="16" t="s">
        <v>78</v>
      </c>
      <c r="U15" s="22">
        <f t="shared" ca="1" si="6"/>
        <v>45713</v>
      </c>
      <c r="V15" s="16" t="s">
        <v>83</v>
      </c>
      <c r="W15" s="23" t="s">
        <v>113</v>
      </c>
      <c r="X15" s="24" t="s">
        <v>85</v>
      </c>
      <c r="Y15" s="24" t="s">
        <v>86</v>
      </c>
      <c r="Z15" s="24" t="s">
        <v>87</v>
      </c>
      <c r="AA15" s="25">
        <v>795</v>
      </c>
      <c r="AB15" s="25" t="s">
        <v>88</v>
      </c>
      <c r="AC15" s="35">
        <v>40</v>
      </c>
      <c r="AD15" s="27" t="s">
        <v>89</v>
      </c>
      <c r="AE15" s="28" t="s">
        <v>90</v>
      </c>
      <c r="AF15" s="29" t="s">
        <v>89</v>
      </c>
      <c r="AG15" s="16" t="s">
        <v>91</v>
      </c>
      <c r="AH15" s="16" t="s">
        <v>92</v>
      </c>
      <c r="AI15" s="16" t="s">
        <v>89</v>
      </c>
      <c r="AJ15" s="17">
        <f t="shared" ca="1" si="7"/>
        <v>45713</v>
      </c>
      <c r="AK15" s="17">
        <f t="shared" ca="1" si="7"/>
        <v>45713</v>
      </c>
      <c r="AL15" s="17">
        <f t="shared" ca="1" si="7"/>
        <v>45713</v>
      </c>
      <c r="AM15" s="22" t="str">
        <f t="shared" si="11"/>
        <v>N/A</v>
      </c>
      <c r="AN15" s="16" t="s">
        <v>93</v>
      </c>
      <c r="AO15" s="30" t="s">
        <v>94</v>
      </c>
      <c r="AP15" s="24" t="s">
        <v>95</v>
      </c>
      <c r="AQ15" s="24" t="s">
        <v>96</v>
      </c>
      <c r="AR15" s="19" t="s">
        <v>97</v>
      </c>
      <c r="AS15" s="13" t="s">
        <v>89</v>
      </c>
      <c r="AT15" s="13" t="s">
        <v>89</v>
      </c>
      <c r="AU15" s="17">
        <f t="shared" ca="1" si="3"/>
        <v>45820</v>
      </c>
      <c r="AV15" s="13" t="s">
        <v>73</v>
      </c>
      <c r="AW15" s="31" t="s">
        <v>98</v>
      </c>
      <c r="AX15" s="32">
        <f t="array" aca="1" ref="AX15" ca="1">_xlfn.RANDARRAY(2,1,1023456789000,9999999999999,TRUE)</f>
        <v>4464933482725</v>
      </c>
      <c r="AY15" s="17" t="s">
        <v>99</v>
      </c>
      <c r="AZ15" s="17" t="s">
        <v>100</v>
      </c>
      <c r="BA15" s="13" t="s">
        <v>73</v>
      </c>
      <c r="BB15" s="31" t="s">
        <v>101</v>
      </c>
      <c r="BC15" s="32">
        <f t="array" aca="1" ref="BC15" ca="1">_xlfn.RANDARRAY(2,1,12345678,99999999,TRUE)</f>
        <v>23844958</v>
      </c>
      <c r="BD15" s="17" t="s">
        <v>99</v>
      </c>
      <c r="BE15" s="17" t="s">
        <v>102</v>
      </c>
      <c r="BF15" s="19" t="s">
        <v>103</v>
      </c>
      <c r="BG15" s="17">
        <v>31789</v>
      </c>
      <c r="BH15" s="13" t="s">
        <v>104</v>
      </c>
      <c r="BI15" s="13" t="s">
        <v>73</v>
      </c>
      <c r="BJ15" s="13" t="s">
        <v>105</v>
      </c>
      <c r="BK15" s="33" t="s">
        <v>89</v>
      </c>
      <c r="BL15" s="13" t="s">
        <v>106</v>
      </c>
      <c r="BM15" s="34" t="s">
        <v>107</v>
      </c>
      <c r="BN15" s="13" t="s">
        <v>108</v>
      </c>
      <c r="BO15" s="13" t="s">
        <v>73</v>
      </c>
      <c r="BP15" s="13" t="s">
        <v>109</v>
      </c>
      <c r="BQ15" s="13">
        <f t="array" aca="1" ref="BQ15" ca="1">_xlfn.RANDARRAY(2,1,12345,99999,TRUE)</f>
        <v>60859</v>
      </c>
      <c r="BR15" s="17">
        <v>44562</v>
      </c>
      <c r="BS15" s="17">
        <v>47119</v>
      </c>
      <c r="BT15" s="22">
        <v>44562</v>
      </c>
      <c r="BU15" s="22">
        <f t="shared" ca="1" si="4"/>
        <v>46178</v>
      </c>
      <c r="BV15" s="16" t="s">
        <v>110</v>
      </c>
    </row>
    <row r="16" spans="1:74" ht="15.65" customHeight="1" x14ac:dyDescent="0.25">
      <c r="A16" s="1" t="s">
        <v>150</v>
      </c>
      <c r="B16" s="10" t="s">
        <v>151</v>
      </c>
      <c r="C16" s="11" t="s">
        <v>71</v>
      </c>
      <c r="D16" s="12" t="s">
        <v>152</v>
      </c>
      <c r="E16" s="13" t="s">
        <v>73</v>
      </c>
      <c r="F16" s="14" t="s">
        <v>153</v>
      </c>
      <c r="G16" s="14" t="s">
        <v>154</v>
      </c>
      <c r="H16" s="15" t="s">
        <v>155</v>
      </c>
      <c r="I16" s="16" t="s">
        <v>77</v>
      </c>
      <c r="J16" s="16" t="s">
        <v>78</v>
      </c>
      <c r="K16" s="17">
        <f t="shared" ca="1" si="0"/>
        <v>45806</v>
      </c>
      <c r="L16" s="13" t="s">
        <v>73</v>
      </c>
      <c r="M16" s="18" t="s">
        <v>79</v>
      </c>
      <c r="N16" s="18" t="s">
        <v>80</v>
      </c>
      <c r="O16" s="19" t="s">
        <v>80</v>
      </c>
      <c r="P16" s="16">
        <v>1542</v>
      </c>
      <c r="Q16" s="16" t="s">
        <v>78</v>
      </c>
      <c r="R16" s="20" t="s">
        <v>81</v>
      </c>
      <c r="S16" s="21" t="s">
        <v>82</v>
      </c>
      <c r="T16" s="16" t="s">
        <v>78</v>
      </c>
      <c r="U16" s="22">
        <f t="shared" ca="1" si="6"/>
        <v>45713</v>
      </c>
      <c r="V16" s="16" t="s">
        <v>83</v>
      </c>
      <c r="W16" s="23" t="s">
        <v>113</v>
      </c>
      <c r="X16" s="24" t="s">
        <v>85</v>
      </c>
      <c r="Y16" s="24" t="s">
        <v>86</v>
      </c>
      <c r="Z16" s="24" t="s">
        <v>87</v>
      </c>
      <c r="AA16" s="25">
        <v>795</v>
      </c>
      <c r="AB16" s="25" t="s">
        <v>88</v>
      </c>
      <c r="AC16" s="35">
        <v>40</v>
      </c>
      <c r="AD16" s="27" t="s">
        <v>89</v>
      </c>
      <c r="AE16" s="28" t="s">
        <v>90</v>
      </c>
      <c r="AF16" s="29" t="s">
        <v>89</v>
      </c>
      <c r="AG16" s="16" t="s">
        <v>91</v>
      </c>
      <c r="AH16" s="16" t="s">
        <v>92</v>
      </c>
      <c r="AI16" s="16" t="s">
        <v>89</v>
      </c>
      <c r="AJ16" s="17">
        <f t="shared" ca="1" si="7"/>
        <v>45713</v>
      </c>
      <c r="AK16" s="17">
        <f t="shared" ca="1" si="7"/>
        <v>45713</v>
      </c>
      <c r="AL16" s="17">
        <f t="shared" ca="1" si="7"/>
        <v>45713</v>
      </c>
      <c r="AM16" s="22" t="str">
        <f t="shared" si="11"/>
        <v>N/A</v>
      </c>
      <c r="AN16" s="16" t="s">
        <v>93</v>
      </c>
      <c r="AO16" s="30" t="s">
        <v>94</v>
      </c>
      <c r="AP16" s="24" t="s">
        <v>95</v>
      </c>
      <c r="AQ16" s="24" t="s">
        <v>96</v>
      </c>
      <c r="AR16" s="19" t="s">
        <v>97</v>
      </c>
      <c r="AS16" s="13" t="s">
        <v>89</v>
      </c>
      <c r="AT16" s="13" t="s">
        <v>89</v>
      </c>
      <c r="AU16" s="17">
        <f t="shared" ca="1" si="3"/>
        <v>45820</v>
      </c>
      <c r="AV16" s="13" t="s">
        <v>73</v>
      </c>
      <c r="AW16" s="31" t="s">
        <v>98</v>
      </c>
      <c r="AX16" s="32">
        <f t="array" aca="1" ref="AX16" ca="1">_xlfn.RANDARRAY(2,1,1023456789000,9999999999999,TRUE)</f>
        <v>7713517912435</v>
      </c>
      <c r="AY16" s="17" t="s">
        <v>99</v>
      </c>
      <c r="AZ16" s="17" t="s">
        <v>100</v>
      </c>
      <c r="BA16" s="13" t="s">
        <v>73</v>
      </c>
      <c r="BB16" s="31" t="s">
        <v>101</v>
      </c>
      <c r="BC16" s="32">
        <f t="array" aca="1" ref="BC16" ca="1">_xlfn.RANDARRAY(2,1,12345678,99999999,TRUE)</f>
        <v>99825468</v>
      </c>
      <c r="BD16" s="17" t="s">
        <v>99</v>
      </c>
      <c r="BE16" s="17" t="s">
        <v>102</v>
      </c>
      <c r="BF16" s="19" t="s">
        <v>103</v>
      </c>
      <c r="BG16" s="17">
        <v>31790</v>
      </c>
      <c r="BH16" s="13" t="s">
        <v>104</v>
      </c>
      <c r="BI16" s="13" t="s">
        <v>73</v>
      </c>
      <c r="BJ16" s="13" t="s">
        <v>105</v>
      </c>
      <c r="BK16" s="33" t="s">
        <v>89</v>
      </c>
      <c r="BL16" s="13" t="s">
        <v>106</v>
      </c>
      <c r="BM16" s="34" t="s">
        <v>107</v>
      </c>
      <c r="BN16" s="13" t="s">
        <v>108</v>
      </c>
      <c r="BO16" s="13" t="s">
        <v>73</v>
      </c>
      <c r="BP16" s="13" t="s">
        <v>109</v>
      </c>
      <c r="BQ16" s="13">
        <f t="array" aca="1" ref="BQ16" ca="1">_xlfn.RANDARRAY(2,1,12345,99999,TRUE)</f>
        <v>49148</v>
      </c>
      <c r="BR16" s="17">
        <v>44562</v>
      </c>
      <c r="BS16" s="17">
        <v>47119</v>
      </c>
      <c r="BT16" s="22">
        <v>44562</v>
      </c>
      <c r="BU16" s="22">
        <f t="shared" ca="1" si="4"/>
        <v>46178</v>
      </c>
      <c r="BV16" s="16" t="s">
        <v>110</v>
      </c>
    </row>
    <row r="17" spans="1:74" ht="15.65" customHeight="1" x14ac:dyDescent="0.25">
      <c r="A17" s="1" t="s">
        <v>156</v>
      </c>
      <c r="B17" s="10" t="s">
        <v>157</v>
      </c>
      <c r="C17" s="11" t="s">
        <v>71</v>
      </c>
      <c r="D17" s="12" t="s">
        <v>152</v>
      </c>
      <c r="E17" s="13" t="s">
        <v>73</v>
      </c>
      <c r="F17" s="14" t="s">
        <v>158</v>
      </c>
      <c r="G17" s="14" t="s">
        <v>159</v>
      </c>
      <c r="H17" s="15" t="s">
        <v>160</v>
      </c>
      <c r="I17" s="16" t="s">
        <v>77</v>
      </c>
      <c r="J17" s="16" t="s">
        <v>78</v>
      </c>
      <c r="K17" s="17">
        <f t="shared" ca="1" si="0"/>
        <v>45806</v>
      </c>
      <c r="L17" s="13" t="s">
        <v>73</v>
      </c>
      <c r="M17" s="18" t="s">
        <v>79</v>
      </c>
      <c r="N17" s="18" t="s">
        <v>80</v>
      </c>
      <c r="O17" s="19" t="s">
        <v>80</v>
      </c>
      <c r="P17" s="16">
        <v>1542</v>
      </c>
      <c r="Q17" s="16" t="s">
        <v>78</v>
      </c>
      <c r="R17" s="20" t="s">
        <v>81</v>
      </c>
      <c r="S17" s="21" t="s">
        <v>82</v>
      </c>
      <c r="T17" s="16" t="s">
        <v>78</v>
      </c>
      <c r="U17" s="22">
        <f t="shared" ca="1" si="6"/>
        <v>45713</v>
      </c>
      <c r="V17" s="16" t="s">
        <v>83</v>
      </c>
      <c r="W17" s="23" t="s">
        <v>113</v>
      </c>
      <c r="X17" s="24" t="s">
        <v>85</v>
      </c>
      <c r="Y17" s="24" t="s">
        <v>86</v>
      </c>
      <c r="Z17" s="24" t="s">
        <v>87</v>
      </c>
      <c r="AA17" s="25">
        <v>795</v>
      </c>
      <c r="AB17" s="25" t="s">
        <v>88</v>
      </c>
      <c r="AC17" s="35">
        <v>40</v>
      </c>
      <c r="AD17" s="27" t="s">
        <v>89</v>
      </c>
      <c r="AE17" s="28" t="s">
        <v>90</v>
      </c>
      <c r="AF17" s="29" t="s">
        <v>89</v>
      </c>
      <c r="AG17" s="16" t="s">
        <v>91</v>
      </c>
      <c r="AH17" s="16" t="s">
        <v>92</v>
      </c>
      <c r="AI17" s="16" t="s">
        <v>89</v>
      </c>
      <c r="AJ17" s="17">
        <f t="shared" ca="1" si="7"/>
        <v>45713</v>
      </c>
      <c r="AK17" s="17">
        <f t="shared" ca="1" si="7"/>
        <v>45713</v>
      </c>
      <c r="AL17" s="17">
        <f t="shared" ca="1" si="7"/>
        <v>45713</v>
      </c>
      <c r="AM17" s="22" t="str">
        <f t="shared" si="11"/>
        <v>N/A</v>
      </c>
      <c r="AN17" s="16" t="s">
        <v>93</v>
      </c>
      <c r="AO17" s="30" t="s">
        <v>94</v>
      </c>
      <c r="AP17" s="24" t="s">
        <v>95</v>
      </c>
      <c r="AQ17" s="24" t="s">
        <v>96</v>
      </c>
      <c r="AR17" s="19" t="s">
        <v>97</v>
      </c>
      <c r="AS17" s="13" t="s">
        <v>89</v>
      </c>
      <c r="AT17" s="13" t="s">
        <v>89</v>
      </c>
      <c r="AU17" s="17">
        <f t="shared" ca="1" si="3"/>
        <v>45820</v>
      </c>
      <c r="AV17" s="13" t="s">
        <v>73</v>
      </c>
      <c r="AW17" s="31" t="s">
        <v>98</v>
      </c>
      <c r="AX17" s="32">
        <f t="array" aca="1" ref="AX17" ca="1">_xlfn.RANDARRAY(2,1,1023456789000,9999999999999,TRUE)</f>
        <v>7157293307614</v>
      </c>
      <c r="AY17" s="17" t="s">
        <v>99</v>
      </c>
      <c r="AZ17" s="17" t="s">
        <v>100</v>
      </c>
      <c r="BA17" s="13" t="s">
        <v>73</v>
      </c>
      <c r="BB17" s="31" t="s">
        <v>101</v>
      </c>
      <c r="BC17" s="32">
        <f t="array" aca="1" ref="BC17" ca="1">_xlfn.RANDARRAY(2,1,12345678,99999999,TRUE)</f>
        <v>32157129</v>
      </c>
      <c r="BD17" s="17" t="s">
        <v>99</v>
      </c>
      <c r="BE17" s="17" t="s">
        <v>102</v>
      </c>
      <c r="BF17" s="19" t="s">
        <v>103</v>
      </c>
      <c r="BG17" s="17">
        <v>31791</v>
      </c>
      <c r="BH17" s="13" t="s">
        <v>104</v>
      </c>
      <c r="BI17" s="13" t="s">
        <v>73</v>
      </c>
      <c r="BJ17" s="13" t="s">
        <v>105</v>
      </c>
      <c r="BK17" s="33" t="s">
        <v>89</v>
      </c>
      <c r="BL17" s="13" t="s">
        <v>106</v>
      </c>
      <c r="BM17" s="34" t="s">
        <v>107</v>
      </c>
      <c r="BN17" s="13" t="s">
        <v>108</v>
      </c>
      <c r="BO17" s="13" t="s">
        <v>73</v>
      </c>
      <c r="BP17" s="13" t="s">
        <v>109</v>
      </c>
      <c r="BQ17" s="13">
        <f t="array" aca="1" ref="BQ17" ca="1">_xlfn.RANDARRAY(2,1,12345,99999,TRUE)</f>
        <v>56914</v>
      </c>
      <c r="BR17" s="17">
        <v>44562</v>
      </c>
      <c r="BS17" s="17">
        <v>47119</v>
      </c>
      <c r="BT17" s="22">
        <v>44562</v>
      </c>
      <c r="BU17" s="22">
        <f t="shared" ca="1" si="4"/>
        <v>46178</v>
      </c>
      <c r="BV17" s="16" t="s">
        <v>110</v>
      </c>
    </row>
    <row r="18" spans="1:74" ht="15.65" customHeight="1" x14ac:dyDescent="0.25">
      <c r="A18" s="1" t="s">
        <v>161</v>
      </c>
      <c r="B18" s="10" t="s">
        <v>162</v>
      </c>
      <c r="C18" s="11" t="s">
        <v>71</v>
      </c>
      <c r="D18" s="12" t="s">
        <v>152</v>
      </c>
      <c r="E18" s="13" t="s">
        <v>73</v>
      </c>
      <c r="F18" s="14" t="s">
        <v>163</v>
      </c>
      <c r="G18" s="14" t="s">
        <v>164</v>
      </c>
      <c r="H18" s="15" t="s">
        <v>165</v>
      </c>
      <c r="I18" s="16" t="s">
        <v>77</v>
      </c>
      <c r="J18" s="16" t="s">
        <v>78</v>
      </c>
      <c r="K18" s="17">
        <f t="shared" ca="1" si="0"/>
        <v>45806</v>
      </c>
      <c r="L18" s="13" t="s">
        <v>73</v>
      </c>
      <c r="M18" s="18" t="s">
        <v>79</v>
      </c>
      <c r="N18" s="18" t="s">
        <v>80</v>
      </c>
      <c r="O18" s="19" t="s">
        <v>80</v>
      </c>
      <c r="P18" s="16">
        <v>1542</v>
      </c>
      <c r="Q18" s="16" t="s">
        <v>78</v>
      </c>
      <c r="R18" s="20" t="s">
        <v>81</v>
      </c>
      <c r="S18" s="21" t="s">
        <v>82</v>
      </c>
      <c r="T18" s="16" t="s">
        <v>78</v>
      </c>
      <c r="U18" s="22">
        <f t="shared" ca="1" si="6"/>
        <v>45713</v>
      </c>
      <c r="V18" s="16" t="s">
        <v>83</v>
      </c>
      <c r="W18" s="23" t="s">
        <v>113</v>
      </c>
      <c r="X18" s="24" t="s">
        <v>85</v>
      </c>
      <c r="Y18" s="24" t="s">
        <v>86</v>
      </c>
      <c r="Z18" s="24" t="s">
        <v>87</v>
      </c>
      <c r="AA18" s="25">
        <v>795</v>
      </c>
      <c r="AB18" s="25" t="s">
        <v>88</v>
      </c>
      <c r="AC18" s="35">
        <v>40</v>
      </c>
      <c r="AD18" s="27" t="s">
        <v>89</v>
      </c>
      <c r="AE18" s="28" t="s">
        <v>90</v>
      </c>
      <c r="AF18" s="29" t="s">
        <v>89</v>
      </c>
      <c r="AG18" s="16" t="s">
        <v>91</v>
      </c>
      <c r="AH18" s="16" t="s">
        <v>92</v>
      </c>
      <c r="AI18" s="16" t="s">
        <v>89</v>
      </c>
      <c r="AJ18" s="17">
        <f t="shared" ca="1" si="7"/>
        <v>45713</v>
      </c>
      <c r="AK18" s="17">
        <f t="shared" ca="1" si="7"/>
        <v>45713</v>
      </c>
      <c r="AL18" s="17">
        <f t="shared" ca="1" si="7"/>
        <v>45713</v>
      </c>
      <c r="AM18" s="22" t="str">
        <f t="shared" ref="AM18:AM21" si="12">AF18</f>
        <v>N/A</v>
      </c>
      <c r="AN18" s="16" t="s">
        <v>93</v>
      </c>
      <c r="AO18" s="30" t="s">
        <v>94</v>
      </c>
      <c r="AP18" s="24" t="s">
        <v>95</v>
      </c>
      <c r="AQ18" s="24" t="s">
        <v>96</v>
      </c>
      <c r="AR18" s="19" t="s">
        <v>97</v>
      </c>
      <c r="AS18" s="13" t="s">
        <v>89</v>
      </c>
      <c r="AT18" s="13" t="s">
        <v>89</v>
      </c>
      <c r="AU18" s="17">
        <f t="shared" ca="1" si="3"/>
        <v>45820</v>
      </c>
      <c r="AV18" s="13" t="s">
        <v>73</v>
      </c>
      <c r="AW18" s="31" t="s">
        <v>98</v>
      </c>
      <c r="AX18" s="32">
        <f t="array" aca="1" ref="AX18" ca="1">_xlfn.RANDARRAY(2,1,1023456789000,9999999999999,TRUE)</f>
        <v>8799355661881</v>
      </c>
      <c r="AY18" s="17" t="s">
        <v>99</v>
      </c>
      <c r="AZ18" s="17" t="s">
        <v>100</v>
      </c>
      <c r="BA18" s="13" t="s">
        <v>73</v>
      </c>
      <c r="BB18" s="31" t="s">
        <v>101</v>
      </c>
      <c r="BC18" s="32">
        <f t="array" aca="1" ref="BC18" ca="1">_xlfn.RANDARRAY(2,1,12345678,99999999,TRUE)</f>
        <v>61382334</v>
      </c>
      <c r="BD18" s="17" t="s">
        <v>99</v>
      </c>
      <c r="BE18" s="17" t="s">
        <v>102</v>
      </c>
      <c r="BF18" s="19" t="s">
        <v>103</v>
      </c>
      <c r="BG18" s="17">
        <v>31792</v>
      </c>
      <c r="BH18" s="13" t="s">
        <v>104</v>
      </c>
      <c r="BI18" s="13" t="s">
        <v>73</v>
      </c>
      <c r="BJ18" s="13" t="s">
        <v>105</v>
      </c>
      <c r="BK18" s="33" t="s">
        <v>89</v>
      </c>
      <c r="BL18" s="13" t="s">
        <v>106</v>
      </c>
      <c r="BM18" s="34" t="s">
        <v>107</v>
      </c>
      <c r="BN18" s="13" t="s">
        <v>108</v>
      </c>
      <c r="BO18" s="13" t="s">
        <v>73</v>
      </c>
      <c r="BP18" s="13" t="s">
        <v>109</v>
      </c>
      <c r="BQ18" s="13">
        <f t="array" aca="1" ref="BQ18" ca="1">_xlfn.RANDARRAY(2,1,12345,99999,TRUE)</f>
        <v>34829</v>
      </c>
      <c r="BR18" s="17">
        <v>44562</v>
      </c>
      <c r="BS18" s="17">
        <v>47119</v>
      </c>
      <c r="BT18" s="22">
        <v>44562</v>
      </c>
      <c r="BU18" s="22">
        <f t="shared" ca="1" si="4"/>
        <v>46178</v>
      </c>
      <c r="BV18" s="16" t="s">
        <v>110</v>
      </c>
    </row>
    <row r="19" spans="1:74" ht="15.65" customHeight="1" x14ac:dyDescent="0.35">
      <c r="A19" s="1" t="s">
        <v>166</v>
      </c>
      <c r="B19" s="10"/>
      <c r="C19" s="11" t="s">
        <v>167</v>
      </c>
      <c r="D19" s="12" t="s">
        <v>152</v>
      </c>
      <c r="E19" s="13" t="s">
        <v>73</v>
      </c>
      <c r="F19" s="14" t="s">
        <v>168</v>
      </c>
      <c r="G19" s="14" t="s">
        <v>169</v>
      </c>
      <c r="H19" s="15" t="s">
        <v>170</v>
      </c>
      <c r="I19" s="16" t="s">
        <v>77</v>
      </c>
      <c r="J19" s="16" t="s">
        <v>78</v>
      </c>
      <c r="K19" s="17">
        <f t="shared" ca="1" si="0"/>
        <v>45806</v>
      </c>
      <c r="L19" s="13" t="s">
        <v>73</v>
      </c>
      <c r="M19" s="18" t="s">
        <v>79</v>
      </c>
      <c r="N19" s="18" t="s">
        <v>80</v>
      </c>
      <c r="O19" s="19" t="s">
        <v>80</v>
      </c>
      <c r="P19" s="16">
        <v>1542</v>
      </c>
      <c r="Q19" s="16" t="s">
        <v>78</v>
      </c>
      <c r="R19" s="20" t="s">
        <v>81</v>
      </c>
      <c r="S19" s="21" t="s">
        <v>82</v>
      </c>
      <c r="T19" s="16" t="s">
        <v>78</v>
      </c>
      <c r="U19" s="22">
        <f t="shared" ca="1" si="6"/>
        <v>45713</v>
      </c>
      <c r="V19" s="16" t="s">
        <v>83</v>
      </c>
      <c r="W19" s="23" t="s">
        <v>113</v>
      </c>
      <c r="X19" s="24" t="s">
        <v>85</v>
      </c>
      <c r="Y19" s="24" t="s">
        <v>86</v>
      </c>
      <c r="Z19" s="24" t="s">
        <v>87</v>
      </c>
      <c r="AA19" s="25">
        <v>795</v>
      </c>
      <c r="AB19" s="25" t="s">
        <v>88</v>
      </c>
      <c r="AC19" s="35">
        <v>40</v>
      </c>
      <c r="AD19" s="27" t="s">
        <v>89</v>
      </c>
      <c r="AE19" s="28" t="s">
        <v>90</v>
      </c>
      <c r="AF19" s="29" t="s">
        <v>89</v>
      </c>
      <c r="AG19" s="16" t="s">
        <v>91</v>
      </c>
      <c r="AH19" s="16" t="s">
        <v>92</v>
      </c>
      <c r="AI19" s="16" t="s">
        <v>89</v>
      </c>
      <c r="AJ19" s="17">
        <f t="shared" ca="1" si="7"/>
        <v>45713</v>
      </c>
      <c r="AK19" s="17">
        <f t="shared" ca="1" si="7"/>
        <v>45713</v>
      </c>
      <c r="AL19" s="17">
        <f t="shared" ca="1" si="7"/>
        <v>45713</v>
      </c>
      <c r="AM19" s="22" t="str">
        <f t="shared" si="12"/>
        <v>N/A</v>
      </c>
      <c r="AN19" s="16" t="s">
        <v>93</v>
      </c>
      <c r="AO19" s="30" t="s">
        <v>94</v>
      </c>
      <c r="AP19" s="24" t="s">
        <v>95</v>
      </c>
      <c r="AQ19" s="24" t="s">
        <v>96</v>
      </c>
      <c r="AR19" s="19" t="s">
        <v>97</v>
      </c>
      <c r="AS19" s="13" t="s">
        <v>89</v>
      </c>
      <c r="AT19" s="13" t="s">
        <v>89</v>
      </c>
      <c r="AU19" s="17">
        <f t="shared" ca="1" si="3"/>
        <v>45820</v>
      </c>
      <c r="AV19" s="13" t="s">
        <v>73</v>
      </c>
      <c r="AW19" s="31" t="s">
        <v>98</v>
      </c>
      <c r="AX19" s="32">
        <f t="array" aca="1" ref="AX19" ca="1">_xlfn.RANDARRAY(2,1,1023456789000,9999999999999,TRUE)</f>
        <v>2505879124050</v>
      </c>
      <c r="AY19" s="17" t="s">
        <v>99</v>
      </c>
      <c r="AZ19" s="17" t="s">
        <v>100</v>
      </c>
      <c r="BA19" s="13" t="s">
        <v>73</v>
      </c>
      <c r="BB19" s="31" t="s">
        <v>101</v>
      </c>
      <c r="BC19" s="32">
        <f t="array" aca="1" ref="BC19" ca="1">_xlfn.RANDARRAY(2,1,12345678,99999999,TRUE)</f>
        <v>36081680</v>
      </c>
      <c r="BD19" s="17" t="s">
        <v>99</v>
      </c>
      <c r="BE19" s="17" t="s">
        <v>102</v>
      </c>
      <c r="BF19" s="19" t="s">
        <v>103</v>
      </c>
      <c r="BG19" s="17">
        <v>31793</v>
      </c>
      <c r="BH19" s="13" t="s">
        <v>104</v>
      </c>
      <c r="BI19" s="13" t="s">
        <v>73</v>
      </c>
      <c r="BJ19" s="13" t="s">
        <v>105</v>
      </c>
      <c r="BK19" s="33" t="s">
        <v>89</v>
      </c>
      <c r="BL19" s="13" t="s">
        <v>106</v>
      </c>
      <c r="BM19" s="34" t="s">
        <v>107</v>
      </c>
      <c r="BN19" s="13" t="s">
        <v>108</v>
      </c>
      <c r="BO19" s="13" t="s">
        <v>73</v>
      </c>
      <c r="BP19" s="13" t="s">
        <v>109</v>
      </c>
      <c r="BQ19" s="13">
        <f t="array" aca="1" ref="BQ19" ca="1">_xlfn.RANDARRAY(2,1,12345,99999,TRUE)</f>
        <v>23815</v>
      </c>
      <c r="BR19" s="17">
        <v>44562</v>
      </c>
      <c r="BS19" s="17">
        <v>47119</v>
      </c>
      <c r="BT19" s="22">
        <v>44562</v>
      </c>
      <c r="BU19" s="22">
        <f t="shared" ca="1" si="4"/>
        <v>46178</v>
      </c>
      <c r="BV19" s="16" t="s">
        <v>110</v>
      </c>
    </row>
    <row r="20" spans="1:74" ht="15.65" customHeight="1" x14ac:dyDescent="0.25">
      <c r="A20" s="1" t="s">
        <v>171</v>
      </c>
      <c r="B20" s="10" t="s">
        <v>172</v>
      </c>
      <c r="C20" s="11" t="s">
        <v>71</v>
      </c>
      <c r="D20" s="12" t="s">
        <v>152</v>
      </c>
      <c r="E20" s="13" t="s">
        <v>73</v>
      </c>
      <c r="F20" s="14" t="s">
        <v>173</v>
      </c>
      <c r="G20" s="14" t="s">
        <v>174</v>
      </c>
      <c r="H20" s="15" t="s">
        <v>175</v>
      </c>
      <c r="I20" s="16" t="s">
        <v>77</v>
      </c>
      <c r="J20" s="16" t="s">
        <v>78</v>
      </c>
      <c r="K20" s="17">
        <f t="shared" ca="1" si="0"/>
        <v>45806</v>
      </c>
      <c r="L20" s="13" t="s">
        <v>73</v>
      </c>
      <c r="M20" s="18" t="s">
        <v>79</v>
      </c>
      <c r="N20" s="18" t="s">
        <v>80</v>
      </c>
      <c r="O20" s="19" t="s">
        <v>80</v>
      </c>
      <c r="P20" s="16">
        <v>1542</v>
      </c>
      <c r="Q20" s="16" t="s">
        <v>78</v>
      </c>
      <c r="R20" s="20" t="s">
        <v>81</v>
      </c>
      <c r="S20" s="21" t="s">
        <v>82</v>
      </c>
      <c r="T20" s="16" t="s">
        <v>78</v>
      </c>
      <c r="U20" s="22">
        <f t="shared" ca="1" si="6"/>
        <v>45713</v>
      </c>
      <c r="V20" s="16" t="s">
        <v>83</v>
      </c>
      <c r="W20" s="23" t="s">
        <v>113</v>
      </c>
      <c r="X20" s="24" t="s">
        <v>85</v>
      </c>
      <c r="Y20" s="24" t="s">
        <v>86</v>
      </c>
      <c r="Z20" s="24" t="s">
        <v>87</v>
      </c>
      <c r="AA20" s="25">
        <v>795</v>
      </c>
      <c r="AB20" s="25" t="s">
        <v>88</v>
      </c>
      <c r="AC20" s="35">
        <v>40</v>
      </c>
      <c r="AD20" s="27" t="s">
        <v>89</v>
      </c>
      <c r="AE20" s="28" t="s">
        <v>90</v>
      </c>
      <c r="AF20" s="29" t="s">
        <v>89</v>
      </c>
      <c r="AG20" s="16" t="s">
        <v>91</v>
      </c>
      <c r="AH20" s="16" t="s">
        <v>92</v>
      </c>
      <c r="AI20" s="16" t="s">
        <v>89</v>
      </c>
      <c r="AJ20" s="17">
        <f t="shared" ca="1" si="7"/>
        <v>45713</v>
      </c>
      <c r="AK20" s="17">
        <f t="shared" ca="1" si="7"/>
        <v>45713</v>
      </c>
      <c r="AL20" s="17">
        <f t="shared" ca="1" si="7"/>
        <v>45713</v>
      </c>
      <c r="AM20" s="22" t="str">
        <f t="shared" si="12"/>
        <v>N/A</v>
      </c>
      <c r="AN20" s="16" t="s">
        <v>93</v>
      </c>
      <c r="AO20" s="30" t="s">
        <v>94</v>
      </c>
      <c r="AP20" s="24" t="s">
        <v>95</v>
      </c>
      <c r="AQ20" s="24" t="s">
        <v>96</v>
      </c>
      <c r="AR20" s="19" t="s">
        <v>97</v>
      </c>
      <c r="AS20" s="13" t="s">
        <v>89</v>
      </c>
      <c r="AT20" s="13" t="s">
        <v>89</v>
      </c>
      <c r="AU20" s="17">
        <f t="shared" ca="1" si="3"/>
        <v>45820</v>
      </c>
      <c r="AV20" s="13" t="s">
        <v>73</v>
      </c>
      <c r="AW20" s="31" t="s">
        <v>98</v>
      </c>
      <c r="AX20" s="32">
        <f t="array" aca="1" ref="AX20" ca="1">_xlfn.RANDARRAY(2,1,1023456789000,9999999999999,TRUE)</f>
        <v>9192051872159</v>
      </c>
      <c r="AY20" s="17" t="s">
        <v>99</v>
      </c>
      <c r="AZ20" s="17" t="s">
        <v>100</v>
      </c>
      <c r="BA20" s="13" t="s">
        <v>73</v>
      </c>
      <c r="BB20" s="31" t="s">
        <v>101</v>
      </c>
      <c r="BC20" s="32">
        <f t="array" aca="1" ref="BC20" ca="1">_xlfn.RANDARRAY(2,1,12345678,99999999,TRUE)</f>
        <v>22008716</v>
      </c>
      <c r="BD20" s="17" t="s">
        <v>99</v>
      </c>
      <c r="BE20" s="17" t="s">
        <v>102</v>
      </c>
      <c r="BF20" s="19" t="s">
        <v>103</v>
      </c>
      <c r="BG20" s="17">
        <v>31794</v>
      </c>
      <c r="BH20" s="13" t="s">
        <v>104</v>
      </c>
      <c r="BI20" s="13" t="s">
        <v>73</v>
      </c>
      <c r="BJ20" s="13" t="s">
        <v>105</v>
      </c>
      <c r="BK20" s="33" t="s">
        <v>89</v>
      </c>
      <c r="BL20" s="13" t="s">
        <v>106</v>
      </c>
      <c r="BM20" s="34" t="s">
        <v>107</v>
      </c>
      <c r="BN20" s="13" t="s">
        <v>108</v>
      </c>
      <c r="BO20" s="13" t="s">
        <v>73</v>
      </c>
      <c r="BP20" s="13" t="s">
        <v>109</v>
      </c>
      <c r="BQ20" s="13">
        <f t="array" aca="1" ref="BQ20" ca="1">_xlfn.RANDARRAY(2,1,12345,99999,TRUE)</f>
        <v>76815</v>
      </c>
      <c r="BR20" s="17">
        <v>44562</v>
      </c>
      <c r="BS20" s="17">
        <v>47119</v>
      </c>
      <c r="BT20" s="22">
        <v>44562</v>
      </c>
      <c r="BU20" s="22">
        <f t="shared" ca="1" si="4"/>
        <v>46178</v>
      </c>
      <c r="BV20" s="16" t="s">
        <v>110</v>
      </c>
    </row>
    <row r="21" spans="1:74" ht="15.65" customHeight="1" x14ac:dyDescent="0.25">
      <c r="A21" s="1" t="s">
        <v>176</v>
      </c>
      <c r="B21" s="10" t="s">
        <v>177</v>
      </c>
      <c r="C21" s="11" t="s">
        <v>71</v>
      </c>
      <c r="D21" s="12" t="s">
        <v>152</v>
      </c>
      <c r="E21" s="13" t="s">
        <v>73</v>
      </c>
      <c r="F21" s="14" t="s">
        <v>178</v>
      </c>
      <c r="G21" s="14" t="s">
        <v>179</v>
      </c>
      <c r="H21" s="15" t="s">
        <v>180</v>
      </c>
      <c r="I21" s="16" t="s">
        <v>77</v>
      </c>
      <c r="J21" s="16" t="s">
        <v>78</v>
      </c>
      <c r="K21" s="17">
        <f t="shared" ca="1" si="0"/>
        <v>45806</v>
      </c>
      <c r="L21" s="13" t="s">
        <v>73</v>
      </c>
      <c r="M21" s="18" t="s">
        <v>79</v>
      </c>
      <c r="N21" s="18" t="s">
        <v>80</v>
      </c>
      <c r="O21" s="19" t="s">
        <v>80</v>
      </c>
      <c r="P21" s="16">
        <v>1542</v>
      </c>
      <c r="Q21" s="16" t="s">
        <v>78</v>
      </c>
      <c r="R21" s="20" t="s">
        <v>81</v>
      </c>
      <c r="S21" s="21" t="s">
        <v>82</v>
      </c>
      <c r="T21" s="16" t="s">
        <v>78</v>
      </c>
      <c r="U21" s="22">
        <f t="shared" ca="1" si="6"/>
        <v>45713</v>
      </c>
      <c r="V21" s="16" t="s">
        <v>83</v>
      </c>
      <c r="W21" s="23" t="s">
        <v>113</v>
      </c>
      <c r="X21" s="24" t="s">
        <v>85</v>
      </c>
      <c r="Y21" s="24" t="s">
        <v>86</v>
      </c>
      <c r="Z21" s="24" t="s">
        <v>87</v>
      </c>
      <c r="AA21" s="25">
        <v>795</v>
      </c>
      <c r="AB21" s="25" t="s">
        <v>88</v>
      </c>
      <c r="AC21" s="35">
        <v>40</v>
      </c>
      <c r="AD21" s="27" t="s">
        <v>89</v>
      </c>
      <c r="AE21" s="28" t="s">
        <v>90</v>
      </c>
      <c r="AF21" s="29" t="s">
        <v>89</v>
      </c>
      <c r="AG21" s="16" t="s">
        <v>91</v>
      </c>
      <c r="AH21" s="16" t="s">
        <v>92</v>
      </c>
      <c r="AI21" s="16" t="s">
        <v>89</v>
      </c>
      <c r="AJ21" s="17">
        <f t="shared" ca="1" si="7"/>
        <v>45713</v>
      </c>
      <c r="AK21" s="17">
        <f t="shared" ca="1" si="7"/>
        <v>45713</v>
      </c>
      <c r="AL21" s="17">
        <f t="shared" ca="1" si="7"/>
        <v>45713</v>
      </c>
      <c r="AM21" s="22" t="str">
        <f t="shared" si="12"/>
        <v>N/A</v>
      </c>
      <c r="AN21" s="16" t="s">
        <v>93</v>
      </c>
      <c r="AO21" s="30" t="s">
        <v>94</v>
      </c>
      <c r="AP21" s="24" t="s">
        <v>95</v>
      </c>
      <c r="AQ21" s="24" t="s">
        <v>96</v>
      </c>
      <c r="AR21" s="19" t="s">
        <v>97</v>
      </c>
      <c r="AS21" s="13" t="s">
        <v>89</v>
      </c>
      <c r="AT21" s="13" t="s">
        <v>89</v>
      </c>
      <c r="AU21" s="17">
        <f t="shared" ca="1" si="3"/>
        <v>45820</v>
      </c>
      <c r="AV21" s="13" t="s">
        <v>73</v>
      </c>
      <c r="AW21" s="31" t="s">
        <v>98</v>
      </c>
      <c r="AX21" s="32">
        <f t="array" aca="1" ref="AX21" ca="1">_xlfn.RANDARRAY(2,1,1023456789000,9999999999999,TRUE)</f>
        <v>8683692209146</v>
      </c>
      <c r="AY21" s="17" t="s">
        <v>99</v>
      </c>
      <c r="AZ21" s="17" t="s">
        <v>100</v>
      </c>
      <c r="BA21" s="13" t="s">
        <v>73</v>
      </c>
      <c r="BB21" s="31" t="s">
        <v>101</v>
      </c>
      <c r="BC21" s="32">
        <f t="array" aca="1" ref="BC21" ca="1">_xlfn.RANDARRAY(2,1,12345678,99999999,TRUE)</f>
        <v>33934866</v>
      </c>
      <c r="BD21" s="17" t="s">
        <v>99</v>
      </c>
      <c r="BE21" s="17" t="s">
        <v>102</v>
      </c>
      <c r="BF21" s="19" t="s">
        <v>103</v>
      </c>
      <c r="BG21" s="17">
        <v>31795</v>
      </c>
      <c r="BH21" s="13" t="s">
        <v>104</v>
      </c>
      <c r="BI21" s="13" t="s">
        <v>73</v>
      </c>
      <c r="BJ21" s="13" t="s">
        <v>105</v>
      </c>
      <c r="BK21" s="33" t="s">
        <v>89</v>
      </c>
      <c r="BL21" s="13" t="s">
        <v>106</v>
      </c>
      <c r="BM21" s="34" t="s">
        <v>107</v>
      </c>
      <c r="BN21" s="13" t="s">
        <v>108</v>
      </c>
      <c r="BO21" s="13" t="s">
        <v>73</v>
      </c>
      <c r="BP21" s="13" t="s">
        <v>109</v>
      </c>
      <c r="BQ21" s="13">
        <f t="array" aca="1" ref="BQ21" ca="1">_xlfn.RANDARRAY(2,1,12345,99999,TRUE)</f>
        <v>19395</v>
      </c>
      <c r="BR21" s="17">
        <v>44562</v>
      </c>
      <c r="BS21" s="17">
        <v>47119</v>
      </c>
      <c r="BT21" s="22">
        <v>44562</v>
      </c>
      <c r="BU21" s="22">
        <f t="shared" ca="1" si="4"/>
        <v>46178</v>
      </c>
      <c r="BV21" s="16" t="s">
        <v>110</v>
      </c>
    </row>
    <row r="22" spans="1:74" ht="15.65" customHeight="1" x14ac:dyDescent="0.25">
      <c r="A22" s="1" t="s">
        <v>181</v>
      </c>
      <c r="B22" s="10" t="s">
        <v>182</v>
      </c>
      <c r="C22" s="11" t="s">
        <v>71</v>
      </c>
      <c r="D22" s="12" t="s">
        <v>152</v>
      </c>
      <c r="E22" s="13" t="s">
        <v>73</v>
      </c>
      <c r="F22" s="14" t="s">
        <v>183</v>
      </c>
      <c r="G22" s="14" t="s">
        <v>184</v>
      </c>
      <c r="H22" s="15" t="s">
        <v>185</v>
      </c>
      <c r="I22" s="16" t="s">
        <v>77</v>
      </c>
      <c r="J22" s="16" t="s">
        <v>78</v>
      </c>
      <c r="K22" s="17">
        <f t="shared" ca="1" si="0"/>
        <v>45806</v>
      </c>
      <c r="L22" s="13" t="s">
        <v>73</v>
      </c>
      <c r="M22" s="18" t="s">
        <v>79</v>
      </c>
      <c r="N22" s="18" t="s">
        <v>80</v>
      </c>
      <c r="O22" s="19" t="s">
        <v>80</v>
      </c>
      <c r="P22" s="16">
        <v>1542</v>
      </c>
      <c r="Q22" s="16" t="s">
        <v>78</v>
      </c>
      <c r="R22" s="20" t="s">
        <v>81</v>
      </c>
      <c r="S22" s="21" t="s">
        <v>82</v>
      </c>
      <c r="T22" s="16" t="s">
        <v>78</v>
      </c>
      <c r="U22" s="22">
        <f t="shared" ca="1" si="6"/>
        <v>45713</v>
      </c>
      <c r="V22" s="16" t="s">
        <v>83</v>
      </c>
      <c r="W22" s="23" t="s">
        <v>113</v>
      </c>
      <c r="X22" s="24" t="s">
        <v>85</v>
      </c>
      <c r="Y22" s="24" t="s">
        <v>86</v>
      </c>
      <c r="Z22" s="24" t="s">
        <v>87</v>
      </c>
      <c r="AA22" s="25">
        <v>795</v>
      </c>
      <c r="AB22" s="25" t="s">
        <v>88</v>
      </c>
      <c r="AC22" s="35">
        <v>40</v>
      </c>
      <c r="AD22" s="27" t="s">
        <v>89</v>
      </c>
      <c r="AE22" s="28" t="s">
        <v>90</v>
      </c>
      <c r="AF22" s="29" t="s">
        <v>89</v>
      </c>
      <c r="AG22" s="16" t="s">
        <v>91</v>
      </c>
      <c r="AH22" s="16" t="s">
        <v>92</v>
      </c>
      <c r="AI22" s="16" t="s">
        <v>89</v>
      </c>
      <c r="AJ22" s="17">
        <f t="shared" ca="1" si="7"/>
        <v>45713</v>
      </c>
      <c r="AK22" s="17">
        <f t="shared" ca="1" si="7"/>
        <v>45713</v>
      </c>
      <c r="AL22" s="17">
        <f t="shared" ca="1" si="7"/>
        <v>45713</v>
      </c>
      <c r="AM22" s="22" t="str">
        <f t="shared" ref="AM22:AM23" si="13">AF22</f>
        <v>N/A</v>
      </c>
      <c r="AN22" s="16" t="s">
        <v>93</v>
      </c>
      <c r="AO22" s="30" t="s">
        <v>94</v>
      </c>
      <c r="AP22" s="24" t="s">
        <v>95</v>
      </c>
      <c r="AQ22" s="24" t="s">
        <v>96</v>
      </c>
      <c r="AR22" s="19" t="s">
        <v>97</v>
      </c>
      <c r="AS22" s="13" t="s">
        <v>89</v>
      </c>
      <c r="AT22" s="13" t="s">
        <v>89</v>
      </c>
      <c r="AU22" s="17">
        <f t="shared" ca="1" si="3"/>
        <v>45820</v>
      </c>
      <c r="AV22" s="13" t="s">
        <v>73</v>
      </c>
      <c r="AW22" s="31" t="s">
        <v>98</v>
      </c>
      <c r="AX22" s="32">
        <f t="array" aca="1" ref="AX22" ca="1">_xlfn.RANDARRAY(2,1,1023456789000,9999999999999,TRUE)</f>
        <v>7404412545432</v>
      </c>
      <c r="AY22" s="17" t="s">
        <v>99</v>
      </c>
      <c r="AZ22" s="17" t="s">
        <v>100</v>
      </c>
      <c r="BA22" s="13" t="s">
        <v>73</v>
      </c>
      <c r="BB22" s="31" t="s">
        <v>101</v>
      </c>
      <c r="BC22" s="32">
        <f t="array" aca="1" ref="BC22" ca="1">_xlfn.RANDARRAY(2,1,12345678,99999999,TRUE)</f>
        <v>16207310</v>
      </c>
      <c r="BD22" s="17" t="s">
        <v>99</v>
      </c>
      <c r="BE22" s="17" t="s">
        <v>102</v>
      </c>
      <c r="BF22" s="19" t="s">
        <v>103</v>
      </c>
      <c r="BG22" s="17">
        <v>31796</v>
      </c>
      <c r="BH22" s="13" t="s">
        <v>104</v>
      </c>
      <c r="BI22" s="13" t="s">
        <v>73</v>
      </c>
      <c r="BJ22" s="13" t="s">
        <v>105</v>
      </c>
      <c r="BK22" s="33" t="s">
        <v>89</v>
      </c>
      <c r="BL22" s="13" t="s">
        <v>106</v>
      </c>
      <c r="BM22" s="34" t="s">
        <v>107</v>
      </c>
      <c r="BN22" s="13" t="s">
        <v>108</v>
      </c>
      <c r="BO22" s="13" t="s">
        <v>73</v>
      </c>
      <c r="BP22" s="13" t="s">
        <v>109</v>
      </c>
      <c r="BQ22" s="13">
        <f t="array" aca="1" ref="BQ22" ca="1">_xlfn.RANDARRAY(2,1,12345,99999,TRUE)</f>
        <v>74430</v>
      </c>
      <c r="BR22" s="17">
        <v>44562</v>
      </c>
      <c r="BS22" s="17">
        <v>47119</v>
      </c>
      <c r="BT22" s="22">
        <v>44562</v>
      </c>
      <c r="BU22" s="22">
        <f t="shared" ca="1" si="4"/>
        <v>46178</v>
      </c>
      <c r="BV22" s="16" t="s">
        <v>110</v>
      </c>
    </row>
    <row r="23" spans="1:74" ht="15.65" customHeight="1" x14ac:dyDescent="0.35">
      <c r="A23" s="1" t="s">
        <v>186</v>
      </c>
      <c r="B23" s="1" t="s">
        <v>187</v>
      </c>
      <c r="C23" s="11" t="s">
        <v>71</v>
      </c>
      <c r="D23" s="12" t="s">
        <v>152</v>
      </c>
      <c r="E23" s="13" t="s">
        <v>73</v>
      </c>
      <c r="F23" s="14" t="s">
        <v>188</v>
      </c>
      <c r="G23" s="14" t="s">
        <v>189</v>
      </c>
      <c r="H23" s="15" t="s">
        <v>190</v>
      </c>
      <c r="I23" s="16" t="s">
        <v>77</v>
      </c>
      <c r="J23" s="16" t="s">
        <v>78</v>
      </c>
      <c r="K23" s="17">
        <f t="shared" ca="1" si="0"/>
        <v>45806</v>
      </c>
      <c r="L23" s="13" t="s">
        <v>73</v>
      </c>
      <c r="M23" s="18" t="s">
        <v>79</v>
      </c>
      <c r="N23" s="18" t="s">
        <v>80</v>
      </c>
      <c r="O23" s="19" t="s">
        <v>80</v>
      </c>
      <c r="P23" s="16">
        <v>1542</v>
      </c>
      <c r="Q23" s="16" t="s">
        <v>78</v>
      </c>
      <c r="R23" s="20" t="s">
        <v>81</v>
      </c>
      <c r="S23" s="21" t="s">
        <v>82</v>
      </c>
      <c r="T23" s="16" t="s">
        <v>78</v>
      </c>
      <c r="U23" s="22">
        <f t="shared" ca="1" si="6"/>
        <v>45713</v>
      </c>
      <c r="V23" s="16" t="s">
        <v>83</v>
      </c>
      <c r="W23" s="23" t="s">
        <v>113</v>
      </c>
      <c r="X23" s="24" t="s">
        <v>85</v>
      </c>
      <c r="Y23" s="24" t="s">
        <v>86</v>
      </c>
      <c r="Z23" s="24" t="s">
        <v>87</v>
      </c>
      <c r="AA23" s="25">
        <v>795</v>
      </c>
      <c r="AB23" s="25" t="s">
        <v>88</v>
      </c>
      <c r="AC23" s="35">
        <v>40</v>
      </c>
      <c r="AD23" s="27" t="s">
        <v>89</v>
      </c>
      <c r="AE23" s="28" t="s">
        <v>90</v>
      </c>
      <c r="AF23" s="29" t="s">
        <v>89</v>
      </c>
      <c r="AG23" s="16" t="s">
        <v>91</v>
      </c>
      <c r="AH23" s="16" t="s">
        <v>92</v>
      </c>
      <c r="AI23" s="16" t="s">
        <v>89</v>
      </c>
      <c r="AJ23" s="17">
        <f t="shared" ca="1" si="7"/>
        <v>45713</v>
      </c>
      <c r="AK23" s="17">
        <f t="shared" ca="1" si="7"/>
        <v>45713</v>
      </c>
      <c r="AL23" s="17">
        <f t="shared" ca="1" si="7"/>
        <v>45713</v>
      </c>
      <c r="AM23" s="22" t="str">
        <f t="shared" si="13"/>
        <v>N/A</v>
      </c>
      <c r="AN23" s="16" t="s">
        <v>93</v>
      </c>
      <c r="AO23" s="30" t="s">
        <v>94</v>
      </c>
      <c r="AP23" s="24" t="s">
        <v>95</v>
      </c>
      <c r="AQ23" s="24" t="s">
        <v>96</v>
      </c>
      <c r="AR23" s="19" t="s">
        <v>97</v>
      </c>
      <c r="AS23" s="13" t="s">
        <v>89</v>
      </c>
      <c r="AT23" s="13" t="s">
        <v>89</v>
      </c>
      <c r="AU23" s="17">
        <f t="shared" ca="1" si="3"/>
        <v>45820</v>
      </c>
      <c r="AV23" s="13" t="s">
        <v>73</v>
      </c>
      <c r="AW23" s="31" t="s">
        <v>98</v>
      </c>
      <c r="AX23" s="32">
        <f t="array" aca="1" ref="AX23" ca="1">_xlfn.RANDARRAY(2,1,1023456789000,9999999999999,TRUE)</f>
        <v>5335398829997</v>
      </c>
      <c r="AY23" s="17" t="s">
        <v>99</v>
      </c>
      <c r="AZ23" s="17" t="s">
        <v>100</v>
      </c>
      <c r="BA23" s="13" t="s">
        <v>73</v>
      </c>
      <c r="BB23" s="31" t="s">
        <v>101</v>
      </c>
      <c r="BC23" s="32">
        <f t="array" aca="1" ref="BC23" ca="1">_xlfn.RANDARRAY(2,1,12345678,99999999,TRUE)</f>
        <v>63160756</v>
      </c>
      <c r="BD23" s="17" t="s">
        <v>99</v>
      </c>
      <c r="BE23" s="17" t="s">
        <v>102</v>
      </c>
      <c r="BF23" s="19" t="s">
        <v>103</v>
      </c>
      <c r="BG23" s="17">
        <v>31797</v>
      </c>
      <c r="BH23" s="13" t="s">
        <v>104</v>
      </c>
      <c r="BI23" s="13" t="s">
        <v>73</v>
      </c>
      <c r="BJ23" s="13" t="s">
        <v>105</v>
      </c>
      <c r="BK23" s="33" t="s">
        <v>89</v>
      </c>
      <c r="BL23" s="13" t="s">
        <v>106</v>
      </c>
      <c r="BM23" s="34" t="s">
        <v>107</v>
      </c>
      <c r="BN23" s="13" t="s">
        <v>108</v>
      </c>
      <c r="BO23" s="13" t="s">
        <v>73</v>
      </c>
      <c r="BP23" s="13" t="s">
        <v>109</v>
      </c>
      <c r="BQ23" s="13">
        <f t="array" aca="1" ref="BQ23" ca="1">_xlfn.RANDARRAY(2,1,12345,99999,TRUE)</f>
        <v>62826</v>
      </c>
      <c r="BR23" s="17">
        <v>44562</v>
      </c>
      <c r="BS23" s="17">
        <v>47119</v>
      </c>
      <c r="BT23" s="22">
        <v>44562</v>
      </c>
      <c r="BU23" s="22">
        <f t="shared" ca="1" si="4"/>
        <v>46178</v>
      </c>
      <c r="BV23" s="16" t="s">
        <v>110</v>
      </c>
    </row>
    <row r="24" spans="1:74" ht="15.65" customHeight="1" x14ac:dyDescent="0.35">
      <c r="A24" s="1" t="s">
        <v>191</v>
      </c>
      <c r="B24" s="10" t="s">
        <v>192</v>
      </c>
      <c r="C24" s="11" t="s">
        <v>71</v>
      </c>
      <c r="D24" s="12" t="s">
        <v>152</v>
      </c>
      <c r="E24" s="13" t="s">
        <v>73</v>
      </c>
      <c r="F24" s="14" t="s">
        <v>193</v>
      </c>
      <c r="G24" s="14" t="s">
        <v>194</v>
      </c>
      <c r="H24" s="15" t="s">
        <v>195</v>
      </c>
      <c r="I24" s="16" t="s">
        <v>77</v>
      </c>
      <c r="J24" s="16" t="s">
        <v>78</v>
      </c>
      <c r="K24" s="17">
        <f t="shared" ca="1" si="0"/>
        <v>45806</v>
      </c>
      <c r="L24" s="13" t="s">
        <v>73</v>
      </c>
      <c r="M24" s="18" t="s">
        <v>79</v>
      </c>
      <c r="N24" s="18" t="s">
        <v>80</v>
      </c>
      <c r="O24" s="19" t="s">
        <v>80</v>
      </c>
      <c r="P24" s="16">
        <v>1542</v>
      </c>
      <c r="Q24" s="16" t="s">
        <v>78</v>
      </c>
      <c r="R24" s="20" t="s">
        <v>81</v>
      </c>
      <c r="S24" s="21" t="s">
        <v>82</v>
      </c>
      <c r="T24" s="16" t="s">
        <v>78</v>
      </c>
      <c r="U24" s="22">
        <f t="shared" ca="1" si="6"/>
        <v>45713</v>
      </c>
      <c r="V24" s="16" t="s">
        <v>83</v>
      </c>
      <c r="W24" s="23" t="s">
        <v>113</v>
      </c>
      <c r="X24" s="24" t="s">
        <v>85</v>
      </c>
      <c r="Y24" s="24" t="s">
        <v>86</v>
      </c>
      <c r="Z24" s="24" t="s">
        <v>196</v>
      </c>
      <c r="AA24" s="25">
        <v>795</v>
      </c>
      <c r="AB24" s="25" t="s">
        <v>88</v>
      </c>
      <c r="AC24" s="35">
        <v>20</v>
      </c>
      <c r="AD24" s="27" t="s">
        <v>89</v>
      </c>
      <c r="AE24" s="28" t="s">
        <v>90</v>
      </c>
      <c r="AF24" s="29" t="s">
        <v>89</v>
      </c>
      <c r="AG24" s="16" t="s">
        <v>91</v>
      </c>
      <c r="AH24" s="16" t="s">
        <v>92</v>
      </c>
      <c r="AI24" s="16" t="s">
        <v>89</v>
      </c>
      <c r="AJ24" s="17">
        <f t="shared" ca="1" si="7"/>
        <v>45713</v>
      </c>
      <c r="AK24" s="17">
        <f t="shared" ca="1" si="7"/>
        <v>45713</v>
      </c>
      <c r="AL24" s="17">
        <f t="shared" ca="1" si="7"/>
        <v>45713</v>
      </c>
      <c r="AM24" s="22" t="str">
        <f t="shared" ref="AM24:AM26" si="14">AF24</f>
        <v>N/A</v>
      </c>
      <c r="AN24" s="16" t="s">
        <v>93</v>
      </c>
      <c r="AO24" s="30" t="s">
        <v>94</v>
      </c>
      <c r="AP24" s="24" t="s">
        <v>95</v>
      </c>
      <c r="AQ24" s="24" t="s">
        <v>96</v>
      </c>
      <c r="AR24" s="19" t="s">
        <v>97</v>
      </c>
      <c r="AS24" s="13" t="s">
        <v>89</v>
      </c>
      <c r="AT24" s="13" t="s">
        <v>89</v>
      </c>
      <c r="AU24" s="17">
        <f t="shared" ca="1" si="3"/>
        <v>45820</v>
      </c>
      <c r="AV24" s="13" t="s">
        <v>73</v>
      </c>
      <c r="AW24" s="31" t="s">
        <v>98</v>
      </c>
      <c r="AX24" s="32">
        <f t="array" aca="1" ref="AX24" ca="1">_xlfn.RANDARRAY(2,1,1023456789000,9999999999999,TRUE)</f>
        <v>5342452259472</v>
      </c>
      <c r="AY24" s="17" t="s">
        <v>99</v>
      </c>
      <c r="AZ24" s="17" t="s">
        <v>100</v>
      </c>
      <c r="BA24" s="13" t="s">
        <v>73</v>
      </c>
      <c r="BB24" s="31" t="s">
        <v>101</v>
      </c>
      <c r="BC24" s="32">
        <f t="array" aca="1" ref="BC24" ca="1">_xlfn.RANDARRAY(2,1,12345678,99999999,TRUE)</f>
        <v>88243712</v>
      </c>
      <c r="BD24" s="17" t="s">
        <v>99</v>
      </c>
      <c r="BE24" s="17" t="s">
        <v>102</v>
      </c>
      <c r="BF24" s="19" t="s">
        <v>103</v>
      </c>
      <c r="BG24" s="17">
        <v>31798</v>
      </c>
      <c r="BH24" s="13" t="s">
        <v>104</v>
      </c>
      <c r="BI24" s="13" t="s">
        <v>73</v>
      </c>
      <c r="BJ24" s="13" t="s">
        <v>105</v>
      </c>
      <c r="BK24" s="33" t="s">
        <v>89</v>
      </c>
      <c r="BL24" s="13" t="s">
        <v>106</v>
      </c>
      <c r="BM24" s="34" t="s">
        <v>107</v>
      </c>
      <c r="BN24" s="13" t="s">
        <v>108</v>
      </c>
      <c r="BO24" s="13" t="s">
        <v>73</v>
      </c>
      <c r="BP24" s="13" t="s">
        <v>109</v>
      </c>
      <c r="BQ24" s="13">
        <f t="array" aca="1" ref="BQ24" ca="1">_xlfn.RANDARRAY(2,1,12345,99999,TRUE)</f>
        <v>83631</v>
      </c>
      <c r="BR24" s="17">
        <v>44562</v>
      </c>
      <c r="BS24" s="17">
        <v>47119</v>
      </c>
      <c r="BT24" s="22">
        <v>44562</v>
      </c>
      <c r="BU24" s="22">
        <f t="shared" ca="1" si="4"/>
        <v>46178</v>
      </c>
      <c r="BV24" s="16" t="s">
        <v>110</v>
      </c>
    </row>
    <row r="25" spans="1:74" ht="15.65" customHeight="1" x14ac:dyDescent="0.35">
      <c r="A25" s="1" t="s">
        <v>197</v>
      </c>
      <c r="B25" s="10">
        <v>10699580</v>
      </c>
      <c r="C25" s="11" t="s">
        <v>71</v>
      </c>
      <c r="D25" s="12" t="s">
        <v>152</v>
      </c>
      <c r="E25" s="13" t="s">
        <v>73</v>
      </c>
      <c r="F25" s="14" t="s">
        <v>198</v>
      </c>
      <c r="G25" s="14" t="s">
        <v>199</v>
      </c>
      <c r="H25" s="15" t="s">
        <v>200</v>
      </c>
      <c r="I25" s="16" t="s">
        <v>77</v>
      </c>
      <c r="J25" s="16" t="s">
        <v>78</v>
      </c>
      <c r="K25" s="17">
        <f t="shared" ca="1" si="0"/>
        <v>45806</v>
      </c>
      <c r="L25" s="13" t="s">
        <v>73</v>
      </c>
      <c r="M25" s="18" t="s">
        <v>79</v>
      </c>
      <c r="N25" s="18" t="s">
        <v>80</v>
      </c>
      <c r="O25" s="19" t="s">
        <v>80</v>
      </c>
      <c r="P25" s="16">
        <v>1542</v>
      </c>
      <c r="Q25" s="16" t="s">
        <v>78</v>
      </c>
      <c r="R25" s="20" t="s">
        <v>81</v>
      </c>
      <c r="S25" s="21" t="s">
        <v>82</v>
      </c>
      <c r="T25" s="16" t="s">
        <v>78</v>
      </c>
      <c r="U25" s="22">
        <f t="shared" ca="1" si="6"/>
        <v>45713</v>
      </c>
      <c r="V25" s="16" t="s">
        <v>83</v>
      </c>
      <c r="W25" s="23" t="s">
        <v>113</v>
      </c>
      <c r="X25" s="24" t="s">
        <v>85</v>
      </c>
      <c r="Y25" s="24" t="s">
        <v>86</v>
      </c>
      <c r="Z25" s="24" t="s">
        <v>196</v>
      </c>
      <c r="AA25" s="25">
        <v>795</v>
      </c>
      <c r="AB25" s="25" t="s">
        <v>88</v>
      </c>
      <c r="AC25" s="35">
        <v>20</v>
      </c>
      <c r="AD25" s="27" t="s">
        <v>89</v>
      </c>
      <c r="AE25" s="28" t="s">
        <v>90</v>
      </c>
      <c r="AF25" s="29" t="s">
        <v>89</v>
      </c>
      <c r="AG25" s="16" t="s">
        <v>91</v>
      </c>
      <c r="AH25" s="16" t="s">
        <v>92</v>
      </c>
      <c r="AI25" s="16" t="s">
        <v>89</v>
      </c>
      <c r="AJ25" s="17">
        <f t="shared" ca="1" si="7"/>
        <v>45713</v>
      </c>
      <c r="AK25" s="17">
        <f t="shared" ca="1" si="7"/>
        <v>45713</v>
      </c>
      <c r="AL25" s="17">
        <f t="shared" ca="1" si="7"/>
        <v>45713</v>
      </c>
      <c r="AM25" s="22" t="str">
        <f t="shared" si="14"/>
        <v>N/A</v>
      </c>
      <c r="AN25" s="16" t="s">
        <v>93</v>
      </c>
      <c r="AO25" s="30" t="s">
        <v>94</v>
      </c>
      <c r="AP25" s="24" t="s">
        <v>95</v>
      </c>
      <c r="AQ25" s="24" t="s">
        <v>96</v>
      </c>
      <c r="AR25" s="19" t="s">
        <v>97</v>
      </c>
      <c r="AS25" s="13" t="s">
        <v>89</v>
      </c>
      <c r="AT25" s="13" t="s">
        <v>89</v>
      </c>
      <c r="AU25" s="17">
        <f t="shared" ca="1" si="3"/>
        <v>45820</v>
      </c>
      <c r="AV25" s="13" t="s">
        <v>73</v>
      </c>
      <c r="AW25" s="31" t="s">
        <v>98</v>
      </c>
      <c r="AX25" s="32">
        <f t="array" aca="1" ref="AX25" ca="1">_xlfn.RANDARRAY(2,1,1023456789000,9999999999999,TRUE)</f>
        <v>3654718897501</v>
      </c>
      <c r="AY25" s="17" t="s">
        <v>99</v>
      </c>
      <c r="AZ25" s="17" t="s">
        <v>100</v>
      </c>
      <c r="BA25" s="13" t="s">
        <v>73</v>
      </c>
      <c r="BB25" s="31" t="s">
        <v>101</v>
      </c>
      <c r="BC25" s="32">
        <f t="array" aca="1" ref="BC25" ca="1">_xlfn.RANDARRAY(2,1,12345678,99999999,TRUE)</f>
        <v>69142080</v>
      </c>
      <c r="BD25" s="17" t="s">
        <v>99</v>
      </c>
      <c r="BE25" s="17" t="s">
        <v>102</v>
      </c>
      <c r="BF25" s="19" t="s">
        <v>103</v>
      </c>
      <c r="BG25" s="17">
        <v>31799</v>
      </c>
      <c r="BH25" s="13" t="s">
        <v>104</v>
      </c>
      <c r="BI25" s="13" t="s">
        <v>73</v>
      </c>
      <c r="BJ25" s="13" t="s">
        <v>105</v>
      </c>
      <c r="BK25" s="33" t="s">
        <v>89</v>
      </c>
      <c r="BL25" s="13" t="s">
        <v>106</v>
      </c>
      <c r="BM25" s="34" t="s">
        <v>107</v>
      </c>
      <c r="BN25" s="13" t="s">
        <v>108</v>
      </c>
      <c r="BO25" s="13" t="s">
        <v>73</v>
      </c>
      <c r="BP25" s="13" t="s">
        <v>109</v>
      </c>
      <c r="BQ25" s="13">
        <f t="array" aca="1" ref="BQ25" ca="1">_xlfn.RANDARRAY(2,1,12345,99999,TRUE)</f>
        <v>63230</v>
      </c>
      <c r="BR25" s="17">
        <v>44562</v>
      </c>
      <c r="BS25" s="17">
        <v>47119</v>
      </c>
      <c r="BT25" s="22">
        <v>44562</v>
      </c>
      <c r="BU25" s="22">
        <f t="shared" ca="1" si="4"/>
        <v>46178</v>
      </c>
      <c r="BV25" s="16" t="s">
        <v>110</v>
      </c>
    </row>
    <row r="26" spans="1:74" ht="15.65" customHeight="1" x14ac:dyDescent="0.35">
      <c r="A26" s="1" t="s">
        <v>201</v>
      </c>
      <c r="B26" s="10" t="s">
        <v>202</v>
      </c>
      <c r="C26" s="11" t="s">
        <v>71</v>
      </c>
      <c r="D26" s="12" t="s">
        <v>152</v>
      </c>
      <c r="E26" s="13" t="s">
        <v>73</v>
      </c>
      <c r="F26" s="14" t="s">
        <v>203</v>
      </c>
      <c r="G26" s="14" t="s">
        <v>204</v>
      </c>
      <c r="H26" s="15" t="s">
        <v>205</v>
      </c>
      <c r="I26" s="16" t="s">
        <v>77</v>
      </c>
      <c r="J26" s="16" t="s">
        <v>78</v>
      </c>
      <c r="K26" s="17">
        <f t="shared" ca="1" si="0"/>
        <v>45806</v>
      </c>
      <c r="L26" s="13" t="s">
        <v>73</v>
      </c>
      <c r="M26" s="18" t="s">
        <v>79</v>
      </c>
      <c r="N26" s="18" t="s">
        <v>80</v>
      </c>
      <c r="O26" s="19" t="s">
        <v>80</v>
      </c>
      <c r="P26" s="16">
        <v>1542</v>
      </c>
      <c r="Q26" s="16" t="s">
        <v>78</v>
      </c>
      <c r="R26" s="20" t="s">
        <v>81</v>
      </c>
      <c r="S26" s="21" t="s">
        <v>82</v>
      </c>
      <c r="T26" s="16" t="s">
        <v>78</v>
      </c>
      <c r="U26" s="22">
        <f t="shared" ca="1" si="6"/>
        <v>45713</v>
      </c>
      <c r="V26" s="16" t="s">
        <v>83</v>
      </c>
      <c r="W26" s="23" t="s">
        <v>113</v>
      </c>
      <c r="X26" s="24" t="s">
        <v>85</v>
      </c>
      <c r="Y26" s="24" t="s">
        <v>86</v>
      </c>
      <c r="Z26" s="24" t="s">
        <v>196</v>
      </c>
      <c r="AA26" s="25">
        <v>795</v>
      </c>
      <c r="AB26" s="25" t="s">
        <v>88</v>
      </c>
      <c r="AC26" s="35">
        <v>16</v>
      </c>
      <c r="AD26" s="27" t="s">
        <v>89</v>
      </c>
      <c r="AE26" s="28" t="s">
        <v>206</v>
      </c>
      <c r="AF26" s="29" t="s">
        <v>89</v>
      </c>
      <c r="AG26" s="16" t="s">
        <v>91</v>
      </c>
      <c r="AH26" s="16" t="s">
        <v>92</v>
      </c>
      <c r="AI26" s="16" t="s">
        <v>89</v>
      </c>
      <c r="AJ26" s="17">
        <f t="shared" ca="1" si="7"/>
        <v>45713</v>
      </c>
      <c r="AK26" s="17">
        <f t="shared" ca="1" si="7"/>
        <v>45713</v>
      </c>
      <c r="AL26" s="17">
        <f t="shared" ca="1" si="7"/>
        <v>45713</v>
      </c>
      <c r="AM26" s="22" t="str">
        <f t="shared" si="14"/>
        <v>N/A</v>
      </c>
      <c r="AN26" s="16" t="s">
        <v>93</v>
      </c>
      <c r="AO26" s="30" t="s">
        <v>94</v>
      </c>
      <c r="AP26" s="24" t="s">
        <v>95</v>
      </c>
      <c r="AQ26" s="24" t="s">
        <v>96</v>
      </c>
      <c r="AR26" s="19" t="s">
        <v>97</v>
      </c>
      <c r="AS26" s="13" t="s">
        <v>89</v>
      </c>
      <c r="AT26" s="13" t="s">
        <v>89</v>
      </c>
      <c r="AU26" s="17">
        <f t="shared" ca="1" si="3"/>
        <v>45820</v>
      </c>
      <c r="AV26" s="13" t="s">
        <v>73</v>
      </c>
      <c r="AW26" s="31" t="s">
        <v>98</v>
      </c>
      <c r="AX26" s="32">
        <f t="array" aca="1" ref="AX26" ca="1">_xlfn.RANDARRAY(2,1,1023456789000,9999999999999,TRUE)</f>
        <v>2426567019774</v>
      </c>
      <c r="AY26" s="17" t="s">
        <v>99</v>
      </c>
      <c r="AZ26" s="17" t="s">
        <v>100</v>
      </c>
      <c r="BA26" s="13" t="s">
        <v>73</v>
      </c>
      <c r="BB26" s="31" t="s">
        <v>101</v>
      </c>
      <c r="BC26" s="32">
        <f t="array" aca="1" ref="BC26" ca="1">_xlfn.RANDARRAY(2,1,12345678,99999999,TRUE)</f>
        <v>58172015</v>
      </c>
      <c r="BD26" s="17" t="s">
        <v>99</v>
      </c>
      <c r="BE26" s="17" t="s">
        <v>102</v>
      </c>
      <c r="BF26" s="19" t="s">
        <v>103</v>
      </c>
      <c r="BG26" s="17">
        <v>31800</v>
      </c>
      <c r="BH26" s="13" t="s">
        <v>104</v>
      </c>
      <c r="BI26" s="13" t="s">
        <v>73</v>
      </c>
      <c r="BJ26" s="13" t="s">
        <v>105</v>
      </c>
      <c r="BK26" s="33" t="s">
        <v>89</v>
      </c>
      <c r="BL26" s="13" t="s">
        <v>106</v>
      </c>
      <c r="BM26" s="34" t="s">
        <v>107</v>
      </c>
      <c r="BN26" s="13" t="s">
        <v>108</v>
      </c>
      <c r="BO26" s="13" t="s">
        <v>73</v>
      </c>
      <c r="BP26" s="13" t="s">
        <v>109</v>
      </c>
      <c r="BQ26" s="13">
        <f t="array" aca="1" ref="BQ26" ca="1">_xlfn.RANDARRAY(2,1,12345,99999,TRUE)</f>
        <v>17616</v>
      </c>
      <c r="BR26" s="17">
        <v>44562</v>
      </c>
      <c r="BS26" s="17">
        <v>47119</v>
      </c>
      <c r="BT26" s="22">
        <v>44562</v>
      </c>
      <c r="BU26" s="22">
        <f t="shared" ca="1" si="4"/>
        <v>46178</v>
      </c>
      <c r="BV26" s="16" t="s">
        <v>110</v>
      </c>
    </row>
  </sheetData>
  <dataValidations count="2">
    <dataValidation type="list" allowBlank="1" showInputMessage="1" showErrorMessage="1" sqref="AH10:AH26 V10:V26 T10:T26 Q10:Q26 J10:J26 BL10:BL26" xr:uid="{00000000-0002-0000-0000-000000000000}">
      <formula1>INDIRECT($E2)</formula1>
    </dataValidation>
    <dataValidation type="list" allowBlank="1" showInputMessage="1" showErrorMessage="1" sqref="AH2:AH26 V2:V26 T2:T26 Q2:Q26 J2:J26 BL2:BL26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  <hyperlink ref="S17" r:id="rId16" xr:uid="{00000000-0004-0000-0000-00000F000000}"/>
    <hyperlink ref="S18" r:id="rId17" xr:uid="{00000000-0004-0000-0000-000010000000}"/>
    <hyperlink ref="S19" r:id="rId18" xr:uid="{00000000-0004-0000-0000-000011000000}"/>
    <hyperlink ref="S20" r:id="rId19" xr:uid="{00000000-0004-0000-0000-000012000000}"/>
    <hyperlink ref="S21" r:id="rId20" xr:uid="{00000000-0004-0000-0000-000013000000}"/>
    <hyperlink ref="S22" r:id="rId21" xr:uid="{00000000-0004-0000-0000-000014000000}"/>
    <hyperlink ref="S23" r:id="rId22" xr:uid="{00000000-0004-0000-0000-000015000000}"/>
    <hyperlink ref="S24" r:id="rId23" xr:uid="{00000000-0004-0000-0000-000016000000}"/>
    <hyperlink ref="S25" r:id="rId24" xr:uid="{00000000-0004-0000-0000-000017000000}"/>
    <hyperlink ref="S26" r:id="rId25" xr:uid="{00000000-0004-0000-0000-000018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2025-06-05T13:37:00Z</dcterms:modified>
</cp:coreProperties>
</file>