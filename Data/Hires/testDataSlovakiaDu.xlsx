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" name="Sheet2" state="visible" r:id="rId4"/>
  </sheets>
  <calcPr calcId="171027"/>
</workbook>
</file>

<file path=xl/sharedStrings.xml><?xml version="1.0" encoding="utf-8"?>
<sst xmlns="http://schemas.openxmlformats.org/spreadsheetml/2006/main" count="950" uniqueCount="181">
  <si>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</si>
  <si>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</si>
  <si>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</si>
  <si>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</si>
  <si>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</si>
  <si>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</si>
  <si>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</si>
  <si>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</si>
  <si>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</si>
  <si>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</si>
  <si>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</si>
  <si>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</t>
  </si>
  <si>
    <t>BuildingNumber</t>
  </si>
  <si>
    <t>StreetNumber</t>
  </si>
  <si>
    <t>PostalCode</t>
  </si>
  <si>
    <t>City</t>
  </si>
  <si>
    <t>County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</si>
  <si>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</si>
  <si>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</si>
  <si>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</si>
  <si>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</si>
  <si>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</si>
  <si>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</si>
  <si>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</si>
  <si>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</si>
  <si>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</si>
  <si>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</si>
  <si>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</si>
  <si>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DefaultWeeklyHours</t>
  </si>
  <si>
    <t>AdditionalJobClassifications</t>
  </si>
  <si>
    <t>WorkShift</t>
  </si>
  <si>
    <t>EndEmploymentDate</t>
  </si>
  <si>
    <t>Comments</t>
  </si>
  <si>
    <t>CostCenter</t>
  </si>
  <si>
    <t>DepartmentSection1</t>
  </si>
  <si>
    <t>ProposedPayGroupInitial</t>
  </si>
  <si>
    <t>ProposedPayGroupFinal</t>
  </si>
  <si>
    <t>MealVoucher</t>
  </si>
  <si>
    <t>HealthInsuranceType</t>
  </si>
  <si>
    <t>YoungParent</t>
  </si>
  <si>
    <t>TaxFreeAmount</t>
  </si>
  <si>
    <t>TaxFreeAmountEffectiveDate</t>
  </si>
  <si>
    <t>PensioneffectiveDate</t>
  </si>
  <si>
    <t>Child</t>
  </si>
  <si>
    <t>DependentName</t>
  </si>
  <si>
    <t>DependentChildBirthNumber</t>
  </si>
  <si>
    <t>TaxBonus</t>
  </si>
  <si>
    <t>TaxBonusEffectiveDate</t>
  </si>
  <si>
    <t>ProbationReviewDate</t>
  </si>
  <si>
    <t>ContractReason</t>
  </si>
  <si>
    <t>ContractID</t>
  </si>
  <si>
    <t>ContractType</t>
  </si>
  <si>
    <t>Status</t>
  </si>
  <si>
    <t>DateEmployeeSigned</t>
  </si>
  <si>
    <t>DateEmployerSigned</t>
  </si>
  <si>
    <t>ContractEndDate</t>
  </si>
  <si>
    <t>Country1</t>
  </si>
  <si>
    <t>NationalIDType1</t>
  </si>
  <si>
    <t>DepartmentSection</t>
  </si>
  <si>
    <t>Gender</t>
  </si>
  <si>
    <t>DateOfBirth</t>
  </si>
  <si>
    <t>CityOfBirth</t>
  </si>
  <si>
    <t>MaritalStatus</t>
  </si>
  <si>
    <t>MaritalStatusDate</t>
  </si>
  <si>
    <t>CitizenshipStatus</t>
  </si>
  <si>
    <t>PrimaryNationality</t>
  </si>
  <si>
    <t>BankName</t>
  </si>
  <si>
    <t>BankCode</t>
  </si>
  <si>
    <t>AccountType</t>
  </si>
  <si>
    <t>AccountNumber</t>
  </si>
  <si>
    <t>IBAN</t>
  </si>
  <si>
    <t>Test1</t>
  </si>
  <si>
    <t xml:space="preserve">Test failed for 'Hilbert Gorczany' Employee:{undefined}TimeoutError: locator.click: Timeout 30000ms exceeded.
Call log:
  [2m- waiting for locator('text=ID Change: Hilbert Gorczany')[22m
</t>
  </si>
  <si>
    <t>Failed</t>
  </si>
  <si>
    <t>870 Recruitment (Fovaj Gusozu (9581610))</t>
  </si>
  <si>
    <t>Slovakia</t>
  </si>
  <si>
    <t>Hilbert</t>
  </si>
  <si>
    <t>Gorczany</t>
  </si>
  <si>
    <t>041/562 66 84</t>
  </si>
  <si>
    <t>Mobile</t>
  </si>
  <si>
    <t>Home</t>
  </si>
  <si>
    <t>N/A</t>
  </si>
  <si>
    <t xml:space="preserve">Vysoká </t>
  </si>
  <si>
    <t>Holíč</t>
  </si>
  <si>
    <t>Street Address</t>
  </si>
  <si>
    <t>department@retailassistant.com</t>
  </si>
  <si>
    <t>New Hire</t>
  </si>
  <si>
    <t>No</t>
  </si>
  <si>
    <t>Fixed Term (Fixed Term)</t>
  </si>
  <si>
    <t>Retail Assistant_NEW</t>
  </si>
  <si>
    <t>Full Time</t>
  </si>
  <si>
    <t>Salary</t>
  </si>
  <si>
    <t>38.75</t>
  </si>
  <si>
    <t>2 - 2 (Slovakia Degree of Labour Difficulty-Slovakia)@5223001</t>
  </si>
  <si>
    <t>5 Days</t>
  </si>
  <si>
    <t>Automation Comments here….</t>
  </si>
  <si>
    <t>94 Retail Operatives</t>
  </si>
  <si>
    <t>01 Accessories</t>
  </si>
  <si>
    <t>Please select a Slovakia Pay Group</t>
  </si>
  <si>
    <t>SK Monthly</t>
  </si>
  <si>
    <t xml:space="preserve">Meal Voucher Card </t>
  </si>
  <si>
    <t>Všeobecná zdrav. Poisť.</t>
  </si>
  <si>
    <t>Yes</t>
  </si>
  <si>
    <t>ChildOne</t>
  </si>
  <si>
    <t>02/04/2024</t>
  </si>
  <si>
    <t>Main</t>
  </si>
  <si>
    <t xml:space="preserve">Defaulted
</t>
  </si>
  <si>
    <t>Definite</t>
  </si>
  <si>
    <t>Active</t>
  </si>
  <si>
    <t>Personal ID Number (RC)</t>
  </si>
  <si>
    <t>Male</t>
  </si>
  <si>
    <t>10/02/1990</t>
  </si>
  <si>
    <t>Bratislava</t>
  </si>
  <si>
    <t>Single (Slovakia)</t>
  </si>
  <si>
    <t>Citizen (Slovakia)</t>
  </si>
  <si>
    <t>Nation Bank of Slovakia</t>
  </si>
  <si>
    <t>KODBSKBXXXX</t>
  </si>
  <si>
    <t>Checking</t>
  </si>
  <si>
    <t>0012345678</t>
  </si>
  <si>
    <t>SK8975000000000012345671</t>
  </si>
  <si>
    <t>Test2</t>
  </si>
  <si>
    <t>870 Store Management (Fovaj Gusozu (9581610))</t>
  </si>
  <si>
    <t>Tara</t>
  </si>
  <si>
    <t>Crist</t>
  </si>
  <si>
    <t>Auto 26432776</t>
  </si>
  <si>
    <t>Permanent</t>
  </si>
  <si>
    <t>Store Manager_NEW</t>
  </si>
  <si>
    <t>870 Bratislava Eurovea II</t>
  </si>
  <si>
    <t>92 Retail Management</t>
  </si>
  <si>
    <t>251 Management Retail</t>
  </si>
  <si>
    <t>Financial Contribution</t>
  </si>
  <si>
    <t>Union</t>
  </si>
  <si>
    <t>Indefinite</t>
  </si>
  <si>
    <t>Female</t>
  </si>
  <si>
    <t>Test3</t>
  </si>
  <si>
    <t>In-Store P&amp;C Assistant_NEW</t>
  </si>
  <si>
    <t>Part Time</t>
  </si>
  <si>
    <t>250 Human Resources Retail</t>
  </si>
  <si>
    <t>No Insurance (Žiadne</t>
  </si>
  <si>
    <t>Test4</t>
  </si>
  <si>
    <t>Auto 22102024 024221</t>
  </si>
  <si>
    <t>Team Manager - Retail_NEW</t>
  </si>
  <si>
    <t>None</t>
  </si>
  <si>
    <t>Dôvera</t>
  </si>
  <si>
    <t>Test5</t>
  </si>
  <si>
    <t xml:space="preserve">In-Store P&amp;C Supervisor_NEW  </t>
  </si>
  <si>
    <t>Married (Slovakia)</t>
  </si>
  <si>
    <t>10/02/2021</t>
  </si>
  <si>
    <t>Test6</t>
  </si>
  <si>
    <t>Auto 22102024 032409</t>
  </si>
  <si>
    <t>In-Store P&amp;C Manager_NEW</t>
  </si>
  <si>
    <t>Test7</t>
  </si>
  <si>
    <t>Auto 22102024 034604</t>
  </si>
  <si>
    <t>Assistant Store Manager_NEW</t>
  </si>
  <si>
    <t>Test8</t>
  </si>
  <si>
    <t>Auto 22102024 040751</t>
  </si>
  <si>
    <t>Department Manager_NEW</t>
  </si>
  <si>
    <t>Test9</t>
  </si>
  <si>
    <t>Auto 22102024 042952</t>
  </si>
  <si>
    <t>Visual Merchandising Manager_NEW</t>
  </si>
  <si>
    <t>Test10</t>
  </si>
  <si>
    <t>Retail Assistant Cash Office_NEW</t>
  </si>
  <si>
    <t>258 Cash Office</t>
  </si>
  <si>
    <t>Test11</t>
  </si>
  <si>
    <t>Retail Assistant Stockroom_NEW</t>
  </si>
  <si>
    <t>255 Stockroom</t>
  </si>
  <si>
    <t>Test12</t>
  </si>
  <si>
    <t>Agreement</t>
  </si>
  <si>
    <t>Retail Assistant Special Contracts_NEW</t>
  </si>
  <si>
    <t>Hourly</t>
  </si>
  <si>
    <t>07 Footwear</t>
  </si>
  <si>
    <t>Agreement on Student Work (DBPS)</t>
  </si>
  <si>
    <t>Test13</t>
  </si>
  <si>
    <t>Visual Merchandiser_NEW</t>
  </si>
  <si>
    <t>256 Visual Merchandising</t>
  </si>
  <si>
    <t>Test14</t>
  </si>
  <si>
    <t>Operational Support_NEW</t>
  </si>
  <si>
    <t>260 Fitting Rooms</t>
  </si>
  <si>
    <t>Test15</t>
  </si>
  <si>
    <t>08 Ladieswear</t>
  </si>
  <si>
    <t>Agreement to Complete a Job (DVP)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</si>
</sst>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5" x14ac:knownFonts="1">
    <font>
      <color theme="1"/>
      <family val="2"/>
      <scheme val="minor"/>
      <sz val="11"/>
      <name val="Calibri"/>
    </font>
    <font>
      <color rgb="FFFF0000"/>
      <family val="2"/>
      <scheme val="minor"/>
      <sz val="11"/>
      <name val="Calibri"/>
    </font>
    <font>
      <family val="2"/>
      <scheme val="minor"/>
      <sz val="11"/>
      <name val="Calibri"/>
    </font>
    <font>
      <color theme="1"/>
      <family val="2"/>
      <sz val="14"/>
      <name val="Arial"/>
    </font>
    <font>
      <u/>
      <family val="2"/>
      <scheme val="minor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rgb="FFFF0000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/>
      <bottom style="thin"/>
      <diagonal/>
    </border>
    <border>
      <left style="medium">
        <color indexed="64"/>
      </left>
      <right style="thin"/>
      <top style="thin"/>
      <bottom style="thin"/>
      <diagonal/>
    </border>
    <border>
      <left style="medium">
        <color indexed="64"/>
      </left>
      <right style="medium">
        <color indexed="64"/>
      </right>
      <top style="thin"/>
      <bottom/>
      <diagonal/>
    </border>
    <border>
      <left style="thin"/>
      <right style="thin"/>
      <top style="thin"/>
      <bottom style="thin"/>
      <diagonal/>
    </border>
    <border>
      <left style="medium">
        <color indexed="64"/>
      </left>
      <right style="medium">
        <color indexed="64"/>
      </right>
      <top/>
      <bottom style="thin"/>
      <diagonal/>
    </border>
    <border>
      <left style="medium">
        <color indexed="64"/>
      </left>
      <right style="medium">
        <color indexed="64"/>
      </right>
      <top style="thin"/>
      <bottom style="medium">
        <color indexed="64"/>
      </bottom>
      <diagonal/>
    </border>
    <border>
      <left style="thin"/>
      <right style="thin"/>
      <top style="thin"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2" borderId="0" xfId="0" applyNumberFormat="1" applyFill="1"/>
    <xf numFmtId="0" fontId="1" fillId="2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 wrapText="1"/>
    </xf>
    <xf numFmtId="49" fontId="2" fillId="2" borderId="6" xfId="0" applyNumberFormat="1" applyFont="1" applyFill="1" applyBorder="1" applyAlignment="1">
      <alignment horizontal="left" wrapText="1"/>
    </xf>
    <xf numFmtId="0" fontId="0" fillId="3" borderId="0" xfId="0" applyFill="1" applyAlignment="1">
      <alignment horizontal="left"/>
    </xf>
    <xf numFmtId="0" fontId="1" fillId="0" borderId="4" xfId="0" applyFont="1" applyBorder="1"/>
    <xf numFmtId="0" fontId="2" fillId="0" borderId="4" xfId="0" applyFont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3" fillId="4" borderId="4" xfId="0" applyFont="1" applyFill="1" applyBorder="1"/>
    <xf numFmtId="0" fontId="2" fillId="0" borderId="4" xfId="0" applyFont="1" applyBorder="1" applyAlignment="1" applyProtection="1">
      <alignment horizontal="left"/>
      <protection locked="0"/>
    </xf>
    <xf numFmtId="14" fontId="2" fillId="0" borderId="4" xfId="0" applyNumberFormat="1" applyFont="1" applyBorder="1" applyAlignment="1">
      <alignment horizontal="left"/>
    </xf>
    <xf numFmtId="0" fontId="4" fillId="0" borderId="4" xfId="0" applyFont="1" applyBorder="1" applyAlignment="1" applyProtection="1">
      <alignment horizontal="left"/>
      <protection locked="0"/>
    </xf>
    <xf numFmtId="14" fontId="1" fillId="0" borderId="4" xfId="0" applyNumberFormat="1" applyFont="1" applyBorder="1" applyAlignment="1">
      <alignment horizontal="left"/>
    </xf>
    <xf numFmtId="14" fontId="2" fillId="4" borderId="4" xfId="0" applyNumberFormat="1" applyFont="1" applyFill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0" fontId="2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/>
    </xf>
    <xf numFmtId="14" fontId="2" fillId="0" borderId="4" xfId="0" applyNumberFormat="1" applyFont="1" applyBorder="1" applyAlignment="1" applyProtection="1">
      <alignment horizontal="left" wrapText="1"/>
      <protection locked="0"/>
    </xf>
    <xf numFmtId="0" fontId="2" fillId="0" borderId="4" xfId="0" applyFont="1" applyBorder="1" applyAlignment="1" applyProtection="1">
      <alignment horizontal="left" wrapText="1"/>
      <protection locked="0"/>
    </xf>
    <xf numFmtId="164" fontId="2" fillId="0" borderId="4" xfId="0" applyNumberFormat="1" applyFont="1" applyBorder="1" applyAlignment="1" applyProtection="1">
      <alignment horizontal="left"/>
      <protection locked="0"/>
    </xf>
    <xf numFmtId="164" fontId="2" fillId="0" borderId="7" xfId="0" applyNumberFormat="1" applyFont="1" applyBorder="1" applyAlignment="1" applyProtection="1">
      <alignment horizontal="left"/>
      <protection locked="0"/>
    </xf>
    <xf numFmtId="1" fontId="0" fillId="5" borderId="4" xfId="0" applyNumberFormat="1" applyFill="1" applyBorder="1"/>
    <xf numFmtId="0" fontId="2" fillId="0" borderId="8" xfId="0" applyFont="1" applyBorder="1" applyAlignment="1">
      <alignment horizontal="left"/>
    </xf>
    <xf numFmtId="15" fontId="2" fillId="0" borderId="4" xfId="0" applyNumberFormat="1" applyFont="1" applyBorder="1" applyAlignment="1">
      <alignment horizontal="left"/>
    </xf>
    <xf numFmtId="49" fontId="2" fillId="0" borderId="4" xfId="0" applyNumberFormat="1" applyFont="1" applyBorder="1" applyAlignment="1" applyProtection="1">
      <alignment horizontal="left" wrapText="1"/>
      <protection locked="0"/>
    </xf>
    <xf numFmtId="49" fontId="2" fillId="0" borderId="4" xfId="0" applyNumberFormat="1" applyFont="1" applyBorder="1" applyAlignment="1">
      <alignment wrapText="1"/>
    </xf>
    <xf numFmtId="0" fontId="0" fillId="0" borderId="0" xfId="0" applyAlignment="1">
      <alignment horizontal="left" wrapText="1"/>
    </xf>
    <xf numFmtId="1" fontId="0" fillId="0" borderId="0" xfId="0" applyNumberFormat="1" applyAlignment="1">
      <alignment horizontal="left"/>
    </xf>
    <xf numFmtId="0" fontId="0" fillId="0" borderId="4" xfId="0" applyBorder="1"/>
    <xf numFmtId="1" fontId="2" fillId="0" borderId="4" xfId="0" applyNumberFormat="1" applyFont="1" applyBorder="1" applyAlignment="1" applyProtection="1">
      <alignment horizontal="left" wrapText="1"/>
      <protection locked="0"/>
    </xf>
    <xf numFmtId="0" fontId="2" fillId="0" borderId="4" xfId="0" applyFont="1" applyBorder="1" applyAlignment="1">
      <alignment horizontal="left" wrapText="1"/>
    </xf>
    <xf numFmtId="49" fontId="0" fillId="0" borderId="0" xfId="0" applyNumberFormat="1"/>
    <xf numFmtId="49" fontId="0" fillId="0" borderId="0" xfId="0" applyNumberFormat="1" applyAlignment="1">
      <alignment wrapText="1"/>
    </xf>
    <xf numFmtId="14" fontId="2" fillId="0" borderId="4" xfId="0" applyNumberFormat="1" applyFont="1" applyBorder="1" applyAlignment="1">
      <alignment horizontal="left" wrapText="1"/>
    </xf>
    <xf numFmtId="0" fontId="2" fillId="0" borderId="4" xfId="0" applyFont="1" applyBorder="1" applyAlignment="1" applyProtection="1">
      <alignment wrapText="1"/>
      <protection locked="0"/>
    </xf>
    <xf numFmtId="0" fontId="4" fillId="0" borderId="4" xfId="0" applyFont="1" applyBorder="1" applyAlignment="1" applyProtection="1">
      <alignment wrapText="1"/>
      <protection locked="0"/>
    </xf>
    <xf numFmtId="14" fontId="1" fillId="0" borderId="4" xfId="0" applyNumberFormat="1" applyFont="1" applyBorder="1" applyAlignment="1">
      <alignment horizontal="left" wrapText="1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vertical="center" wrapText="1"/>
    </xf>
    <xf numFmtId="164" fontId="2" fillId="0" borderId="4" xfId="0" applyNumberFormat="1" applyFont="1" applyBorder="1" applyAlignment="1" applyProtection="1">
      <alignment horizontal="left" wrapText="1"/>
      <protection locked="0"/>
    </xf>
    <xf numFmtId="1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department@storemanager.com" TargetMode="External"/><Relationship Id="rId2" Type="http://schemas.openxmlformats.org/officeDocument/2006/relationships/hyperlink" Target="mailto:department@storemanager.com" TargetMode="External"/><Relationship Id="rId3" Type="http://schemas.openxmlformats.org/officeDocument/2006/relationships/hyperlink" Target="mailto:department@storemanager.com" TargetMode="External"/><Relationship Id="rId4" Type="http://schemas.openxmlformats.org/officeDocument/2006/relationships/hyperlink" Target="mailto:department@storemanager.com" TargetMode="External"/><Relationship Id="rId5" Type="http://schemas.openxmlformats.org/officeDocument/2006/relationships/hyperlink" Target="mailto:department@storemanager.com" TargetMode="External"/><Relationship Id="rId6" Type="http://schemas.openxmlformats.org/officeDocument/2006/relationships/hyperlink" Target="mailto:department@storemanager.com" TargetMode="External"/><Relationship Id="rId7" Type="http://schemas.openxmlformats.org/officeDocument/2006/relationships/hyperlink" Target="mailto:department@storemanager.com" TargetMode="External"/><Relationship Id="rId8" Type="http://schemas.openxmlformats.org/officeDocument/2006/relationships/hyperlink" Target="mailto:department@storemanager.com" TargetMode="External"/><Relationship Id="rId9" Type="http://schemas.openxmlformats.org/officeDocument/2006/relationships/hyperlink" Target="mailto:department@storemanager.com" TargetMode="External"/><Relationship Id="rId10" Type="http://schemas.openxmlformats.org/officeDocument/2006/relationships/hyperlink" Target="mailto:department@storemanager.com" TargetMode="External"/><Relationship Id="rId11" Type="http://schemas.openxmlformats.org/officeDocument/2006/relationships/hyperlink" Target="mailto:department@storemanager.com" TargetMode="External"/><Relationship Id="rId12" Type="http://schemas.openxmlformats.org/officeDocument/2006/relationships/hyperlink" Target="mailto:department@storemanager.com" TargetMode="External"/><Relationship Id="rId13" Type="http://schemas.openxmlformats.org/officeDocument/2006/relationships/hyperlink" Target="mailto:department@storemanager.com" TargetMode="External"/><Relationship Id="rId14" Type="http://schemas.openxmlformats.org/officeDocument/2006/relationships/hyperlink" Target="mailto:department@storemanager.com" TargetMode="External"/><Relationship Id="rId15" Type="http://schemas.openxmlformats.org/officeDocument/2006/relationships/hyperlink" Target="mailto:department@storemanag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36"/>
  <sheetViews>
    <sheetView workbookViewId="0" zoomScale="100" zoomScaleNormal="100">
      <selection activeCell="Y2" sqref="Y2"/>
    </sheetView>
  </sheetViews>
  <sheetFormatPr defaultRowHeight="15.65" outlineLevelRow="1" outlineLevelCol="0" x14ac:dyDescent="0.35" customHeight="1"/>
  <cols>
    <col min="1" max="2" width="10.81640625" style="1" customWidth="1"/>
    <col min="3" max="3" width="9.36328125" style="1" customWidth="1"/>
    <col min="4" max="4" width="21.453125" style="1" customWidth="1"/>
    <col min="5" max="5" width="7.54296875" style="1" customWidth="1"/>
    <col min="6" max="6" width="10.453125" style="1" customWidth="1"/>
    <col min="7" max="7" width="11.08984375" style="1" customWidth="1"/>
    <col min="8" max="8" width="13" style="1" customWidth="1"/>
    <col min="9" max="9" width="11.54296875" style="1" customWidth="1"/>
    <col min="10" max="10" width="5.81640625" style="1" customWidth="1"/>
    <col min="11" max="11" width="11.81640625" style="1" customWidth="1"/>
    <col min="12" max="12" width="7.54296875" style="1" customWidth="1"/>
    <col min="13" max="13" width="7.08984375" style="1" customWidth="1"/>
    <col min="14" max="14" width="14.36328125" style="2" customWidth="1"/>
    <col min="15" max="15" width="12.54296875" style="1" customWidth="1"/>
    <col min="16" max="16" width="10.08984375" style="1" customWidth="1"/>
    <col min="17" max="17" width="4.90625" style="1" customWidth="1"/>
    <col min="18" max="18" width="7.54296875" style="1" customWidth="1"/>
    <col min="19" max="19" width="5.81640625" style="1" customWidth="1"/>
    <col min="20" max="20" width="13" style="1" customWidth="1"/>
    <col min="21" max="21" width="28.54296875" style="1" customWidth="1"/>
    <col min="22" max="22" width="5.81640625" style="1" customWidth="1"/>
    <col min="23" max="23" width="10.453125" style="1" customWidth="1"/>
    <col min="24" max="24" width="8.453125" style="1" customWidth="1"/>
    <col min="25" max="25" width="19.90625" style="1" customWidth="1"/>
    <col min="26" max="26" width="13.08984375" style="2" customWidth="1"/>
    <col min="27" max="27" width="33.54296875" style="1" customWidth="1"/>
    <col min="28" max="28" width="8.90625" style="1" customWidth="1"/>
    <col min="29" max="29" width="21.453125" style="1" customWidth="1"/>
    <col min="30" max="30" width="11.453125" style="1" customWidth="1"/>
    <col min="31" max="31" width="20.6328125" style="1" customWidth="1"/>
    <col min="32" max="32" width="18.1796875" style="1" customWidth="1"/>
    <col min="33" max="33" width="52.54296875" style="1" customWidth="1"/>
    <col min="34" max="34" width="14.81640625" style="1" customWidth="1"/>
    <col min="35" max="35" width="18.6328125" style="1" customWidth="1"/>
    <col min="36" max="36" width="26.7265625" style="1" customWidth="1"/>
    <col min="37" max="37" width="19.6328125" style="1" customWidth="1"/>
    <col min="38" max="38" width="24.6328125" style="1" customWidth="1"/>
    <col min="39" max="39" width="29.453125" style="1" customWidth="1"/>
    <col min="40" max="40" width="21.08984375" style="1" customWidth="1"/>
    <col min="41" max="41" width="19.26953125" style="1" customWidth="1"/>
    <col min="42" max="42" width="20.6328125" style="1" customWidth="1"/>
    <col min="43" max="43" width="11.453125" style="1" customWidth="1"/>
    <col min="44" max="44" width="14.1796875" style="1" customWidth="1"/>
    <col min="45" max="45" width="25.453125" style="1" customWidth="1"/>
    <col min="46" max="46" width="18.54296875" style="1" customWidth="1"/>
    <col min="47" max="47" width="5" style="1" customWidth="1"/>
    <col min="48" max="48" width="15.08984375" style="1" customWidth="1"/>
    <col min="49" max="49" width="25.453125" style="1" customWidth="1"/>
    <col min="50" max="50" width="8.90625" style="1" customWidth="1"/>
    <col min="51" max="51" width="20.08984375" style="1" customWidth="1"/>
    <col min="52" max="52" width="19" style="1" customWidth="1"/>
    <col min="53" max="53" width="31" style="1" customWidth="1"/>
    <col min="54" max="54" width="10" style="2" customWidth="1"/>
    <col min="55" max="55" width="11.90625" style="2" customWidth="1"/>
    <col min="56" max="56" width="5.90625" style="2" customWidth="1"/>
    <col min="57" max="57" width="18.54296875" style="1" customWidth="1"/>
    <col min="58" max="58" width="18.26953125" style="1" customWidth="1"/>
    <col min="59" max="59" width="15.08984375" style="1" customWidth="1"/>
    <col min="60" max="60" width="8.453125" style="1" customWidth="1"/>
    <col min="61" max="61" width="21.7265625" style="1" customWidth="1"/>
    <col min="62" max="62" width="21.90625" style="1" customWidth="1"/>
    <col min="63" max="63" width="7" style="1" customWidth="1"/>
    <col min="64" max="64" width="10.7265625" style="1" customWidth="1"/>
    <col min="65" max="65" width="9.90625" style="1" customWidth="1"/>
    <col min="66" max="66" width="16.08984375" style="1" customWidth="1"/>
    <col min="67" max="67" width="15.90625" style="1" customWidth="1"/>
    <col min="68" max="68" width="15" style="1" customWidth="1"/>
    <col min="69" max="69" width="16.36328125" style="1" customWidth="1"/>
    <col min="70" max="70" width="20.453125" style="1" customWidth="1"/>
    <col min="71" max="71" width="12.54296875" style="1" customWidth="1"/>
    <col min="72" max="72" width="11.54296875" style="1" customWidth="1"/>
    <col min="73" max="73" width="14.453125" style="1" customWidth="1"/>
    <col min="74" max="74" width="25" style="1" customWidth="1"/>
    <col min="75" max="75" width="15" style="1" customWidth="1"/>
    <col min="76" max="76" width="16.36328125" style="1" customWidth="1"/>
    <col min="77" max="77" width="9.81640625" style="1" customWidth="1"/>
    <col min="78" max="78" width="9.1796875" style="1" customWidth="1"/>
    <col min="79" max="79" width="11.54296875" style="1" customWidth="1"/>
    <col min="80" max="80" width="14.453125" style="1" customWidth="1"/>
    <col min="81" max="81" width="4.90625" style="1" customWidth="1"/>
    <col min="82" max="82" width="9.7265625" style="1" customWidth="1"/>
    <col min="83" max="83" width="7.453125" style="1" customWidth="1"/>
    <col min="84" max="84" width="11.453125" style="1" customWidth="1"/>
    <col min="85" max="85" width="12.08984375" style="1" customWidth="1"/>
    <col min="86" max="86" width="8.7265625" customWidth="1"/>
  </cols>
  <sheetData>
    <row r="1" ht="14.5" customHeight="1" spans="1:85" s="3" customFormat="1" x14ac:dyDescent="0.25" outlineLevel="1" collapsed="1">
      <c r="A1" s="2" t="s">
        <v>0</v>
      </c>
      <c r="B1" s="2" t="s">
        <v>1</v>
      </c>
      <c r="C1" s="2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4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9</v>
      </c>
      <c r="T1" s="5" t="s">
        <v>17</v>
      </c>
      <c r="U1" s="5" t="s">
        <v>18</v>
      </c>
      <c r="V1" s="5" t="s">
        <v>9</v>
      </c>
      <c r="W1" s="4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4" t="s">
        <v>31</v>
      </c>
      <c r="AJ1" s="5" t="s">
        <v>32</v>
      </c>
      <c r="AK1" s="5" t="s">
        <v>33</v>
      </c>
      <c r="AL1" s="5" t="s">
        <v>34</v>
      </c>
      <c r="AM1" s="5" t="s">
        <v>35</v>
      </c>
      <c r="AN1" s="5" t="s">
        <v>36</v>
      </c>
      <c r="AO1" s="5" t="s">
        <v>37</v>
      </c>
      <c r="AP1" s="6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6" t="s">
        <v>43</v>
      </c>
      <c r="AV1" s="6" t="s">
        <v>44</v>
      </c>
      <c r="AW1" s="6" t="s">
        <v>45</v>
      </c>
      <c r="AX1" s="6" t="s">
        <v>46</v>
      </c>
      <c r="AY1" s="7" t="s">
        <v>47</v>
      </c>
      <c r="AZ1" s="6" t="s">
        <v>48</v>
      </c>
      <c r="BA1" s="5" t="s">
        <v>49</v>
      </c>
      <c r="BB1" s="5" t="s">
        <v>50</v>
      </c>
      <c r="BC1" s="5" t="s">
        <v>51</v>
      </c>
      <c r="BD1" s="5" t="s">
        <v>52</v>
      </c>
      <c r="BE1" s="5" t="s">
        <v>53</v>
      </c>
      <c r="BF1" s="5" t="s">
        <v>54</v>
      </c>
      <c r="BG1" s="4" t="s">
        <v>55</v>
      </c>
      <c r="BH1" s="5" t="s">
        <v>56</v>
      </c>
      <c r="BI1" s="8" t="s">
        <v>57</v>
      </c>
      <c r="BJ1" s="9" t="s">
        <v>58</v>
      </c>
      <c r="BK1" s="10" t="s">
        <v>59</v>
      </c>
      <c r="BL1" s="5" t="s">
        <v>60</v>
      </c>
      <c r="BM1" s="5" t="s">
        <v>61</v>
      </c>
      <c r="BN1" s="5" t="s">
        <v>62</v>
      </c>
      <c r="BO1" s="5" t="s">
        <v>63</v>
      </c>
      <c r="BP1" s="5" t="s">
        <v>64</v>
      </c>
      <c r="BQ1" s="5" t="s">
        <v>65</v>
      </c>
      <c r="BR1" s="5" t="s">
        <v>66</v>
      </c>
      <c r="BS1" s="5" t="s">
        <v>67</v>
      </c>
      <c r="BT1" s="5" t="s">
        <v>68</v>
      </c>
      <c r="BU1" s="5" t="s">
        <v>69</v>
      </c>
      <c r="BV1" s="5" t="s">
        <v>70</v>
      </c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2"/>
    </row>
    <row r="2" ht="15.65" customHeight="1" spans="1:85" x14ac:dyDescent="0.25">
      <c r="A2" s="1" t="s">
        <v>71</v>
      </c>
      <c r="B2" s="1" t="s">
        <v>72</v>
      </c>
      <c r="C2" s="13" t="s">
        <v>73</v>
      </c>
      <c r="D2" s="14" t="s">
        <v>74</v>
      </c>
      <c r="E2" s="15" t="s">
        <v>75</v>
      </c>
      <c r="F2" s="16" t="s">
        <v>76</v>
      </c>
      <c r="G2" s="17" t="s">
        <v>77</v>
      </c>
      <c r="H2" s="15" t="s">
        <v>78</v>
      </c>
      <c r="I2" s="18" t="s">
        <v>79</v>
      </c>
      <c r="J2" s="18" t="s">
        <v>80</v>
      </c>
      <c r="K2" s="19" t="s">
        <v>81</v>
      </c>
      <c r="L2" s="15" t="s">
        <v>75</v>
      </c>
      <c r="M2" s="18" t="s">
        <v>82</v>
      </c>
      <c r="N2" s="18">
        <v>1</v>
      </c>
      <c r="O2" s="18">
        <v>1612</v>
      </c>
      <c r="P2" s="18">
        <v>90851</v>
      </c>
      <c r="Q2" s="18" t="s">
        <v>83</v>
      </c>
      <c r="R2" s="18" t="s">
        <v>75</v>
      </c>
      <c r="S2" s="18" t="s">
        <v>80</v>
      </c>
      <c r="T2" s="19" t="s">
        <v>84</v>
      </c>
      <c r="U2" s="20" t="s">
        <v>85</v>
      </c>
      <c r="V2" s="18" t="s">
        <v>80</v>
      </c>
      <c r="W2" s="21">
        <f t="shared" ref="W2:W16" si="0">TODAY()-31</f>
        <v>45558</v>
      </c>
      <c r="X2" s="18" t="s">
        <v>86</v>
      </c>
      <c r="Y2" s="22" t="s">
        <v>87</v>
      </c>
      <c r="Z2" s="23" t="s">
        <v>88</v>
      </c>
      <c r="AA2" s="24" t="s">
        <v>89</v>
      </c>
      <c r="AB2" s="19" t="s">
        <v>90</v>
      </c>
      <c r="AC2" s="15">
        <v>870</v>
      </c>
      <c r="AD2" s="15" t="s">
        <v>91</v>
      </c>
      <c r="AE2" s="15" t="s">
        <v>92</v>
      </c>
      <c r="AF2" s="15" t="s">
        <v>81</v>
      </c>
      <c r="AG2" s="15" t="s">
        <v>93</v>
      </c>
      <c r="AH2" s="15" t="s">
        <v>94</v>
      </c>
      <c r="AI2" s="21">
        <f>TODAY()+365</f>
        <v>45954</v>
      </c>
      <c r="AJ2" s="18" t="s">
        <v>95</v>
      </c>
      <c r="AK2" s="25" t="s">
        <v>96</v>
      </c>
      <c r="AL2" s="25" t="s">
        <v>97</v>
      </c>
      <c r="AM2" s="18" t="s">
        <v>98</v>
      </c>
      <c r="AN2" s="18" t="s">
        <v>99</v>
      </c>
      <c r="AO2" s="24" t="s">
        <v>100</v>
      </c>
      <c r="AP2" s="26" t="s">
        <v>101</v>
      </c>
      <c r="AQ2" s="15" t="s">
        <v>87</v>
      </c>
      <c r="AR2" s="15" t="s">
        <v>87</v>
      </c>
      <c r="AS2" s="19" t="s">
        <v>81</v>
      </c>
      <c r="AT2" s="19" t="s">
        <v>81</v>
      </c>
      <c r="AU2" s="26" t="s">
        <v>102</v>
      </c>
      <c r="AV2" s="26" t="s">
        <v>103</v>
      </c>
      <c r="AW2" s="27">
        <v>1234567891</v>
      </c>
      <c r="AX2" s="15" t="s">
        <v>87</v>
      </c>
      <c r="AY2" s="21" t="s">
        <v>104</v>
      </c>
      <c r="AZ2" s="19">
        <f t="shared" ref="AZ2:AZ16" si="1">TODAY()+90</f>
        <v>45679</v>
      </c>
      <c r="BA2" s="15" t="s">
        <v>105</v>
      </c>
      <c r="BB2" s="18" t="s">
        <v>106</v>
      </c>
      <c r="BC2" s="15" t="s">
        <v>107</v>
      </c>
      <c r="BD2" s="18" t="s">
        <v>108</v>
      </c>
      <c r="BE2" s="19">
        <f t="shared" ref="BE2:BE16" si="2">W2</f>
        <v>45558</v>
      </c>
      <c r="BF2" s="19">
        <f t="shared" ref="BF2:BF16" si="3">W2</f>
        <v>45558</v>
      </c>
      <c r="BG2" s="21">
        <f t="shared" ref="BG2:BG16" si="4">AI2</f>
        <v>45954</v>
      </c>
      <c r="BH2" s="28" t="s">
        <v>75</v>
      </c>
      <c r="BI2" s="29" t="s">
        <v>109</v>
      </c>
      <c r="BJ2" s="30">
        <f t="array" ref="BJ2:BJ16">_xlfn.RANDARRAY(15,1,1234567890,9999999999,TRUE)</f>
        <v>4512588513</v>
      </c>
      <c r="BK2" s="31" t="s">
        <v>110</v>
      </c>
      <c r="BL2" s="19" t="s">
        <v>111</v>
      </c>
      <c r="BM2" s="28" t="s">
        <v>112</v>
      </c>
      <c r="BN2" s="28" t="s">
        <v>113</v>
      </c>
      <c r="BO2" s="32" t="s">
        <v>81</v>
      </c>
      <c r="BP2" s="28" t="s">
        <v>114</v>
      </c>
      <c r="BQ2" s="28" t="s">
        <v>75</v>
      </c>
      <c r="BR2" s="15" t="s">
        <v>115</v>
      </c>
      <c r="BS2" s="15" t="s">
        <v>116</v>
      </c>
      <c r="BT2" s="28" t="s">
        <v>117</v>
      </c>
      <c r="BU2" s="28" t="s">
        <v>118</v>
      </c>
      <c r="BV2" s="28" t="s">
        <v>119</v>
      </c>
      <c r="BW2" s="33"/>
      <c r="BX2" s="33"/>
      <c r="BY2" s="34"/>
      <c r="BZ2" s="34"/>
      <c r="CA2" s="33"/>
      <c r="CB2" s="33"/>
      <c r="CC2" s="33"/>
      <c r="CD2" s="33"/>
      <c r="CE2" s="33"/>
      <c r="CF2" s="33"/>
      <c r="CG2" s="33"/>
    </row>
    <row r="3" ht="15.65" customHeight="1" spans="1:85" x14ac:dyDescent="0.25">
      <c r="A3" s="1" t="s">
        <v>120</v>
      </c>
      <c r="B3" s="35"/>
      <c r="C3" s="13"/>
      <c r="D3" s="14" t="s">
        <v>121</v>
      </c>
      <c r="E3" s="15" t="s">
        <v>75</v>
      </c>
      <c r="F3" s="16" t="s">
        <v>122</v>
      </c>
      <c r="G3" s="17" t="s">
        <v>123</v>
      </c>
      <c r="H3" s="15" t="s">
        <v>78</v>
      </c>
      <c r="I3" s="18" t="s">
        <v>79</v>
      </c>
      <c r="J3" s="18" t="s">
        <v>80</v>
      </c>
      <c r="K3" s="19" t="s">
        <v>81</v>
      </c>
      <c r="L3" s="15" t="s">
        <v>75</v>
      </c>
      <c r="M3" s="18" t="s">
        <v>82</v>
      </c>
      <c r="N3" s="18">
        <v>1</v>
      </c>
      <c r="O3" s="18">
        <v>1612</v>
      </c>
      <c r="P3" s="18">
        <v>90851</v>
      </c>
      <c r="Q3" s="18" t="s">
        <v>83</v>
      </c>
      <c r="R3" s="18" t="s">
        <v>75</v>
      </c>
      <c r="S3" s="18" t="s">
        <v>80</v>
      </c>
      <c r="T3" s="19" t="s">
        <v>84</v>
      </c>
      <c r="U3" s="20" t="s">
        <v>85</v>
      </c>
      <c r="V3" s="18" t="s">
        <v>80</v>
      </c>
      <c r="W3" s="21">
        <f t="shared" si="0"/>
        <v>45558</v>
      </c>
      <c r="X3" s="18" t="s">
        <v>86</v>
      </c>
      <c r="Y3" s="22" t="s">
        <v>124</v>
      </c>
      <c r="Z3" s="15" t="s">
        <v>125</v>
      </c>
      <c r="AA3" s="24" t="s">
        <v>126</v>
      </c>
      <c r="AB3" s="19" t="s">
        <v>90</v>
      </c>
      <c r="AC3" s="15" t="s">
        <v>127</v>
      </c>
      <c r="AD3" s="15" t="s">
        <v>91</v>
      </c>
      <c r="AE3" s="15">
        <v>40</v>
      </c>
      <c r="AF3" s="15">
        <v>40</v>
      </c>
      <c r="AG3" s="15" t="s">
        <v>93</v>
      </c>
      <c r="AH3" s="15" t="s">
        <v>94</v>
      </c>
      <c r="AI3" s="21" t="s">
        <v>81</v>
      </c>
      <c r="AJ3" s="18" t="s">
        <v>95</v>
      </c>
      <c r="AK3" s="25" t="s">
        <v>128</v>
      </c>
      <c r="AL3" s="25" t="s">
        <v>129</v>
      </c>
      <c r="AM3" s="18" t="s">
        <v>98</v>
      </c>
      <c r="AN3" s="18" t="s">
        <v>99</v>
      </c>
      <c r="AO3" s="24" t="s">
        <v>130</v>
      </c>
      <c r="AP3" s="26" t="s">
        <v>131</v>
      </c>
      <c r="AQ3" s="15" t="s">
        <v>87</v>
      </c>
      <c r="AR3" s="15" t="s">
        <v>87</v>
      </c>
      <c r="AS3" s="19" t="s">
        <v>81</v>
      </c>
      <c r="AT3" s="19" t="s">
        <v>81</v>
      </c>
      <c r="AU3" s="26" t="s">
        <v>81</v>
      </c>
      <c r="AV3" s="26" t="s">
        <v>81</v>
      </c>
      <c r="AW3" s="26" t="s">
        <v>81</v>
      </c>
      <c r="AX3" s="15" t="s">
        <v>87</v>
      </c>
      <c r="AY3" s="21" t="s">
        <v>81</v>
      </c>
      <c r="AZ3" s="19">
        <f t="shared" si="1"/>
        <v>45679</v>
      </c>
      <c r="BA3" s="15" t="s">
        <v>105</v>
      </c>
      <c r="BB3" s="18" t="s">
        <v>106</v>
      </c>
      <c r="BC3" s="15" t="s">
        <v>132</v>
      </c>
      <c r="BD3" s="18" t="s">
        <v>108</v>
      </c>
      <c r="BE3" s="19">
        <f t="shared" si="2"/>
        <v>45558</v>
      </c>
      <c r="BF3" s="19">
        <f t="shared" si="3"/>
        <v>45558</v>
      </c>
      <c r="BG3" s="21">
        <f t="shared" si="4"/>
        <v>NaN</v>
      </c>
      <c r="BH3" s="28" t="s">
        <v>75</v>
      </c>
      <c r="BI3" s="29" t="s">
        <v>109</v>
      </c>
      <c r="BJ3" s="36">
        <v>3964096634</v>
      </c>
      <c r="BK3" s="31" t="s">
        <v>133</v>
      </c>
      <c r="BL3" s="19" t="s">
        <v>111</v>
      </c>
      <c r="BM3" s="28" t="s">
        <v>112</v>
      </c>
      <c r="BN3" s="28" t="s">
        <v>113</v>
      </c>
      <c r="BO3" s="32" t="s">
        <v>81</v>
      </c>
      <c r="BP3" s="28" t="s">
        <v>114</v>
      </c>
      <c r="BQ3" s="28" t="s">
        <v>75</v>
      </c>
      <c r="BR3" s="15" t="s">
        <v>115</v>
      </c>
      <c r="BS3" s="15" t="s">
        <v>116</v>
      </c>
      <c r="BT3" s="28" t="s">
        <v>117</v>
      </c>
      <c r="BU3" s="28" t="s">
        <v>118</v>
      </c>
      <c r="BV3" s="28" t="s">
        <v>119</v>
      </c>
      <c r="BW3" s="33"/>
      <c r="BX3" s="33"/>
      <c r="BY3" s="34"/>
      <c r="BZ3" s="34"/>
      <c r="CA3" s="33"/>
      <c r="CB3" s="33"/>
      <c r="CC3" s="33"/>
      <c r="CD3" s="33"/>
      <c r="CE3" s="33"/>
      <c r="CF3" s="33"/>
      <c r="CG3" s="33"/>
    </row>
    <row r="4" ht="15.65" customHeight="1" spans="1:85" x14ac:dyDescent="0.25">
      <c r="A4" s="1" t="s">
        <v>134</v>
      </c>
      <c r="D4" s="14" t="s">
        <v>74</v>
      </c>
      <c r="E4" s="15" t="s">
        <v>75</v>
      </c>
      <c r="F4" s="16"/>
      <c r="G4" s="17"/>
      <c r="H4" s="15" t="s">
        <v>78</v>
      </c>
      <c r="I4" s="18" t="s">
        <v>79</v>
      </c>
      <c r="J4" s="18" t="s">
        <v>80</v>
      </c>
      <c r="K4" s="19" t="s">
        <v>81</v>
      </c>
      <c r="L4" s="15" t="s">
        <v>75</v>
      </c>
      <c r="M4" s="18" t="s">
        <v>82</v>
      </c>
      <c r="N4" s="18">
        <v>1</v>
      </c>
      <c r="O4" s="18">
        <v>1612</v>
      </c>
      <c r="P4" s="18">
        <v>90851</v>
      </c>
      <c r="Q4" s="18" t="s">
        <v>83</v>
      </c>
      <c r="R4" s="18" t="s">
        <v>75</v>
      </c>
      <c r="S4" s="18" t="s">
        <v>80</v>
      </c>
      <c r="T4" s="19" t="s">
        <v>84</v>
      </c>
      <c r="U4" s="20" t="s">
        <v>85</v>
      </c>
      <c r="V4" s="18" t="s">
        <v>80</v>
      </c>
      <c r="W4" s="21">
        <f t="shared" si="0"/>
        <v>45558</v>
      </c>
      <c r="X4" s="18" t="s">
        <v>86</v>
      </c>
      <c r="Y4" s="22" t="s">
        <v>87</v>
      </c>
      <c r="Z4" s="23" t="s">
        <v>88</v>
      </c>
      <c r="AA4" s="24" t="s">
        <v>135</v>
      </c>
      <c r="AB4" s="19" t="s">
        <v>136</v>
      </c>
      <c r="AC4" s="15">
        <v>870</v>
      </c>
      <c r="AD4" s="15" t="s">
        <v>91</v>
      </c>
      <c r="AE4" s="15">
        <v>20</v>
      </c>
      <c r="AF4" s="15">
        <v>40</v>
      </c>
      <c r="AG4" s="15" t="s">
        <v>93</v>
      </c>
      <c r="AH4" s="15" t="s">
        <v>94</v>
      </c>
      <c r="AI4" s="21">
        <f>TODAY()+365</f>
        <v>45954</v>
      </c>
      <c r="AJ4" s="18" t="s">
        <v>95</v>
      </c>
      <c r="AK4" s="25" t="s">
        <v>96</v>
      </c>
      <c r="AL4" s="25" t="s">
        <v>137</v>
      </c>
      <c r="AM4" s="18" t="s">
        <v>98</v>
      </c>
      <c r="AN4" s="18" t="s">
        <v>99</v>
      </c>
      <c r="AO4" s="24" t="s">
        <v>100</v>
      </c>
      <c r="AP4" s="26" t="s">
        <v>138</v>
      </c>
      <c r="AQ4" s="15" t="s">
        <v>87</v>
      </c>
      <c r="AR4" s="15" t="s">
        <v>87</v>
      </c>
      <c r="AS4" s="19" t="s">
        <v>81</v>
      </c>
      <c r="AT4" s="19" t="s">
        <v>81</v>
      </c>
      <c r="AU4" s="26" t="s">
        <v>81</v>
      </c>
      <c r="AV4" s="26" t="s">
        <v>81</v>
      </c>
      <c r="AW4" s="26" t="s">
        <v>81</v>
      </c>
      <c r="AX4" s="15" t="s">
        <v>87</v>
      </c>
      <c r="AY4" s="21" t="s">
        <v>81</v>
      </c>
      <c r="AZ4" s="19">
        <f t="shared" si="1"/>
        <v>45679</v>
      </c>
      <c r="BA4" s="15" t="s">
        <v>105</v>
      </c>
      <c r="BB4" s="18" t="s">
        <v>106</v>
      </c>
      <c r="BC4" s="15" t="s">
        <v>107</v>
      </c>
      <c r="BD4" s="18" t="s">
        <v>108</v>
      </c>
      <c r="BE4" s="19">
        <f t="shared" si="2"/>
        <v>45558</v>
      </c>
      <c r="BF4" s="19">
        <f t="shared" si="3"/>
        <v>45558</v>
      </c>
      <c r="BG4" s="21">
        <f t="shared" si="4"/>
        <v>45954</v>
      </c>
      <c r="BH4" s="28" t="s">
        <v>75</v>
      </c>
      <c r="BI4" s="29" t="s">
        <v>109</v>
      </c>
      <c r="BJ4" s="36">
        <v>6073642395</v>
      </c>
      <c r="BK4" s="31" t="s">
        <v>110</v>
      </c>
      <c r="BL4" s="19" t="s">
        <v>111</v>
      </c>
      <c r="BM4" s="28" t="s">
        <v>112</v>
      </c>
      <c r="BN4" s="28" t="s">
        <v>113</v>
      </c>
      <c r="BO4" s="32" t="s">
        <v>81</v>
      </c>
      <c r="BP4" s="28" t="s">
        <v>114</v>
      </c>
      <c r="BQ4" s="28" t="s">
        <v>75</v>
      </c>
      <c r="BR4" s="15" t="s">
        <v>115</v>
      </c>
      <c r="BS4" s="15" t="s">
        <v>116</v>
      </c>
      <c r="BT4" s="28" t="s">
        <v>117</v>
      </c>
      <c r="BU4" s="28" t="s">
        <v>118</v>
      </c>
      <c r="BV4" s="28" t="s">
        <v>119</v>
      </c>
      <c r="BW4" s="33"/>
      <c r="BX4" s="33"/>
      <c r="BY4" s="34"/>
      <c r="BZ4" s="34"/>
      <c r="CA4" s="33"/>
      <c r="CB4" s="33"/>
      <c r="CC4" s="33"/>
      <c r="CD4" s="33"/>
      <c r="CE4" s="33"/>
      <c r="CF4" s="33"/>
      <c r="CG4" s="33"/>
    </row>
    <row r="5" ht="15.65" customHeight="1" spans="1:85" x14ac:dyDescent="0.25">
      <c r="A5" s="1" t="s">
        <v>139</v>
      </c>
      <c r="B5" s="35"/>
      <c r="D5" s="14" t="s">
        <v>121</v>
      </c>
      <c r="E5" s="15" t="s">
        <v>75</v>
      </c>
      <c r="F5" s="16"/>
      <c r="G5" s="17"/>
      <c r="H5" s="15" t="s">
        <v>78</v>
      </c>
      <c r="I5" s="18" t="s">
        <v>79</v>
      </c>
      <c r="J5" s="18" t="s">
        <v>80</v>
      </c>
      <c r="K5" s="19" t="s">
        <v>81</v>
      </c>
      <c r="L5" s="15" t="s">
        <v>75</v>
      </c>
      <c r="M5" s="18" t="s">
        <v>82</v>
      </c>
      <c r="N5" s="18">
        <v>1</v>
      </c>
      <c r="O5" s="18">
        <v>1612</v>
      </c>
      <c r="P5" s="18">
        <v>90851</v>
      </c>
      <c r="Q5" s="18" t="s">
        <v>83</v>
      </c>
      <c r="R5" s="18" t="s">
        <v>75</v>
      </c>
      <c r="S5" s="18" t="s">
        <v>80</v>
      </c>
      <c r="T5" s="19" t="s">
        <v>84</v>
      </c>
      <c r="U5" s="20" t="s">
        <v>85</v>
      </c>
      <c r="V5" s="18" t="s">
        <v>80</v>
      </c>
      <c r="W5" s="21">
        <f t="shared" si="0"/>
        <v>45558</v>
      </c>
      <c r="X5" s="18" t="s">
        <v>86</v>
      </c>
      <c r="Y5" s="22" t="s">
        <v>140</v>
      </c>
      <c r="Z5" s="15" t="s">
        <v>125</v>
      </c>
      <c r="AA5" s="24" t="s">
        <v>141</v>
      </c>
      <c r="AB5" s="19" t="s">
        <v>90</v>
      </c>
      <c r="AC5" s="15" t="s">
        <v>127</v>
      </c>
      <c r="AD5" s="15" t="s">
        <v>91</v>
      </c>
      <c r="AE5" s="15">
        <v>40</v>
      </c>
      <c r="AF5" s="15">
        <v>40</v>
      </c>
      <c r="AG5" s="15" t="s">
        <v>93</v>
      </c>
      <c r="AH5" s="15" t="s">
        <v>94</v>
      </c>
      <c r="AI5" s="21" t="s">
        <v>81</v>
      </c>
      <c r="AJ5" s="18" t="s">
        <v>95</v>
      </c>
      <c r="AK5" s="25" t="s">
        <v>128</v>
      </c>
      <c r="AL5" s="25" t="s">
        <v>129</v>
      </c>
      <c r="AM5" s="18" t="s">
        <v>98</v>
      </c>
      <c r="AN5" s="18" t="s">
        <v>99</v>
      </c>
      <c r="AO5" s="24" t="s">
        <v>142</v>
      </c>
      <c r="AP5" s="26" t="s">
        <v>143</v>
      </c>
      <c r="AQ5" s="15" t="s">
        <v>87</v>
      </c>
      <c r="AR5" s="15" t="s">
        <v>87</v>
      </c>
      <c r="AS5" s="19" t="s">
        <v>81</v>
      </c>
      <c r="AT5" s="19" t="s">
        <v>81</v>
      </c>
      <c r="AU5" s="26" t="s">
        <v>81</v>
      </c>
      <c r="AV5" s="26" t="s">
        <v>81</v>
      </c>
      <c r="AW5" s="26" t="s">
        <v>81</v>
      </c>
      <c r="AX5" s="15" t="s">
        <v>87</v>
      </c>
      <c r="AY5" s="21" t="s">
        <v>81</v>
      </c>
      <c r="AZ5" s="19">
        <f t="shared" si="1"/>
        <v>45679</v>
      </c>
      <c r="BA5" s="15" t="s">
        <v>105</v>
      </c>
      <c r="BB5" s="18" t="s">
        <v>106</v>
      </c>
      <c r="BC5" s="15" t="s">
        <v>132</v>
      </c>
      <c r="BD5" s="18" t="s">
        <v>108</v>
      </c>
      <c r="BE5" s="19">
        <f t="shared" si="2"/>
        <v>45558</v>
      </c>
      <c r="BF5" s="19">
        <f t="shared" si="3"/>
        <v>45558</v>
      </c>
      <c r="BG5" s="21">
        <f t="shared" si="4"/>
        <v>NaN</v>
      </c>
      <c r="BH5" s="28" t="s">
        <v>75</v>
      </c>
      <c r="BI5" s="29" t="s">
        <v>109</v>
      </c>
      <c r="BJ5" s="36">
        <v>3549392830</v>
      </c>
      <c r="BK5" s="31" t="s">
        <v>133</v>
      </c>
      <c r="BL5" s="19" t="s">
        <v>111</v>
      </c>
      <c r="BM5" s="28" t="s">
        <v>112</v>
      </c>
      <c r="BN5" s="28" t="s">
        <v>113</v>
      </c>
      <c r="BO5" s="32" t="s">
        <v>81</v>
      </c>
      <c r="BP5" s="28" t="s">
        <v>114</v>
      </c>
      <c r="BQ5" s="28" t="s">
        <v>75</v>
      </c>
      <c r="BR5" s="15" t="s">
        <v>115</v>
      </c>
      <c r="BS5" s="15" t="s">
        <v>116</v>
      </c>
      <c r="BT5" s="28" t="s">
        <v>117</v>
      </c>
      <c r="BU5" s="28" t="s">
        <v>118</v>
      </c>
      <c r="BV5" s="28" t="s">
        <v>119</v>
      </c>
      <c r="BW5" s="33"/>
      <c r="BX5" s="33"/>
      <c r="BY5" s="34"/>
      <c r="BZ5" s="34"/>
      <c r="CA5" s="33"/>
      <c r="CB5" s="33"/>
      <c r="CC5" s="33"/>
      <c r="CD5" s="33"/>
      <c r="CE5" s="33"/>
      <c r="CF5" s="33"/>
      <c r="CG5" s="33"/>
    </row>
    <row r="6" ht="15.65" customHeight="1" spans="1:85" x14ac:dyDescent="0.25">
      <c r="A6" s="1" t="s">
        <v>144</v>
      </c>
      <c r="B6" s="35"/>
      <c r="D6" s="14" t="s">
        <v>74</v>
      </c>
      <c r="E6" s="15" t="s">
        <v>75</v>
      </c>
      <c r="F6" s="16"/>
      <c r="G6" s="17"/>
      <c r="H6" s="15" t="s">
        <v>78</v>
      </c>
      <c r="I6" s="18" t="s">
        <v>79</v>
      </c>
      <c r="J6" s="18" t="s">
        <v>80</v>
      </c>
      <c r="K6" s="19" t="s">
        <v>81</v>
      </c>
      <c r="L6" s="15" t="s">
        <v>75</v>
      </c>
      <c r="M6" s="18" t="s">
        <v>82</v>
      </c>
      <c r="N6" s="18">
        <v>1</v>
      </c>
      <c r="O6" s="18">
        <v>1612</v>
      </c>
      <c r="P6" s="18">
        <v>90851</v>
      </c>
      <c r="Q6" s="18" t="s">
        <v>83</v>
      </c>
      <c r="R6" s="18" t="s">
        <v>75</v>
      </c>
      <c r="S6" s="18" t="s">
        <v>80</v>
      </c>
      <c r="T6" s="19" t="s">
        <v>84</v>
      </c>
      <c r="U6" s="20" t="s">
        <v>85</v>
      </c>
      <c r="V6" s="18" t="s">
        <v>80</v>
      </c>
      <c r="W6" s="21">
        <f t="shared" si="0"/>
        <v>45558</v>
      </c>
      <c r="X6" s="18" t="s">
        <v>86</v>
      </c>
      <c r="Y6" s="22" t="s">
        <v>87</v>
      </c>
      <c r="Z6" s="23" t="s">
        <v>88</v>
      </c>
      <c r="AA6" s="24" t="s">
        <v>145</v>
      </c>
      <c r="AB6" s="19" t="s">
        <v>90</v>
      </c>
      <c r="AC6" s="15">
        <v>870</v>
      </c>
      <c r="AD6" s="15" t="s">
        <v>91</v>
      </c>
      <c r="AE6" s="15" t="s">
        <v>92</v>
      </c>
      <c r="AF6" s="15" t="s">
        <v>81</v>
      </c>
      <c r="AG6" s="15" t="s">
        <v>93</v>
      </c>
      <c r="AH6" s="15" t="s">
        <v>94</v>
      </c>
      <c r="AI6" s="21">
        <f>TODAY()+365</f>
        <v>45954</v>
      </c>
      <c r="AJ6" s="18" t="s">
        <v>95</v>
      </c>
      <c r="AK6" s="25" t="s">
        <v>96</v>
      </c>
      <c r="AL6" s="25" t="s">
        <v>137</v>
      </c>
      <c r="AM6" s="18" t="s">
        <v>98</v>
      </c>
      <c r="AN6" s="18" t="s">
        <v>99</v>
      </c>
      <c r="AO6" s="24" t="s">
        <v>130</v>
      </c>
      <c r="AP6" s="26" t="s">
        <v>138</v>
      </c>
      <c r="AQ6" s="15" t="s">
        <v>87</v>
      </c>
      <c r="AR6" s="15" t="s">
        <v>87</v>
      </c>
      <c r="AS6" s="19" t="s">
        <v>81</v>
      </c>
      <c r="AT6" s="19" t="s">
        <v>81</v>
      </c>
      <c r="AU6" s="26" t="s">
        <v>81</v>
      </c>
      <c r="AV6" s="26" t="s">
        <v>81</v>
      </c>
      <c r="AW6" s="26" t="s">
        <v>81</v>
      </c>
      <c r="AX6" s="15" t="s">
        <v>87</v>
      </c>
      <c r="AY6" s="21" t="s">
        <v>81</v>
      </c>
      <c r="AZ6" s="19">
        <f t="shared" si="1"/>
        <v>45679</v>
      </c>
      <c r="BA6" s="15" t="s">
        <v>105</v>
      </c>
      <c r="BB6" s="18" t="s">
        <v>106</v>
      </c>
      <c r="BC6" s="15" t="s">
        <v>107</v>
      </c>
      <c r="BD6" s="18" t="s">
        <v>108</v>
      </c>
      <c r="BE6" s="19">
        <f t="shared" si="2"/>
        <v>45558</v>
      </c>
      <c r="BF6" s="19">
        <f t="shared" si="3"/>
        <v>45558</v>
      </c>
      <c r="BG6" s="21">
        <f t="shared" si="4"/>
        <v>45954</v>
      </c>
      <c r="BH6" s="28" t="s">
        <v>75</v>
      </c>
      <c r="BI6" s="29" t="s">
        <v>109</v>
      </c>
      <c r="BJ6" s="36">
        <v>8120458448</v>
      </c>
      <c r="BK6" s="31" t="s">
        <v>110</v>
      </c>
      <c r="BL6" s="19" t="s">
        <v>111</v>
      </c>
      <c r="BM6" s="28" t="s">
        <v>112</v>
      </c>
      <c r="BN6" s="28" t="s">
        <v>146</v>
      </c>
      <c r="BO6" s="19" t="s">
        <v>147</v>
      </c>
      <c r="BP6" s="28" t="s">
        <v>114</v>
      </c>
      <c r="BQ6" s="28" t="s">
        <v>75</v>
      </c>
      <c r="BR6" s="15" t="s">
        <v>115</v>
      </c>
      <c r="BS6" s="15" t="s">
        <v>116</v>
      </c>
      <c r="BT6" s="28" t="s">
        <v>117</v>
      </c>
      <c r="BU6" s="28" t="s">
        <v>118</v>
      </c>
      <c r="BV6" s="28" t="s">
        <v>119</v>
      </c>
      <c r="BW6" s="33"/>
      <c r="BX6" s="33"/>
      <c r="BY6" s="34"/>
      <c r="BZ6" s="34"/>
      <c r="CA6" s="33"/>
      <c r="CB6" s="33"/>
      <c r="CC6" s="33"/>
      <c r="CD6" s="33"/>
      <c r="CE6" s="33"/>
      <c r="CF6" s="33"/>
      <c r="CG6" s="33"/>
    </row>
    <row r="7" ht="15.65" customHeight="1" spans="1:85" x14ac:dyDescent="0.25">
      <c r="A7" s="1" t="s">
        <v>148</v>
      </c>
      <c r="D7" s="14" t="s">
        <v>121</v>
      </c>
      <c r="E7" s="15" t="s">
        <v>75</v>
      </c>
      <c r="F7" s="16"/>
      <c r="G7" s="17"/>
      <c r="H7" s="15" t="s">
        <v>78</v>
      </c>
      <c r="I7" s="18" t="s">
        <v>79</v>
      </c>
      <c r="J7" s="18" t="s">
        <v>80</v>
      </c>
      <c r="K7" s="19" t="s">
        <v>81</v>
      </c>
      <c r="L7" s="15" t="s">
        <v>75</v>
      </c>
      <c r="M7" s="18" t="s">
        <v>82</v>
      </c>
      <c r="N7" s="18">
        <v>1</v>
      </c>
      <c r="O7" s="18">
        <v>1612</v>
      </c>
      <c r="P7" s="18">
        <v>90851</v>
      </c>
      <c r="Q7" s="18" t="s">
        <v>83</v>
      </c>
      <c r="R7" s="18" t="s">
        <v>75</v>
      </c>
      <c r="S7" s="18" t="s">
        <v>80</v>
      </c>
      <c r="T7" s="19" t="s">
        <v>84</v>
      </c>
      <c r="U7" s="20" t="s">
        <v>85</v>
      </c>
      <c r="V7" s="18" t="s">
        <v>80</v>
      </c>
      <c r="W7" s="21">
        <f t="shared" si="0"/>
        <v>45558</v>
      </c>
      <c r="X7" s="18" t="s">
        <v>86</v>
      </c>
      <c r="Y7" s="22" t="s">
        <v>149</v>
      </c>
      <c r="Z7" s="15" t="s">
        <v>125</v>
      </c>
      <c r="AA7" s="24" t="s">
        <v>150</v>
      </c>
      <c r="AB7" s="19" t="s">
        <v>136</v>
      </c>
      <c r="AC7" s="15">
        <v>870</v>
      </c>
      <c r="AD7" s="15" t="s">
        <v>91</v>
      </c>
      <c r="AE7" s="15">
        <v>30</v>
      </c>
      <c r="AF7">
        <v>40</v>
      </c>
      <c r="AG7" s="15" t="s">
        <v>93</v>
      </c>
      <c r="AH7" s="15" t="s">
        <v>94</v>
      </c>
      <c r="AI7" s="21" t="s">
        <v>81</v>
      </c>
      <c r="AJ7" s="18" t="s">
        <v>95</v>
      </c>
      <c r="AK7" s="25" t="s">
        <v>128</v>
      </c>
      <c r="AL7" s="25" t="s">
        <v>129</v>
      </c>
      <c r="AM7" s="18" t="s">
        <v>98</v>
      </c>
      <c r="AN7" s="18" t="s">
        <v>99</v>
      </c>
      <c r="AO7" s="24" t="s">
        <v>100</v>
      </c>
      <c r="AP7" s="26" t="s">
        <v>131</v>
      </c>
      <c r="AQ7" s="15" t="s">
        <v>87</v>
      </c>
      <c r="AR7" s="15" t="s">
        <v>87</v>
      </c>
      <c r="AS7" s="19" t="s">
        <v>81</v>
      </c>
      <c r="AT7" s="19" t="s">
        <v>81</v>
      </c>
      <c r="AU7" s="26" t="s">
        <v>81</v>
      </c>
      <c r="AV7" s="26" t="s">
        <v>81</v>
      </c>
      <c r="AW7" s="26" t="s">
        <v>81</v>
      </c>
      <c r="AX7" s="15" t="s">
        <v>87</v>
      </c>
      <c r="AY7" s="21" t="s">
        <v>81</v>
      </c>
      <c r="AZ7" s="19">
        <f t="shared" si="1"/>
        <v>45679</v>
      </c>
      <c r="BA7" s="15" t="s">
        <v>105</v>
      </c>
      <c r="BB7" s="18" t="s">
        <v>106</v>
      </c>
      <c r="BC7" s="15" t="s">
        <v>132</v>
      </c>
      <c r="BD7" s="18" t="s">
        <v>108</v>
      </c>
      <c r="BE7" s="19">
        <f t="shared" si="2"/>
        <v>45558</v>
      </c>
      <c r="BF7" s="19">
        <f t="shared" si="3"/>
        <v>45558</v>
      </c>
      <c r="BG7" s="21">
        <f t="shared" si="4"/>
        <v>NaN</v>
      </c>
      <c r="BH7" s="28" t="s">
        <v>75</v>
      </c>
      <c r="BI7" s="29" t="s">
        <v>109</v>
      </c>
      <c r="BJ7" s="36">
        <v>3315659261</v>
      </c>
      <c r="BK7" s="31" t="s">
        <v>133</v>
      </c>
      <c r="BL7" s="19" t="s">
        <v>111</v>
      </c>
      <c r="BM7" s="28" t="s">
        <v>112</v>
      </c>
      <c r="BN7" s="28" t="s">
        <v>146</v>
      </c>
      <c r="BO7" s="19" t="s">
        <v>147</v>
      </c>
      <c r="BP7" s="28" t="s">
        <v>114</v>
      </c>
      <c r="BQ7" s="28" t="s">
        <v>75</v>
      </c>
      <c r="BR7" s="15" t="s">
        <v>115</v>
      </c>
      <c r="BS7" s="15" t="s">
        <v>116</v>
      </c>
      <c r="BT7" s="28" t="s">
        <v>117</v>
      </c>
      <c r="BU7" s="28" t="s">
        <v>118</v>
      </c>
      <c r="BV7" s="28" t="s">
        <v>119</v>
      </c>
      <c r="BW7" s="33"/>
      <c r="BX7" s="33"/>
      <c r="BY7" s="34"/>
      <c r="BZ7" s="34"/>
      <c r="CA7" s="33"/>
      <c r="CB7" s="33"/>
      <c r="CC7" s="33"/>
      <c r="CD7" s="33"/>
      <c r="CE7" s="33"/>
      <c r="CF7" s="33"/>
      <c r="CG7" s="33"/>
    </row>
    <row r="8" ht="15.65" customHeight="1" spans="1:85" x14ac:dyDescent="0.25">
      <c r="A8" s="1" t="s">
        <v>151</v>
      </c>
      <c r="B8" s="35"/>
      <c r="D8" s="14" t="s">
        <v>121</v>
      </c>
      <c r="E8" s="15" t="s">
        <v>75</v>
      </c>
      <c r="F8" s="16"/>
      <c r="G8" s="17"/>
      <c r="H8" s="15" t="s">
        <v>78</v>
      </c>
      <c r="I8" s="18" t="s">
        <v>79</v>
      </c>
      <c r="J8" s="18" t="s">
        <v>80</v>
      </c>
      <c r="K8" s="19" t="s">
        <v>81</v>
      </c>
      <c r="L8" s="15" t="s">
        <v>75</v>
      </c>
      <c r="M8" s="18" t="s">
        <v>82</v>
      </c>
      <c r="N8" s="18">
        <v>1</v>
      </c>
      <c r="O8" s="18">
        <v>1612</v>
      </c>
      <c r="P8" s="18">
        <v>90851</v>
      </c>
      <c r="Q8" s="18" t="s">
        <v>83</v>
      </c>
      <c r="R8" s="18" t="s">
        <v>75</v>
      </c>
      <c r="S8" s="18" t="s">
        <v>80</v>
      </c>
      <c r="T8" s="19" t="s">
        <v>84</v>
      </c>
      <c r="U8" s="20" t="s">
        <v>85</v>
      </c>
      <c r="V8" s="18" t="s">
        <v>80</v>
      </c>
      <c r="W8" s="21">
        <f t="shared" si="0"/>
        <v>45558</v>
      </c>
      <c r="X8" s="18" t="s">
        <v>86</v>
      </c>
      <c r="Y8" s="22" t="s">
        <v>152</v>
      </c>
      <c r="Z8" s="23" t="s">
        <v>88</v>
      </c>
      <c r="AA8" s="24" t="s">
        <v>153</v>
      </c>
      <c r="AB8" s="19" t="s">
        <v>90</v>
      </c>
      <c r="AC8" s="15">
        <v>870</v>
      </c>
      <c r="AD8" s="15" t="s">
        <v>91</v>
      </c>
      <c r="AE8" s="15">
        <v>40</v>
      </c>
      <c r="AF8" s="15">
        <v>40</v>
      </c>
      <c r="AG8" s="15" t="s">
        <v>93</v>
      </c>
      <c r="AH8" s="15" t="s">
        <v>94</v>
      </c>
      <c r="AI8" s="21">
        <f>TODAY()+365</f>
        <v>45954</v>
      </c>
      <c r="AJ8" s="18" t="s">
        <v>95</v>
      </c>
      <c r="AK8" s="25" t="s">
        <v>128</v>
      </c>
      <c r="AL8" s="25" t="s">
        <v>129</v>
      </c>
      <c r="AM8" s="18" t="s">
        <v>98</v>
      </c>
      <c r="AN8" s="18" t="s">
        <v>99</v>
      </c>
      <c r="AO8" s="24" t="s">
        <v>142</v>
      </c>
      <c r="AP8" s="26" t="s">
        <v>143</v>
      </c>
      <c r="AQ8" s="15" t="s">
        <v>87</v>
      </c>
      <c r="AR8" s="15" t="s">
        <v>87</v>
      </c>
      <c r="AS8" s="19" t="s">
        <v>81</v>
      </c>
      <c r="AT8" s="19" t="s">
        <v>81</v>
      </c>
      <c r="AU8" s="26" t="s">
        <v>81</v>
      </c>
      <c r="AV8" s="26" t="s">
        <v>81</v>
      </c>
      <c r="AW8" s="26" t="s">
        <v>81</v>
      </c>
      <c r="AX8" s="15" t="s">
        <v>87</v>
      </c>
      <c r="AY8" s="21" t="s">
        <v>81</v>
      </c>
      <c r="AZ8" s="19">
        <f t="shared" si="1"/>
        <v>45679</v>
      </c>
      <c r="BA8" s="15" t="s">
        <v>105</v>
      </c>
      <c r="BB8" s="18" t="s">
        <v>106</v>
      </c>
      <c r="BC8" s="15" t="s">
        <v>107</v>
      </c>
      <c r="BD8" s="18" t="s">
        <v>108</v>
      </c>
      <c r="BE8" s="19">
        <f t="shared" si="2"/>
        <v>45558</v>
      </c>
      <c r="BF8" s="19">
        <f t="shared" si="3"/>
        <v>45558</v>
      </c>
      <c r="BG8" s="21">
        <f t="shared" si="4"/>
        <v>45954</v>
      </c>
      <c r="BH8" s="28" t="s">
        <v>75</v>
      </c>
      <c r="BI8" s="29" t="s">
        <v>109</v>
      </c>
      <c r="BJ8" s="36">
        <v>7412709326</v>
      </c>
      <c r="BK8" s="31" t="s">
        <v>110</v>
      </c>
      <c r="BL8" s="19" t="s">
        <v>111</v>
      </c>
      <c r="BM8" s="28" t="s">
        <v>112</v>
      </c>
      <c r="BN8" s="28" t="s">
        <v>146</v>
      </c>
      <c r="BO8" s="19" t="s">
        <v>147</v>
      </c>
      <c r="BP8" s="28" t="s">
        <v>114</v>
      </c>
      <c r="BQ8" s="28" t="s">
        <v>75</v>
      </c>
      <c r="BR8" s="15" t="s">
        <v>115</v>
      </c>
      <c r="BS8" s="15" t="s">
        <v>116</v>
      </c>
      <c r="BT8" s="28" t="s">
        <v>117</v>
      </c>
      <c r="BU8" s="28" t="s">
        <v>118</v>
      </c>
      <c r="BV8" s="28" t="s">
        <v>119</v>
      </c>
      <c r="BW8" s="33"/>
      <c r="BX8" s="33"/>
      <c r="BY8" s="34"/>
      <c r="BZ8" s="34"/>
      <c r="CA8" s="33"/>
      <c r="CB8" s="33"/>
      <c r="CC8" s="33"/>
      <c r="CD8" s="33"/>
      <c r="CE8" s="33"/>
      <c r="CF8" s="33"/>
      <c r="CG8" s="33"/>
    </row>
    <row r="9" ht="15.65" customHeight="1" spans="1:85" x14ac:dyDescent="0.25">
      <c r="A9" s="1" t="s">
        <v>154</v>
      </c>
      <c r="D9" s="14" t="s">
        <v>121</v>
      </c>
      <c r="E9" s="15" t="s">
        <v>75</v>
      </c>
      <c r="F9" s="16"/>
      <c r="G9" s="17"/>
      <c r="H9" s="15" t="s">
        <v>78</v>
      </c>
      <c r="I9" s="18" t="s">
        <v>79</v>
      </c>
      <c r="J9" s="18" t="s">
        <v>80</v>
      </c>
      <c r="K9" s="19" t="s">
        <v>81</v>
      </c>
      <c r="L9" s="15" t="s">
        <v>75</v>
      </c>
      <c r="M9" s="18" t="s">
        <v>82</v>
      </c>
      <c r="N9" s="18">
        <v>1</v>
      </c>
      <c r="O9" s="18">
        <v>1612</v>
      </c>
      <c r="P9" s="18">
        <v>90851</v>
      </c>
      <c r="Q9" s="18" t="s">
        <v>83</v>
      </c>
      <c r="R9" s="18" t="s">
        <v>75</v>
      </c>
      <c r="S9" s="18" t="s">
        <v>80</v>
      </c>
      <c r="T9" s="19" t="s">
        <v>84</v>
      </c>
      <c r="U9" s="20" t="s">
        <v>85</v>
      </c>
      <c r="V9" s="18" t="s">
        <v>80</v>
      </c>
      <c r="W9" s="21">
        <f t="shared" si="0"/>
        <v>45558</v>
      </c>
      <c r="X9" s="18" t="s">
        <v>86</v>
      </c>
      <c r="Y9" s="22" t="s">
        <v>155</v>
      </c>
      <c r="Z9" s="15" t="s">
        <v>125</v>
      </c>
      <c r="AA9" s="24" t="s">
        <v>156</v>
      </c>
      <c r="AB9" s="19" t="s">
        <v>136</v>
      </c>
      <c r="AC9" s="15">
        <v>870</v>
      </c>
      <c r="AD9" s="15" t="s">
        <v>91</v>
      </c>
      <c r="AE9" s="15">
        <v>20</v>
      </c>
      <c r="AF9">
        <v>40</v>
      </c>
      <c r="AG9" s="15" t="s">
        <v>93</v>
      </c>
      <c r="AH9" s="15" t="s">
        <v>94</v>
      </c>
      <c r="AI9" s="21" t="s">
        <v>81</v>
      </c>
      <c r="AJ9" s="18" t="s">
        <v>95</v>
      </c>
      <c r="AK9" s="25" t="s">
        <v>128</v>
      </c>
      <c r="AL9" s="25" t="s">
        <v>129</v>
      </c>
      <c r="AM9" s="18" t="s">
        <v>98</v>
      </c>
      <c r="AN9" s="18" t="s">
        <v>99</v>
      </c>
      <c r="AO9" s="24" t="s">
        <v>130</v>
      </c>
      <c r="AP9" s="26" t="s">
        <v>138</v>
      </c>
      <c r="AQ9" s="15" t="s">
        <v>87</v>
      </c>
      <c r="AR9" s="15" t="s">
        <v>87</v>
      </c>
      <c r="AS9" s="19" t="s">
        <v>81</v>
      </c>
      <c r="AT9" s="19" t="s">
        <v>81</v>
      </c>
      <c r="AU9" s="26" t="s">
        <v>102</v>
      </c>
      <c r="AV9" s="26" t="s">
        <v>103</v>
      </c>
      <c r="AW9" s="27">
        <v>1234567892</v>
      </c>
      <c r="AX9" s="15" t="s">
        <v>87</v>
      </c>
      <c r="AY9" s="21" t="s">
        <v>104</v>
      </c>
      <c r="AZ9" s="19">
        <f t="shared" si="1"/>
        <v>45679</v>
      </c>
      <c r="BA9" s="15" t="s">
        <v>105</v>
      </c>
      <c r="BB9" s="18" t="s">
        <v>106</v>
      </c>
      <c r="BC9" s="15" t="s">
        <v>132</v>
      </c>
      <c r="BD9" s="18" t="s">
        <v>108</v>
      </c>
      <c r="BE9" s="19">
        <f t="shared" si="2"/>
        <v>45558</v>
      </c>
      <c r="BF9" s="19">
        <f t="shared" si="3"/>
        <v>45558</v>
      </c>
      <c r="BG9" s="21">
        <f t="shared" si="4"/>
        <v>NaN</v>
      </c>
      <c r="BH9" s="28" t="s">
        <v>75</v>
      </c>
      <c r="BI9" s="29" t="s">
        <v>109</v>
      </c>
      <c r="BJ9" s="36">
        <v>2935292586</v>
      </c>
      <c r="BK9" s="31" t="s">
        <v>133</v>
      </c>
      <c r="BL9" s="19" t="s">
        <v>111</v>
      </c>
      <c r="BM9" s="28" t="s">
        <v>112</v>
      </c>
      <c r="BN9" s="28" t="s">
        <v>146</v>
      </c>
      <c r="BO9" s="19" t="s">
        <v>147</v>
      </c>
      <c r="BP9" s="28" t="s">
        <v>114</v>
      </c>
      <c r="BQ9" s="28" t="s">
        <v>75</v>
      </c>
      <c r="BR9" s="15" t="s">
        <v>115</v>
      </c>
      <c r="BS9" s="15" t="s">
        <v>116</v>
      </c>
      <c r="BT9" s="28" t="s">
        <v>117</v>
      </c>
      <c r="BU9" s="28" t="s">
        <v>118</v>
      </c>
      <c r="BV9" s="28" t="s">
        <v>119</v>
      </c>
      <c r="BW9" s="33"/>
      <c r="BX9" s="33"/>
      <c r="BY9" s="34"/>
      <c r="BZ9" s="34"/>
      <c r="CA9" s="33"/>
      <c r="CB9" s="33"/>
      <c r="CC9" s="33"/>
      <c r="CD9" s="33"/>
      <c r="CE9" s="33"/>
      <c r="CF9" s="33"/>
      <c r="CG9" s="33"/>
    </row>
    <row r="10" ht="15.65" customHeight="1" spans="1:85" x14ac:dyDescent="0.25">
      <c r="A10" s="1" t="s">
        <v>157</v>
      </c>
      <c r="D10" s="14" t="s">
        <v>121</v>
      </c>
      <c r="E10" s="15" t="s">
        <v>75</v>
      </c>
      <c r="F10" s="16"/>
      <c r="G10" s="17"/>
      <c r="H10" s="15" t="s">
        <v>78</v>
      </c>
      <c r="I10" s="18" t="s">
        <v>79</v>
      </c>
      <c r="J10" s="18" t="s">
        <v>80</v>
      </c>
      <c r="K10" s="19" t="s">
        <v>81</v>
      </c>
      <c r="L10" s="15" t="s">
        <v>75</v>
      </c>
      <c r="M10" s="18" t="s">
        <v>82</v>
      </c>
      <c r="N10" s="18">
        <v>1</v>
      </c>
      <c r="O10" s="18">
        <v>1612</v>
      </c>
      <c r="P10" s="18">
        <v>90851</v>
      </c>
      <c r="Q10" s="18" t="s">
        <v>83</v>
      </c>
      <c r="R10" s="18" t="s">
        <v>75</v>
      </c>
      <c r="S10" s="18" t="s">
        <v>80</v>
      </c>
      <c r="T10" s="19" t="s">
        <v>84</v>
      </c>
      <c r="U10" s="20" t="s">
        <v>85</v>
      </c>
      <c r="V10" s="18" t="s">
        <v>80</v>
      </c>
      <c r="W10" s="21">
        <f t="shared" si="0"/>
        <v>45558</v>
      </c>
      <c r="X10" s="18" t="s">
        <v>86</v>
      </c>
      <c r="Y10" s="22" t="s">
        <v>158</v>
      </c>
      <c r="Z10" s="23" t="s">
        <v>88</v>
      </c>
      <c r="AA10" s="24" t="s">
        <v>159</v>
      </c>
      <c r="AB10" s="19" t="s">
        <v>90</v>
      </c>
      <c r="AC10" s="15">
        <v>870</v>
      </c>
      <c r="AD10" s="15" t="s">
        <v>91</v>
      </c>
      <c r="AE10" s="15">
        <v>40</v>
      </c>
      <c r="AF10" s="15">
        <v>40</v>
      </c>
      <c r="AG10" s="15" t="s">
        <v>93</v>
      </c>
      <c r="AH10" s="15" t="s">
        <v>94</v>
      </c>
      <c r="AI10" s="21">
        <f>TODAY()+365</f>
        <v>45954</v>
      </c>
      <c r="AJ10" s="18" t="s">
        <v>95</v>
      </c>
      <c r="AK10" s="25" t="s">
        <v>128</v>
      </c>
      <c r="AL10" s="25" t="s">
        <v>129</v>
      </c>
      <c r="AM10" s="18" t="s">
        <v>98</v>
      </c>
      <c r="AN10" s="18" t="s">
        <v>99</v>
      </c>
      <c r="AO10" s="24" t="s">
        <v>100</v>
      </c>
      <c r="AP10" s="26" t="s">
        <v>143</v>
      </c>
      <c r="AQ10" s="15" t="s">
        <v>87</v>
      </c>
      <c r="AR10" s="15" t="s">
        <v>87</v>
      </c>
      <c r="AS10" s="19" t="s">
        <v>81</v>
      </c>
      <c r="AT10" s="19" t="s">
        <v>81</v>
      </c>
      <c r="AU10" s="26" t="s">
        <v>81</v>
      </c>
      <c r="AV10" s="26" t="s">
        <v>81</v>
      </c>
      <c r="AW10" s="26" t="s">
        <v>81</v>
      </c>
      <c r="AX10" s="15" t="s">
        <v>87</v>
      </c>
      <c r="AY10" s="21" t="s">
        <v>81</v>
      </c>
      <c r="AZ10" s="19">
        <f t="shared" si="1"/>
        <v>45679</v>
      </c>
      <c r="BA10" s="15" t="s">
        <v>105</v>
      </c>
      <c r="BB10" s="18" t="s">
        <v>106</v>
      </c>
      <c r="BC10" s="15" t="s">
        <v>107</v>
      </c>
      <c r="BD10" s="18" t="s">
        <v>108</v>
      </c>
      <c r="BE10" s="19">
        <f t="shared" si="2"/>
        <v>45558</v>
      </c>
      <c r="BF10" s="19">
        <f t="shared" si="3"/>
        <v>45558</v>
      </c>
      <c r="BG10" s="21">
        <f t="shared" si="4"/>
        <v>45954</v>
      </c>
      <c r="BH10" s="28" t="s">
        <v>75</v>
      </c>
      <c r="BI10" s="29" t="s">
        <v>109</v>
      </c>
      <c r="BJ10" s="36">
        <v>5103197116</v>
      </c>
      <c r="BK10" s="31" t="s">
        <v>110</v>
      </c>
      <c r="BL10" s="19" t="s">
        <v>111</v>
      </c>
      <c r="BM10" s="28" t="s">
        <v>112</v>
      </c>
      <c r="BN10" s="28" t="s">
        <v>146</v>
      </c>
      <c r="BO10" s="19" t="s">
        <v>147</v>
      </c>
      <c r="BP10" s="28" t="s">
        <v>114</v>
      </c>
      <c r="BQ10" s="28" t="s">
        <v>75</v>
      </c>
      <c r="BR10" s="15" t="s">
        <v>115</v>
      </c>
      <c r="BS10" s="15" t="s">
        <v>116</v>
      </c>
      <c r="BT10" s="28" t="s">
        <v>117</v>
      </c>
      <c r="BU10" s="28" t="s">
        <v>118</v>
      </c>
      <c r="BV10" s="28" t="s">
        <v>119</v>
      </c>
      <c r="BW10" s="33"/>
      <c r="BX10" s="33"/>
      <c r="BY10" s="34"/>
      <c r="BZ10" s="34"/>
      <c r="CA10" s="33"/>
      <c r="CB10" s="33"/>
      <c r="CC10" s="33"/>
      <c r="CD10" s="33"/>
      <c r="CE10" s="33"/>
      <c r="CF10" s="33"/>
      <c r="CG10" s="33"/>
    </row>
    <row r="11" ht="15.65" customHeight="1" spans="1:85" x14ac:dyDescent="0.25">
      <c r="A11" s="1" t="s">
        <v>160</v>
      </c>
      <c r="D11" s="14" t="s">
        <v>74</v>
      </c>
      <c r="E11" s="15" t="s">
        <v>75</v>
      </c>
      <c r="F11" s="16"/>
      <c r="G11" s="17"/>
      <c r="H11" s="15" t="s">
        <v>78</v>
      </c>
      <c r="I11" s="18" t="s">
        <v>79</v>
      </c>
      <c r="J11" s="18" t="s">
        <v>80</v>
      </c>
      <c r="K11" s="19" t="s">
        <v>81</v>
      </c>
      <c r="L11" s="15" t="s">
        <v>75</v>
      </c>
      <c r="M11" s="18" t="s">
        <v>82</v>
      </c>
      <c r="N11" s="18">
        <v>1</v>
      </c>
      <c r="O11" s="18">
        <v>1612</v>
      </c>
      <c r="P11" s="18">
        <v>90851</v>
      </c>
      <c r="Q11" s="18" t="s">
        <v>83</v>
      </c>
      <c r="R11" s="18" t="s">
        <v>75</v>
      </c>
      <c r="S11" s="18" t="s">
        <v>80</v>
      </c>
      <c r="T11" s="19" t="s">
        <v>84</v>
      </c>
      <c r="U11" s="20" t="s">
        <v>85</v>
      </c>
      <c r="V11" s="18" t="s">
        <v>80</v>
      </c>
      <c r="W11" s="21">
        <f t="shared" si="0"/>
        <v>45558</v>
      </c>
      <c r="X11" s="18" t="s">
        <v>86</v>
      </c>
      <c r="Y11" s="22" t="s">
        <v>87</v>
      </c>
      <c r="Z11" s="15" t="s">
        <v>125</v>
      </c>
      <c r="AA11" s="24" t="s">
        <v>161</v>
      </c>
      <c r="AB11" s="19" t="s">
        <v>90</v>
      </c>
      <c r="AC11" s="15">
        <v>870</v>
      </c>
      <c r="AD11" s="15" t="s">
        <v>91</v>
      </c>
      <c r="AE11" s="15" t="s">
        <v>92</v>
      </c>
      <c r="AF11" t="s">
        <v>81</v>
      </c>
      <c r="AG11" s="15" t="s">
        <v>93</v>
      </c>
      <c r="AH11" s="15" t="s">
        <v>94</v>
      </c>
      <c r="AI11" s="21" t="s">
        <v>81</v>
      </c>
      <c r="AJ11" s="18" t="s">
        <v>95</v>
      </c>
      <c r="AK11" s="25" t="s">
        <v>96</v>
      </c>
      <c r="AL11" s="37" t="s">
        <v>162</v>
      </c>
      <c r="AM11" s="18" t="s">
        <v>98</v>
      </c>
      <c r="AN11" s="18" t="s">
        <v>99</v>
      </c>
      <c r="AO11" s="24" t="s">
        <v>100</v>
      </c>
      <c r="AP11" s="26" t="s">
        <v>138</v>
      </c>
      <c r="AQ11" s="15" t="s">
        <v>87</v>
      </c>
      <c r="AR11" s="15" t="s">
        <v>87</v>
      </c>
      <c r="AS11" s="19" t="s">
        <v>81</v>
      </c>
      <c r="AT11" s="19" t="s">
        <v>81</v>
      </c>
      <c r="AU11" s="26" t="s">
        <v>81</v>
      </c>
      <c r="AV11" s="26" t="s">
        <v>81</v>
      </c>
      <c r="AW11" s="26" t="s">
        <v>81</v>
      </c>
      <c r="AX11" s="15" t="s">
        <v>87</v>
      </c>
      <c r="AY11" s="21" t="s">
        <v>81</v>
      </c>
      <c r="AZ11" s="19">
        <f t="shared" si="1"/>
        <v>45679</v>
      </c>
      <c r="BA11" s="15" t="s">
        <v>105</v>
      </c>
      <c r="BB11" s="18" t="s">
        <v>106</v>
      </c>
      <c r="BC11" s="15" t="s">
        <v>132</v>
      </c>
      <c r="BD11" s="18" t="s">
        <v>108</v>
      </c>
      <c r="BE11" s="19">
        <f t="shared" si="2"/>
        <v>45558</v>
      </c>
      <c r="BF11" s="19">
        <f t="shared" si="3"/>
        <v>45558</v>
      </c>
      <c r="BG11" s="21">
        <f t="shared" si="4"/>
        <v>NaN</v>
      </c>
      <c r="BH11" s="28" t="s">
        <v>75</v>
      </c>
      <c r="BI11" s="29" t="s">
        <v>109</v>
      </c>
      <c r="BJ11" s="36">
        <v>7665028027</v>
      </c>
      <c r="BK11" s="31" t="s">
        <v>133</v>
      </c>
      <c r="BL11" s="19" t="s">
        <v>111</v>
      </c>
      <c r="BM11" s="28" t="s">
        <v>112</v>
      </c>
      <c r="BN11" s="28" t="s">
        <v>146</v>
      </c>
      <c r="BO11" s="19" t="s">
        <v>147</v>
      </c>
      <c r="BP11" s="28" t="s">
        <v>114</v>
      </c>
      <c r="BQ11" s="28" t="s">
        <v>75</v>
      </c>
      <c r="BR11" s="15" t="s">
        <v>115</v>
      </c>
      <c r="BS11" s="15" t="s">
        <v>116</v>
      </c>
      <c r="BT11" s="28" t="s">
        <v>117</v>
      </c>
      <c r="BU11" s="28" t="s">
        <v>118</v>
      </c>
      <c r="BV11" s="28" t="s">
        <v>119</v>
      </c>
      <c r="BW11" s="33"/>
      <c r="BX11" s="33"/>
      <c r="BY11" s="34"/>
      <c r="BZ11" s="34"/>
      <c r="CA11" s="33"/>
      <c r="CB11" s="33"/>
      <c r="CC11" s="33"/>
      <c r="CD11" s="33"/>
      <c r="CE11" s="33"/>
      <c r="CF11" s="33"/>
      <c r="CG11" s="33"/>
    </row>
    <row r="12" ht="15.65" customHeight="1" spans="1:85" x14ac:dyDescent="0.25">
      <c r="A12" s="1" t="s">
        <v>163</v>
      </c>
      <c r="D12" s="14" t="s">
        <v>74</v>
      </c>
      <c r="E12" s="15" t="s">
        <v>75</v>
      </c>
      <c r="F12" s="16"/>
      <c r="G12" s="17"/>
      <c r="H12" s="15" t="s">
        <v>78</v>
      </c>
      <c r="I12" s="18" t="s">
        <v>79</v>
      </c>
      <c r="J12" s="18" t="s">
        <v>80</v>
      </c>
      <c r="K12" s="19" t="s">
        <v>81</v>
      </c>
      <c r="L12" s="15" t="s">
        <v>75</v>
      </c>
      <c r="M12" s="18" t="s">
        <v>82</v>
      </c>
      <c r="N12" s="18">
        <v>1</v>
      </c>
      <c r="O12" s="18">
        <v>1612</v>
      </c>
      <c r="P12" s="18">
        <v>90851</v>
      </c>
      <c r="Q12" s="18" t="s">
        <v>83</v>
      </c>
      <c r="R12" s="18" t="s">
        <v>75</v>
      </c>
      <c r="S12" s="18" t="s">
        <v>80</v>
      </c>
      <c r="T12" s="19" t="s">
        <v>84</v>
      </c>
      <c r="U12" s="20" t="s">
        <v>85</v>
      </c>
      <c r="V12" s="18" t="s">
        <v>80</v>
      </c>
      <c r="W12" s="21">
        <f t="shared" si="0"/>
        <v>45558</v>
      </c>
      <c r="X12" s="18" t="s">
        <v>86</v>
      </c>
      <c r="Y12" s="22" t="s">
        <v>87</v>
      </c>
      <c r="Z12" s="23" t="s">
        <v>88</v>
      </c>
      <c r="AA12" s="24" t="s">
        <v>164</v>
      </c>
      <c r="AB12" s="19" t="s">
        <v>136</v>
      </c>
      <c r="AC12" s="15">
        <v>870</v>
      </c>
      <c r="AD12" s="15" t="s">
        <v>91</v>
      </c>
      <c r="AE12" s="15">
        <v>10</v>
      </c>
      <c r="AF12" s="15">
        <v>40</v>
      </c>
      <c r="AG12" s="15" t="s">
        <v>93</v>
      </c>
      <c r="AH12" s="15" t="s">
        <v>94</v>
      </c>
      <c r="AI12" s="21">
        <f>TODAY()+365</f>
        <v>45954</v>
      </c>
      <c r="AJ12" s="18" t="s">
        <v>95</v>
      </c>
      <c r="AK12" s="25" t="s">
        <v>96</v>
      </c>
      <c r="AL12" s="37" t="s">
        <v>165</v>
      </c>
      <c r="AM12" s="18" t="s">
        <v>98</v>
      </c>
      <c r="AN12" s="18" t="s">
        <v>99</v>
      </c>
      <c r="AO12" s="24" t="s">
        <v>130</v>
      </c>
      <c r="AP12" s="26" t="s">
        <v>131</v>
      </c>
      <c r="AQ12" s="15" t="s">
        <v>87</v>
      </c>
      <c r="AR12" s="15" t="s">
        <v>87</v>
      </c>
      <c r="AS12" s="19" t="s">
        <v>81</v>
      </c>
      <c r="AT12" s="19" t="s">
        <v>81</v>
      </c>
      <c r="AU12" s="26" t="s">
        <v>81</v>
      </c>
      <c r="AV12" s="26" t="s">
        <v>81</v>
      </c>
      <c r="AW12" s="26" t="s">
        <v>81</v>
      </c>
      <c r="AX12" s="15" t="s">
        <v>87</v>
      </c>
      <c r="AY12" s="21" t="s">
        <v>81</v>
      </c>
      <c r="AZ12" s="19">
        <f t="shared" si="1"/>
        <v>45679</v>
      </c>
      <c r="BA12" s="15" t="s">
        <v>105</v>
      </c>
      <c r="BB12" s="18" t="s">
        <v>106</v>
      </c>
      <c r="BC12" s="15" t="s">
        <v>107</v>
      </c>
      <c r="BD12" s="18" t="s">
        <v>108</v>
      </c>
      <c r="BE12" s="19">
        <f t="shared" si="2"/>
        <v>45558</v>
      </c>
      <c r="BF12" s="19">
        <f t="shared" si="3"/>
        <v>45558</v>
      </c>
      <c r="BG12" s="21">
        <f t="shared" si="4"/>
        <v>45954</v>
      </c>
      <c r="BH12" s="28" t="s">
        <v>75</v>
      </c>
      <c r="BI12" s="29" t="s">
        <v>109</v>
      </c>
      <c r="BJ12" s="36">
        <v>6306255355</v>
      </c>
      <c r="BK12" s="31" t="s">
        <v>110</v>
      </c>
      <c r="BL12" s="19" t="s">
        <v>111</v>
      </c>
      <c r="BM12" s="28" t="s">
        <v>112</v>
      </c>
      <c r="BN12" s="28" t="s">
        <v>146</v>
      </c>
      <c r="BO12" s="19" t="s">
        <v>147</v>
      </c>
      <c r="BP12" s="28" t="s">
        <v>114</v>
      </c>
      <c r="BQ12" s="28" t="s">
        <v>75</v>
      </c>
      <c r="BR12" s="15" t="s">
        <v>115</v>
      </c>
      <c r="BS12" s="15" t="s">
        <v>116</v>
      </c>
      <c r="BT12" s="28" t="s">
        <v>117</v>
      </c>
      <c r="BU12" s="28" t="s">
        <v>118</v>
      </c>
      <c r="BV12" s="28" t="s">
        <v>119</v>
      </c>
      <c r="BW12" s="33"/>
      <c r="BX12" s="33"/>
      <c r="BY12" s="34"/>
      <c r="BZ12" s="34"/>
      <c r="CA12" s="33"/>
      <c r="CB12" s="33"/>
      <c r="CC12" s="33"/>
      <c r="CD12" s="33"/>
      <c r="CE12" s="33"/>
      <c r="CF12" s="33"/>
      <c r="CG12" s="33"/>
    </row>
    <row r="13" ht="15.65" customHeight="1" spans="1:85" x14ac:dyDescent="0.25">
      <c r="A13" s="1" t="s">
        <v>166</v>
      </c>
      <c r="D13" s="14" t="s">
        <v>74</v>
      </c>
      <c r="E13" s="15" t="s">
        <v>75</v>
      </c>
      <c r="F13" s="16"/>
      <c r="G13" s="17"/>
      <c r="H13" s="15" t="s">
        <v>78</v>
      </c>
      <c r="I13" s="18" t="s">
        <v>79</v>
      </c>
      <c r="J13" s="18" t="s">
        <v>80</v>
      </c>
      <c r="K13" s="19" t="s">
        <v>81</v>
      </c>
      <c r="L13" s="15" t="s">
        <v>75</v>
      </c>
      <c r="M13" s="18" t="s">
        <v>82</v>
      </c>
      <c r="N13" s="18">
        <v>1</v>
      </c>
      <c r="O13" s="18">
        <v>1612</v>
      </c>
      <c r="P13" s="18">
        <v>90851</v>
      </c>
      <c r="Q13" s="18" t="s">
        <v>83</v>
      </c>
      <c r="R13" s="18" t="s">
        <v>75</v>
      </c>
      <c r="S13" s="18" t="s">
        <v>80</v>
      </c>
      <c r="T13" s="19" t="s">
        <v>84</v>
      </c>
      <c r="U13" s="20" t="s">
        <v>85</v>
      </c>
      <c r="V13" s="18" t="s">
        <v>80</v>
      </c>
      <c r="W13" s="21">
        <f t="shared" si="0"/>
        <v>45558</v>
      </c>
      <c r="X13" s="18" t="s">
        <v>86</v>
      </c>
      <c r="Y13" s="22" t="s">
        <v>87</v>
      </c>
      <c r="Z13" s="15" t="s">
        <v>167</v>
      </c>
      <c r="AA13" s="24" t="s">
        <v>168</v>
      </c>
      <c r="AB13" s="19" t="s">
        <v>136</v>
      </c>
      <c r="AC13" s="15">
        <v>870</v>
      </c>
      <c r="AD13" s="15" t="s">
        <v>169</v>
      </c>
      <c r="AE13" s="15">
        <v>20</v>
      </c>
      <c r="AF13">
        <v>40</v>
      </c>
      <c r="AG13" s="15" t="s">
        <v>93</v>
      </c>
      <c r="AH13" s="15" t="s">
        <v>94</v>
      </c>
      <c r="AI13" s="21">
        <f>W13+360</f>
        <v>45918</v>
      </c>
      <c r="AJ13" s="18" t="s">
        <v>95</v>
      </c>
      <c r="AK13" s="25" t="s">
        <v>96</v>
      </c>
      <c r="AL13" s="37" t="s">
        <v>170</v>
      </c>
      <c r="AM13" s="18" t="s">
        <v>98</v>
      </c>
      <c r="AN13" s="18" t="s">
        <v>99</v>
      </c>
      <c r="AO13" s="24" t="s">
        <v>142</v>
      </c>
      <c r="AP13" s="26" t="s">
        <v>138</v>
      </c>
      <c r="AQ13" s="15" t="s">
        <v>87</v>
      </c>
      <c r="AR13" s="15" t="s">
        <v>87</v>
      </c>
      <c r="AS13" s="19" t="s">
        <v>81</v>
      </c>
      <c r="AT13" s="19" t="s">
        <v>81</v>
      </c>
      <c r="AU13" s="26" t="s">
        <v>81</v>
      </c>
      <c r="AV13" s="26" t="s">
        <v>81</v>
      </c>
      <c r="AW13" s="26" t="s">
        <v>81</v>
      </c>
      <c r="AX13" s="15" t="s">
        <v>87</v>
      </c>
      <c r="AY13" s="21" t="s">
        <v>81</v>
      </c>
      <c r="AZ13" s="19">
        <f t="shared" si="1"/>
        <v>45679</v>
      </c>
      <c r="BA13" s="15" t="s">
        <v>171</v>
      </c>
      <c r="BB13" s="18" t="s">
        <v>106</v>
      </c>
      <c r="BC13" s="15" t="s">
        <v>107</v>
      </c>
      <c r="BD13" s="18" t="s">
        <v>108</v>
      </c>
      <c r="BE13" s="19">
        <f t="shared" si="2"/>
        <v>45558</v>
      </c>
      <c r="BF13" s="19">
        <f t="shared" si="3"/>
        <v>45558</v>
      </c>
      <c r="BG13" s="21">
        <f t="shared" si="4"/>
        <v>45918</v>
      </c>
      <c r="BH13" s="28" t="s">
        <v>75</v>
      </c>
      <c r="BI13" s="29" t="s">
        <v>109</v>
      </c>
      <c r="BJ13" s="36">
        <v>5779547325</v>
      </c>
      <c r="BK13" s="31" t="s">
        <v>133</v>
      </c>
      <c r="BL13" s="19" t="s">
        <v>111</v>
      </c>
      <c r="BM13" s="28" t="s">
        <v>112</v>
      </c>
      <c r="BN13" s="28" t="s">
        <v>146</v>
      </c>
      <c r="BO13" s="19" t="s">
        <v>147</v>
      </c>
      <c r="BP13" s="28" t="s">
        <v>114</v>
      </c>
      <c r="BQ13" s="28" t="s">
        <v>75</v>
      </c>
      <c r="BR13" s="15" t="s">
        <v>115</v>
      </c>
      <c r="BS13" s="15" t="s">
        <v>116</v>
      </c>
      <c r="BT13" s="28" t="s">
        <v>117</v>
      </c>
      <c r="BU13" s="28" t="s">
        <v>118</v>
      </c>
      <c r="BV13" s="28" t="s">
        <v>119</v>
      </c>
      <c r="BW13" s="33"/>
      <c r="BX13" s="33"/>
      <c r="BY13" s="34"/>
      <c r="BZ13" s="34"/>
      <c r="CA13" s="33"/>
      <c r="CB13" s="33"/>
      <c r="CC13" s="33"/>
      <c r="CD13" s="33"/>
      <c r="CE13" s="33"/>
      <c r="CF13" s="33"/>
      <c r="CG13" s="33"/>
    </row>
    <row r="14" ht="15.65" customHeight="1" spans="1:85" x14ac:dyDescent="0.25">
      <c r="A14" s="1" t="s">
        <v>172</v>
      </c>
      <c r="D14" s="14" t="s">
        <v>74</v>
      </c>
      <c r="E14" s="15" t="s">
        <v>75</v>
      </c>
      <c r="F14" s="16"/>
      <c r="G14" s="17"/>
      <c r="H14" s="15" t="s">
        <v>78</v>
      </c>
      <c r="I14" s="18" t="s">
        <v>79</v>
      </c>
      <c r="J14" s="18" t="s">
        <v>80</v>
      </c>
      <c r="K14" s="19" t="s">
        <v>81</v>
      </c>
      <c r="L14" s="15" t="s">
        <v>75</v>
      </c>
      <c r="M14" s="18" t="s">
        <v>82</v>
      </c>
      <c r="N14" s="18">
        <v>1</v>
      </c>
      <c r="O14" s="18">
        <v>1612</v>
      </c>
      <c r="P14" s="18">
        <v>90851</v>
      </c>
      <c r="Q14" s="18" t="s">
        <v>83</v>
      </c>
      <c r="R14" s="18" t="s">
        <v>75</v>
      </c>
      <c r="S14" s="18" t="s">
        <v>80</v>
      </c>
      <c r="T14" s="19" t="s">
        <v>84</v>
      </c>
      <c r="U14" s="20" t="s">
        <v>85</v>
      </c>
      <c r="V14" s="18" t="s">
        <v>80</v>
      </c>
      <c r="W14" s="21">
        <f t="shared" si="0"/>
        <v>45558</v>
      </c>
      <c r="X14" s="18" t="s">
        <v>86</v>
      </c>
      <c r="Y14" s="22" t="s">
        <v>87</v>
      </c>
      <c r="Z14" s="23" t="s">
        <v>88</v>
      </c>
      <c r="AA14" s="24" t="s">
        <v>173</v>
      </c>
      <c r="AB14" s="19" t="s">
        <v>90</v>
      </c>
      <c r="AC14" s="15">
        <v>870</v>
      </c>
      <c r="AD14" s="15" t="s">
        <v>91</v>
      </c>
      <c r="AE14" s="15" t="s">
        <v>92</v>
      </c>
      <c r="AF14" s="15" t="s">
        <v>81</v>
      </c>
      <c r="AG14" s="15" t="s">
        <v>93</v>
      </c>
      <c r="AH14" s="15" t="s">
        <v>94</v>
      </c>
      <c r="AI14" s="21">
        <f>W14+365</f>
        <v>45923</v>
      </c>
      <c r="AJ14" s="18" t="s">
        <v>95</v>
      </c>
      <c r="AK14" s="25" t="s">
        <v>96</v>
      </c>
      <c r="AL14" s="37" t="s">
        <v>174</v>
      </c>
      <c r="AM14" s="18" t="s">
        <v>98</v>
      </c>
      <c r="AN14" s="18" t="s">
        <v>99</v>
      </c>
      <c r="AO14" s="24" t="s">
        <v>142</v>
      </c>
      <c r="AP14" s="26" t="s">
        <v>131</v>
      </c>
      <c r="AQ14" s="15" t="s">
        <v>87</v>
      </c>
      <c r="AR14" s="15" t="s">
        <v>87</v>
      </c>
      <c r="AS14" s="19" t="s">
        <v>81</v>
      </c>
      <c r="AT14" s="19" t="s">
        <v>81</v>
      </c>
      <c r="AU14" s="26" t="s">
        <v>102</v>
      </c>
      <c r="AV14" s="26" t="s">
        <v>103</v>
      </c>
      <c r="AW14" s="27">
        <v>1234567892</v>
      </c>
      <c r="AX14" s="15" t="s">
        <v>87</v>
      </c>
      <c r="AY14" s="21" t="s">
        <v>104</v>
      </c>
      <c r="AZ14" s="19">
        <f t="shared" si="1"/>
        <v>45679</v>
      </c>
      <c r="BA14" s="15" t="s">
        <v>105</v>
      </c>
      <c r="BB14" s="18" t="s">
        <v>106</v>
      </c>
      <c r="BC14" s="15" t="s">
        <v>107</v>
      </c>
      <c r="BD14" s="18" t="s">
        <v>108</v>
      </c>
      <c r="BE14" s="19">
        <f t="shared" si="2"/>
        <v>45558</v>
      </c>
      <c r="BF14" s="19">
        <f t="shared" si="3"/>
        <v>45558</v>
      </c>
      <c r="BG14" s="21">
        <f t="shared" si="4"/>
        <v>45923</v>
      </c>
      <c r="BH14" s="28" t="s">
        <v>75</v>
      </c>
      <c r="BI14" s="29" t="s">
        <v>109</v>
      </c>
      <c r="BJ14" s="36">
        <v>5901811916</v>
      </c>
      <c r="BK14" s="31" t="s">
        <v>110</v>
      </c>
      <c r="BL14" s="19" t="s">
        <v>111</v>
      </c>
      <c r="BM14" s="28" t="s">
        <v>112</v>
      </c>
      <c r="BN14" s="28" t="s">
        <v>146</v>
      </c>
      <c r="BO14" s="19" t="s">
        <v>147</v>
      </c>
      <c r="BP14" s="28" t="s">
        <v>114</v>
      </c>
      <c r="BQ14" s="28" t="s">
        <v>75</v>
      </c>
      <c r="BR14" s="15" t="s">
        <v>115</v>
      </c>
      <c r="BS14" s="15" t="s">
        <v>116</v>
      </c>
      <c r="BT14" s="28" t="s">
        <v>117</v>
      </c>
      <c r="BU14" s="28" t="s">
        <v>118</v>
      </c>
      <c r="BV14" s="28" t="s">
        <v>119</v>
      </c>
      <c r="BW14" s="33"/>
      <c r="BX14" s="33"/>
      <c r="BY14" s="34"/>
      <c r="BZ14" s="34"/>
      <c r="CA14" s="33"/>
      <c r="CB14" s="33"/>
      <c r="CC14" s="33"/>
      <c r="CD14" s="33"/>
      <c r="CE14" s="33"/>
      <c r="CF14" s="33"/>
      <c r="CG14" s="33"/>
    </row>
    <row r="15" ht="15.65" customHeight="1" spans="1:85" x14ac:dyDescent="0.25">
      <c r="A15" s="1" t="s">
        <v>175</v>
      </c>
      <c r="D15" s="14" t="s">
        <v>74</v>
      </c>
      <c r="E15" s="15" t="s">
        <v>75</v>
      </c>
      <c r="F15" s="16"/>
      <c r="G15" s="17"/>
      <c r="H15" s="15" t="s">
        <v>78</v>
      </c>
      <c r="I15" s="18" t="s">
        <v>79</v>
      </c>
      <c r="J15" s="18" t="s">
        <v>80</v>
      </c>
      <c r="K15" s="19" t="s">
        <v>81</v>
      </c>
      <c r="L15" s="15" t="s">
        <v>75</v>
      </c>
      <c r="M15" s="18" t="s">
        <v>82</v>
      </c>
      <c r="N15" s="18">
        <v>1</v>
      </c>
      <c r="O15" s="18">
        <v>1612</v>
      </c>
      <c r="P15" s="18">
        <v>90851</v>
      </c>
      <c r="Q15" s="18" t="s">
        <v>83</v>
      </c>
      <c r="R15" s="18" t="s">
        <v>75</v>
      </c>
      <c r="S15" s="18" t="s">
        <v>80</v>
      </c>
      <c r="T15" s="19" t="s">
        <v>84</v>
      </c>
      <c r="U15" s="20" t="s">
        <v>85</v>
      </c>
      <c r="V15" s="18" t="s">
        <v>80</v>
      </c>
      <c r="W15" s="21">
        <f t="shared" si="0"/>
        <v>45558</v>
      </c>
      <c r="X15" s="18" t="s">
        <v>86</v>
      </c>
      <c r="Y15" s="22" t="s">
        <v>87</v>
      </c>
      <c r="Z15" s="15" t="s">
        <v>125</v>
      </c>
      <c r="AA15" s="24" t="s">
        <v>176</v>
      </c>
      <c r="AB15" s="19" t="s">
        <v>136</v>
      </c>
      <c r="AC15" s="15">
        <v>870</v>
      </c>
      <c r="AD15" s="15" t="s">
        <v>91</v>
      </c>
      <c r="AE15" s="15">
        <v>20</v>
      </c>
      <c r="AF15">
        <v>40</v>
      </c>
      <c r="AG15" s="15" t="s">
        <v>93</v>
      </c>
      <c r="AH15" s="15" t="s">
        <v>94</v>
      </c>
      <c r="AI15" s="21" t="s">
        <v>81</v>
      </c>
      <c r="AJ15" s="18" t="s">
        <v>95</v>
      </c>
      <c r="AK15" s="25" t="s">
        <v>96</v>
      </c>
      <c r="AL15" s="25" t="s">
        <v>177</v>
      </c>
      <c r="AM15" s="18" t="s">
        <v>98</v>
      </c>
      <c r="AN15" s="18" t="s">
        <v>99</v>
      </c>
      <c r="AO15" s="24" t="s">
        <v>130</v>
      </c>
      <c r="AP15" s="26" t="s">
        <v>101</v>
      </c>
      <c r="AQ15" s="15" t="s">
        <v>87</v>
      </c>
      <c r="AR15" s="15" t="s">
        <v>87</v>
      </c>
      <c r="AS15" s="19" t="s">
        <v>81</v>
      </c>
      <c r="AT15" s="19" t="s">
        <v>81</v>
      </c>
      <c r="AU15" s="26" t="s">
        <v>81</v>
      </c>
      <c r="AV15" s="26" t="s">
        <v>81</v>
      </c>
      <c r="AW15" s="26" t="s">
        <v>81</v>
      </c>
      <c r="AX15" s="15" t="s">
        <v>87</v>
      </c>
      <c r="AY15" s="21" t="s">
        <v>81</v>
      </c>
      <c r="AZ15" s="19">
        <f t="shared" si="1"/>
        <v>45679</v>
      </c>
      <c r="BA15" s="15" t="s">
        <v>105</v>
      </c>
      <c r="BB15" s="18" t="s">
        <v>106</v>
      </c>
      <c r="BC15" s="15" t="s">
        <v>132</v>
      </c>
      <c r="BD15" s="18" t="s">
        <v>108</v>
      </c>
      <c r="BE15" s="19">
        <f t="shared" si="2"/>
        <v>45558</v>
      </c>
      <c r="BF15" s="19">
        <f t="shared" si="3"/>
        <v>45558</v>
      </c>
      <c r="BG15" s="21">
        <f t="shared" si="4"/>
        <v>NaN</v>
      </c>
      <c r="BH15" s="28" t="s">
        <v>75</v>
      </c>
      <c r="BI15" s="29" t="s">
        <v>109</v>
      </c>
      <c r="BJ15" s="36">
        <v>3178036037</v>
      </c>
      <c r="BK15" s="31" t="s">
        <v>133</v>
      </c>
      <c r="BL15" s="19" t="s">
        <v>111</v>
      </c>
      <c r="BM15" s="28" t="s">
        <v>112</v>
      </c>
      <c r="BN15" s="28" t="s">
        <v>146</v>
      </c>
      <c r="BO15" s="19" t="s">
        <v>147</v>
      </c>
      <c r="BP15" s="28" t="s">
        <v>114</v>
      </c>
      <c r="BQ15" s="28" t="s">
        <v>75</v>
      </c>
      <c r="BR15" s="15" t="s">
        <v>115</v>
      </c>
      <c r="BS15" s="15" t="s">
        <v>116</v>
      </c>
      <c r="BT15" s="28" t="s">
        <v>117</v>
      </c>
      <c r="BU15" s="28" t="s">
        <v>118</v>
      </c>
      <c r="BV15" s="28" t="s">
        <v>119</v>
      </c>
      <c r="BW15" s="33"/>
      <c r="BX15" s="33"/>
      <c r="BY15" s="34"/>
      <c r="BZ15" s="34"/>
      <c r="CA15" s="33"/>
      <c r="CB15" s="33"/>
      <c r="CC15" s="33"/>
      <c r="CD15" s="33"/>
      <c r="CE15" s="33"/>
      <c r="CF15" s="33"/>
      <c r="CG15" s="33"/>
    </row>
    <row r="16" ht="15.65" customHeight="1" spans="1:85" x14ac:dyDescent="0.25">
      <c r="A16" s="1" t="s">
        <v>178</v>
      </c>
      <c r="D16" s="14" t="s">
        <v>74</v>
      </c>
      <c r="E16" s="15" t="s">
        <v>75</v>
      </c>
      <c r="F16" s="16"/>
      <c r="G16" s="17"/>
      <c r="H16" s="15" t="s">
        <v>78</v>
      </c>
      <c r="I16" s="18" t="s">
        <v>79</v>
      </c>
      <c r="J16" s="18" t="s">
        <v>80</v>
      </c>
      <c r="K16" s="19" t="s">
        <v>81</v>
      </c>
      <c r="L16" s="15" t="s">
        <v>75</v>
      </c>
      <c r="M16" s="18" t="s">
        <v>82</v>
      </c>
      <c r="N16" s="18">
        <v>1</v>
      </c>
      <c r="O16" s="18">
        <v>1612</v>
      </c>
      <c r="P16" s="18">
        <v>90851</v>
      </c>
      <c r="Q16" s="18" t="s">
        <v>83</v>
      </c>
      <c r="R16" s="18" t="s">
        <v>75</v>
      </c>
      <c r="S16" s="18" t="s">
        <v>80</v>
      </c>
      <c r="T16" s="19" t="s">
        <v>84</v>
      </c>
      <c r="U16" s="20" t="s">
        <v>85</v>
      </c>
      <c r="V16" s="18" t="s">
        <v>80</v>
      </c>
      <c r="W16" s="21">
        <f t="shared" si="0"/>
        <v>45558</v>
      </c>
      <c r="X16" s="18" t="s">
        <v>86</v>
      </c>
      <c r="Y16" s="22" t="s">
        <v>87</v>
      </c>
      <c r="Z16" s="23" t="s">
        <v>88</v>
      </c>
      <c r="AA16" s="24" t="s">
        <v>89</v>
      </c>
      <c r="AB16" s="19" t="s">
        <v>90</v>
      </c>
      <c r="AC16" s="15">
        <v>870</v>
      </c>
      <c r="AD16" s="15" t="s">
        <v>91</v>
      </c>
      <c r="AE16" s="15" t="s">
        <v>92</v>
      </c>
      <c r="AF16" s="15" t="s">
        <v>81</v>
      </c>
      <c r="AG16" s="15" t="s">
        <v>93</v>
      </c>
      <c r="AH16" s="15" t="s">
        <v>94</v>
      </c>
      <c r="AI16" s="21">
        <f>W16+360</f>
        <v>45918</v>
      </c>
      <c r="AJ16" s="18" t="s">
        <v>95</v>
      </c>
      <c r="AK16" s="25" t="s">
        <v>96</v>
      </c>
      <c r="AL16" s="37" t="s">
        <v>179</v>
      </c>
      <c r="AM16" s="18" t="s">
        <v>98</v>
      </c>
      <c r="AN16" s="18" t="s">
        <v>99</v>
      </c>
      <c r="AO16" s="24" t="s">
        <v>100</v>
      </c>
      <c r="AP16" s="26" t="s">
        <v>138</v>
      </c>
      <c r="AQ16" s="15" t="s">
        <v>87</v>
      </c>
      <c r="AR16" s="15" t="s">
        <v>87</v>
      </c>
      <c r="AS16" s="19" t="s">
        <v>81</v>
      </c>
      <c r="AT16" s="19" t="s">
        <v>81</v>
      </c>
      <c r="AU16" s="26" t="s">
        <v>81</v>
      </c>
      <c r="AV16" s="26" t="s">
        <v>81</v>
      </c>
      <c r="AW16" s="26" t="s">
        <v>81</v>
      </c>
      <c r="AX16" s="15" t="s">
        <v>87</v>
      </c>
      <c r="AY16" s="21" t="s">
        <v>81</v>
      </c>
      <c r="AZ16" s="19">
        <f t="shared" si="1"/>
        <v>45679</v>
      </c>
      <c r="BA16" s="15" t="s">
        <v>180</v>
      </c>
      <c r="BB16" s="18" t="s">
        <v>106</v>
      </c>
      <c r="BC16" s="15" t="s">
        <v>107</v>
      </c>
      <c r="BD16" s="18" t="s">
        <v>108</v>
      </c>
      <c r="BE16" s="19">
        <f t="shared" si="2"/>
        <v>45558</v>
      </c>
      <c r="BF16" s="19">
        <f t="shared" si="3"/>
        <v>45558</v>
      </c>
      <c r="BG16" s="21">
        <f t="shared" si="4"/>
        <v>45918</v>
      </c>
      <c r="BH16" s="28" t="s">
        <v>75</v>
      </c>
      <c r="BI16" s="29" t="s">
        <v>109</v>
      </c>
      <c r="BJ16" s="38">
        <v>1362885490</v>
      </c>
      <c r="BK16" s="31" t="s">
        <v>110</v>
      </c>
      <c r="BL16" s="19" t="s">
        <v>111</v>
      </c>
      <c r="BM16" s="28" t="s">
        <v>112</v>
      </c>
      <c r="BN16" s="28" t="s">
        <v>146</v>
      </c>
      <c r="BO16" s="19" t="s">
        <v>147</v>
      </c>
      <c r="BP16" s="28" t="s">
        <v>114</v>
      </c>
      <c r="BQ16" s="28" t="s">
        <v>75</v>
      </c>
      <c r="BR16" s="15" t="s">
        <v>115</v>
      </c>
      <c r="BS16" s="15" t="s">
        <v>116</v>
      </c>
      <c r="BT16" s="28" t="s">
        <v>117</v>
      </c>
      <c r="BU16" s="28" t="s">
        <v>118</v>
      </c>
      <c r="BV16" s="28" t="s">
        <v>119</v>
      </c>
      <c r="BW16" s="33"/>
      <c r="BX16" s="33"/>
      <c r="BY16" s="34"/>
      <c r="BZ16" s="34"/>
      <c r="CA16" s="33"/>
      <c r="CB16" s="33"/>
      <c r="CC16" s="33"/>
      <c r="CD16" s="33"/>
      <c r="CE16" s="33"/>
      <c r="CF16" s="33"/>
      <c r="CG16" s="33"/>
    </row>
    <row r="17" ht="15.65" customHeight="1" spans="2:85" x14ac:dyDescent="0.25">
      <c r="B17" s="35"/>
      <c r="E17" s="35"/>
      <c r="G17" s="14"/>
      <c r="H17" s="39"/>
      <c r="I17" s="40"/>
      <c r="J17" s="41"/>
      <c r="K17" s="27"/>
      <c r="L17" s="27"/>
      <c r="M17" s="27"/>
      <c r="N17" s="42"/>
      <c r="O17" s="39"/>
      <c r="P17" s="43"/>
      <c r="Q17" s="27"/>
      <c r="R17" s="27"/>
      <c r="S17" s="27"/>
      <c r="T17" s="27"/>
      <c r="U17" s="27"/>
      <c r="V17" s="27"/>
      <c r="W17" s="42"/>
      <c r="X17" s="44"/>
      <c r="Y17" s="27"/>
      <c r="Z17" s="45"/>
      <c r="AA17" s="27"/>
      <c r="AB17" s="42"/>
      <c r="AC17" s="42"/>
      <c r="AD17" s="46"/>
      <c r="AE17" s="42"/>
      <c r="AF17" s="39"/>
      <c r="AG17" s="39"/>
      <c r="AH17" s="39"/>
      <c r="AI17" s="47"/>
      <c r="AJ17" s="39"/>
      <c r="AK17" s="45"/>
      <c r="AL17" s="27"/>
      <c r="AM17" s="47"/>
      <c r="AN17" s="47"/>
      <c r="AO17" s="27"/>
      <c r="AP17" s="27"/>
      <c r="AQ17" s="39"/>
      <c r="AR17" s="26"/>
      <c r="AS17" s="26"/>
      <c r="AT17" s="27"/>
      <c r="AU17" s="27"/>
      <c r="AV17" s="27"/>
      <c r="AW17" s="42"/>
      <c r="AX17" s="39"/>
      <c r="AY17" s="27"/>
      <c r="AZ17" s="47"/>
      <c r="BA17" s="43"/>
      <c r="BB17" s="45"/>
      <c r="BC17" s="45"/>
      <c r="BD17" s="45"/>
      <c r="BE17" s="48"/>
      <c r="BF17" s="48"/>
      <c r="BG17" s="49"/>
      <c r="BH17" s="42"/>
      <c r="BI17" s="42"/>
      <c r="BJ17" s="48"/>
      <c r="BK17" s="48"/>
      <c r="BM17" s="42"/>
      <c r="BN17" s="42"/>
      <c r="BO17" s="39"/>
      <c r="BP17" s="39"/>
      <c r="BQ17" s="39"/>
      <c r="BR17" s="46"/>
      <c r="BS17" s="42"/>
      <c r="BT17" s="33"/>
      <c r="BU17" s="34"/>
      <c r="BV17" s="34"/>
      <c r="BW17" s="33"/>
      <c r="BX17" s="33"/>
      <c r="BY17" s="34"/>
      <c r="BZ17" s="34"/>
      <c r="CA17" s="33"/>
      <c r="CB17" s="33"/>
      <c r="CC17" s="33"/>
      <c r="CD17" s="33"/>
      <c r="CE17" s="33"/>
      <c r="CF17" s="33"/>
      <c r="CG17" s="33"/>
    </row>
    <row r="18" ht="15.65" customHeight="1" spans="7:85" x14ac:dyDescent="0.25">
      <c r="G18" s="14"/>
      <c r="H18" s="39"/>
      <c r="I18" s="40"/>
      <c r="J18" s="41"/>
      <c r="K18" s="27"/>
      <c r="L18" s="27"/>
      <c r="M18" s="27"/>
      <c r="N18" s="42"/>
      <c r="O18" s="39"/>
      <c r="P18" s="43"/>
      <c r="Q18" s="27"/>
      <c r="R18" s="27"/>
      <c r="S18" s="27"/>
      <c r="T18" s="27"/>
      <c r="U18" s="27"/>
      <c r="V18" s="27"/>
      <c r="W18" s="42"/>
      <c r="X18" s="44"/>
      <c r="Y18" s="27"/>
      <c r="Z18" s="45"/>
      <c r="AA18" s="27"/>
      <c r="AB18" s="42"/>
      <c r="AC18" s="42"/>
      <c r="AD18" s="46"/>
      <c r="AE18" s="42"/>
      <c r="AF18" s="39"/>
      <c r="AG18" s="39"/>
      <c r="AH18" s="39"/>
      <c r="AI18" s="47"/>
      <c r="AJ18" s="39"/>
      <c r="AK18" s="45"/>
      <c r="AL18" s="27"/>
      <c r="AM18" s="47"/>
      <c r="AN18" s="47"/>
      <c r="AO18" s="27"/>
      <c r="AP18" s="27"/>
      <c r="AQ18" s="39"/>
      <c r="AR18" s="26"/>
      <c r="AS18" s="26"/>
      <c r="AT18" s="27"/>
      <c r="AU18" s="27"/>
      <c r="AV18" s="27"/>
      <c r="AW18" s="42"/>
      <c r="AX18" s="39"/>
      <c r="AY18" s="27"/>
      <c r="AZ18" s="47"/>
      <c r="BA18" s="43"/>
      <c r="BB18" s="45"/>
      <c r="BC18" s="45"/>
      <c r="BD18" s="45"/>
      <c r="BE18" s="48"/>
      <c r="BF18" s="48"/>
      <c r="BG18" s="49"/>
      <c r="BH18" s="42"/>
      <c r="BI18" s="48"/>
      <c r="BK18" s="48"/>
      <c r="BM18" s="42"/>
      <c r="BN18" s="42"/>
      <c r="BO18" s="39"/>
      <c r="BP18" s="39"/>
      <c r="BQ18" s="39"/>
      <c r="BR18" s="46"/>
      <c r="BS18" s="42"/>
      <c r="BT18" s="33"/>
      <c r="BU18" s="34"/>
      <c r="BV18" s="34"/>
      <c r="BW18" s="33"/>
      <c r="BX18" s="33"/>
      <c r="BY18" s="34"/>
      <c r="BZ18" s="34"/>
      <c r="CA18" s="33"/>
      <c r="CB18" s="33"/>
      <c r="CC18" s="33"/>
      <c r="CD18" s="33"/>
      <c r="CE18" s="33"/>
      <c r="CF18" s="33"/>
      <c r="CG18" s="33"/>
    </row>
    <row r="19" ht="15.65" customHeight="1" spans="7:85" x14ac:dyDescent="0.25">
      <c r="G19" s="14"/>
      <c r="H19" s="39"/>
      <c r="I19" s="40"/>
      <c r="J19" s="41"/>
      <c r="K19" s="27"/>
      <c r="L19" s="27"/>
      <c r="M19" s="27"/>
      <c r="N19" s="42"/>
      <c r="O19" s="39"/>
      <c r="P19" s="43"/>
      <c r="Q19" s="27"/>
      <c r="R19" s="27"/>
      <c r="S19" s="27"/>
      <c r="T19" s="27"/>
      <c r="U19" s="27"/>
      <c r="V19" s="27"/>
      <c r="W19" s="42"/>
      <c r="X19" s="44"/>
      <c r="Y19" s="27"/>
      <c r="Z19" s="45"/>
      <c r="AA19" s="27"/>
      <c r="AB19" s="42"/>
      <c r="AC19" s="42"/>
      <c r="AD19" s="46"/>
      <c r="AE19" s="42"/>
      <c r="AF19" s="39"/>
      <c r="AG19" s="39"/>
      <c r="AH19" s="39"/>
      <c r="AI19" s="47"/>
      <c r="AJ19" s="39"/>
      <c r="AK19" s="45"/>
      <c r="AL19" s="27"/>
      <c r="AM19" s="47"/>
      <c r="AN19" s="47"/>
      <c r="AO19" s="27"/>
      <c r="AP19" s="27"/>
      <c r="AQ19" s="39"/>
      <c r="AR19" s="26"/>
      <c r="AS19" s="26"/>
      <c r="AT19" s="27"/>
      <c r="AU19" s="27"/>
      <c r="AV19" s="27"/>
      <c r="AW19" s="42"/>
      <c r="AX19" s="39"/>
      <c r="AY19" s="27"/>
      <c r="AZ19" s="47"/>
      <c r="BA19" s="43"/>
      <c r="BB19" s="45"/>
      <c r="BC19" s="45"/>
      <c r="BD19" s="45"/>
      <c r="BE19" s="48"/>
      <c r="BF19" s="48"/>
      <c r="BG19" s="49"/>
      <c r="BH19" s="42"/>
      <c r="BI19" s="42"/>
      <c r="BK19" s="48"/>
      <c r="BM19" s="42"/>
      <c r="BN19" s="42"/>
      <c r="BO19" s="39"/>
      <c r="BP19" s="39"/>
      <c r="BQ19" s="39"/>
      <c r="BR19" s="46"/>
      <c r="BS19" s="42"/>
      <c r="BT19" s="33"/>
      <c r="BU19" s="34"/>
      <c r="BV19" s="34"/>
      <c r="BW19" s="33"/>
      <c r="BX19" s="33"/>
      <c r="BY19" s="34"/>
      <c r="BZ19" s="34"/>
      <c r="CA19" s="33"/>
      <c r="CB19" s="33"/>
      <c r="CC19" s="33"/>
      <c r="CD19" s="33"/>
      <c r="CE19" s="33"/>
      <c r="CF19" s="33"/>
      <c r="CG19" s="33"/>
    </row>
    <row r="20" ht="15.65" customHeight="1" spans="7:85" x14ac:dyDescent="0.25">
      <c r="G20" s="14"/>
      <c r="H20" s="39"/>
      <c r="I20" s="40"/>
      <c r="J20" s="41"/>
      <c r="K20" s="27"/>
      <c r="L20" s="27"/>
      <c r="M20" s="27"/>
      <c r="N20" s="42"/>
      <c r="O20" s="39"/>
      <c r="P20" s="43"/>
      <c r="Q20" s="27"/>
      <c r="R20" s="27"/>
      <c r="S20" s="27"/>
      <c r="T20" s="27"/>
      <c r="U20" s="27"/>
      <c r="V20" s="27"/>
      <c r="W20" s="42"/>
      <c r="X20" s="44"/>
      <c r="Y20" s="27"/>
      <c r="Z20" s="45"/>
      <c r="AA20" s="27"/>
      <c r="AB20" s="42"/>
      <c r="AC20" s="42"/>
      <c r="AD20" s="46"/>
      <c r="AE20" s="42"/>
      <c r="AF20" s="39"/>
      <c r="AG20" s="39"/>
      <c r="AH20" s="39"/>
      <c r="AI20" s="47"/>
      <c r="AJ20" s="39"/>
      <c r="AK20" s="45"/>
      <c r="AL20" s="27"/>
      <c r="AM20" s="47"/>
      <c r="AN20" s="47"/>
      <c r="AO20" s="27"/>
      <c r="AP20" s="27"/>
      <c r="AQ20" s="39"/>
      <c r="AR20" s="26"/>
      <c r="AS20" s="26"/>
      <c r="AT20" s="27"/>
      <c r="AU20" s="27"/>
      <c r="AV20" s="27"/>
      <c r="AW20" s="42"/>
      <c r="AX20" s="39"/>
      <c r="AY20" s="27"/>
      <c r="AZ20" s="47"/>
      <c r="BA20" s="43"/>
      <c r="BB20" s="45"/>
      <c r="BC20" s="45"/>
      <c r="BD20" s="45"/>
      <c r="BE20" s="48"/>
      <c r="BF20" s="48"/>
      <c r="BG20" s="49"/>
      <c r="BH20" s="42"/>
      <c r="BI20" s="42"/>
      <c r="BK20" s="48"/>
      <c r="BM20" s="42"/>
      <c r="BN20" s="42"/>
      <c r="BO20" s="39"/>
      <c r="BP20" s="39"/>
      <c r="BQ20" s="39"/>
      <c r="BR20" s="46"/>
      <c r="BS20" s="42"/>
      <c r="BT20" s="33"/>
      <c r="BU20" s="34"/>
      <c r="BV20" s="34"/>
      <c r="BW20" s="33"/>
      <c r="BX20" s="33"/>
      <c r="BY20" s="34"/>
      <c r="BZ20" s="34"/>
      <c r="CA20" s="33"/>
      <c r="CB20" s="33"/>
      <c r="CC20" s="33"/>
      <c r="CD20" s="33"/>
      <c r="CE20" s="33"/>
      <c r="CF20" s="33"/>
      <c r="CG20" s="33"/>
    </row>
    <row r="21" ht="15.65" customHeight="1" spans="7:85" x14ac:dyDescent="0.25">
      <c r="G21" s="14"/>
      <c r="H21" s="39"/>
      <c r="I21" s="40"/>
      <c r="J21" s="41"/>
      <c r="K21" s="27"/>
      <c r="L21" s="27"/>
      <c r="M21" s="27"/>
      <c r="N21" s="42"/>
      <c r="O21" s="39"/>
      <c r="P21" s="43"/>
      <c r="Q21" s="27"/>
      <c r="R21" s="27"/>
      <c r="S21" s="27"/>
      <c r="T21" s="27"/>
      <c r="U21" s="27"/>
      <c r="V21" s="27"/>
      <c r="W21" s="42"/>
      <c r="X21" s="44"/>
      <c r="Y21" s="27"/>
      <c r="Z21" s="45"/>
      <c r="AA21" s="27"/>
      <c r="AB21" s="42"/>
      <c r="AC21" s="42"/>
      <c r="AD21" s="46"/>
      <c r="AE21" s="42"/>
      <c r="AF21" s="39"/>
      <c r="AG21" s="39"/>
      <c r="AH21" s="39"/>
      <c r="AI21" s="47"/>
      <c r="AJ21" s="39"/>
      <c r="AK21" s="45"/>
      <c r="AL21" s="27"/>
      <c r="AM21" s="47"/>
      <c r="AN21" s="47"/>
      <c r="AO21" s="27"/>
      <c r="AP21" s="27"/>
      <c r="AQ21" s="39"/>
      <c r="AR21" s="26"/>
      <c r="AS21" s="26"/>
      <c r="AT21" s="27"/>
      <c r="AU21" s="27"/>
      <c r="AV21" s="27"/>
      <c r="AW21" s="42"/>
      <c r="AX21" s="39"/>
      <c r="AY21" s="27"/>
      <c r="AZ21" s="47"/>
      <c r="BA21" s="43"/>
      <c r="BB21" s="45"/>
      <c r="BC21" s="45"/>
      <c r="BD21" s="45"/>
      <c r="BE21" s="48"/>
      <c r="BF21" s="48"/>
      <c r="BG21" s="49"/>
      <c r="BH21" s="42"/>
      <c r="BI21" s="42"/>
      <c r="BK21" s="48"/>
      <c r="BM21" s="42"/>
      <c r="BN21" s="42"/>
      <c r="BO21" s="39"/>
      <c r="BP21" s="39"/>
      <c r="BQ21" s="39"/>
      <c r="BR21" s="46"/>
      <c r="BS21" s="42"/>
      <c r="BT21" s="33"/>
      <c r="BU21" s="34"/>
      <c r="BV21" s="34"/>
      <c r="BW21" s="33"/>
      <c r="BX21" s="33"/>
      <c r="BY21" s="34"/>
      <c r="BZ21" s="34"/>
      <c r="CA21" s="33"/>
      <c r="CB21" s="33"/>
      <c r="CC21" s="33"/>
      <c r="CD21" s="33"/>
      <c r="CE21" s="33"/>
      <c r="CF21" s="33"/>
      <c r="CG21" s="33"/>
    </row>
    <row r="22" ht="15.65" customHeight="1" spans="7:85" x14ac:dyDescent="0.25">
      <c r="G22" s="14"/>
      <c r="H22" s="39"/>
      <c r="I22" s="40"/>
      <c r="J22" s="41"/>
      <c r="K22" s="27"/>
      <c r="L22" s="27"/>
      <c r="M22" s="27"/>
      <c r="N22" s="42"/>
      <c r="O22" s="39"/>
      <c r="P22" s="43"/>
      <c r="Q22" s="27"/>
      <c r="R22" s="27"/>
      <c r="S22" s="27"/>
      <c r="T22" s="27"/>
      <c r="U22" s="27"/>
      <c r="V22" s="27"/>
      <c r="W22" s="42"/>
      <c r="X22" s="44"/>
      <c r="Y22" s="27"/>
      <c r="Z22" s="45"/>
      <c r="AA22" s="27"/>
      <c r="AB22" s="42"/>
      <c r="AC22" s="42"/>
      <c r="AD22" s="46"/>
      <c r="AE22" s="42"/>
      <c r="AF22" s="39"/>
      <c r="AG22" s="39"/>
      <c r="AH22" s="39"/>
      <c r="AI22" s="47"/>
      <c r="AJ22" s="39"/>
      <c r="AK22" s="45"/>
      <c r="AL22" s="27"/>
      <c r="AM22" s="47"/>
      <c r="AN22" s="47"/>
      <c r="AO22" s="27"/>
      <c r="AP22" s="27"/>
      <c r="AQ22" s="39"/>
      <c r="AR22" s="26"/>
      <c r="AS22" s="26"/>
      <c r="AT22" s="27"/>
      <c r="AU22" s="27"/>
      <c r="AV22" s="27"/>
      <c r="AW22" s="42"/>
      <c r="AX22" s="39"/>
      <c r="AY22" s="27"/>
      <c r="AZ22" s="47"/>
      <c r="BA22" s="43"/>
      <c r="BB22" s="45"/>
      <c r="BC22" s="45"/>
      <c r="BD22" s="45"/>
      <c r="BE22" s="48"/>
      <c r="BF22" s="48"/>
      <c r="BG22" s="49"/>
      <c r="BH22" s="42"/>
      <c r="BI22" s="42"/>
      <c r="BK22" s="48"/>
      <c r="BM22" s="42"/>
      <c r="BN22" s="42"/>
      <c r="BO22" s="39"/>
      <c r="BP22" s="39"/>
      <c r="BQ22" s="39"/>
      <c r="BR22" s="46"/>
      <c r="BS22" s="42"/>
      <c r="BT22" s="33"/>
      <c r="BU22" s="34"/>
      <c r="BV22" s="34"/>
      <c r="BW22" s="33"/>
      <c r="BX22" s="33"/>
      <c r="BY22" s="34"/>
      <c r="BZ22" s="34"/>
      <c r="CA22" s="33"/>
      <c r="CB22" s="33"/>
      <c r="CC22" s="33"/>
      <c r="CD22" s="33"/>
      <c r="CE22" s="33"/>
      <c r="CF22" s="33"/>
      <c r="CG22" s="33"/>
    </row>
    <row r="23" ht="15.65" customHeight="1" spans="7:85" x14ac:dyDescent="0.25">
      <c r="G23" s="14"/>
      <c r="H23" s="39"/>
      <c r="I23" s="40"/>
      <c r="J23" s="41"/>
      <c r="K23" s="27"/>
      <c r="L23" s="27"/>
      <c r="M23" s="27"/>
      <c r="N23" s="42"/>
      <c r="O23" s="39"/>
      <c r="P23" s="43"/>
      <c r="Q23" s="27"/>
      <c r="R23" s="27"/>
      <c r="S23" s="27"/>
      <c r="T23" s="27"/>
      <c r="U23" s="27"/>
      <c r="V23" s="27"/>
      <c r="W23" s="42"/>
      <c r="X23" s="44"/>
      <c r="Y23" s="27"/>
      <c r="Z23" s="45"/>
      <c r="AA23" s="27"/>
      <c r="AB23" s="42"/>
      <c r="AC23" s="42"/>
      <c r="AD23" s="46"/>
      <c r="AE23" s="42"/>
      <c r="AF23" s="39"/>
      <c r="AG23" s="39"/>
      <c r="AH23" s="39"/>
      <c r="AI23" s="47"/>
      <c r="AJ23" s="39"/>
      <c r="AK23" s="45"/>
      <c r="AL23" s="27"/>
      <c r="AM23" s="47"/>
      <c r="AN23" s="47"/>
      <c r="AO23" s="27"/>
      <c r="AP23" s="27"/>
      <c r="AQ23" s="39"/>
      <c r="AR23" s="26"/>
      <c r="AS23" s="26"/>
      <c r="AT23" s="27"/>
      <c r="AU23" s="27"/>
      <c r="AV23" s="27"/>
      <c r="AW23" s="42"/>
      <c r="AX23" s="39"/>
      <c r="AY23" s="27"/>
      <c r="AZ23" s="47"/>
      <c r="BA23" s="43"/>
      <c r="BB23" s="45"/>
      <c r="BC23" s="45"/>
      <c r="BD23" s="45"/>
      <c r="BE23" s="48"/>
      <c r="BF23" s="48"/>
      <c r="BG23" s="49"/>
      <c r="BH23" s="42"/>
      <c r="BI23" s="42"/>
      <c r="BK23" s="48"/>
      <c r="BM23" s="42"/>
      <c r="BN23" s="42"/>
      <c r="BO23" s="39"/>
      <c r="BP23" s="39"/>
      <c r="BQ23" s="39"/>
      <c r="BR23" s="46"/>
      <c r="BS23" s="42"/>
      <c r="BT23" s="33"/>
      <c r="BU23" s="34"/>
      <c r="BV23" s="34"/>
      <c r="BW23" s="33"/>
      <c r="BX23" s="33"/>
      <c r="BY23" s="34"/>
      <c r="BZ23" s="34"/>
      <c r="CA23" s="33"/>
      <c r="CB23" s="33"/>
      <c r="CC23" s="33"/>
      <c r="CD23" s="33"/>
      <c r="CE23" s="33"/>
      <c r="CF23" s="33"/>
      <c r="CG23" s="33"/>
    </row>
    <row r="24" ht="15.65" customHeight="1" spans="7:85" x14ac:dyDescent="0.25">
      <c r="G24" s="14"/>
      <c r="H24" s="39"/>
      <c r="I24" s="40"/>
      <c r="J24" s="41"/>
      <c r="K24" s="27"/>
      <c r="L24" s="27"/>
      <c r="M24" s="27"/>
      <c r="N24" s="42"/>
      <c r="O24" s="39"/>
      <c r="P24" s="43"/>
      <c r="Q24" s="27"/>
      <c r="R24" s="27"/>
      <c r="S24" s="27"/>
      <c r="T24" s="27"/>
      <c r="U24" s="27"/>
      <c r="V24" s="27"/>
      <c r="W24" s="42"/>
      <c r="X24" s="44"/>
      <c r="Y24" s="27"/>
      <c r="Z24" s="45"/>
      <c r="AA24" s="27"/>
      <c r="AB24" s="42"/>
      <c r="AC24" s="42"/>
      <c r="AD24" s="46"/>
      <c r="AE24" s="42"/>
      <c r="AF24" s="39"/>
      <c r="AG24" s="39"/>
      <c r="AH24" s="39"/>
      <c r="AI24" s="47"/>
      <c r="AJ24" s="39"/>
      <c r="AK24" s="45"/>
      <c r="AL24" s="27"/>
      <c r="AM24" s="47"/>
      <c r="AN24" s="47"/>
      <c r="AO24" s="27"/>
      <c r="AP24" s="27"/>
      <c r="AQ24" s="39"/>
      <c r="AR24" s="26"/>
      <c r="AS24" s="26"/>
      <c r="AT24" s="27"/>
      <c r="AU24" s="27"/>
      <c r="AV24" s="27"/>
      <c r="AW24" s="42"/>
      <c r="AX24" s="39"/>
      <c r="AY24" s="27"/>
      <c r="AZ24" s="47"/>
      <c r="BA24" s="43"/>
      <c r="BB24" s="45"/>
      <c r="BC24" s="45"/>
      <c r="BD24" s="45"/>
      <c r="BE24" s="48"/>
      <c r="BF24" s="48"/>
      <c r="BG24" s="49"/>
      <c r="BH24" s="42"/>
      <c r="BI24" s="42"/>
      <c r="BK24" s="48"/>
      <c r="BM24" s="42"/>
      <c r="BN24" s="42"/>
      <c r="BO24" s="39"/>
      <c r="BP24" s="39"/>
      <c r="BQ24" s="39"/>
      <c r="BR24" s="46"/>
      <c r="BS24" s="42"/>
      <c r="BT24" s="33"/>
      <c r="BU24" s="34"/>
      <c r="BV24" s="34"/>
      <c r="BW24" s="33"/>
      <c r="BX24" s="33"/>
      <c r="BY24" s="34"/>
      <c r="BZ24" s="34"/>
      <c r="CA24" s="33"/>
      <c r="CB24" s="33"/>
      <c r="CC24" s="33"/>
      <c r="CD24" s="33"/>
      <c r="CE24" s="33"/>
      <c r="CF24" s="33"/>
      <c r="CG24" s="33"/>
    </row>
    <row r="25" ht="15.65" customHeight="1" spans="7:85" x14ac:dyDescent="0.25">
      <c r="G25" s="14"/>
      <c r="H25" s="39"/>
      <c r="I25" s="40"/>
      <c r="J25" s="41"/>
      <c r="K25" s="27"/>
      <c r="L25" s="27"/>
      <c r="M25" s="27"/>
      <c r="N25" s="42"/>
      <c r="O25" s="39"/>
      <c r="P25" s="43"/>
      <c r="Q25" s="27"/>
      <c r="R25" s="27"/>
      <c r="S25" s="27"/>
      <c r="T25" s="27"/>
      <c r="U25" s="27"/>
      <c r="V25" s="27"/>
      <c r="W25" s="42"/>
      <c r="X25" s="44"/>
      <c r="Y25" s="27"/>
      <c r="Z25" s="45"/>
      <c r="AA25" s="27"/>
      <c r="AB25" s="42"/>
      <c r="AC25" s="42"/>
      <c r="AD25" s="46"/>
      <c r="AE25" s="42"/>
      <c r="AF25" s="39"/>
      <c r="AG25" s="39"/>
      <c r="AH25" s="39"/>
      <c r="AI25" s="47"/>
      <c r="AJ25" s="39"/>
      <c r="AK25" s="45"/>
      <c r="AL25" s="27"/>
      <c r="AM25" s="47"/>
      <c r="AN25" s="47"/>
      <c r="AO25" s="27"/>
      <c r="AP25" s="27"/>
      <c r="AQ25" s="39"/>
      <c r="AR25" s="26"/>
      <c r="AS25" s="26"/>
      <c r="AT25" s="27"/>
      <c r="AU25" s="27"/>
      <c r="AV25" s="27"/>
      <c r="AW25" s="42"/>
      <c r="AX25" s="39"/>
      <c r="AY25" s="27"/>
      <c r="AZ25" s="47"/>
      <c r="BA25" s="43"/>
      <c r="BB25" s="45"/>
      <c r="BC25" s="45"/>
      <c r="BD25" s="45"/>
      <c r="BE25" s="48"/>
      <c r="BF25" s="48"/>
      <c r="BG25" s="49"/>
      <c r="BH25" s="42"/>
      <c r="BI25" s="42"/>
      <c r="BK25" s="48"/>
      <c r="BM25" s="42"/>
      <c r="BN25" s="42"/>
      <c r="BO25" s="39"/>
      <c r="BP25" s="39"/>
      <c r="BQ25" s="39"/>
      <c r="BR25" s="46"/>
      <c r="BS25" s="42"/>
      <c r="BT25" s="33"/>
      <c r="BU25" s="34"/>
      <c r="BV25" s="34"/>
      <c r="BW25" s="33"/>
      <c r="BX25" s="33"/>
      <c r="BY25" s="34"/>
      <c r="BZ25" s="34"/>
      <c r="CA25" s="33"/>
      <c r="CB25" s="33"/>
      <c r="CC25" s="33"/>
      <c r="CD25" s="33"/>
      <c r="CE25" s="33"/>
      <c r="CF25" s="33"/>
      <c r="CG25" s="33"/>
    </row>
    <row r="26" ht="15.65" customHeight="1" spans="7:85" x14ac:dyDescent="0.25">
      <c r="G26" s="14"/>
      <c r="H26" s="39"/>
      <c r="I26" s="40"/>
      <c r="J26" s="41"/>
      <c r="K26" s="27"/>
      <c r="L26" s="27"/>
      <c r="M26" s="27"/>
      <c r="N26" s="42"/>
      <c r="O26" s="39"/>
      <c r="P26" s="43"/>
      <c r="Q26" s="27"/>
      <c r="R26" s="27"/>
      <c r="S26" s="27"/>
      <c r="T26" s="27"/>
      <c r="U26" s="27"/>
      <c r="V26" s="27"/>
      <c r="W26" s="42"/>
      <c r="X26" s="44"/>
      <c r="Y26" s="27"/>
      <c r="Z26" s="45"/>
      <c r="AA26" s="27"/>
      <c r="AB26" s="42"/>
      <c r="AC26" s="42"/>
      <c r="AD26" s="46"/>
      <c r="AE26" s="42"/>
      <c r="AF26" s="39"/>
      <c r="AG26" s="39"/>
      <c r="AH26" s="39"/>
      <c r="AI26" s="47"/>
      <c r="AJ26" s="39"/>
      <c r="AK26" s="45"/>
      <c r="AL26" s="27"/>
      <c r="AM26" s="47"/>
      <c r="AN26" s="47"/>
      <c r="AO26" s="27"/>
      <c r="AP26" s="27"/>
      <c r="AQ26" s="39"/>
      <c r="AR26" s="26"/>
      <c r="AS26" s="26"/>
      <c r="AT26" s="27"/>
      <c r="AU26" s="27"/>
      <c r="AV26" s="27"/>
      <c r="AW26" s="42"/>
      <c r="AX26" s="39"/>
      <c r="AY26" s="27"/>
      <c r="AZ26" s="47"/>
      <c r="BA26" s="43"/>
      <c r="BB26" s="45"/>
      <c r="BC26" s="45"/>
      <c r="BD26" s="45"/>
      <c r="BE26" s="48"/>
      <c r="BF26" s="48"/>
      <c r="BG26" s="49"/>
      <c r="BH26" s="42"/>
      <c r="BI26" s="42"/>
      <c r="BK26" s="48"/>
      <c r="BM26" s="42"/>
      <c r="BN26" s="42"/>
      <c r="BO26" s="39"/>
      <c r="BP26" s="39"/>
      <c r="BQ26" s="39"/>
      <c r="BR26" s="46"/>
      <c r="BS26" s="42"/>
      <c r="BT26" s="33"/>
      <c r="BU26" s="34"/>
      <c r="BV26" s="34"/>
      <c r="BW26" s="33"/>
      <c r="BX26" s="33"/>
      <c r="BY26" s="34"/>
      <c r="BZ26" s="34"/>
      <c r="CA26" s="33"/>
      <c r="CB26" s="33"/>
      <c r="CC26" s="33"/>
      <c r="CD26" s="33"/>
      <c r="CE26" s="33"/>
      <c r="CF26" s="33"/>
      <c r="CG26" s="33"/>
    </row>
    <row r="27" ht="15.65" customHeight="1" spans="7:85" x14ac:dyDescent="0.25">
      <c r="G27" s="14"/>
      <c r="H27" s="39"/>
      <c r="I27" s="40"/>
      <c r="J27" s="41"/>
      <c r="K27" s="27"/>
      <c r="L27" s="27"/>
      <c r="M27" s="27"/>
      <c r="N27" s="42"/>
      <c r="O27" s="39"/>
      <c r="P27" s="43"/>
      <c r="Q27" s="27"/>
      <c r="R27" s="27"/>
      <c r="S27" s="27"/>
      <c r="T27" s="27"/>
      <c r="U27" s="27"/>
      <c r="V27" s="27"/>
      <c r="W27" s="42"/>
      <c r="X27" s="44"/>
      <c r="Y27" s="27"/>
      <c r="Z27" s="45"/>
      <c r="AA27" s="27"/>
      <c r="AB27" s="42"/>
      <c r="AC27" s="42"/>
      <c r="AD27" s="46"/>
      <c r="AE27" s="42"/>
      <c r="AF27" s="39"/>
      <c r="AG27" s="39"/>
      <c r="AH27" s="39"/>
      <c r="AI27" s="47"/>
      <c r="AJ27" s="39"/>
      <c r="AK27" s="45"/>
      <c r="AL27" s="27"/>
      <c r="AM27" s="47"/>
      <c r="AN27" s="47"/>
      <c r="AO27" s="27"/>
      <c r="AP27" s="27"/>
      <c r="AQ27" s="39"/>
      <c r="AR27" s="26"/>
      <c r="AS27" s="26"/>
      <c r="AT27" s="27"/>
      <c r="AU27" s="27"/>
      <c r="AV27" s="27"/>
      <c r="AW27" s="42"/>
      <c r="AX27" s="39"/>
      <c r="AY27" s="27"/>
      <c r="AZ27" s="47"/>
      <c r="BA27" s="43"/>
      <c r="BB27" s="45"/>
      <c r="BC27" s="45"/>
      <c r="BD27" s="45"/>
      <c r="BE27" s="48"/>
      <c r="BF27" s="48"/>
      <c r="BG27" s="49"/>
      <c r="BH27" s="42"/>
      <c r="BI27" s="42"/>
      <c r="BK27" s="48"/>
      <c r="BM27" s="42"/>
      <c r="BN27" s="42"/>
      <c r="BO27" s="39"/>
      <c r="BP27" s="39"/>
      <c r="BQ27" s="39"/>
      <c r="BR27" s="46"/>
      <c r="BS27" s="42"/>
      <c r="BT27" s="33"/>
      <c r="BU27" s="34"/>
      <c r="BV27" s="34"/>
      <c r="BW27" s="33"/>
      <c r="BX27" s="33"/>
      <c r="BY27" s="34"/>
      <c r="BZ27" s="34"/>
      <c r="CA27" s="33"/>
      <c r="CB27" s="33"/>
      <c r="CC27" s="33"/>
      <c r="CD27" s="33"/>
      <c r="CE27" s="33"/>
      <c r="CF27" s="33"/>
      <c r="CG27" s="33"/>
    </row>
    <row r="28" ht="15.65" customHeight="1" spans="7:85" x14ac:dyDescent="0.25">
      <c r="G28" s="14"/>
      <c r="H28" s="39"/>
      <c r="I28" s="40"/>
      <c r="J28" s="41"/>
      <c r="K28" s="27"/>
      <c r="L28" s="27"/>
      <c r="M28" s="27"/>
      <c r="N28" s="42"/>
      <c r="O28" s="39"/>
      <c r="P28" s="43"/>
      <c r="Q28" s="27"/>
      <c r="R28" s="27"/>
      <c r="S28" s="27"/>
      <c r="T28" s="27"/>
      <c r="U28" s="27"/>
      <c r="V28" s="27"/>
      <c r="W28" s="42"/>
      <c r="X28" s="44"/>
      <c r="Y28" s="27"/>
      <c r="Z28" s="45"/>
      <c r="AA28" s="27"/>
      <c r="AB28" s="42"/>
      <c r="AC28" s="42"/>
      <c r="AD28" s="46"/>
      <c r="AE28" s="42"/>
      <c r="AF28" s="39"/>
      <c r="AG28" s="39"/>
      <c r="AH28" s="39"/>
      <c r="AI28" s="47"/>
      <c r="AJ28" s="39"/>
      <c r="AK28" s="45"/>
      <c r="AL28" s="27"/>
      <c r="AM28" s="47"/>
      <c r="AN28" s="47"/>
      <c r="AO28" s="27"/>
      <c r="AP28" s="27"/>
      <c r="AQ28" s="39"/>
      <c r="AR28" s="26"/>
      <c r="AS28" s="26"/>
      <c r="AT28" s="27"/>
      <c r="AU28" s="27"/>
      <c r="AV28" s="27"/>
      <c r="AW28" s="42"/>
      <c r="AX28" s="39"/>
      <c r="AY28" s="27"/>
      <c r="AZ28" s="47"/>
      <c r="BA28" s="43"/>
      <c r="BB28" s="45"/>
      <c r="BC28" s="45"/>
      <c r="BD28" s="45"/>
      <c r="BE28" s="48"/>
      <c r="BF28" s="48"/>
      <c r="BG28" s="49"/>
      <c r="BH28" s="42"/>
      <c r="BI28" s="42"/>
      <c r="BK28" s="48"/>
      <c r="BM28" s="42"/>
      <c r="BN28" s="42"/>
      <c r="BO28" s="39"/>
      <c r="BP28" s="39"/>
      <c r="BQ28" s="39"/>
      <c r="BR28" s="46"/>
      <c r="BS28" s="42"/>
      <c r="BT28" s="33"/>
      <c r="BU28" s="34"/>
      <c r="BV28" s="34"/>
      <c r="BW28" s="33"/>
      <c r="BX28" s="33"/>
      <c r="BY28" s="34"/>
      <c r="BZ28" s="34"/>
      <c r="CA28" s="33"/>
      <c r="CB28" s="33"/>
      <c r="CC28" s="33"/>
      <c r="CD28" s="33"/>
      <c r="CE28" s="33"/>
      <c r="CF28" s="33"/>
      <c r="CG28" s="33"/>
    </row>
    <row r="29" ht="15.65" customHeight="1" spans="7:85" x14ac:dyDescent="0.25">
      <c r="G29" s="14"/>
      <c r="H29" s="39"/>
      <c r="I29" s="40"/>
      <c r="J29" s="41"/>
      <c r="K29" s="27"/>
      <c r="L29" s="27"/>
      <c r="M29" s="27"/>
      <c r="N29" s="42"/>
      <c r="O29" s="39"/>
      <c r="P29" s="43"/>
      <c r="Q29" s="27"/>
      <c r="R29" s="27"/>
      <c r="S29" s="27"/>
      <c r="T29" s="27"/>
      <c r="U29" s="27"/>
      <c r="V29" s="27"/>
      <c r="W29" s="42"/>
      <c r="X29" s="44"/>
      <c r="Y29" s="27"/>
      <c r="Z29" s="45"/>
      <c r="AA29" s="27"/>
      <c r="AB29" s="42"/>
      <c r="AC29" s="42"/>
      <c r="AD29" s="46"/>
      <c r="AE29" s="42"/>
      <c r="AF29" s="39"/>
      <c r="AG29" s="39"/>
      <c r="AH29" s="39"/>
      <c r="AI29" s="47"/>
      <c r="AJ29" s="39"/>
      <c r="AK29" s="45"/>
      <c r="AL29" s="27"/>
      <c r="AM29" s="47"/>
      <c r="AN29" s="47"/>
      <c r="AO29" s="27"/>
      <c r="AP29" s="27"/>
      <c r="AQ29" s="39"/>
      <c r="AR29" s="26"/>
      <c r="AS29" s="26"/>
      <c r="AT29" s="27"/>
      <c r="AU29" s="27"/>
      <c r="AV29" s="27"/>
      <c r="AW29" s="42"/>
      <c r="AX29" s="39"/>
      <c r="AY29" s="27"/>
      <c r="AZ29" s="47"/>
      <c r="BA29" s="43"/>
      <c r="BB29" s="45"/>
      <c r="BC29" s="45"/>
      <c r="BD29" s="45"/>
      <c r="BE29" s="48"/>
      <c r="BF29" s="48"/>
      <c r="BG29" s="49"/>
      <c r="BH29" s="42"/>
      <c r="BI29" s="42"/>
      <c r="BK29" s="48"/>
      <c r="BM29" s="42"/>
      <c r="BN29" s="42"/>
      <c r="BO29" s="39"/>
      <c r="BP29" s="39"/>
      <c r="BQ29" s="39"/>
      <c r="BR29" s="46"/>
      <c r="BS29" s="42"/>
      <c r="BT29" s="33"/>
      <c r="BU29" s="34"/>
      <c r="BV29" s="34"/>
      <c r="BW29" s="33"/>
      <c r="BX29" s="33"/>
      <c r="BY29" s="34"/>
      <c r="BZ29" s="34"/>
      <c r="CA29" s="33"/>
      <c r="CB29" s="33"/>
      <c r="CC29" s="33"/>
      <c r="CD29" s="33"/>
      <c r="CE29" s="33"/>
      <c r="CF29" s="33"/>
      <c r="CG29" s="33"/>
    </row>
    <row r="30" ht="15.65" customHeight="1" spans="7:85" x14ac:dyDescent="0.25">
      <c r="G30" s="14"/>
      <c r="H30" s="39"/>
      <c r="I30" s="40"/>
      <c r="J30" s="41"/>
      <c r="K30" s="27"/>
      <c r="L30" s="27"/>
      <c r="M30" s="27"/>
      <c r="N30" s="42"/>
      <c r="O30" s="39"/>
      <c r="P30" s="43"/>
      <c r="Q30" s="27"/>
      <c r="R30" s="27"/>
      <c r="S30" s="27"/>
      <c r="T30" s="27"/>
      <c r="U30" s="27"/>
      <c r="V30" s="27"/>
      <c r="W30" s="42"/>
      <c r="X30" s="44"/>
      <c r="Y30" s="27"/>
      <c r="Z30" s="45"/>
      <c r="AA30" s="27"/>
      <c r="AB30" s="42"/>
      <c r="AC30" s="42"/>
      <c r="AD30" s="46"/>
      <c r="AE30" s="42"/>
      <c r="AF30" s="39"/>
      <c r="AG30" s="39"/>
      <c r="AH30" s="39"/>
      <c r="AI30" s="47"/>
      <c r="AJ30" s="39"/>
      <c r="AK30" s="45"/>
      <c r="AL30" s="27"/>
      <c r="AM30" s="47"/>
      <c r="AN30" s="47"/>
      <c r="AO30" s="27"/>
      <c r="AP30" s="27"/>
      <c r="AQ30" s="39"/>
      <c r="AR30" s="26"/>
      <c r="AS30" s="26"/>
      <c r="AT30" s="27"/>
      <c r="AU30" s="27"/>
      <c r="AV30" s="27"/>
      <c r="AW30" s="42"/>
      <c r="AX30" s="39"/>
      <c r="AY30" s="27"/>
      <c r="AZ30" s="47"/>
      <c r="BA30" s="43"/>
      <c r="BB30" s="45"/>
      <c r="BC30" s="45"/>
      <c r="BD30" s="45"/>
      <c r="BE30" s="48"/>
      <c r="BF30" s="48"/>
      <c r="BG30" s="49"/>
      <c r="BH30" s="42"/>
      <c r="BI30" s="42"/>
      <c r="BK30" s="48"/>
      <c r="BM30" s="42"/>
      <c r="BN30" s="42"/>
      <c r="BO30" s="39"/>
      <c r="BP30" s="39"/>
      <c r="BQ30" s="39"/>
      <c r="BR30" s="46"/>
      <c r="BS30" s="42"/>
      <c r="BT30" s="33"/>
      <c r="BU30" s="34"/>
      <c r="BV30" s="34"/>
      <c r="BW30" s="33"/>
      <c r="BX30" s="33"/>
      <c r="BY30" s="34"/>
      <c r="BZ30" s="34"/>
      <c r="CA30" s="33"/>
      <c r="CB30" s="33"/>
      <c r="CC30" s="33"/>
      <c r="CD30" s="33"/>
      <c r="CE30" s="33"/>
      <c r="CF30" s="33"/>
      <c r="CG30" s="33"/>
    </row>
    <row r="31" ht="15.65" customHeight="1" spans="7:85" x14ac:dyDescent="0.25">
      <c r="G31" s="14"/>
      <c r="H31" s="39"/>
      <c r="I31" s="40"/>
      <c r="J31" s="41"/>
      <c r="K31" s="27"/>
      <c r="L31" s="27"/>
      <c r="M31" s="27"/>
      <c r="N31" s="42"/>
      <c r="O31" s="39"/>
      <c r="P31" s="43"/>
      <c r="Q31" s="27"/>
      <c r="R31" s="27"/>
      <c r="S31" s="27"/>
      <c r="T31" s="27"/>
      <c r="U31" s="27"/>
      <c r="V31" s="27"/>
      <c r="W31" s="42"/>
      <c r="X31" s="44"/>
      <c r="Y31" s="27"/>
      <c r="Z31" s="45"/>
      <c r="AA31" s="27"/>
      <c r="AB31" s="42"/>
      <c r="AC31" s="42"/>
      <c r="AD31" s="46"/>
      <c r="AE31" s="42"/>
      <c r="AF31" s="39"/>
      <c r="AG31" s="39"/>
      <c r="AH31" s="39"/>
      <c r="AI31" s="47"/>
      <c r="AJ31" s="39"/>
      <c r="AK31" s="45"/>
      <c r="AL31" s="27"/>
      <c r="AM31" s="47"/>
      <c r="AN31" s="47"/>
      <c r="AO31" s="27"/>
      <c r="AP31" s="27"/>
      <c r="AQ31" s="39"/>
      <c r="AR31" s="26"/>
      <c r="AS31" s="26"/>
      <c r="AT31" s="27"/>
      <c r="AU31" s="27"/>
      <c r="AV31" s="27"/>
      <c r="AW31" s="42"/>
      <c r="AX31" s="39"/>
      <c r="AY31" s="27"/>
      <c r="AZ31" s="47"/>
      <c r="BA31" s="43"/>
      <c r="BB31" s="45"/>
      <c r="BC31" s="45"/>
      <c r="BD31" s="45"/>
      <c r="BE31" s="48"/>
      <c r="BF31" s="48"/>
      <c r="BG31" s="49"/>
      <c r="BH31" s="42"/>
      <c r="BI31" s="42"/>
      <c r="BK31" s="48"/>
      <c r="BM31" s="42"/>
      <c r="BN31" s="42"/>
      <c r="BO31" s="39"/>
      <c r="BP31" s="39"/>
      <c r="BQ31" s="39"/>
      <c r="BR31" s="46"/>
      <c r="BS31" s="42"/>
      <c r="BT31" s="33"/>
      <c r="BU31" s="34"/>
      <c r="BV31" s="34"/>
      <c r="BW31" s="33"/>
      <c r="BX31" s="33"/>
      <c r="BY31" s="34"/>
      <c r="BZ31" s="34"/>
      <c r="CA31" s="33"/>
      <c r="CB31" s="33"/>
      <c r="CC31" s="33"/>
      <c r="CD31" s="33"/>
      <c r="CE31" s="33"/>
      <c r="CF31" s="33"/>
      <c r="CG31" s="33"/>
    </row>
    <row r="32" ht="15.65" customHeight="1" spans="7:85" x14ac:dyDescent="0.25">
      <c r="G32" s="14"/>
      <c r="H32" s="39"/>
      <c r="I32" s="40"/>
      <c r="J32" s="41"/>
      <c r="K32" s="27"/>
      <c r="L32" s="27"/>
      <c r="M32" s="27"/>
      <c r="N32" s="42"/>
      <c r="O32" s="39"/>
      <c r="P32" s="43"/>
      <c r="Q32" s="27"/>
      <c r="R32" s="27"/>
      <c r="S32" s="27"/>
      <c r="T32" s="27"/>
      <c r="U32" s="27"/>
      <c r="V32" s="27"/>
      <c r="W32" s="42"/>
      <c r="X32" s="44"/>
      <c r="Y32" s="27"/>
      <c r="Z32" s="45"/>
      <c r="AA32" s="27"/>
      <c r="AB32" s="42"/>
      <c r="AC32" s="42"/>
      <c r="AD32" s="46"/>
      <c r="AE32" s="42"/>
      <c r="AF32" s="39"/>
      <c r="AG32" s="39"/>
      <c r="AH32" s="39"/>
      <c r="AI32" s="47"/>
      <c r="AJ32" s="39"/>
      <c r="AK32" s="45"/>
      <c r="AL32" s="27"/>
      <c r="AM32" s="47"/>
      <c r="AN32" s="47"/>
      <c r="AO32" s="27"/>
      <c r="AP32" s="27"/>
      <c r="AQ32" s="39"/>
      <c r="AR32" s="26"/>
      <c r="AS32" s="26"/>
      <c r="AT32" s="27"/>
      <c r="AU32" s="27"/>
      <c r="AV32" s="27"/>
      <c r="AW32" s="42"/>
      <c r="AX32" s="39"/>
      <c r="AY32" s="27"/>
      <c r="AZ32" s="47"/>
      <c r="BA32" s="43"/>
      <c r="BB32" s="45"/>
      <c r="BC32" s="45"/>
      <c r="BD32" s="45"/>
      <c r="BE32" s="48"/>
      <c r="BF32" s="48"/>
      <c r="BG32" s="49"/>
      <c r="BH32" s="42"/>
      <c r="BI32" s="42"/>
      <c r="BK32" s="48"/>
      <c r="BM32" s="42"/>
      <c r="BN32" s="42"/>
      <c r="BO32" s="39"/>
      <c r="BP32" s="39"/>
      <c r="BQ32" s="39"/>
      <c r="BR32" s="46"/>
      <c r="BS32" s="42"/>
      <c r="BT32" s="33"/>
      <c r="BU32" s="34"/>
      <c r="BV32" s="34"/>
      <c r="BW32" s="33"/>
      <c r="BX32" s="33"/>
      <c r="BY32" s="34"/>
      <c r="BZ32" s="34"/>
      <c r="CA32" s="33"/>
      <c r="CB32" s="33"/>
      <c r="CC32" s="33"/>
      <c r="CD32" s="33"/>
      <c r="CE32" s="33"/>
      <c r="CF32" s="33"/>
      <c r="CG32" s="33"/>
    </row>
    <row r="33" ht="15.65" customHeight="1" spans="7:85" x14ac:dyDescent="0.25">
      <c r="G33" s="14"/>
      <c r="H33" s="39"/>
      <c r="I33" s="40"/>
      <c r="J33" s="41"/>
      <c r="K33" s="27"/>
      <c r="L33" s="27"/>
      <c r="M33" s="27"/>
      <c r="N33" s="42"/>
      <c r="O33" s="39"/>
      <c r="P33" s="43"/>
      <c r="Q33" s="27"/>
      <c r="R33" s="27"/>
      <c r="S33" s="27"/>
      <c r="T33" s="27"/>
      <c r="U33" s="27"/>
      <c r="V33" s="27"/>
      <c r="W33" s="42"/>
      <c r="X33" s="44"/>
      <c r="Y33" s="27"/>
      <c r="Z33" s="45"/>
      <c r="AA33" s="27"/>
      <c r="AB33" s="42"/>
      <c r="AC33" s="42"/>
      <c r="AD33" s="46"/>
      <c r="AE33" s="42"/>
      <c r="AF33" s="39"/>
      <c r="AG33" s="39"/>
      <c r="AH33" s="39"/>
      <c r="AI33" s="47"/>
      <c r="AJ33" s="39"/>
      <c r="AK33" s="45"/>
      <c r="AL33" s="27"/>
      <c r="AM33" s="47"/>
      <c r="AN33" s="47"/>
      <c r="AO33" s="27"/>
      <c r="AP33" s="27"/>
      <c r="AQ33" s="39"/>
      <c r="AR33" s="26"/>
      <c r="AS33" s="26"/>
      <c r="AT33" s="27"/>
      <c r="AU33" s="27"/>
      <c r="AV33" s="27"/>
      <c r="AW33" s="42"/>
      <c r="AX33" s="39"/>
      <c r="AY33" s="27"/>
      <c r="AZ33" s="47"/>
      <c r="BA33" s="43"/>
      <c r="BB33" s="45"/>
      <c r="BC33" s="45"/>
      <c r="BD33" s="45"/>
      <c r="BE33" s="48"/>
      <c r="BF33" s="48"/>
      <c r="BG33" s="49"/>
      <c r="BH33" s="42"/>
      <c r="BI33" s="42"/>
      <c r="BK33" s="48"/>
      <c r="BM33" s="42"/>
      <c r="BN33" s="42"/>
      <c r="BO33" s="39"/>
      <c r="BP33" s="39"/>
      <c r="BQ33" s="39"/>
      <c r="BR33" s="46"/>
      <c r="BS33" s="42"/>
      <c r="BT33" s="33"/>
      <c r="BU33" s="34"/>
      <c r="BV33" s="34"/>
      <c r="BW33" s="33"/>
      <c r="BX33" s="33"/>
      <c r="BY33" s="34"/>
      <c r="BZ33" s="34"/>
      <c r="CA33" s="33"/>
      <c r="CB33" s="33"/>
      <c r="CC33" s="33"/>
      <c r="CD33" s="33"/>
      <c r="CE33" s="33"/>
      <c r="CF33" s="33"/>
      <c r="CG33" s="33"/>
    </row>
    <row r="34" ht="15.65" customHeight="1" spans="7:85" x14ac:dyDescent="0.25">
      <c r="G34" s="14"/>
      <c r="H34" s="39"/>
      <c r="I34" s="40"/>
      <c r="J34" s="41"/>
      <c r="K34" s="27"/>
      <c r="L34" s="27"/>
      <c r="M34" s="27"/>
      <c r="N34" s="42"/>
      <c r="O34" s="39"/>
      <c r="P34" s="43"/>
      <c r="Q34" s="27"/>
      <c r="R34" s="27"/>
      <c r="S34" s="27"/>
      <c r="T34" s="27"/>
      <c r="U34" s="27"/>
      <c r="V34" s="27"/>
      <c r="W34" s="42"/>
      <c r="X34" s="44"/>
      <c r="Y34" s="27"/>
      <c r="Z34" s="45"/>
      <c r="AA34" s="27"/>
      <c r="AB34" s="42"/>
      <c r="AC34" s="42"/>
      <c r="AD34" s="46"/>
      <c r="AE34" s="42"/>
      <c r="AF34" s="39"/>
      <c r="AG34" s="39"/>
      <c r="AH34" s="39"/>
      <c r="AI34" s="47"/>
      <c r="AJ34" s="39"/>
      <c r="AK34" s="45"/>
      <c r="AL34" s="27"/>
      <c r="AM34" s="47"/>
      <c r="AN34" s="47"/>
      <c r="AO34" s="27"/>
      <c r="AP34" s="27"/>
      <c r="AQ34" s="39"/>
      <c r="AR34" s="26"/>
      <c r="AS34" s="26"/>
      <c r="AT34" s="27"/>
      <c r="AU34" s="27"/>
      <c r="AV34" s="27"/>
      <c r="AW34" s="42"/>
      <c r="AX34" s="39"/>
      <c r="AY34" s="27"/>
      <c r="AZ34" s="47"/>
      <c r="BA34" s="43"/>
      <c r="BB34" s="45"/>
      <c r="BC34" s="45"/>
      <c r="BD34" s="45"/>
      <c r="BE34" s="48"/>
      <c r="BF34" s="48"/>
      <c r="BG34" s="49"/>
      <c r="BH34" s="42"/>
      <c r="BI34" s="42"/>
      <c r="BJ34" s="48"/>
      <c r="BK34" s="48"/>
      <c r="BM34" s="42"/>
      <c r="BN34" s="42"/>
      <c r="BO34" s="39"/>
      <c r="BP34" s="39"/>
      <c r="BQ34" s="39"/>
      <c r="BR34" s="46"/>
      <c r="BS34" s="42"/>
      <c r="BT34" s="33"/>
      <c r="BU34" s="34"/>
      <c r="BV34" s="34"/>
      <c r="BW34" s="33"/>
      <c r="BX34" s="33"/>
      <c r="BY34" s="34"/>
      <c r="BZ34" s="34"/>
      <c r="CA34" s="33"/>
      <c r="CB34" s="33"/>
      <c r="CC34" s="33"/>
      <c r="CD34" s="33"/>
      <c r="CE34" s="33"/>
      <c r="CF34" s="33"/>
      <c r="CG34" s="33"/>
    </row>
    <row r="35" ht="15.65" customHeight="1" spans="7:85" x14ac:dyDescent="0.25">
      <c r="G35" s="14"/>
      <c r="H35" s="39"/>
      <c r="I35" s="40"/>
      <c r="J35" s="41"/>
      <c r="K35" s="27"/>
      <c r="L35" s="27"/>
      <c r="M35" s="27"/>
      <c r="N35" s="42"/>
      <c r="O35" s="39"/>
      <c r="P35" s="43"/>
      <c r="Q35" s="27"/>
      <c r="R35" s="27"/>
      <c r="S35" s="27"/>
      <c r="T35" s="27"/>
      <c r="U35" s="27"/>
      <c r="V35" s="27"/>
      <c r="W35" s="42"/>
      <c r="X35" s="44"/>
      <c r="Y35" s="27"/>
      <c r="Z35" s="45"/>
      <c r="AA35" s="27"/>
      <c r="AB35" s="42"/>
      <c r="AC35" s="42"/>
      <c r="AD35" s="46"/>
      <c r="AE35" s="42"/>
      <c r="AF35" s="39"/>
      <c r="AG35" s="39"/>
      <c r="AH35" s="39"/>
      <c r="AI35" s="47"/>
      <c r="AJ35" s="39"/>
      <c r="AK35" s="45"/>
      <c r="AL35" s="27"/>
      <c r="AM35" s="47"/>
      <c r="AN35" s="47"/>
      <c r="AO35" s="27"/>
      <c r="AP35" s="27"/>
      <c r="AQ35" s="39"/>
      <c r="AR35" s="26"/>
      <c r="AS35" s="26"/>
      <c r="AT35" s="27"/>
      <c r="AU35" s="27"/>
      <c r="AV35" s="27"/>
      <c r="AW35" s="42"/>
      <c r="AX35" s="39"/>
      <c r="AY35" s="27"/>
      <c r="AZ35" s="47"/>
      <c r="BA35" s="43"/>
      <c r="BB35" s="45"/>
      <c r="BC35" s="45"/>
      <c r="BD35" s="45"/>
      <c r="BE35" s="48"/>
      <c r="BF35" s="48"/>
      <c r="BG35" s="49"/>
      <c r="BH35" s="42"/>
      <c r="BI35" s="42"/>
      <c r="BJ35" s="48"/>
      <c r="BK35" s="48"/>
      <c r="BM35" s="42"/>
      <c r="BN35" s="42"/>
      <c r="BO35" s="39"/>
      <c r="BP35" s="39"/>
      <c r="BQ35" s="39"/>
      <c r="BR35" s="46"/>
      <c r="BS35" s="42"/>
      <c r="BT35" s="33"/>
      <c r="BU35" s="34"/>
      <c r="BV35" s="34"/>
      <c r="BW35" s="33"/>
      <c r="BX35" s="33"/>
      <c r="BY35" s="34"/>
      <c r="BZ35" s="34"/>
      <c r="CA35" s="33"/>
      <c r="CB35" s="33"/>
      <c r="CC35" s="33"/>
      <c r="CD35" s="33"/>
      <c r="CE35" s="33"/>
      <c r="CF35" s="33"/>
      <c r="CG35" s="33"/>
    </row>
    <row r="36" ht="15.65" customHeight="1" spans="2:85" x14ac:dyDescent="0.25">
      <c r="B36" s="35"/>
      <c r="E36" s="35"/>
      <c r="G36" s="14"/>
      <c r="H36" s="39"/>
      <c r="I36" s="40"/>
      <c r="J36" s="41"/>
      <c r="K36" s="27"/>
      <c r="L36" s="27"/>
      <c r="M36" s="27"/>
      <c r="N36" s="42"/>
      <c r="O36" s="39"/>
      <c r="P36" s="43"/>
      <c r="Q36" s="27"/>
      <c r="R36" s="27"/>
      <c r="S36" s="27"/>
      <c r="T36" s="27"/>
      <c r="U36" s="27"/>
      <c r="V36" s="27"/>
      <c r="W36" s="42"/>
      <c r="X36" s="44"/>
      <c r="Y36" s="27"/>
      <c r="Z36" s="45"/>
      <c r="AA36" s="27"/>
      <c r="AB36" s="42"/>
      <c r="AC36" s="42"/>
      <c r="AD36" s="46"/>
      <c r="AE36" s="42"/>
      <c r="AF36" s="39"/>
      <c r="AG36" s="39"/>
      <c r="AH36" s="39"/>
      <c r="AI36" s="47"/>
      <c r="AJ36" s="39"/>
      <c r="AK36" s="45"/>
      <c r="AL36" s="27"/>
      <c r="AM36" s="47"/>
      <c r="AN36" s="47"/>
      <c r="AO36" s="27"/>
      <c r="AP36" s="27"/>
      <c r="AQ36" s="39"/>
      <c r="AR36" s="26"/>
      <c r="AS36" s="26"/>
      <c r="AT36" s="27"/>
      <c r="AU36" s="27"/>
      <c r="AV36" s="27"/>
      <c r="AW36" s="42"/>
      <c r="AX36" s="39"/>
      <c r="AY36" s="27"/>
      <c r="AZ36" s="47"/>
      <c r="BA36" s="43"/>
      <c r="BB36" s="45"/>
      <c r="BC36" s="45"/>
      <c r="BD36" s="45"/>
      <c r="BE36" s="48"/>
      <c r="BF36" s="48"/>
      <c r="BG36" s="49"/>
      <c r="BH36" s="42"/>
      <c r="BI36" s="42"/>
      <c r="BJ36" s="48"/>
      <c r="BK36" s="48"/>
      <c r="BM36" s="42"/>
      <c r="BN36" s="42"/>
      <c r="BO36" s="39"/>
      <c r="BP36" s="39"/>
      <c r="BQ36" s="39"/>
      <c r="BR36" s="46"/>
      <c r="BS36" s="42"/>
      <c r="BT36" s="33"/>
      <c r="BU36" s="34"/>
      <c r="BV36" s="34"/>
      <c r="BW36" s="33"/>
      <c r="BX36" s="33"/>
      <c r="BY36" s="34"/>
      <c r="BZ36" s="34"/>
      <c r="CA36" s="33"/>
      <c r="CB36" s="33"/>
      <c r="CC36" s="33"/>
      <c r="CD36" s="33"/>
      <c r="CE36" s="33"/>
      <c r="CF36" s="33"/>
      <c r="CG36" s="33"/>
    </row>
  </sheetData>
  <dataValidations count="28">
    <dataValidation type="list" allowBlank="1" showInputMessage="1" showErrorMessage="1" sqref="AA17:AA36">
      <formula1>INDIRECT($H2)</formula1>
    </dataValidation>
    <dataValidation type="list" allowBlank="1" showInputMessage="1" showErrorMessage="1" sqref="BA17:BA36">
      <formula1>INDIRECT($H2)</formula1>
    </dataValidation>
    <dataValidation type="list" allowBlank="1" showInputMessage="1" showErrorMessage="1" sqref="BD10:BD16">
      <formula1>INDIRECT($H2)</formula1>
    </dataValidation>
    <dataValidation type="list" allowBlank="1" showInputMessage="1" showErrorMessage="1" sqref="BD2:BD16">
      <formula1>INDIRECT($H2)</formula1>
    </dataValidation>
    <dataValidation type="list" allowBlank="1" showInputMessage="1" showErrorMessage="1" sqref="BT10:BT16">
      <formula1>INDIRECT($H2)</formula1>
    </dataValidation>
    <dataValidation type="list" allowBlank="1" showInputMessage="1" showErrorMessage="1" sqref="BT2:BT16">
      <formula1>INDIRECT($H2)</formula1>
    </dataValidation>
    <dataValidation type="list" allowBlank="1" showInputMessage="1" showErrorMessage="1" sqref="CA10:CA36">
      <formula1>INDIRECT($H2)</formula1>
    </dataValidation>
    <dataValidation type="list" allowBlank="1" showInputMessage="1" showErrorMessage="1" sqref="CA2:CA36">
      <formula1>INDIRECT($H2)</formula1>
    </dataValidation>
    <dataValidation type="list" allowBlank="1" showInputMessage="1" showErrorMessage="1" sqref="J10:J16">
      <formula1>INDIRECT($H2)</formula1>
    </dataValidation>
    <dataValidation type="list" allowBlank="1" showInputMessage="1" showErrorMessage="1" sqref="J2:J16">
      <formula1>INDIRECT($H2)</formula1>
    </dataValidation>
    <dataValidation type="list" allowBlank="1" showInputMessage="1" showErrorMessage="1" sqref="L17:L20">
      <formula1>INDIRECT(#REF!)</formula1>
    </dataValidation>
    <dataValidation type="list" allowBlank="1" showInputMessage="1" showErrorMessage="1" sqref="L21:M22">
      <formula1>INDIRECT($H3)</formula1>
    </dataValidation>
    <dataValidation type="list" allowBlank="1" showInputMessage="1" showErrorMessage="1" sqref="L23:M25">
      <formula1>INDIRECT(#REF!)</formula1>
    </dataValidation>
    <dataValidation type="list" allowBlank="1" showInputMessage="1" showErrorMessage="1" sqref="L26:M27">
      <formula1>INDIRECT($H5)</formula1>
    </dataValidation>
    <dataValidation type="list" allowBlank="1" showInputMessage="1" showErrorMessage="1" sqref="L28:M31">
      <formula1>INDIRECT(#REF!)</formula1>
    </dataValidation>
    <dataValidation type="list" allowBlank="1" showInputMessage="1" showErrorMessage="1" sqref="L32:M32">
      <formula1>INDIRECT($H7)</formula1>
    </dataValidation>
    <dataValidation type="list" allowBlank="1" showInputMessage="1" showErrorMessage="1" sqref="L33:M34">
      <formula1>INDIRECT(#REF!)</formula1>
    </dataValidation>
    <dataValidation type="list" allowBlank="1" showInputMessage="1" showErrorMessage="1" sqref="L35:M36">
      <formula1>INDIRECT($H8)</formula1>
    </dataValidation>
    <dataValidation type="list" allowBlank="1" showInputMessage="1" showErrorMessage="1" sqref="M17">
      <formula1>INDIRECT(#REF!)</formula1>
    </dataValidation>
    <dataValidation type="list" allowBlank="1" showInputMessage="1" showErrorMessage="1" sqref="M18">
      <formula1>INDIRECT($H8)</formula1>
    </dataValidation>
    <dataValidation type="list" allowBlank="1" showInputMessage="1" showErrorMessage="1" sqref="M19:M20">
      <formula1>INDIRECT(#REF!)</formula1>
    </dataValidation>
    <dataValidation type="list" allowBlank="1" showInputMessage="1" showErrorMessage="1" sqref="S10:S16">
      <formula1>INDIRECT($H2)</formula1>
    </dataValidation>
    <dataValidation type="list" allowBlank="1" showInputMessage="1" showErrorMessage="1" sqref="S2:S16">
      <formula1>INDIRECT($H2)</formula1>
    </dataValidation>
    <dataValidation type="list" allowBlank="1" showInputMessage="1" showErrorMessage="1" sqref="V10:V36">
      <formula1>INDIRECT($H2)</formula1>
    </dataValidation>
    <dataValidation type="list" allowBlank="1" showInputMessage="1" showErrorMessage="1" sqref="V2:V36">
      <formula1>INDIRECT($H2)</formula1>
    </dataValidation>
    <dataValidation type="list" allowBlank="1" showInputMessage="1" showErrorMessage="1" sqref="X10:X16">
      <formula1>INDIRECT($H2)</formula1>
    </dataValidation>
    <dataValidation type="list" allowBlank="1" showInputMessage="1" showErrorMessage="1" sqref="X2:X16">
      <formula1>INDIRECT($H2)</formula1>
    </dataValidation>
    <dataValidation type="list" allowBlank="1" showInputMessage="1" showErrorMessage="1" sqref="Y17:Y36">
      <formula1>INDIRECT($H2)</formula1>
    </dataValidation>
  </dataValidations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2024-10-24T09:40:11Z</dcterms:modified>
</cp:coreProperties>
</file>