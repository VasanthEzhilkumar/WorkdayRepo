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A0696F6B-070E-437E-852C-B0212496D8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1" l="1"/>
  <c r="L16" i="1"/>
  <c r="X16" i="1" s="1"/>
  <c r="Y15" i="1"/>
  <c r="X15" i="1"/>
  <c r="L15" i="1"/>
  <c r="Y13" i="1"/>
  <c r="X13" i="1"/>
  <c r="L13" i="1"/>
  <c r="Y12" i="1"/>
  <c r="L12" i="1"/>
  <c r="X12" i="1" s="1"/>
  <c r="Y10" i="1"/>
  <c r="L10" i="1"/>
  <c r="X10" i="1" s="1"/>
  <c r="Y9" i="1"/>
  <c r="X9" i="1"/>
  <c r="L9" i="1"/>
  <c r="Y7" i="1"/>
  <c r="X7" i="1"/>
  <c r="L7" i="1"/>
  <c r="Y6" i="1"/>
  <c r="L6" i="1"/>
  <c r="X6" i="1" s="1"/>
  <c r="Y5" i="1"/>
  <c r="L5" i="1"/>
  <c r="X5" i="1" s="1"/>
  <c r="Y4" i="1"/>
  <c r="X4" i="1"/>
  <c r="L4" i="1"/>
  <c r="Y2" i="1"/>
  <c r="X2" i="1"/>
  <c r="L2" i="1"/>
</calcChain>
</file>

<file path=xl/sharedStrings.xml><?xml version="1.0" encoding="utf-8"?>
<sst xmlns="http://schemas.openxmlformats.org/spreadsheetml/2006/main" count="801" uniqueCount="184">
  <si>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</si>
  <si>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</si>
  <si>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</si>
  <si>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</si>
  <si>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</si>
  <si>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</si>
  <si>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</si>
  <si>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</si>
  <si>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</si>
  <si>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</si>
  <si>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</si>
  <si>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</si>
  <si>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</si>
  <si>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</si>
  <si>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</si>
  <si>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</si>
  <si>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</si>
  <si>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</si>
  <si>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</si>
  <si>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</si>
  <si>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</si>
  <si>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</si>
  <si>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</si>
  <si>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</si>
  <si>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</si>
  <si>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</si>
  <si>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</si>
  <si>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</si>
  <si>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</si>
  <si>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</si>
  <si>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</si>
  <si>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</si>
  <si>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</si>
  <si>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</si>
  <si>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</si>
  <si>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</si>
  <si>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</si>
  <si>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</si>
  <si>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</si>
  <si>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</si>
  <si>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</si>
  <si>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</si>
  <si>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</si>
  <si>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</si>
  <si>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</si>
  <si>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</si>
  <si>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</si>
  <si>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</si>
  <si>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</si>
  <si>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</si>
  <si>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</si>
  <si>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</si>
  <si>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</si>
  <si>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10652098</t>
  </si>
  <si>
    <t>Passed</t>
  </si>
  <si>
    <t>United States of America</t>
  </si>
  <si>
    <t>Mr</t>
  </si>
  <si>
    <t>(202) 555-0147</t>
  </si>
  <si>
    <t>Landline</t>
  </si>
  <si>
    <t>Home</t>
  </si>
  <si>
    <t>Maryland</t>
  </si>
  <si>
    <t>Automation Street Name</t>
  </si>
  <si>
    <t xml:space="preserve">Maryland </t>
  </si>
  <si>
    <t>Street Address</t>
  </si>
  <si>
    <t>Testharsh121@gmail.com</t>
  </si>
  <si>
    <t>New Hire</t>
  </si>
  <si>
    <t>No</t>
  </si>
  <si>
    <t>Retail Assistant_NEW</t>
  </si>
  <si>
    <t>Part time</t>
  </si>
  <si>
    <t>Hourly</t>
  </si>
  <si>
    <t>4 Sales Workers - (EEO-1 Job Classifications-United States of America)</t>
  </si>
  <si>
    <t>Default Work Shift (United States of America)</t>
  </si>
  <si>
    <t>N/A</t>
  </si>
  <si>
    <t>Automation Comments here….</t>
  </si>
  <si>
    <t>94 Retail Operative</t>
  </si>
  <si>
    <t>01 Accessories</t>
  </si>
  <si>
    <t>Social Security Number (SSN)</t>
  </si>
  <si>
    <t>Male</t>
  </si>
  <si>
    <t>White</t>
  </si>
  <si>
    <t>Defaulted</t>
  </si>
  <si>
    <t>Employment Authorized</t>
  </si>
  <si>
    <t>Audit Revealed that New Hire Was Not Run</t>
  </si>
  <si>
    <t>USA Pay Group</t>
  </si>
  <si>
    <t>Test_2</t>
  </si>
  <si>
    <t>10652099</t>
  </si>
  <si>
    <t>Regular</t>
  </si>
  <si>
    <t>Full time</t>
  </si>
  <si>
    <t>Test_3</t>
  </si>
  <si>
    <t>10652100</t>
  </si>
  <si>
    <t>124 Store Management (Setap Pijura Vucylu (10181574))</t>
  </si>
  <si>
    <t>Department Manager_NEW</t>
  </si>
  <si>
    <t xml:space="preserve">92 Retail Management </t>
  </si>
  <si>
    <t xml:space="preserve">251 Management Retail </t>
  </si>
  <si>
    <t>Test_4</t>
  </si>
  <si>
    <t>10652101</t>
  </si>
  <si>
    <t>Test_5</t>
  </si>
  <si>
    <t>10652102</t>
  </si>
  <si>
    <t>Store Manager_NEW</t>
  </si>
  <si>
    <t>Test_6</t>
  </si>
  <si>
    <t>10652103</t>
  </si>
  <si>
    <t>Test_7</t>
  </si>
  <si>
    <t>10652139</t>
  </si>
  <si>
    <t>In-Store P&amp;C Manager_NEW</t>
  </si>
  <si>
    <t>Test_8</t>
  </si>
  <si>
    <t>10652128</t>
  </si>
  <si>
    <t>Test_9</t>
  </si>
  <si>
    <t>10652129</t>
  </si>
  <si>
    <t>Test_10</t>
  </si>
  <si>
    <t>10652130</t>
  </si>
  <si>
    <t>Test_11</t>
  </si>
  <si>
    <t>10652131</t>
  </si>
  <si>
    <t>Test_12</t>
  </si>
  <si>
    <t>10652107</t>
  </si>
  <si>
    <t>Test_13</t>
  </si>
  <si>
    <t>10652134</t>
  </si>
  <si>
    <t>Test_14</t>
  </si>
  <si>
    <t>Test failed for 'Christop Heller' Employee:{undefined}TypeError: Cannot read properties of undefined (reading 'split')</t>
  </si>
  <si>
    <t>Failed</t>
  </si>
  <si>
    <t>Test_15</t>
  </si>
  <si>
    <t>10652142</t>
  </si>
  <si>
    <t>Test_16</t>
  </si>
  <si>
    <t>Test failed for 'Geovanny Lowe' Employee:{undefined}TypeError: Cannot read properties of undefined (reading 'split')</t>
  </si>
  <si>
    <t>Lowe</t>
  </si>
  <si>
    <t>124 Department Manager (Cyvad Rogaga (10589000))</t>
  </si>
  <si>
    <t>114 Store Management (Typiv Cipopa (10147210))</t>
  </si>
  <si>
    <t>103 Store Management (Pyzad Zolyte (1586520))</t>
  </si>
  <si>
    <t>108 Store Management (Deloh Rizyle (10104528))</t>
  </si>
  <si>
    <t>134 Store Management (Zizez Cofyze (8702319))</t>
  </si>
  <si>
    <t>108 Recruitment (Pepog Bizyse (10240565))</t>
  </si>
  <si>
    <t>USATwoA</t>
  </si>
  <si>
    <t>Shanel</t>
  </si>
  <si>
    <t>Marilyne</t>
  </si>
  <si>
    <t>Carmel</t>
  </si>
  <si>
    <t>Abraham</t>
  </si>
  <si>
    <t>Eldon</t>
  </si>
  <si>
    <t>Brenda</t>
  </si>
  <si>
    <t>Dora</t>
  </si>
  <si>
    <t>Jennie</t>
  </si>
  <si>
    <t>Frieda</t>
  </si>
  <si>
    <t>Bo</t>
  </si>
  <si>
    <t>Alexander</t>
  </si>
  <si>
    <t>Nikolas</t>
  </si>
  <si>
    <t>Elody</t>
  </si>
  <si>
    <t>Dante</t>
  </si>
  <si>
    <t>Dayana</t>
  </si>
  <si>
    <t>GlobelRegFourOCT</t>
  </si>
  <si>
    <t>Koss</t>
  </si>
  <si>
    <t>Dooley</t>
  </si>
  <si>
    <t>Nitzsche</t>
  </si>
  <si>
    <t>Grant</t>
  </si>
  <si>
    <t>Buckridge</t>
  </si>
  <si>
    <t>Franecki</t>
  </si>
  <si>
    <t>Kuphal</t>
  </si>
  <si>
    <t>Spencer</t>
  </si>
  <si>
    <t>Rosenbaum</t>
  </si>
  <si>
    <t>Cassin</t>
  </si>
  <si>
    <t>Runolfsson</t>
  </si>
  <si>
    <t>Haley</t>
  </si>
  <si>
    <t>Ledner</t>
  </si>
  <si>
    <t>Harris</t>
  </si>
  <si>
    <t>Pennsylvania</t>
  </si>
  <si>
    <t>Philadelphia</t>
  </si>
  <si>
    <t>Potomac Mills,Virginia</t>
  </si>
  <si>
    <t>Harrisburg</t>
  </si>
  <si>
    <t>Virginia</t>
  </si>
  <si>
    <t>Auto 18704125</t>
  </si>
  <si>
    <t>Auto 19162479</t>
  </si>
  <si>
    <t>Auto 62280832</t>
  </si>
  <si>
    <t>Auto 73062160</t>
  </si>
  <si>
    <t>Auto 25998588</t>
  </si>
  <si>
    <t>Auto 17324343</t>
  </si>
  <si>
    <t>Auto 40127952</t>
  </si>
  <si>
    <t>Auto 81543767</t>
  </si>
  <si>
    <t>Auto 99884711</t>
  </si>
  <si>
    <t>Auto 63374999</t>
  </si>
  <si>
    <t>Auto 17438617</t>
  </si>
  <si>
    <t>Auto 9784745</t>
  </si>
  <si>
    <t>Auto 35569316</t>
  </si>
  <si>
    <t>Auto 26272937</t>
  </si>
  <si>
    <t>Auto 84946926</t>
  </si>
  <si>
    <t>USA - Tier 2</t>
  </si>
  <si>
    <t>USA - Tier 3</t>
  </si>
  <si>
    <t>Initial Step</t>
  </si>
  <si>
    <t>10/31/2008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</si>
</sst>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  <scheme val="minor"/>
    </font>
    <font>
      <sz val="14"/>
      <color rgb="FF040C28"/>
      <name val="Arial"/>
      <family val="2"/>
    </font>
    <font>
      <u/>
      <sz val="14"/>
      <color theme="10"/>
      <name val="Arial"/>
      <family val="2"/>
    </font>
    <font>
      <sz val="14"/>
      <color rgb="FF4A4A4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2DCDB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3" borderId="0" xfId="0" applyFill="1"/>
    <xf numFmtId="0" fontId="2" fillId="4" borderId="0" xfId="0" applyFont="1" applyFill="1" applyAlignment="1">
      <alignment horizontal="left"/>
    </xf>
    <xf numFmtId="14" fontId="0" fillId="0" borderId="0" xfId="0" applyNumberFormat="1"/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5" xfId="0" applyFont="1" applyBorder="1"/>
    <xf numFmtId="0" fontId="6" fillId="0" borderId="5" xfId="0" applyFont="1" applyBorder="1"/>
    <xf numFmtId="0" fontId="0" fillId="4" borderId="0" xfId="0" applyFill="1"/>
    <xf numFmtId="0" fontId="7" fillId="7" borderId="0" xfId="0" applyFont="1" applyFill="1"/>
    <xf numFmtId="0" fontId="5" fillId="4" borderId="3" xfId="0" applyFont="1" applyFill="1" applyBorder="1"/>
    <xf numFmtId="0" fontId="6" fillId="7" borderId="3" xfId="0" applyFont="1" applyFill="1" applyBorder="1"/>
    <xf numFmtId="0" fontId="5" fillId="0" borderId="3" xfId="0" applyFont="1" applyBorder="1" applyAlignment="1" applyProtection="1">
      <alignment horizontal="left"/>
      <protection locked="0"/>
    </xf>
    <xf numFmtId="14" fontId="5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6" fillId="0" borderId="3" xfId="0" applyFont="1" applyBorder="1"/>
    <xf numFmtId="0" fontId="5" fillId="0" borderId="3" xfId="0" applyFont="1" applyBorder="1" applyProtection="1">
      <protection locked="0"/>
    </xf>
    <xf numFmtId="0" fontId="8" fillId="0" borderId="0" xfId="0" applyFont="1" applyAlignment="1">
      <alignment horizontal="left"/>
    </xf>
    <xf numFmtId="14" fontId="5" fillId="0" borderId="3" xfId="0" applyNumberFormat="1" applyFont="1" applyBorder="1" applyAlignment="1">
      <alignment horizontal="left"/>
    </xf>
    <xf numFmtId="0" fontId="9" fillId="0" borderId="3" xfId="0" applyFont="1" applyBorder="1" applyProtection="1">
      <protection locked="0"/>
    </xf>
    <xf numFmtId="0" fontId="3" fillId="0" borderId="3" xfId="0" applyFont="1" applyBorder="1"/>
    <xf numFmtId="14" fontId="4" fillId="0" borderId="0" xfId="0" applyNumberFormat="1" applyFont="1" applyAlignment="1">
      <alignment horizontal="left"/>
    </xf>
    <xf numFmtId="0" fontId="5" fillId="0" borderId="6" xfId="0" applyFont="1" applyBorder="1" applyAlignment="1" applyProtection="1">
      <alignment horizontal="left"/>
      <protection locked="0"/>
    </xf>
    <xf numFmtId="0" fontId="6" fillId="0" borderId="6" xfId="0" applyFont="1" applyBorder="1" applyAlignment="1">
      <alignment horizontal="left"/>
    </xf>
    <xf numFmtId="0" fontId="5" fillId="4" borderId="3" xfId="0" applyFont="1" applyFill="1" applyBorder="1" applyAlignment="1" applyProtection="1">
      <alignment horizontal="left"/>
      <protection locked="0"/>
    </xf>
    <xf numFmtId="0" fontId="6" fillId="7" borderId="3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0" fontId="10" fillId="0" borderId="0" xfId="0" applyFont="1"/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/>
    </xf>
    <xf numFmtId="0" fontId="6" fillId="6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 applyProtection="1">
      <alignment horizontal="left" wrapText="1"/>
      <protection locked="0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5" borderId="3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164" fontId="5" fillId="0" borderId="3" xfId="0" applyNumberFormat="1" applyFont="1" applyBorder="1" applyAlignment="1" applyProtection="1">
      <alignment horizontal="left"/>
      <protection locked="0"/>
    </xf>
    <xf numFmtId="164" fontId="5" fillId="0" borderId="1" xfId="0" applyNumberFormat="1" applyFont="1" applyBorder="1" applyAlignment="1" applyProtection="1">
      <alignment horizontal="left"/>
      <protection locked="0"/>
    </xf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4" Type="http://schemas.openxmlformats.org/officeDocument/2006/relationships/hyperlink" Target="mailto:Testharsh121@gmail.com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8"/>
  <sheetViews>
    <sheetView tabSelected="1" zoomScaleNormal="100" workbookViewId="0">
      <selection activeCell="D2" sqref="D2:BD17"/>
    </sheetView>
  </sheetViews>
  <sheetFormatPr defaultRowHeight="14.5" customHeight="1" x14ac:dyDescent="0.35"/>
  <cols>
    <col min="1" max="1" width="7.26953125" customWidth="1"/>
    <col min="2" max="2" width="10.81640625" customWidth="1"/>
    <col min="3" max="3" width="9.36328125" customWidth="1"/>
    <col min="4" max="4" width="22.26953125" customWidth="1"/>
    <col min="5" max="5" width="29.453125" customWidth="1"/>
    <col min="6" max="6" width="3.90625" customWidth="1"/>
    <col min="7" max="7" width="11.7265625" customWidth="1"/>
    <col min="8" max="8" width="26.1796875" customWidth="1"/>
    <col min="9" max="9" width="18.90625" customWidth="1"/>
    <col min="10" max="10" width="10.6328125" customWidth="1"/>
    <col min="11" max="11" width="7.7265625" customWidth="1"/>
    <col min="12" max="12" width="14.1796875" customWidth="1"/>
    <col min="13" max="13" width="29.453125" customWidth="1"/>
    <col min="14" max="14" width="11.26953125" customWidth="1"/>
    <col min="15" max="15" width="29.1796875" customWidth="1"/>
    <col min="16" max="16" width="11.26953125" customWidth="1"/>
    <col min="17" max="17" width="8.26953125" customWidth="1"/>
    <col min="18" max="19" width="12" customWidth="1"/>
    <col min="20" max="20" width="7.7265625" customWidth="1"/>
    <col min="21" max="21" width="18" customWidth="1"/>
    <col min="22" max="22" width="31.1796875" customWidth="1"/>
    <col min="23" max="23" width="7.7265625" customWidth="1"/>
    <col min="24" max="25" width="14.1796875" customWidth="1"/>
    <col min="26" max="26" width="11.1796875" customWidth="1"/>
    <col min="27" max="27" width="28.453125" customWidth="1"/>
    <col min="28" max="28" width="11.453125" customWidth="1"/>
    <col min="29" max="29" width="40.54296875" customWidth="1"/>
    <col min="30" max="30" width="11.1796875" customWidth="1"/>
    <col min="31" max="31" width="5.36328125" customWidth="1"/>
    <col min="32" max="32" width="8.1796875" customWidth="1"/>
    <col min="33" max="33" width="6.08984375" customWidth="1"/>
    <col min="34" max="34" width="83.26953125" customWidth="1"/>
    <col min="35" max="35" width="52.7265625" customWidth="1"/>
    <col min="36" max="36" width="5.26953125" customWidth="1"/>
    <col min="37" max="37" width="36.54296875" customWidth="1"/>
    <col min="38" max="38" width="27.6328125" customWidth="1"/>
    <col min="39" max="39" width="29.08984375" customWidth="1"/>
    <col min="40" max="40" width="24.36328125" customWidth="1"/>
    <col min="41" max="41" width="21.36328125" customWidth="1"/>
    <col min="42" max="42" width="29.453125" customWidth="1"/>
    <col min="43" max="43" width="35.6328125" customWidth="1"/>
    <col min="44" max="44" width="10.6328125" customWidth="1"/>
    <col min="45" max="45" width="11.08984375" customWidth="1"/>
    <col min="46" max="46" width="14.1796875" customWidth="1"/>
    <col min="47" max="47" width="29.453125" customWidth="1"/>
    <col min="48" max="48" width="66.54296875" customWidth="1"/>
    <col min="49" max="49" width="29.453125" customWidth="1"/>
    <col min="50" max="50" width="11.7265625" customWidth="1"/>
    <col min="51" max="51" width="10.6328125" customWidth="1"/>
    <col min="52" max="52" width="13.90625" customWidth="1"/>
    <col min="53" max="53" width="28.453125" customWidth="1"/>
    <col min="54" max="54" width="50.90625" customWidth="1"/>
    <col min="55" max="55" width="19.26953125" customWidth="1"/>
    <col min="56" max="56" width="8.7265625" customWidth="1"/>
  </cols>
  <sheetData>
    <row r="1" spans="1:56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2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</row>
    <row r="2" spans="1:56" ht="14.5" customHeight="1" x14ac:dyDescent="0.35">
      <c r="A2" t="s">
        <v>52</v>
      </c>
      <c r="B2" s="7" t="s">
        <v>53</v>
      </c>
      <c r="C2" s="8" t="s">
        <v>54</v>
      </c>
      <c r="D2" s="11" t="s">
        <v>89</v>
      </c>
      <c r="E2" s="14" t="s">
        <v>55</v>
      </c>
      <c r="F2" s="16" t="s">
        <v>56</v>
      </c>
      <c r="G2" s="18" t="s">
        <v>129</v>
      </c>
      <c r="H2" s="20" t="s">
        <v>145</v>
      </c>
      <c r="I2" s="22" t="s">
        <v>57</v>
      </c>
      <c r="J2" s="22" t="s">
        <v>58</v>
      </c>
      <c r="K2" s="22" t="s">
        <v>59</v>
      </c>
      <c r="L2" s="23">
        <f ca="1">TODAY()-31</f>
        <v>45576</v>
      </c>
      <c r="M2" s="14" t="s">
        <v>55</v>
      </c>
      <c r="N2" s="14" t="s">
        <v>55</v>
      </c>
      <c r="O2" s="26" t="s">
        <v>61</v>
      </c>
      <c r="P2" s="26" t="s">
        <v>60</v>
      </c>
      <c r="Q2" s="27">
        <v>21201</v>
      </c>
      <c r="R2" s="22" t="s">
        <v>62</v>
      </c>
      <c r="S2" s="22" t="s">
        <v>62</v>
      </c>
      <c r="T2" s="22" t="s">
        <v>59</v>
      </c>
      <c r="U2" s="28" t="s">
        <v>63</v>
      </c>
      <c r="V2" s="29" t="s">
        <v>64</v>
      </c>
      <c r="W2" s="22" t="s">
        <v>59</v>
      </c>
      <c r="X2" s="31">
        <f ca="1">L2</f>
        <v>45576</v>
      </c>
      <c r="Y2" s="23">
        <f ca="1">TODAY()+20</f>
        <v>45627</v>
      </c>
      <c r="Z2" s="32" t="s">
        <v>65</v>
      </c>
      <c r="AA2" s="34" t="s">
        <v>165</v>
      </c>
      <c r="AB2" s="36" t="s">
        <v>85</v>
      </c>
      <c r="AC2" s="38" t="s">
        <v>90</v>
      </c>
      <c r="AD2" s="36" t="s">
        <v>86</v>
      </c>
      <c r="AE2" s="41">
        <v>124</v>
      </c>
      <c r="AF2" s="41" t="s">
        <v>46</v>
      </c>
      <c r="AG2" s="41" t="s">
        <v>72</v>
      </c>
      <c r="AH2" s="45">
        <v>40</v>
      </c>
      <c r="AI2" s="36" t="s">
        <v>70</v>
      </c>
      <c r="AJ2" s="36" t="s">
        <v>71</v>
      </c>
      <c r="AK2" s="31" t="s">
        <v>72</v>
      </c>
      <c r="AL2" s="22" t="s">
        <v>73</v>
      </c>
      <c r="AM2" s="22" t="s">
        <v>91</v>
      </c>
      <c r="AN2" s="36" t="s">
        <v>92</v>
      </c>
      <c r="AO2" s="15" t="s">
        <v>180</v>
      </c>
      <c r="AP2" s="14" t="s">
        <v>79</v>
      </c>
      <c r="AQ2" s="14" t="s">
        <v>55</v>
      </c>
      <c r="AR2" s="50" t="s">
        <v>76</v>
      </c>
      <c r="AS2" s="43">
        <v>985891654</v>
      </c>
      <c r="AT2" s="36" t="s">
        <v>77</v>
      </c>
      <c r="AU2" s="51">
        <v>35591</v>
      </c>
      <c r="AV2" s="14" t="s">
        <v>55</v>
      </c>
      <c r="AW2" t="s">
        <v>78</v>
      </c>
      <c r="AX2" s="14" t="s">
        <v>55</v>
      </c>
      <c r="AY2" s="14" t="s">
        <v>79</v>
      </c>
      <c r="AZ2" s="10">
        <v>54057</v>
      </c>
      <c r="BA2" t="s">
        <v>60</v>
      </c>
      <c r="BB2" t="s">
        <v>80</v>
      </c>
      <c r="BC2" t="s">
        <v>81</v>
      </c>
      <c r="BD2" t="s">
        <v>82</v>
      </c>
    </row>
    <row r="3" spans="1:56" ht="14.5" customHeight="1" x14ac:dyDescent="0.35">
      <c r="A3" t="s">
        <v>83</v>
      </c>
      <c r="B3" t="s">
        <v>84</v>
      </c>
      <c r="C3" s="8" t="s">
        <v>54</v>
      </c>
      <c r="D3" s="11" t="s">
        <v>123</v>
      </c>
      <c r="E3" s="15" t="s">
        <v>55</v>
      </c>
      <c r="F3" s="17" t="s">
        <v>56</v>
      </c>
      <c r="G3" s="19" t="s">
        <v>130</v>
      </c>
      <c r="H3" s="21" t="s">
        <v>146</v>
      </c>
      <c r="I3" s="15" t="s">
        <v>57</v>
      </c>
      <c r="J3" s="15" t="s">
        <v>58</v>
      </c>
      <c r="K3" s="15" t="s">
        <v>59</v>
      </c>
      <c r="L3" s="24">
        <v>45571</v>
      </c>
      <c r="M3" s="15" t="s">
        <v>55</v>
      </c>
      <c r="N3" s="25" t="s">
        <v>55</v>
      </c>
      <c r="O3" s="25" t="s">
        <v>61</v>
      </c>
      <c r="P3" s="25" t="s">
        <v>60</v>
      </c>
      <c r="Q3" s="27">
        <v>21201</v>
      </c>
      <c r="R3" s="25" t="s">
        <v>60</v>
      </c>
      <c r="S3" s="25" t="s">
        <v>60</v>
      </c>
      <c r="T3" s="15" t="s">
        <v>59</v>
      </c>
      <c r="U3" s="15" t="s">
        <v>63</v>
      </c>
      <c r="V3" s="30" t="s">
        <v>64</v>
      </c>
      <c r="W3" s="15" t="s">
        <v>59</v>
      </c>
      <c r="X3" s="31">
        <v>45571</v>
      </c>
      <c r="Y3" s="24">
        <v>45622</v>
      </c>
      <c r="Z3" s="33" t="s">
        <v>65</v>
      </c>
      <c r="AA3" s="35" t="s">
        <v>166</v>
      </c>
      <c r="AB3" s="37" t="s">
        <v>85</v>
      </c>
      <c r="AC3" s="39" t="s">
        <v>97</v>
      </c>
      <c r="AD3" s="37" t="s">
        <v>86</v>
      </c>
      <c r="AE3" s="42">
        <v>124</v>
      </c>
      <c r="AF3" s="44" t="s">
        <v>46</v>
      </c>
      <c r="AG3" s="41" t="s">
        <v>72</v>
      </c>
      <c r="AH3" s="46">
        <v>40</v>
      </c>
      <c r="AI3" s="37" t="s">
        <v>70</v>
      </c>
      <c r="AJ3" s="37" t="s">
        <v>71</v>
      </c>
      <c r="AK3" s="47" t="s">
        <v>72</v>
      </c>
      <c r="AL3" s="15" t="s">
        <v>73</v>
      </c>
      <c r="AM3" s="15" t="s">
        <v>91</v>
      </c>
      <c r="AN3" s="37" t="s">
        <v>92</v>
      </c>
      <c r="AO3" s="15" t="s">
        <v>180</v>
      </c>
      <c r="AP3" s="15" t="s">
        <v>79</v>
      </c>
      <c r="AQ3" s="15" t="s">
        <v>55</v>
      </c>
      <c r="AR3" s="15" t="s">
        <v>76</v>
      </c>
      <c r="AS3" s="42">
        <v>984533287</v>
      </c>
      <c r="AT3" s="37" t="s">
        <v>77</v>
      </c>
      <c r="AU3" s="52">
        <v>36439</v>
      </c>
      <c r="AV3" s="15" t="s">
        <v>55</v>
      </c>
      <c r="AW3" t="s">
        <v>78</v>
      </c>
      <c r="AX3" s="15" t="s">
        <v>55</v>
      </c>
      <c r="AY3" s="15" t="s">
        <v>79</v>
      </c>
      <c r="AZ3" s="10">
        <v>54057</v>
      </c>
      <c r="BA3" t="s">
        <v>60</v>
      </c>
      <c r="BB3" t="s">
        <v>80</v>
      </c>
      <c r="BC3" t="s">
        <v>81</v>
      </c>
      <c r="BD3" t="s">
        <v>82</v>
      </c>
    </row>
    <row r="4" spans="1:56" ht="14.5" customHeight="1" x14ac:dyDescent="0.35">
      <c r="A4" t="s">
        <v>87</v>
      </c>
      <c r="B4" t="s">
        <v>88</v>
      </c>
      <c r="C4" s="8" t="s">
        <v>54</v>
      </c>
      <c r="D4" s="11" t="s">
        <v>89</v>
      </c>
      <c r="E4" s="14" t="s">
        <v>55</v>
      </c>
      <c r="F4" s="16" t="s">
        <v>56</v>
      </c>
      <c r="G4" s="18" t="s">
        <v>131</v>
      </c>
      <c r="H4" s="20" t="s">
        <v>147</v>
      </c>
      <c r="I4" s="22" t="s">
        <v>57</v>
      </c>
      <c r="J4" s="22" t="s">
        <v>58</v>
      </c>
      <c r="K4" s="22" t="s">
        <v>59</v>
      </c>
      <c r="L4" s="23">
        <f ca="1">TODAY()-31</f>
        <v>45576</v>
      </c>
      <c r="M4" s="14" t="s">
        <v>55</v>
      </c>
      <c r="N4" s="14" t="s">
        <v>55</v>
      </c>
      <c r="O4" s="26" t="s">
        <v>61</v>
      </c>
      <c r="P4" s="26" t="s">
        <v>60</v>
      </c>
      <c r="Q4" s="27">
        <v>21201</v>
      </c>
      <c r="R4" s="22" t="s">
        <v>62</v>
      </c>
      <c r="S4" s="22" t="s">
        <v>62</v>
      </c>
      <c r="T4" s="22" t="s">
        <v>59</v>
      </c>
      <c r="U4" s="28" t="s">
        <v>63</v>
      </c>
      <c r="V4" s="29" t="s">
        <v>64</v>
      </c>
      <c r="W4" s="22" t="s">
        <v>59</v>
      </c>
      <c r="X4" s="31">
        <f ca="1">L4</f>
        <v>45576</v>
      </c>
      <c r="Y4" s="23">
        <f ca="1">TODAY()+20</f>
        <v>45627</v>
      </c>
      <c r="Z4" s="32" t="s">
        <v>65</v>
      </c>
      <c r="AA4" s="35" t="s">
        <v>167</v>
      </c>
      <c r="AB4" s="36" t="s">
        <v>85</v>
      </c>
      <c r="AC4" s="40" t="s">
        <v>102</v>
      </c>
      <c r="AD4" s="36" t="s">
        <v>86</v>
      </c>
      <c r="AE4" s="41">
        <v>124</v>
      </c>
      <c r="AF4" s="41" t="s">
        <v>46</v>
      </c>
      <c r="AG4" s="41" t="s">
        <v>72</v>
      </c>
      <c r="AH4" s="45">
        <v>40</v>
      </c>
      <c r="AI4" s="36" t="s">
        <v>70</v>
      </c>
      <c r="AJ4" s="36" t="s">
        <v>71</v>
      </c>
      <c r="AK4" s="31" t="s">
        <v>72</v>
      </c>
      <c r="AL4" s="22" t="s">
        <v>73</v>
      </c>
      <c r="AM4" s="22" t="s">
        <v>91</v>
      </c>
      <c r="AN4" s="36" t="s">
        <v>92</v>
      </c>
      <c r="AO4" s="15" t="s">
        <v>180</v>
      </c>
      <c r="AP4" s="14" t="s">
        <v>79</v>
      </c>
      <c r="AQ4" s="14" t="s">
        <v>55</v>
      </c>
      <c r="AR4" s="50" t="s">
        <v>76</v>
      </c>
      <c r="AS4" s="43">
        <v>909874389</v>
      </c>
      <c r="AT4" s="36" t="s">
        <v>77</v>
      </c>
      <c r="AU4" s="51">
        <v>35956</v>
      </c>
      <c r="AV4" s="14" t="s">
        <v>55</v>
      </c>
      <c r="AW4" t="s">
        <v>78</v>
      </c>
      <c r="AX4" s="14" t="s">
        <v>55</v>
      </c>
      <c r="AY4" s="14" t="s">
        <v>79</v>
      </c>
      <c r="AZ4" s="10">
        <v>54057</v>
      </c>
      <c r="BA4" t="s">
        <v>60</v>
      </c>
      <c r="BB4" t="s">
        <v>80</v>
      </c>
      <c r="BC4" t="s">
        <v>81</v>
      </c>
      <c r="BD4" t="s">
        <v>82</v>
      </c>
    </row>
    <row r="5" spans="1:56" ht="14.5" customHeight="1" x14ac:dyDescent="0.35">
      <c r="A5" t="s">
        <v>93</v>
      </c>
      <c r="B5" t="s">
        <v>94</v>
      </c>
      <c r="C5" s="8" t="s">
        <v>54</v>
      </c>
      <c r="D5" s="12" t="s">
        <v>124</v>
      </c>
      <c r="E5" s="14" t="s">
        <v>55</v>
      </c>
      <c r="F5" s="16" t="s">
        <v>56</v>
      </c>
      <c r="G5" s="18" t="s">
        <v>132</v>
      </c>
      <c r="H5" s="20" t="s">
        <v>148</v>
      </c>
      <c r="I5" s="22" t="s">
        <v>57</v>
      </c>
      <c r="J5" s="22" t="s">
        <v>58</v>
      </c>
      <c r="K5" s="22" t="s">
        <v>59</v>
      </c>
      <c r="L5" s="23">
        <f ca="1">TODAY()-31</f>
        <v>45576</v>
      </c>
      <c r="M5" s="14" t="s">
        <v>55</v>
      </c>
      <c r="N5" s="14" t="s">
        <v>55</v>
      </c>
      <c r="O5" s="26" t="s">
        <v>61</v>
      </c>
      <c r="P5" s="26" t="s">
        <v>160</v>
      </c>
      <c r="Q5" s="27">
        <v>19102</v>
      </c>
      <c r="R5" s="22" t="s">
        <v>163</v>
      </c>
      <c r="S5" s="22" t="s">
        <v>160</v>
      </c>
      <c r="T5" s="22" t="s">
        <v>59</v>
      </c>
      <c r="U5" s="28" t="s">
        <v>63</v>
      </c>
      <c r="V5" s="29" t="s">
        <v>64</v>
      </c>
      <c r="W5" s="22" t="s">
        <v>59</v>
      </c>
      <c r="X5" s="31">
        <f ca="1">L5</f>
        <v>45576</v>
      </c>
      <c r="Y5" s="23">
        <f ca="1">TODAY()+20</f>
        <v>45627</v>
      </c>
      <c r="Z5" s="32" t="s">
        <v>65</v>
      </c>
      <c r="AA5" s="35" t="s">
        <v>168</v>
      </c>
      <c r="AB5" s="36" t="s">
        <v>85</v>
      </c>
      <c r="AC5" s="38" t="s">
        <v>90</v>
      </c>
      <c r="AD5" s="36" t="s">
        <v>86</v>
      </c>
      <c r="AE5" s="43">
        <v>114</v>
      </c>
      <c r="AF5" s="41" t="s">
        <v>46</v>
      </c>
      <c r="AG5" s="41" t="s">
        <v>72</v>
      </c>
      <c r="AH5" s="45">
        <v>40</v>
      </c>
      <c r="AI5" s="36" t="s">
        <v>70</v>
      </c>
      <c r="AJ5" s="36" t="s">
        <v>71</v>
      </c>
      <c r="AK5" s="31" t="s">
        <v>72</v>
      </c>
      <c r="AL5" s="22" t="s">
        <v>73</v>
      </c>
      <c r="AM5" s="22" t="s">
        <v>91</v>
      </c>
      <c r="AN5" s="36" t="s">
        <v>92</v>
      </c>
      <c r="AO5" s="48" t="s">
        <v>180</v>
      </c>
      <c r="AP5" s="14" t="s">
        <v>79</v>
      </c>
      <c r="AQ5" s="14" t="s">
        <v>55</v>
      </c>
      <c r="AR5" s="50" t="s">
        <v>76</v>
      </c>
      <c r="AS5" s="43">
        <v>876529008</v>
      </c>
      <c r="AT5" s="36" t="s">
        <v>77</v>
      </c>
      <c r="AU5" s="51">
        <v>35591</v>
      </c>
      <c r="AV5" s="14" t="s">
        <v>55</v>
      </c>
      <c r="AW5" t="s">
        <v>78</v>
      </c>
      <c r="AX5" s="14" t="s">
        <v>55</v>
      </c>
      <c r="AY5" s="14" t="s">
        <v>79</v>
      </c>
      <c r="AZ5" s="10">
        <v>54057</v>
      </c>
      <c r="BA5" t="s">
        <v>60</v>
      </c>
      <c r="BB5" t="s">
        <v>80</v>
      </c>
      <c r="BC5" t="s">
        <v>81</v>
      </c>
      <c r="BD5" t="s">
        <v>82</v>
      </c>
    </row>
    <row r="6" spans="1:56" ht="14.5" customHeight="1" x14ac:dyDescent="0.35">
      <c r="A6" t="s">
        <v>95</v>
      </c>
      <c r="B6" t="s">
        <v>96</v>
      </c>
      <c r="C6" s="8" t="s">
        <v>54</v>
      </c>
      <c r="D6" s="12" t="s">
        <v>124</v>
      </c>
      <c r="E6" s="14" t="s">
        <v>55</v>
      </c>
      <c r="F6" s="16" t="s">
        <v>56</v>
      </c>
      <c r="G6" s="18" t="s">
        <v>133</v>
      </c>
      <c r="H6" s="20" t="s">
        <v>149</v>
      </c>
      <c r="I6" s="22" t="s">
        <v>57</v>
      </c>
      <c r="J6" s="22" t="s">
        <v>58</v>
      </c>
      <c r="K6" s="22" t="s">
        <v>59</v>
      </c>
      <c r="L6" s="23">
        <f ca="1">TODAY()-31</f>
        <v>45576</v>
      </c>
      <c r="M6" s="14" t="s">
        <v>55</v>
      </c>
      <c r="N6" s="14" t="s">
        <v>55</v>
      </c>
      <c r="O6" s="26" t="s">
        <v>61</v>
      </c>
      <c r="P6" s="26" t="s">
        <v>160</v>
      </c>
      <c r="Q6" s="27">
        <v>19102</v>
      </c>
      <c r="R6" s="22" t="s">
        <v>163</v>
      </c>
      <c r="S6" s="22" t="s">
        <v>160</v>
      </c>
      <c r="T6" s="22" t="s">
        <v>59</v>
      </c>
      <c r="U6" s="28" t="s">
        <v>63</v>
      </c>
      <c r="V6" s="29" t="s">
        <v>64</v>
      </c>
      <c r="W6" s="22" t="s">
        <v>59</v>
      </c>
      <c r="X6" s="31">
        <f ca="1">L6</f>
        <v>45576</v>
      </c>
      <c r="Y6" s="23">
        <f ca="1">TODAY()+20</f>
        <v>45627</v>
      </c>
      <c r="Z6" s="32" t="s">
        <v>65</v>
      </c>
      <c r="AA6" s="35" t="s">
        <v>169</v>
      </c>
      <c r="AB6" s="36" t="s">
        <v>85</v>
      </c>
      <c r="AC6" s="40" t="s">
        <v>97</v>
      </c>
      <c r="AD6" s="36" t="s">
        <v>86</v>
      </c>
      <c r="AE6" s="41">
        <v>114</v>
      </c>
      <c r="AF6" s="41" t="s">
        <v>46</v>
      </c>
      <c r="AG6" s="41" t="s">
        <v>72</v>
      </c>
      <c r="AH6" s="45">
        <v>40</v>
      </c>
      <c r="AI6" s="36" t="s">
        <v>70</v>
      </c>
      <c r="AJ6" s="36" t="s">
        <v>71</v>
      </c>
      <c r="AK6" s="31" t="s">
        <v>72</v>
      </c>
      <c r="AL6" s="22" t="s">
        <v>73</v>
      </c>
      <c r="AM6" s="22" t="s">
        <v>91</v>
      </c>
      <c r="AN6" s="36" t="s">
        <v>92</v>
      </c>
      <c r="AO6" s="15" t="s">
        <v>180</v>
      </c>
      <c r="AP6" s="14" t="s">
        <v>79</v>
      </c>
      <c r="AQ6" s="14" t="s">
        <v>55</v>
      </c>
      <c r="AR6" s="50" t="s">
        <v>76</v>
      </c>
      <c r="AS6" s="43">
        <v>983121853</v>
      </c>
      <c r="AT6" s="36" t="s">
        <v>77</v>
      </c>
      <c r="AU6" s="51">
        <v>35591</v>
      </c>
      <c r="AV6" s="14" t="s">
        <v>55</v>
      </c>
      <c r="AW6" t="s">
        <v>78</v>
      </c>
      <c r="AX6" s="14" t="s">
        <v>55</v>
      </c>
      <c r="AY6" s="14" t="s">
        <v>79</v>
      </c>
      <c r="AZ6" s="10">
        <v>54057</v>
      </c>
      <c r="BA6" t="s">
        <v>60</v>
      </c>
      <c r="BB6" t="s">
        <v>80</v>
      </c>
      <c r="BC6" t="s">
        <v>81</v>
      </c>
      <c r="BD6" t="s">
        <v>82</v>
      </c>
    </row>
    <row r="7" spans="1:56" ht="14.5" customHeight="1" x14ac:dyDescent="0.35">
      <c r="A7" t="s">
        <v>98</v>
      </c>
      <c r="B7" t="s">
        <v>99</v>
      </c>
      <c r="C7" s="8" t="s">
        <v>54</v>
      </c>
      <c r="D7" s="12" t="s">
        <v>124</v>
      </c>
      <c r="E7" s="14" t="s">
        <v>55</v>
      </c>
      <c r="F7" s="16" t="s">
        <v>56</v>
      </c>
      <c r="G7" s="18" t="s">
        <v>134</v>
      </c>
      <c r="H7" s="20" t="s">
        <v>150</v>
      </c>
      <c r="I7" s="22" t="s">
        <v>57</v>
      </c>
      <c r="J7" s="22" t="s">
        <v>58</v>
      </c>
      <c r="K7" s="22" t="s">
        <v>59</v>
      </c>
      <c r="L7" s="23">
        <f ca="1">TODAY()-31</f>
        <v>45576</v>
      </c>
      <c r="M7" s="14" t="s">
        <v>55</v>
      </c>
      <c r="N7" s="14" t="s">
        <v>55</v>
      </c>
      <c r="O7" s="26" t="s">
        <v>61</v>
      </c>
      <c r="P7" s="26" t="s">
        <v>160</v>
      </c>
      <c r="Q7" s="27">
        <v>19102</v>
      </c>
      <c r="R7" s="22" t="s">
        <v>163</v>
      </c>
      <c r="S7" s="22" t="s">
        <v>160</v>
      </c>
      <c r="T7" s="22" t="s">
        <v>59</v>
      </c>
      <c r="U7" s="28" t="s">
        <v>63</v>
      </c>
      <c r="V7" s="29" t="s">
        <v>64</v>
      </c>
      <c r="W7" s="22" t="s">
        <v>59</v>
      </c>
      <c r="X7" s="31">
        <f ca="1">L7</f>
        <v>45576</v>
      </c>
      <c r="Y7" s="23">
        <f ca="1">TODAY()+20</f>
        <v>45627</v>
      </c>
      <c r="Z7" s="32" t="s">
        <v>65</v>
      </c>
      <c r="AA7" s="35" t="s">
        <v>170</v>
      </c>
      <c r="AB7" s="36" t="s">
        <v>85</v>
      </c>
      <c r="AC7" s="40" t="s">
        <v>102</v>
      </c>
      <c r="AD7" s="36" t="s">
        <v>86</v>
      </c>
      <c r="AE7" s="41">
        <v>114</v>
      </c>
      <c r="AF7" s="41" t="s">
        <v>46</v>
      </c>
      <c r="AG7" s="45">
        <v>40</v>
      </c>
      <c r="AH7" s="45">
        <v>40</v>
      </c>
      <c r="AI7" s="36" t="s">
        <v>70</v>
      </c>
      <c r="AJ7" s="36" t="s">
        <v>71</v>
      </c>
      <c r="AK7" s="31" t="s">
        <v>72</v>
      </c>
      <c r="AL7" s="22" t="s">
        <v>73</v>
      </c>
      <c r="AM7" s="22" t="s">
        <v>91</v>
      </c>
      <c r="AN7" s="36" t="s">
        <v>92</v>
      </c>
      <c r="AO7" s="15" t="s">
        <v>180</v>
      </c>
      <c r="AP7" s="14" t="s">
        <v>79</v>
      </c>
      <c r="AQ7" s="14" t="s">
        <v>55</v>
      </c>
      <c r="AR7" s="50" t="s">
        <v>76</v>
      </c>
      <c r="AS7" s="43">
        <v>981121855</v>
      </c>
      <c r="AT7" s="36" t="s">
        <v>77</v>
      </c>
      <c r="AU7" s="51">
        <v>35591</v>
      </c>
      <c r="AV7" s="14" t="s">
        <v>55</v>
      </c>
      <c r="AW7" t="s">
        <v>78</v>
      </c>
      <c r="AX7" s="14" t="s">
        <v>55</v>
      </c>
      <c r="AY7" s="14" t="s">
        <v>79</v>
      </c>
      <c r="AZ7" s="10">
        <v>54057</v>
      </c>
      <c r="BA7" t="s">
        <v>60</v>
      </c>
      <c r="BB7" t="s">
        <v>80</v>
      </c>
      <c r="BC7" t="s">
        <v>81</v>
      </c>
      <c r="BD7" t="s">
        <v>82</v>
      </c>
    </row>
    <row r="8" spans="1:56" ht="14.5" customHeight="1" x14ac:dyDescent="0.35">
      <c r="A8" t="s">
        <v>100</v>
      </c>
      <c r="B8" t="s">
        <v>101</v>
      </c>
      <c r="C8" s="8" t="s">
        <v>54</v>
      </c>
      <c r="D8" s="11" t="s">
        <v>125</v>
      </c>
      <c r="E8" s="15" t="s">
        <v>55</v>
      </c>
      <c r="F8" s="17" t="s">
        <v>56</v>
      </c>
      <c r="G8" s="19" t="s">
        <v>135</v>
      </c>
      <c r="H8" s="21" t="s">
        <v>151</v>
      </c>
      <c r="I8" s="15" t="s">
        <v>57</v>
      </c>
      <c r="J8" s="15" t="s">
        <v>58</v>
      </c>
      <c r="K8" s="15" t="s">
        <v>59</v>
      </c>
      <c r="L8" s="24">
        <v>45571</v>
      </c>
      <c r="M8" s="15" t="s">
        <v>55</v>
      </c>
      <c r="N8" s="25" t="s">
        <v>55</v>
      </c>
      <c r="O8" s="25" t="s">
        <v>61</v>
      </c>
      <c r="P8" s="25" t="s">
        <v>161</v>
      </c>
      <c r="Q8" s="27">
        <v>19406</v>
      </c>
      <c r="R8" s="15" t="s">
        <v>161</v>
      </c>
      <c r="S8" s="15" t="s">
        <v>160</v>
      </c>
      <c r="T8" s="15" t="s">
        <v>59</v>
      </c>
      <c r="U8" s="15" t="s">
        <v>63</v>
      </c>
      <c r="V8" s="30" t="s">
        <v>64</v>
      </c>
      <c r="W8" s="15" t="s">
        <v>59</v>
      </c>
      <c r="X8" s="31">
        <v>45571</v>
      </c>
      <c r="Y8" s="24">
        <v>45622</v>
      </c>
      <c r="Z8" s="33" t="s">
        <v>65</v>
      </c>
      <c r="AA8" s="35" t="s">
        <v>171</v>
      </c>
      <c r="AB8" s="37" t="s">
        <v>85</v>
      </c>
      <c r="AC8" s="38" t="s">
        <v>90</v>
      </c>
      <c r="AD8" s="37" t="s">
        <v>86</v>
      </c>
      <c r="AE8" s="44">
        <v>103</v>
      </c>
      <c r="AF8" s="44" t="s">
        <v>46</v>
      </c>
      <c r="AG8" s="45">
        <v>40</v>
      </c>
      <c r="AH8" s="46">
        <v>40</v>
      </c>
      <c r="AI8" s="37" t="s">
        <v>70</v>
      </c>
      <c r="AJ8" s="37" t="s">
        <v>71</v>
      </c>
      <c r="AK8" s="47" t="s">
        <v>72</v>
      </c>
      <c r="AL8" s="15" t="s">
        <v>73</v>
      </c>
      <c r="AM8" s="15" t="s">
        <v>91</v>
      </c>
      <c r="AN8" s="37" t="s">
        <v>92</v>
      </c>
      <c r="AO8" s="15" t="s">
        <v>180</v>
      </c>
      <c r="AP8" s="15" t="s">
        <v>79</v>
      </c>
      <c r="AQ8" s="15" t="s">
        <v>55</v>
      </c>
      <c r="AR8" s="15" t="s">
        <v>76</v>
      </c>
      <c r="AS8" s="42">
        <v>789634888</v>
      </c>
      <c r="AT8" s="37" t="s">
        <v>77</v>
      </c>
      <c r="AU8" s="52">
        <v>35709</v>
      </c>
      <c r="AV8" s="15" t="s">
        <v>55</v>
      </c>
      <c r="AW8" t="s">
        <v>78</v>
      </c>
      <c r="AX8" s="15" t="s">
        <v>55</v>
      </c>
      <c r="AY8" s="15" t="s">
        <v>79</v>
      </c>
      <c r="AZ8" s="10">
        <v>54057</v>
      </c>
      <c r="BA8" t="s">
        <v>60</v>
      </c>
      <c r="BB8" t="s">
        <v>80</v>
      </c>
      <c r="BC8" t="s">
        <v>81</v>
      </c>
      <c r="BD8" t="s">
        <v>82</v>
      </c>
    </row>
    <row r="9" spans="1:56" ht="14.5" customHeight="1" x14ac:dyDescent="0.35">
      <c r="A9" t="s">
        <v>103</v>
      </c>
      <c r="B9" s="7" t="s">
        <v>104</v>
      </c>
      <c r="C9" s="8" t="s">
        <v>54</v>
      </c>
      <c r="D9" s="11" t="s">
        <v>125</v>
      </c>
      <c r="E9" s="14" t="s">
        <v>55</v>
      </c>
      <c r="F9" s="16" t="s">
        <v>56</v>
      </c>
      <c r="G9" s="18" t="s">
        <v>136</v>
      </c>
      <c r="H9" s="20" t="s">
        <v>152</v>
      </c>
      <c r="I9" s="22" t="s">
        <v>57</v>
      </c>
      <c r="J9" s="22" t="s">
        <v>58</v>
      </c>
      <c r="K9" s="22" t="s">
        <v>59</v>
      </c>
      <c r="L9" s="23">
        <f ca="1">TODAY()-31</f>
        <v>45576</v>
      </c>
      <c r="M9" s="14" t="s">
        <v>55</v>
      </c>
      <c r="N9" s="14" t="s">
        <v>55</v>
      </c>
      <c r="O9" s="26" t="s">
        <v>61</v>
      </c>
      <c r="P9" s="25" t="s">
        <v>161</v>
      </c>
      <c r="Q9" s="27">
        <v>19406</v>
      </c>
      <c r="R9" s="15" t="s">
        <v>161</v>
      </c>
      <c r="S9" s="15" t="s">
        <v>160</v>
      </c>
      <c r="T9" s="22" t="s">
        <v>59</v>
      </c>
      <c r="U9" s="28" t="s">
        <v>63</v>
      </c>
      <c r="V9" s="29" t="s">
        <v>64</v>
      </c>
      <c r="W9" s="22" t="s">
        <v>59</v>
      </c>
      <c r="X9" s="31">
        <f ca="1">L9</f>
        <v>45576</v>
      </c>
      <c r="Y9" s="23">
        <f ca="1">TODAY()+20</f>
        <v>45627</v>
      </c>
      <c r="Z9" s="32" t="s">
        <v>65</v>
      </c>
      <c r="AA9" s="35" t="s">
        <v>172</v>
      </c>
      <c r="AB9" s="36" t="s">
        <v>85</v>
      </c>
      <c r="AC9" s="40" t="s">
        <v>97</v>
      </c>
      <c r="AD9" s="36" t="s">
        <v>86</v>
      </c>
      <c r="AE9" s="41">
        <v>103</v>
      </c>
      <c r="AF9" s="41" t="s">
        <v>46</v>
      </c>
      <c r="AG9" s="45">
        <v>40</v>
      </c>
      <c r="AH9" s="45">
        <v>40</v>
      </c>
      <c r="AI9" s="36" t="s">
        <v>70</v>
      </c>
      <c r="AJ9" s="36" t="s">
        <v>71</v>
      </c>
      <c r="AK9" s="31" t="s">
        <v>72</v>
      </c>
      <c r="AL9" s="22" t="s">
        <v>73</v>
      </c>
      <c r="AM9" s="22" t="s">
        <v>91</v>
      </c>
      <c r="AN9" s="36" t="s">
        <v>92</v>
      </c>
      <c r="AO9" s="15" t="s">
        <v>180</v>
      </c>
      <c r="AP9" s="14" t="s">
        <v>79</v>
      </c>
      <c r="AQ9" s="14" t="s">
        <v>55</v>
      </c>
      <c r="AR9" s="50" t="s">
        <v>76</v>
      </c>
      <c r="AS9" s="43">
        <v>9098237787</v>
      </c>
      <c r="AT9" s="36" t="s">
        <v>77</v>
      </c>
      <c r="AU9" s="51">
        <v>35591</v>
      </c>
      <c r="AV9" s="14" t="s">
        <v>55</v>
      </c>
      <c r="AW9" t="s">
        <v>78</v>
      </c>
      <c r="AX9" s="14" t="s">
        <v>55</v>
      </c>
      <c r="AY9" s="14" t="s">
        <v>79</v>
      </c>
      <c r="AZ9" s="10">
        <v>54057</v>
      </c>
      <c r="BA9" t="s">
        <v>60</v>
      </c>
      <c r="BB9" t="s">
        <v>80</v>
      </c>
      <c r="BC9" t="s">
        <v>81</v>
      </c>
      <c r="BD9" t="s">
        <v>82</v>
      </c>
    </row>
    <row r="10" spans="1:56" ht="14.5" customHeight="1" x14ac:dyDescent="0.35">
      <c r="A10" t="s">
        <v>105</v>
      </c>
      <c r="B10" t="s">
        <v>106</v>
      </c>
      <c r="C10" s="8" t="s">
        <v>54</v>
      </c>
      <c r="D10" s="11" t="s">
        <v>125</v>
      </c>
      <c r="E10" s="14" t="s">
        <v>55</v>
      </c>
      <c r="F10" s="16" t="s">
        <v>56</v>
      </c>
      <c r="G10" s="18" t="s">
        <v>137</v>
      </c>
      <c r="H10" s="20" t="s">
        <v>153</v>
      </c>
      <c r="I10" s="22" t="s">
        <v>57</v>
      </c>
      <c r="J10" s="22" t="s">
        <v>58</v>
      </c>
      <c r="K10" s="22" t="s">
        <v>59</v>
      </c>
      <c r="L10" s="23">
        <f ca="1">TODAY()-31</f>
        <v>45576</v>
      </c>
      <c r="M10" s="14" t="s">
        <v>55</v>
      </c>
      <c r="N10" s="14" t="s">
        <v>55</v>
      </c>
      <c r="O10" s="26" t="s">
        <v>61</v>
      </c>
      <c r="P10" s="25" t="s">
        <v>161</v>
      </c>
      <c r="Q10" s="27">
        <v>19406</v>
      </c>
      <c r="R10" s="15" t="s">
        <v>161</v>
      </c>
      <c r="S10" s="15" t="s">
        <v>160</v>
      </c>
      <c r="T10" s="22" t="s">
        <v>59</v>
      </c>
      <c r="U10" s="28" t="s">
        <v>63</v>
      </c>
      <c r="V10" s="29" t="s">
        <v>64</v>
      </c>
      <c r="W10" s="22" t="s">
        <v>59</v>
      </c>
      <c r="X10" s="31">
        <f ca="1">L10</f>
        <v>45576</v>
      </c>
      <c r="Y10" s="23">
        <f ca="1">TODAY()+20</f>
        <v>45627</v>
      </c>
      <c r="Z10" s="32" t="s">
        <v>65</v>
      </c>
      <c r="AA10" s="35" t="s">
        <v>173</v>
      </c>
      <c r="AB10" s="36" t="s">
        <v>85</v>
      </c>
      <c r="AC10" s="40" t="s">
        <v>102</v>
      </c>
      <c r="AD10" s="36" t="s">
        <v>86</v>
      </c>
      <c r="AE10" s="41">
        <v>103</v>
      </c>
      <c r="AF10" s="41" t="s">
        <v>46</v>
      </c>
      <c r="AG10" s="45">
        <v>40</v>
      </c>
      <c r="AH10" s="45">
        <v>40</v>
      </c>
      <c r="AI10" s="36" t="s">
        <v>70</v>
      </c>
      <c r="AJ10" s="36" t="s">
        <v>71</v>
      </c>
      <c r="AK10" s="31" t="s">
        <v>72</v>
      </c>
      <c r="AL10" s="22" t="s">
        <v>73</v>
      </c>
      <c r="AM10" s="22" t="s">
        <v>91</v>
      </c>
      <c r="AN10" s="36" t="s">
        <v>92</v>
      </c>
      <c r="AO10" s="15" t="s">
        <v>180</v>
      </c>
      <c r="AP10" s="14" t="s">
        <v>79</v>
      </c>
      <c r="AQ10" s="14" t="s">
        <v>55</v>
      </c>
      <c r="AR10" s="50" t="s">
        <v>76</v>
      </c>
      <c r="AS10" s="43">
        <v>909120009</v>
      </c>
      <c r="AT10" s="36" t="s">
        <v>77</v>
      </c>
      <c r="AU10" s="51">
        <v>35591</v>
      </c>
      <c r="AV10" s="14" t="s">
        <v>55</v>
      </c>
      <c r="AW10" t="s">
        <v>78</v>
      </c>
      <c r="AX10" s="14" t="s">
        <v>55</v>
      </c>
      <c r="AY10" s="14" t="s">
        <v>79</v>
      </c>
      <c r="AZ10" s="10">
        <v>54057</v>
      </c>
      <c r="BA10" t="s">
        <v>60</v>
      </c>
      <c r="BB10" t="s">
        <v>80</v>
      </c>
      <c r="BC10" t="s">
        <v>81</v>
      </c>
      <c r="BD10" t="s">
        <v>82</v>
      </c>
    </row>
    <row r="11" spans="1:56" ht="14.5" customHeight="1" x14ac:dyDescent="0.35">
      <c r="A11" t="s">
        <v>107</v>
      </c>
      <c r="B11" s="7" t="s">
        <v>108</v>
      </c>
      <c r="C11" s="8" t="s">
        <v>54</v>
      </c>
      <c r="D11" s="13" t="s">
        <v>126</v>
      </c>
      <c r="E11" s="15" t="s">
        <v>55</v>
      </c>
      <c r="F11" s="17" t="s">
        <v>56</v>
      </c>
      <c r="G11" s="19" t="s">
        <v>138</v>
      </c>
      <c r="H11" s="21" t="s">
        <v>154</v>
      </c>
      <c r="I11" s="15" t="s">
        <v>57</v>
      </c>
      <c r="J11" s="15" t="s">
        <v>58</v>
      </c>
      <c r="K11" s="15" t="s">
        <v>59</v>
      </c>
      <c r="L11" s="24">
        <v>45571</v>
      </c>
      <c r="M11" s="15" t="s">
        <v>55</v>
      </c>
      <c r="N11" s="15" t="s">
        <v>55</v>
      </c>
      <c r="O11" s="25" t="s">
        <v>61</v>
      </c>
      <c r="P11" s="25" t="s">
        <v>161</v>
      </c>
      <c r="Q11" s="27">
        <v>19090</v>
      </c>
      <c r="R11" s="25" t="s">
        <v>161</v>
      </c>
      <c r="S11" s="15" t="s">
        <v>160</v>
      </c>
      <c r="T11" s="15" t="s">
        <v>59</v>
      </c>
      <c r="U11" s="15" t="s">
        <v>63</v>
      </c>
      <c r="V11" s="30" t="s">
        <v>64</v>
      </c>
      <c r="W11" s="15" t="s">
        <v>59</v>
      </c>
      <c r="X11" s="31">
        <v>45571</v>
      </c>
      <c r="Y11" s="24">
        <v>45622</v>
      </c>
      <c r="Z11" s="33" t="s">
        <v>65</v>
      </c>
      <c r="AA11" s="35" t="s">
        <v>174</v>
      </c>
      <c r="AB11" s="37" t="s">
        <v>85</v>
      </c>
      <c r="AC11" s="38" t="s">
        <v>90</v>
      </c>
      <c r="AD11" s="37" t="s">
        <v>86</v>
      </c>
      <c r="AE11" s="42">
        <v>108</v>
      </c>
      <c r="AF11" s="44" t="s">
        <v>46</v>
      </c>
      <c r="AG11" s="45">
        <v>40</v>
      </c>
      <c r="AH11" s="46">
        <v>40</v>
      </c>
      <c r="AI11" s="37" t="s">
        <v>70</v>
      </c>
      <c r="AJ11" s="37" t="s">
        <v>71</v>
      </c>
      <c r="AK11" s="47" t="s">
        <v>72</v>
      </c>
      <c r="AL11" s="15" t="s">
        <v>73</v>
      </c>
      <c r="AM11" s="15" t="s">
        <v>91</v>
      </c>
      <c r="AN11" s="37" t="s">
        <v>92</v>
      </c>
      <c r="AO11" s="49" t="s">
        <v>180</v>
      </c>
      <c r="AP11" s="15" t="s">
        <v>79</v>
      </c>
      <c r="AQ11" s="15" t="s">
        <v>55</v>
      </c>
      <c r="AR11" s="15" t="s">
        <v>76</v>
      </c>
      <c r="AS11" s="42">
        <v>879234673</v>
      </c>
      <c r="AT11" s="37" t="s">
        <v>77</v>
      </c>
      <c r="AU11" s="52">
        <v>35709</v>
      </c>
      <c r="AV11" s="15" t="s">
        <v>55</v>
      </c>
      <c r="AW11" t="s">
        <v>78</v>
      </c>
      <c r="AX11" s="15" t="s">
        <v>55</v>
      </c>
      <c r="AY11" s="15" t="s">
        <v>79</v>
      </c>
      <c r="AZ11" s="10">
        <v>54057</v>
      </c>
      <c r="BA11" t="s">
        <v>60</v>
      </c>
      <c r="BB11" t="s">
        <v>80</v>
      </c>
      <c r="BC11" t="s">
        <v>81</v>
      </c>
      <c r="BD11" t="s">
        <v>82</v>
      </c>
    </row>
    <row r="12" spans="1:56" ht="14.5" customHeight="1" x14ac:dyDescent="0.35">
      <c r="A12" t="s">
        <v>109</v>
      </c>
      <c r="B12" t="s">
        <v>110</v>
      </c>
      <c r="C12" s="8" t="s">
        <v>54</v>
      </c>
      <c r="D12" s="13" t="s">
        <v>126</v>
      </c>
      <c r="E12" s="14" t="s">
        <v>55</v>
      </c>
      <c r="F12" s="16" t="s">
        <v>56</v>
      </c>
      <c r="G12" s="18" t="s">
        <v>139</v>
      </c>
      <c r="H12" s="20" t="s">
        <v>155</v>
      </c>
      <c r="I12" s="22" t="s">
        <v>57</v>
      </c>
      <c r="J12" s="22" t="s">
        <v>58</v>
      </c>
      <c r="K12" s="22" t="s">
        <v>59</v>
      </c>
      <c r="L12" s="23">
        <f ca="1">TODAY()-31</f>
        <v>45576</v>
      </c>
      <c r="M12" s="14" t="s">
        <v>55</v>
      </c>
      <c r="N12" s="26" t="s">
        <v>60</v>
      </c>
      <c r="O12" s="26" t="s">
        <v>61</v>
      </c>
      <c r="P12" s="25" t="s">
        <v>161</v>
      </c>
      <c r="Q12" s="27">
        <v>19090</v>
      </c>
      <c r="R12" s="25" t="s">
        <v>161</v>
      </c>
      <c r="S12" s="15" t="s">
        <v>160</v>
      </c>
      <c r="T12" s="22" t="s">
        <v>59</v>
      </c>
      <c r="U12" s="28" t="s">
        <v>63</v>
      </c>
      <c r="V12" s="29" t="s">
        <v>64</v>
      </c>
      <c r="W12" s="22" t="s">
        <v>59</v>
      </c>
      <c r="X12" s="31">
        <f ca="1">L12</f>
        <v>45576</v>
      </c>
      <c r="Y12" s="23">
        <f ca="1">TODAY()+20</f>
        <v>45627</v>
      </c>
      <c r="Z12" s="32" t="s">
        <v>65</v>
      </c>
      <c r="AA12" s="35" t="s">
        <v>175</v>
      </c>
      <c r="AB12" s="36" t="s">
        <v>85</v>
      </c>
      <c r="AC12" s="40" t="s">
        <v>97</v>
      </c>
      <c r="AD12" s="36" t="s">
        <v>86</v>
      </c>
      <c r="AE12" s="41">
        <v>108</v>
      </c>
      <c r="AF12" s="41" t="s">
        <v>46</v>
      </c>
      <c r="AG12" s="45">
        <v>40</v>
      </c>
      <c r="AH12" s="45">
        <v>40</v>
      </c>
      <c r="AI12" s="36" t="s">
        <v>70</v>
      </c>
      <c r="AJ12" s="36" t="s">
        <v>71</v>
      </c>
      <c r="AK12" s="31" t="s">
        <v>72</v>
      </c>
      <c r="AL12" s="22" t="s">
        <v>73</v>
      </c>
      <c r="AM12" s="22" t="s">
        <v>91</v>
      </c>
      <c r="AN12" s="36" t="s">
        <v>92</v>
      </c>
      <c r="AO12" s="49" t="s">
        <v>180</v>
      </c>
      <c r="AP12" s="14" t="s">
        <v>79</v>
      </c>
      <c r="AQ12" s="14" t="s">
        <v>55</v>
      </c>
      <c r="AR12" s="50" t="s">
        <v>76</v>
      </c>
      <c r="AS12" s="43">
        <v>983121853</v>
      </c>
      <c r="AT12" s="36" t="s">
        <v>77</v>
      </c>
      <c r="AU12" s="51">
        <v>35591</v>
      </c>
      <c r="AV12" s="14" t="s">
        <v>55</v>
      </c>
      <c r="AW12" t="s">
        <v>78</v>
      </c>
      <c r="AX12" s="14" t="s">
        <v>55</v>
      </c>
      <c r="AY12" s="14" t="s">
        <v>79</v>
      </c>
      <c r="AZ12" s="10">
        <v>54057</v>
      </c>
      <c r="BA12" t="s">
        <v>60</v>
      </c>
      <c r="BB12" t="s">
        <v>80</v>
      </c>
      <c r="BC12" t="s">
        <v>81</v>
      </c>
      <c r="BD12" t="s">
        <v>82</v>
      </c>
    </row>
    <row r="13" spans="1:56" ht="14.5" customHeight="1" x14ac:dyDescent="0.35">
      <c r="A13" t="s">
        <v>111</v>
      </c>
      <c r="B13" t="s">
        <v>112</v>
      </c>
      <c r="C13" s="8" t="s">
        <v>54</v>
      </c>
      <c r="D13" s="13" t="s">
        <v>126</v>
      </c>
      <c r="E13" s="14" t="s">
        <v>55</v>
      </c>
      <c r="F13" s="16" t="s">
        <v>56</v>
      </c>
      <c r="G13" s="18" t="s">
        <v>140</v>
      </c>
      <c r="H13" s="20" t="s">
        <v>156</v>
      </c>
      <c r="I13" s="22" t="s">
        <v>57</v>
      </c>
      <c r="J13" s="22" t="s">
        <v>58</v>
      </c>
      <c r="K13" s="22" t="s">
        <v>59</v>
      </c>
      <c r="L13" s="23">
        <f ca="1">TODAY()-31</f>
        <v>45576</v>
      </c>
      <c r="M13" s="14" t="s">
        <v>55</v>
      </c>
      <c r="N13" s="26" t="s">
        <v>60</v>
      </c>
      <c r="O13" s="26" t="s">
        <v>61</v>
      </c>
      <c r="P13" s="25" t="s">
        <v>161</v>
      </c>
      <c r="Q13" s="27">
        <v>19090</v>
      </c>
      <c r="R13" s="25" t="s">
        <v>161</v>
      </c>
      <c r="S13" s="15" t="s">
        <v>160</v>
      </c>
      <c r="T13" s="22" t="s">
        <v>59</v>
      </c>
      <c r="U13" s="28" t="s">
        <v>63</v>
      </c>
      <c r="V13" s="29" t="s">
        <v>64</v>
      </c>
      <c r="W13" s="22" t="s">
        <v>59</v>
      </c>
      <c r="X13" s="31">
        <f ca="1">L13</f>
        <v>45576</v>
      </c>
      <c r="Y13" s="23">
        <f ca="1">TODAY()+20</f>
        <v>45627</v>
      </c>
      <c r="Z13" s="32" t="s">
        <v>65</v>
      </c>
      <c r="AA13" s="35" t="s">
        <v>176</v>
      </c>
      <c r="AB13" s="36" t="s">
        <v>85</v>
      </c>
      <c r="AC13" s="40" t="s">
        <v>102</v>
      </c>
      <c r="AD13" s="36" t="s">
        <v>86</v>
      </c>
      <c r="AE13" s="41">
        <v>108</v>
      </c>
      <c r="AF13" s="41" t="s">
        <v>46</v>
      </c>
      <c r="AG13" s="45">
        <v>40</v>
      </c>
      <c r="AH13" s="45">
        <v>40</v>
      </c>
      <c r="AI13" s="36" t="s">
        <v>70</v>
      </c>
      <c r="AJ13" s="36" t="s">
        <v>71</v>
      </c>
      <c r="AK13" s="31" t="s">
        <v>72</v>
      </c>
      <c r="AL13" s="22" t="s">
        <v>73</v>
      </c>
      <c r="AM13" s="22" t="s">
        <v>91</v>
      </c>
      <c r="AN13" s="36" t="s">
        <v>92</v>
      </c>
      <c r="AO13" s="49" t="s">
        <v>180</v>
      </c>
      <c r="AP13" s="14" t="s">
        <v>79</v>
      </c>
      <c r="AQ13" s="14" t="s">
        <v>55</v>
      </c>
      <c r="AR13" s="50" t="s">
        <v>76</v>
      </c>
      <c r="AS13" s="43">
        <v>981121855</v>
      </c>
      <c r="AT13" s="36" t="s">
        <v>77</v>
      </c>
      <c r="AU13" s="51">
        <v>35591</v>
      </c>
      <c r="AV13" s="14" t="s">
        <v>55</v>
      </c>
      <c r="AW13" t="s">
        <v>78</v>
      </c>
      <c r="AX13" s="14" t="s">
        <v>55</v>
      </c>
      <c r="AY13" s="14" t="s">
        <v>79</v>
      </c>
      <c r="AZ13" s="10">
        <v>54057</v>
      </c>
      <c r="BA13" t="s">
        <v>60</v>
      </c>
      <c r="BB13" t="s">
        <v>80</v>
      </c>
      <c r="BC13" t="s">
        <v>81</v>
      </c>
      <c r="BD13" t="s">
        <v>82</v>
      </c>
    </row>
    <row r="14" spans="1:56" ht="14.5" customHeight="1" x14ac:dyDescent="0.35">
      <c r="A14" t="s">
        <v>113</v>
      </c>
      <c r="B14" t="s">
        <v>114</v>
      </c>
      <c r="C14" s="8" t="s">
        <v>54</v>
      </c>
      <c r="D14" s="13" t="s">
        <v>127</v>
      </c>
      <c r="E14" s="15" t="s">
        <v>55</v>
      </c>
      <c r="F14" s="17" t="s">
        <v>56</v>
      </c>
      <c r="G14" s="19" t="s">
        <v>141</v>
      </c>
      <c r="H14" s="21" t="s">
        <v>157</v>
      </c>
      <c r="I14" s="15" t="s">
        <v>57</v>
      </c>
      <c r="J14" s="15" t="s">
        <v>58</v>
      </c>
      <c r="K14" s="15" t="s">
        <v>59</v>
      </c>
      <c r="L14" s="24">
        <v>45571</v>
      </c>
      <c r="M14" s="15" t="s">
        <v>55</v>
      </c>
      <c r="N14" s="15" t="s">
        <v>55</v>
      </c>
      <c r="O14" s="25" t="s">
        <v>61</v>
      </c>
      <c r="P14" s="25" t="s">
        <v>162</v>
      </c>
      <c r="Q14" s="27">
        <v>22192</v>
      </c>
      <c r="R14" s="25" t="s">
        <v>164</v>
      </c>
      <c r="S14" s="15" t="s">
        <v>164</v>
      </c>
      <c r="T14" s="15" t="s">
        <v>59</v>
      </c>
      <c r="U14" s="15" t="s">
        <v>63</v>
      </c>
      <c r="V14" s="30" t="s">
        <v>64</v>
      </c>
      <c r="W14" s="15" t="s">
        <v>59</v>
      </c>
      <c r="X14" s="31">
        <v>45571</v>
      </c>
      <c r="Y14" s="24">
        <v>45622</v>
      </c>
      <c r="Z14" s="33" t="s">
        <v>65</v>
      </c>
      <c r="AA14" s="35" t="s">
        <v>177</v>
      </c>
      <c r="AB14" s="37" t="s">
        <v>85</v>
      </c>
      <c r="AC14" s="38" t="s">
        <v>90</v>
      </c>
      <c r="AD14" s="37" t="s">
        <v>86</v>
      </c>
      <c r="AE14" s="42">
        <v>134</v>
      </c>
      <c r="AF14" s="44" t="s">
        <v>46</v>
      </c>
      <c r="AG14" s="41" t="s">
        <v>72</v>
      </c>
      <c r="AH14" s="46">
        <v>40</v>
      </c>
      <c r="AI14" s="37" t="s">
        <v>70</v>
      </c>
      <c r="AJ14" s="37" t="s">
        <v>71</v>
      </c>
      <c r="AK14" s="47" t="s">
        <v>72</v>
      </c>
      <c r="AL14" s="15" t="s">
        <v>73</v>
      </c>
      <c r="AM14" s="15" t="s">
        <v>91</v>
      </c>
      <c r="AN14" s="37" t="s">
        <v>92</v>
      </c>
      <c r="AO14" s="49" t="s">
        <v>181</v>
      </c>
      <c r="AP14" s="15" t="s">
        <v>79</v>
      </c>
      <c r="AQ14" s="15" t="s">
        <v>55</v>
      </c>
      <c r="AR14" s="15" t="s">
        <v>76</v>
      </c>
      <c r="AS14" s="42">
        <v>657899922</v>
      </c>
      <c r="AT14" s="37" t="s">
        <v>77</v>
      </c>
      <c r="AU14" s="52">
        <v>35709</v>
      </c>
      <c r="AV14" s="15" t="s">
        <v>55</v>
      </c>
      <c r="AW14" t="s">
        <v>78</v>
      </c>
      <c r="AX14" s="15" t="s">
        <v>55</v>
      </c>
      <c r="AY14" s="15" t="s">
        <v>79</v>
      </c>
      <c r="AZ14" s="10">
        <v>54057</v>
      </c>
      <c r="BA14" t="s">
        <v>60</v>
      </c>
      <c r="BB14" t="s">
        <v>80</v>
      </c>
      <c r="BC14" t="s">
        <v>81</v>
      </c>
      <c r="BD14" t="s">
        <v>82</v>
      </c>
    </row>
    <row r="15" spans="1:56" ht="14.5" customHeight="1" x14ac:dyDescent="0.35">
      <c r="A15" t="s">
        <v>115</v>
      </c>
      <c r="B15" t="s">
        <v>116</v>
      </c>
      <c r="C15" s="8" t="s">
        <v>117</v>
      </c>
      <c r="D15" s="13" t="s">
        <v>127</v>
      </c>
      <c r="E15" s="14" t="s">
        <v>55</v>
      </c>
      <c r="F15" s="16" t="s">
        <v>56</v>
      </c>
      <c r="G15" s="18" t="s">
        <v>142</v>
      </c>
      <c r="H15" s="20" t="s">
        <v>158</v>
      </c>
      <c r="I15" s="22" t="s">
        <v>57</v>
      </c>
      <c r="J15" s="22" t="s">
        <v>58</v>
      </c>
      <c r="K15" s="22" t="s">
        <v>59</v>
      </c>
      <c r="L15" s="23">
        <f ca="1">TODAY()-31</f>
        <v>45576</v>
      </c>
      <c r="M15" s="14" t="s">
        <v>55</v>
      </c>
      <c r="N15" s="14" t="s">
        <v>55</v>
      </c>
      <c r="O15" s="26" t="s">
        <v>61</v>
      </c>
      <c r="P15" s="25" t="s">
        <v>162</v>
      </c>
      <c r="Q15" s="27">
        <v>21201</v>
      </c>
      <c r="R15" s="25" t="s">
        <v>164</v>
      </c>
      <c r="S15" s="25" t="s">
        <v>164</v>
      </c>
      <c r="T15" s="22" t="s">
        <v>59</v>
      </c>
      <c r="U15" s="28" t="s">
        <v>63</v>
      </c>
      <c r="V15" s="29" t="s">
        <v>64</v>
      </c>
      <c r="W15" s="22" t="s">
        <v>59</v>
      </c>
      <c r="X15" s="31">
        <f ca="1">L15</f>
        <v>45576</v>
      </c>
      <c r="Y15" s="23">
        <f ca="1">TODAY()+20</f>
        <v>45627</v>
      </c>
      <c r="Z15" s="32" t="s">
        <v>65</v>
      </c>
      <c r="AA15" s="35" t="s">
        <v>178</v>
      </c>
      <c r="AB15" s="36" t="s">
        <v>85</v>
      </c>
      <c r="AC15" s="40" t="s">
        <v>97</v>
      </c>
      <c r="AD15" s="36" t="s">
        <v>86</v>
      </c>
      <c r="AE15" s="41">
        <v>134</v>
      </c>
      <c r="AF15" s="41" t="s">
        <v>46</v>
      </c>
      <c r="AG15" s="41" t="s">
        <v>72</v>
      </c>
      <c r="AH15" s="45">
        <v>40</v>
      </c>
      <c r="AI15" s="36" t="s">
        <v>70</v>
      </c>
      <c r="AJ15" s="36" t="s">
        <v>71</v>
      </c>
      <c r="AK15" s="31" t="s">
        <v>72</v>
      </c>
      <c r="AL15" s="22" t="s">
        <v>73</v>
      </c>
      <c r="AM15" s="22" t="s">
        <v>91</v>
      </c>
      <c r="AN15" s="36" t="s">
        <v>92</v>
      </c>
      <c r="AO15" s="49" t="s">
        <v>181</v>
      </c>
      <c r="AP15" s="14" t="s">
        <v>79</v>
      </c>
      <c r="AQ15" s="14" t="s">
        <v>55</v>
      </c>
      <c r="AR15" s="50" t="s">
        <v>76</v>
      </c>
      <c r="AS15" s="43">
        <v>973409873</v>
      </c>
      <c r="AT15" s="36" t="s">
        <v>77</v>
      </c>
      <c r="AU15" s="51">
        <v>35591</v>
      </c>
      <c r="AV15" s="14" t="s">
        <v>55</v>
      </c>
      <c r="AW15" t="s">
        <v>78</v>
      </c>
      <c r="AX15" s="14" t="s">
        <v>55</v>
      </c>
      <c r="AY15" s="14" t="s">
        <v>79</v>
      </c>
      <c r="AZ15" s="10">
        <v>54057</v>
      </c>
      <c r="BA15" t="s">
        <v>60</v>
      </c>
      <c r="BB15" t="s">
        <v>80</v>
      </c>
      <c r="BC15" t="s">
        <v>81</v>
      </c>
      <c r="BD15" t="s">
        <v>82</v>
      </c>
    </row>
    <row r="16" spans="1:56" ht="14.5" customHeight="1" x14ac:dyDescent="0.35">
      <c r="A16" t="s">
        <v>118</v>
      </c>
      <c r="B16" t="s">
        <v>119</v>
      </c>
      <c r="C16" s="8" t="s">
        <v>54</v>
      </c>
      <c r="D16" s="13" t="s">
        <v>127</v>
      </c>
      <c r="E16" s="14" t="s">
        <v>55</v>
      </c>
      <c r="F16" s="16" t="s">
        <v>56</v>
      </c>
      <c r="G16" s="18" t="s">
        <v>143</v>
      </c>
      <c r="H16" s="20" t="s">
        <v>122</v>
      </c>
      <c r="I16" s="22" t="s">
        <v>57</v>
      </c>
      <c r="J16" s="22" t="s">
        <v>58</v>
      </c>
      <c r="K16" s="22" t="s">
        <v>59</v>
      </c>
      <c r="L16" s="23">
        <f ca="1">TODAY()-31</f>
        <v>45576</v>
      </c>
      <c r="M16" s="14" t="s">
        <v>55</v>
      </c>
      <c r="N16" s="14" t="s">
        <v>55</v>
      </c>
      <c r="O16" s="26" t="s">
        <v>61</v>
      </c>
      <c r="P16" s="25" t="s">
        <v>162</v>
      </c>
      <c r="Q16" s="27">
        <v>21201</v>
      </c>
      <c r="R16" s="25" t="s">
        <v>164</v>
      </c>
      <c r="S16" s="25" t="s">
        <v>164</v>
      </c>
      <c r="T16" s="22" t="s">
        <v>59</v>
      </c>
      <c r="U16" s="28" t="s">
        <v>63</v>
      </c>
      <c r="V16" s="29" t="s">
        <v>64</v>
      </c>
      <c r="W16" s="22" t="s">
        <v>59</v>
      </c>
      <c r="X16" s="31">
        <f ca="1">L16</f>
        <v>45576</v>
      </c>
      <c r="Y16" s="23">
        <f ca="1">TODAY()+20</f>
        <v>45627</v>
      </c>
      <c r="Z16" s="32" t="s">
        <v>65</v>
      </c>
      <c r="AA16" s="35" t="s">
        <v>179</v>
      </c>
      <c r="AB16" s="36" t="s">
        <v>85</v>
      </c>
      <c r="AC16" s="40" t="s">
        <v>102</v>
      </c>
      <c r="AD16" s="36" t="s">
        <v>86</v>
      </c>
      <c r="AE16" s="41">
        <v>134</v>
      </c>
      <c r="AF16" s="41" t="s">
        <v>46</v>
      </c>
      <c r="AG16" s="41" t="s">
        <v>72</v>
      </c>
      <c r="AH16" s="45">
        <v>40</v>
      </c>
      <c r="AI16" s="36" t="s">
        <v>70</v>
      </c>
      <c r="AJ16" s="36" t="s">
        <v>71</v>
      </c>
      <c r="AK16" s="31" t="s">
        <v>72</v>
      </c>
      <c r="AL16" s="22" t="s">
        <v>73</v>
      </c>
      <c r="AM16" s="22" t="s">
        <v>91</v>
      </c>
      <c r="AN16" s="36" t="s">
        <v>92</v>
      </c>
      <c r="AO16" s="49" t="s">
        <v>181</v>
      </c>
      <c r="AP16" s="14" t="s">
        <v>79</v>
      </c>
      <c r="AQ16" s="14" t="s">
        <v>55</v>
      </c>
      <c r="AR16" s="50" t="s">
        <v>76</v>
      </c>
      <c r="AS16" s="43">
        <v>984129567</v>
      </c>
      <c r="AT16" s="36" t="s">
        <v>77</v>
      </c>
      <c r="AU16" s="51">
        <v>35591</v>
      </c>
      <c r="AV16" s="14" t="s">
        <v>55</v>
      </c>
      <c r="AW16" t="s">
        <v>78</v>
      </c>
      <c r="AX16" s="14" t="s">
        <v>55</v>
      </c>
      <c r="AY16" s="14" t="s">
        <v>79</v>
      </c>
      <c r="AZ16" s="10">
        <v>54057</v>
      </c>
      <c r="BA16" t="s">
        <v>60</v>
      </c>
      <c r="BB16" t="s">
        <v>80</v>
      </c>
      <c r="BC16" t="s">
        <v>81</v>
      </c>
      <c r="BD16" t="s">
        <v>82</v>
      </c>
    </row>
    <row r="17" spans="1:56" ht="14.5" customHeight="1" x14ac:dyDescent="0.35">
      <c r="A17" t="s">
        <v>120</v>
      </c>
      <c r="B17" t="s">
        <v>121</v>
      </c>
      <c r="C17" s="8" t="s">
        <v>117</v>
      </c>
      <c r="D17" s="13" t="s">
        <v>128</v>
      </c>
      <c r="E17" s="15" t="s">
        <v>55</v>
      </c>
      <c r="F17" s="17" t="s">
        <v>56</v>
      </c>
      <c r="G17" s="19" t="s">
        <v>144</v>
      </c>
      <c r="H17" s="21" t="s">
        <v>159</v>
      </c>
      <c r="I17" s="15" t="s">
        <v>57</v>
      </c>
      <c r="J17" s="15" t="s">
        <v>58</v>
      </c>
      <c r="K17" s="15" t="s">
        <v>59</v>
      </c>
      <c r="L17" s="24">
        <v>45571</v>
      </c>
      <c r="M17" s="15" t="s">
        <v>55</v>
      </c>
      <c r="N17" s="15" t="s">
        <v>55</v>
      </c>
      <c r="O17" s="25" t="s">
        <v>61</v>
      </c>
      <c r="P17" s="25" t="s">
        <v>161</v>
      </c>
      <c r="Q17" s="27">
        <v>19141</v>
      </c>
      <c r="R17" s="25" t="s">
        <v>161</v>
      </c>
      <c r="S17" s="15" t="s">
        <v>160</v>
      </c>
      <c r="T17" s="15" t="s">
        <v>59</v>
      </c>
      <c r="U17" s="15" t="s">
        <v>63</v>
      </c>
      <c r="V17" s="30" t="s">
        <v>64</v>
      </c>
      <c r="W17" s="15" t="s">
        <v>59</v>
      </c>
      <c r="X17" s="31">
        <v>45571</v>
      </c>
      <c r="Y17" s="24">
        <v>45622</v>
      </c>
      <c r="Z17" s="33" t="s">
        <v>65</v>
      </c>
      <c r="AA17" s="35" t="s">
        <v>66</v>
      </c>
      <c r="AB17" s="37" t="s">
        <v>85</v>
      </c>
      <c r="AC17" s="38" t="s">
        <v>67</v>
      </c>
      <c r="AD17" s="37" t="s">
        <v>68</v>
      </c>
      <c r="AE17" s="42">
        <v>108</v>
      </c>
      <c r="AF17" s="44" t="s">
        <v>69</v>
      </c>
      <c r="AG17" s="41" t="s">
        <v>72</v>
      </c>
      <c r="AH17" s="46">
        <v>25</v>
      </c>
      <c r="AI17" s="37" t="s">
        <v>70</v>
      </c>
      <c r="AJ17" s="37" t="s">
        <v>71</v>
      </c>
      <c r="AK17" s="47" t="s">
        <v>72</v>
      </c>
      <c r="AL17" s="15" t="s">
        <v>73</v>
      </c>
      <c r="AM17" s="15" t="s">
        <v>74</v>
      </c>
      <c r="AN17" s="37" t="s">
        <v>75</v>
      </c>
      <c r="AO17" s="49" t="s">
        <v>160</v>
      </c>
      <c r="AP17" s="15" t="s">
        <v>182</v>
      </c>
      <c r="AQ17" s="15" t="s">
        <v>55</v>
      </c>
      <c r="AR17" s="15" t="s">
        <v>76</v>
      </c>
      <c r="AS17" s="42">
        <v>8976652307</v>
      </c>
      <c r="AT17" s="37" t="s">
        <v>77</v>
      </c>
      <c r="AU17" s="53" t="s">
        <v>183</v>
      </c>
      <c r="AV17" s="15" t="s">
        <v>55</v>
      </c>
      <c r="AW17" t="s">
        <v>78</v>
      </c>
      <c r="AX17" s="15" t="s">
        <v>55</v>
      </c>
      <c r="AY17" s="15" t="s">
        <v>79</v>
      </c>
      <c r="AZ17" s="10">
        <v>54057</v>
      </c>
      <c r="BA17" t="s">
        <v>60</v>
      </c>
      <c r="BB17" t="s">
        <v>80</v>
      </c>
      <c r="BC17" t="s">
        <v>81</v>
      </c>
      <c r="BD17" t="s">
        <v>82</v>
      </c>
    </row>
    <row r="18" spans="1:56" ht="14.5" customHeight="1" x14ac:dyDescent="0.35">
      <c r="AR18" s="9"/>
    </row>
  </sheetData>
  <dataValidations count="6">
    <dataValidation type="list" allowBlank="1" showInputMessage="1" showErrorMessage="1" sqref="K9:K10 Z9:Z10 W9:W10 T9:T10" xr:uid="{E0CA044A-20F0-47A8-BEDB-8A0782E75AAB}">
      <formula1>INDIRECT($E2)</formula1>
    </dataValidation>
    <dataValidation type="list" allowBlank="1" showInputMessage="1" showErrorMessage="1" sqref="K2 Z2 W2 T2" xr:uid="{4CE572F2-77F6-4E03-B165-43E826E78C83}">
      <formula1>INDIRECT($E2)</formula1>
    </dataValidation>
    <dataValidation type="list" allowBlank="1" showInputMessage="1" showErrorMessage="1" sqref="K4:K7 Z4:Z7 W4:W7 T4:T7" xr:uid="{3608A2CB-A571-44D3-97DB-5DAFC610E5B3}">
      <formula1>INDIRECT($E2)</formula1>
    </dataValidation>
    <dataValidation type="list" allowBlank="1" showInputMessage="1" showErrorMessage="1" sqref="K15:K16 Z15:Z16 W15:W16 T15:T16" xr:uid="{BA353A6B-0664-4A52-90DE-456B46589C0A}">
      <formula1>INDIRECT($E2)</formula1>
    </dataValidation>
    <dataValidation type="list" allowBlank="1" showInputMessage="1" showErrorMessage="1" sqref="K12:K13 Z12:Z13 W12:W13 T12:T13" xr:uid="{1B7991BD-6F85-4884-8AA0-E9D316FE48D5}">
      <formula1>INDIRECT($E2)</formula1>
    </dataValidation>
    <dataValidation type="list" allowBlank="1" showInputMessage="1" showErrorMessage="1" sqref="K10 Z10 W10 T10" xr:uid="{0A36FE8B-626B-4089-A5C1-1F270B7D959C}">
      <formula1>INDIRECT($E2)</formula1>
    </dataValidation>
  </dataValidations>
  <hyperlinks>
    <hyperlink ref="V2" r:id="rId1" xr:uid="{2754E98A-1DBF-4E7C-9155-5F4A4A729F42}"/>
    <hyperlink ref="V3" r:id="rId2" xr:uid="{F6BCFE0F-8B0F-4E12-8F50-8054000E229D}"/>
    <hyperlink ref="V4" r:id="rId3" xr:uid="{FFECD41D-39BC-43E0-85FC-BC4854972CA4}"/>
    <hyperlink ref="V5" r:id="rId4" xr:uid="{04DF6FA1-0B65-403B-9987-00E8AC10E642}"/>
    <hyperlink ref="V6" r:id="rId5" xr:uid="{57A39FA3-E2A5-4BD1-B150-2ACACA20D698}"/>
    <hyperlink ref="V7" r:id="rId6" xr:uid="{F383D969-66E0-477E-908B-4DB217B9725D}"/>
    <hyperlink ref="V8" r:id="rId7" xr:uid="{7DEA47B2-4D8C-475C-BA49-7B2A948F39C5}"/>
    <hyperlink ref="V9" r:id="rId8" xr:uid="{17684522-8054-4F0E-B62A-2B5BC1C78AA0}"/>
    <hyperlink ref="V10" r:id="rId9" xr:uid="{D6601A75-7AA0-4BE8-B382-A26A5B0E19D2}"/>
    <hyperlink ref="V11" r:id="rId10" xr:uid="{8D966021-C4CC-4DC3-B120-D52C279F1AEA}"/>
    <hyperlink ref="V12" r:id="rId11" xr:uid="{EDDBC651-6D66-4730-8AF1-F3AF0B572B98}"/>
    <hyperlink ref="V13" r:id="rId12" xr:uid="{154EC1DF-D643-4E8A-BFF1-C396B12185F5}"/>
    <hyperlink ref="V14" r:id="rId13" xr:uid="{C1C782C1-930D-4337-94D3-794220E9F6CC}"/>
    <hyperlink ref="V15" r:id="rId14" xr:uid="{4A5D0C26-D7A4-4E8D-93D4-D0A9A59D28AD}"/>
    <hyperlink ref="V16" r:id="rId15" xr:uid="{850303DE-22A0-4A91-B8C6-911D2ED004C9}"/>
    <hyperlink ref="V17" r:id="rId16" xr:uid="{7DFFD27C-36F3-4690-AAAD-811CA1567429}"/>
  </hyperlinks>
  <pageMargins left="0.7" right="0.7" top="0.75" bottom="0.75" header="0.3" footer="0.3"/>
  <pageSetup orientation="portrait" useFirstPageNumber="1" horizontalDpi="4294967295" verticalDpi="4294967295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2024-11-11T15:13:49Z</dcterms:modified>
</cp:coreProperties>
</file>