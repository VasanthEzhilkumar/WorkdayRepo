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0D3A3494-7F78-48D1-88AD-14E0B09F39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T3" i="1" s="1"/>
  <c r="L3" i="1"/>
  <c r="W3" i="1" s="1"/>
  <c r="AT2" i="1"/>
  <c r="L2" i="1"/>
  <c r="W2" i="1" s="1"/>
</calcChain>
</file>

<file path=xl/sharedStrings.xml><?xml version="1.0" encoding="utf-8"?>
<sst xmlns="http://schemas.openxmlformats.org/spreadsheetml/2006/main" count="207" uniqueCount="129">
  <si>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</si>
  <si>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</si>
  <si>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</si>
  <si>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</si>
  <si>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</si>
  <si>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</si>
  <si>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</si>
  <si>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</si>
  <si>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</si>
  <si>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</si>
  <si>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</si>
  <si>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</si>
  <si>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</si>
  <si>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</si>
  <si>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</si>
  <si>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</si>
  <si>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</si>
  <si>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</si>
  <si>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</si>
  <si>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</si>
  <si>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</si>
  <si>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</si>
  <si>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</si>
  <si>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</si>
  <si>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</si>
  <si>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</si>
  <si>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</si>
  <si>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</si>
  <si>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</si>
  <si>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</si>
  <si>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</si>
  <si>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</si>
  <si>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</si>
  <si>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</si>
  <si>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EmployeeID_1</t>
  </si>
  <si>
    <t>EmployeeID_2</t>
  </si>
  <si>
    <t>Country1</t>
  </si>
  <si>
    <t>NationalIDType1</t>
  </si>
  <si>
    <t>AddEditID1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</si>
  <si>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</si>
  <si>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</si>
  <si>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</si>
  <si>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</si>
  <si>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</si>
  <si>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</si>
  <si>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</si>
  <si>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</si>
  <si>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</si>
  <si>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</si>
  <si>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</si>
  <si>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</si>
  <si>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</si>
  <si>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</si>
  <si>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</si>
  <si>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</si>
  <si>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</si>
  <si>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</si>
  <si>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</si>
  <si>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</si>
  <si>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Relationship</t>
  </si>
  <si>
    <t>PreferredLanguage</t>
  </si>
  <si>
    <t>Address</t>
  </si>
  <si>
    <t>PartnerRevenue</t>
  </si>
  <si>
    <t>ProposedPayGroup</t>
  </si>
  <si>
    <t>HourlyRegime</t>
  </si>
  <si>
    <t>Test3</t>
  </si>
  <si>
    <t>751 Retail Team 1 (Rykec Puvyjo (10528834) (Inherited))</t>
  </si>
  <si>
    <t>Belgium</t>
  </si>
  <si>
    <t>Mr</t>
  </si>
  <si>
    <t>BelgiumOne</t>
  </si>
  <si>
    <t>GlobalRegEightNov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</si>
  <si>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</si>
  <si>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</si>
  <si>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</si>
  <si>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</si>
  <si>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</si>
  <si>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</si>
  <si>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</si>
  <si>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</si>
  <si>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</si>
  <si>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</si>
  <si>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</si>
  <si>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</si>
  <si>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</si>
  <si>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</si>
  <si>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</si>
  <si>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</si>
  <si>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</si>
  <si>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</si>
  <si>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</si>
  <si>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</si>
  <si>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</si>
  <si>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</si>
  <si>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</si>
  <si>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</si>
  <si>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</si>
  <si>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</si>
  <si>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</si>
  <si>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</si>
  <si>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</si>
  <si>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</si>
  <si>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</si>
  <si>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</si>
  <si>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</si>
  <si>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</si>
  <si>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</si>
  <si>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Ellen</t>
  </si>
  <si>
    <t>Kemmer</t>
  </si>
  <si>
    <t>Father</t>
  </si>
  <si>
    <t>English</t>
  </si>
  <si>
    <t>1000</t>
  </si>
  <si>
    <t>Independent spouse</t>
  </si>
  <si>
    <t>BE Monthly</t>
  </si>
  <si>
    <t>Variable | 35 | A35</t>
  </si>
  <si>
    <t>Test4</t>
  </si>
  <si>
    <t>751 Store Management (Rykec Puvyjo (10528834))</t>
  </si>
  <si>
    <t>Mme</t>
  </si>
  <si>
    <t>BelgiumTwo</t>
  </si>
  <si>
    <t>Auto 09112024 115659</t>
  </si>
  <si>
    <t>Fixed Term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</si>
  <si>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</si>
  <si>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</si>
  <si>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</si>
  <si>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</si>
  <si>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</si>
  <si>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</si>
  <si>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</si>
  <si>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</si>
  <si>
    <t>ContractReason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</si>
</sst>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7" xfId="0" applyBorder="1"/>
    <xf numFmtId="0" fontId="3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49" fontId="0" fillId="0" borderId="1" xfId="0" applyNumberFormat="1" applyBorder="1" applyAlignment="1" applyProtection="1">
      <alignment horizontal="left"/>
      <protection locked="0"/>
    </xf>
    <xf numFmtId="0" fontId="6" fillId="0" borderId="0" xfId="0" applyFont="1"/>
    <xf numFmtId="49" fontId="2" fillId="0" borderId="3" xfId="0" applyNumberFormat="1" applyFont="1" applyBorder="1" applyAlignment="1" applyProtection="1">
      <alignment horizontal="left" wrapText="1"/>
      <protection locked="0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"/>
  <sheetViews>
    <sheetView tabSelected="1" topLeftCell="AK1" zoomScaleNormal="100" workbookViewId="0">
      <selection activeCell="AQ7" sqref="AQ7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9" width="12.90625" style="1" customWidth="1"/>
    <col min="40" max="40" width="8.453125" style="1" customWidth="1"/>
    <col min="41" max="41" width="22.453125" style="1" customWidth="1"/>
    <col min="42" max="42" width="11.81640625" style="1" customWidth="1"/>
    <col min="43" max="43" width="18.1796875" style="1" customWidth="1"/>
    <col min="44" max="44" width="17.7265625" style="1" customWidth="1"/>
    <col min="45" max="45" width="5.90625" style="1" customWidth="1"/>
    <col min="46" max="46" width="15.08984375" style="1" customWidth="1"/>
    <col min="47" max="47" width="7" style="1" customWidth="1"/>
    <col min="48" max="48" width="10.7265625" style="1" customWidth="1"/>
    <col min="49" max="49" width="13.54296875" style="1" customWidth="1"/>
    <col min="50" max="50" width="20.26953125" style="1" customWidth="1"/>
    <col min="51" max="51" width="9.90625" style="1" customWidth="1"/>
    <col min="52" max="52" width="11.90625" style="1" customWidth="1"/>
    <col min="53" max="53" width="15.90625" style="1" customWidth="1"/>
    <col min="54" max="54" width="15" style="1" customWidth="1"/>
    <col min="55" max="55" width="16.36328125" style="2" customWidth="1"/>
    <col min="56" max="56" width="53.6328125" style="2" customWidth="1"/>
    <col min="57" max="57" width="23.7265625" style="2" customWidth="1"/>
    <col min="58" max="58" width="9" style="1" customWidth="1"/>
    <col min="59" max="59" width="30.08984375" style="1" customWidth="1"/>
    <col min="60" max="60" width="20.36328125" style="1" customWidth="1"/>
    <col min="61" max="61" width="14.453125" style="1" customWidth="1"/>
    <col min="62" max="62" width="17.08984375" style="1" customWidth="1"/>
    <col min="63" max="63" width="11.54296875" style="1" customWidth="1"/>
    <col min="64" max="64" width="5.54296875" style="1" customWidth="1"/>
    <col min="65" max="65" width="15.453125" style="1" customWidth="1"/>
    <col min="66" max="67" width="11.08984375" style="1" customWidth="1"/>
    <col min="68" max="68" width="16.6328125" style="1" customWidth="1"/>
    <col min="69" max="69" width="21.7265625" style="1" customWidth="1"/>
    <col min="70" max="70" width="13" style="1" customWidth="1"/>
    <col min="71" max="71" width="10.08984375" style="1" customWidth="1"/>
    <col min="72" max="72" width="7.6328125" style="1" customWidth="1"/>
    <col min="73" max="73" width="20.26953125" style="1" customWidth="1"/>
    <col min="74" max="74" width="5.81640625" style="1" customWidth="1"/>
    <col min="75" max="75" width="18.7265625" style="1" customWidth="1"/>
    <col min="76" max="76" width="5.81640625" style="1" customWidth="1"/>
    <col min="77" max="77" width="18.08984375" style="1" customWidth="1"/>
    <col min="78" max="78" width="17.08984375" style="1" customWidth="1"/>
    <col min="79" max="79" width="16.542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spans="1:86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10" t="s">
        <v>38</v>
      </c>
      <c r="AQ1" s="4" t="s">
        <v>128</v>
      </c>
      <c r="AR1" s="4" t="s">
        <v>39</v>
      </c>
      <c r="AS1" s="4" t="s">
        <v>40</v>
      </c>
      <c r="AT1" s="9" t="s">
        <v>41</v>
      </c>
      <c r="AU1" s="4" t="s">
        <v>42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4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4" t="s">
        <v>5</v>
      </c>
      <c r="BM1" s="4" t="s">
        <v>6</v>
      </c>
      <c r="BN1" s="4" t="s">
        <v>7</v>
      </c>
      <c r="BO1" s="4" t="s">
        <v>59</v>
      </c>
      <c r="BP1" s="4" t="s">
        <v>60</v>
      </c>
      <c r="BQ1" s="4" t="s">
        <v>12</v>
      </c>
      <c r="BR1" s="4" t="s">
        <v>13</v>
      </c>
      <c r="BS1" s="4" t="s">
        <v>14</v>
      </c>
      <c r="BT1" s="4" t="s">
        <v>15</v>
      </c>
      <c r="BU1" s="4" t="s">
        <v>16</v>
      </c>
      <c r="BV1" s="4" t="s">
        <v>10</v>
      </c>
      <c r="BW1" s="4" t="s">
        <v>61</v>
      </c>
      <c r="BX1" s="4" t="s">
        <v>10</v>
      </c>
      <c r="BY1" s="4" t="s">
        <v>62</v>
      </c>
      <c r="BZ1" s="4" t="s">
        <v>63</v>
      </c>
      <c r="CA1" s="11" t="s">
        <v>64</v>
      </c>
      <c r="CB1" s="12"/>
      <c r="CC1" s="12"/>
      <c r="CD1" s="12"/>
      <c r="CE1" s="12"/>
      <c r="CF1" s="12"/>
      <c r="CG1" s="12"/>
      <c r="CH1" s="13"/>
    </row>
    <row r="2" spans="1:86" ht="15.65" customHeight="1" x14ac:dyDescent="0.35">
      <c r="A2" s="1" t="s">
        <v>65</v>
      </c>
      <c r="B2" s="14"/>
      <c r="D2" s="15" t="s">
        <v>66</v>
      </c>
      <c r="E2" s="16" t="s">
        <v>67</v>
      </c>
      <c r="F2" s="17" t="s">
        <v>68</v>
      </c>
      <c r="G2" s="18" t="s">
        <v>69</v>
      </c>
      <c r="H2" s="19" t="s">
        <v>70</v>
      </c>
      <c r="I2" s="20">
        <v>25041111</v>
      </c>
      <c r="J2" s="20" t="s">
        <v>71</v>
      </c>
      <c r="K2" s="20" t="s">
        <v>72</v>
      </c>
      <c r="L2" s="21">
        <f ca="1">TODAY()-31</f>
        <v>45682</v>
      </c>
      <c r="M2" s="16" t="s">
        <v>67</v>
      </c>
      <c r="N2" s="22" t="s">
        <v>73</v>
      </c>
      <c r="O2" s="20">
        <v>38</v>
      </c>
      <c r="P2" s="20">
        <v>1000</v>
      </c>
      <c r="Q2" s="20" t="s">
        <v>74</v>
      </c>
      <c r="R2" s="20" t="s">
        <v>75</v>
      </c>
      <c r="S2" s="20" t="s">
        <v>72</v>
      </c>
      <c r="T2" s="23" t="s">
        <v>76</v>
      </c>
      <c r="U2" s="24" t="s">
        <v>77</v>
      </c>
      <c r="V2" s="20" t="s">
        <v>72</v>
      </c>
      <c r="W2" s="25">
        <f ca="1">L2</f>
        <v>45682</v>
      </c>
      <c r="X2" s="20" t="s">
        <v>78</v>
      </c>
      <c r="Y2" s="26" t="s">
        <v>79</v>
      </c>
      <c r="Z2" t="s">
        <v>80</v>
      </c>
      <c r="AA2" s="27" t="s">
        <v>81</v>
      </c>
      <c r="AB2" t="s">
        <v>82</v>
      </c>
      <c r="AC2" s="1" t="s">
        <v>83</v>
      </c>
      <c r="AD2" s="1" t="s">
        <v>53</v>
      </c>
      <c r="AE2" s="28">
        <v>35</v>
      </c>
      <c r="AF2" s="16" t="s">
        <v>84</v>
      </c>
      <c r="AG2" t="s">
        <v>85</v>
      </c>
      <c r="AH2" s="21" t="s">
        <v>86</v>
      </c>
      <c r="AI2" s="20" t="s">
        <v>87</v>
      </c>
      <c r="AJ2" s="20" t="s">
        <v>88</v>
      </c>
      <c r="AK2" t="s">
        <v>89</v>
      </c>
      <c r="AL2" s="20">
        <v>10527565</v>
      </c>
      <c r="AM2" s="20">
        <v>10527565</v>
      </c>
      <c r="AN2" s="29" t="s">
        <v>67</v>
      </c>
      <c r="AO2" s="29" t="s">
        <v>90</v>
      </c>
      <c r="AP2" s="30">
        <v>70082825191</v>
      </c>
      <c r="AQ2" s="16" t="s">
        <v>91</v>
      </c>
      <c r="AR2" s="22" t="s">
        <v>92</v>
      </c>
      <c r="AS2" s="22" t="s">
        <v>93</v>
      </c>
      <c r="AT2" s="21" t="str">
        <f>AH2</f>
        <v>N/A</v>
      </c>
      <c r="AU2" t="s">
        <v>94</v>
      </c>
      <c r="AV2" s="31">
        <v>35591</v>
      </c>
      <c r="AW2" s="32" t="s">
        <v>67</v>
      </c>
      <c r="AX2" s="29" t="s">
        <v>75</v>
      </c>
      <c r="AY2" s="32" t="s">
        <v>74</v>
      </c>
      <c r="AZ2" s="32" t="s">
        <v>95</v>
      </c>
      <c r="BA2" s="33" t="s">
        <v>96</v>
      </c>
      <c r="BB2" s="32" t="s">
        <v>97</v>
      </c>
      <c r="BC2" s="32" t="s">
        <v>67</v>
      </c>
      <c r="BD2" t="s">
        <v>98</v>
      </c>
      <c r="BE2" t="s">
        <v>99</v>
      </c>
      <c r="BF2" s="16" t="s">
        <v>100</v>
      </c>
      <c r="BG2" s="29" t="s">
        <v>101</v>
      </c>
      <c r="BH2" s="34" t="s">
        <v>102</v>
      </c>
      <c r="BI2" s="29" t="s">
        <v>103</v>
      </c>
      <c r="BJ2" s="29" t="s">
        <v>104</v>
      </c>
      <c r="BK2" s="29" t="s">
        <v>105</v>
      </c>
      <c r="BL2" s="32" t="s">
        <v>68</v>
      </c>
      <c r="BM2" s="32" t="s">
        <v>106</v>
      </c>
      <c r="BN2" s="32" t="s">
        <v>107</v>
      </c>
      <c r="BO2" s="32" t="s">
        <v>108</v>
      </c>
      <c r="BP2" s="32" t="s">
        <v>109</v>
      </c>
      <c r="BQ2" s="35" t="s">
        <v>73</v>
      </c>
      <c r="BR2" s="35">
        <v>38</v>
      </c>
      <c r="BS2" s="20" t="s">
        <v>110</v>
      </c>
      <c r="BT2" s="32" t="s">
        <v>74</v>
      </c>
      <c r="BU2" s="32" t="s">
        <v>75</v>
      </c>
      <c r="BV2" s="32" t="s">
        <v>72</v>
      </c>
      <c r="BW2" s="32" t="s">
        <v>77</v>
      </c>
      <c r="BX2" s="32" t="s">
        <v>72</v>
      </c>
      <c r="BY2" s="32" t="s">
        <v>111</v>
      </c>
      <c r="BZ2" s="20" t="s">
        <v>112</v>
      </c>
      <c r="CA2" s="36" t="s">
        <v>113</v>
      </c>
      <c r="CB2" s="37"/>
      <c r="CC2" s="37"/>
      <c r="CD2" s="37"/>
      <c r="CE2" s="37"/>
      <c r="CF2" s="37"/>
      <c r="CG2" s="37"/>
      <c r="CH2" s="37"/>
    </row>
    <row r="3" spans="1:86" ht="15.65" customHeight="1" x14ac:dyDescent="0.35">
      <c r="A3" s="1" t="s">
        <v>114</v>
      </c>
      <c r="D3" s="15" t="s">
        <v>115</v>
      </c>
      <c r="E3" s="16" t="s">
        <v>67</v>
      </c>
      <c r="F3" s="17" t="s">
        <v>116</v>
      </c>
      <c r="G3" s="18" t="s">
        <v>117</v>
      </c>
      <c r="H3" s="19" t="s">
        <v>70</v>
      </c>
      <c r="I3" s="20">
        <v>25041111</v>
      </c>
      <c r="J3" s="20" t="s">
        <v>71</v>
      </c>
      <c r="K3" s="20" t="s">
        <v>72</v>
      </c>
      <c r="L3" s="21">
        <f ca="1">TODAY()-31</f>
        <v>45682</v>
      </c>
      <c r="M3" s="16" t="s">
        <v>67</v>
      </c>
      <c r="N3" s="22" t="s">
        <v>73</v>
      </c>
      <c r="O3" s="20">
        <v>38</v>
      </c>
      <c r="P3" s="20">
        <v>1000</v>
      </c>
      <c r="Q3" s="20" t="s">
        <v>74</v>
      </c>
      <c r="R3" s="20" t="s">
        <v>75</v>
      </c>
      <c r="S3" s="20" t="s">
        <v>72</v>
      </c>
      <c r="T3" s="23" t="s">
        <v>76</v>
      </c>
      <c r="U3" s="24" t="s">
        <v>77</v>
      </c>
      <c r="V3" s="20" t="s">
        <v>72</v>
      </c>
      <c r="W3" s="25">
        <f ca="1">L3</f>
        <v>45682</v>
      </c>
      <c r="X3" s="20" t="s">
        <v>78</v>
      </c>
      <c r="Y3" s="26" t="s">
        <v>118</v>
      </c>
      <c r="Z3" t="s">
        <v>119</v>
      </c>
      <c r="AA3" s="27" t="s">
        <v>120</v>
      </c>
      <c r="AB3" t="s">
        <v>82</v>
      </c>
      <c r="AC3" s="1" t="s">
        <v>83</v>
      </c>
      <c r="AD3" s="1" t="s">
        <v>53</v>
      </c>
      <c r="AE3" s="28">
        <v>35</v>
      </c>
      <c r="AF3" s="16" t="s">
        <v>121</v>
      </c>
      <c r="AG3" t="s">
        <v>85</v>
      </c>
      <c r="AH3" s="21">
        <f ca="1">TODAY()+365</f>
        <v>46078</v>
      </c>
      <c r="AI3" s="20" t="s">
        <v>87</v>
      </c>
      <c r="AJ3" s="20" t="s">
        <v>122</v>
      </c>
      <c r="AK3" s="1">
        <v>251</v>
      </c>
      <c r="AL3" s="20">
        <v>10527565</v>
      </c>
      <c r="AM3" s="20">
        <v>8708905</v>
      </c>
      <c r="AN3" s="29" t="s">
        <v>67</v>
      </c>
      <c r="AO3" s="29" t="s">
        <v>90</v>
      </c>
      <c r="AP3" s="30">
        <v>70082825192</v>
      </c>
      <c r="AQ3" s="16" t="s">
        <v>91</v>
      </c>
      <c r="AR3" s="22" t="s">
        <v>119</v>
      </c>
      <c r="AS3" s="22" t="s">
        <v>93</v>
      </c>
      <c r="AT3" s="21">
        <f ca="1">AH3</f>
        <v>46078</v>
      </c>
      <c r="AU3" t="s">
        <v>123</v>
      </c>
      <c r="AV3" s="31">
        <v>35591</v>
      </c>
      <c r="AW3" s="32" t="s">
        <v>67</v>
      </c>
      <c r="AX3" s="29" t="s">
        <v>75</v>
      </c>
      <c r="AY3" s="32" t="s">
        <v>74</v>
      </c>
      <c r="AZ3" s="32" t="s">
        <v>95</v>
      </c>
      <c r="BA3" s="33" t="s">
        <v>96</v>
      </c>
      <c r="BB3" s="32" t="s">
        <v>97</v>
      </c>
      <c r="BC3" s="32" t="s">
        <v>67</v>
      </c>
      <c r="BD3" s="38" t="s">
        <v>124</v>
      </c>
      <c r="BE3" t="s">
        <v>125</v>
      </c>
      <c r="BF3" s="16" t="s">
        <v>100</v>
      </c>
      <c r="BG3" s="29" t="s">
        <v>101</v>
      </c>
      <c r="BH3" s="34" t="s">
        <v>102</v>
      </c>
      <c r="BI3" s="29" t="s">
        <v>103</v>
      </c>
      <c r="BJ3" s="29" t="s">
        <v>104</v>
      </c>
      <c r="BK3" s="29" t="s">
        <v>105</v>
      </c>
      <c r="BL3" s="32" t="s">
        <v>68</v>
      </c>
      <c r="BM3" s="32" t="s">
        <v>126</v>
      </c>
      <c r="BN3" s="32" t="s">
        <v>127</v>
      </c>
      <c r="BO3" s="32" t="s">
        <v>108</v>
      </c>
      <c r="BP3" s="32" t="s">
        <v>109</v>
      </c>
      <c r="BQ3" s="35" t="s">
        <v>73</v>
      </c>
      <c r="BR3" s="35">
        <v>38</v>
      </c>
      <c r="BS3" s="20" t="s">
        <v>110</v>
      </c>
      <c r="BT3" s="32" t="s">
        <v>74</v>
      </c>
      <c r="BU3" s="32" t="s">
        <v>75</v>
      </c>
      <c r="BV3" s="32" t="s">
        <v>72</v>
      </c>
      <c r="BW3" s="32" t="s">
        <v>77</v>
      </c>
      <c r="BX3" s="32" t="s">
        <v>72</v>
      </c>
      <c r="BY3" s="32" t="s">
        <v>111</v>
      </c>
      <c r="BZ3" s="20" t="s">
        <v>112</v>
      </c>
      <c r="CA3" s="36" t="s">
        <v>113</v>
      </c>
      <c r="CB3" s="37"/>
      <c r="CC3" s="37"/>
      <c r="CD3" s="37"/>
      <c r="CE3" s="37"/>
      <c r="CF3" s="37"/>
      <c r="CG3" s="37"/>
      <c r="CH3" s="37"/>
    </row>
  </sheetData>
  <dataValidations count="2">
    <dataValidation type="list" allowBlank="1" showInputMessage="1" showErrorMessage="1" sqref="AS2:AS3 X2:X3 V2:V3 S2:S3 K2:K3 BK2:BK3 AZ2:AZ3" xr:uid="{00000000-0002-0000-0000-000000000000}">
      <formula1>INDIRECT($E2)</formula1>
    </dataValidation>
    <dataValidation type="list" allowBlank="1" showInputMessage="1" showErrorMessage="1" sqref="CB2:CB3" xr:uid="{00000000-0002-0000-0000-000003000000}">
      <formula1>INDIRECT($H2)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2025-02-25T12:48:28Z</dcterms:modified>
</cp:coreProperties>
</file>