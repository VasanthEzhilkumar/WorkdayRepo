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6FEB7C9E-C9BF-410E-AC20-514EC5C73C6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AG3" i="1" s="1"/>
  <c r="AC3" i="1" s="1"/>
  <c r="L2" i="1"/>
  <c r="AG2" i="1" s="1"/>
  <c r="AC2" i="1" s="1"/>
  <c r="AB2" i="1" l="1"/>
  <c r="AB3" i="1"/>
</calcChain>
</file>

<file path=xl/sharedStrings.xml><?xml version="1.0" encoding="utf-8"?>
<sst xmlns="http://schemas.openxmlformats.org/spreadsheetml/2006/main" count="180" uniqueCount="120">
  <si>
    <t>TestCaseIDs</t>
  </si>
  <si>
    <t>EmployeeID</t>
  </si>
  <si>
    <t>TestStatus</t>
  </si>
  <si>
    <t>SupervisoryOrganisation</t>
  </si>
  <si>
    <t>Prefix</t>
  </si>
  <si>
    <t>GivenName</t>
  </si>
  <si>
    <t>Initials</t>
  </si>
  <si>
    <t>FamilyName</t>
  </si>
  <si>
    <t>PhoneNumber</t>
  </si>
  <si>
    <t>PhoneDevice</t>
  </si>
  <si>
    <t>Type</t>
  </si>
  <si>
    <t>EffectiveDate</t>
  </si>
  <si>
    <t>Country</t>
  </si>
  <si>
    <t>Province</t>
  </si>
  <si>
    <t>StreetName</t>
  </si>
  <si>
    <t>HouseNumber</t>
  </si>
  <si>
    <t>PostalCode</t>
  </si>
  <si>
    <t>City</t>
  </si>
  <si>
    <t>UseFor</t>
  </si>
  <si>
    <t>EmailAddress</t>
  </si>
  <si>
    <t>PayrollTaxDeduction</t>
  </si>
  <si>
    <t>WWAansturing</t>
  </si>
  <si>
    <t>ContractReason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</si>
  <si>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</si>
  <si>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</si>
  <si>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</si>
  <si>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</si>
  <si>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</si>
  <si>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</si>
  <si>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</si>
  <si>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</si>
  <si>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</si>
  <si>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</si>
  <si>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</si>
  <si>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</si>
  <si>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</si>
  <si>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</si>
  <si>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</si>
  <si>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</si>
  <si>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</si>
  <si>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</si>
  <si>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</si>
  <si>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</si>
  <si>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</si>
  <si>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</si>
  <si>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</si>
  <si>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</si>
  <si>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</si>
  <si>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</si>
  <si>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</si>
  <si>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</si>
  <si>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</si>
  <si>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</si>
  <si>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</si>
  <si>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PrimaryNationality</t>
  </si>
  <si>
    <t>CitizenshipStatus</t>
  </si>
  <si>
    <t>Salary</t>
  </si>
  <si>
    <t>BankName</t>
  </si>
  <si>
    <t>BankIdentificationCode</t>
  </si>
  <si>
    <t>IBAN</t>
  </si>
  <si>
    <t>AccountType</t>
  </si>
  <si>
    <t>ProposedPayGroupFinal</t>
  </si>
  <si>
    <t>DefaultWeeklyHours</t>
  </si>
  <si>
    <t>NameOnAccount</t>
  </si>
  <si>
    <t>701 Recruitment (Vulam Syhohu (8701689))</t>
  </si>
  <si>
    <t>Mevr</t>
  </si>
  <si>
    <t>Aubrey</t>
  </si>
  <si>
    <t>Test</t>
  </si>
  <si>
    <t>Waters</t>
  </si>
  <si>
    <t>071 025 8087</t>
  </si>
  <si>
    <t>Mobile</t>
  </si>
  <si>
    <t>Home</t>
  </si>
  <si>
    <t>Netherlands</t>
  </si>
  <si>
    <t>North Brabant</t>
  </si>
  <si>
    <t>Automation Street Name</t>
  </si>
  <si>
    <t>05</t>
  </si>
  <si>
    <t>1111AZ</t>
  </si>
  <si>
    <t>Street Address</t>
  </si>
  <si>
    <t>automation@qe.com</t>
  </si>
  <si>
    <t>No</t>
  </si>
  <si>
    <t>0 – Niet verzekerd</t>
  </si>
  <si>
    <t>Undefined contract end date (Undetermined)</t>
  </si>
  <si>
    <t>Part-time( PT )</t>
  </si>
  <si>
    <t>Active</t>
  </si>
  <si>
    <t>N/A</t>
  </si>
  <si>
    <t>Netherlands Retail Assistant</t>
  </si>
  <si>
    <t>Retail Assistant (23+)</t>
  </si>
  <si>
    <t>New Hire</t>
  </si>
  <si>
    <t>Permanent</t>
  </si>
  <si>
    <t>Retail Assistant</t>
  </si>
  <si>
    <t>Part time</t>
  </si>
  <si>
    <t>701 Hoofddorp</t>
  </si>
  <si>
    <t>Hourly</t>
  </si>
  <si>
    <t>5 Days (Netherlands)</t>
  </si>
  <si>
    <t>Automation Comments here….</t>
  </si>
  <si>
    <t>94 Retail Operative</t>
  </si>
  <si>
    <t>01 Accessories</t>
  </si>
  <si>
    <t>Personal Number (Burgerservicenr)</t>
  </si>
  <si>
    <t>Male</t>
  </si>
  <si>
    <t>06/10/1997</t>
  </si>
  <si>
    <t>Citizen (Netherlands)</t>
  </si>
  <si>
    <t>Defaulted</t>
  </si>
  <si>
    <t>BON</t>
  </si>
  <si>
    <t>BOFIIE2D</t>
  </si>
  <si>
    <t>NL02ABNA0123456789</t>
  </si>
  <si>
    <t>Checking</t>
  </si>
  <si>
    <t>NL 4-Weekly</t>
  </si>
  <si>
    <t>40</t>
  </si>
  <si>
    <t>10699525</t>
  </si>
  <si>
    <t>Passed</t>
  </si>
  <si>
    <t>701 Store Management (Vulam Syhohu (8701689))</t>
  </si>
  <si>
    <t>Federico</t>
  </si>
  <si>
    <t>Schroeder</t>
  </si>
  <si>
    <t>Full-time( FT. )</t>
  </si>
  <si>
    <t>New</t>
  </si>
  <si>
    <t>Auto 36795961</t>
  </si>
  <si>
    <t>Store Manager</t>
  </si>
  <si>
    <t>Full time</t>
  </si>
  <si>
    <t>92 Retail Management</t>
  </si>
  <si>
    <t>NL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</si>
</sst>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theme="1"/>
      <name val="Arial"/>
      <family val="2"/>
    </font>
    <font>
      <sz val="11"/>
      <color theme="9" tint="-0.249977111117893"/>
      <name val="Calibri"/>
      <family val="2"/>
      <scheme val="minor"/>
    </font>
    <font>
      <sz val="10"/>
      <color rgb="FF040C28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4A4A4A"/>
      <name val="Calibri"/>
      <family val="2"/>
      <scheme val="minor"/>
    </font>
    <font>
      <b/>
      <sz val="11"/>
      <color rgb="FF4A4A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4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Alignment="1">
      <alignment horizontal="left"/>
    </xf>
    <xf numFmtId="0" fontId="0" fillId="0" borderId="4" xfId="0" applyBorder="1" applyProtection="1">
      <protection locked="0"/>
    </xf>
    <xf numFmtId="0" fontId="5" fillId="0" borderId="0" xfId="0" applyFont="1"/>
    <xf numFmtId="14" fontId="0" fillId="0" borderId="4" xfId="0" applyNumberFormat="1" applyBorder="1" applyAlignment="1">
      <alignment horizontal="left"/>
    </xf>
    <xf numFmtId="0" fontId="6" fillId="0" borderId="4" xfId="0" applyFont="1" applyBorder="1" applyProtection="1">
      <protection locked="0"/>
    </xf>
    <xf numFmtId="0" fontId="7" fillId="0" borderId="4" xfId="0" applyFont="1" applyBorder="1" applyAlignment="1">
      <alignment horizontal="left"/>
    </xf>
    <xf numFmtId="0" fontId="8" fillId="0" borderId="4" xfId="0" applyFont="1" applyBorder="1"/>
    <xf numFmtId="0" fontId="7" fillId="0" borderId="4" xfId="0" applyFont="1" applyBorder="1" applyAlignment="1" applyProtection="1">
      <alignment horizontal="left"/>
      <protection locked="0"/>
    </xf>
    <xf numFmtId="14" fontId="0" fillId="0" borderId="7" xfId="0" applyNumberFormat="1" applyBorder="1" applyAlignment="1">
      <alignment horizontal="left"/>
    </xf>
    <xf numFmtId="14" fontId="2" fillId="0" borderId="4" xfId="0" applyNumberFormat="1" applyFont="1" applyBorder="1" applyAlignment="1">
      <alignment horizontal="left"/>
    </xf>
    <xf numFmtId="0" fontId="9" fillId="0" borderId="4" xfId="0" applyFont="1" applyBorder="1"/>
    <xf numFmtId="14" fontId="2" fillId="0" borderId="8" xfId="0" applyNumberFormat="1" applyFont="1" applyBorder="1" applyAlignment="1">
      <alignment horizontal="left"/>
    </xf>
    <xf numFmtId="0" fontId="0" fillId="0" borderId="4" xfId="0" applyBorder="1"/>
    <xf numFmtId="0" fontId="8" fillId="4" borderId="4" xfId="0" applyFont="1" applyFill="1" applyBorder="1"/>
    <xf numFmtId="0" fontId="0" fillId="0" borderId="4" xfId="0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/>
    </xf>
    <xf numFmtId="164" fontId="0" fillId="0" borderId="4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9" xfId="0" applyNumberFormat="1" applyBorder="1" applyAlignment="1" applyProtection="1">
      <alignment horizontal="left"/>
      <protection locked="0"/>
    </xf>
    <xf numFmtId="0" fontId="0" fillId="0" borderId="0" xfId="0" applyAlignment="1">
      <alignment vertical="top" wrapText="1"/>
    </xf>
    <xf numFmtId="164" fontId="0" fillId="0" borderId="0" xfId="0" applyNumberFormat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3"/>
  <sheetViews>
    <sheetView tabSelected="1" zoomScaleNormal="100" workbookViewId="0">
      <selection activeCell="C2" sqref="C2"/>
    </sheetView>
  </sheetViews>
  <sheetFormatPr defaultRowHeight="14.5" customHeight="1" x14ac:dyDescent="0.35"/>
  <cols>
    <col min="2" max="2" width="58.1796875" customWidth="1"/>
    <col min="4" max="4" width="59" customWidth="1"/>
    <col min="5" max="5" width="16" customWidth="1"/>
    <col min="6" max="6" width="20.08984375" customWidth="1"/>
    <col min="10" max="10" width="21.54296875" customWidth="1"/>
    <col min="12" max="12" width="32.54296875" customWidth="1"/>
    <col min="15" max="15" width="31.08984375" customWidth="1"/>
    <col min="16" max="16" width="36.81640625" customWidth="1"/>
    <col min="22" max="22" width="20.36328125" customWidth="1"/>
    <col min="23" max="23" width="18.1796875" customWidth="1"/>
    <col min="24" max="24" width="32.08984375" customWidth="1"/>
    <col min="25" max="25" width="46.26953125" customWidth="1"/>
    <col min="26" max="26" width="36.08984375" customWidth="1"/>
    <col min="28" max="28" width="28.7265625" customWidth="1"/>
    <col min="29" max="29" width="41.08984375" customWidth="1"/>
    <col min="30" max="30" width="29.81640625" customWidth="1"/>
    <col min="31" max="31" width="35.36328125" customWidth="1"/>
    <col min="32" max="32" width="21.453125" customWidth="1"/>
    <col min="33" max="33" width="31.6328125" customWidth="1"/>
    <col min="34" max="34" width="27.36328125" customWidth="1"/>
    <col min="36" max="36" width="40.6328125" customWidth="1"/>
    <col min="37" max="37" width="22.54296875" customWidth="1"/>
    <col min="38" max="38" width="32.7265625" customWidth="1"/>
    <col min="42" max="42" width="23.36328125" customWidth="1"/>
    <col min="43" max="43" width="41.6328125" customWidth="1"/>
    <col min="45" max="45" width="33.6328125" customWidth="1"/>
    <col min="47" max="47" width="38.453125" customWidth="1"/>
    <col min="51" max="51" width="45.7265625" customWidth="1"/>
    <col min="53" max="53" width="22.90625" customWidth="1"/>
    <col min="57" max="57" width="28" customWidth="1"/>
    <col min="58" max="58" width="23.453125" customWidth="1"/>
    <col min="59" max="59" width="32" customWidth="1"/>
    <col min="60" max="60" width="31.26953125" customWidth="1"/>
    <col min="61" max="61" width="28.81640625" customWidth="1"/>
    <col min="62" max="62" width="31.453125" customWidth="1"/>
    <col min="63" max="63" width="28.54296875" customWidth="1"/>
    <col min="64" max="64" width="45.81640625" customWidth="1"/>
    <col min="65" max="65" width="37.7265625" customWidth="1"/>
    <col min="66" max="66" width="39.6328125" customWidth="1"/>
  </cols>
  <sheetData>
    <row r="1" spans="1:66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10</v>
      </c>
      <c r="T1" s="2" t="s">
        <v>18</v>
      </c>
      <c r="U1" s="2" t="s">
        <v>19</v>
      </c>
      <c r="V1" s="2" t="s">
        <v>10</v>
      </c>
      <c r="W1" s="5" t="s">
        <v>20</v>
      </c>
      <c r="X1" s="5" t="s">
        <v>21</v>
      </c>
      <c r="Y1" s="2" t="s">
        <v>22</v>
      </c>
      <c r="Z1" s="2" t="s">
        <v>23</v>
      </c>
      <c r="AA1" s="2" t="s">
        <v>24</v>
      </c>
      <c r="AB1" s="5" t="s">
        <v>25</v>
      </c>
      <c r="AC1" s="6" t="s">
        <v>26</v>
      </c>
      <c r="AD1" s="7" t="s">
        <v>27</v>
      </c>
      <c r="AE1" s="8" t="s">
        <v>28</v>
      </c>
      <c r="AF1" s="8" t="s">
        <v>29</v>
      </c>
      <c r="AG1" s="9" t="s">
        <v>30</v>
      </c>
      <c r="AH1" s="2" t="s">
        <v>31</v>
      </c>
      <c r="AI1" s="2" t="s">
        <v>32</v>
      </c>
      <c r="AJ1" s="2" t="s">
        <v>33</v>
      </c>
      <c r="AK1" s="2" t="s">
        <v>34</v>
      </c>
      <c r="AL1" s="4" t="s">
        <v>35</v>
      </c>
      <c r="AM1" s="2" t="s">
        <v>36</v>
      </c>
      <c r="AN1" s="2" t="s">
        <v>37</v>
      </c>
      <c r="AO1" s="2" t="s">
        <v>38</v>
      </c>
      <c r="AP1" s="2" t="s">
        <v>39</v>
      </c>
      <c r="AQ1" s="2" t="s">
        <v>40</v>
      </c>
      <c r="AR1" s="2" t="s">
        <v>41</v>
      </c>
      <c r="AS1" s="10" t="s">
        <v>42</v>
      </c>
      <c r="AT1" s="2" t="s">
        <v>43</v>
      </c>
      <c r="AU1" s="2" t="s">
        <v>44</v>
      </c>
      <c r="AV1" s="2" t="s">
        <v>45</v>
      </c>
      <c r="AW1" s="2" t="s">
        <v>46</v>
      </c>
      <c r="AX1" s="2" t="s">
        <v>47</v>
      </c>
      <c r="AY1" s="4" t="s">
        <v>48</v>
      </c>
      <c r="AZ1" s="2" t="s">
        <v>49</v>
      </c>
      <c r="BA1" s="2" t="s">
        <v>50</v>
      </c>
      <c r="BB1" s="2" t="s">
        <v>51</v>
      </c>
      <c r="BC1" s="2" t="s">
        <v>52</v>
      </c>
      <c r="BD1" s="2" t="s">
        <v>53</v>
      </c>
      <c r="BE1" s="2" t="s">
        <v>54</v>
      </c>
      <c r="BF1" s="2" t="s">
        <v>55</v>
      </c>
      <c r="BG1" s="2" t="s">
        <v>56</v>
      </c>
      <c r="BH1" s="2" t="s">
        <v>57</v>
      </c>
      <c r="BI1" s="2" t="s">
        <v>58</v>
      </c>
      <c r="BJ1" s="2" t="s">
        <v>59</v>
      </c>
      <c r="BK1" s="2" t="s">
        <v>60</v>
      </c>
      <c r="BL1" s="2" t="s">
        <v>61</v>
      </c>
      <c r="BM1" s="11" t="s">
        <v>62</v>
      </c>
      <c r="BN1" s="12" t="s">
        <v>63</v>
      </c>
    </row>
    <row r="2" spans="1:66" ht="87.5" customHeight="1" x14ac:dyDescent="0.35">
      <c r="B2" s="13">
        <v>10699524</v>
      </c>
      <c r="C2" s="14" t="s">
        <v>109</v>
      </c>
      <c r="D2" s="15" t="s">
        <v>64</v>
      </c>
      <c r="E2" t="s">
        <v>65</v>
      </c>
      <c r="F2" s="16" t="s">
        <v>66</v>
      </c>
      <c r="G2" s="17" t="s">
        <v>67</v>
      </c>
      <c r="H2" s="16" t="s">
        <v>68</v>
      </c>
      <c r="I2" s="18" t="s">
        <v>69</v>
      </c>
      <c r="J2" s="18" t="s">
        <v>70</v>
      </c>
      <c r="K2" s="18" t="s">
        <v>71</v>
      </c>
      <c r="L2" s="19">
        <f t="shared" ref="L2:L3" ca="1" si="0">TODAY()-31</f>
        <v>45779</v>
      </c>
      <c r="M2" s="20" t="s">
        <v>72</v>
      </c>
      <c r="N2" t="s">
        <v>73</v>
      </c>
      <c r="O2" s="21" t="s">
        <v>74</v>
      </c>
      <c r="P2" s="18" t="s">
        <v>75</v>
      </c>
      <c r="Q2" s="22" t="s">
        <v>76</v>
      </c>
      <c r="R2" t="s">
        <v>73</v>
      </c>
      <c r="S2" s="18" t="s">
        <v>71</v>
      </c>
      <c r="T2" s="23" t="s">
        <v>77</v>
      </c>
      <c r="U2" s="24" t="s">
        <v>78</v>
      </c>
      <c r="V2" s="18" t="s">
        <v>71</v>
      </c>
      <c r="W2" t="s">
        <v>79</v>
      </c>
      <c r="X2" t="s">
        <v>80</v>
      </c>
      <c r="Y2" s="25" t="s">
        <v>81</v>
      </c>
      <c r="Z2" s="26" t="s">
        <v>82</v>
      </c>
      <c r="AA2" s="27" t="s">
        <v>83</v>
      </c>
      <c r="AB2" s="23">
        <f t="shared" ref="AB2:AB3" ca="1" si="1">AG2</f>
        <v>45779</v>
      </c>
      <c r="AC2" s="28">
        <f t="shared" ref="AC2:AC3" ca="1" si="2">AG2</f>
        <v>45779</v>
      </c>
      <c r="AD2" s="29" t="s">
        <v>84</v>
      </c>
      <c r="AE2" s="30" t="s">
        <v>85</v>
      </c>
      <c r="AF2" s="30" t="s">
        <v>86</v>
      </c>
      <c r="AG2" s="31">
        <f t="shared" ref="AG2:AG3" ca="1" si="3">L2</f>
        <v>45779</v>
      </c>
      <c r="AH2" s="23">
        <v>44986</v>
      </c>
      <c r="AI2" s="18" t="s">
        <v>87</v>
      </c>
      <c r="AJ2" s="18" t="s">
        <v>84</v>
      </c>
      <c r="AK2" s="32" t="s">
        <v>88</v>
      </c>
      <c r="AL2" s="33" t="s">
        <v>89</v>
      </c>
      <c r="AM2" s="32" t="s">
        <v>90</v>
      </c>
      <c r="AN2" s="20" t="s">
        <v>91</v>
      </c>
      <c r="AO2" s="20" t="s">
        <v>92</v>
      </c>
      <c r="AP2" s="34">
        <v>25</v>
      </c>
      <c r="AQ2" s="20" t="s">
        <v>84</v>
      </c>
      <c r="AR2" t="s">
        <v>93</v>
      </c>
      <c r="AS2" s="35" t="s">
        <v>84</v>
      </c>
      <c r="AT2" s="18" t="s">
        <v>94</v>
      </c>
      <c r="AU2" s="18" t="s">
        <v>95</v>
      </c>
      <c r="AV2" t="s">
        <v>96</v>
      </c>
      <c r="AW2" s="20" t="s">
        <v>72</v>
      </c>
      <c r="AX2" s="36" t="s">
        <v>97</v>
      </c>
      <c r="AY2" s="37">
        <v>100000027</v>
      </c>
      <c r="AZ2" t="s">
        <v>98</v>
      </c>
      <c r="BA2" s="38" t="s">
        <v>99</v>
      </c>
      <c r="BB2" s="20" t="s">
        <v>72</v>
      </c>
      <c r="BC2" t="s">
        <v>73</v>
      </c>
      <c r="BD2" t="s">
        <v>73</v>
      </c>
      <c r="BE2" s="20" t="s">
        <v>72</v>
      </c>
      <c r="BF2" t="s">
        <v>100</v>
      </c>
      <c r="BG2" s="20" t="s">
        <v>101</v>
      </c>
      <c r="BH2" s="36" t="s">
        <v>102</v>
      </c>
      <c r="BI2" s="36" t="s">
        <v>103</v>
      </c>
      <c r="BJ2" s="36" t="s">
        <v>104</v>
      </c>
      <c r="BK2" s="36" t="s">
        <v>105</v>
      </c>
      <c r="BL2" s="18" t="s">
        <v>106</v>
      </c>
      <c r="BM2" t="s">
        <v>107</v>
      </c>
      <c r="BN2" s="39" t="s">
        <v>67</v>
      </c>
    </row>
    <row r="3" spans="1:66" ht="14.5" customHeight="1" x14ac:dyDescent="0.35">
      <c r="B3" s="13" t="s">
        <v>108</v>
      </c>
      <c r="C3" s="14" t="s">
        <v>109</v>
      </c>
      <c r="D3" s="15" t="s">
        <v>110</v>
      </c>
      <c r="E3" t="s">
        <v>65</v>
      </c>
      <c r="F3" s="16" t="s">
        <v>111</v>
      </c>
      <c r="G3" s="17" t="s">
        <v>67</v>
      </c>
      <c r="H3" s="16" t="s">
        <v>112</v>
      </c>
      <c r="I3" s="18" t="s">
        <v>69</v>
      </c>
      <c r="J3" s="18" t="s">
        <v>70</v>
      </c>
      <c r="K3" s="18" t="s">
        <v>71</v>
      </c>
      <c r="L3" s="19">
        <f t="shared" ca="1" si="0"/>
        <v>45779</v>
      </c>
      <c r="M3" s="20" t="s">
        <v>72</v>
      </c>
      <c r="N3" t="s">
        <v>73</v>
      </c>
      <c r="O3" s="21" t="s">
        <v>74</v>
      </c>
      <c r="P3" s="18" t="s">
        <v>75</v>
      </c>
      <c r="Q3" s="22" t="s">
        <v>76</v>
      </c>
      <c r="R3" t="s">
        <v>73</v>
      </c>
      <c r="S3" s="18" t="s">
        <v>71</v>
      </c>
      <c r="T3" s="23" t="s">
        <v>77</v>
      </c>
      <c r="U3" s="24" t="s">
        <v>78</v>
      </c>
      <c r="V3" s="18" t="s">
        <v>71</v>
      </c>
      <c r="W3" t="s">
        <v>79</v>
      </c>
      <c r="X3" t="s">
        <v>80</v>
      </c>
      <c r="Y3" s="25" t="s">
        <v>81</v>
      </c>
      <c r="Z3" s="25" t="s">
        <v>113</v>
      </c>
      <c r="AA3" s="27" t="s">
        <v>83</v>
      </c>
      <c r="AB3" s="23">
        <f t="shared" ca="1" si="1"/>
        <v>45779</v>
      </c>
      <c r="AC3" s="28">
        <f t="shared" ca="1" si="2"/>
        <v>45779</v>
      </c>
      <c r="AD3" s="29" t="s">
        <v>84</v>
      </c>
      <c r="AE3" s="26" t="s">
        <v>84</v>
      </c>
      <c r="AF3" s="26" t="s">
        <v>84</v>
      </c>
      <c r="AG3" s="31">
        <f t="shared" ca="1" si="3"/>
        <v>45779</v>
      </c>
      <c r="AH3" s="26" t="s">
        <v>84</v>
      </c>
      <c r="AI3" s="18" t="s">
        <v>114</v>
      </c>
      <c r="AJ3" s="18" t="s">
        <v>115</v>
      </c>
      <c r="AK3" s="32" t="s">
        <v>88</v>
      </c>
      <c r="AL3" s="33" t="s">
        <v>116</v>
      </c>
      <c r="AM3" s="32" t="s">
        <v>117</v>
      </c>
      <c r="AN3" s="20" t="s">
        <v>91</v>
      </c>
      <c r="AO3" s="20" t="s">
        <v>56</v>
      </c>
      <c r="AP3" s="34">
        <v>40</v>
      </c>
      <c r="AQ3" s="20" t="s">
        <v>84</v>
      </c>
      <c r="AR3" t="s">
        <v>93</v>
      </c>
      <c r="AS3" s="35" t="s">
        <v>84</v>
      </c>
      <c r="AT3" s="18" t="s">
        <v>94</v>
      </c>
      <c r="AU3" s="18" t="s">
        <v>118</v>
      </c>
      <c r="AV3" s="37">
        <v>251</v>
      </c>
      <c r="AW3" s="20" t="s">
        <v>72</v>
      </c>
      <c r="AX3" s="36" t="s">
        <v>97</v>
      </c>
      <c r="AY3" s="37">
        <v>100000028</v>
      </c>
      <c r="AZ3" t="s">
        <v>98</v>
      </c>
      <c r="BA3" s="38">
        <v>35591</v>
      </c>
      <c r="BB3" s="20" t="s">
        <v>72</v>
      </c>
      <c r="BC3" t="s">
        <v>73</v>
      </c>
      <c r="BD3" t="s">
        <v>73</v>
      </c>
      <c r="BE3" s="20" t="s">
        <v>72</v>
      </c>
      <c r="BF3" t="s">
        <v>100</v>
      </c>
      <c r="BG3" s="20" t="s">
        <v>101</v>
      </c>
      <c r="BH3" s="36" t="s">
        <v>102</v>
      </c>
      <c r="BI3" s="36" t="s">
        <v>103</v>
      </c>
      <c r="BJ3" s="36" t="s">
        <v>104</v>
      </c>
      <c r="BK3" s="36" t="s">
        <v>105</v>
      </c>
      <c r="BL3" s="40" t="s">
        <v>119</v>
      </c>
      <c r="BM3" t="s">
        <v>107</v>
      </c>
      <c r="BN3" s="41" t="s">
        <v>67</v>
      </c>
    </row>
  </sheetData>
  <dataValidations count="2">
    <dataValidation type="list" allowBlank="1" showInputMessage="1" showErrorMessage="1" sqref="AA2:AA3" xr:uid="{00000000-0002-0000-0000-000000000000}">
      <formula1>INDIRECT(#REF!)</formula1>
    </dataValidation>
    <dataValidation type="list" allowBlank="1" showInputMessage="1" showErrorMessage="1" sqref="AI2 V2:V3 S2:S3 K2:K3 BK2:BK3" xr:uid="{00000000-0002-0000-0000-000001000000}">
      <formula1>INDIRECT(#REF!)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2025-06-02T08:35:15Z</dcterms:modified>
</cp:coreProperties>
</file>