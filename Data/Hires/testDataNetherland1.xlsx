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AD706D72-1E3E-432B-85CC-382640ACF53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1" l="1"/>
  <c r="AG8" i="1" s="1"/>
  <c r="AC8" i="1" s="1"/>
  <c r="L7" i="1"/>
  <c r="AG7" i="1" s="1"/>
  <c r="AC7" i="1" s="1"/>
  <c r="L6" i="1"/>
  <c r="AG6" i="1" s="1"/>
  <c r="AC6" i="1" s="1"/>
  <c r="L5" i="1"/>
  <c r="AG5" i="1" s="1"/>
  <c r="AC5" i="1" s="1"/>
  <c r="L4" i="1"/>
  <c r="AG4" i="1" s="1"/>
  <c r="AC4" i="1" s="1"/>
  <c r="L3" i="1"/>
  <c r="AG3" i="1" s="1"/>
  <c r="AC3" i="1" s="1"/>
  <c r="L2" i="1"/>
  <c r="AG2" i="1" s="1"/>
  <c r="AC2" i="1" s="1"/>
  <c r="AB2" i="1" l="1"/>
  <c r="AB3" i="1"/>
  <c r="AB4" i="1"/>
  <c r="AB5" i="1"/>
  <c r="AB6" i="1"/>
  <c r="AB7" i="1"/>
  <c r="AB8" i="1"/>
</calcChain>
</file>

<file path=xl/sharedStrings.xml><?xml version="1.0" encoding="utf-8"?>
<sst xmlns="http://schemas.openxmlformats.org/spreadsheetml/2006/main" count="452" uniqueCount="130">
  <si>
    <t>TestCaseIDs</t>
  </si>
  <si>
    <t>EmployeeID</t>
  </si>
  <si>
    <t>TestStatus</t>
  </si>
  <si>
    <t>SupervisoryOrganisation</t>
  </si>
  <si>
    <t>Prefix</t>
  </si>
  <si>
    <t>GivenName</t>
  </si>
  <si>
    <t>Initials</t>
  </si>
  <si>
    <t>FamilyName</t>
  </si>
  <si>
    <t>PhoneNumber</t>
  </si>
  <si>
    <t>PhoneDevice</t>
  </si>
  <si>
    <t>Type</t>
  </si>
  <si>
    <t>EffectiveDate</t>
  </si>
  <si>
    <t>Country</t>
  </si>
  <si>
    <t>Province</t>
  </si>
  <si>
    <t>StreetName</t>
  </si>
  <si>
    <t>HouseNumber</t>
  </si>
  <si>
    <t>PostalCode</t>
  </si>
  <si>
    <t>City</t>
  </si>
  <si>
    <t>UseFor</t>
  </si>
  <si>
    <t>EmailAddress</t>
  </si>
  <si>
    <t>PayrollTaxDeduction</t>
  </si>
  <si>
    <t>WWAansturing</t>
  </si>
  <si>
    <t>ContractReason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</si>
  <si>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</si>
  <si>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</si>
  <si>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</si>
  <si>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</si>
  <si>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</si>
  <si>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</si>
  <si>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</si>
  <si>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</si>
  <si>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</si>
  <si>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</si>
  <si>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</si>
  <si>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</si>
  <si>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</si>
  <si>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</si>
  <si>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</si>
  <si>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</si>
  <si>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</si>
  <si>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</si>
  <si>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</si>
  <si>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</si>
  <si>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</si>
  <si>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</si>
  <si>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</si>
  <si>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</si>
  <si>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</si>
  <si>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</si>
  <si>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</si>
  <si>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</si>
  <si>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</si>
  <si>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</si>
  <si>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</si>
  <si>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PrimaryNationality</t>
  </si>
  <si>
    <t>CitizenshipStatus</t>
  </si>
  <si>
    <t>Salary</t>
  </si>
  <si>
    <t>BankName</t>
  </si>
  <si>
    <t>BankIdentificationCode</t>
  </si>
  <si>
    <t>IBAN</t>
  </si>
  <si>
    <t>AccountType</t>
  </si>
  <si>
    <t>ProposedPayGroupFinal</t>
  </si>
  <si>
    <t>DefaultWeeklyHours</t>
  </si>
  <si>
    <t>NameOnAccount</t>
  </si>
  <si>
    <t>10700438</t>
  </si>
  <si>
    <t>Passed</t>
  </si>
  <si>
    <t>701 Recruitment (Vulam Syhohu (8701689))</t>
  </si>
  <si>
    <t>Mevr</t>
  </si>
  <si>
    <t>Winnifred</t>
  </si>
  <si>
    <t>Test</t>
  </si>
  <si>
    <t>Fadel-Schoen</t>
  </si>
  <si>
    <t>071 025 8087</t>
  </si>
  <si>
    <t>Mobile</t>
  </si>
  <si>
    <t>Home</t>
  </si>
  <si>
    <t>Netherlands</t>
  </si>
  <si>
    <t>North Brabant</t>
  </si>
  <si>
    <t>Automation Street Name</t>
  </si>
  <si>
    <t>05</t>
  </si>
  <si>
    <t>1111AZ</t>
  </si>
  <si>
    <t>Street Address</t>
  </si>
  <si>
    <t>automation@qe.com</t>
  </si>
  <si>
    <t>No</t>
  </si>
  <si>
    <t>0 – Niet verzekerd</t>
  </si>
  <si>
    <t>Undefined contract end date (Undetermined)</t>
  </si>
  <si>
    <t>Part-time( PT )</t>
  </si>
  <si>
    <t>Active</t>
  </si>
  <si>
    <t>N/A</t>
  </si>
  <si>
    <t>Netherlands Retail Assistant</t>
  </si>
  <si>
    <t>Retail Assistant (23+)</t>
  </si>
  <si>
    <t>New Hire</t>
  </si>
  <si>
    <t>Permanent</t>
  </si>
  <si>
    <t>Retail Assistant</t>
  </si>
  <si>
    <t>Part time</t>
  </si>
  <si>
    <t>701 Hoofddorp</t>
  </si>
  <si>
    <t>Hourly</t>
  </si>
  <si>
    <t>5 Days (Netherlands)</t>
  </si>
  <si>
    <t>Automation Comments here….</t>
  </si>
  <si>
    <t>94 Retail Operative</t>
  </si>
  <si>
    <t>01 Accessories</t>
  </si>
  <si>
    <t>Personal Number (Burgerservicenr)</t>
  </si>
  <si>
    <t>Male</t>
  </si>
  <si>
    <t>Citizen (Netherlands)</t>
  </si>
  <si>
    <t>Defaulted</t>
  </si>
  <si>
    <t>BON</t>
  </si>
  <si>
    <t>BOFIIE2D</t>
  </si>
  <si>
    <t>NL02ABNA0123456789</t>
  </si>
  <si>
    <t>Checking</t>
  </si>
  <si>
    <t>NL 4-Weekly</t>
  </si>
  <si>
    <t>701 Store Management (Vulam Syhohu (8701689))</t>
  </si>
  <si>
    <t>Arlene</t>
  </si>
  <si>
    <t>Christiansen</t>
  </si>
  <si>
    <t>Full-time( FT. )</t>
  </si>
  <si>
    <t>New</t>
  </si>
  <si>
    <t>Auto 17264735</t>
  </si>
  <si>
    <t>Store Manager</t>
  </si>
  <si>
    <t>Full time</t>
  </si>
  <si>
    <t>92 Retail Management</t>
  </si>
  <si>
    <t>NL Management</t>
  </si>
  <si>
    <t>Brian</t>
  </si>
  <si>
    <t>Grant</t>
  </si>
  <si>
    <t>Haleigh</t>
  </si>
  <si>
    <t>Ritchie</t>
  </si>
  <si>
    <t>Auto 51023958</t>
  </si>
  <si>
    <t>Jasen</t>
  </si>
  <si>
    <t>Dare</t>
  </si>
  <si>
    <t>Jannie</t>
  </si>
  <si>
    <t>Kuhic</t>
  </si>
  <si>
    <t>Auto 98490906</t>
  </si>
  <si>
    <t>Brianne</t>
  </si>
  <si>
    <t>Tillman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</si>
</sst>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theme="1"/>
      <name val="Arial"/>
      <family val="2"/>
    </font>
    <font>
      <sz val="11"/>
      <color theme="9" tint="-0.249977111117893"/>
      <name val="Calibri"/>
      <family val="2"/>
      <scheme val="minor"/>
    </font>
    <font>
      <sz val="10"/>
      <color rgb="FF040C28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4A4A4A"/>
      <name val="Calibri"/>
      <family val="2"/>
      <scheme val="minor"/>
    </font>
    <font>
      <b/>
      <sz val="11"/>
      <color rgb="FF4A4A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5" borderId="0" xfId="0" applyFill="1" applyAlignment="1">
      <alignment wrapText="1"/>
    </xf>
    <xf numFmtId="0" fontId="4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Alignment="1">
      <alignment horizontal="left"/>
    </xf>
    <xf numFmtId="0" fontId="0" fillId="0" borderId="4" xfId="0" applyBorder="1" applyProtection="1">
      <protection locked="0"/>
    </xf>
    <xf numFmtId="0" fontId="5" fillId="0" borderId="0" xfId="0" applyFont="1"/>
    <xf numFmtId="14" fontId="0" fillId="0" borderId="4" xfId="0" applyNumberFormat="1" applyBorder="1" applyAlignment="1">
      <alignment horizontal="left"/>
    </xf>
    <xf numFmtId="0" fontId="6" fillId="0" borderId="4" xfId="0" applyFont="1" applyBorder="1" applyProtection="1">
      <protection locked="0"/>
    </xf>
    <xf numFmtId="0" fontId="7" fillId="0" borderId="4" xfId="0" applyFont="1" applyBorder="1" applyAlignment="1">
      <alignment horizontal="left"/>
    </xf>
    <xf numFmtId="0" fontId="8" fillId="0" borderId="4" xfId="0" applyFont="1" applyBorder="1"/>
    <xf numFmtId="0" fontId="7" fillId="0" borderId="4" xfId="0" applyFont="1" applyBorder="1" applyAlignment="1" applyProtection="1">
      <alignment horizontal="left"/>
      <protection locked="0"/>
    </xf>
    <xf numFmtId="14" fontId="0" fillId="0" borderId="7" xfId="0" applyNumberFormat="1" applyBorder="1" applyAlignment="1">
      <alignment horizontal="left"/>
    </xf>
    <xf numFmtId="14" fontId="2" fillId="0" borderId="4" xfId="0" applyNumberFormat="1" applyFont="1" applyBorder="1" applyAlignment="1">
      <alignment horizontal="left"/>
    </xf>
    <xf numFmtId="0" fontId="9" fillId="0" borderId="4" xfId="0" applyFont="1" applyBorder="1"/>
    <xf numFmtId="14" fontId="2" fillId="0" borderId="8" xfId="0" applyNumberFormat="1" applyFont="1" applyBorder="1" applyAlignment="1">
      <alignment horizontal="left"/>
    </xf>
    <xf numFmtId="0" fontId="0" fillId="0" borderId="4" xfId="0" applyBorder="1"/>
    <xf numFmtId="0" fontId="8" fillId="4" borderId="4" xfId="0" applyFont="1" applyFill="1" applyBorder="1"/>
    <xf numFmtId="0" fontId="0" fillId="0" borderId="4" xfId="0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/>
    </xf>
    <xf numFmtId="164" fontId="0" fillId="0" borderId="4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9" xfId="0" applyNumberFormat="1" applyBorder="1" applyAlignment="1" applyProtection="1">
      <alignment horizontal="left"/>
      <protection locked="0"/>
    </xf>
    <xf numFmtId="0" fontId="0" fillId="0" borderId="0" xfId="0" applyAlignment="1">
      <alignment vertical="top" wrapText="1"/>
    </xf>
    <xf numFmtId="164" fontId="0" fillId="0" borderId="0" xfId="0" applyNumberFormat="1" applyAlignment="1" applyProtection="1">
      <alignment horizontal="left"/>
      <protection locked="0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8"/>
  <sheetViews>
    <sheetView tabSelected="1" topLeftCell="B1" zoomScaleNormal="100" workbookViewId="0">
      <selection activeCell="D2" sqref="D2"/>
    </sheetView>
  </sheetViews>
  <sheetFormatPr defaultRowHeight="14.5" customHeight="1" x14ac:dyDescent="0.35"/>
  <cols>
    <col min="2" max="2" width="58.1796875" customWidth="1"/>
    <col min="4" max="4" width="59" customWidth="1"/>
    <col min="5" max="5" width="16" customWidth="1"/>
    <col min="6" max="6" width="20.08984375" customWidth="1"/>
    <col min="10" max="10" width="21.54296875" customWidth="1"/>
    <col min="12" max="12" width="32.54296875" customWidth="1"/>
    <col min="15" max="15" width="31.08984375" customWidth="1"/>
    <col min="16" max="16" width="36.81640625" customWidth="1"/>
    <col min="22" max="22" width="20.36328125" customWidth="1"/>
    <col min="23" max="23" width="18.1796875" customWidth="1"/>
    <col min="24" max="24" width="32.08984375" customWidth="1"/>
    <col min="25" max="25" width="46.26953125" customWidth="1"/>
    <col min="26" max="26" width="36.08984375" customWidth="1"/>
    <col min="28" max="28" width="28.7265625" customWidth="1"/>
    <col min="29" max="29" width="41.08984375" customWidth="1"/>
    <col min="30" max="30" width="29.81640625" customWidth="1"/>
    <col min="31" max="31" width="35.36328125" customWidth="1"/>
    <col min="32" max="32" width="21.453125" customWidth="1"/>
    <col min="33" max="33" width="31.6328125" customWidth="1"/>
    <col min="34" max="34" width="27.36328125" customWidth="1"/>
    <col min="36" max="36" width="40.6328125" customWidth="1"/>
    <col min="37" max="37" width="22.54296875" customWidth="1"/>
    <col min="38" max="38" width="32.7265625" customWidth="1"/>
    <col min="42" max="42" width="23.36328125" customWidth="1"/>
    <col min="43" max="43" width="41.6328125" customWidth="1"/>
    <col min="45" max="45" width="33.6328125" customWidth="1"/>
    <col min="47" max="47" width="38.453125" customWidth="1"/>
    <col min="51" max="51" width="45.7265625" customWidth="1"/>
    <col min="53" max="53" width="22.90625" customWidth="1"/>
    <col min="57" max="57" width="28" customWidth="1"/>
    <col min="58" max="58" width="23.453125" customWidth="1"/>
    <col min="59" max="59" width="32" customWidth="1"/>
    <col min="60" max="60" width="31.26953125" customWidth="1"/>
    <col min="61" max="61" width="28.81640625" customWidth="1"/>
    <col min="62" max="62" width="31.453125" customWidth="1"/>
    <col min="63" max="63" width="28.54296875" customWidth="1"/>
    <col min="64" max="64" width="45.81640625" customWidth="1"/>
    <col min="65" max="65" width="37.7265625" customWidth="1"/>
    <col min="66" max="66" width="39.6328125" customWidth="1"/>
  </cols>
  <sheetData>
    <row r="1" spans="1:66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10</v>
      </c>
      <c r="T1" s="2" t="s">
        <v>18</v>
      </c>
      <c r="U1" s="2" t="s">
        <v>19</v>
      </c>
      <c r="V1" s="2" t="s">
        <v>10</v>
      </c>
      <c r="W1" s="5" t="s">
        <v>20</v>
      </c>
      <c r="X1" s="5" t="s">
        <v>21</v>
      </c>
      <c r="Y1" s="2" t="s">
        <v>22</v>
      </c>
      <c r="Z1" s="2" t="s">
        <v>23</v>
      </c>
      <c r="AA1" s="2" t="s">
        <v>24</v>
      </c>
      <c r="AB1" s="5" t="s">
        <v>25</v>
      </c>
      <c r="AC1" s="6" t="s">
        <v>26</v>
      </c>
      <c r="AD1" s="7" t="s">
        <v>27</v>
      </c>
      <c r="AE1" s="8" t="s">
        <v>28</v>
      </c>
      <c r="AF1" s="8" t="s">
        <v>29</v>
      </c>
      <c r="AG1" s="9" t="s">
        <v>30</v>
      </c>
      <c r="AH1" s="2" t="s">
        <v>31</v>
      </c>
      <c r="AI1" s="2" t="s">
        <v>32</v>
      </c>
      <c r="AJ1" s="2" t="s">
        <v>33</v>
      </c>
      <c r="AK1" s="2" t="s">
        <v>34</v>
      </c>
      <c r="AL1" s="4" t="s">
        <v>35</v>
      </c>
      <c r="AM1" s="2" t="s">
        <v>36</v>
      </c>
      <c r="AN1" s="2" t="s">
        <v>37</v>
      </c>
      <c r="AO1" s="2" t="s">
        <v>38</v>
      </c>
      <c r="AP1" s="2" t="s">
        <v>39</v>
      </c>
      <c r="AQ1" s="2" t="s">
        <v>40</v>
      </c>
      <c r="AR1" s="2" t="s">
        <v>41</v>
      </c>
      <c r="AS1" s="10" t="s">
        <v>42</v>
      </c>
      <c r="AT1" s="2" t="s">
        <v>43</v>
      </c>
      <c r="AU1" s="2" t="s">
        <v>44</v>
      </c>
      <c r="AV1" s="2" t="s">
        <v>45</v>
      </c>
      <c r="AW1" s="2" t="s">
        <v>46</v>
      </c>
      <c r="AX1" s="2" t="s">
        <v>47</v>
      </c>
      <c r="AY1" s="4" t="s">
        <v>48</v>
      </c>
      <c r="AZ1" s="2" t="s">
        <v>49</v>
      </c>
      <c r="BA1" s="2" t="s">
        <v>50</v>
      </c>
      <c r="BB1" s="2" t="s">
        <v>51</v>
      </c>
      <c r="BC1" s="2" t="s">
        <v>52</v>
      </c>
      <c r="BD1" s="2" t="s">
        <v>53</v>
      </c>
      <c r="BE1" s="2" t="s">
        <v>54</v>
      </c>
      <c r="BF1" s="2" t="s">
        <v>55</v>
      </c>
      <c r="BG1" s="2" t="s">
        <v>56</v>
      </c>
      <c r="BH1" s="2" t="s">
        <v>57</v>
      </c>
      <c r="BI1" s="2" t="s">
        <v>58</v>
      </c>
      <c r="BJ1" s="2" t="s">
        <v>59</v>
      </c>
      <c r="BK1" s="2" t="s">
        <v>60</v>
      </c>
      <c r="BL1" s="2" t="s">
        <v>61</v>
      </c>
      <c r="BM1" s="11" t="s">
        <v>62</v>
      </c>
      <c r="BN1" s="12" t="s">
        <v>63</v>
      </c>
    </row>
    <row r="2" spans="1:66" ht="87.5" customHeight="1" x14ac:dyDescent="0.35">
      <c r="B2" s="13" t="s">
        <v>64</v>
      </c>
      <c r="C2" s="13" t="s">
        <v>65</v>
      </c>
      <c r="D2" s="14" t="s">
        <v>66</v>
      </c>
      <c r="E2" t="s">
        <v>67</v>
      </c>
      <c r="F2" s="15" t="s">
        <v>68</v>
      </c>
      <c r="G2" s="16" t="s">
        <v>69</v>
      </c>
      <c r="H2" s="15" t="s">
        <v>70</v>
      </c>
      <c r="I2" s="17" t="s">
        <v>71</v>
      </c>
      <c r="J2" s="17" t="s">
        <v>72</v>
      </c>
      <c r="K2" s="17" t="s">
        <v>73</v>
      </c>
      <c r="L2" s="18">
        <f t="shared" ref="L2:L8" ca="1" si="0">TODAY()-31</f>
        <v>45842</v>
      </c>
      <c r="M2" s="19" t="s">
        <v>74</v>
      </c>
      <c r="N2" t="s">
        <v>75</v>
      </c>
      <c r="O2" s="20" t="s">
        <v>76</v>
      </c>
      <c r="P2" s="17" t="s">
        <v>77</v>
      </c>
      <c r="Q2" s="21" t="s">
        <v>78</v>
      </c>
      <c r="R2" t="s">
        <v>75</v>
      </c>
      <c r="S2" s="17" t="s">
        <v>73</v>
      </c>
      <c r="T2" s="22" t="s">
        <v>79</v>
      </c>
      <c r="U2" s="23" t="s">
        <v>80</v>
      </c>
      <c r="V2" s="17" t="s">
        <v>73</v>
      </c>
      <c r="W2" t="s">
        <v>81</v>
      </c>
      <c r="X2" t="s">
        <v>82</v>
      </c>
      <c r="Y2" s="24" t="s">
        <v>83</v>
      </c>
      <c r="Z2" s="25" t="s">
        <v>84</v>
      </c>
      <c r="AA2" s="26" t="s">
        <v>85</v>
      </c>
      <c r="AB2" s="22">
        <f t="shared" ref="AB2:AB3" ca="1" si="1">AG2</f>
        <v>45842</v>
      </c>
      <c r="AC2" s="27">
        <f t="shared" ref="AC2:AC3" ca="1" si="2">AG2</f>
        <v>45842</v>
      </c>
      <c r="AD2" s="28" t="s">
        <v>86</v>
      </c>
      <c r="AE2" s="29" t="s">
        <v>87</v>
      </c>
      <c r="AF2" s="29" t="s">
        <v>88</v>
      </c>
      <c r="AG2" s="30">
        <f t="shared" ref="AG2:AG3" ca="1" si="3">L2</f>
        <v>45842</v>
      </c>
      <c r="AH2" s="22">
        <v>44986</v>
      </c>
      <c r="AI2" s="17" t="s">
        <v>89</v>
      </c>
      <c r="AJ2" s="17" t="s">
        <v>86</v>
      </c>
      <c r="AK2" s="31" t="s">
        <v>90</v>
      </c>
      <c r="AL2" s="32" t="s">
        <v>91</v>
      </c>
      <c r="AM2" s="31" t="s">
        <v>92</v>
      </c>
      <c r="AN2" s="19" t="s">
        <v>93</v>
      </c>
      <c r="AO2" s="19" t="s">
        <v>94</v>
      </c>
      <c r="AP2" s="33">
        <v>25</v>
      </c>
      <c r="AQ2" s="19" t="s">
        <v>86</v>
      </c>
      <c r="AR2" t="s">
        <v>95</v>
      </c>
      <c r="AS2" s="34" t="s">
        <v>86</v>
      </c>
      <c r="AT2" s="17" t="s">
        <v>96</v>
      </c>
      <c r="AU2" s="17" t="s">
        <v>97</v>
      </c>
      <c r="AV2" t="s">
        <v>98</v>
      </c>
      <c r="AW2" s="19" t="s">
        <v>74</v>
      </c>
      <c r="AX2" s="35" t="s">
        <v>99</v>
      </c>
      <c r="AY2" s="36">
        <v>100000083</v>
      </c>
      <c r="AZ2" t="s">
        <v>100</v>
      </c>
      <c r="BA2" s="37">
        <v>35709</v>
      </c>
      <c r="BB2" s="19" t="s">
        <v>74</v>
      </c>
      <c r="BC2" t="s">
        <v>75</v>
      </c>
      <c r="BD2" t="s">
        <v>75</v>
      </c>
      <c r="BE2" s="19" t="s">
        <v>74</v>
      </c>
      <c r="BF2" t="s">
        <v>101</v>
      </c>
      <c r="BG2" s="19" t="s">
        <v>102</v>
      </c>
      <c r="BH2" s="35" t="s">
        <v>103</v>
      </c>
      <c r="BI2" s="35" t="s">
        <v>104</v>
      </c>
      <c r="BJ2" s="35" t="s">
        <v>105</v>
      </c>
      <c r="BK2" s="35" t="s">
        <v>106</v>
      </c>
      <c r="BL2" s="17" t="s">
        <v>107</v>
      </c>
      <c r="BM2">
        <v>38</v>
      </c>
      <c r="BN2" s="38" t="s">
        <v>69</v>
      </c>
    </row>
    <row r="3" spans="1:66" ht="14.5" customHeight="1" x14ac:dyDescent="0.35">
      <c r="B3" s="13">
        <v>10700439</v>
      </c>
      <c r="C3" s="13" t="s">
        <v>65</v>
      </c>
      <c r="D3" s="14" t="s">
        <v>108</v>
      </c>
      <c r="E3" t="s">
        <v>67</v>
      </c>
      <c r="F3" s="15" t="s">
        <v>109</v>
      </c>
      <c r="G3" s="16" t="s">
        <v>69</v>
      </c>
      <c r="H3" s="15" t="s">
        <v>110</v>
      </c>
      <c r="I3" s="17" t="s">
        <v>71</v>
      </c>
      <c r="J3" s="17" t="s">
        <v>72</v>
      </c>
      <c r="K3" s="17" t="s">
        <v>73</v>
      </c>
      <c r="L3" s="18">
        <f t="shared" ca="1" si="0"/>
        <v>45842</v>
      </c>
      <c r="M3" s="19" t="s">
        <v>74</v>
      </c>
      <c r="N3" t="s">
        <v>75</v>
      </c>
      <c r="O3" s="20" t="s">
        <v>76</v>
      </c>
      <c r="P3" s="17" t="s">
        <v>77</v>
      </c>
      <c r="Q3" s="21" t="s">
        <v>78</v>
      </c>
      <c r="R3" t="s">
        <v>75</v>
      </c>
      <c r="S3" s="17" t="s">
        <v>73</v>
      </c>
      <c r="T3" s="22" t="s">
        <v>79</v>
      </c>
      <c r="U3" s="23" t="s">
        <v>80</v>
      </c>
      <c r="V3" s="17" t="s">
        <v>73</v>
      </c>
      <c r="W3" t="s">
        <v>81</v>
      </c>
      <c r="X3" t="s">
        <v>82</v>
      </c>
      <c r="Y3" s="24" t="s">
        <v>83</v>
      </c>
      <c r="Z3" s="24" t="s">
        <v>111</v>
      </c>
      <c r="AA3" s="26" t="s">
        <v>85</v>
      </c>
      <c r="AB3" s="22">
        <f t="shared" ca="1" si="1"/>
        <v>45842</v>
      </c>
      <c r="AC3" s="27">
        <f t="shared" ca="1" si="2"/>
        <v>45842</v>
      </c>
      <c r="AD3" s="28" t="s">
        <v>86</v>
      </c>
      <c r="AE3" s="25" t="s">
        <v>86</v>
      </c>
      <c r="AF3" s="25" t="s">
        <v>86</v>
      </c>
      <c r="AG3" s="30">
        <f t="shared" ca="1" si="3"/>
        <v>45842</v>
      </c>
      <c r="AH3" s="25" t="s">
        <v>86</v>
      </c>
      <c r="AI3" s="17" t="s">
        <v>112</v>
      </c>
      <c r="AJ3" s="17" t="s">
        <v>113</v>
      </c>
      <c r="AK3" s="31" t="s">
        <v>90</v>
      </c>
      <c r="AL3" s="32" t="s">
        <v>114</v>
      </c>
      <c r="AM3" s="31" t="s">
        <v>115</v>
      </c>
      <c r="AN3" s="19" t="s">
        <v>93</v>
      </c>
      <c r="AO3" s="19" t="s">
        <v>56</v>
      </c>
      <c r="AP3" s="33">
        <v>40</v>
      </c>
      <c r="AQ3" s="19" t="s">
        <v>86</v>
      </c>
      <c r="AR3" t="s">
        <v>95</v>
      </c>
      <c r="AS3" s="34" t="s">
        <v>86</v>
      </c>
      <c r="AT3" s="17" t="s">
        <v>96</v>
      </c>
      <c r="AU3" s="17" t="s">
        <v>116</v>
      </c>
      <c r="AV3" s="36">
        <v>251</v>
      </c>
      <c r="AW3" s="19" t="s">
        <v>74</v>
      </c>
      <c r="AX3" s="35" t="s">
        <v>99</v>
      </c>
      <c r="AY3" s="36">
        <v>100000084</v>
      </c>
      <c r="AZ3" t="s">
        <v>100</v>
      </c>
      <c r="BA3" s="37">
        <v>35591</v>
      </c>
      <c r="BB3" s="19" t="s">
        <v>74</v>
      </c>
      <c r="BC3" t="s">
        <v>75</v>
      </c>
      <c r="BD3" t="s">
        <v>75</v>
      </c>
      <c r="BE3" s="19" t="s">
        <v>74</v>
      </c>
      <c r="BF3" t="s">
        <v>101</v>
      </c>
      <c r="BG3" s="19" t="s">
        <v>102</v>
      </c>
      <c r="BH3" s="35" t="s">
        <v>103</v>
      </c>
      <c r="BI3" s="35" t="s">
        <v>104</v>
      </c>
      <c r="BJ3" s="35" t="s">
        <v>105</v>
      </c>
      <c r="BK3" s="35" t="s">
        <v>106</v>
      </c>
      <c r="BL3" s="39" t="s">
        <v>117</v>
      </c>
      <c r="BM3">
        <v>40</v>
      </c>
      <c r="BN3" s="40" t="s">
        <v>69</v>
      </c>
    </row>
    <row r="4" spans="1:66" ht="14.5" customHeight="1" x14ac:dyDescent="0.35">
      <c r="B4" s="41">
        <v>10700440</v>
      </c>
      <c r="C4" s="13" t="s">
        <v>65</v>
      </c>
      <c r="D4" s="14" t="s">
        <v>66</v>
      </c>
      <c r="E4" t="s">
        <v>67</v>
      </c>
      <c r="F4" s="15" t="s">
        <v>118</v>
      </c>
      <c r="G4" s="16" t="s">
        <v>69</v>
      </c>
      <c r="H4" s="15" t="s">
        <v>119</v>
      </c>
      <c r="I4" s="17" t="s">
        <v>71</v>
      </c>
      <c r="J4" s="17" t="s">
        <v>72</v>
      </c>
      <c r="K4" s="17" t="s">
        <v>73</v>
      </c>
      <c r="L4" s="18">
        <f t="shared" ca="1" si="0"/>
        <v>45842</v>
      </c>
      <c r="M4" s="19" t="s">
        <v>74</v>
      </c>
      <c r="N4" t="s">
        <v>75</v>
      </c>
      <c r="O4" s="20" t="s">
        <v>76</v>
      </c>
      <c r="P4" s="17" t="s">
        <v>77</v>
      </c>
      <c r="Q4" s="21" t="s">
        <v>78</v>
      </c>
      <c r="R4" t="s">
        <v>75</v>
      </c>
      <c r="S4" s="17" t="s">
        <v>73</v>
      </c>
      <c r="T4" s="22" t="s">
        <v>79</v>
      </c>
      <c r="U4" s="23" t="s">
        <v>80</v>
      </c>
      <c r="V4" s="17" t="s">
        <v>73</v>
      </c>
      <c r="W4" t="s">
        <v>81</v>
      </c>
      <c r="X4" t="s">
        <v>82</v>
      </c>
      <c r="Y4" s="24" t="s">
        <v>83</v>
      </c>
      <c r="Z4" s="25" t="s">
        <v>84</v>
      </c>
      <c r="AA4" s="26" t="s">
        <v>85</v>
      </c>
      <c r="AB4" s="22">
        <f t="shared" ref="AB4:AB8" ca="1" si="4">AG4</f>
        <v>45842</v>
      </c>
      <c r="AC4" s="27">
        <f t="shared" ref="AC4:AC8" ca="1" si="5">AG4</f>
        <v>45842</v>
      </c>
      <c r="AD4" s="28" t="s">
        <v>86</v>
      </c>
      <c r="AE4" s="29" t="s">
        <v>87</v>
      </c>
      <c r="AF4" s="29" t="s">
        <v>88</v>
      </c>
      <c r="AG4" s="30">
        <f t="shared" ref="AG4:AG8" ca="1" si="6">L4</f>
        <v>45842</v>
      </c>
      <c r="AH4" s="22">
        <v>44986</v>
      </c>
      <c r="AI4" s="17" t="s">
        <v>89</v>
      </c>
      <c r="AJ4" s="17" t="s">
        <v>86</v>
      </c>
      <c r="AK4" s="31" t="s">
        <v>90</v>
      </c>
      <c r="AL4" s="32" t="s">
        <v>91</v>
      </c>
      <c r="AM4" s="31" t="s">
        <v>92</v>
      </c>
      <c r="AN4" s="19" t="s">
        <v>93</v>
      </c>
      <c r="AO4" s="19" t="s">
        <v>94</v>
      </c>
      <c r="AP4" s="33">
        <v>25</v>
      </c>
      <c r="AQ4" s="19" t="s">
        <v>86</v>
      </c>
      <c r="AR4" t="s">
        <v>95</v>
      </c>
      <c r="AS4" s="34" t="s">
        <v>86</v>
      </c>
      <c r="AT4" s="17" t="s">
        <v>96</v>
      </c>
      <c r="AU4" s="17" t="s">
        <v>97</v>
      </c>
      <c r="AV4" t="s">
        <v>98</v>
      </c>
      <c r="AW4" s="19" t="s">
        <v>74</v>
      </c>
      <c r="AX4" s="35" t="s">
        <v>99</v>
      </c>
      <c r="AY4" s="36">
        <v>100000085</v>
      </c>
      <c r="AZ4" t="s">
        <v>100</v>
      </c>
      <c r="BA4" s="37">
        <v>35709</v>
      </c>
      <c r="BB4" s="19" t="s">
        <v>74</v>
      </c>
      <c r="BC4" t="s">
        <v>75</v>
      </c>
      <c r="BD4" t="s">
        <v>75</v>
      </c>
      <c r="BE4" s="19" t="s">
        <v>74</v>
      </c>
      <c r="BF4" t="s">
        <v>101</v>
      </c>
      <c r="BG4" s="19" t="s">
        <v>102</v>
      </c>
      <c r="BH4" s="35" t="s">
        <v>103</v>
      </c>
      <c r="BI4" s="35" t="s">
        <v>104</v>
      </c>
      <c r="BJ4" s="35" t="s">
        <v>105</v>
      </c>
      <c r="BK4" s="35" t="s">
        <v>106</v>
      </c>
      <c r="BL4" s="17" t="s">
        <v>107</v>
      </c>
      <c r="BM4">
        <v>38</v>
      </c>
      <c r="BN4" s="38" t="s">
        <v>69</v>
      </c>
    </row>
    <row r="5" spans="1:66" ht="14.5" customHeight="1" x14ac:dyDescent="0.35">
      <c r="B5" s="41">
        <v>10700441</v>
      </c>
      <c r="C5" s="13" t="s">
        <v>65</v>
      </c>
      <c r="D5" s="14" t="s">
        <v>108</v>
      </c>
      <c r="E5" t="s">
        <v>67</v>
      </c>
      <c r="F5" s="15" t="s">
        <v>120</v>
      </c>
      <c r="G5" s="16" t="s">
        <v>69</v>
      </c>
      <c r="H5" s="15" t="s">
        <v>121</v>
      </c>
      <c r="I5" s="17" t="s">
        <v>71</v>
      </c>
      <c r="J5" s="17" t="s">
        <v>72</v>
      </c>
      <c r="K5" s="17" t="s">
        <v>73</v>
      </c>
      <c r="L5" s="18">
        <f t="shared" ca="1" si="0"/>
        <v>45842</v>
      </c>
      <c r="M5" s="19" t="s">
        <v>74</v>
      </c>
      <c r="N5" t="s">
        <v>75</v>
      </c>
      <c r="O5" s="20" t="s">
        <v>76</v>
      </c>
      <c r="P5" s="17" t="s">
        <v>77</v>
      </c>
      <c r="Q5" s="21" t="s">
        <v>78</v>
      </c>
      <c r="R5" t="s">
        <v>75</v>
      </c>
      <c r="S5" s="17" t="s">
        <v>73</v>
      </c>
      <c r="T5" s="22" t="s">
        <v>79</v>
      </c>
      <c r="U5" s="23" t="s">
        <v>80</v>
      </c>
      <c r="V5" s="17" t="s">
        <v>73</v>
      </c>
      <c r="W5" t="s">
        <v>81</v>
      </c>
      <c r="X5" t="s">
        <v>82</v>
      </c>
      <c r="Y5" s="24" t="s">
        <v>83</v>
      </c>
      <c r="Z5" s="24" t="s">
        <v>111</v>
      </c>
      <c r="AA5" s="26" t="s">
        <v>85</v>
      </c>
      <c r="AB5" s="22">
        <f t="shared" ca="1" si="4"/>
        <v>45842</v>
      </c>
      <c r="AC5" s="27">
        <f t="shared" ca="1" si="5"/>
        <v>45842</v>
      </c>
      <c r="AD5" s="28" t="s">
        <v>86</v>
      </c>
      <c r="AE5" s="25" t="s">
        <v>86</v>
      </c>
      <c r="AF5" s="25" t="s">
        <v>86</v>
      </c>
      <c r="AG5" s="30">
        <f t="shared" ca="1" si="6"/>
        <v>45842</v>
      </c>
      <c r="AH5" s="25" t="s">
        <v>86</v>
      </c>
      <c r="AI5" s="17" t="s">
        <v>112</v>
      </c>
      <c r="AJ5" s="17" t="s">
        <v>122</v>
      </c>
      <c r="AK5" s="31" t="s">
        <v>90</v>
      </c>
      <c r="AL5" s="32" t="s">
        <v>114</v>
      </c>
      <c r="AM5" s="31" t="s">
        <v>115</v>
      </c>
      <c r="AN5" s="19" t="s">
        <v>93</v>
      </c>
      <c r="AO5" s="19" t="s">
        <v>56</v>
      </c>
      <c r="AP5" s="33">
        <v>40</v>
      </c>
      <c r="AQ5" s="19" t="s">
        <v>86</v>
      </c>
      <c r="AR5" t="s">
        <v>95</v>
      </c>
      <c r="AS5" s="34" t="s">
        <v>86</v>
      </c>
      <c r="AT5" s="17" t="s">
        <v>96</v>
      </c>
      <c r="AU5" s="17" t="s">
        <v>116</v>
      </c>
      <c r="AV5" s="36">
        <v>251</v>
      </c>
      <c r="AW5" s="19" t="s">
        <v>74</v>
      </c>
      <c r="AX5" s="35" t="s">
        <v>99</v>
      </c>
      <c r="AY5" s="36">
        <v>100000086</v>
      </c>
      <c r="AZ5" t="s">
        <v>100</v>
      </c>
      <c r="BA5" s="37">
        <v>35591</v>
      </c>
      <c r="BB5" s="19" t="s">
        <v>74</v>
      </c>
      <c r="BC5" t="s">
        <v>75</v>
      </c>
      <c r="BD5" t="s">
        <v>75</v>
      </c>
      <c r="BE5" s="19" t="s">
        <v>74</v>
      </c>
      <c r="BF5" t="s">
        <v>101</v>
      </c>
      <c r="BG5" s="19" t="s">
        <v>102</v>
      </c>
      <c r="BH5" s="35" t="s">
        <v>103</v>
      </c>
      <c r="BI5" s="35" t="s">
        <v>104</v>
      </c>
      <c r="BJ5" s="35" t="s">
        <v>105</v>
      </c>
      <c r="BK5" s="35" t="s">
        <v>106</v>
      </c>
      <c r="BL5" s="39" t="s">
        <v>117</v>
      </c>
      <c r="BM5">
        <v>40</v>
      </c>
      <c r="BN5" s="40" t="s">
        <v>69</v>
      </c>
    </row>
    <row r="6" spans="1:66" ht="14.5" customHeight="1" x14ac:dyDescent="0.35">
      <c r="B6">
        <v>10700442</v>
      </c>
      <c r="C6" s="13" t="s">
        <v>65</v>
      </c>
      <c r="D6" s="14" t="s">
        <v>66</v>
      </c>
      <c r="E6" t="s">
        <v>67</v>
      </c>
      <c r="F6" s="15" t="s">
        <v>123</v>
      </c>
      <c r="G6" s="16" t="s">
        <v>69</v>
      </c>
      <c r="H6" s="15" t="s">
        <v>124</v>
      </c>
      <c r="I6" s="17" t="s">
        <v>71</v>
      </c>
      <c r="J6" s="17" t="s">
        <v>72</v>
      </c>
      <c r="K6" s="17" t="s">
        <v>73</v>
      </c>
      <c r="L6" s="18">
        <f t="shared" ca="1" si="0"/>
        <v>45842</v>
      </c>
      <c r="M6" s="19" t="s">
        <v>74</v>
      </c>
      <c r="N6" t="s">
        <v>75</v>
      </c>
      <c r="O6" s="20" t="s">
        <v>76</v>
      </c>
      <c r="P6" s="17" t="s">
        <v>77</v>
      </c>
      <c r="Q6" s="21" t="s">
        <v>78</v>
      </c>
      <c r="R6" t="s">
        <v>75</v>
      </c>
      <c r="S6" s="17" t="s">
        <v>73</v>
      </c>
      <c r="T6" s="22" t="s">
        <v>79</v>
      </c>
      <c r="U6" s="23" t="s">
        <v>80</v>
      </c>
      <c r="V6" s="17" t="s">
        <v>73</v>
      </c>
      <c r="W6" t="s">
        <v>81</v>
      </c>
      <c r="X6" t="s">
        <v>82</v>
      </c>
      <c r="Y6" s="24" t="s">
        <v>83</v>
      </c>
      <c r="Z6" s="25" t="s">
        <v>84</v>
      </c>
      <c r="AA6" s="26" t="s">
        <v>85</v>
      </c>
      <c r="AB6" s="22">
        <f t="shared" ca="1" si="4"/>
        <v>45842</v>
      </c>
      <c r="AC6" s="27">
        <f t="shared" ca="1" si="5"/>
        <v>45842</v>
      </c>
      <c r="AD6" s="28" t="s">
        <v>86</v>
      </c>
      <c r="AE6" s="29" t="s">
        <v>87</v>
      </c>
      <c r="AF6" s="29" t="s">
        <v>88</v>
      </c>
      <c r="AG6" s="30">
        <f t="shared" ca="1" si="6"/>
        <v>45842</v>
      </c>
      <c r="AH6" s="22">
        <v>44986</v>
      </c>
      <c r="AI6" s="17" t="s">
        <v>89</v>
      </c>
      <c r="AJ6" s="17" t="s">
        <v>86</v>
      </c>
      <c r="AK6" s="31" t="s">
        <v>90</v>
      </c>
      <c r="AL6" s="32" t="s">
        <v>91</v>
      </c>
      <c r="AM6" s="31" t="s">
        <v>92</v>
      </c>
      <c r="AN6" s="19" t="s">
        <v>93</v>
      </c>
      <c r="AO6" s="19" t="s">
        <v>94</v>
      </c>
      <c r="AP6" s="33">
        <v>25</v>
      </c>
      <c r="AQ6" s="19" t="s">
        <v>86</v>
      </c>
      <c r="AR6" t="s">
        <v>95</v>
      </c>
      <c r="AS6" s="34" t="s">
        <v>86</v>
      </c>
      <c r="AT6" s="17" t="s">
        <v>96</v>
      </c>
      <c r="AU6" s="17" t="s">
        <v>97</v>
      </c>
      <c r="AV6" t="s">
        <v>98</v>
      </c>
      <c r="AW6" s="19" t="s">
        <v>74</v>
      </c>
      <c r="AX6" s="35" t="s">
        <v>99</v>
      </c>
      <c r="AY6" s="36">
        <v>100000087</v>
      </c>
      <c r="AZ6" t="s">
        <v>100</v>
      </c>
      <c r="BA6" s="37">
        <v>35709</v>
      </c>
      <c r="BB6" s="19" t="s">
        <v>74</v>
      </c>
      <c r="BC6" t="s">
        <v>75</v>
      </c>
      <c r="BD6" t="s">
        <v>75</v>
      </c>
      <c r="BE6" s="19" t="s">
        <v>74</v>
      </c>
      <c r="BF6" t="s">
        <v>101</v>
      </c>
      <c r="BG6" s="19" t="s">
        <v>102</v>
      </c>
      <c r="BH6" s="35" t="s">
        <v>103</v>
      </c>
      <c r="BI6" s="35" t="s">
        <v>104</v>
      </c>
      <c r="BJ6" s="35" t="s">
        <v>105</v>
      </c>
      <c r="BK6" s="35" t="s">
        <v>106</v>
      </c>
      <c r="BL6" s="17" t="s">
        <v>107</v>
      </c>
      <c r="BM6">
        <v>38</v>
      </c>
      <c r="BN6" s="38" t="s">
        <v>69</v>
      </c>
    </row>
    <row r="7" spans="1:66" ht="14.5" customHeight="1" x14ac:dyDescent="0.35">
      <c r="B7" s="41">
        <v>10700443</v>
      </c>
      <c r="C7" s="13" t="s">
        <v>65</v>
      </c>
      <c r="D7" s="14" t="s">
        <v>108</v>
      </c>
      <c r="E7" t="s">
        <v>67</v>
      </c>
      <c r="F7" s="15" t="s">
        <v>125</v>
      </c>
      <c r="G7" s="16" t="s">
        <v>69</v>
      </c>
      <c r="H7" s="15" t="s">
        <v>126</v>
      </c>
      <c r="I7" s="17" t="s">
        <v>71</v>
      </c>
      <c r="J7" s="17" t="s">
        <v>72</v>
      </c>
      <c r="K7" s="17" t="s">
        <v>73</v>
      </c>
      <c r="L7" s="18">
        <f t="shared" ca="1" si="0"/>
        <v>45842</v>
      </c>
      <c r="M7" s="19" t="s">
        <v>74</v>
      </c>
      <c r="N7" t="s">
        <v>75</v>
      </c>
      <c r="O7" s="20" t="s">
        <v>76</v>
      </c>
      <c r="P7" s="17" t="s">
        <v>77</v>
      </c>
      <c r="Q7" s="21" t="s">
        <v>78</v>
      </c>
      <c r="R7" t="s">
        <v>75</v>
      </c>
      <c r="S7" s="17" t="s">
        <v>73</v>
      </c>
      <c r="T7" s="22" t="s">
        <v>79</v>
      </c>
      <c r="U7" s="23" t="s">
        <v>80</v>
      </c>
      <c r="V7" s="17" t="s">
        <v>73</v>
      </c>
      <c r="W7" t="s">
        <v>81</v>
      </c>
      <c r="X7" t="s">
        <v>82</v>
      </c>
      <c r="Y7" s="24" t="s">
        <v>83</v>
      </c>
      <c r="Z7" s="24" t="s">
        <v>111</v>
      </c>
      <c r="AA7" s="26" t="s">
        <v>85</v>
      </c>
      <c r="AB7" s="22">
        <f t="shared" ca="1" si="4"/>
        <v>45842</v>
      </c>
      <c r="AC7" s="27">
        <f t="shared" ca="1" si="5"/>
        <v>45842</v>
      </c>
      <c r="AD7" s="28" t="s">
        <v>86</v>
      </c>
      <c r="AE7" s="25" t="s">
        <v>86</v>
      </c>
      <c r="AF7" s="25" t="s">
        <v>86</v>
      </c>
      <c r="AG7" s="30">
        <f t="shared" ca="1" si="6"/>
        <v>45842</v>
      </c>
      <c r="AH7" s="25" t="s">
        <v>86</v>
      </c>
      <c r="AI7" s="17" t="s">
        <v>112</v>
      </c>
      <c r="AJ7" s="17" t="s">
        <v>127</v>
      </c>
      <c r="AK7" s="31" t="s">
        <v>90</v>
      </c>
      <c r="AL7" s="32" t="s">
        <v>114</v>
      </c>
      <c r="AM7" s="31" t="s">
        <v>115</v>
      </c>
      <c r="AN7" s="19" t="s">
        <v>93</v>
      </c>
      <c r="AO7" s="19" t="s">
        <v>56</v>
      </c>
      <c r="AP7" s="33">
        <v>40</v>
      </c>
      <c r="AQ7" s="19" t="s">
        <v>86</v>
      </c>
      <c r="AR7" t="s">
        <v>95</v>
      </c>
      <c r="AS7" s="34" t="s">
        <v>86</v>
      </c>
      <c r="AT7" s="17" t="s">
        <v>96</v>
      </c>
      <c r="AU7" s="17" t="s">
        <v>116</v>
      </c>
      <c r="AV7" s="36">
        <v>251</v>
      </c>
      <c r="AW7" s="19" t="s">
        <v>74</v>
      </c>
      <c r="AX7" s="35" t="s">
        <v>99</v>
      </c>
      <c r="AY7" s="36">
        <v>100000088</v>
      </c>
      <c r="AZ7" t="s">
        <v>100</v>
      </c>
      <c r="BA7" s="37">
        <v>35591</v>
      </c>
      <c r="BB7" s="19" t="s">
        <v>74</v>
      </c>
      <c r="BC7" t="s">
        <v>75</v>
      </c>
      <c r="BD7" t="s">
        <v>75</v>
      </c>
      <c r="BE7" s="19" t="s">
        <v>74</v>
      </c>
      <c r="BF7" t="s">
        <v>101</v>
      </c>
      <c r="BG7" s="19" t="s">
        <v>102</v>
      </c>
      <c r="BH7" s="35" t="s">
        <v>103</v>
      </c>
      <c r="BI7" s="35" t="s">
        <v>104</v>
      </c>
      <c r="BJ7" s="35" t="s">
        <v>105</v>
      </c>
      <c r="BK7" s="35" t="s">
        <v>106</v>
      </c>
      <c r="BL7" s="39" t="s">
        <v>117</v>
      </c>
      <c r="BM7">
        <v>40</v>
      </c>
      <c r="BN7" s="40" t="s">
        <v>69</v>
      </c>
    </row>
    <row r="8" spans="1:66" ht="14.5" customHeight="1" x14ac:dyDescent="0.35">
      <c r="B8" s="41">
        <v>10700444</v>
      </c>
      <c r="C8" s="13" t="s">
        <v>65</v>
      </c>
      <c r="D8" s="14" t="s">
        <v>66</v>
      </c>
      <c r="E8" t="s">
        <v>67</v>
      </c>
      <c r="F8" s="15" t="s">
        <v>128</v>
      </c>
      <c r="G8" s="16" t="s">
        <v>69</v>
      </c>
      <c r="H8" s="15" t="s">
        <v>129</v>
      </c>
      <c r="I8" s="17" t="s">
        <v>71</v>
      </c>
      <c r="J8" s="17" t="s">
        <v>72</v>
      </c>
      <c r="K8" s="17" t="s">
        <v>73</v>
      </c>
      <c r="L8" s="18">
        <f t="shared" ca="1" si="0"/>
        <v>45842</v>
      </c>
      <c r="M8" s="19" t="s">
        <v>74</v>
      </c>
      <c r="N8" t="s">
        <v>75</v>
      </c>
      <c r="O8" s="20" t="s">
        <v>76</v>
      </c>
      <c r="P8" s="17" t="s">
        <v>77</v>
      </c>
      <c r="Q8" s="21" t="s">
        <v>78</v>
      </c>
      <c r="R8" t="s">
        <v>75</v>
      </c>
      <c r="S8" s="17" t="s">
        <v>73</v>
      </c>
      <c r="T8" s="22" t="s">
        <v>79</v>
      </c>
      <c r="U8" s="23" t="s">
        <v>80</v>
      </c>
      <c r="V8" s="17" t="s">
        <v>73</v>
      </c>
      <c r="W8" t="s">
        <v>81</v>
      </c>
      <c r="X8" t="s">
        <v>82</v>
      </c>
      <c r="Y8" s="24" t="s">
        <v>83</v>
      </c>
      <c r="Z8" s="25" t="s">
        <v>84</v>
      </c>
      <c r="AA8" s="26" t="s">
        <v>85</v>
      </c>
      <c r="AB8" s="22">
        <f t="shared" ca="1" si="4"/>
        <v>45842</v>
      </c>
      <c r="AC8" s="27">
        <f t="shared" ca="1" si="5"/>
        <v>45842</v>
      </c>
      <c r="AD8" s="28" t="s">
        <v>86</v>
      </c>
      <c r="AE8" s="29" t="s">
        <v>87</v>
      </c>
      <c r="AF8" s="29" t="s">
        <v>88</v>
      </c>
      <c r="AG8" s="30">
        <f t="shared" ca="1" si="6"/>
        <v>45842</v>
      </c>
      <c r="AH8" s="22">
        <v>44986</v>
      </c>
      <c r="AI8" s="17" t="s">
        <v>89</v>
      </c>
      <c r="AJ8" s="17" t="s">
        <v>86</v>
      </c>
      <c r="AK8" s="31" t="s">
        <v>90</v>
      </c>
      <c r="AL8" s="32" t="s">
        <v>91</v>
      </c>
      <c r="AM8" s="31" t="s">
        <v>92</v>
      </c>
      <c r="AN8" s="19" t="s">
        <v>93</v>
      </c>
      <c r="AO8" s="19" t="s">
        <v>94</v>
      </c>
      <c r="AP8" s="33">
        <v>25</v>
      </c>
      <c r="AQ8" s="19" t="s">
        <v>86</v>
      </c>
      <c r="AR8" t="s">
        <v>95</v>
      </c>
      <c r="AS8" s="34" t="s">
        <v>86</v>
      </c>
      <c r="AT8" s="17" t="s">
        <v>96</v>
      </c>
      <c r="AU8" s="17" t="s">
        <v>97</v>
      </c>
      <c r="AV8" t="s">
        <v>98</v>
      </c>
      <c r="AW8" s="19" t="s">
        <v>74</v>
      </c>
      <c r="AX8" s="35" t="s">
        <v>99</v>
      </c>
      <c r="AY8" s="36">
        <v>100000089</v>
      </c>
      <c r="AZ8" t="s">
        <v>100</v>
      </c>
      <c r="BA8" s="37">
        <v>35709</v>
      </c>
      <c r="BB8" s="19" t="s">
        <v>74</v>
      </c>
      <c r="BC8" t="s">
        <v>75</v>
      </c>
      <c r="BD8" t="s">
        <v>75</v>
      </c>
      <c r="BE8" s="19" t="s">
        <v>74</v>
      </c>
      <c r="BF8" t="s">
        <v>101</v>
      </c>
      <c r="BG8" s="19" t="s">
        <v>102</v>
      </c>
      <c r="BH8" s="35" t="s">
        <v>103</v>
      </c>
      <c r="BI8" s="35" t="s">
        <v>104</v>
      </c>
      <c r="BJ8" s="35" t="s">
        <v>105</v>
      </c>
      <c r="BK8" s="35" t="s">
        <v>106</v>
      </c>
      <c r="BL8" s="17" t="s">
        <v>107</v>
      </c>
      <c r="BM8">
        <v>38</v>
      </c>
      <c r="BN8" s="38" t="s">
        <v>69</v>
      </c>
    </row>
  </sheetData>
  <dataValidations count="2">
    <dataValidation type="list" allowBlank="1" showInputMessage="1" showErrorMessage="1" sqref="AA2:AA8" xr:uid="{00000000-0002-0000-0000-000000000000}">
      <formula1>INDIRECT(#REF!)</formula1>
    </dataValidation>
    <dataValidation type="list" allowBlank="1" showInputMessage="1" showErrorMessage="1" sqref="AI2 V2:V8 S2:S8 K2:K8 BK2:BK8 AI8 AI6 AI4" xr:uid="{00000000-0002-0000-0000-000001000000}">
      <formula1>INDIRECT(#REF!)</formula1>
    </dataValidation>
  </dataValidations>
  <hyperlinks>
    <hyperlink ref="U2" r:id="rId1" xr:uid="{00000000-0004-0000-0000-000000000000}"/>
    <hyperlink ref="U3" r:id="rId2" xr:uid="{00000000-0004-0000-0000-000001000000}"/>
    <hyperlink ref="U4" r:id="rId3" xr:uid="{00000000-0004-0000-0000-000002000000}"/>
    <hyperlink ref="U5" r:id="rId4" xr:uid="{00000000-0004-0000-0000-000003000000}"/>
    <hyperlink ref="U6" r:id="rId5" xr:uid="{00000000-0004-0000-0000-000004000000}"/>
    <hyperlink ref="U7" r:id="rId6" xr:uid="{00000000-0004-0000-0000-000005000000}"/>
    <hyperlink ref="U8" r:id="rId7" xr:uid="{00000000-0004-0000-0000-000006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2025-08-04T12:50:44Z</dcterms:modified>
</cp:coreProperties>
</file>