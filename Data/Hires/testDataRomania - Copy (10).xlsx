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6D81B72F-5734-40D9-B001-BDEA1CB8390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16" i="1" l="1"/>
  <c r="AY16" i="1"/>
  <c r="AT16" i="1"/>
  <c r="W16" i="1"/>
  <c r="AH16" i="1" s="1"/>
  <c r="BA16" i="1" s="1"/>
  <c r="K16" i="1"/>
  <c r="BA15" i="1"/>
  <c r="AZ15" i="1"/>
  <c r="AY15" i="1"/>
  <c r="AT15" i="1"/>
  <c r="W15" i="1"/>
  <c r="K15" i="1"/>
  <c r="BA14" i="1"/>
  <c r="AZ14" i="1"/>
  <c r="AY14" i="1"/>
  <c r="AT14" i="1"/>
  <c r="W14" i="1"/>
  <c r="K14" i="1"/>
  <c r="AZ13" i="1"/>
  <c r="AY13" i="1"/>
  <c r="AT13" i="1"/>
  <c r="W13" i="1"/>
  <c r="AH13" i="1" s="1"/>
  <c r="BA13" i="1" s="1"/>
  <c r="K13" i="1"/>
  <c r="BA12" i="1"/>
  <c r="AZ12" i="1"/>
  <c r="AY12" i="1"/>
  <c r="AT12" i="1"/>
  <c r="W12" i="1"/>
  <c r="K12" i="1"/>
  <c r="AZ11" i="1"/>
  <c r="AY11" i="1"/>
  <c r="AT11" i="1"/>
  <c r="W11" i="1"/>
  <c r="AH11" i="1" s="1"/>
  <c r="BA11" i="1" s="1"/>
  <c r="K11" i="1"/>
  <c r="BA10" i="1"/>
  <c r="AZ10" i="1"/>
  <c r="AY10" i="1"/>
  <c r="AT10" i="1"/>
  <c r="W10" i="1"/>
  <c r="K10" i="1"/>
  <c r="AZ9" i="1"/>
  <c r="AY9" i="1"/>
  <c r="AT9" i="1"/>
  <c r="W9" i="1"/>
  <c r="AH9" i="1" s="1"/>
  <c r="BA9" i="1" s="1"/>
  <c r="K9" i="1"/>
  <c r="BA8" i="1"/>
  <c r="AZ8" i="1"/>
  <c r="AY8" i="1"/>
  <c r="AT8" i="1"/>
  <c r="W8" i="1"/>
  <c r="K8" i="1"/>
  <c r="AZ7" i="1"/>
  <c r="AY7" i="1"/>
  <c r="AT7" i="1"/>
  <c r="W7" i="1"/>
  <c r="AH7" i="1" s="1"/>
  <c r="BA7" i="1" s="1"/>
  <c r="K7" i="1"/>
  <c r="BA6" i="1"/>
  <c r="AZ6" i="1"/>
  <c r="AY6" i="1"/>
  <c r="AT6" i="1"/>
  <c r="W6" i="1"/>
  <c r="K6" i="1"/>
  <c r="AZ5" i="1"/>
  <c r="AY5" i="1"/>
  <c r="AT5" i="1"/>
  <c r="W5" i="1"/>
  <c r="AH5" i="1" s="1"/>
  <c r="BA5" i="1" s="1"/>
  <c r="K5" i="1"/>
  <c r="AZ4" i="1"/>
  <c r="AY4" i="1"/>
  <c r="AT4" i="1"/>
  <c r="W4" i="1"/>
  <c r="AH4" i="1" s="1"/>
  <c r="BA4" i="1" s="1"/>
  <c r="K4" i="1"/>
  <c r="AZ3" i="1"/>
  <c r="AY3" i="1"/>
  <c r="AT3" i="1"/>
  <c r="W3" i="1"/>
  <c r="AH3" i="1" s="1"/>
  <c r="BA3" i="1" s="1"/>
  <c r="K3" i="1"/>
  <c r="BA2" i="1"/>
  <c r="AZ2" i="1"/>
  <c r="AY2" i="1"/>
  <c r="AT2" i="1"/>
  <c r="W2" i="1"/>
  <c r="K2" i="1"/>
</calcChain>
</file>

<file path=xl/sharedStrings.xml><?xml version="1.0" encoding="utf-8"?>
<sst xmlns="http://schemas.openxmlformats.org/spreadsheetml/2006/main" count="1095" uniqueCount="210">
  <si>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</si>
  <si>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</si>
  <si>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</si>
  <si>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</si>
  <si>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</si>
  <si>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</si>
  <si>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</si>
  <si>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</si>
  <si>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</si>
  <si>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</si>
  <si>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</si>
  <si>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</si>
  <si>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</si>
  <si>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</si>
  <si>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</si>
  <si>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</si>
  <si>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</si>
  <si>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</si>
  <si>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</si>
  <si>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</si>
  <si>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</si>
  <si>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</si>
  <si>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</si>
  <si>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</si>
  <si>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</si>
  <si>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</si>
  <si>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</si>
  <si>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</si>
  <si>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</si>
  <si>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</si>
  <si>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</si>
  <si>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</si>
  <si>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</si>
  <si>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</si>
  <si>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</si>
  <si>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</si>
  <si>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MealVoucher</t>
  </si>
  <si>
    <t>MedicalInsurance</t>
  </si>
  <si>
    <t>HealthHouse</t>
  </si>
  <si>
    <t>BasicFunction</t>
  </si>
  <si>
    <t>Pensioner</t>
  </si>
  <si>
    <t>NegotiatedLeave</t>
  </si>
  <si>
    <t>ProbationReviewDate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</si>
  <si>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</si>
  <si>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</si>
  <si>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</si>
  <si>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</si>
  <si>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</si>
  <si>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</si>
  <si>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</si>
  <si>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</si>
  <si>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DepartmentSection1</t>
  </si>
  <si>
    <t>IssuedDate1</t>
  </si>
  <si>
    <t>ExpirationDate1</t>
  </si>
  <si>
    <t>Country2</t>
  </si>
  <si>
    <t>NationalIDType2</t>
  </si>
  <si>
    <t>DepartmentSection2</t>
  </si>
  <si>
    <t>IssuedDate2</t>
  </si>
  <si>
    <t>ExpirationDate2</t>
  </si>
  <si>
    <t>IssuedBy2</t>
  </si>
  <si>
    <t>Series2</t>
  </si>
  <si>
    <t>Salary</t>
  </si>
  <si>
    <t>Gender</t>
  </si>
  <si>
    <t>DateOfBirth</t>
  </si>
  <si>
    <t>CityOfBirth</t>
  </si>
  <si>
    <t>MaritalStatus</t>
  </si>
  <si>
    <t>MaritalStatusDate</t>
  </si>
  <si>
    <t>CitizenshipStatus</t>
  </si>
  <si>
    <t>PrimaryNationality</t>
  </si>
  <si>
    <t>BankName</t>
  </si>
  <si>
    <t>BankCode</t>
  </si>
  <si>
    <t>AccountType</t>
  </si>
  <si>
    <t>AccountNumber</t>
  </si>
  <si>
    <t>IBAN</t>
  </si>
  <si>
    <t>NameType</t>
  </si>
  <si>
    <t>GivenName1</t>
  </si>
  <si>
    <t>FamilyName1</t>
  </si>
  <si>
    <t>Test1</t>
  </si>
  <si>
    <t>10650864</t>
  </si>
  <si>
    <t>Passed</t>
  </si>
  <si>
    <t>880 Recruitment (Duhup Bapuza (10551546))</t>
  </si>
  <si>
    <t>Romania</t>
  </si>
  <si>
    <t>Mylene</t>
  </si>
  <si>
    <t>Heidenreich</t>
  </si>
  <si>
    <t>Mobile</t>
  </si>
  <si>
    <t>Home</t>
  </si>
  <si>
    <t>Automation Street Name</t>
  </si>
  <si>
    <t>Test</t>
  </si>
  <si>
    <t>ABRUD</t>
  </si>
  <si>
    <t>Alba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</si>
  <si>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</si>
  <si>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</si>
  <si>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</si>
  <si>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</si>
  <si>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</si>
  <si>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</si>
  <si>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</si>
  <si>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40</t>
  </si>
  <si>
    <t>C - Regular labour contract (Romania Contract Types-Romania)@522303@DN - Daylight and Night hours (Romania Time Allocation-Romania)</t>
  </si>
  <si>
    <t>5 Days</t>
  </si>
  <si>
    <t>N/A</t>
  </si>
  <si>
    <t>Automation Comments here….</t>
  </si>
  <si>
    <t>94 Retail Operatives</t>
  </si>
  <si>
    <t>06 Menswear</t>
  </si>
  <si>
    <t>Please select a Romania Pay Group</t>
  </si>
  <si>
    <t>RO Monthly</t>
  </si>
  <si>
    <t>No</t>
  </si>
  <si>
    <t>Choice A</t>
  </si>
  <si>
    <t>ALBA</t>
  </si>
  <si>
    <t>Yes</t>
  </si>
  <si>
    <t>Determined</t>
  </si>
  <si>
    <t>Active</t>
  </si>
  <si>
    <t>Personal Numeric Code (CNP)</t>
  </si>
  <si>
    <t>01/01/2000</t>
  </si>
  <si>
    <t>01/01/2040</t>
  </si>
  <si>
    <t>Identity Card Number</t>
  </si>
  <si>
    <t>Defaulted</t>
  </si>
  <si>
    <t>Female</t>
  </si>
  <si>
    <t>01/03/1980</t>
  </si>
  <si>
    <t>Single</t>
  </si>
  <si>
    <t>Citizen (Romania)</t>
  </si>
  <si>
    <t>ABN AMRO BANK ROMANIA</t>
  </si>
  <si>
    <t>ABNA</t>
  </si>
  <si>
    <t>Checking</t>
  </si>
  <si>
    <t>1B31007593840000</t>
  </si>
  <si>
    <t>RO49 AAAA 1B31 00759384 0000</t>
  </si>
  <si>
    <t>Father's Name</t>
  </si>
  <si>
    <t>AutoB</t>
  </si>
  <si>
    <t>one fine</t>
  </si>
  <si>
    <t>Test2</t>
  </si>
  <si>
    <t>10650865</t>
  </si>
  <si>
    <t>Josh</t>
  </si>
  <si>
    <t>Ziemann</t>
  </si>
  <si>
    <t>Fixed Term (Fixed Term)</t>
  </si>
  <si>
    <t>Part Time</t>
  </si>
  <si>
    <t>01 Accessories</t>
  </si>
  <si>
    <t>Test3</t>
  </si>
  <si>
    <t>Test failed for 'Osbaldo Grimes' Employee:{}Error: locator.count: Execution context was destroyed, most likely because of a navigation</t>
  </si>
  <si>
    <t>Failed</t>
  </si>
  <si>
    <t>880 Store Management (Dewes Kiwoba (10629083))</t>
  </si>
  <si>
    <t>Osbaldo</t>
  </si>
  <si>
    <t>Grimes</t>
  </si>
  <si>
    <t>Auto 36260162</t>
  </si>
  <si>
    <t>Store Manager_NEW</t>
  </si>
  <si>
    <t>92 Retail Management </t>
  </si>
  <si>
    <t>251 Management Retail</t>
  </si>
  <si>
    <t>Test4</t>
  </si>
  <si>
    <t xml:space="preserve">Test failed for 'Icie Haag' Employee:{}TimeoutError: locator.waitFor: Timeout 30000ms exceeded.
Call log:
  [2m- waiting for getByLabel('Job Profile') to be visible[22m
</t>
  </si>
  <si>
    <t>Icie</t>
  </si>
  <si>
    <t>Haag</t>
  </si>
  <si>
    <t>In-Store P&amp;C Manager_NEW</t>
  </si>
  <si>
    <t>Test5</t>
  </si>
  <si>
    <t>Test failed for 'Jany Keeling' Employee:{}Error: locator.count: Execution context was destroyed, most likely because of a navigation</t>
  </si>
  <si>
    <t>Jany</t>
  </si>
  <si>
    <t>Keeling</t>
  </si>
  <si>
    <t>Auto 88126019</t>
  </si>
  <si>
    <t>Assistant Store Manager_NEW</t>
  </si>
  <si>
    <t>Test6</t>
  </si>
  <si>
    <t xml:space="preserve">Test failed for 'Napoleon Reichert' Employee:{}TimeoutError: locator.waitFor: Timeout 30000ms exceeded.
Call log:
  [2m- waiting for getByLabel('Job Profile') to be visible[22m
</t>
  </si>
  <si>
    <t>Napoleon</t>
  </si>
  <si>
    <t>Reichert</t>
  </si>
  <si>
    <t>Auto 7860200</t>
  </si>
  <si>
    <t>Department Manager_NEW</t>
  </si>
  <si>
    <t>Test7</t>
  </si>
  <si>
    <t>Test failed for 'Dolly Altenwerth' Employee:{}Error: locator.count: Execution context was destroyed, most likely because of a navigation</t>
  </si>
  <si>
    <t>Dolly</t>
  </si>
  <si>
    <t>Altenwerth</t>
  </si>
  <si>
    <t>Auto 58910929</t>
  </si>
  <si>
    <t>Team Manager - Retail_NEW</t>
  </si>
  <si>
    <t>Test8</t>
  </si>
  <si>
    <t xml:space="preserve">Test failed for 'Maribel Bartell' Employee:{}TimeoutError: locator.waitFor: Timeout 30000ms exceeded.
Call log:
  [2m- waiting for getByLabel('Job Profile') to be visible[22m
</t>
  </si>
  <si>
    <t>Maribel</t>
  </si>
  <si>
    <t>Bartell</t>
  </si>
  <si>
    <t>Auto 72049688</t>
  </si>
  <si>
    <t>Visual Merchandising Manager_NEW</t>
  </si>
  <si>
    <t>Test9</t>
  </si>
  <si>
    <t>10650867</t>
  </si>
  <si>
    <t>Abigail</t>
  </si>
  <si>
    <t>Willms</t>
  </si>
  <si>
    <t>In-Store P&amp;C Assistant_NEW</t>
  </si>
  <si>
    <t>250 Human Resources Retail</t>
  </si>
  <si>
    <t xml:space="preserve">Defaulted
</t>
  </si>
  <si>
    <t>Test10</t>
  </si>
  <si>
    <t>10650868</t>
  </si>
  <si>
    <t>Freida</t>
  </si>
  <si>
    <t>Lindgren</t>
  </si>
  <si>
    <t>Visual Merchandiser_NEW</t>
  </si>
  <si>
    <t>256 Visual Merchandising</t>
  </si>
  <si>
    <t>Test11</t>
  </si>
  <si>
    <t>10650869</t>
  </si>
  <si>
    <t>Kelly</t>
  </si>
  <si>
    <t>Feil</t>
  </si>
  <si>
    <t>In-Store P&amp;C Supervisor_NEW</t>
  </si>
  <si>
    <t>Test12</t>
  </si>
  <si>
    <t>10650871</t>
  </si>
  <si>
    <t>Clay</t>
  </si>
  <si>
    <t>Blick</t>
  </si>
  <si>
    <t>05 Children’s Wear</t>
  </si>
  <si>
    <t>Test13</t>
  </si>
  <si>
    <t>10650872</t>
  </si>
  <si>
    <t>Tyshawn</t>
  </si>
  <si>
    <t>Gusikowski</t>
  </si>
  <si>
    <t>Test14</t>
  </si>
  <si>
    <t>Test failed for 'Jalen Leffler' Employee:{}Error: locator.count: Execution context was destroyed, most likely because of a navigation</t>
  </si>
  <si>
    <t>Jalen</t>
  </si>
  <si>
    <t>Leffler</t>
  </si>
  <si>
    <t>Auto 47101761</t>
  </si>
  <si>
    <t>Test15</t>
  </si>
  <si>
    <t>10650873</t>
  </si>
  <si>
    <t>Norene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</si>
</sst>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 applyAlignment="1">
      <alignment horizontal="left"/>
    </xf>
    <xf numFmtId="49" fontId="0" fillId="0" borderId="0" xfId="0" applyNumberFormat="1" applyAlignment="1">
      <alignment horizontal="left"/>
    </xf>
    <xf numFmtId="49" fontId="0" fillId="3" borderId="0" xfId="0" applyNumberFormat="1" applyFill="1"/>
    <xf numFmtId="49" fontId="0" fillId="3" borderId="0" xfId="0" applyNumberFormat="1" applyFill="1" applyAlignment="1">
      <alignment horizontal="left"/>
    </xf>
    <xf numFmtId="49" fontId="1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49" fontId="2" fillId="3" borderId="2" xfId="0" applyNumberFormat="1" applyFont="1" applyFill="1" applyBorder="1" applyAlignment="1">
      <alignment horizontal="left" wrapText="1"/>
    </xf>
    <xf numFmtId="49" fontId="1" fillId="0" borderId="3" xfId="0" applyNumberFormat="1" applyFont="1" applyBorder="1"/>
    <xf numFmtId="0" fontId="2" fillId="0" borderId="3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3" xfId="0" applyFont="1" applyBorder="1" applyAlignment="1" applyProtection="1">
      <alignment horizontal="left" wrapText="1"/>
      <protection locked="0"/>
    </xf>
    <xf numFmtId="49" fontId="1" fillId="0" borderId="3" xfId="0" applyNumberFormat="1" applyFont="1" applyBorder="1" applyAlignment="1">
      <alignment horizontal="left" wrapText="1"/>
    </xf>
    <xf numFmtId="0" fontId="2" fillId="0" borderId="3" xfId="0" applyFont="1" applyBorder="1" applyAlignment="1" applyProtection="1">
      <alignment wrapText="1"/>
      <protection locked="0"/>
    </xf>
    <xf numFmtId="14" fontId="2" fillId="0" borderId="3" xfId="0" applyNumberFormat="1" applyFont="1" applyBorder="1" applyAlignment="1">
      <alignment horizontal="left" wrapText="1"/>
    </xf>
    <xf numFmtId="0" fontId="4" fillId="0" borderId="3" xfId="0" applyFont="1" applyBorder="1" applyAlignment="1" applyProtection="1">
      <alignment wrapText="1"/>
      <protection locked="0"/>
    </xf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49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vertical="center" wrapText="1"/>
    </xf>
    <xf numFmtId="14" fontId="1" fillId="0" borderId="3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vertical="center"/>
    </xf>
    <xf numFmtId="14" fontId="2" fillId="0" borderId="3" xfId="0" applyNumberFormat="1" applyFont="1" applyBorder="1" applyAlignment="1" applyProtection="1">
      <alignment horizontal="left" wrapText="1"/>
      <protection locked="0"/>
    </xf>
    <xf numFmtId="14" fontId="1" fillId="0" borderId="3" xfId="0" applyNumberFormat="1" applyFont="1" applyBorder="1" applyAlignment="1">
      <alignment horizontal="left" wrapText="1"/>
    </xf>
    <xf numFmtId="164" fontId="2" fillId="0" borderId="3" xfId="0" applyNumberFormat="1" applyFont="1" applyBorder="1" applyAlignment="1" applyProtection="1">
      <alignment horizontal="left" wrapText="1"/>
      <protection locked="0"/>
    </xf>
    <xf numFmtId="1" fontId="1" fillId="0" borderId="0" xfId="0" applyNumberFormat="1" applyFont="1" applyAlignment="1">
      <alignment horizontal="left" wrapText="1"/>
    </xf>
    <xf numFmtId="0" fontId="2" fillId="0" borderId="3" xfId="0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 applyProtection="1">
      <alignment horizontal="left" wrapText="1"/>
      <protection locked="0"/>
    </xf>
    <xf numFmtId="49" fontId="2" fillId="0" borderId="3" xfId="0" applyNumberFormat="1" applyFont="1" applyBorder="1" applyAlignment="1">
      <alignment wrapText="1"/>
    </xf>
    <xf numFmtId="49" fontId="0" fillId="0" borderId="0" xfId="0" applyNumberFormat="1" applyAlignment="1">
      <alignment horizontal="left" wrapText="1"/>
    </xf>
    <xf numFmtId="49" fontId="4" fillId="0" borderId="3" xfId="0" applyNumberFormat="1" applyFont="1" applyBorder="1" applyAlignment="1" applyProtection="1">
      <alignment horizontal="left" wrapText="1"/>
      <protection locked="0"/>
    </xf>
    <xf numFmtId="0" fontId="0" fillId="0" borderId="3" xfId="0" applyBorder="1" applyAlignment="1">
      <alignment horizontal="left" vertical="top" wrapText="1"/>
    </xf>
    <xf numFmtId="49" fontId="5" fillId="0" borderId="0" xfId="0" applyNumberFormat="1" applyFont="1"/>
    <xf numFmtId="49" fontId="2" fillId="0" borderId="3" xfId="0" applyNumberFormat="1" applyFont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4" fillId="0" borderId="3" xfId="0" applyFont="1" applyBorder="1" applyAlignment="1" applyProtection="1">
      <alignment horizontal="left" wrapText="1"/>
      <protection locked="0"/>
    </xf>
    <xf numFmtId="1" fontId="0" fillId="0" borderId="0" xfId="0" applyNumberFormat="1" applyAlignment="1">
      <alignment horizontal="left" wrapText="1"/>
    </xf>
    <xf numFmtId="15" fontId="2" fillId="0" borderId="3" xfId="0" applyNumberFormat="1" applyFont="1" applyBorder="1" applyAlignment="1">
      <alignment horizontal="left" wrapText="1"/>
    </xf>
    <xf numFmtId="0" fontId="0" fillId="0" borderId="3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2"/>
  <sheetViews>
    <sheetView tabSelected="1" topLeftCell="BQ1" zoomScaleNormal="100" workbookViewId="0">
      <selection activeCell="BT2" sqref="BT2:BT16"/>
    </sheetView>
  </sheetViews>
  <sheetFormatPr defaultRowHeight="15.65" customHeight="1" outlineLevelRow="1" x14ac:dyDescent="0.35"/>
  <cols>
    <col min="1" max="1" width="10.81640625" style="1" customWidth="1"/>
    <col min="2" max="2" width="11.81640625" style="1" customWidth="1"/>
    <col min="3" max="3" width="9.36328125" style="1" customWidth="1"/>
    <col min="4" max="4" width="31" style="1" customWidth="1"/>
    <col min="5" max="5" width="8.1796875" style="1" customWidth="1"/>
    <col min="6" max="6" width="18.1796875" style="1" customWidth="1"/>
    <col min="7" max="7" width="12.36328125" style="1" customWidth="1"/>
    <col min="8" max="8" width="13" style="1" customWidth="1"/>
    <col min="9" max="9" width="11.54296875" style="1" customWidth="1"/>
    <col min="10" max="10" width="5.81640625" style="1" customWidth="1"/>
    <col min="11" max="11" width="11.81640625" style="2" customWidth="1"/>
    <col min="12" max="12" width="8.1796875" style="1" customWidth="1"/>
    <col min="13" max="13" width="21.7265625" style="1" customWidth="1"/>
    <col min="14" max="14" width="14.36328125" style="1" customWidth="1"/>
    <col min="15" max="15" width="12.54296875" style="1" customWidth="1"/>
    <col min="16" max="16" width="10.08984375" style="1" customWidth="1"/>
    <col min="17" max="18" width="6.72656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0.453125" style="2" customWidth="1"/>
    <col min="24" max="24" width="8.453125" style="1" customWidth="1"/>
    <col min="25" max="25" width="19.90625" style="1" customWidth="1"/>
    <col min="26" max="26" width="13.08984375" style="1" customWidth="1"/>
    <col min="27" max="27" width="31.1796875" style="1" customWidth="1"/>
    <col min="28" max="28" width="8.90625" style="1" customWidth="1"/>
    <col min="29" max="29" width="7.81640625" style="1" customWidth="1"/>
    <col min="30" max="30" width="11.453125" style="1" customWidth="1"/>
    <col min="31" max="31" width="20.6328125" style="1" customWidth="1"/>
    <col min="32" max="32" width="119.81640625" style="1" customWidth="1"/>
    <col min="33" max="33" width="9.08984375" style="1" customWidth="1"/>
    <col min="34" max="34" width="18.6328125" style="1" customWidth="1"/>
    <col min="35" max="35" width="26.7265625" style="1" customWidth="1"/>
    <col min="36" max="36" width="20.08984375" style="1" customWidth="1"/>
    <col min="37" max="37" width="24.6328125" style="1" customWidth="1"/>
    <col min="38" max="38" width="30.08984375" style="1" customWidth="1"/>
    <col min="39" max="39" width="21.08984375" style="1" customWidth="1"/>
    <col min="40" max="40" width="11.90625" style="1" customWidth="1"/>
    <col min="41" max="41" width="15.6328125" style="1" customWidth="1"/>
    <col min="42" max="42" width="11.54296875" style="1" customWidth="1"/>
    <col min="43" max="43" width="12.1796875" style="1" customWidth="1"/>
    <col min="44" max="44" width="12.453125" style="1" customWidth="1"/>
    <col min="45" max="45" width="14.7265625" style="1" customWidth="1"/>
    <col min="46" max="46" width="19" style="1" customWidth="1"/>
    <col min="47" max="47" width="6.90625" style="1" customWidth="1"/>
    <col min="48" max="48" width="9.7265625" style="1" customWidth="1"/>
    <col min="49" max="49" width="13" style="1" customWidth="1"/>
    <col min="50" max="50" width="5.90625" style="1" customWidth="1"/>
    <col min="51" max="51" width="18.54296875" style="2" customWidth="1"/>
    <col min="52" max="52" width="18.26953125" style="2" customWidth="1"/>
    <col min="53" max="53" width="15.08984375" style="2" customWidth="1"/>
    <col min="54" max="54" width="8.453125" style="1" customWidth="1"/>
    <col min="55" max="55" width="25.6328125" style="1" customWidth="1"/>
    <col min="56" max="56" width="17.36328125" style="1" customWidth="1"/>
    <col min="57" max="57" width="11.08984375" style="1" customWidth="1"/>
    <col min="58" max="58" width="14.26953125" style="1" customWidth="1"/>
    <col min="59" max="59" width="8.453125" style="1" customWidth="1"/>
    <col min="60" max="60" width="19" style="1" customWidth="1"/>
    <col min="61" max="61" width="17.08984375" style="1" customWidth="1"/>
    <col min="62" max="62" width="11.08984375" style="1" customWidth="1"/>
    <col min="63" max="63" width="14.26953125" style="1" customWidth="1"/>
    <col min="64" max="64" width="9.1796875" style="1" customWidth="1"/>
    <col min="65" max="65" width="6.7265625" style="1" customWidth="1"/>
    <col min="66" max="66" width="9" style="1" customWidth="1"/>
    <col min="67" max="67" width="7" style="1" customWidth="1"/>
    <col min="68" max="68" width="10.7265625" style="1" customWidth="1"/>
    <col min="69" max="69" width="9.90625" style="1" customWidth="1"/>
    <col min="70" max="70" width="11.90625" style="1" customWidth="1"/>
    <col min="71" max="71" width="15.90625" style="1" customWidth="1"/>
    <col min="72" max="72" width="15" style="1" customWidth="1"/>
    <col min="73" max="73" width="16.36328125" style="1" customWidth="1"/>
    <col min="74" max="74" width="24.26953125" style="1" customWidth="1"/>
    <col min="75" max="75" width="9.1796875" style="1" customWidth="1"/>
    <col min="76" max="76" width="11.54296875" style="1" customWidth="1"/>
    <col min="77" max="77" width="17.08984375" style="1" customWidth="1"/>
    <col min="78" max="78" width="28.26953125" style="1" customWidth="1"/>
    <col min="79" max="79" width="12.90625" style="1" customWidth="1"/>
    <col min="80" max="80" width="8.1796875" style="1" customWidth="1"/>
    <col min="81" max="81" width="11.453125" style="1" customWidth="1"/>
    <col min="82" max="82" width="12.08984375" style="1" customWidth="1"/>
    <col min="83" max="83" width="8.7265625" customWidth="1"/>
  </cols>
  <sheetData>
    <row r="1" spans="1:82" s="3" customFormat="1" ht="14.5" customHeight="1" outlineLevel="1" collapsed="1" x14ac:dyDescent="0.25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4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9</v>
      </c>
      <c r="T1" s="6" t="s">
        <v>17</v>
      </c>
      <c r="U1" s="6" t="s">
        <v>18</v>
      </c>
      <c r="V1" s="6" t="s">
        <v>9</v>
      </c>
      <c r="W1" s="5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5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7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20</v>
      </c>
      <c r="AV1" s="6" t="s">
        <v>43</v>
      </c>
      <c r="AW1" s="6" t="s">
        <v>44</v>
      </c>
      <c r="AX1" s="6" t="s">
        <v>45</v>
      </c>
      <c r="AY1" s="6" t="s">
        <v>46</v>
      </c>
      <c r="AZ1" s="6" t="s">
        <v>47</v>
      </c>
      <c r="BA1" s="5" t="s">
        <v>48</v>
      </c>
      <c r="BB1" s="6" t="s">
        <v>49</v>
      </c>
      <c r="BC1" s="6" t="s">
        <v>50</v>
      </c>
      <c r="BD1" s="6" t="s">
        <v>51</v>
      </c>
      <c r="BE1" s="6" t="s">
        <v>52</v>
      </c>
      <c r="BF1" s="6" t="s">
        <v>53</v>
      </c>
      <c r="BG1" s="6" t="s">
        <v>54</v>
      </c>
      <c r="BH1" s="6" t="s">
        <v>55</v>
      </c>
      <c r="BI1" s="6" t="s">
        <v>56</v>
      </c>
      <c r="BJ1" s="6" t="s">
        <v>57</v>
      </c>
      <c r="BK1" s="6" t="s">
        <v>58</v>
      </c>
      <c r="BL1" s="6" t="s">
        <v>59</v>
      </c>
      <c r="BM1" s="6" t="s">
        <v>60</v>
      </c>
      <c r="BN1" s="6" t="s">
        <v>61</v>
      </c>
      <c r="BO1" s="6" t="s">
        <v>62</v>
      </c>
      <c r="BP1" s="6" t="s">
        <v>63</v>
      </c>
      <c r="BQ1" s="6" t="s">
        <v>64</v>
      </c>
      <c r="BR1" s="6" t="s">
        <v>65</v>
      </c>
      <c r="BS1" s="6" t="s">
        <v>66</v>
      </c>
      <c r="BT1" s="6" t="s">
        <v>67</v>
      </c>
      <c r="BU1" s="6" t="s">
        <v>68</v>
      </c>
      <c r="BV1" s="6" t="s">
        <v>69</v>
      </c>
      <c r="BW1" s="6" t="s">
        <v>70</v>
      </c>
      <c r="BX1" s="6" t="s">
        <v>71</v>
      </c>
      <c r="BY1" s="6" t="s">
        <v>72</v>
      </c>
      <c r="BZ1" s="6" t="s">
        <v>73</v>
      </c>
      <c r="CA1" s="6" t="s">
        <v>74</v>
      </c>
      <c r="CB1" s="6" t="s">
        <v>4</v>
      </c>
      <c r="CC1" s="6" t="s">
        <v>75</v>
      </c>
      <c r="CD1" s="8" t="s">
        <v>76</v>
      </c>
    </row>
    <row r="2" spans="1:82" ht="15.65" customHeight="1" x14ac:dyDescent="0.35">
      <c r="A2" s="1" t="s">
        <v>77</v>
      </c>
      <c r="B2" s="2" t="s">
        <v>78</v>
      </c>
      <c r="C2" s="1" t="s">
        <v>79</v>
      </c>
      <c r="D2" s="9" t="s">
        <v>80</v>
      </c>
      <c r="E2" s="10" t="s">
        <v>81</v>
      </c>
      <c r="F2" s="11" t="s">
        <v>82</v>
      </c>
      <c r="G2" s="11" t="s">
        <v>83</v>
      </c>
      <c r="H2" s="12">
        <v>720527700</v>
      </c>
      <c r="I2" s="12" t="s">
        <v>84</v>
      </c>
      <c r="J2" s="12" t="s">
        <v>85</v>
      </c>
      <c r="K2" s="13" t="str">
        <f t="shared" ref="K2:K16" ca="1" si="0">TEXT(TODAY()-100,"DD/MM/YYYY")</f>
        <v>13/07/2024</v>
      </c>
      <c r="L2" s="10" t="s">
        <v>81</v>
      </c>
      <c r="M2" s="14" t="s">
        <v>86</v>
      </c>
      <c r="N2" s="12">
        <v>1</v>
      </c>
      <c r="O2" s="12" t="s">
        <v>87</v>
      </c>
      <c r="P2" s="12">
        <v>515100</v>
      </c>
      <c r="Q2" s="12" t="s">
        <v>88</v>
      </c>
      <c r="R2" s="12" t="s">
        <v>89</v>
      </c>
      <c r="S2" s="12" t="s">
        <v>85</v>
      </c>
      <c r="T2" s="15" t="s">
        <v>90</v>
      </c>
      <c r="U2" s="16" t="s">
        <v>91</v>
      </c>
      <c r="V2" s="12" t="s">
        <v>85</v>
      </c>
      <c r="W2" s="13" t="str">
        <f t="shared" ref="W2:W16" ca="1" si="1">TEXT(TODAY()-100,"DD/MM/YYYY")</f>
        <v>13/07/2024</v>
      </c>
      <c r="X2" s="12" t="s">
        <v>92</v>
      </c>
      <c r="Y2" s="15" t="s">
        <v>93</v>
      </c>
      <c r="Z2" s="17" t="s">
        <v>94</v>
      </c>
      <c r="AA2" s="18" t="s">
        <v>95</v>
      </c>
      <c r="AB2" s="17" t="s">
        <v>96</v>
      </c>
      <c r="AC2" s="19">
        <v>880</v>
      </c>
      <c r="AD2" s="20" t="s">
        <v>61</v>
      </c>
      <c r="AE2" s="20" t="s">
        <v>97</v>
      </c>
      <c r="AF2" s="21" t="s">
        <v>98</v>
      </c>
      <c r="AG2" s="10" t="s">
        <v>99</v>
      </c>
      <c r="AH2" s="22" t="s">
        <v>100</v>
      </c>
      <c r="AI2" s="12" t="s">
        <v>101</v>
      </c>
      <c r="AJ2" s="23" t="s">
        <v>102</v>
      </c>
      <c r="AK2" s="19" t="s">
        <v>103</v>
      </c>
      <c r="AL2" s="12" t="s">
        <v>104</v>
      </c>
      <c r="AM2" s="12" t="s">
        <v>105</v>
      </c>
      <c r="AN2" s="10" t="s">
        <v>106</v>
      </c>
      <c r="AO2" s="24" t="s">
        <v>107</v>
      </c>
      <c r="AP2" s="24" t="s">
        <v>108</v>
      </c>
      <c r="AQ2" s="10" t="s">
        <v>109</v>
      </c>
      <c r="AR2" s="10" t="s">
        <v>106</v>
      </c>
      <c r="AS2" s="12">
        <v>1</v>
      </c>
      <c r="AT2" s="25" t="str">
        <f t="shared" ref="AT2:AT16" ca="1" si="2">TEXT(TODAY()-100,"DD/MM/YYYY")</f>
        <v>13/07/2024</v>
      </c>
      <c r="AU2" s="10" t="s">
        <v>100</v>
      </c>
      <c r="AV2" s="10" t="s">
        <v>100</v>
      </c>
      <c r="AW2" s="10" t="s">
        <v>110</v>
      </c>
      <c r="AX2" s="14" t="s">
        <v>111</v>
      </c>
      <c r="AY2" s="13" t="str">
        <f t="shared" ref="AY2:AZ16" ca="1" si="3">TEXT(TODAY()-100,"DD/MM/YYYY")</f>
        <v>13/07/2024</v>
      </c>
      <c r="AZ2" s="13" t="str">
        <f t="shared" ca="1" si="3"/>
        <v>13/07/2024</v>
      </c>
      <c r="BA2" s="22" t="str">
        <f t="shared" ref="BA2:BA16" si="4">AH2</f>
        <v>N/A</v>
      </c>
      <c r="BB2" s="26" t="s">
        <v>81</v>
      </c>
      <c r="BC2" s="26" t="s">
        <v>112</v>
      </c>
      <c r="BD2" s="27">
        <v>1631210428903</v>
      </c>
      <c r="BE2" s="15" t="s">
        <v>113</v>
      </c>
      <c r="BF2" s="15" t="s">
        <v>114</v>
      </c>
      <c r="BG2" s="26" t="s">
        <v>81</v>
      </c>
      <c r="BH2" s="26" t="s">
        <v>115</v>
      </c>
      <c r="BI2" s="28">
        <v>935769</v>
      </c>
      <c r="BJ2" s="15" t="s">
        <v>113</v>
      </c>
      <c r="BK2" s="15" t="s">
        <v>114</v>
      </c>
      <c r="BL2" s="29" t="s">
        <v>87</v>
      </c>
      <c r="BM2" s="29" t="s">
        <v>87</v>
      </c>
      <c r="BN2" s="29" t="s">
        <v>116</v>
      </c>
      <c r="BO2" s="29" t="s">
        <v>117</v>
      </c>
      <c r="BP2" s="15" t="s">
        <v>118</v>
      </c>
      <c r="BQ2" s="29" t="s">
        <v>89</v>
      </c>
      <c r="BR2" s="29" t="s">
        <v>119</v>
      </c>
      <c r="BS2" s="29" t="s">
        <v>100</v>
      </c>
      <c r="BT2" s="30" t="s">
        <v>120</v>
      </c>
      <c r="BU2" s="30" t="s">
        <v>81</v>
      </c>
      <c r="BV2" s="31" t="s">
        <v>121</v>
      </c>
      <c r="BW2" s="31" t="s">
        <v>122</v>
      </c>
      <c r="BX2" s="30" t="s">
        <v>123</v>
      </c>
      <c r="BY2" s="30" t="s">
        <v>124</v>
      </c>
      <c r="BZ2" s="30" t="s">
        <v>125</v>
      </c>
      <c r="CA2" s="30" t="s">
        <v>126</v>
      </c>
      <c r="CB2" s="30" t="s">
        <v>81</v>
      </c>
      <c r="CC2" s="30" t="s">
        <v>127</v>
      </c>
      <c r="CD2" s="30" t="s">
        <v>128</v>
      </c>
    </row>
    <row r="3" spans="1:82" ht="15.65" customHeight="1" x14ac:dyDescent="0.35">
      <c r="A3" s="1" t="s">
        <v>129</v>
      </c>
      <c r="B3" s="32" t="s">
        <v>130</v>
      </c>
      <c r="C3" s="1" t="s">
        <v>79</v>
      </c>
      <c r="D3" s="9" t="s">
        <v>80</v>
      </c>
      <c r="E3" s="10" t="s">
        <v>81</v>
      </c>
      <c r="F3" s="11" t="s">
        <v>131</v>
      </c>
      <c r="G3" s="11" t="s">
        <v>132</v>
      </c>
      <c r="H3" s="12">
        <v>720527700</v>
      </c>
      <c r="I3" s="12" t="s">
        <v>84</v>
      </c>
      <c r="J3" s="12" t="s">
        <v>85</v>
      </c>
      <c r="K3" s="13" t="str">
        <f t="shared" ca="1" si="0"/>
        <v>13/07/2024</v>
      </c>
      <c r="L3" s="29" t="s">
        <v>81</v>
      </c>
      <c r="M3" s="30" t="s">
        <v>86</v>
      </c>
      <c r="N3" s="30">
        <v>1</v>
      </c>
      <c r="O3" s="30" t="s">
        <v>87</v>
      </c>
      <c r="P3" s="30">
        <v>515100</v>
      </c>
      <c r="Q3" s="30" t="s">
        <v>88</v>
      </c>
      <c r="R3" s="30" t="s">
        <v>89</v>
      </c>
      <c r="S3" s="30" t="s">
        <v>85</v>
      </c>
      <c r="T3" s="29" t="s">
        <v>90</v>
      </c>
      <c r="U3" s="33" t="s">
        <v>91</v>
      </c>
      <c r="V3" s="30" t="s">
        <v>85</v>
      </c>
      <c r="W3" s="13" t="str">
        <f t="shared" ca="1" si="1"/>
        <v>13/07/2024</v>
      </c>
      <c r="X3" s="12" t="s">
        <v>92</v>
      </c>
      <c r="Y3" s="15" t="s">
        <v>93</v>
      </c>
      <c r="Z3" s="17" t="s">
        <v>133</v>
      </c>
      <c r="AA3" s="18" t="s">
        <v>95</v>
      </c>
      <c r="AB3" s="17" t="s">
        <v>134</v>
      </c>
      <c r="AC3" s="19">
        <v>880</v>
      </c>
      <c r="AD3" s="20" t="s">
        <v>61</v>
      </c>
      <c r="AE3" s="20">
        <v>25</v>
      </c>
      <c r="AF3" s="28" t="s">
        <v>98</v>
      </c>
      <c r="AG3" s="10" t="s">
        <v>99</v>
      </c>
      <c r="AH3" s="22">
        <f ca="1">W3+360</f>
        <v>45846</v>
      </c>
      <c r="AI3" s="12" t="s">
        <v>101</v>
      </c>
      <c r="AJ3" s="23" t="s">
        <v>102</v>
      </c>
      <c r="AK3" s="23" t="s">
        <v>135</v>
      </c>
      <c r="AL3" s="12" t="s">
        <v>104</v>
      </c>
      <c r="AM3" s="12" t="s">
        <v>105</v>
      </c>
      <c r="AN3" s="10" t="s">
        <v>106</v>
      </c>
      <c r="AO3" s="24" t="s">
        <v>107</v>
      </c>
      <c r="AP3" s="24" t="s">
        <v>108</v>
      </c>
      <c r="AQ3" s="10" t="s">
        <v>106</v>
      </c>
      <c r="AR3" s="10" t="s">
        <v>106</v>
      </c>
      <c r="AS3" s="12">
        <v>2</v>
      </c>
      <c r="AT3" s="25" t="str">
        <f t="shared" ca="1" si="2"/>
        <v>13/07/2024</v>
      </c>
      <c r="AU3" s="10" t="s">
        <v>100</v>
      </c>
      <c r="AV3" s="10" t="s">
        <v>100</v>
      </c>
      <c r="AW3" s="29" t="s">
        <v>110</v>
      </c>
      <c r="AX3" s="30" t="s">
        <v>111</v>
      </c>
      <c r="AY3" s="13" t="str">
        <f t="shared" ca="1" si="3"/>
        <v>13/07/2024</v>
      </c>
      <c r="AZ3" s="13" t="str">
        <f t="shared" ca="1" si="3"/>
        <v>13/07/2024</v>
      </c>
      <c r="BA3" s="22">
        <f t="shared" ca="1" si="4"/>
        <v>45846</v>
      </c>
      <c r="BB3" s="26" t="s">
        <v>81</v>
      </c>
      <c r="BC3" s="26" t="s">
        <v>112</v>
      </c>
      <c r="BD3" s="27">
        <v>1481209206401</v>
      </c>
      <c r="BE3" s="15" t="s">
        <v>113</v>
      </c>
      <c r="BF3" s="15" t="s">
        <v>114</v>
      </c>
      <c r="BG3" s="26" t="s">
        <v>81</v>
      </c>
      <c r="BH3" s="26" t="s">
        <v>115</v>
      </c>
      <c r="BI3" s="28">
        <v>935770</v>
      </c>
      <c r="BJ3" s="15" t="s">
        <v>113</v>
      </c>
      <c r="BK3" s="15" t="s">
        <v>114</v>
      </c>
      <c r="BL3" s="29" t="s">
        <v>87</v>
      </c>
      <c r="BM3" s="29" t="s">
        <v>87</v>
      </c>
      <c r="BN3" s="29" t="s">
        <v>116</v>
      </c>
      <c r="BO3" s="29" t="s">
        <v>117</v>
      </c>
      <c r="BP3" s="15" t="s">
        <v>118</v>
      </c>
      <c r="BQ3" s="29" t="s">
        <v>89</v>
      </c>
      <c r="BR3" s="29" t="s">
        <v>119</v>
      </c>
      <c r="BS3" s="29" t="s">
        <v>100</v>
      </c>
      <c r="BT3" s="30" t="s">
        <v>120</v>
      </c>
      <c r="BU3" s="30" t="s">
        <v>81</v>
      </c>
      <c r="BV3" s="29" t="s">
        <v>121</v>
      </c>
      <c r="BW3" s="29" t="s">
        <v>122</v>
      </c>
      <c r="BX3" s="30" t="s">
        <v>123</v>
      </c>
      <c r="BY3" s="30" t="s">
        <v>124</v>
      </c>
      <c r="BZ3" s="30" t="s">
        <v>125</v>
      </c>
      <c r="CA3" s="30" t="s">
        <v>126</v>
      </c>
      <c r="CB3" s="30" t="s">
        <v>81</v>
      </c>
      <c r="CC3" s="30" t="s">
        <v>127</v>
      </c>
      <c r="CD3" s="30" t="s">
        <v>128</v>
      </c>
    </row>
    <row r="4" spans="1:82" ht="15.65" customHeight="1" x14ac:dyDescent="0.35">
      <c r="A4" s="1" t="s">
        <v>136</v>
      </c>
      <c r="B4" s="2" t="s">
        <v>137</v>
      </c>
      <c r="C4" s="1" t="s">
        <v>138</v>
      </c>
      <c r="D4" s="9" t="s">
        <v>139</v>
      </c>
      <c r="E4" s="10" t="s">
        <v>81</v>
      </c>
      <c r="F4" s="11" t="s">
        <v>140</v>
      </c>
      <c r="G4" s="11" t="s">
        <v>141</v>
      </c>
      <c r="H4" s="12">
        <v>720527700</v>
      </c>
      <c r="I4" s="12" t="s">
        <v>84</v>
      </c>
      <c r="J4" s="12" t="s">
        <v>85</v>
      </c>
      <c r="K4" s="13" t="str">
        <f t="shared" ca="1" si="0"/>
        <v>13/07/2024</v>
      </c>
      <c r="L4" s="10" t="s">
        <v>81</v>
      </c>
      <c r="M4" s="14" t="s">
        <v>86</v>
      </c>
      <c r="N4" s="12">
        <v>1</v>
      </c>
      <c r="O4" s="12" t="s">
        <v>87</v>
      </c>
      <c r="P4" s="12">
        <v>515100</v>
      </c>
      <c r="Q4" s="12" t="s">
        <v>88</v>
      </c>
      <c r="R4" s="12" t="s">
        <v>89</v>
      </c>
      <c r="S4" s="12" t="s">
        <v>85</v>
      </c>
      <c r="T4" s="15" t="s">
        <v>90</v>
      </c>
      <c r="U4" s="16" t="s">
        <v>91</v>
      </c>
      <c r="V4" s="12" t="s">
        <v>85</v>
      </c>
      <c r="W4" s="13" t="str">
        <f t="shared" ca="1" si="1"/>
        <v>13/07/2024</v>
      </c>
      <c r="X4" s="12" t="s">
        <v>92</v>
      </c>
      <c r="Y4" s="15" t="s">
        <v>142</v>
      </c>
      <c r="Z4" s="17" t="s">
        <v>133</v>
      </c>
      <c r="AA4" s="34" t="s">
        <v>143</v>
      </c>
      <c r="AB4" s="17" t="s">
        <v>96</v>
      </c>
      <c r="AC4" s="19">
        <v>880</v>
      </c>
      <c r="AD4" s="20" t="s">
        <v>61</v>
      </c>
      <c r="AE4" s="20">
        <v>40</v>
      </c>
      <c r="AF4" s="21" t="s">
        <v>98</v>
      </c>
      <c r="AG4" s="10" t="s">
        <v>99</v>
      </c>
      <c r="AH4" s="22">
        <f ca="1">W4+360</f>
        <v>45846</v>
      </c>
      <c r="AI4" s="12" t="s">
        <v>101</v>
      </c>
      <c r="AJ4" s="35" t="s">
        <v>144</v>
      </c>
      <c r="AK4" s="36" t="s">
        <v>145</v>
      </c>
      <c r="AL4" s="12" t="s">
        <v>104</v>
      </c>
      <c r="AM4" s="12" t="s">
        <v>105</v>
      </c>
      <c r="AN4" s="10" t="s">
        <v>106</v>
      </c>
      <c r="AO4" s="24" t="s">
        <v>107</v>
      </c>
      <c r="AP4" s="24" t="s">
        <v>108</v>
      </c>
      <c r="AQ4" s="10" t="s">
        <v>109</v>
      </c>
      <c r="AR4" s="10" t="s">
        <v>106</v>
      </c>
      <c r="AS4" s="12">
        <v>3</v>
      </c>
      <c r="AT4" s="25" t="str">
        <f t="shared" ca="1" si="2"/>
        <v>13/07/2024</v>
      </c>
      <c r="AU4" s="10" t="s">
        <v>100</v>
      </c>
      <c r="AV4" s="10" t="s">
        <v>100</v>
      </c>
      <c r="AW4" s="10" t="s">
        <v>110</v>
      </c>
      <c r="AX4" s="14" t="s">
        <v>111</v>
      </c>
      <c r="AY4" s="13" t="str">
        <f t="shared" ca="1" si="3"/>
        <v>13/07/2024</v>
      </c>
      <c r="AZ4" s="13" t="str">
        <f t="shared" ca="1" si="3"/>
        <v>13/07/2024</v>
      </c>
      <c r="BA4" s="22">
        <f t="shared" ca="1" si="4"/>
        <v>45846</v>
      </c>
      <c r="BB4" s="26" t="s">
        <v>81</v>
      </c>
      <c r="BC4" s="26" t="s">
        <v>112</v>
      </c>
      <c r="BD4" s="27">
        <v>1691229372145</v>
      </c>
      <c r="BE4" s="15" t="s">
        <v>113</v>
      </c>
      <c r="BF4" s="15" t="s">
        <v>114</v>
      </c>
      <c r="BG4" s="26" t="s">
        <v>81</v>
      </c>
      <c r="BH4" s="26" t="s">
        <v>115</v>
      </c>
      <c r="BI4" s="28">
        <v>935771</v>
      </c>
      <c r="BJ4" s="15" t="s">
        <v>113</v>
      </c>
      <c r="BK4" s="15" t="s">
        <v>114</v>
      </c>
      <c r="BL4" s="29" t="s">
        <v>87</v>
      </c>
      <c r="BM4" s="29" t="s">
        <v>87</v>
      </c>
      <c r="BN4" s="29" t="s">
        <v>116</v>
      </c>
      <c r="BO4" s="29" t="s">
        <v>117</v>
      </c>
      <c r="BP4" s="15" t="s">
        <v>118</v>
      </c>
      <c r="BQ4" s="29" t="s">
        <v>89</v>
      </c>
      <c r="BR4" s="29" t="s">
        <v>119</v>
      </c>
      <c r="BS4" s="29" t="s">
        <v>100</v>
      </c>
      <c r="BT4" s="30" t="s">
        <v>120</v>
      </c>
      <c r="BU4" s="30" t="s">
        <v>81</v>
      </c>
      <c r="BV4" s="31" t="s">
        <v>121</v>
      </c>
      <c r="BW4" s="31" t="s">
        <v>122</v>
      </c>
      <c r="BX4" s="30" t="s">
        <v>123</v>
      </c>
      <c r="BY4" s="30" t="s">
        <v>124</v>
      </c>
      <c r="BZ4" s="30" t="s">
        <v>125</v>
      </c>
      <c r="CA4" s="30" t="s">
        <v>126</v>
      </c>
      <c r="CB4" s="30" t="s">
        <v>81</v>
      </c>
      <c r="CC4" s="30" t="s">
        <v>127</v>
      </c>
      <c r="CD4" s="30" t="s">
        <v>128</v>
      </c>
    </row>
    <row r="5" spans="1:82" ht="15.65" customHeight="1" x14ac:dyDescent="0.35">
      <c r="A5" s="1" t="s">
        <v>146</v>
      </c>
      <c r="B5" s="32" t="s">
        <v>147</v>
      </c>
      <c r="C5" s="1" t="s">
        <v>138</v>
      </c>
      <c r="D5" s="9" t="s">
        <v>139</v>
      </c>
      <c r="E5" s="10" t="s">
        <v>81</v>
      </c>
      <c r="F5" s="11" t="s">
        <v>148</v>
      </c>
      <c r="G5" s="11" t="s">
        <v>149</v>
      </c>
      <c r="H5" s="12">
        <v>720527700</v>
      </c>
      <c r="I5" s="12" t="s">
        <v>84</v>
      </c>
      <c r="J5" s="12" t="s">
        <v>85</v>
      </c>
      <c r="K5" s="13" t="str">
        <f t="shared" ca="1" si="0"/>
        <v>13/07/2024</v>
      </c>
      <c r="L5" s="29" t="s">
        <v>81</v>
      </c>
      <c r="M5" s="30" t="s">
        <v>86</v>
      </c>
      <c r="N5" s="30">
        <v>1</v>
      </c>
      <c r="O5" s="30" t="s">
        <v>87</v>
      </c>
      <c r="P5" s="30">
        <v>515100</v>
      </c>
      <c r="Q5" s="30" t="s">
        <v>88</v>
      </c>
      <c r="R5" s="30" t="s">
        <v>89</v>
      </c>
      <c r="S5" s="30" t="s">
        <v>85</v>
      </c>
      <c r="T5" s="29" t="s">
        <v>90</v>
      </c>
      <c r="U5" s="33" t="s">
        <v>91</v>
      </c>
      <c r="V5" s="30" t="s">
        <v>85</v>
      </c>
      <c r="W5" s="13" t="str">
        <f t="shared" ca="1" si="1"/>
        <v>13/07/2024</v>
      </c>
      <c r="X5" s="12" t="s">
        <v>92</v>
      </c>
      <c r="Y5" s="15" t="s">
        <v>93</v>
      </c>
      <c r="Z5" s="17" t="s">
        <v>133</v>
      </c>
      <c r="AA5" s="17" t="s">
        <v>150</v>
      </c>
      <c r="AB5" s="18" t="s">
        <v>134</v>
      </c>
      <c r="AC5" s="19">
        <v>880</v>
      </c>
      <c r="AD5" s="20" t="s">
        <v>61</v>
      </c>
      <c r="AE5" s="20">
        <v>35</v>
      </c>
      <c r="AF5" s="20" t="s">
        <v>98</v>
      </c>
      <c r="AG5" s="10" t="s">
        <v>99</v>
      </c>
      <c r="AH5" s="22">
        <f ca="1">W5+360</f>
        <v>45846</v>
      </c>
      <c r="AI5" s="12" t="s">
        <v>101</v>
      </c>
      <c r="AJ5" s="35" t="s">
        <v>144</v>
      </c>
      <c r="AK5" s="36" t="s">
        <v>145</v>
      </c>
      <c r="AL5" s="12" t="s">
        <v>104</v>
      </c>
      <c r="AM5" s="12" t="s">
        <v>105</v>
      </c>
      <c r="AN5" s="10" t="s">
        <v>106</v>
      </c>
      <c r="AO5" s="24" t="s">
        <v>107</v>
      </c>
      <c r="AP5" s="24" t="s">
        <v>108</v>
      </c>
      <c r="AQ5" s="10" t="s">
        <v>106</v>
      </c>
      <c r="AR5" s="10" t="s">
        <v>109</v>
      </c>
      <c r="AS5" s="12">
        <v>1</v>
      </c>
      <c r="AT5" s="25" t="str">
        <f t="shared" ca="1" si="2"/>
        <v>13/07/2024</v>
      </c>
      <c r="AU5" s="10" t="s">
        <v>100</v>
      </c>
      <c r="AV5" s="10" t="s">
        <v>100</v>
      </c>
      <c r="AW5" s="29" t="s">
        <v>110</v>
      </c>
      <c r="AX5" s="30" t="s">
        <v>111</v>
      </c>
      <c r="AY5" s="13" t="str">
        <f t="shared" ca="1" si="3"/>
        <v>13/07/2024</v>
      </c>
      <c r="AZ5" s="13" t="str">
        <f t="shared" ca="1" si="3"/>
        <v>13/07/2024</v>
      </c>
      <c r="BA5" s="22">
        <f t="shared" ca="1" si="4"/>
        <v>45846</v>
      </c>
      <c r="BB5" s="26" t="s">
        <v>81</v>
      </c>
      <c r="BC5" s="26" t="s">
        <v>112</v>
      </c>
      <c r="BD5" s="27">
        <v>1670420450630</v>
      </c>
      <c r="BE5" s="15" t="s">
        <v>113</v>
      </c>
      <c r="BF5" s="15" t="s">
        <v>114</v>
      </c>
      <c r="BG5" s="26" t="s">
        <v>81</v>
      </c>
      <c r="BH5" s="26" t="s">
        <v>115</v>
      </c>
      <c r="BI5" s="28">
        <v>935772</v>
      </c>
      <c r="BJ5" s="15" t="s">
        <v>113</v>
      </c>
      <c r="BK5" s="15" t="s">
        <v>114</v>
      </c>
      <c r="BL5" s="29" t="s">
        <v>87</v>
      </c>
      <c r="BM5" s="29" t="s">
        <v>87</v>
      </c>
      <c r="BN5" s="29" t="s">
        <v>116</v>
      </c>
      <c r="BO5" s="29" t="s">
        <v>117</v>
      </c>
      <c r="BP5" s="15" t="s">
        <v>118</v>
      </c>
      <c r="BQ5" s="29" t="s">
        <v>89</v>
      </c>
      <c r="BR5" s="29" t="s">
        <v>119</v>
      </c>
      <c r="BS5" s="29" t="s">
        <v>100</v>
      </c>
      <c r="BT5" s="30" t="s">
        <v>120</v>
      </c>
      <c r="BU5" s="30" t="s">
        <v>81</v>
      </c>
      <c r="BV5" s="29" t="s">
        <v>121</v>
      </c>
      <c r="BW5" s="29" t="s">
        <v>122</v>
      </c>
      <c r="BX5" s="30" t="s">
        <v>123</v>
      </c>
      <c r="BY5" s="30" t="s">
        <v>124</v>
      </c>
      <c r="BZ5" s="30" t="s">
        <v>125</v>
      </c>
      <c r="CA5" s="30" t="s">
        <v>126</v>
      </c>
      <c r="CB5" s="30" t="s">
        <v>81</v>
      </c>
      <c r="CC5" s="30" t="s">
        <v>127</v>
      </c>
      <c r="CD5" s="30" t="s">
        <v>128</v>
      </c>
    </row>
    <row r="6" spans="1:82" ht="15.65" customHeight="1" x14ac:dyDescent="0.35">
      <c r="A6" s="1" t="s">
        <v>151</v>
      </c>
      <c r="B6" s="32" t="s">
        <v>152</v>
      </c>
      <c r="C6" s="1" t="s">
        <v>138</v>
      </c>
      <c r="D6" s="9" t="s">
        <v>139</v>
      </c>
      <c r="E6" s="10" t="s">
        <v>81</v>
      </c>
      <c r="F6" s="11" t="s">
        <v>153</v>
      </c>
      <c r="G6" s="11" t="s">
        <v>154</v>
      </c>
      <c r="H6" s="12">
        <v>720527700</v>
      </c>
      <c r="I6" s="12" t="s">
        <v>84</v>
      </c>
      <c r="J6" s="12" t="s">
        <v>85</v>
      </c>
      <c r="K6" s="13" t="str">
        <f t="shared" ca="1" si="0"/>
        <v>13/07/2024</v>
      </c>
      <c r="L6" s="10" t="s">
        <v>81</v>
      </c>
      <c r="M6" s="14" t="s">
        <v>86</v>
      </c>
      <c r="N6" s="12">
        <v>1</v>
      </c>
      <c r="O6" s="12" t="s">
        <v>87</v>
      </c>
      <c r="P6" s="12">
        <v>515100</v>
      </c>
      <c r="Q6" s="12" t="s">
        <v>88</v>
      </c>
      <c r="R6" s="12" t="s">
        <v>89</v>
      </c>
      <c r="S6" s="12" t="s">
        <v>85</v>
      </c>
      <c r="T6" s="15" t="s">
        <v>90</v>
      </c>
      <c r="U6" s="16" t="s">
        <v>91</v>
      </c>
      <c r="V6" s="12" t="s">
        <v>85</v>
      </c>
      <c r="W6" s="13" t="str">
        <f t="shared" ca="1" si="1"/>
        <v>13/07/2024</v>
      </c>
      <c r="X6" s="12" t="s">
        <v>92</v>
      </c>
      <c r="Y6" s="15" t="s">
        <v>155</v>
      </c>
      <c r="Z6" s="17" t="s">
        <v>94</v>
      </c>
      <c r="AA6" s="17" t="s">
        <v>156</v>
      </c>
      <c r="AB6" s="18" t="s">
        <v>96</v>
      </c>
      <c r="AC6" s="19">
        <v>880</v>
      </c>
      <c r="AD6" s="20" t="s">
        <v>61</v>
      </c>
      <c r="AE6" s="20">
        <v>40</v>
      </c>
      <c r="AF6" s="20" t="s">
        <v>98</v>
      </c>
      <c r="AG6" s="10" t="s">
        <v>99</v>
      </c>
      <c r="AH6" s="22" t="s">
        <v>100</v>
      </c>
      <c r="AI6" s="12" t="s">
        <v>101</v>
      </c>
      <c r="AJ6" s="35" t="s">
        <v>144</v>
      </c>
      <c r="AK6" s="36" t="s">
        <v>145</v>
      </c>
      <c r="AL6" s="12" t="s">
        <v>104</v>
      </c>
      <c r="AM6" s="12" t="s">
        <v>105</v>
      </c>
      <c r="AN6" s="10" t="s">
        <v>106</v>
      </c>
      <c r="AO6" s="24" t="s">
        <v>107</v>
      </c>
      <c r="AP6" s="24" t="s">
        <v>108</v>
      </c>
      <c r="AQ6" s="10" t="s">
        <v>109</v>
      </c>
      <c r="AR6" s="10" t="s">
        <v>109</v>
      </c>
      <c r="AS6" s="12">
        <v>2</v>
      </c>
      <c r="AT6" s="25" t="str">
        <f t="shared" ca="1" si="2"/>
        <v>13/07/2024</v>
      </c>
      <c r="AU6" s="10" t="s">
        <v>100</v>
      </c>
      <c r="AV6" s="10" t="s">
        <v>100</v>
      </c>
      <c r="AW6" s="10" t="s">
        <v>110</v>
      </c>
      <c r="AX6" s="14" t="s">
        <v>111</v>
      </c>
      <c r="AY6" s="13" t="str">
        <f t="shared" ca="1" si="3"/>
        <v>13/07/2024</v>
      </c>
      <c r="AZ6" s="13" t="str">
        <f t="shared" ca="1" si="3"/>
        <v>13/07/2024</v>
      </c>
      <c r="BA6" s="22" t="str">
        <f t="shared" si="4"/>
        <v>N/A</v>
      </c>
      <c r="BB6" s="26" t="s">
        <v>81</v>
      </c>
      <c r="BC6" s="26" t="s">
        <v>112</v>
      </c>
      <c r="BD6" s="27">
        <v>5050217519033</v>
      </c>
      <c r="BE6" s="15" t="s">
        <v>113</v>
      </c>
      <c r="BF6" s="15" t="s">
        <v>114</v>
      </c>
      <c r="BG6" s="26" t="s">
        <v>81</v>
      </c>
      <c r="BH6" s="26" t="s">
        <v>115</v>
      </c>
      <c r="BI6" s="28">
        <v>935773</v>
      </c>
      <c r="BJ6" s="15" t="s">
        <v>113</v>
      </c>
      <c r="BK6" s="15" t="s">
        <v>114</v>
      </c>
      <c r="BL6" s="29" t="s">
        <v>87</v>
      </c>
      <c r="BM6" s="29" t="s">
        <v>87</v>
      </c>
      <c r="BN6" s="29" t="s">
        <v>116</v>
      </c>
      <c r="BO6" s="29" t="s">
        <v>117</v>
      </c>
      <c r="BP6" s="15" t="s">
        <v>118</v>
      </c>
      <c r="BQ6" s="29" t="s">
        <v>89</v>
      </c>
      <c r="BR6" s="29" t="s">
        <v>119</v>
      </c>
      <c r="BS6" s="29" t="s">
        <v>100</v>
      </c>
      <c r="BT6" s="30" t="s">
        <v>120</v>
      </c>
      <c r="BU6" s="30" t="s">
        <v>81</v>
      </c>
      <c r="BV6" s="31" t="s">
        <v>121</v>
      </c>
      <c r="BW6" s="31" t="s">
        <v>122</v>
      </c>
      <c r="BX6" s="30" t="s">
        <v>123</v>
      </c>
      <c r="BY6" s="30" t="s">
        <v>124</v>
      </c>
      <c r="BZ6" s="30" t="s">
        <v>125</v>
      </c>
      <c r="CA6" s="30" t="s">
        <v>126</v>
      </c>
      <c r="CB6" s="30" t="s">
        <v>81</v>
      </c>
      <c r="CC6" s="30" t="s">
        <v>127</v>
      </c>
      <c r="CD6" s="30" t="s">
        <v>128</v>
      </c>
    </row>
    <row r="7" spans="1:82" ht="15.65" customHeight="1" x14ac:dyDescent="0.35">
      <c r="A7" s="1" t="s">
        <v>157</v>
      </c>
      <c r="B7" s="32" t="s">
        <v>158</v>
      </c>
      <c r="C7" s="1" t="s">
        <v>138</v>
      </c>
      <c r="D7" s="9" t="s">
        <v>139</v>
      </c>
      <c r="E7" s="10" t="s">
        <v>81</v>
      </c>
      <c r="F7" s="11" t="s">
        <v>159</v>
      </c>
      <c r="G7" s="11" t="s">
        <v>160</v>
      </c>
      <c r="H7" s="12">
        <v>720527700</v>
      </c>
      <c r="I7" s="12" t="s">
        <v>84</v>
      </c>
      <c r="J7" s="12" t="s">
        <v>85</v>
      </c>
      <c r="K7" s="13" t="str">
        <f t="shared" ca="1" si="0"/>
        <v>13/07/2024</v>
      </c>
      <c r="L7" s="29" t="s">
        <v>81</v>
      </c>
      <c r="M7" s="30" t="s">
        <v>86</v>
      </c>
      <c r="N7" s="30">
        <v>1</v>
      </c>
      <c r="O7" s="30" t="s">
        <v>87</v>
      </c>
      <c r="P7" s="30">
        <v>515100</v>
      </c>
      <c r="Q7" s="30" t="s">
        <v>88</v>
      </c>
      <c r="R7" s="30" t="s">
        <v>89</v>
      </c>
      <c r="S7" s="30" t="s">
        <v>85</v>
      </c>
      <c r="T7" s="29" t="s">
        <v>90</v>
      </c>
      <c r="U7" s="33" t="s">
        <v>91</v>
      </c>
      <c r="V7" s="30" t="s">
        <v>85</v>
      </c>
      <c r="W7" s="13" t="str">
        <f t="shared" ca="1" si="1"/>
        <v>13/07/2024</v>
      </c>
      <c r="X7" s="12" t="s">
        <v>92</v>
      </c>
      <c r="Y7" s="15" t="s">
        <v>161</v>
      </c>
      <c r="Z7" s="17" t="s">
        <v>133</v>
      </c>
      <c r="AA7" s="17" t="s">
        <v>162</v>
      </c>
      <c r="AB7" s="34" t="s">
        <v>134</v>
      </c>
      <c r="AC7" s="19">
        <v>880</v>
      </c>
      <c r="AD7" s="20" t="s">
        <v>61</v>
      </c>
      <c r="AE7" s="20">
        <v>35</v>
      </c>
      <c r="AF7" s="20" t="s">
        <v>98</v>
      </c>
      <c r="AG7" s="10" t="s">
        <v>99</v>
      </c>
      <c r="AH7" s="22">
        <f ca="1">W7+360</f>
        <v>45846</v>
      </c>
      <c r="AI7" s="12" t="s">
        <v>101</v>
      </c>
      <c r="AJ7" s="35" t="s">
        <v>144</v>
      </c>
      <c r="AK7" s="36" t="s">
        <v>145</v>
      </c>
      <c r="AL7" s="12" t="s">
        <v>104</v>
      </c>
      <c r="AM7" s="12" t="s">
        <v>105</v>
      </c>
      <c r="AN7" s="10" t="s">
        <v>106</v>
      </c>
      <c r="AO7" s="24" t="s">
        <v>107</v>
      </c>
      <c r="AP7" s="24" t="s">
        <v>108</v>
      </c>
      <c r="AQ7" s="10" t="s">
        <v>109</v>
      </c>
      <c r="AR7" s="10" t="s">
        <v>109</v>
      </c>
      <c r="AS7" s="12">
        <v>3</v>
      </c>
      <c r="AT7" s="25" t="str">
        <f t="shared" ca="1" si="2"/>
        <v>13/07/2024</v>
      </c>
      <c r="AU7" s="10" t="s">
        <v>100</v>
      </c>
      <c r="AV7" s="10" t="s">
        <v>100</v>
      </c>
      <c r="AW7" s="29" t="s">
        <v>110</v>
      </c>
      <c r="AX7" s="30" t="s">
        <v>111</v>
      </c>
      <c r="AY7" s="13" t="str">
        <f t="shared" ca="1" si="3"/>
        <v>13/07/2024</v>
      </c>
      <c r="AZ7" s="13" t="str">
        <f t="shared" ca="1" si="3"/>
        <v>13/07/2024</v>
      </c>
      <c r="BA7" s="22">
        <f t="shared" ca="1" si="4"/>
        <v>45846</v>
      </c>
      <c r="BB7" s="26" t="s">
        <v>81</v>
      </c>
      <c r="BC7" s="26" t="s">
        <v>112</v>
      </c>
      <c r="BD7" s="27">
        <v>1900331290151</v>
      </c>
      <c r="BE7" s="15" t="s">
        <v>113</v>
      </c>
      <c r="BF7" s="15" t="s">
        <v>114</v>
      </c>
      <c r="BG7" s="26" t="s">
        <v>81</v>
      </c>
      <c r="BH7" s="26" t="s">
        <v>115</v>
      </c>
      <c r="BI7" s="28">
        <v>935774</v>
      </c>
      <c r="BJ7" s="15" t="s">
        <v>113</v>
      </c>
      <c r="BK7" s="15" t="s">
        <v>114</v>
      </c>
      <c r="BL7" s="29" t="s">
        <v>87</v>
      </c>
      <c r="BM7" s="29" t="s">
        <v>87</v>
      </c>
      <c r="BN7" s="29" t="s">
        <v>116</v>
      </c>
      <c r="BO7" s="29" t="s">
        <v>117</v>
      </c>
      <c r="BP7" s="15" t="s">
        <v>118</v>
      </c>
      <c r="BQ7" s="29" t="s">
        <v>89</v>
      </c>
      <c r="BR7" s="29" t="s">
        <v>119</v>
      </c>
      <c r="BS7" s="29" t="s">
        <v>100</v>
      </c>
      <c r="BT7" s="30" t="s">
        <v>120</v>
      </c>
      <c r="BU7" s="30" t="s">
        <v>81</v>
      </c>
      <c r="BV7" s="29" t="s">
        <v>121</v>
      </c>
      <c r="BW7" s="29" t="s">
        <v>122</v>
      </c>
      <c r="BX7" s="30" t="s">
        <v>123</v>
      </c>
      <c r="BY7" s="30" t="s">
        <v>124</v>
      </c>
      <c r="BZ7" s="30" t="s">
        <v>125</v>
      </c>
      <c r="CA7" s="30" t="s">
        <v>126</v>
      </c>
      <c r="CB7" s="30" t="s">
        <v>81</v>
      </c>
      <c r="CC7" s="30" t="s">
        <v>127</v>
      </c>
      <c r="CD7" s="30" t="s">
        <v>128</v>
      </c>
    </row>
    <row r="8" spans="1:82" ht="15.65" customHeight="1" x14ac:dyDescent="0.35">
      <c r="A8" s="1" t="s">
        <v>163</v>
      </c>
      <c r="B8" s="2" t="s">
        <v>164</v>
      </c>
      <c r="C8" s="1" t="s">
        <v>138</v>
      </c>
      <c r="D8" s="9" t="s">
        <v>139</v>
      </c>
      <c r="E8" s="10" t="s">
        <v>81</v>
      </c>
      <c r="F8" s="11" t="s">
        <v>165</v>
      </c>
      <c r="G8" s="11" t="s">
        <v>166</v>
      </c>
      <c r="H8" s="12">
        <v>720527700</v>
      </c>
      <c r="I8" s="12" t="s">
        <v>84</v>
      </c>
      <c r="J8" s="12" t="s">
        <v>85</v>
      </c>
      <c r="K8" s="13" t="str">
        <f t="shared" ca="1" si="0"/>
        <v>13/07/2024</v>
      </c>
      <c r="L8" s="10" t="s">
        <v>81</v>
      </c>
      <c r="M8" s="14" t="s">
        <v>86</v>
      </c>
      <c r="N8" s="12">
        <v>1</v>
      </c>
      <c r="O8" s="12" t="s">
        <v>87</v>
      </c>
      <c r="P8" s="12">
        <v>515100</v>
      </c>
      <c r="Q8" s="12" t="s">
        <v>88</v>
      </c>
      <c r="R8" s="12" t="s">
        <v>89</v>
      </c>
      <c r="S8" s="12" t="s">
        <v>85</v>
      </c>
      <c r="T8" s="15" t="s">
        <v>90</v>
      </c>
      <c r="U8" s="16" t="s">
        <v>91</v>
      </c>
      <c r="V8" s="12" t="s">
        <v>85</v>
      </c>
      <c r="W8" s="13" t="str">
        <f t="shared" ca="1" si="1"/>
        <v>13/07/2024</v>
      </c>
      <c r="X8" s="12" t="s">
        <v>92</v>
      </c>
      <c r="Y8" s="15" t="s">
        <v>167</v>
      </c>
      <c r="Z8" s="17" t="s">
        <v>94</v>
      </c>
      <c r="AA8" s="17" t="s">
        <v>168</v>
      </c>
      <c r="AB8" s="34" t="s">
        <v>96</v>
      </c>
      <c r="AC8" s="19">
        <v>880</v>
      </c>
      <c r="AD8" s="20" t="s">
        <v>61</v>
      </c>
      <c r="AE8" s="20">
        <v>40</v>
      </c>
      <c r="AF8" s="20" t="s">
        <v>98</v>
      </c>
      <c r="AG8" s="10" t="s">
        <v>99</v>
      </c>
      <c r="AH8" s="22" t="s">
        <v>100</v>
      </c>
      <c r="AI8" s="12" t="s">
        <v>101</v>
      </c>
      <c r="AJ8" s="35" t="s">
        <v>144</v>
      </c>
      <c r="AK8" s="36" t="s">
        <v>145</v>
      </c>
      <c r="AL8" s="12" t="s">
        <v>104</v>
      </c>
      <c r="AM8" s="12" t="s">
        <v>105</v>
      </c>
      <c r="AN8" s="10" t="s">
        <v>106</v>
      </c>
      <c r="AO8" s="24" t="s">
        <v>107</v>
      </c>
      <c r="AP8" s="24" t="s">
        <v>108</v>
      </c>
      <c r="AQ8" s="10" t="s">
        <v>106</v>
      </c>
      <c r="AR8" s="10" t="s">
        <v>109</v>
      </c>
      <c r="AS8" s="12">
        <v>1</v>
      </c>
      <c r="AT8" s="25" t="str">
        <f t="shared" ca="1" si="2"/>
        <v>13/07/2024</v>
      </c>
      <c r="AU8" s="10" t="s">
        <v>100</v>
      </c>
      <c r="AV8" s="10" t="s">
        <v>100</v>
      </c>
      <c r="AW8" s="10" t="s">
        <v>110</v>
      </c>
      <c r="AX8" s="14" t="s">
        <v>111</v>
      </c>
      <c r="AY8" s="13" t="str">
        <f t="shared" ca="1" si="3"/>
        <v>13/07/2024</v>
      </c>
      <c r="AZ8" s="13" t="str">
        <f t="shared" ca="1" si="3"/>
        <v>13/07/2024</v>
      </c>
      <c r="BA8" s="22" t="str">
        <f t="shared" si="4"/>
        <v>N/A</v>
      </c>
      <c r="BB8" s="26" t="s">
        <v>81</v>
      </c>
      <c r="BC8" s="26" t="s">
        <v>112</v>
      </c>
      <c r="BD8" s="27">
        <v>1450112446951</v>
      </c>
      <c r="BE8" s="15" t="s">
        <v>113</v>
      </c>
      <c r="BF8" s="15" t="s">
        <v>114</v>
      </c>
      <c r="BG8" s="26" t="s">
        <v>81</v>
      </c>
      <c r="BH8" s="26" t="s">
        <v>115</v>
      </c>
      <c r="BI8" s="28">
        <v>935775</v>
      </c>
      <c r="BJ8" s="15" t="s">
        <v>113</v>
      </c>
      <c r="BK8" s="15" t="s">
        <v>114</v>
      </c>
      <c r="BL8" s="29" t="s">
        <v>87</v>
      </c>
      <c r="BM8" s="29" t="s">
        <v>87</v>
      </c>
      <c r="BN8" s="29" t="s">
        <v>116</v>
      </c>
      <c r="BO8" s="29" t="s">
        <v>117</v>
      </c>
      <c r="BP8" s="15" t="s">
        <v>118</v>
      </c>
      <c r="BQ8" s="29" t="s">
        <v>89</v>
      </c>
      <c r="BR8" s="29" t="s">
        <v>119</v>
      </c>
      <c r="BS8" s="29" t="s">
        <v>100</v>
      </c>
      <c r="BT8" s="30" t="s">
        <v>120</v>
      </c>
      <c r="BU8" s="30" t="s">
        <v>81</v>
      </c>
      <c r="BV8" s="31" t="s">
        <v>121</v>
      </c>
      <c r="BW8" s="31" t="s">
        <v>122</v>
      </c>
      <c r="BX8" s="30" t="s">
        <v>123</v>
      </c>
      <c r="BY8" s="30" t="s">
        <v>124</v>
      </c>
      <c r="BZ8" s="30" t="s">
        <v>125</v>
      </c>
      <c r="CA8" s="30" t="s">
        <v>126</v>
      </c>
      <c r="CB8" s="30" t="s">
        <v>81</v>
      </c>
      <c r="CC8" s="30" t="s">
        <v>127</v>
      </c>
      <c r="CD8" s="30" t="s">
        <v>128</v>
      </c>
    </row>
    <row r="9" spans="1:82" ht="15.65" customHeight="1" x14ac:dyDescent="0.35">
      <c r="A9" s="1" t="s">
        <v>169</v>
      </c>
      <c r="B9" s="32" t="s">
        <v>170</v>
      </c>
      <c r="C9" s="1" t="s">
        <v>138</v>
      </c>
      <c r="D9" s="9" t="s">
        <v>139</v>
      </c>
      <c r="E9" s="10" t="s">
        <v>81</v>
      </c>
      <c r="F9" s="11" t="s">
        <v>171</v>
      </c>
      <c r="G9" s="11" t="s">
        <v>172</v>
      </c>
      <c r="H9" s="12">
        <v>720527700</v>
      </c>
      <c r="I9" s="12" t="s">
        <v>84</v>
      </c>
      <c r="J9" s="12" t="s">
        <v>85</v>
      </c>
      <c r="K9" s="13" t="str">
        <f t="shared" ca="1" si="0"/>
        <v>13/07/2024</v>
      </c>
      <c r="L9" s="29" t="s">
        <v>81</v>
      </c>
      <c r="M9" s="30" t="s">
        <v>86</v>
      </c>
      <c r="N9" s="30">
        <v>1</v>
      </c>
      <c r="O9" s="30" t="s">
        <v>87</v>
      </c>
      <c r="P9" s="30">
        <v>515100</v>
      </c>
      <c r="Q9" s="30" t="s">
        <v>88</v>
      </c>
      <c r="R9" s="30" t="s">
        <v>89</v>
      </c>
      <c r="S9" s="30" t="s">
        <v>85</v>
      </c>
      <c r="T9" s="29" t="s">
        <v>90</v>
      </c>
      <c r="U9" s="33" t="s">
        <v>91</v>
      </c>
      <c r="V9" s="30" t="s">
        <v>85</v>
      </c>
      <c r="W9" s="13" t="str">
        <f t="shared" ca="1" si="1"/>
        <v>13/07/2024</v>
      </c>
      <c r="X9" s="12" t="s">
        <v>92</v>
      </c>
      <c r="Y9" s="15" t="s">
        <v>173</v>
      </c>
      <c r="Z9" s="17" t="s">
        <v>133</v>
      </c>
      <c r="AA9" s="17" t="s">
        <v>174</v>
      </c>
      <c r="AB9" s="18" t="s">
        <v>134</v>
      </c>
      <c r="AC9" s="19">
        <v>880</v>
      </c>
      <c r="AD9" s="20" t="s">
        <v>61</v>
      </c>
      <c r="AE9" s="20">
        <v>25</v>
      </c>
      <c r="AF9" s="20" t="s">
        <v>98</v>
      </c>
      <c r="AG9" s="10" t="s">
        <v>99</v>
      </c>
      <c r="AH9" s="22">
        <f ca="1">W9+360</f>
        <v>45846</v>
      </c>
      <c r="AI9" s="12" t="s">
        <v>101</v>
      </c>
      <c r="AJ9" s="35" t="s">
        <v>144</v>
      </c>
      <c r="AK9" s="36" t="s">
        <v>145</v>
      </c>
      <c r="AL9" s="12" t="s">
        <v>104</v>
      </c>
      <c r="AM9" s="12" t="s">
        <v>105</v>
      </c>
      <c r="AN9" s="10" t="s">
        <v>106</v>
      </c>
      <c r="AO9" s="24" t="s">
        <v>107</v>
      </c>
      <c r="AP9" s="24" t="s">
        <v>108</v>
      </c>
      <c r="AQ9" s="10" t="s">
        <v>109</v>
      </c>
      <c r="AR9" s="10" t="s">
        <v>109</v>
      </c>
      <c r="AS9" s="12">
        <v>2</v>
      </c>
      <c r="AT9" s="25" t="str">
        <f t="shared" ca="1" si="2"/>
        <v>13/07/2024</v>
      </c>
      <c r="AU9" s="10" t="s">
        <v>100</v>
      </c>
      <c r="AV9" s="10" t="s">
        <v>100</v>
      </c>
      <c r="AW9" s="29" t="s">
        <v>110</v>
      </c>
      <c r="AX9" s="30" t="s">
        <v>111</v>
      </c>
      <c r="AY9" s="13" t="str">
        <f t="shared" ca="1" si="3"/>
        <v>13/07/2024</v>
      </c>
      <c r="AZ9" s="13" t="str">
        <f t="shared" ca="1" si="3"/>
        <v>13/07/2024</v>
      </c>
      <c r="BA9" s="22">
        <f t="shared" ca="1" si="4"/>
        <v>45846</v>
      </c>
      <c r="BB9" s="26" t="s">
        <v>81</v>
      </c>
      <c r="BC9" s="26" t="s">
        <v>112</v>
      </c>
      <c r="BD9" s="27">
        <v>5000506436419</v>
      </c>
      <c r="BE9" s="15" t="s">
        <v>113</v>
      </c>
      <c r="BF9" s="15" t="s">
        <v>114</v>
      </c>
      <c r="BG9" s="26" t="s">
        <v>81</v>
      </c>
      <c r="BH9" s="26" t="s">
        <v>115</v>
      </c>
      <c r="BI9" s="28">
        <v>935776</v>
      </c>
      <c r="BJ9" s="15" t="s">
        <v>113</v>
      </c>
      <c r="BK9" s="15" t="s">
        <v>114</v>
      </c>
      <c r="BL9" s="29" t="s">
        <v>87</v>
      </c>
      <c r="BM9" s="29" t="s">
        <v>87</v>
      </c>
      <c r="BN9" s="29" t="s">
        <v>116</v>
      </c>
      <c r="BO9" s="29" t="s">
        <v>117</v>
      </c>
      <c r="BP9" s="15" t="s">
        <v>118</v>
      </c>
      <c r="BQ9" s="29" t="s">
        <v>89</v>
      </c>
      <c r="BR9" s="29" t="s">
        <v>119</v>
      </c>
      <c r="BS9" s="29" t="s">
        <v>100</v>
      </c>
      <c r="BT9" s="30" t="s">
        <v>120</v>
      </c>
      <c r="BU9" s="30" t="s">
        <v>81</v>
      </c>
      <c r="BV9" s="29" t="s">
        <v>121</v>
      </c>
      <c r="BW9" s="29" t="s">
        <v>122</v>
      </c>
      <c r="BX9" s="30" t="s">
        <v>123</v>
      </c>
      <c r="BY9" s="30" t="s">
        <v>124</v>
      </c>
      <c r="BZ9" s="30" t="s">
        <v>125</v>
      </c>
      <c r="CA9" s="30" t="s">
        <v>126</v>
      </c>
      <c r="CB9" s="30" t="s">
        <v>81</v>
      </c>
      <c r="CC9" s="30" t="s">
        <v>127</v>
      </c>
      <c r="CD9" s="30" t="s">
        <v>128</v>
      </c>
    </row>
    <row r="10" spans="1:82" ht="15.65" customHeight="1" x14ac:dyDescent="0.35">
      <c r="A10" s="1" t="s">
        <v>175</v>
      </c>
      <c r="B10" s="1" t="s">
        <v>176</v>
      </c>
      <c r="C10" s="1" t="s">
        <v>79</v>
      </c>
      <c r="D10" s="9" t="s">
        <v>80</v>
      </c>
      <c r="E10" s="10" t="s">
        <v>81</v>
      </c>
      <c r="F10" s="11" t="s">
        <v>177</v>
      </c>
      <c r="G10" s="11" t="s">
        <v>178</v>
      </c>
      <c r="H10" s="12">
        <v>720527700</v>
      </c>
      <c r="I10" s="12" t="s">
        <v>84</v>
      </c>
      <c r="J10" s="12" t="s">
        <v>85</v>
      </c>
      <c r="K10" s="13" t="str">
        <f t="shared" ca="1" si="0"/>
        <v>13/07/2024</v>
      </c>
      <c r="L10" s="10" t="s">
        <v>81</v>
      </c>
      <c r="M10" s="14" t="s">
        <v>86</v>
      </c>
      <c r="N10" s="12">
        <v>1</v>
      </c>
      <c r="O10" s="12" t="s">
        <v>87</v>
      </c>
      <c r="P10" s="12">
        <v>515100</v>
      </c>
      <c r="Q10" s="12" t="s">
        <v>88</v>
      </c>
      <c r="R10" s="12" t="s">
        <v>89</v>
      </c>
      <c r="S10" s="12" t="s">
        <v>85</v>
      </c>
      <c r="T10" s="15" t="s">
        <v>90</v>
      </c>
      <c r="U10" s="16" t="s">
        <v>91</v>
      </c>
      <c r="V10" s="12" t="s">
        <v>85</v>
      </c>
      <c r="W10" s="13" t="str">
        <f t="shared" ca="1" si="1"/>
        <v>13/07/2024</v>
      </c>
      <c r="X10" s="12" t="s">
        <v>92</v>
      </c>
      <c r="Y10" s="15" t="s">
        <v>93</v>
      </c>
      <c r="Z10" s="17" t="s">
        <v>94</v>
      </c>
      <c r="AA10" s="17" t="s">
        <v>179</v>
      </c>
      <c r="AB10" s="18" t="s">
        <v>96</v>
      </c>
      <c r="AC10" s="19">
        <v>880</v>
      </c>
      <c r="AD10" s="20" t="s">
        <v>61</v>
      </c>
      <c r="AE10" s="20">
        <v>40</v>
      </c>
      <c r="AF10" s="20" t="s">
        <v>98</v>
      </c>
      <c r="AG10" s="10" t="s">
        <v>99</v>
      </c>
      <c r="AH10" s="22" t="s">
        <v>100</v>
      </c>
      <c r="AI10" s="12" t="s">
        <v>101</v>
      </c>
      <c r="AJ10" s="23" t="s">
        <v>102</v>
      </c>
      <c r="AK10" s="23" t="s">
        <v>180</v>
      </c>
      <c r="AL10" s="12" t="s">
        <v>104</v>
      </c>
      <c r="AM10" s="12" t="s">
        <v>105</v>
      </c>
      <c r="AN10" s="10" t="s">
        <v>106</v>
      </c>
      <c r="AO10" s="24" t="s">
        <v>107</v>
      </c>
      <c r="AP10" s="24" t="s">
        <v>108</v>
      </c>
      <c r="AQ10" s="10" t="s">
        <v>109</v>
      </c>
      <c r="AR10" s="12" t="s">
        <v>181</v>
      </c>
      <c r="AS10" s="12">
        <v>3</v>
      </c>
      <c r="AT10" s="25" t="str">
        <f t="shared" ca="1" si="2"/>
        <v>13/07/2024</v>
      </c>
      <c r="AU10" s="10" t="s">
        <v>100</v>
      </c>
      <c r="AV10" s="10" t="s">
        <v>100</v>
      </c>
      <c r="AW10" s="29" t="s">
        <v>110</v>
      </c>
      <c r="AX10" s="30" t="s">
        <v>111</v>
      </c>
      <c r="AY10" s="13" t="str">
        <f t="shared" ca="1" si="3"/>
        <v>13/07/2024</v>
      </c>
      <c r="AZ10" s="13" t="str">
        <f t="shared" ca="1" si="3"/>
        <v>13/07/2024</v>
      </c>
      <c r="BA10" s="22" t="str">
        <f t="shared" si="4"/>
        <v>N/A</v>
      </c>
      <c r="BB10" s="26" t="s">
        <v>81</v>
      </c>
      <c r="BC10" s="26" t="s">
        <v>112</v>
      </c>
      <c r="BD10" s="27">
        <v>5080131020862</v>
      </c>
      <c r="BE10" s="15" t="s">
        <v>113</v>
      </c>
      <c r="BF10" s="15" t="s">
        <v>114</v>
      </c>
      <c r="BG10" s="26" t="s">
        <v>81</v>
      </c>
      <c r="BH10" s="26" t="s">
        <v>115</v>
      </c>
      <c r="BI10" s="28">
        <v>935777</v>
      </c>
      <c r="BJ10" s="15" t="s">
        <v>113</v>
      </c>
      <c r="BK10" s="15" t="s">
        <v>114</v>
      </c>
      <c r="BL10" s="29" t="s">
        <v>87</v>
      </c>
      <c r="BM10" s="29" t="s">
        <v>87</v>
      </c>
      <c r="BN10" s="29" t="s">
        <v>116</v>
      </c>
      <c r="BO10" s="29" t="s">
        <v>117</v>
      </c>
      <c r="BP10" s="15" t="s">
        <v>118</v>
      </c>
      <c r="BQ10" s="29" t="s">
        <v>89</v>
      </c>
      <c r="BR10" s="29" t="s">
        <v>119</v>
      </c>
      <c r="BS10" s="29" t="s">
        <v>100</v>
      </c>
      <c r="BT10" s="30" t="s">
        <v>120</v>
      </c>
      <c r="BU10" s="30" t="s">
        <v>81</v>
      </c>
      <c r="BV10" s="29" t="s">
        <v>121</v>
      </c>
      <c r="BW10" s="29" t="s">
        <v>122</v>
      </c>
      <c r="BX10" s="30" t="s">
        <v>123</v>
      </c>
      <c r="BY10" s="30" t="s">
        <v>124</v>
      </c>
      <c r="BZ10" s="30" t="s">
        <v>125</v>
      </c>
      <c r="CA10" s="30" t="s">
        <v>126</v>
      </c>
      <c r="CB10" s="30" t="s">
        <v>81</v>
      </c>
      <c r="CC10" s="30" t="s">
        <v>127</v>
      </c>
      <c r="CD10" s="30" t="s">
        <v>128</v>
      </c>
    </row>
    <row r="11" spans="1:82" ht="15.65" customHeight="1" x14ac:dyDescent="0.35">
      <c r="A11" s="1" t="s">
        <v>182</v>
      </c>
      <c r="B11" s="1" t="s">
        <v>183</v>
      </c>
      <c r="C11" s="1" t="s">
        <v>79</v>
      </c>
      <c r="D11" s="9" t="s">
        <v>80</v>
      </c>
      <c r="E11" s="10" t="s">
        <v>81</v>
      </c>
      <c r="F11" s="11" t="s">
        <v>184</v>
      </c>
      <c r="G11" s="11" t="s">
        <v>185</v>
      </c>
      <c r="H11" s="12">
        <v>720527700</v>
      </c>
      <c r="I11" s="12" t="s">
        <v>84</v>
      </c>
      <c r="J11" s="12" t="s">
        <v>85</v>
      </c>
      <c r="K11" s="13" t="str">
        <f t="shared" ca="1" si="0"/>
        <v>13/07/2024</v>
      </c>
      <c r="L11" s="29" t="s">
        <v>81</v>
      </c>
      <c r="M11" s="30" t="s">
        <v>86</v>
      </c>
      <c r="N11" s="30">
        <v>1</v>
      </c>
      <c r="O11" s="30" t="s">
        <v>87</v>
      </c>
      <c r="P11" s="30">
        <v>515100</v>
      </c>
      <c r="Q11" s="30" t="s">
        <v>88</v>
      </c>
      <c r="R11" s="30" t="s">
        <v>89</v>
      </c>
      <c r="S11" s="30" t="s">
        <v>85</v>
      </c>
      <c r="T11" s="29" t="s">
        <v>90</v>
      </c>
      <c r="U11" s="33" t="s">
        <v>91</v>
      </c>
      <c r="V11" s="30" t="s">
        <v>85</v>
      </c>
      <c r="W11" s="13" t="str">
        <f t="shared" ca="1" si="1"/>
        <v>13/07/2024</v>
      </c>
      <c r="X11" s="12" t="s">
        <v>92</v>
      </c>
      <c r="Y11" s="15" t="s">
        <v>93</v>
      </c>
      <c r="Z11" s="17" t="s">
        <v>133</v>
      </c>
      <c r="AA11" s="17" t="s">
        <v>186</v>
      </c>
      <c r="AB11" s="18" t="s">
        <v>134</v>
      </c>
      <c r="AC11" s="19">
        <v>880</v>
      </c>
      <c r="AD11" s="20" t="s">
        <v>61</v>
      </c>
      <c r="AE11" s="20">
        <v>25</v>
      </c>
      <c r="AF11" s="20" t="s">
        <v>98</v>
      </c>
      <c r="AG11" s="10" t="s">
        <v>99</v>
      </c>
      <c r="AH11" s="22">
        <f ca="1">W11+360</f>
        <v>45846</v>
      </c>
      <c r="AI11" s="12" t="s">
        <v>101</v>
      </c>
      <c r="AJ11" s="23" t="s">
        <v>102</v>
      </c>
      <c r="AK11" s="23" t="s">
        <v>187</v>
      </c>
      <c r="AL11" s="12" t="s">
        <v>104</v>
      </c>
      <c r="AM11" s="12" t="s">
        <v>105</v>
      </c>
      <c r="AN11" s="10" t="s">
        <v>106</v>
      </c>
      <c r="AO11" s="24" t="s">
        <v>107</v>
      </c>
      <c r="AP11" s="24" t="s">
        <v>108</v>
      </c>
      <c r="AQ11" s="10" t="s">
        <v>109</v>
      </c>
      <c r="AR11" s="12" t="s">
        <v>181</v>
      </c>
      <c r="AS11" s="12">
        <v>1</v>
      </c>
      <c r="AT11" s="25" t="str">
        <f t="shared" ca="1" si="2"/>
        <v>13/07/2024</v>
      </c>
      <c r="AU11" s="10" t="s">
        <v>100</v>
      </c>
      <c r="AV11" s="10" t="s">
        <v>100</v>
      </c>
      <c r="AW11" s="29" t="s">
        <v>110</v>
      </c>
      <c r="AX11" s="30" t="s">
        <v>111</v>
      </c>
      <c r="AY11" s="13" t="str">
        <f t="shared" ca="1" si="3"/>
        <v>13/07/2024</v>
      </c>
      <c r="AZ11" s="13" t="str">
        <f t="shared" ca="1" si="3"/>
        <v>13/07/2024</v>
      </c>
      <c r="BA11" s="22">
        <f t="shared" ca="1" si="4"/>
        <v>45846</v>
      </c>
      <c r="BB11" s="26" t="s">
        <v>81</v>
      </c>
      <c r="BC11" s="26" t="s">
        <v>112</v>
      </c>
      <c r="BD11" s="27">
        <v>1530824431941</v>
      </c>
      <c r="BE11" s="15" t="s">
        <v>113</v>
      </c>
      <c r="BF11" s="15" t="s">
        <v>114</v>
      </c>
      <c r="BG11" s="26" t="s">
        <v>81</v>
      </c>
      <c r="BH11" s="26" t="s">
        <v>115</v>
      </c>
      <c r="BI11" s="28">
        <v>935778</v>
      </c>
      <c r="BJ11" s="15" t="s">
        <v>113</v>
      </c>
      <c r="BK11" s="15" t="s">
        <v>114</v>
      </c>
      <c r="BL11" s="29" t="s">
        <v>87</v>
      </c>
      <c r="BM11" s="29" t="s">
        <v>87</v>
      </c>
      <c r="BN11" s="29" t="s">
        <v>116</v>
      </c>
      <c r="BO11" s="29" t="s">
        <v>117</v>
      </c>
      <c r="BP11" s="15" t="s">
        <v>118</v>
      </c>
      <c r="BQ11" s="29" t="s">
        <v>89</v>
      </c>
      <c r="BR11" s="29" t="s">
        <v>119</v>
      </c>
      <c r="BS11" s="29" t="s">
        <v>100</v>
      </c>
      <c r="BT11" s="30" t="s">
        <v>120</v>
      </c>
      <c r="BU11" s="30" t="s">
        <v>81</v>
      </c>
      <c r="BV11" s="29" t="s">
        <v>121</v>
      </c>
      <c r="BW11" s="29" t="s">
        <v>122</v>
      </c>
      <c r="BX11" s="30" t="s">
        <v>123</v>
      </c>
      <c r="BY11" s="30" t="s">
        <v>124</v>
      </c>
      <c r="BZ11" s="30" t="s">
        <v>125</v>
      </c>
      <c r="CA11" s="30" t="s">
        <v>126</v>
      </c>
      <c r="CB11" s="30" t="s">
        <v>81</v>
      </c>
      <c r="CC11" s="30" t="s">
        <v>127</v>
      </c>
      <c r="CD11" s="30" t="s">
        <v>128</v>
      </c>
    </row>
    <row r="12" spans="1:82" ht="15.65" customHeight="1" x14ac:dyDescent="0.35">
      <c r="A12" s="1" t="s">
        <v>188</v>
      </c>
      <c r="B12" s="1" t="s">
        <v>189</v>
      </c>
      <c r="C12" s="1" t="s">
        <v>79</v>
      </c>
      <c r="D12" s="9" t="s">
        <v>80</v>
      </c>
      <c r="E12" s="10" t="s">
        <v>81</v>
      </c>
      <c r="F12" s="11" t="s">
        <v>190</v>
      </c>
      <c r="G12" s="11" t="s">
        <v>191</v>
      </c>
      <c r="H12" s="12">
        <v>720527700</v>
      </c>
      <c r="I12" s="12" t="s">
        <v>84</v>
      </c>
      <c r="J12" s="12" t="s">
        <v>85</v>
      </c>
      <c r="K12" s="13" t="str">
        <f t="shared" ca="1" si="0"/>
        <v>13/07/2024</v>
      </c>
      <c r="L12" s="10" t="s">
        <v>81</v>
      </c>
      <c r="M12" s="14" t="s">
        <v>86</v>
      </c>
      <c r="N12" s="12">
        <v>1</v>
      </c>
      <c r="O12" s="12" t="s">
        <v>87</v>
      </c>
      <c r="P12" s="12">
        <v>515100</v>
      </c>
      <c r="Q12" s="12" t="s">
        <v>88</v>
      </c>
      <c r="R12" s="12" t="s">
        <v>89</v>
      </c>
      <c r="S12" s="12" t="s">
        <v>85</v>
      </c>
      <c r="T12" s="15" t="s">
        <v>90</v>
      </c>
      <c r="U12" s="16" t="s">
        <v>91</v>
      </c>
      <c r="V12" s="12" t="s">
        <v>85</v>
      </c>
      <c r="W12" s="13" t="str">
        <f t="shared" ca="1" si="1"/>
        <v>13/07/2024</v>
      </c>
      <c r="X12" s="12" t="s">
        <v>92</v>
      </c>
      <c r="Y12" s="15" t="s">
        <v>93</v>
      </c>
      <c r="Z12" s="17" t="s">
        <v>94</v>
      </c>
      <c r="AA12" s="17" t="s">
        <v>192</v>
      </c>
      <c r="AB12" s="18" t="s">
        <v>96</v>
      </c>
      <c r="AC12" s="19">
        <v>880</v>
      </c>
      <c r="AD12" s="20" t="s">
        <v>61</v>
      </c>
      <c r="AE12" s="20">
        <v>40</v>
      </c>
      <c r="AF12" s="20" t="s">
        <v>98</v>
      </c>
      <c r="AG12" s="10" t="s">
        <v>99</v>
      </c>
      <c r="AH12" s="22" t="s">
        <v>100</v>
      </c>
      <c r="AI12" s="12" t="s">
        <v>101</v>
      </c>
      <c r="AJ12" s="23" t="s">
        <v>102</v>
      </c>
      <c r="AK12" s="23" t="s">
        <v>180</v>
      </c>
      <c r="AL12" s="12" t="s">
        <v>104</v>
      </c>
      <c r="AM12" s="12" t="s">
        <v>105</v>
      </c>
      <c r="AN12" s="10" t="s">
        <v>106</v>
      </c>
      <c r="AO12" s="24" t="s">
        <v>107</v>
      </c>
      <c r="AP12" s="24" t="s">
        <v>108</v>
      </c>
      <c r="AQ12" s="10" t="s">
        <v>106</v>
      </c>
      <c r="AR12" s="12" t="s">
        <v>181</v>
      </c>
      <c r="AS12" s="12">
        <v>2</v>
      </c>
      <c r="AT12" s="25" t="str">
        <f t="shared" ca="1" si="2"/>
        <v>13/07/2024</v>
      </c>
      <c r="AU12" s="10" t="s">
        <v>100</v>
      </c>
      <c r="AV12" s="10" t="s">
        <v>100</v>
      </c>
      <c r="AW12" s="29" t="s">
        <v>110</v>
      </c>
      <c r="AX12" s="30" t="s">
        <v>111</v>
      </c>
      <c r="AY12" s="13" t="str">
        <f t="shared" ca="1" si="3"/>
        <v>13/07/2024</v>
      </c>
      <c r="AZ12" s="13" t="str">
        <f t="shared" ca="1" si="3"/>
        <v>13/07/2024</v>
      </c>
      <c r="BA12" s="22" t="str">
        <f t="shared" si="4"/>
        <v>N/A</v>
      </c>
      <c r="BB12" s="26" t="s">
        <v>81</v>
      </c>
      <c r="BC12" s="26" t="s">
        <v>112</v>
      </c>
      <c r="BD12" s="27">
        <v>1450717160701</v>
      </c>
      <c r="BE12" s="15" t="s">
        <v>113</v>
      </c>
      <c r="BF12" s="15" t="s">
        <v>114</v>
      </c>
      <c r="BG12" s="26" t="s">
        <v>81</v>
      </c>
      <c r="BH12" s="26" t="s">
        <v>115</v>
      </c>
      <c r="BI12" s="28">
        <v>935779</v>
      </c>
      <c r="BJ12" s="15" t="s">
        <v>113</v>
      </c>
      <c r="BK12" s="15" t="s">
        <v>114</v>
      </c>
      <c r="BL12" s="29" t="s">
        <v>87</v>
      </c>
      <c r="BM12" s="29" t="s">
        <v>87</v>
      </c>
      <c r="BN12" s="29" t="s">
        <v>116</v>
      </c>
      <c r="BO12" s="29" t="s">
        <v>117</v>
      </c>
      <c r="BP12" s="15" t="s">
        <v>118</v>
      </c>
      <c r="BQ12" s="29" t="s">
        <v>89</v>
      </c>
      <c r="BR12" s="29" t="s">
        <v>119</v>
      </c>
      <c r="BS12" s="29" t="s">
        <v>100</v>
      </c>
      <c r="BT12" s="30" t="s">
        <v>120</v>
      </c>
      <c r="BU12" s="30" t="s">
        <v>81</v>
      </c>
      <c r="BV12" s="29" t="s">
        <v>121</v>
      </c>
      <c r="BW12" s="29" t="s">
        <v>122</v>
      </c>
      <c r="BX12" s="30" t="s">
        <v>123</v>
      </c>
      <c r="BY12" s="30" t="s">
        <v>124</v>
      </c>
      <c r="BZ12" s="30" t="s">
        <v>125</v>
      </c>
      <c r="CA12" s="30" t="s">
        <v>126</v>
      </c>
      <c r="CB12" s="30" t="s">
        <v>81</v>
      </c>
      <c r="CC12" s="30" t="s">
        <v>127</v>
      </c>
      <c r="CD12" s="30" t="s">
        <v>128</v>
      </c>
    </row>
    <row r="13" spans="1:82" ht="15.65" customHeight="1" x14ac:dyDescent="0.35">
      <c r="A13" s="1" t="s">
        <v>193</v>
      </c>
      <c r="B13" s="1" t="s">
        <v>194</v>
      </c>
      <c r="C13" s="1" t="s">
        <v>79</v>
      </c>
      <c r="D13" s="9" t="s">
        <v>80</v>
      </c>
      <c r="E13" s="10" t="s">
        <v>81</v>
      </c>
      <c r="F13" s="11" t="s">
        <v>195</v>
      </c>
      <c r="G13" s="11" t="s">
        <v>196</v>
      </c>
      <c r="H13" s="12">
        <v>720527700</v>
      </c>
      <c r="I13" s="12" t="s">
        <v>84</v>
      </c>
      <c r="J13" s="12" t="s">
        <v>85</v>
      </c>
      <c r="K13" s="13" t="str">
        <f t="shared" ca="1" si="0"/>
        <v>13/07/2024</v>
      </c>
      <c r="L13" s="29" t="s">
        <v>81</v>
      </c>
      <c r="M13" s="30" t="s">
        <v>86</v>
      </c>
      <c r="N13" s="30">
        <v>1</v>
      </c>
      <c r="O13" s="30" t="s">
        <v>87</v>
      </c>
      <c r="P13" s="30">
        <v>515100</v>
      </c>
      <c r="Q13" s="30" t="s">
        <v>88</v>
      </c>
      <c r="R13" s="30" t="s">
        <v>89</v>
      </c>
      <c r="S13" s="30" t="s">
        <v>85</v>
      </c>
      <c r="T13" s="29" t="s">
        <v>90</v>
      </c>
      <c r="U13" s="33" t="s">
        <v>91</v>
      </c>
      <c r="V13" s="30" t="s">
        <v>85</v>
      </c>
      <c r="W13" s="13" t="str">
        <f t="shared" ca="1" si="1"/>
        <v>13/07/2024</v>
      </c>
      <c r="X13" s="12" t="s">
        <v>92</v>
      </c>
      <c r="Y13" s="15" t="s">
        <v>93</v>
      </c>
      <c r="Z13" s="17" t="s">
        <v>133</v>
      </c>
      <c r="AA13" s="17" t="s">
        <v>95</v>
      </c>
      <c r="AB13" s="18" t="s">
        <v>134</v>
      </c>
      <c r="AC13" s="19">
        <v>880</v>
      </c>
      <c r="AD13" s="20" t="s">
        <v>61</v>
      </c>
      <c r="AE13" s="20">
        <v>10</v>
      </c>
      <c r="AF13" s="20" t="s">
        <v>98</v>
      </c>
      <c r="AG13" s="10" t="s">
        <v>99</v>
      </c>
      <c r="AH13" s="22">
        <f ca="1">W13+360</f>
        <v>45846</v>
      </c>
      <c r="AI13" s="12" t="s">
        <v>101</v>
      </c>
      <c r="AJ13" s="23" t="s">
        <v>102</v>
      </c>
      <c r="AK13" s="23" t="s">
        <v>197</v>
      </c>
      <c r="AL13" s="12" t="s">
        <v>104</v>
      </c>
      <c r="AM13" s="12" t="s">
        <v>105</v>
      </c>
      <c r="AN13" s="10" t="s">
        <v>106</v>
      </c>
      <c r="AO13" s="24" t="s">
        <v>107</v>
      </c>
      <c r="AP13" s="24" t="s">
        <v>108</v>
      </c>
      <c r="AQ13" s="10" t="s">
        <v>109</v>
      </c>
      <c r="AR13" s="12" t="s">
        <v>181</v>
      </c>
      <c r="AS13" s="12">
        <v>3</v>
      </c>
      <c r="AT13" s="25" t="str">
        <f t="shared" ca="1" si="2"/>
        <v>13/07/2024</v>
      </c>
      <c r="AU13" s="10" t="s">
        <v>100</v>
      </c>
      <c r="AV13" s="10" t="s">
        <v>100</v>
      </c>
      <c r="AW13" s="29" t="s">
        <v>110</v>
      </c>
      <c r="AX13" s="30" t="s">
        <v>111</v>
      </c>
      <c r="AY13" s="13" t="str">
        <f t="shared" ca="1" si="3"/>
        <v>13/07/2024</v>
      </c>
      <c r="AZ13" s="13" t="str">
        <f t="shared" ca="1" si="3"/>
        <v>13/07/2024</v>
      </c>
      <c r="BA13" s="22">
        <f t="shared" ca="1" si="4"/>
        <v>45846</v>
      </c>
      <c r="BB13" s="26" t="s">
        <v>81</v>
      </c>
      <c r="BC13" s="26" t="s">
        <v>112</v>
      </c>
      <c r="BD13" s="27">
        <v>1260712014777</v>
      </c>
      <c r="BE13" s="15" t="s">
        <v>113</v>
      </c>
      <c r="BF13" s="15" t="s">
        <v>114</v>
      </c>
      <c r="BG13" s="26" t="s">
        <v>81</v>
      </c>
      <c r="BH13" s="26" t="s">
        <v>115</v>
      </c>
      <c r="BI13" s="28">
        <v>935780</v>
      </c>
      <c r="BJ13" s="15" t="s">
        <v>113</v>
      </c>
      <c r="BK13" s="15" t="s">
        <v>114</v>
      </c>
      <c r="BL13" s="29" t="s">
        <v>87</v>
      </c>
      <c r="BM13" s="29" t="s">
        <v>87</v>
      </c>
      <c r="BN13" s="29" t="s">
        <v>116</v>
      </c>
      <c r="BO13" s="29" t="s">
        <v>117</v>
      </c>
      <c r="BP13" s="15" t="s">
        <v>118</v>
      </c>
      <c r="BQ13" s="29" t="s">
        <v>89</v>
      </c>
      <c r="BR13" s="29" t="s">
        <v>119</v>
      </c>
      <c r="BS13" s="29" t="s">
        <v>100</v>
      </c>
      <c r="BT13" s="30" t="s">
        <v>120</v>
      </c>
      <c r="BU13" s="30" t="s">
        <v>81</v>
      </c>
      <c r="BV13" s="29" t="s">
        <v>121</v>
      </c>
      <c r="BW13" s="29" t="s">
        <v>122</v>
      </c>
      <c r="BX13" s="30" t="s">
        <v>123</v>
      </c>
      <c r="BY13" s="30" t="s">
        <v>124</v>
      </c>
      <c r="BZ13" s="30" t="s">
        <v>125</v>
      </c>
      <c r="CA13" s="30" t="s">
        <v>126</v>
      </c>
      <c r="CB13" s="30" t="s">
        <v>81</v>
      </c>
      <c r="CC13" s="30" t="s">
        <v>127</v>
      </c>
      <c r="CD13" s="30" t="s">
        <v>128</v>
      </c>
    </row>
    <row r="14" spans="1:82" ht="15.65" customHeight="1" x14ac:dyDescent="0.35">
      <c r="A14" s="1" t="s">
        <v>198</v>
      </c>
      <c r="B14" s="37" t="s">
        <v>199</v>
      </c>
      <c r="C14" s="1" t="s">
        <v>79</v>
      </c>
      <c r="D14" s="9" t="s">
        <v>80</v>
      </c>
      <c r="E14" s="10" t="s">
        <v>81</v>
      </c>
      <c r="F14" s="11" t="s">
        <v>200</v>
      </c>
      <c r="G14" s="11" t="s">
        <v>201</v>
      </c>
      <c r="H14" s="12">
        <v>720527700</v>
      </c>
      <c r="I14" s="12" t="s">
        <v>84</v>
      </c>
      <c r="J14" s="12" t="s">
        <v>85</v>
      </c>
      <c r="K14" s="13" t="str">
        <f t="shared" ca="1" si="0"/>
        <v>13/07/2024</v>
      </c>
      <c r="L14" s="10" t="s">
        <v>81</v>
      </c>
      <c r="M14" s="14" t="s">
        <v>86</v>
      </c>
      <c r="N14" s="12">
        <v>1</v>
      </c>
      <c r="O14" s="12" t="s">
        <v>87</v>
      </c>
      <c r="P14" s="12">
        <v>515100</v>
      </c>
      <c r="Q14" s="12" t="s">
        <v>88</v>
      </c>
      <c r="R14" s="12" t="s">
        <v>89</v>
      </c>
      <c r="S14" s="12" t="s">
        <v>85</v>
      </c>
      <c r="T14" s="15" t="s">
        <v>90</v>
      </c>
      <c r="U14" s="16" t="s">
        <v>91</v>
      </c>
      <c r="V14" s="12" t="s">
        <v>85</v>
      </c>
      <c r="W14" s="13" t="str">
        <f t="shared" ca="1" si="1"/>
        <v>13/07/2024</v>
      </c>
      <c r="X14" s="12" t="s">
        <v>92</v>
      </c>
      <c r="Y14" s="15" t="s">
        <v>93</v>
      </c>
      <c r="Z14" s="17" t="s">
        <v>94</v>
      </c>
      <c r="AA14" s="17" t="s">
        <v>95</v>
      </c>
      <c r="AB14" s="18" t="s">
        <v>134</v>
      </c>
      <c r="AC14" s="19">
        <v>880</v>
      </c>
      <c r="AD14" s="20" t="s">
        <v>61</v>
      </c>
      <c r="AE14" s="20">
        <v>25</v>
      </c>
      <c r="AF14" s="20" t="s">
        <v>98</v>
      </c>
      <c r="AG14" s="10" t="s">
        <v>99</v>
      </c>
      <c r="AH14" s="22" t="s">
        <v>100</v>
      </c>
      <c r="AI14" s="12" t="s">
        <v>101</v>
      </c>
      <c r="AJ14" s="23" t="s">
        <v>102</v>
      </c>
      <c r="AK14" s="23" t="s">
        <v>197</v>
      </c>
      <c r="AL14" s="12" t="s">
        <v>104</v>
      </c>
      <c r="AM14" s="12" t="s">
        <v>105</v>
      </c>
      <c r="AN14" s="10" t="s">
        <v>106</v>
      </c>
      <c r="AO14" s="24" t="s">
        <v>107</v>
      </c>
      <c r="AP14" s="24" t="s">
        <v>108</v>
      </c>
      <c r="AQ14" s="10" t="s">
        <v>106</v>
      </c>
      <c r="AR14" s="12" t="s">
        <v>181</v>
      </c>
      <c r="AS14" s="12">
        <v>1</v>
      </c>
      <c r="AT14" s="25" t="str">
        <f t="shared" ca="1" si="2"/>
        <v>13/07/2024</v>
      </c>
      <c r="AU14" s="10" t="s">
        <v>100</v>
      </c>
      <c r="AV14" s="10" t="s">
        <v>100</v>
      </c>
      <c r="AW14" s="29" t="s">
        <v>110</v>
      </c>
      <c r="AX14" s="30" t="s">
        <v>111</v>
      </c>
      <c r="AY14" s="13" t="str">
        <f t="shared" ca="1" si="3"/>
        <v>13/07/2024</v>
      </c>
      <c r="AZ14" s="13" t="str">
        <f t="shared" ca="1" si="3"/>
        <v>13/07/2024</v>
      </c>
      <c r="BA14" s="22" t="str">
        <f t="shared" si="4"/>
        <v>N/A</v>
      </c>
      <c r="BB14" s="26" t="s">
        <v>81</v>
      </c>
      <c r="BC14" s="26" t="s">
        <v>112</v>
      </c>
      <c r="BD14" s="27">
        <v>1641022517302</v>
      </c>
      <c r="BE14" s="15" t="s">
        <v>113</v>
      </c>
      <c r="BF14" s="15" t="s">
        <v>114</v>
      </c>
      <c r="BG14" s="26" t="s">
        <v>81</v>
      </c>
      <c r="BH14" s="26" t="s">
        <v>115</v>
      </c>
      <c r="BI14" s="28">
        <v>935781</v>
      </c>
      <c r="BJ14" s="15" t="s">
        <v>113</v>
      </c>
      <c r="BK14" s="15" t="s">
        <v>114</v>
      </c>
      <c r="BL14" s="29" t="s">
        <v>87</v>
      </c>
      <c r="BM14" s="29" t="s">
        <v>87</v>
      </c>
      <c r="BN14" s="29" t="s">
        <v>116</v>
      </c>
      <c r="BO14" s="29" t="s">
        <v>117</v>
      </c>
      <c r="BP14" s="15" t="s">
        <v>118</v>
      </c>
      <c r="BQ14" s="29" t="s">
        <v>89</v>
      </c>
      <c r="BR14" s="29" t="s">
        <v>119</v>
      </c>
      <c r="BS14" s="29" t="s">
        <v>100</v>
      </c>
      <c r="BT14" s="30" t="s">
        <v>120</v>
      </c>
      <c r="BU14" s="30" t="s">
        <v>81</v>
      </c>
      <c r="BV14" s="29" t="s">
        <v>121</v>
      </c>
      <c r="BW14" s="29" t="s">
        <v>122</v>
      </c>
      <c r="BX14" s="30" t="s">
        <v>123</v>
      </c>
      <c r="BY14" s="30" t="s">
        <v>124</v>
      </c>
      <c r="BZ14" s="30" t="s">
        <v>125</v>
      </c>
      <c r="CA14" s="30" t="s">
        <v>126</v>
      </c>
      <c r="CB14" s="30" t="s">
        <v>81</v>
      </c>
      <c r="CC14" s="30" t="s">
        <v>127</v>
      </c>
      <c r="CD14" s="30" t="s">
        <v>128</v>
      </c>
    </row>
    <row r="15" spans="1:82" ht="15.65" customHeight="1" x14ac:dyDescent="0.35">
      <c r="A15" s="1" t="s">
        <v>202</v>
      </c>
      <c r="B15" s="1" t="s">
        <v>203</v>
      </c>
      <c r="C15" s="1" t="s">
        <v>138</v>
      </c>
      <c r="D15" s="9" t="s">
        <v>139</v>
      </c>
      <c r="E15" s="10" t="s">
        <v>81</v>
      </c>
      <c r="F15" s="11" t="s">
        <v>204</v>
      </c>
      <c r="G15" s="11" t="s">
        <v>205</v>
      </c>
      <c r="H15" s="12">
        <v>720527700</v>
      </c>
      <c r="I15" s="12" t="s">
        <v>84</v>
      </c>
      <c r="J15" s="12" t="s">
        <v>85</v>
      </c>
      <c r="K15" s="13" t="str">
        <f t="shared" ca="1" si="0"/>
        <v>13/07/2024</v>
      </c>
      <c r="L15" s="29" t="s">
        <v>81</v>
      </c>
      <c r="M15" s="30" t="s">
        <v>86</v>
      </c>
      <c r="N15" s="30">
        <v>1</v>
      </c>
      <c r="O15" s="30" t="s">
        <v>87</v>
      </c>
      <c r="P15" s="30">
        <v>515100</v>
      </c>
      <c r="Q15" s="30" t="s">
        <v>88</v>
      </c>
      <c r="R15" s="30" t="s">
        <v>89</v>
      </c>
      <c r="S15" s="30" t="s">
        <v>85</v>
      </c>
      <c r="T15" s="29" t="s">
        <v>90</v>
      </c>
      <c r="U15" s="33" t="s">
        <v>91</v>
      </c>
      <c r="V15" s="30" t="s">
        <v>85</v>
      </c>
      <c r="W15" s="13" t="str">
        <f t="shared" ca="1" si="1"/>
        <v>13/07/2024</v>
      </c>
      <c r="X15" s="12" t="s">
        <v>92</v>
      </c>
      <c r="Y15" s="15" t="s">
        <v>206</v>
      </c>
      <c r="Z15" s="17" t="s">
        <v>94</v>
      </c>
      <c r="AA15" s="17" t="s">
        <v>143</v>
      </c>
      <c r="AB15" s="18" t="s">
        <v>134</v>
      </c>
      <c r="AC15" s="19">
        <v>880</v>
      </c>
      <c r="AD15" s="20" t="s">
        <v>61</v>
      </c>
      <c r="AE15" s="20">
        <v>35</v>
      </c>
      <c r="AF15" s="20" t="s">
        <v>98</v>
      </c>
      <c r="AG15" s="10" t="s">
        <v>99</v>
      </c>
      <c r="AH15" s="22" t="s">
        <v>100</v>
      </c>
      <c r="AI15" s="12" t="s">
        <v>101</v>
      </c>
      <c r="AJ15" s="35" t="s">
        <v>144</v>
      </c>
      <c r="AK15" s="36" t="s">
        <v>145</v>
      </c>
      <c r="AL15" s="12" t="s">
        <v>104</v>
      </c>
      <c r="AM15" s="12" t="s">
        <v>105</v>
      </c>
      <c r="AN15" s="10" t="s">
        <v>106</v>
      </c>
      <c r="AO15" s="24" t="s">
        <v>107</v>
      </c>
      <c r="AP15" s="24" t="s">
        <v>108</v>
      </c>
      <c r="AQ15" s="10" t="s">
        <v>109</v>
      </c>
      <c r="AR15" s="12" t="s">
        <v>181</v>
      </c>
      <c r="AS15" s="12">
        <v>2</v>
      </c>
      <c r="AT15" s="25" t="str">
        <f t="shared" ca="1" si="2"/>
        <v>13/07/2024</v>
      </c>
      <c r="AU15" s="10" t="s">
        <v>100</v>
      </c>
      <c r="AV15" s="10" t="s">
        <v>100</v>
      </c>
      <c r="AW15" s="29" t="s">
        <v>110</v>
      </c>
      <c r="AX15" s="30" t="s">
        <v>111</v>
      </c>
      <c r="AY15" s="13" t="str">
        <f t="shared" ca="1" si="3"/>
        <v>13/07/2024</v>
      </c>
      <c r="AZ15" s="13" t="str">
        <f t="shared" ca="1" si="3"/>
        <v>13/07/2024</v>
      </c>
      <c r="BA15" s="22" t="str">
        <f t="shared" si="4"/>
        <v>N/A</v>
      </c>
      <c r="BB15" s="26" t="s">
        <v>81</v>
      </c>
      <c r="BC15" s="26" t="s">
        <v>112</v>
      </c>
      <c r="BD15" s="27">
        <v>1740412166629</v>
      </c>
      <c r="BE15" s="15" t="s">
        <v>113</v>
      </c>
      <c r="BF15" s="15" t="s">
        <v>114</v>
      </c>
      <c r="BG15" s="26" t="s">
        <v>81</v>
      </c>
      <c r="BH15" s="26" t="s">
        <v>115</v>
      </c>
      <c r="BI15" s="28">
        <v>935782</v>
      </c>
      <c r="BJ15" s="15" t="s">
        <v>113</v>
      </c>
      <c r="BK15" s="15" t="s">
        <v>114</v>
      </c>
      <c r="BL15" s="29" t="s">
        <v>87</v>
      </c>
      <c r="BM15" s="29" t="s">
        <v>87</v>
      </c>
      <c r="BN15" s="29" t="s">
        <v>116</v>
      </c>
      <c r="BO15" s="29" t="s">
        <v>117</v>
      </c>
      <c r="BP15" s="15" t="s">
        <v>118</v>
      </c>
      <c r="BQ15" s="29" t="s">
        <v>89</v>
      </c>
      <c r="BR15" s="29" t="s">
        <v>119</v>
      </c>
      <c r="BS15" s="29" t="s">
        <v>100</v>
      </c>
      <c r="BT15" s="30" t="s">
        <v>120</v>
      </c>
      <c r="BU15" s="30" t="s">
        <v>81</v>
      </c>
      <c r="BV15" s="29" t="s">
        <v>121</v>
      </c>
      <c r="BW15" s="29" t="s">
        <v>122</v>
      </c>
      <c r="BX15" s="30" t="s">
        <v>123</v>
      </c>
      <c r="BY15" s="30" t="s">
        <v>124</v>
      </c>
      <c r="BZ15" s="30" t="s">
        <v>125</v>
      </c>
      <c r="CA15" s="30" t="s">
        <v>126</v>
      </c>
      <c r="CB15" s="30" t="s">
        <v>81</v>
      </c>
      <c r="CC15" s="30" t="s">
        <v>127</v>
      </c>
      <c r="CD15" s="30" t="s">
        <v>128</v>
      </c>
    </row>
    <row r="16" spans="1:82" ht="15.65" customHeight="1" x14ac:dyDescent="0.35">
      <c r="A16" s="1" t="s">
        <v>207</v>
      </c>
      <c r="B16" s="1" t="s">
        <v>208</v>
      </c>
      <c r="C16" s="1" t="s">
        <v>79</v>
      </c>
      <c r="D16" s="9" t="s">
        <v>80</v>
      </c>
      <c r="E16" s="10" t="s">
        <v>81</v>
      </c>
      <c r="F16" s="11" t="s">
        <v>209</v>
      </c>
      <c r="G16" s="11" t="s">
        <v>172</v>
      </c>
      <c r="H16" s="12">
        <v>720527700</v>
      </c>
      <c r="I16" s="12" t="s">
        <v>84</v>
      </c>
      <c r="J16" s="12" t="s">
        <v>85</v>
      </c>
      <c r="K16" s="13" t="str">
        <f t="shared" ca="1" si="0"/>
        <v>13/07/2024</v>
      </c>
      <c r="L16" s="10" t="s">
        <v>81</v>
      </c>
      <c r="M16" s="14" t="s">
        <v>86</v>
      </c>
      <c r="N16" s="12">
        <v>1</v>
      </c>
      <c r="O16" s="12" t="s">
        <v>87</v>
      </c>
      <c r="P16" s="12">
        <v>515100</v>
      </c>
      <c r="Q16" s="12" t="s">
        <v>88</v>
      </c>
      <c r="R16" s="12" t="s">
        <v>89</v>
      </c>
      <c r="S16" s="12" t="s">
        <v>85</v>
      </c>
      <c r="T16" s="15" t="s">
        <v>90</v>
      </c>
      <c r="U16" s="16" t="s">
        <v>91</v>
      </c>
      <c r="V16" s="12" t="s">
        <v>85</v>
      </c>
      <c r="W16" s="13" t="str">
        <f t="shared" ca="1" si="1"/>
        <v>13/07/2024</v>
      </c>
      <c r="X16" s="12" t="s">
        <v>92</v>
      </c>
      <c r="Y16" s="15" t="s">
        <v>93</v>
      </c>
      <c r="Z16" s="17" t="s">
        <v>133</v>
      </c>
      <c r="AA16" s="17" t="s">
        <v>192</v>
      </c>
      <c r="AB16" s="18" t="s">
        <v>134</v>
      </c>
      <c r="AC16" s="19">
        <v>880</v>
      </c>
      <c r="AD16" s="20" t="s">
        <v>61</v>
      </c>
      <c r="AE16" s="20">
        <v>25</v>
      </c>
      <c r="AF16" s="20" t="s">
        <v>98</v>
      </c>
      <c r="AG16" s="10" t="s">
        <v>99</v>
      </c>
      <c r="AH16" s="22">
        <f ca="1">W16+360</f>
        <v>45846</v>
      </c>
      <c r="AI16" s="12" t="s">
        <v>101</v>
      </c>
      <c r="AJ16" s="23" t="s">
        <v>102</v>
      </c>
      <c r="AK16" s="23" t="s">
        <v>180</v>
      </c>
      <c r="AL16" s="12" t="s">
        <v>104</v>
      </c>
      <c r="AM16" s="12" t="s">
        <v>105</v>
      </c>
      <c r="AN16" s="10" t="s">
        <v>106</v>
      </c>
      <c r="AO16" s="24" t="s">
        <v>107</v>
      </c>
      <c r="AP16" s="24" t="s">
        <v>108</v>
      </c>
      <c r="AQ16" s="10" t="s">
        <v>109</v>
      </c>
      <c r="AR16" s="12" t="s">
        <v>181</v>
      </c>
      <c r="AS16" s="12">
        <v>3</v>
      </c>
      <c r="AT16" s="25" t="str">
        <f t="shared" ca="1" si="2"/>
        <v>13/07/2024</v>
      </c>
      <c r="AU16" s="10" t="s">
        <v>100</v>
      </c>
      <c r="AV16" s="10" t="s">
        <v>100</v>
      </c>
      <c r="AW16" s="29" t="s">
        <v>110</v>
      </c>
      <c r="AX16" s="30" t="s">
        <v>111</v>
      </c>
      <c r="AY16" s="13" t="str">
        <f t="shared" ca="1" si="3"/>
        <v>13/07/2024</v>
      </c>
      <c r="AZ16" s="13" t="str">
        <f t="shared" ca="1" si="3"/>
        <v>13/07/2024</v>
      </c>
      <c r="BA16" s="22">
        <f t="shared" ca="1" si="4"/>
        <v>45846</v>
      </c>
      <c r="BB16" s="26" t="s">
        <v>81</v>
      </c>
      <c r="BC16" s="26" t="s">
        <v>112</v>
      </c>
      <c r="BD16" s="27">
        <v>1560328108761</v>
      </c>
      <c r="BE16" s="15" t="s">
        <v>113</v>
      </c>
      <c r="BF16" s="15" t="s">
        <v>114</v>
      </c>
      <c r="BG16" s="26" t="s">
        <v>81</v>
      </c>
      <c r="BH16" s="26" t="s">
        <v>115</v>
      </c>
      <c r="BI16" s="28">
        <v>935783</v>
      </c>
      <c r="BJ16" s="15" t="s">
        <v>113</v>
      </c>
      <c r="BK16" s="15" t="s">
        <v>114</v>
      </c>
      <c r="BL16" s="29" t="s">
        <v>87</v>
      </c>
      <c r="BM16" s="29" t="s">
        <v>87</v>
      </c>
      <c r="BN16" s="29" t="s">
        <v>116</v>
      </c>
      <c r="BO16" s="29" t="s">
        <v>117</v>
      </c>
      <c r="BP16" s="15" t="s">
        <v>118</v>
      </c>
      <c r="BQ16" s="29" t="s">
        <v>89</v>
      </c>
      <c r="BR16" s="29" t="s">
        <v>119</v>
      </c>
      <c r="BS16" s="29" t="s">
        <v>100</v>
      </c>
      <c r="BT16" s="30" t="s">
        <v>120</v>
      </c>
      <c r="BU16" s="30" t="s">
        <v>81</v>
      </c>
      <c r="BV16" s="29" t="s">
        <v>121</v>
      </c>
      <c r="BW16" s="29" t="s">
        <v>122</v>
      </c>
      <c r="BX16" s="30" t="s">
        <v>123</v>
      </c>
      <c r="BY16" s="30" t="s">
        <v>124</v>
      </c>
      <c r="BZ16" s="30" t="s">
        <v>125</v>
      </c>
      <c r="CA16" s="30" t="s">
        <v>126</v>
      </c>
      <c r="CB16" s="30" t="s">
        <v>81</v>
      </c>
      <c r="CC16" s="30" t="s">
        <v>127</v>
      </c>
      <c r="CD16" s="30" t="s">
        <v>128</v>
      </c>
    </row>
    <row r="17" spans="4:82" ht="15.65" customHeight="1" x14ac:dyDescent="0.25">
      <c r="E17" s="10"/>
      <c r="F17" s="11"/>
      <c r="G17" s="11"/>
      <c r="H17" s="12"/>
      <c r="I17" s="12"/>
      <c r="J17" s="12"/>
      <c r="K17" s="13"/>
      <c r="L17" s="29"/>
      <c r="M17" s="30"/>
      <c r="N17" s="30"/>
      <c r="O17" s="30"/>
      <c r="P17" s="30"/>
      <c r="Q17" s="30"/>
      <c r="R17" s="30"/>
      <c r="S17" s="30"/>
      <c r="T17" s="29"/>
      <c r="U17" s="33"/>
      <c r="V17" s="30"/>
      <c r="W17" s="13"/>
      <c r="X17" s="12"/>
      <c r="Y17" s="15"/>
      <c r="AA17" s="17"/>
      <c r="AB17" s="18"/>
      <c r="AC17" s="17"/>
      <c r="AD17" s="20"/>
      <c r="AE17" s="20"/>
      <c r="AF17" s="20"/>
    </row>
    <row r="18" spans="4:82" ht="15.65" customHeight="1" x14ac:dyDescent="0.25">
      <c r="AA18" s="17"/>
      <c r="AB18" s="34"/>
      <c r="AC18" s="17"/>
      <c r="AD18" s="20"/>
      <c r="AE18" s="20"/>
      <c r="AF18" s="20"/>
    </row>
    <row r="19" spans="4:82" ht="15.65" customHeight="1" x14ac:dyDescent="0.25">
      <c r="AA19" s="17"/>
      <c r="AB19" s="18"/>
      <c r="AC19" s="17"/>
      <c r="AD19" s="20"/>
      <c r="AE19" s="20"/>
      <c r="AF19" s="20"/>
    </row>
    <row r="24" spans="4:82" ht="15.65" customHeight="1" x14ac:dyDescent="0.35">
      <c r="D24" s="38"/>
      <c r="E24" s="10"/>
      <c r="F24" s="37"/>
      <c r="G24" s="37"/>
      <c r="H24" s="12"/>
      <c r="I24" s="12"/>
      <c r="J24" s="12"/>
      <c r="K24" s="29"/>
      <c r="L24" s="10"/>
      <c r="M24" s="12"/>
      <c r="N24" s="12"/>
      <c r="O24" s="12"/>
      <c r="P24" s="12"/>
      <c r="Q24" s="12"/>
      <c r="R24" s="12"/>
      <c r="S24" s="12"/>
      <c r="T24" s="15"/>
      <c r="U24" s="39"/>
      <c r="V24" s="12"/>
      <c r="W24" s="13"/>
      <c r="X24" s="12"/>
      <c r="Y24" s="15"/>
      <c r="Z24" s="15"/>
      <c r="AA24" s="10"/>
      <c r="AB24" s="15"/>
      <c r="AC24" s="10"/>
      <c r="AD24" s="10"/>
      <c r="AE24" s="10"/>
      <c r="AF24" s="28"/>
      <c r="AG24" s="10"/>
      <c r="AH24" s="25"/>
      <c r="AI24" s="12"/>
      <c r="AJ24" s="28"/>
      <c r="AK24" s="28"/>
      <c r="AL24" s="12"/>
      <c r="AM24" s="12"/>
      <c r="AN24" s="10"/>
      <c r="AO24" s="24"/>
      <c r="AP24" s="24"/>
      <c r="AQ24" s="12"/>
      <c r="AR24" s="12"/>
      <c r="AS24" s="12"/>
      <c r="AT24" s="15"/>
      <c r="AU24" s="10"/>
      <c r="AV24" s="12"/>
      <c r="AW24" s="28"/>
      <c r="AX24" s="12"/>
      <c r="AY24" s="29"/>
      <c r="AZ24" s="29"/>
      <c r="BA24" s="13"/>
      <c r="BB24" s="26"/>
      <c r="BC24" s="26"/>
      <c r="BD24" s="40"/>
      <c r="BE24" s="15"/>
      <c r="BF24" s="15"/>
      <c r="BG24" s="26"/>
      <c r="BH24" s="26"/>
      <c r="BI24" s="28"/>
      <c r="BJ24" s="15"/>
      <c r="BK24" s="15"/>
      <c r="BL24" s="10"/>
      <c r="BM24" s="10"/>
      <c r="BN24" s="10"/>
      <c r="BO24" s="10"/>
      <c r="BP24" s="15"/>
      <c r="BQ24" s="26"/>
      <c r="BR24" s="10"/>
      <c r="BS24" s="41"/>
      <c r="BT24" s="26"/>
      <c r="BU24" s="26"/>
      <c r="BV24" s="10"/>
      <c r="BW24" s="10"/>
      <c r="BX24" s="26"/>
      <c r="BY24" s="26"/>
      <c r="BZ24" s="26"/>
      <c r="CA24" s="26"/>
      <c r="CB24" s="26"/>
      <c r="CC24" s="26"/>
      <c r="CD24" s="26"/>
    </row>
    <row r="25" spans="4:82" ht="15.65" customHeight="1" x14ac:dyDescent="0.35">
      <c r="D25" s="38"/>
      <c r="E25" s="10"/>
      <c r="F25" s="37"/>
      <c r="G25" s="37"/>
      <c r="H25" s="12"/>
      <c r="I25" s="12"/>
      <c r="J25" s="12"/>
      <c r="K25" s="29"/>
      <c r="L25" s="10"/>
      <c r="M25" s="12"/>
      <c r="N25" s="12"/>
      <c r="O25" s="12"/>
      <c r="P25" s="12"/>
      <c r="Q25" s="12"/>
      <c r="R25" s="12"/>
      <c r="S25" s="12"/>
      <c r="T25" s="15"/>
      <c r="U25" s="39"/>
      <c r="V25" s="12"/>
      <c r="W25" s="13"/>
      <c r="X25" s="12"/>
      <c r="Y25" s="15"/>
      <c r="Z25" s="15"/>
      <c r="AA25" s="10"/>
      <c r="AB25" s="15"/>
      <c r="AC25" s="10"/>
      <c r="AD25" s="10"/>
      <c r="AE25" s="10"/>
      <c r="AF25" s="28"/>
      <c r="AG25" s="10"/>
      <c r="AH25" s="25"/>
      <c r="AI25" s="12"/>
      <c r="AJ25" s="28"/>
      <c r="AK25" s="28"/>
      <c r="AL25" s="12"/>
      <c r="AM25" s="12"/>
      <c r="AN25" s="10"/>
      <c r="AO25" s="24"/>
      <c r="AP25" s="24"/>
      <c r="AQ25" s="12"/>
      <c r="AR25" s="12"/>
      <c r="AS25" s="12"/>
      <c r="AT25" s="15"/>
      <c r="AU25" s="10"/>
      <c r="AV25" s="12"/>
      <c r="AW25" s="10"/>
      <c r="AX25" s="12"/>
      <c r="AY25" s="29"/>
      <c r="AZ25" s="29"/>
      <c r="BA25" s="13"/>
      <c r="BB25" s="26"/>
      <c r="BC25" s="26"/>
      <c r="BD25" s="40"/>
      <c r="BE25" s="15"/>
      <c r="BF25" s="15"/>
      <c r="BG25" s="26"/>
      <c r="BH25" s="26"/>
      <c r="BI25" s="28"/>
      <c r="BJ25" s="15"/>
      <c r="BK25" s="15"/>
      <c r="BL25" s="10"/>
      <c r="BM25" s="10"/>
      <c r="BN25" s="10"/>
      <c r="BO25" s="10"/>
      <c r="BP25" s="15"/>
      <c r="BQ25" s="26"/>
      <c r="BR25" s="10"/>
      <c r="BS25" s="41"/>
      <c r="BT25" s="26"/>
      <c r="BU25" s="26"/>
      <c r="BV25" s="10"/>
      <c r="BW25" s="10"/>
      <c r="BX25" s="26"/>
      <c r="BY25" s="26"/>
      <c r="BZ25" s="26"/>
      <c r="CA25" s="26"/>
      <c r="CB25" s="26"/>
      <c r="CC25" s="26"/>
      <c r="CD25" s="26"/>
    </row>
    <row r="26" spans="4:82" ht="15.65" customHeight="1" x14ac:dyDescent="0.35">
      <c r="D26" s="38"/>
      <c r="E26" s="10"/>
      <c r="F26" s="37"/>
      <c r="G26" s="37"/>
      <c r="H26" s="12"/>
      <c r="I26" s="12"/>
      <c r="J26" s="12"/>
      <c r="K26" s="29"/>
      <c r="L26" s="10"/>
      <c r="M26" s="12"/>
      <c r="N26" s="12"/>
      <c r="O26" s="12"/>
      <c r="P26" s="12"/>
      <c r="Q26" s="12"/>
      <c r="R26" s="12"/>
      <c r="S26" s="12"/>
      <c r="T26" s="15"/>
      <c r="U26" s="39"/>
      <c r="V26" s="12"/>
      <c r="W26" s="13"/>
      <c r="X26" s="12"/>
      <c r="Y26" s="15"/>
      <c r="Z26" s="15"/>
      <c r="AA26" s="10"/>
      <c r="AB26" s="15"/>
      <c r="AC26" s="10"/>
      <c r="AD26" s="10"/>
      <c r="AE26" s="10"/>
      <c r="AF26" s="28"/>
      <c r="AG26" s="10"/>
      <c r="AH26" s="25"/>
      <c r="AI26" s="12"/>
      <c r="AJ26" s="28"/>
      <c r="AK26" s="28"/>
      <c r="AL26" s="12"/>
      <c r="AM26" s="12"/>
      <c r="AN26" s="10"/>
      <c r="AO26" s="24"/>
      <c r="AP26" s="24"/>
      <c r="AQ26" s="10"/>
      <c r="AR26" s="12"/>
      <c r="AS26" s="12"/>
      <c r="AT26" s="15"/>
      <c r="AU26" s="10"/>
      <c r="AV26" s="12"/>
      <c r="AW26" s="10"/>
      <c r="AX26" s="12"/>
      <c r="AY26" s="29"/>
      <c r="AZ26" s="29"/>
      <c r="BA26" s="13"/>
      <c r="BB26" s="26"/>
      <c r="BC26" s="26"/>
      <c r="BD26" s="40"/>
      <c r="BE26" s="15"/>
      <c r="BF26" s="15"/>
      <c r="BG26" s="26"/>
      <c r="BH26" s="26"/>
      <c r="BI26" s="28"/>
      <c r="BJ26" s="15"/>
      <c r="BK26" s="15"/>
      <c r="BL26" s="10"/>
      <c r="BM26" s="10"/>
      <c r="BN26" s="10"/>
      <c r="BO26" s="10"/>
      <c r="BP26" s="15"/>
      <c r="BQ26" s="26"/>
      <c r="BR26" s="10"/>
      <c r="BS26" s="41"/>
      <c r="BT26" s="26"/>
      <c r="BU26" s="26"/>
      <c r="BV26" s="10"/>
      <c r="BW26" s="10"/>
      <c r="BX26" s="26"/>
      <c r="BY26" s="26"/>
      <c r="BZ26" s="26"/>
      <c r="CA26" s="26"/>
      <c r="CB26" s="26"/>
      <c r="CC26" s="26"/>
      <c r="CD26" s="26"/>
    </row>
    <row r="27" spans="4:82" ht="15.65" customHeight="1" x14ac:dyDescent="0.35">
      <c r="D27" s="38"/>
      <c r="E27" s="10"/>
      <c r="F27" s="37"/>
      <c r="G27" s="37"/>
      <c r="H27" s="12"/>
      <c r="I27" s="12"/>
      <c r="J27" s="12"/>
      <c r="K27" s="29"/>
      <c r="L27" s="10"/>
      <c r="M27" s="12"/>
      <c r="N27" s="12"/>
      <c r="O27" s="12"/>
      <c r="P27" s="12"/>
      <c r="Q27" s="12"/>
      <c r="R27" s="12"/>
      <c r="S27" s="12"/>
      <c r="T27" s="15"/>
      <c r="U27" s="39"/>
      <c r="V27" s="12"/>
      <c r="W27" s="13"/>
      <c r="X27" s="12"/>
      <c r="Y27" s="15"/>
      <c r="Z27" s="15"/>
      <c r="AA27" s="10"/>
      <c r="AB27" s="15"/>
      <c r="AC27" s="10"/>
      <c r="AD27" s="10"/>
      <c r="AE27" s="10"/>
      <c r="AF27" s="42"/>
      <c r="AG27" s="10"/>
      <c r="AH27" s="25"/>
      <c r="AI27" s="12"/>
      <c r="AJ27" s="28"/>
      <c r="AK27" s="28"/>
      <c r="AL27" s="12"/>
      <c r="AM27" s="12"/>
      <c r="AN27" s="10"/>
      <c r="AO27" s="24"/>
      <c r="AP27" s="24"/>
      <c r="AQ27" s="10"/>
      <c r="AR27" s="12"/>
      <c r="AS27" s="12"/>
      <c r="AT27" s="15"/>
      <c r="AU27" s="10"/>
      <c r="AV27" s="12"/>
      <c r="AX27" s="12"/>
      <c r="AY27" s="29"/>
      <c r="AZ27" s="29"/>
      <c r="BA27" s="13"/>
      <c r="BB27" s="26"/>
      <c r="BC27" s="26"/>
      <c r="BD27" s="40"/>
      <c r="BE27" s="15"/>
      <c r="BF27" s="15"/>
      <c r="BG27" s="26"/>
      <c r="BH27" s="26"/>
      <c r="BI27" s="28"/>
      <c r="BJ27" s="15"/>
      <c r="BK27" s="15"/>
      <c r="BL27" s="10"/>
      <c r="BM27" s="10"/>
      <c r="BN27" s="10"/>
      <c r="BO27" s="10"/>
      <c r="BP27" s="15"/>
      <c r="BQ27" s="26"/>
      <c r="BR27" s="10"/>
      <c r="BS27" s="41"/>
      <c r="BT27" s="26"/>
      <c r="BU27" s="26"/>
      <c r="BV27" s="10"/>
      <c r="BW27" s="10"/>
      <c r="BX27" s="26"/>
      <c r="BY27" s="26"/>
      <c r="BZ27" s="26"/>
      <c r="CA27" s="26"/>
      <c r="CB27" s="26"/>
      <c r="CC27" s="26"/>
      <c r="CD27" s="26"/>
    </row>
    <row r="28" spans="4:82" ht="15.65" customHeight="1" x14ac:dyDescent="0.35">
      <c r="D28" s="38"/>
      <c r="E28" s="10"/>
      <c r="F28" s="37"/>
      <c r="G28" s="37"/>
      <c r="H28" s="12"/>
      <c r="I28" s="12"/>
      <c r="J28" s="12"/>
      <c r="K28" s="29"/>
      <c r="L28" s="10"/>
      <c r="M28" s="12"/>
      <c r="N28" s="12"/>
      <c r="O28" s="12"/>
      <c r="P28" s="12"/>
      <c r="Q28" s="12"/>
      <c r="R28" s="12"/>
      <c r="S28" s="12"/>
      <c r="T28" s="15"/>
      <c r="U28" s="39"/>
      <c r="V28" s="12"/>
      <c r="W28" s="13"/>
      <c r="X28" s="12"/>
      <c r="Y28" s="15"/>
      <c r="Z28" s="15"/>
      <c r="AA28" s="10"/>
      <c r="AB28" s="15"/>
      <c r="AC28" s="10"/>
      <c r="AD28" s="10"/>
      <c r="AE28" s="10"/>
      <c r="AF28" s="42"/>
      <c r="AG28" s="10"/>
      <c r="AH28" s="25"/>
      <c r="AI28" s="12"/>
      <c r="AJ28" s="28"/>
      <c r="AK28" s="28"/>
      <c r="AL28" s="12"/>
      <c r="AM28" s="12"/>
      <c r="AN28" s="10"/>
      <c r="AO28" s="24"/>
      <c r="AP28" s="24"/>
      <c r="AQ28" s="12"/>
      <c r="AR28" s="12"/>
      <c r="AS28" s="12"/>
      <c r="AT28" s="15"/>
      <c r="AU28" s="10"/>
      <c r="AV28" s="12"/>
      <c r="AW28" s="10"/>
      <c r="AX28" s="12"/>
      <c r="AY28" s="29"/>
      <c r="AZ28" s="29"/>
      <c r="BA28" s="13"/>
      <c r="BB28" s="26"/>
      <c r="BC28" s="26"/>
      <c r="BD28" s="40"/>
      <c r="BE28" s="15"/>
      <c r="BF28" s="15"/>
      <c r="BG28" s="26"/>
      <c r="BH28" s="26"/>
      <c r="BI28" s="28"/>
      <c r="BJ28" s="15"/>
      <c r="BK28" s="15"/>
      <c r="BL28" s="10"/>
      <c r="BM28" s="10"/>
      <c r="BN28" s="10"/>
      <c r="BO28" s="10"/>
      <c r="BP28" s="15"/>
      <c r="BQ28" s="26"/>
      <c r="BR28" s="10"/>
      <c r="BS28" s="41"/>
      <c r="BT28" s="26"/>
      <c r="BU28" s="26"/>
      <c r="BV28" s="10"/>
      <c r="BW28" s="10"/>
      <c r="BX28" s="26"/>
      <c r="BY28" s="26"/>
      <c r="BZ28" s="26"/>
      <c r="CA28" s="26"/>
      <c r="CB28" s="26"/>
      <c r="CC28" s="26"/>
      <c r="CD28" s="26"/>
    </row>
    <row r="29" spans="4:82" ht="15.65" customHeight="1" x14ac:dyDescent="0.35">
      <c r="D29" s="38"/>
      <c r="E29" s="10"/>
      <c r="F29" s="37"/>
      <c r="G29" s="37"/>
      <c r="H29" s="12"/>
      <c r="I29" s="12"/>
      <c r="J29" s="12"/>
      <c r="K29" s="29"/>
      <c r="L29" s="10"/>
      <c r="M29" s="12"/>
      <c r="N29" s="12"/>
      <c r="O29" s="12"/>
      <c r="P29" s="12"/>
      <c r="Q29" s="12"/>
      <c r="R29" s="12"/>
      <c r="S29" s="12"/>
      <c r="T29" s="15"/>
      <c r="U29" s="39"/>
      <c r="V29" s="12"/>
      <c r="W29" s="13"/>
      <c r="X29" s="12"/>
      <c r="Y29" s="15"/>
      <c r="Z29" s="15"/>
      <c r="AA29" s="10"/>
      <c r="AB29" s="15"/>
      <c r="AC29" s="10"/>
      <c r="AD29" s="10"/>
      <c r="AE29" s="10"/>
      <c r="AF29" s="28"/>
      <c r="AG29" s="10"/>
      <c r="AH29" s="25"/>
      <c r="AI29" s="12"/>
      <c r="AJ29" s="28"/>
      <c r="AK29" s="28"/>
      <c r="AL29" s="12"/>
      <c r="AM29" s="12"/>
      <c r="AN29" s="10"/>
      <c r="AO29" s="24"/>
      <c r="AP29" s="24"/>
      <c r="AQ29" s="12"/>
      <c r="AR29" s="12"/>
      <c r="AS29" s="12"/>
      <c r="AT29" s="15"/>
      <c r="AU29" s="10"/>
      <c r="AV29" s="12"/>
      <c r="AW29" s="28"/>
      <c r="AX29" s="12"/>
      <c r="AY29" s="29"/>
      <c r="AZ29" s="29"/>
      <c r="BA29" s="13"/>
      <c r="BB29" s="26"/>
      <c r="BC29" s="26"/>
      <c r="BD29" s="40"/>
      <c r="BE29" s="15"/>
      <c r="BF29" s="15"/>
      <c r="BG29" s="26"/>
      <c r="BH29" s="26"/>
      <c r="BI29" s="28"/>
      <c r="BJ29" s="15"/>
      <c r="BK29" s="15"/>
      <c r="BL29" s="10"/>
      <c r="BM29" s="10"/>
      <c r="BN29" s="10"/>
      <c r="BO29" s="10"/>
      <c r="BP29" s="15"/>
      <c r="BQ29" s="26"/>
      <c r="BR29" s="10"/>
      <c r="BS29" s="41"/>
      <c r="BT29" s="26"/>
      <c r="BU29" s="26"/>
      <c r="BV29" s="10"/>
      <c r="BW29" s="10"/>
      <c r="BX29" s="26"/>
      <c r="BY29" s="26"/>
      <c r="BZ29" s="26"/>
      <c r="CA29" s="26"/>
      <c r="CB29" s="26"/>
      <c r="CC29" s="26"/>
      <c r="CD29" s="26"/>
    </row>
    <row r="30" spans="4:82" ht="15.65" customHeight="1" x14ac:dyDescent="0.35">
      <c r="D30" s="38"/>
      <c r="E30" s="10"/>
      <c r="F30" s="37"/>
      <c r="G30" s="37"/>
      <c r="H30" s="12"/>
      <c r="I30" s="12"/>
      <c r="J30" s="12"/>
      <c r="K30" s="29"/>
      <c r="L30" s="10"/>
      <c r="M30" s="12"/>
      <c r="N30" s="12"/>
      <c r="O30" s="12"/>
      <c r="P30" s="12"/>
      <c r="Q30" s="12"/>
      <c r="R30" s="12"/>
      <c r="S30" s="12"/>
      <c r="T30" s="15"/>
      <c r="U30" s="39"/>
      <c r="V30" s="12"/>
      <c r="W30" s="13"/>
      <c r="X30" s="12"/>
      <c r="Y30" s="15"/>
      <c r="Z30" s="15"/>
      <c r="AA30" s="10"/>
      <c r="AB30" s="15"/>
      <c r="AC30" s="10"/>
      <c r="AD30" s="10"/>
      <c r="AE30" s="10"/>
      <c r="AF30" s="28"/>
      <c r="AG30" s="10"/>
      <c r="AH30" s="25"/>
      <c r="AI30" s="12"/>
      <c r="AJ30" s="28"/>
      <c r="AK30" s="28"/>
      <c r="AL30" s="12"/>
      <c r="AM30" s="12"/>
      <c r="AN30" s="10"/>
      <c r="AO30" s="24"/>
      <c r="AP30" s="24"/>
      <c r="AQ30" s="12"/>
      <c r="AR30" s="12"/>
      <c r="AS30" s="12"/>
      <c r="AT30" s="15"/>
      <c r="AU30" s="10"/>
      <c r="AV30" s="12"/>
      <c r="AW30" s="10"/>
      <c r="AX30" s="12"/>
      <c r="AY30" s="29"/>
      <c r="AZ30" s="29"/>
      <c r="BA30" s="13"/>
      <c r="BB30" s="26"/>
      <c r="BC30" s="26"/>
      <c r="BD30" s="40"/>
      <c r="BE30" s="15"/>
      <c r="BF30" s="15"/>
      <c r="BG30" s="26"/>
      <c r="BH30" s="26"/>
      <c r="BI30" s="28"/>
      <c r="BJ30" s="15"/>
      <c r="BK30" s="15"/>
      <c r="BL30" s="10"/>
      <c r="BM30" s="10"/>
      <c r="BN30" s="10"/>
      <c r="BO30" s="10"/>
      <c r="BP30" s="15"/>
      <c r="BQ30" s="26"/>
      <c r="BR30" s="10"/>
      <c r="BS30" s="41"/>
      <c r="BT30" s="26"/>
      <c r="BU30" s="26"/>
      <c r="BV30" s="10"/>
      <c r="BW30" s="10"/>
      <c r="BX30" s="26"/>
      <c r="BY30" s="26"/>
      <c r="BZ30" s="26"/>
      <c r="CA30" s="26"/>
      <c r="CB30" s="26"/>
      <c r="CC30" s="26"/>
      <c r="CD30" s="26"/>
    </row>
    <row r="32" spans="4:82" ht="15.65" customHeight="1" x14ac:dyDescent="0.35">
      <c r="D32" s="38"/>
      <c r="E32" s="10"/>
      <c r="F32" s="37"/>
      <c r="G32" s="37"/>
      <c r="H32" s="12"/>
      <c r="I32" s="12"/>
      <c r="J32" s="12"/>
      <c r="K32" s="29"/>
      <c r="L32" s="10"/>
      <c r="M32" s="12"/>
      <c r="N32" s="12"/>
      <c r="O32" s="12"/>
      <c r="P32" s="12"/>
      <c r="Q32" s="12"/>
      <c r="R32" s="12"/>
      <c r="S32" s="12"/>
      <c r="T32" s="15"/>
      <c r="U32" s="39"/>
      <c r="V32" s="12"/>
      <c r="W32" s="13"/>
      <c r="X32" s="12"/>
      <c r="Y32" s="15"/>
      <c r="Z32" s="15"/>
      <c r="AA32" s="10"/>
      <c r="AB32" s="15"/>
      <c r="AC32" s="10"/>
      <c r="AD32" s="10"/>
      <c r="AE32" s="10"/>
      <c r="AF32" s="28"/>
      <c r="AG32" s="10"/>
      <c r="AH32" s="25"/>
      <c r="AI32" s="12"/>
      <c r="AJ32" s="28"/>
      <c r="AK32" s="28"/>
      <c r="AL32" s="12"/>
      <c r="AM32" s="12"/>
      <c r="AN32" s="10"/>
      <c r="AO32" s="24"/>
      <c r="AP32" s="24"/>
      <c r="AQ32" s="12"/>
      <c r="AR32" s="12"/>
      <c r="AS32" s="12"/>
      <c r="AT32" s="15"/>
      <c r="AU32" s="10"/>
      <c r="AV32" s="12"/>
      <c r="AW32" s="10"/>
      <c r="AX32" s="12"/>
      <c r="AY32" s="29"/>
      <c r="AZ32" s="29"/>
      <c r="BA32" s="13"/>
      <c r="BB32" s="26"/>
      <c r="BC32" s="26"/>
      <c r="BD32" s="40"/>
      <c r="BE32" s="15"/>
      <c r="BF32" s="15"/>
      <c r="BG32" s="26"/>
      <c r="BH32" s="26"/>
      <c r="BI32" s="28"/>
      <c r="BJ32" s="15"/>
      <c r="BK32" s="15"/>
      <c r="BL32" s="10"/>
      <c r="BM32" s="10"/>
      <c r="BN32" s="10"/>
      <c r="BO32" s="10"/>
      <c r="BP32" s="15"/>
      <c r="BQ32" s="26"/>
      <c r="BR32" s="10"/>
      <c r="BS32" s="41"/>
      <c r="BT32" s="26"/>
      <c r="BU32" s="26"/>
      <c r="BV32" s="10"/>
      <c r="BW32" s="10"/>
      <c r="BX32" s="26"/>
      <c r="BY32" s="26"/>
      <c r="BZ32" s="26"/>
      <c r="CA32" s="26"/>
      <c r="CB32" s="26"/>
      <c r="CC32" s="26"/>
      <c r="CD32" s="26"/>
    </row>
  </sheetData>
  <dataValidations count="16">
    <dataValidation type="list" allowBlank="1" showInputMessage="1" showErrorMessage="1" sqref="AX10:AX16 X10:X17 V10:V17 S10:S17 BX10:BX16" xr:uid="{00000000-0002-0000-0000-000000000000}">
      <formula1>INDIRECT($E2)</formula1>
    </dataValidation>
    <dataValidation type="list" allowBlank="1" showInputMessage="1" showErrorMessage="1" sqref="AX2:AX16 X2:X17 V2:V17 S2:S17 BX2:BX16" xr:uid="{00000000-0002-0000-0000-000001000000}">
      <formula1>INDIRECT($E2)</formula1>
    </dataValidation>
    <dataValidation type="list" allowBlank="1" showInputMessage="1" showErrorMessage="1" sqref="AX24 X24 V24 S24 BX24" xr:uid="{00000000-0002-0000-0000-000002000000}">
      <formula1>INDIRECT($E2)</formula1>
    </dataValidation>
    <dataValidation type="list" allowBlank="1" showInputMessage="1" showErrorMessage="1" sqref="AX25:AX26 X32 X30 X25:X26 V32 V30 V25:V26 S32 S30 S25:S26 J8 J6 J4 J30 J2 J16 J14 J12 J10 I9 I7 I5 I32:J32 I3 I27:I30 I24:J25 I17 I15 I13 I11 BX32 BX30 BX25:BX26 AX32 AX30" xr:uid="{00000000-0002-0000-0000-000003000000}">
      <formula1>INDIRECT(#REF!)</formula1>
    </dataValidation>
    <dataValidation type="list" allowBlank="1" showInputMessage="1" showErrorMessage="1" sqref="AX27:AX29 X27:X29 V27:V29 S27:S29 BX27:BX29" xr:uid="{00000000-0002-0000-0000-000004000000}">
      <formula1>INDIRECT($E2)</formula1>
    </dataValidation>
    <dataValidation type="list" allowBlank="1" showInputMessage="1" showErrorMessage="1" sqref="J11" xr:uid="{00000000-0002-0000-0000-00001A000000}">
      <formula1>INDIRECT($E2)</formula1>
    </dataValidation>
    <dataValidation type="list" allowBlank="1" showInputMessage="1" showErrorMessage="1" sqref="J13" xr:uid="{00000000-0002-0000-0000-00001C000000}">
      <formula1>INDIRECT($E2)</formula1>
    </dataValidation>
    <dataValidation type="list" allowBlank="1" showInputMessage="1" showErrorMessage="1" sqref="J15" xr:uid="{00000000-0002-0000-0000-00001E000000}">
      <formula1>INDIRECT($E2)</formula1>
    </dataValidation>
    <dataValidation type="list" allowBlank="1" showInputMessage="1" showErrorMessage="1" sqref="J17" xr:uid="{00000000-0002-0000-0000-000020000000}">
      <formula1>INDIRECT($E2)</formula1>
    </dataValidation>
    <dataValidation type="list" allowBlank="1" showInputMessage="1" showErrorMessage="1" sqref="J26" xr:uid="{00000000-0002-0000-0000-000022000000}">
      <formula1>INDIRECT($E6)</formula1>
    </dataValidation>
    <dataValidation type="list" allowBlank="1" showInputMessage="1" showErrorMessage="1" sqref="J27" xr:uid="{00000000-0002-0000-0000-000023000000}">
      <formula1>INDIRECT($E3)</formula1>
    </dataValidation>
    <dataValidation type="list" allowBlank="1" showInputMessage="1" showErrorMessage="1" sqref="J28:J29" xr:uid="{00000000-0002-0000-0000-000024000000}">
      <formula1>INDIRECT($E2)</formula1>
    </dataValidation>
    <dataValidation type="list" allowBlank="1" showInputMessage="1" showErrorMessage="1" sqref="J3" xr:uid="{00000000-0002-0000-0000-000025000000}">
      <formula1>INDIRECT($E2)</formula1>
    </dataValidation>
    <dataValidation type="list" allowBlank="1" showInputMessage="1" showErrorMessage="1" sqref="J5" xr:uid="{00000000-0002-0000-0000-000028000000}">
      <formula1>INDIRECT($E2)</formula1>
    </dataValidation>
    <dataValidation type="list" allowBlank="1" showInputMessage="1" showErrorMessage="1" sqref="J7" xr:uid="{00000000-0002-0000-0000-00002A000000}">
      <formula1>INDIRECT($E2)</formula1>
    </dataValidation>
    <dataValidation type="list" allowBlank="1" showInputMessage="1" showErrorMessage="1" sqref="J9" xr:uid="{00000000-0002-0000-0000-00002C000000}">
      <formula1>INDIRECT($E2)</formula1>
    </dataValidation>
  </dataValidations>
  <hyperlinks>
    <hyperlink ref="U2" r:id="rId1" xr:uid="{00000000-0004-0000-0000-000000000000}"/>
    <hyperlink ref="U3" r:id="rId2" xr:uid="{00000000-0004-0000-0000-000001000000}"/>
    <hyperlink ref="U4" r:id="rId3" xr:uid="{00000000-0004-0000-0000-000002000000}"/>
    <hyperlink ref="U5" r:id="rId4" xr:uid="{00000000-0004-0000-0000-000003000000}"/>
    <hyperlink ref="U6" r:id="rId5" xr:uid="{00000000-0004-0000-0000-000004000000}"/>
    <hyperlink ref="U7" r:id="rId6" xr:uid="{00000000-0004-0000-0000-000005000000}"/>
    <hyperlink ref="U8" r:id="rId7" xr:uid="{00000000-0004-0000-0000-000006000000}"/>
    <hyperlink ref="U9" r:id="rId8" xr:uid="{00000000-0004-0000-0000-000007000000}"/>
    <hyperlink ref="U10" r:id="rId9" xr:uid="{00000000-0004-0000-0000-000008000000}"/>
    <hyperlink ref="U11" r:id="rId10" xr:uid="{00000000-0004-0000-0000-000009000000}"/>
    <hyperlink ref="U12" r:id="rId11" xr:uid="{00000000-0004-0000-0000-00000A000000}"/>
    <hyperlink ref="U13" r:id="rId12" xr:uid="{00000000-0004-0000-0000-00000B000000}"/>
    <hyperlink ref="U14" r:id="rId13" xr:uid="{00000000-0004-0000-0000-00000C000000}"/>
    <hyperlink ref="U15" r:id="rId14" xr:uid="{00000000-0004-0000-0000-00000D000000}"/>
    <hyperlink ref="U16" r:id="rId15" xr:uid="{00000000-0004-0000-0000-00000E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2024-10-21T17:35:24Z</dcterms:modified>
</cp:coreProperties>
</file>