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Sheet2" state="visible" r:id="rId4"/>
  </sheets>
  <calcPr calcId="171027"/>
</workbook>
</file>

<file path=xl/sharedStrings.xml><?xml version="1.0" encoding="utf-8"?>
<sst xmlns="http://schemas.openxmlformats.org/spreadsheetml/2006/main" count="222" uniqueCount="142">
  <si>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</si>
  <si>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</si>
  <si>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</si>
  <si>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</si>
  <si>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</si>
  <si>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</si>
  <si>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</si>
  <si>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</si>
  <si>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</si>
  <si>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</si>
  <si>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</si>
  <si>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</si>
  <si>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</si>
  <si>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</si>
  <si>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</si>
  <si>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</si>
  <si>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</si>
  <si>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</si>
  <si>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</si>
  <si>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</si>
  <si>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</si>
  <si>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</si>
  <si>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</si>
  <si>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</si>
  <si>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</si>
  <si>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</si>
  <si>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</si>
  <si>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</si>
  <si>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</si>
  <si>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</si>
  <si>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</si>
  <si>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</si>
  <si>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</si>
  <si>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</si>
  <si>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</si>
  <si>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</si>
  <si>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MealVoucher</t>
  </si>
  <si>
    <t>MedicalInsurance</t>
  </si>
  <si>
    <t>HealthHouse</t>
  </si>
  <si>
    <t>BasicFunction</t>
  </si>
  <si>
    <t>Pensioner</t>
  </si>
  <si>
    <t>NegotiatedLeave</t>
  </si>
  <si>
    <t>ProbationReviewDate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</si>
  <si>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</si>
  <si>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</si>
  <si>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</si>
  <si>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</si>
  <si>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</si>
  <si>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</si>
  <si>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</si>
  <si>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</si>
  <si>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DepartmentSection1</t>
  </si>
  <si>
    <t>IssuedDate1</t>
  </si>
  <si>
    <t>ExpirationDate1</t>
  </si>
  <si>
    <t>Country2</t>
  </si>
  <si>
    <t>NationalIDType2</t>
  </si>
  <si>
    <t>DepartmentSection2</t>
  </si>
  <si>
    <t>IssuedDate2</t>
  </si>
  <si>
    <t>ExpirationDate2</t>
  </si>
  <si>
    <t>IssuedBy2</t>
  </si>
  <si>
    <t>Series2</t>
  </si>
  <si>
    <t>Salary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</si>
  <si>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</si>
  <si>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</si>
  <si>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</si>
  <si>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</si>
  <si>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</si>
  <si>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</si>
  <si>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</si>
  <si>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</si>
  <si>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</si>
  <si>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</si>
  <si>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</si>
  <si>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</si>
  <si>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NameType</t>
  </si>
  <si>
    <t>GivenName1</t>
  </si>
  <si>
    <t>FamilyName1</t>
  </si>
  <si>
    <t>Test1</t>
  </si>
  <si>
    <t>10699029</t>
  </si>
  <si>
    <t>Passed</t>
  </si>
  <si>
    <t>880 Recruitment (Vofur Hagovi (10551546))</t>
  </si>
  <si>
    <t>Romania</t>
  </si>
  <si>
    <t>Freeman</t>
  </si>
  <si>
    <t>Bradtke</t>
  </si>
  <si>
    <t>Mobile</t>
  </si>
  <si>
    <t>Home</t>
  </si>
  <si>
    <t>Automation Street Name</t>
  </si>
  <si>
    <t>Test</t>
  </si>
  <si>
    <t>ABRUD</t>
  </si>
  <si>
    <t>Alba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</si>
  <si>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</si>
  <si>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</si>
  <si>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</si>
  <si>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</si>
  <si>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</si>
  <si>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</si>
  <si>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</si>
  <si>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40</t>
  </si>
  <si>
    <t>C - Regular labour contract (Romania Contract Types-Romania)@522303@DN - Daylight and Night hours (Romania Time Allocation-Romania)</t>
  </si>
  <si>
    <t>5 Days</t>
  </si>
  <si>
    <t>N/A</t>
  </si>
  <si>
    <t>Automation Comments here….</t>
  </si>
  <si>
    <t>94 Retail Operatives</t>
  </si>
  <si>
    <t>06 Menswear</t>
  </si>
  <si>
    <t>Please select a Romania Pay Group</t>
  </si>
  <si>
    <t>RO Monthly</t>
  </si>
  <si>
    <t>No</t>
  </si>
  <si>
    <t>Choice A</t>
  </si>
  <si>
    <t>ALBA</t>
  </si>
  <si>
    <t>Yes</t>
  </si>
  <si>
    <t>Determined</t>
  </si>
  <si>
    <t>Active</t>
  </si>
  <si>
    <t>Personal Numeric Code (CNP)</t>
  </si>
  <si>
    <t>1691029174687</t>
  </si>
  <si>
    <t>01/01/2000</t>
  </si>
  <si>
    <t>01/01/2040</t>
  </si>
  <si>
    <t>Identity Card Number</t>
  </si>
  <si>
    <t>Defaulted</t>
  </si>
  <si>
    <t>Female</t>
  </si>
  <si>
    <t>01/03/1980</t>
  </si>
  <si>
    <t>Single</t>
  </si>
  <si>
    <t>Citizen (Romania)</t>
  </si>
  <si>
    <t>ABN AMRO BANK ROMANIA</t>
  </si>
  <si>
    <t>ABNA</t>
  </si>
  <si>
    <t>Checking</t>
  </si>
  <si>
    <t>1B31007593840000</t>
  </si>
  <si>
    <t>RO49 AAAA 1B31 00759384 0000</t>
  </si>
  <si>
    <t>Father's Name</t>
  </si>
  <si>
    <t>AutoB</t>
  </si>
  <si>
    <t>one fine</t>
  </si>
  <si>
    <t>Test2</t>
  </si>
  <si>
    <t>10699027</t>
  </si>
  <si>
    <t>880 Store Management (Suvug Rozery (10629083))</t>
  </si>
  <si>
    <t>Grace</t>
  </si>
  <si>
    <t>Quigley</t>
  </si>
  <si>
    <t>Auto 37466854</t>
  </si>
  <si>
    <t>Store Manager_NEW</t>
  </si>
  <si>
    <t>Part Time</t>
  </si>
  <si>
    <t xml:space="preserve">92 Retail Management </t>
  </si>
  <si>
    <t>251 Management Retail</t>
  </si>
  <si>
    <t xml:space="preserve">Defaulted
</t>
  </si>
  <si>
    <t>1280425345693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</si>
</sst>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6" x14ac:knownFonts="1">
    <font>
      <color theme="1"/>
      <family val="2"/>
      <scheme val="minor"/>
      <sz val="11"/>
      <name val="Calibri"/>
    </font>
    <font>
      <color rgb="FFFF0000"/>
      <family val="2"/>
      <scheme val="minor"/>
      <sz val="11"/>
      <name val="Calibri"/>
    </font>
    <font>
      <family val="2"/>
      <scheme val="minor"/>
      <sz val="11"/>
      <name val="Calibri"/>
    </font>
    <font>
      <color theme="4"/>
      <family val="2"/>
      <scheme val="minor"/>
      <sz val="11"/>
      <name val="Calibri"/>
    </font>
    <font>
      <u/>
      <family val="2"/>
      <scheme val="minor"/>
      <sz val="11"/>
      <name val="Calibri"/>
    </font>
    <font>
      <color rgb="FF000000"/>
      <family val="2"/>
      <scheme val="minor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medium">
        <color indexed="64"/>
      </left>
      <right style="medium">
        <color indexed="64"/>
      </right>
      <top style="thin"/>
      <bottom style="medium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2" borderId="0" xfId="0" applyFill="1" applyAlignment="1">
      <alignment horizontal="left"/>
    </xf>
    <xf numFmtId="49" fontId="0" fillId="2" borderId="0" xfId="0" applyNumberFormat="1" applyFill="1" applyAlignment="1">
      <alignment horizontal="left"/>
    </xf>
    <xf numFmtId="0" fontId="0" fillId="2" borderId="0" xfId="0" applyFill="1"/>
    <xf numFmtId="49" fontId="0" fillId="3" borderId="0" xfId="0" applyNumberFormat="1" applyFill="1"/>
    <xf numFmtId="49" fontId="0" fillId="3" borderId="0" xfId="0" applyNumberFormat="1" applyFill="1" applyAlignment="1">
      <alignment horizontal="left"/>
    </xf>
    <xf numFmtId="49" fontId="1" fillId="3" borderId="1" xfId="0" applyNumberFormat="1" applyFont="1" applyFill="1" applyBorder="1" applyAlignment="1">
      <alignment horizontal="left" wrapText="1"/>
    </xf>
    <xf numFmtId="49" fontId="2" fillId="3" borderId="1" xfId="0" applyNumberFormat="1" applyFon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horizontal="left" wrapText="1"/>
    </xf>
    <xf numFmtId="49" fontId="2" fillId="3" borderId="2" xfId="0" applyNumberFormat="1" applyFont="1" applyFill="1" applyBorder="1" applyAlignment="1">
      <alignment horizontal="left" wrapText="1"/>
    </xf>
    <xf numFmtId="0" fontId="0" fillId="3" borderId="0" xfId="0" applyFill="1"/>
    <xf numFmtId="0" fontId="0" fillId="4" borderId="0" xfId="0" applyFill="1" applyAlignment="1">
      <alignment horizontal="left"/>
    </xf>
    <xf numFmtId="49" fontId="0" fillId="0" borderId="0" xfId="0" applyNumberFormat="1" applyAlignment="1">
      <alignment horizontal="left" wrapText="1"/>
    </xf>
    <xf numFmtId="49" fontId="1" fillId="0" borderId="3" xfId="0" applyNumberFormat="1" applyFont="1" applyBorder="1"/>
    <xf numFmtId="0" fontId="2" fillId="0" borderId="3" xfId="0" applyFont="1" applyBorder="1" applyAlignment="1">
      <alignment horizontal="left" wrapText="1"/>
    </xf>
    <xf numFmtId="0" fontId="0" fillId="0" borderId="0" xfId="0" applyAlignment="1">
      <alignment wrapText="1"/>
    </xf>
    <xf numFmtId="0" fontId="2" fillId="0" borderId="3" xfId="0" applyFont="1" applyBorder="1" applyAlignment="1" applyProtection="1">
      <alignment horizontal="left" wrapText="1"/>
      <protection locked="0"/>
    </xf>
    <xf numFmtId="14" fontId="1" fillId="0" borderId="3" xfId="0" applyNumberFormat="1" applyFont="1" applyBorder="1" applyAlignment="1">
      <alignment horizontal="left" wrapText="1"/>
    </xf>
    <xf numFmtId="0" fontId="2" fillId="0" borderId="3" xfId="0" applyFont="1" applyBorder="1" applyAlignment="1" applyProtection="1">
      <alignment wrapText="1"/>
      <protection locked="0"/>
    </xf>
    <xf numFmtId="14" fontId="2" fillId="0" borderId="3" xfId="0" applyNumberFormat="1" applyFont="1" applyBorder="1" applyAlignment="1">
      <alignment horizontal="left" wrapText="1"/>
    </xf>
    <xf numFmtId="0" fontId="4" fillId="0" borderId="3" xfId="0" applyFont="1" applyBorder="1" applyAlignment="1" applyProtection="1">
      <alignment wrapText="1"/>
      <protection locked="0"/>
    </xf>
    <xf numFmtId="49" fontId="2" fillId="0" borderId="3" xfId="0" applyNumberFormat="1" applyFont="1" applyBorder="1" applyAlignment="1">
      <alignment horizontal="left"/>
    </xf>
    <xf numFmtId="49" fontId="2" fillId="0" borderId="3" xfId="0" applyNumberFormat="1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left"/>
    </xf>
    <xf numFmtId="49" fontId="2" fillId="0" borderId="3" xfId="0" applyNumberFormat="1" applyFont="1" applyBorder="1" applyAlignment="1">
      <alignment vertical="center"/>
    </xf>
    <xf numFmtId="14" fontId="2" fillId="0" borderId="3" xfId="0" applyNumberFormat="1" applyFont="1" applyBorder="1" applyAlignment="1" applyProtection="1">
      <alignment horizontal="left" wrapText="1"/>
      <protection locked="0"/>
    </xf>
    <xf numFmtId="49" fontId="2" fillId="0" borderId="3" xfId="0" applyNumberFormat="1" applyFont="1" applyBorder="1" applyAlignment="1" applyProtection="1">
      <alignment horizontal="left" wrapText="1"/>
      <protection locked="0"/>
    </xf>
    <xf numFmtId="164" fontId="2" fillId="0" borderId="3" xfId="0" applyNumberFormat="1" applyFont="1" applyBorder="1" applyAlignment="1" applyProtection="1">
      <alignment horizontal="left" wrapText="1"/>
      <protection locked="0"/>
    </xf>
    <xf numFmtId="49" fontId="2" fillId="0" borderId="1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wrapText="1"/>
    </xf>
    <xf numFmtId="49" fontId="1" fillId="0" borderId="3" xfId="0" applyNumberFormat="1" applyFont="1" applyBorder="1" applyAlignment="1">
      <alignment horizontal="left" wrapText="1"/>
    </xf>
    <xf numFmtId="49" fontId="4" fillId="0" borderId="3" xfId="0" applyNumberFormat="1" applyFont="1" applyBorder="1" applyAlignment="1" applyProtection="1">
      <alignment horizontal="left" wrapText="1"/>
      <protection locked="0"/>
    </xf>
    <xf numFmtId="0" fontId="2" fillId="0" borderId="3" xfId="0" applyFont="1" applyBorder="1"/>
    <xf numFmtId="49" fontId="1" fillId="0" borderId="3" xfId="0" applyNumberFormat="1" applyFont="1" applyBorder="1" applyAlignment="1">
      <alignment horizontal="left"/>
    </xf>
    <xf numFmtId="49" fontId="5" fillId="0" borderId="0" xfId="0" applyNumberFormat="1" applyFont="1"/>
    <xf numFmtId="49" fontId="2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3"/>
  <sheetViews>
    <sheetView workbookViewId="0" zoomScale="100" zoomScaleNormal="100">
      <selection activeCell="B2" sqref="B2"/>
    </sheetView>
  </sheetViews>
  <sheetFormatPr defaultRowHeight="15.65" outlineLevelRow="1" outlineLevelCol="0" x14ac:dyDescent="0.35" customHeight="1"/>
  <cols>
    <col min="1" max="1" width="10.81640625" style="1" customWidth="1"/>
    <col min="2" max="2" width="11.81640625" style="1" customWidth="1"/>
    <col min="3" max="3" width="9.36328125" style="1" customWidth="1"/>
    <col min="4" max="4" width="31" style="1" customWidth="1"/>
    <col min="5" max="5" width="8.1796875" style="1" customWidth="1"/>
    <col min="6" max="6" width="18.1796875" style="1" customWidth="1"/>
    <col min="7" max="7" width="12.36328125" style="1" customWidth="1"/>
    <col min="8" max="8" width="13" style="1" customWidth="1"/>
    <col min="9" max="9" width="11.54296875" style="1" customWidth="1"/>
    <col min="10" max="10" width="5.81640625" style="1" customWidth="1"/>
    <col min="11" max="11" width="11.81640625" style="2" customWidth="1"/>
    <col min="12" max="12" width="8.1796875" style="1" customWidth="1"/>
    <col min="13" max="13" width="21.7265625" style="1" customWidth="1"/>
    <col min="14" max="14" width="14.36328125" style="1" customWidth="1"/>
    <col min="15" max="15" width="12.54296875" style="1" customWidth="1"/>
    <col min="16" max="16" width="10.08984375" style="1" customWidth="1"/>
    <col min="17" max="18" width="6.7265625" style="1" customWidth="1"/>
    <col min="19" max="19" width="5.81640625" style="1" customWidth="1"/>
    <col min="20" max="20" width="13" style="1" customWidth="1"/>
    <col min="21" max="21" width="18.7265625" style="1" customWidth="1"/>
    <col min="22" max="22" width="5.81640625" style="1" customWidth="1"/>
    <col min="23" max="23" width="10.453125" style="2" customWidth="1"/>
    <col min="24" max="24" width="8.453125" style="1" customWidth="1"/>
    <col min="25" max="25" width="19.90625" style="1" customWidth="1"/>
    <col min="26" max="26" width="13.08984375" style="1" customWidth="1"/>
    <col min="27" max="27" width="31.1796875" style="1" customWidth="1"/>
    <col min="28" max="28" width="8.90625" style="1" customWidth="1"/>
    <col min="29" max="29" width="7.81640625" style="1" customWidth="1"/>
    <col min="30" max="30" width="11.453125" style="1" customWidth="1"/>
    <col min="31" max="31" width="20.6328125" style="1" customWidth="1"/>
    <col min="32" max="32" width="119.81640625" style="1" customWidth="1"/>
    <col min="33" max="33" width="9.08984375" style="1" customWidth="1"/>
    <col min="34" max="34" width="18.6328125" style="1" customWidth="1"/>
    <col min="35" max="35" width="26.7265625" style="1" customWidth="1"/>
    <col min="36" max="36" width="20.08984375" style="1" customWidth="1"/>
    <col min="37" max="37" width="24.6328125" style="1" customWidth="1"/>
    <col min="38" max="38" width="30.08984375" style="1" customWidth="1"/>
    <col min="39" max="39" width="21.08984375" style="1" customWidth="1"/>
    <col min="40" max="40" width="11.90625" style="1" customWidth="1"/>
    <col min="41" max="41" width="15.6328125" style="1" customWidth="1"/>
    <col min="42" max="42" width="11.54296875" style="1" customWidth="1"/>
    <col min="43" max="43" width="12.1796875" style="1" customWidth="1"/>
    <col min="44" max="44" width="12.453125" style="1" customWidth="1"/>
    <col min="45" max="45" width="14.7265625" style="1" customWidth="1"/>
    <col min="46" max="46" width="19" style="1" customWidth="1"/>
    <col min="47" max="47" width="6.90625" style="1" customWidth="1"/>
    <col min="48" max="48" width="9.7265625" style="1" customWidth="1"/>
    <col min="49" max="49" width="13" style="1" customWidth="1"/>
    <col min="50" max="50" width="5.90625" style="1" customWidth="1"/>
    <col min="51" max="51" width="18.54296875" style="2" customWidth="1"/>
    <col min="52" max="52" width="18.26953125" style="2" customWidth="1"/>
    <col min="53" max="53" width="15.08984375" style="2" customWidth="1"/>
    <col min="54" max="54" width="8.453125" style="1" customWidth="1"/>
    <col min="55" max="55" width="25.6328125" style="1" customWidth="1"/>
    <col min="56" max="56" width="17.36328125" style="1" customWidth="1"/>
    <col min="57" max="57" width="11.08984375" style="1" customWidth="1"/>
    <col min="58" max="58" width="14.26953125" style="1" customWidth="1"/>
    <col min="59" max="59" width="8.453125" style="1" customWidth="1"/>
    <col min="60" max="61" width="19" style="1" customWidth="1"/>
    <col min="62" max="62" width="11.08984375" style="1" customWidth="1"/>
    <col min="63" max="63" width="14.26953125" style="1" customWidth="1"/>
    <col min="64" max="64" width="9.1796875" style="1" customWidth="1"/>
    <col min="65" max="65" width="6.7265625" style="1" customWidth="1"/>
    <col min="66" max="66" width="9" style="1" customWidth="1"/>
    <col min="67" max="67" width="7" style="1" customWidth="1"/>
    <col min="68" max="68" width="10.7265625" style="1" customWidth="1"/>
    <col min="69" max="69" width="9.90625" style="1" customWidth="1"/>
    <col min="70" max="70" width="11.90625" style="1" customWidth="1"/>
    <col min="71" max="71" width="15.90625" style="1" customWidth="1"/>
    <col min="72" max="72" width="15" style="1" customWidth="1"/>
    <col min="73" max="73" width="16.36328125" style="1" customWidth="1"/>
    <col min="74" max="74" width="24.26953125" style="1" customWidth="1"/>
    <col min="75" max="75" width="9.1796875" style="1" customWidth="1"/>
    <col min="76" max="76" width="11.54296875" style="1" customWidth="1"/>
    <col min="77" max="77" width="17.08984375" style="1" customWidth="1"/>
    <col min="78" max="78" width="28.26953125" style="1" customWidth="1"/>
    <col min="79" max="79" width="12.90625" style="1" customWidth="1"/>
    <col min="80" max="80" width="8.1796875" style="1" customWidth="1"/>
    <col min="81" max="81" width="11.453125" style="1" customWidth="1"/>
    <col min="82" max="82" width="12.08984375" style="1" customWidth="1"/>
    <col min="83" max="16384" width="8.7265625" style="3" customWidth="1"/>
  </cols>
  <sheetData>
    <row r="1" ht="14.5" customHeight="1" spans="1:82" s="4" customFormat="1" x14ac:dyDescent="0.25" outlineLevel="1" collapsed="1">
      <c r="A1" s="5" t="s">
        <v>0</v>
      </c>
      <c r="B1" s="5" t="s">
        <v>1</v>
      </c>
      <c r="C1" s="5" t="s">
        <v>2</v>
      </c>
      <c r="D1" s="6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4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9</v>
      </c>
      <c r="T1" s="7" t="s">
        <v>17</v>
      </c>
      <c r="U1" s="7" t="s">
        <v>18</v>
      </c>
      <c r="V1" s="7" t="s">
        <v>9</v>
      </c>
      <c r="W1" s="6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6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8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20</v>
      </c>
      <c r="AV1" s="7" t="s">
        <v>43</v>
      </c>
      <c r="AW1" s="7" t="s">
        <v>44</v>
      </c>
      <c r="AX1" s="7" t="s">
        <v>45</v>
      </c>
      <c r="AY1" s="7" t="s">
        <v>46</v>
      </c>
      <c r="AZ1" s="7" t="s">
        <v>47</v>
      </c>
      <c r="BA1" s="6" t="s">
        <v>48</v>
      </c>
      <c r="BB1" s="7" t="s">
        <v>49</v>
      </c>
      <c r="BC1" s="7" t="s">
        <v>50</v>
      </c>
      <c r="BD1" s="7" t="s">
        <v>51</v>
      </c>
      <c r="BE1" s="7" t="s">
        <v>52</v>
      </c>
      <c r="BF1" s="7" t="s">
        <v>53</v>
      </c>
      <c r="BG1" s="7" t="s">
        <v>54</v>
      </c>
      <c r="BH1" s="7" t="s">
        <v>55</v>
      </c>
      <c r="BI1" s="7" t="s">
        <v>56</v>
      </c>
      <c r="BJ1" s="7" t="s">
        <v>57</v>
      </c>
      <c r="BK1" s="7" t="s">
        <v>58</v>
      </c>
      <c r="BL1" s="7" t="s">
        <v>59</v>
      </c>
      <c r="BM1" s="7" t="s">
        <v>60</v>
      </c>
      <c r="BN1" s="7" t="s">
        <v>61</v>
      </c>
      <c r="BO1" s="7" t="s">
        <v>62</v>
      </c>
      <c r="BP1" s="7" t="s">
        <v>63</v>
      </c>
      <c r="BQ1" s="7" t="s">
        <v>64</v>
      </c>
      <c r="BR1" s="7" t="s">
        <v>65</v>
      </c>
      <c r="BS1" s="7" t="s">
        <v>66</v>
      </c>
      <c r="BT1" s="7" t="s">
        <v>67</v>
      </c>
      <c r="BU1" s="7" t="s">
        <v>68</v>
      </c>
      <c r="BV1" s="7" t="s">
        <v>69</v>
      </c>
      <c r="BW1" s="7" t="s">
        <v>70</v>
      </c>
      <c r="BX1" s="7" t="s">
        <v>71</v>
      </c>
      <c r="BY1" s="7" t="s">
        <v>72</v>
      </c>
      <c r="BZ1" s="7" t="s">
        <v>73</v>
      </c>
      <c r="CA1" s="7" t="s">
        <v>74</v>
      </c>
      <c r="CB1" s="7" t="s">
        <v>4</v>
      </c>
      <c r="CC1" s="7" t="s">
        <v>75</v>
      </c>
      <c r="CD1" s="9" t="s">
        <v>76</v>
      </c>
    </row>
    <row r="2" ht="15.65" customHeight="1" spans="1:82" s="10" customFormat="1" x14ac:dyDescent="0.25">
      <c r="A2" s="11" t="s">
        <v>77</v>
      </c>
      <c r="B2" s="12" t="s">
        <v>78</v>
      </c>
      <c r="C2" s="11" t="s">
        <v>79</v>
      </c>
      <c r="D2" s="13" t="s">
        <v>80</v>
      </c>
      <c r="E2" s="14" t="s">
        <v>81</v>
      </c>
      <c r="F2" s="15" t="s">
        <v>82</v>
      </c>
      <c r="G2" s="15" t="s">
        <v>83</v>
      </c>
      <c r="H2" s="16">
        <v>720527700</v>
      </c>
      <c r="I2" s="16" t="s">
        <v>84</v>
      </c>
      <c r="J2" s="16" t="s">
        <v>85</v>
      </c>
      <c r="K2" s="17">
        <f>TODAY()-100</f>
        <v>45686</v>
      </c>
      <c r="L2" s="14" t="s">
        <v>81</v>
      </c>
      <c r="M2" s="18" t="s">
        <v>86</v>
      </c>
      <c r="N2" s="16">
        <v>1</v>
      </c>
      <c r="O2" s="16" t="s">
        <v>87</v>
      </c>
      <c r="P2" s="16">
        <v>515100</v>
      </c>
      <c r="Q2" s="16" t="s">
        <v>88</v>
      </c>
      <c r="R2" s="16" t="s">
        <v>89</v>
      </c>
      <c r="S2" s="16" t="s">
        <v>85</v>
      </c>
      <c r="T2" s="19" t="s">
        <v>90</v>
      </c>
      <c r="U2" s="20" t="s">
        <v>91</v>
      </c>
      <c r="V2" s="16" t="s">
        <v>85</v>
      </c>
      <c r="W2" s="17">
        <f>TODAY()-100</f>
        <v>45686</v>
      </c>
      <c r="X2" s="16" t="s">
        <v>92</v>
      </c>
      <c r="Y2" s="19" t="s">
        <v>93</v>
      </c>
      <c r="Z2" s="21" t="s">
        <v>94</v>
      </c>
      <c r="AA2" s="22" t="s">
        <v>95</v>
      </c>
      <c r="AB2" s="23" t="s">
        <v>96</v>
      </c>
      <c r="AC2" s="21">
        <v>880</v>
      </c>
      <c r="AD2" s="24" t="s">
        <v>61</v>
      </c>
      <c r="AE2" s="24" t="s">
        <v>97</v>
      </c>
      <c r="AF2" s="25" t="s">
        <v>98</v>
      </c>
      <c r="AG2" s="14" t="s">
        <v>99</v>
      </c>
      <c r="AH2" s="26" t="s">
        <v>100</v>
      </c>
      <c r="AI2" s="16" t="s">
        <v>101</v>
      </c>
      <c r="AJ2" s="27" t="s">
        <v>102</v>
      </c>
      <c r="AK2" s="21" t="s">
        <v>103</v>
      </c>
      <c r="AL2" s="16" t="s">
        <v>104</v>
      </c>
      <c r="AM2" s="16" t="s">
        <v>105</v>
      </c>
      <c r="AN2" s="14" t="s">
        <v>106</v>
      </c>
      <c r="AO2" s="28" t="s">
        <v>107</v>
      </c>
      <c r="AP2" s="29" t="s">
        <v>108</v>
      </c>
      <c r="AQ2" s="14" t="s">
        <v>109</v>
      </c>
      <c r="AR2" s="14" t="s">
        <v>106</v>
      </c>
      <c r="AS2" s="16">
        <v>1</v>
      </c>
      <c r="AT2" s="17">
        <f t="shared" ref="AT2:AT3" si="0">TEXT(TODAY()-100,"DD/MM/YYYY")</f>
        <v>NaN</v>
      </c>
      <c r="AU2" s="14" t="s">
        <v>100</v>
      </c>
      <c r="AV2" s="14" t="s">
        <v>100</v>
      </c>
      <c r="AW2" s="14" t="s">
        <v>110</v>
      </c>
      <c r="AX2" s="18" t="s">
        <v>111</v>
      </c>
      <c r="AY2" s="17">
        <f>TODAY()-100</f>
        <v>45686</v>
      </c>
      <c r="AZ2" s="17">
        <f>TODAY()-100</f>
        <v>45686</v>
      </c>
      <c r="BA2" s="26" t="s">
        <v>100</v>
      </c>
      <c r="BB2" s="30" t="s">
        <v>81</v>
      </c>
      <c r="BC2" s="30" t="s">
        <v>112</v>
      </c>
      <c r="BD2" s="31" t="s">
        <v>113</v>
      </c>
      <c r="BE2" s="19" t="s">
        <v>114</v>
      </c>
      <c r="BF2" s="19" t="s">
        <v>115</v>
      </c>
      <c r="BG2" s="30" t="s">
        <v>81</v>
      </c>
      <c r="BH2" s="30" t="s">
        <v>116</v>
      </c>
      <c r="BI2" s="16">
        <f t="array" ref="BI2:BI3">_xlfn.RANDARRAY(2,1,123456,999999,TRUE)</f>
        <v>232490</v>
      </c>
      <c r="BJ2" s="19" t="s">
        <v>114</v>
      </c>
      <c r="BK2" s="19" t="s">
        <v>115</v>
      </c>
      <c r="BL2" s="32" t="s">
        <v>87</v>
      </c>
      <c r="BM2" s="32" t="s">
        <v>87</v>
      </c>
      <c r="BN2" s="32" t="s">
        <v>117</v>
      </c>
      <c r="BO2" s="32" t="s">
        <v>118</v>
      </c>
      <c r="BP2" s="32" t="s">
        <v>119</v>
      </c>
      <c r="BQ2" s="32" t="s">
        <v>89</v>
      </c>
      <c r="BR2" s="32" t="s">
        <v>120</v>
      </c>
      <c r="BS2" s="32" t="s">
        <v>100</v>
      </c>
      <c r="BT2" s="29" t="s">
        <v>121</v>
      </c>
      <c r="BU2" s="29" t="s">
        <v>81</v>
      </c>
      <c r="BV2" s="33" t="s">
        <v>122</v>
      </c>
      <c r="BW2" s="33" t="s">
        <v>123</v>
      </c>
      <c r="BX2" s="29" t="s">
        <v>124</v>
      </c>
      <c r="BY2" s="29" t="s">
        <v>125</v>
      </c>
      <c r="BZ2" s="29" t="s">
        <v>126</v>
      </c>
      <c r="CA2" s="29" t="s">
        <v>127</v>
      </c>
      <c r="CB2" s="29" t="s">
        <v>81</v>
      </c>
      <c r="CC2" s="29" t="s">
        <v>128</v>
      </c>
      <c r="CD2" s="29" t="s">
        <v>129</v>
      </c>
    </row>
    <row r="3" ht="15.65" customHeight="1" spans="1:82" x14ac:dyDescent="0.25">
      <c r="A3" s="11" t="s">
        <v>130</v>
      </c>
      <c r="B3" s="11" t="s">
        <v>131</v>
      </c>
      <c r="C3" s="11" t="s">
        <v>79</v>
      </c>
      <c r="D3" s="13" t="s">
        <v>132</v>
      </c>
      <c r="E3" s="14" t="s">
        <v>81</v>
      </c>
      <c r="F3" s="15" t="s">
        <v>133</v>
      </c>
      <c r="G3" s="15" t="s">
        <v>134</v>
      </c>
      <c r="H3" s="16">
        <v>720527700</v>
      </c>
      <c r="I3" s="16" t="s">
        <v>84</v>
      </c>
      <c r="J3" s="16" t="s">
        <v>85</v>
      </c>
      <c r="K3" s="34" t="str">
        <f t="shared" ref="K3" si="1">TEXT(TODAY()-100,"DD/MM/YYYY")</f>
        <v>29/01/2025</v>
      </c>
      <c r="L3" s="32" t="s">
        <v>81</v>
      </c>
      <c r="M3" s="29" t="s">
        <v>86</v>
      </c>
      <c r="N3" s="29">
        <v>1</v>
      </c>
      <c r="O3" s="29" t="s">
        <v>87</v>
      </c>
      <c r="P3" s="29">
        <v>515100</v>
      </c>
      <c r="Q3" s="29" t="s">
        <v>88</v>
      </c>
      <c r="R3" s="29" t="s">
        <v>89</v>
      </c>
      <c r="S3" s="29" t="s">
        <v>85</v>
      </c>
      <c r="T3" s="32" t="s">
        <v>90</v>
      </c>
      <c r="U3" s="35" t="s">
        <v>91</v>
      </c>
      <c r="V3" s="29" t="s">
        <v>85</v>
      </c>
      <c r="W3" s="34" t="str">
        <f t="shared" ref="W3" si="2">TEXT(TODAY()-100,"DD/MM/YYYY")</f>
        <v>29/01/2025</v>
      </c>
      <c r="X3" s="16" t="s">
        <v>92</v>
      </c>
      <c r="Y3" s="19" t="s">
        <v>135</v>
      </c>
      <c r="Z3" s="23" t="s">
        <v>94</v>
      </c>
      <c r="AA3" s="23" t="s">
        <v>136</v>
      </c>
      <c r="AB3" s="36" t="s">
        <v>137</v>
      </c>
      <c r="AC3" s="21">
        <v>880</v>
      </c>
      <c r="AD3" s="24" t="s">
        <v>61</v>
      </c>
      <c r="AE3" s="24">
        <v>35</v>
      </c>
      <c r="AF3" s="25" t="s">
        <v>98</v>
      </c>
      <c r="AG3" s="14" t="s">
        <v>99</v>
      </c>
      <c r="AH3" s="37" t="s">
        <v>100</v>
      </c>
      <c r="AI3" s="16" t="s">
        <v>101</v>
      </c>
      <c r="AJ3" s="38" t="s">
        <v>138</v>
      </c>
      <c r="AK3" s="39" t="s">
        <v>139</v>
      </c>
      <c r="AL3" s="16" t="s">
        <v>104</v>
      </c>
      <c r="AM3" s="16" t="s">
        <v>105</v>
      </c>
      <c r="AN3" s="14" t="s">
        <v>106</v>
      </c>
      <c r="AO3" s="28" t="s">
        <v>107</v>
      </c>
      <c r="AP3" s="28" t="s">
        <v>108</v>
      </c>
      <c r="AQ3" s="14" t="s">
        <v>109</v>
      </c>
      <c r="AR3" s="16" t="s">
        <v>140</v>
      </c>
      <c r="AS3" s="16">
        <v>2</v>
      </c>
      <c r="AT3" s="17">
        <f t="shared" si="0"/>
        <v>NaN</v>
      </c>
      <c r="AU3" s="14" t="s">
        <v>100</v>
      </c>
      <c r="AV3" s="14" t="s">
        <v>100</v>
      </c>
      <c r="AW3" s="32" t="s">
        <v>110</v>
      </c>
      <c r="AX3" s="29" t="s">
        <v>111</v>
      </c>
      <c r="AY3" s="34" t="str">
        <f t="shared" ref="AY3:AZ3" si="3">TEXT(TODAY()-100,"DD/MM/YYYY")</f>
        <v>29/01/2025</v>
      </c>
      <c r="AZ3" s="34" t="str">
        <f t="shared" si="3"/>
        <v>29/01/2025</v>
      </c>
      <c r="BA3" s="37" t="str">
        <f>AH3</f>
        <v>N/A</v>
      </c>
      <c r="BB3" s="30" t="s">
        <v>81</v>
      </c>
      <c r="BC3" s="30" t="s">
        <v>112</v>
      </c>
      <c r="BD3" s="31" t="s">
        <v>141</v>
      </c>
      <c r="BE3" s="19" t="s">
        <v>114</v>
      </c>
      <c r="BF3" s="19" t="s">
        <v>115</v>
      </c>
      <c r="BG3" s="30" t="s">
        <v>81</v>
      </c>
      <c r="BH3" s="30" t="s">
        <v>116</v>
      </c>
      <c r="BI3" s="16">
        <v>317972</v>
      </c>
      <c r="BJ3" s="19" t="s">
        <v>114</v>
      </c>
      <c r="BK3" s="19" t="s">
        <v>115</v>
      </c>
      <c r="BL3" s="32" t="s">
        <v>87</v>
      </c>
      <c r="BM3" s="32" t="s">
        <v>87</v>
      </c>
      <c r="BN3" s="32" t="s">
        <v>117</v>
      </c>
      <c r="BO3" s="32" t="s">
        <v>118</v>
      </c>
      <c r="BP3" s="19" t="s">
        <v>119</v>
      </c>
      <c r="BQ3" s="32" t="s">
        <v>89</v>
      </c>
      <c r="BR3" s="32" t="s">
        <v>120</v>
      </c>
      <c r="BS3" s="32" t="s">
        <v>100</v>
      </c>
      <c r="BT3" s="29" t="s">
        <v>121</v>
      </c>
      <c r="BU3" s="29" t="s">
        <v>81</v>
      </c>
      <c r="BV3" s="32" t="s">
        <v>122</v>
      </c>
      <c r="BW3" s="32" t="s">
        <v>123</v>
      </c>
      <c r="BX3" s="29" t="s">
        <v>124</v>
      </c>
      <c r="BY3" s="29" t="s">
        <v>125</v>
      </c>
      <c r="BZ3" s="29" t="s">
        <v>126</v>
      </c>
      <c r="CA3" s="29" t="s">
        <v>127</v>
      </c>
      <c r="CB3" s="29" t="s">
        <v>81</v>
      </c>
      <c r="CC3" s="29" t="s">
        <v>128</v>
      </c>
      <c r="CD3" s="29" t="s">
        <v>129</v>
      </c>
    </row>
  </sheetData>
  <dataValidations count="7">
    <dataValidation type="list" allowBlank="1" showInputMessage="1" showErrorMessage="1" sqref="AX2:AX3">
      <formula1>INDIRECT($E2)</formula1>
    </dataValidation>
    <dataValidation type="list" allowBlank="1" showInputMessage="1" showErrorMessage="1" sqref="BX2:BX3">
      <formula1>INDIRECT($E2)</formula1>
    </dataValidation>
    <dataValidation type="list" allowBlank="1" showInputMessage="1" showErrorMessage="1" sqref="I3:J3">
      <formula1>INDIRECT(#REF!)</formula1>
    </dataValidation>
    <dataValidation type="list" allowBlank="1" showInputMessage="1" showErrorMessage="1" sqref="J2:J3">
      <formula1>INDIRECT(#REF!)</formula1>
    </dataValidation>
    <dataValidation type="list" allowBlank="1" showInputMessage="1" showErrorMessage="1" sqref="S2:S3">
      <formula1>INDIRECT($E2)</formula1>
    </dataValidation>
    <dataValidation type="list" allowBlank="1" showInputMessage="1" showErrorMessage="1" sqref="V2:V3">
      <formula1>INDIRECT($E2)</formula1>
    </dataValidation>
    <dataValidation type="list" allowBlank="1" showInputMessage="1" showErrorMessage="1" sqref="X2:X3">
      <formula1>INDIRECT($E2)</formula1>
    </dataValidation>
  </dataValidations>
  <hyperlinks>
    <hyperlink ref="U2" r:id="rId1"/>
    <hyperlink ref="U3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2025-05-09T08:27:41Z</dcterms:modified>
</cp:coreProperties>
</file>