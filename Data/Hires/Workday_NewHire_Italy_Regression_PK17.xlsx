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6DFCB5B9-9D75-488A-A68A-5719165F2A4F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9" i="1" l="1" a="1"/>
  <c r="BE20" i="1" s="1"/>
  <c r="BH20" i="1" s="1"/>
  <c r="AX9" i="1" a="1"/>
  <c r="AX21" i="1" s="1"/>
  <c r="AZ21" i="1" s="1"/>
  <c r="AV3" i="1"/>
  <c r="Y3" i="1"/>
  <c r="L3" i="1"/>
  <c r="X3" i="1" s="1"/>
  <c r="AU3" i="1" s="1"/>
  <c r="AV2" i="1"/>
  <c r="Y2" i="1"/>
  <c r="L2" i="1"/>
  <c r="X2" i="1" s="1"/>
  <c r="AU2" i="1" s="1"/>
  <c r="AX10" i="1" l="1"/>
  <c r="AZ10" i="1" s="1"/>
  <c r="BA3" i="1" s="1"/>
  <c r="AX14" i="1"/>
  <c r="AZ14" i="1" s="1"/>
  <c r="AX18" i="1"/>
  <c r="AZ18" i="1" s="1"/>
  <c r="AX22" i="1"/>
  <c r="AZ22" i="1" s="1"/>
  <c r="BE13" i="1"/>
  <c r="BH13" i="1" s="1"/>
  <c r="BE17" i="1"/>
  <c r="BH17" i="1" s="1"/>
  <c r="BE21" i="1"/>
  <c r="BH21" i="1" s="1"/>
  <c r="AT2" i="1"/>
  <c r="AT3" i="1"/>
  <c r="AX11" i="1"/>
  <c r="AZ11" i="1" s="1"/>
  <c r="AX15" i="1"/>
  <c r="AZ15" i="1" s="1"/>
  <c r="AX19" i="1"/>
  <c r="AZ19" i="1" s="1"/>
  <c r="AX23" i="1"/>
  <c r="AZ23" i="1" s="1"/>
  <c r="BE10" i="1"/>
  <c r="BH10" i="1" s="1"/>
  <c r="BD3" i="1" s="1"/>
  <c r="BE14" i="1"/>
  <c r="BH14" i="1" s="1"/>
  <c r="BE18" i="1"/>
  <c r="BH18" i="1" s="1"/>
  <c r="BE22" i="1"/>
  <c r="BH22" i="1" s="1"/>
  <c r="AX9" i="1"/>
  <c r="AZ9" i="1" s="1"/>
  <c r="BA2" i="1" s="1"/>
  <c r="AX12" i="1"/>
  <c r="AZ12" i="1" s="1"/>
  <c r="AX16" i="1"/>
  <c r="AZ16" i="1" s="1"/>
  <c r="AX20" i="1"/>
  <c r="AZ20" i="1" s="1"/>
  <c r="BE11" i="1"/>
  <c r="BH11" i="1" s="1"/>
  <c r="BE15" i="1"/>
  <c r="BH15" i="1" s="1"/>
  <c r="BE19" i="1"/>
  <c r="BH19" i="1" s="1"/>
  <c r="BE23" i="1"/>
  <c r="BH23" i="1" s="1"/>
  <c r="AX13" i="1"/>
  <c r="AZ13" i="1" s="1"/>
  <c r="AX17" i="1"/>
  <c r="AZ17" i="1" s="1"/>
  <c r="BE9" i="1"/>
  <c r="BH9" i="1" s="1"/>
  <c r="BD2" i="1" s="1"/>
  <c r="BE12" i="1"/>
  <c r="BH12" i="1" s="1"/>
  <c r="BE16" i="1"/>
  <c r="BH16" i="1" s="1"/>
</calcChain>
</file>

<file path=xl/sharedStrings.xml><?xml version="1.0" encoding="utf-8"?>
<sst xmlns="http://schemas.openxmlformats.org/spreadsheetml/2006/main" count="242" uniqueCount="128">
  <si>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</si>
  <si>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</si>
  <si>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</si>
  <si>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</si>
  <si>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</si>
  <si>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</si>
  <si>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</si>
  <si>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</si>
  <si>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</si>
  <si>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</si>
  <si>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</si>
  <si>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</si>
  <si>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</si>
  <si>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</si>
  <si>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</si>
  <si>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</si>
  <si>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</si>
  <si>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</si>
  <si>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</si>
  <si>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</si>
  <si>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</si>
  <si>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</si>
  <si>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</si>
  <si>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</si>
  <si>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</si>
  <si>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</si>
  <si>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</si>
  <si>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</si>
  <si>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</si>
  <si>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</si>
  <si>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</si>
  <si>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</si>
  <si>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</si>
  <si>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</si>
  <si>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</si>
  <si>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</si>
  <si>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</si>
  <si>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</si>
  <si>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</si>
  <si>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</si>
  <si>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</si>
  <si>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</si>
  <si>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</si>
  <si>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</si>
  <si>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</si>
  <si>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</si>
  <si>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</si>
  <si>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</si>
  <si>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</si>
  <si>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</si>
  <si>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</si>
  <si>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</si>
  <si>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</si>
  <si>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</si>
  <si>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</si>
  <si>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</si>
  <si>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</si>
  <si>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</si>
  <si>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</si>
  <si>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</si>
  <si>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</si>
  <si>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</si>
  <si>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</si>
  <si>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</si>
  <si>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</si>
  <si>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</si>
  <si>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</si>
  <si>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</si>
  <si>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(Zojez Vizyzi (10279378))</t>
  </si>
  <si>
    <t>Italy</t>
  </si>
  <si>
    <t>Mr</t>
  </si>
  <si>
    <t>Alexander</t>
  </si>
  <si>
    <t>Harvey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</si>
  <si>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</si>
  <si>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</si>
  <si>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</si>
  <si>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</si>
  <si>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</si>
  <si>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</si>
  <si>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</si>
  <si>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</si>
  <si>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</si>
  <si>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</si>
  <si>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</si>
  <si>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</si>
  <si>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</si>
  <si>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</si>
  <si>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</si>
  <si>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</si>
  <si>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</si>
  <si>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</si>
  <si>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</si>
  <si>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</si>
  <si>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</si>
  <si>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</si>
  <si>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</si>
  <si>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</si>
  <si>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</si>
  <si>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</si>
  <si>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</si>
  <si>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</si>
  <si>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</si>
  <si>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</si>
  <si>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</si>
  <si>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</si>
  <si>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</si>
  <si>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</si>
  <si>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</si>
  <si>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</si>
  <si>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</si>
  <si>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</si>
  <si>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</si>
  <si>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(Gyzag Hopope (10144587))</t>
  </si>
  <si>
    <t>Tre</t>
  </si>
  <si>
    <t>Yundt</t>
  </si>
  <si>
    <t>Auto 82277498</t>
  </si>
  <si>
    <t>Assistant Manager</t>
  </si>
  <si>
    <t>92 Retail Management</t>
  </si>
  <si>
    <t>251 Management Retail</t>
  </si>
  <si>
    <t>Impiegato</t>
  </si>
  <si>
    <t>Level 2</t>
  </si>
  <si>
    <t>AB</t>
  </si>
  <si>
    <t>JC</t>
  </si>
  <si>
    <t>MTKBNN10D10A</t>
  </si>
  <si>
    <t>A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</si>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</sst>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@661" TargetMode="External"/><Relationship Id="rId2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3"/>
  <sheetViews>
    <sheetView tabSelected="1" zoomScaleNormal="100" workbookViewId="0">
      <selection activeCell="E6" sqref="E6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3" width="15.4531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B2" s="8"/>
      <c r="C2" s="9"/>
      <c r="D2" s="10" t="s">
        <v>68</v>
      </c>
      <c r="E2" s="11" t="s">
        <v>69</v>
      </c>
      <c r="F2" s="12" t="s">
        <v>70</v>
      </c>
      <c r="G2" s="13" t="s">
        <v>71</v>
      </c>
      <c r="H2" s="14" t="s">
        <v>72</v>
      </c>
      <c r="I2" t="s">
        <v>73</v>
      </c>
      <c r="J2" s="15" t="s">
        <v>74</v>
      </c>
      <c r="K2" s="15" t="s">
        <v>75</v>
      </c>
      <c r="L2" s="16">
        <f t="shared" ref="L2:L3" ca="1" si="0">TODAY()-31</f>
        <v>45761</v>
      </c>
      <c r="M2" s="11" t="s">
        <v>69</v>
      </c>
      <c r="N2" s="17" t="s">
        <v>76</v>
      </c>
      <c r="O2" s="17" t="s">
        <v>77</v>
      </c>
      <c r="P2" s="17">
        <v>1</v>
      </c>
      <c r="Q2" s="15" t="s">
        <v>78</v>
      </c>
      <c r="R2" s="15" t="s">
        <v>79</v>
      </c>
      <c r="S2" s="15" t="s">
        <v>75</v>
      </c>
      <c r="T2" s="18" t="s">
        <v>80</v>
      </c>
      <c r="U2" s="19" t="s">
        <v>81</v>
      </c>
      <c r="V2" s="15" t="s">
        <v>75</v>
      </c>
      <c r="W2" s="15" t="s">
        <v>82</v>
      </c>
      <c r="X2" s="20">
        <f t="shared" ref="X2:X3" ca="1" si="1">L2</f>
        <v>45761</v>
      </c>
      <c r="Y2" s="16">
        <f t="shared" ref="Y2:Y3" ca="1" si="2">TODAY()+20</f>
        <v>45812</v>
      </c>
      <c r="Z2" s="15" t="s">
        <v>83</v>
      </c>
      <c r="AA2" s="21" t="s">
        <v>84</v>
      </c>
      <c r="AB2" s="22" t="s">
        <v>85</v>
      </c>
      <c r="AC2" s="23" t="s">
        <v>86</v>
      </c>
      <c r="AD2" s="22" t="s">
        <v>87</v>
      </c>
      <c r="AE2" s="11">
        <v>275</v>
      </c>
      <c r="AF2" s="11" t="s">
        <v>61</v>
      </c>
      <c r="AG2" s="24">
        <v>40</v>
      </c>
      <c r="AH2" s="25" t="s">
        <v>88</v>
      </c>
      <c r="AI2" t="s">
        <v>89</v>
      </c>
      <c r="AJ2" s="26" t="s">
        <v>90</v>
      </c>
      <c r="AK2" s="15" t="s">
        <v>91</v>
      </c>
      <c r="AL2" s="15" t="s">
        <v>92</v>
      </c>
      <c r="AM2" t="s">
        <v>93</v>
      </c>
      <c r="AN2" s="15" t="s">
        <v>94</v>
      </c>
      <c r="AO2" s="15" t="s">
        <v>95</v>
      </c>
      <c r="AP2" s="15" t="s">
        <v>96</v>
      </c>
      <c r="AQ2" s="27" t="s">
        <v>97</v>
      </c>
      <c r="AR2" s="22" t="s">
        <v>90</v>
      </c>
      <c r="AS2" s="28" t="s">
        <v>98</v>
      </c>
      <c r="AT2" s="18">
        <f t="shared" ref="AT2:AT3" ca="1" si="3">X2-1</f>
        <v>45760</v>
      </c>
      <c r="AU2" s="18">
        <f t="shared" ref="AU2:AU3" ca="1" si="4">X2-1</f>
        <v>45760</v>
      </c>
      <c r="AV2" s="29" t="str">
        <f t="shared" ref="AV2:AV3" si="5">AJ2</f>
        <v>N/A</v>
      </c>
      <c r="AW2" s="30" t="s">
        <v>90</v>
      </c>
      <c r="AX2" s="30" t="s">
        <v>90</v>
      </c>
      <c r="AY2" s="11" t="s">
        <v>69</v>
      </c>
      <c r="AZ2" s="31" t="s">
        <v>99</v>
      </c>
      <c r="BA2" s="31" t="str">
        <f ca="1">AZ9</f>
        <v>AB66274JC</v>
      </c>
      <c r="BB2" s="11" t="s">
        <v>69</v>
      </c>
      <c r="BC2" s="31" t="s">
        <v>100</v>
      </c>
      <c r="BD2" s="32" t="str">
        <f ca="1">BH9</f>
        <v>MTKBNN10D10A466A</v>
      </c>
      <c r="BE2" t="s">
        <v>101</v>
      </c>
      <c r="BF2" s="33">
        <v>35591</v>
      </c>
      <c r="BG2" s="11" t="s">
        <v>69</v>
      </c>
      <c r="BH2" s="11" t="s">
        <v>102</v>
      </c>
      <c r="BI2" s="11" t="s">
        <v>102</v>
      </c>
      <c r="BJ2" s="11" t="s">
        <v>103</v>
      </c>
      <c r="BK2" s="33" t="s">
        <v>104</v>
      </c>
      <c r="BL2" s="11" t="s">
        <v>69</v>
      </c>
      <c r="BM2" s="11" t="s">
        <v>105</v>
      </c>
      <c r="BN2" s="31" t="s">
        <v>106</v>
      </c>
      <c r="BO2" s="31" t="s">
        <v>107</v>
      </c>
      <c r="BP2" s="31" t="s">
        <v>108</v>
      </c>
      <c r="BQ2" s="31" t="s">
        <v>109</v>
      </c>
      <c r="BR2" s="15" t="s">
        <v>110</v>
      </c>
    </row>
    <row r="3" spans="1:70" ht="14.5" customHeight="1" x14ac:dyDescent="0.35">
      <c r="A3" t="s">
        <v>111</v>
      </c>
      <c r="B3" s="8"/>
      <c r="C3" s="9"/>
      <c r="D3" s="10" t="s">
        <v>112</v>
      </c>
      <c r="E3" s="11" t="s">
        <v>69</v>
      </c>
      <c r="F3" s="12" t="s">
        <v>70</v>
      </c>
      <c r="G3" s="13" t="s">
        <v>113</v>
      </c>
      <c r="H3" s="14" t="s">
        <v>114</v>
      </c>
      <c r="I3" t="s">
        <v>73</v>
      </c>
      <c r="J3" s="15" t="s">
        <v>74</v>
      </c>
      <c r="K3" s="15" t="s">
        <v>75</v>
      </c>
      <c r="L3" s="16">
        <f t="shared" ca="1" si="0"/>
        <v>45761</v>
      </c>
      <c r="M3" s="11" t="s">
        <v>69</v>
      </c>
      <c r="N3" s="17" t="s">
        <v>76</v>
      </c>
      <c r="O3" s="17" t="s">
        <v>77</v>
      </c>
      <c r="P3" s="17">
        <v>1</v>
      </c>
      <c r="Q3" s="15" t="s">
        <v>78</v>
      </c>
      <c r="R3" s="15" t="s">
        <v>79</v>
      </c>
      <c r="S3" s="15" t="s">
        <v>75</v>
      </c>
      <c r="T3" s="18" t="s">
        <v>80</v>
      </c>
      <c r="U3" s="19" t="s">
        <v>81</v>
      </c>
      <c r="V3" s="15" t="s">
        <v>75</v>
      </c>
      <c r="W3" s="15" t="s">
        <v>82</v>
      </c>
      <c r="X3" s="20">
        <f t="shared" ca="1" si="1"/>
        <v>45761</v>
      </c>
      <c r="Y3" s="16">
        <f t="shared" ca="1" si="2"/>
        <v>45812</v>
      </c>
      <c r="Z3" s="15" t="s">
        <v>83</v>
      </c>
      <c r="AA3" s="21" t="s">
        <v>115</v>
      </c>
      <c r="AB3" s="22" t="s">
        <v>85</v>
      </c>
      <c r="AC3" s="23" t="s">
        <v>116</v>
      </c>
      <c r="AD3" s="22" t="s">
        <v>87</v>
      </c>
      <c r="AE3" s="11">
        <v>275</v>
      </c>
      <c r="AF3" s="11" t="s">
        <v>61</v>
      </c>
      <c r="AG3" s="24">
        <v>40</v>
      </c>
      <c r="AH3" s="25" t="s">
        <v>88</v>
      </c>
      <c r="AI3" t="s">
        <v>89</v>
      </c>
      <c r="AJ3" s="26" t="s">
        <v>90</v>
      </c>
      <c r="AK3" s="15" t="s">
        <v>91</v>
      </c>
      <c r="AL3" s="15" t="s">
        <v>117</v>
      </c>
      <c r="AM3" t="s">
        <v>118</v>
      </c>
      <c r="AN3" s="15" t="s">
        <v>94</v>
      </c>
      <c r="AO3" s="15" t="s">
        <v>119</v>
      </c>
      <c r="AP3" s="15" t="s">
        <v>120</v>
      </c>
      <c r="AQ3" s="27" t="s">
        <v>97</v>
      </c>
      <c r="AR3" s="22" t="s">
        <v>90</v>
      </c>
      <c r="AS3" s="28" t="s">
        <v>98</v>
      </c>
      <c r="AT3" s="18">
        <f t="shared" ca="1" si="3"/>
        <v>45760</v>
      </c>
      <c r="AU3" s="18">
        <f t="shared" ca="1" si="4"/>
        <v>45760</v>
      </c>
      <c r="AV3" s="29" t="str">
        <f t="shared" si="5"/>
        <v>N/A</v>
      </c>
      <c r="AW3" s="30" t="s">
        <v>90</v>
      </c>
      <c r="AX3" s="30" t="s">
        <v>90</v>
      </c>
      <c r="AY3" s="11" t="s">
        <v>69</v>
      </c>
      <c r="AZ3" s="31" t="s">
        <v>99</v>
      </c>
      <c r="BA3" s="31" t="str">
        <f ca="1">AZ10</f>
        <v>BA42984CJ</v>
      </c>
      <c r="BB3" s="11" t="s">
        <v>69</v>
      </c>
      <c r="BC3" s="31" t="s">
        <v>100</v>
      </c>
      <c r="BD3" s="32" t="str">
        <f ca="1">BH10</f>
        <v>MTKNBN20D20A859A</v>
      </c>
      <c r="BE3" t="s">
        <v>101</v>
      </c>
      <c r="BF3" s="33">
        <v>35591</v>
      </c>
      <c r="BG3" s="11" t="s">
        <v>69</v>
      </c>
      <c r="BH3" s="11" t="s">
        <v>102</v>
      </c>
      <c r="BI3" s="11" t="s">
        <v>102</v>
      </c>
      <c r="BJ3" s="11" t="s">
        <v>103</v>
      </c>
      <c r="BK3" s="33" t="s">
        <v>104</v>
      </c>
      <c r="BL3" s="11" t="s">
        <v>69</v>
      </c>
      <c r="BM3" s="11" t="s">
        <v>105</v>
      </c>
      <c r="BN3" s="31" t="s">
        <v>106</v>
      </c>
      <c r="BO3" s="31" t="s">
        <v>107</v>
      </c>
      <c r="BP3" s="31" t="s">
        <v>108</v>
      </c>
      <c r="BQ3" s="31" t="s">
        <v>109</v>
      </c>
      <c r="BR3" s="15" t="s">
        <v>110</v>
      </c>
    </row>
    <row r="4" spans="1:70" x14ac:dyDescent="0.25">
      <c r="C4" s="9"/>
      <c r="AZ4" s="7"/>
      <c r="BA4" s="34"/>
    </row>
    <row r="5" spans="1:70" x14ac:dyDescent="0.25">
      <c r="C5" s="9"/>
    </row>
    <row r="6" spans="1:70" x14ac:dyDescent="0.25">
      <c r="C6" s="9"/>
    </row>
    <row r="7" spans="1:70" x14ac:dyDescent="0.25">
      <c r="C7" s="9"/>
    </row>
    <row r="8" spans="1:70" x14ac:dyDescent="0.25">
      <c r="C8" s="9"/>
    </row>
    <row r="9" spans="1:70" ht="14.5" customHeight="1" x14ac:dyDescent="0.25">
      <c r="C9" s="9"/>
      <c r="AW9" t="s">
        <v>121</v>
      </c>
      <c r="AX9">
        <f t="array" aca="1" ref="AX9:AX23" ca="1">_xlfn.RANDARRAY(15,1,12345,99999,TRUE)</f>
        <v>66274</v>
      </c>
      <c r="AY9" t="s">
        <v>122</v>
      </c>
      <c r="AZ9" t="str">
        <f ca="1">AW9&amp;AX9&amp;AY9</f>
        <v>AB66274JC</v>
      </c>
      <c r="BD9" s="32" t="s">
        <v>123</v>
      </c>
      <c r="BE9">
        <f t="array" aca="1" ref="BE9:BE23" ca="1">_xlfn.RANDARRAY(15,1,123,999,TRUE)</f>
        <v>466</v>
      </c>
      <c r="BG9" t="s">
        <v>124</v>
      </c>
      <c r="BH9" t="str">
        <f ca="1">BD9&amp;BE9&amp;BF9&amp;BG9</f>
        <v>MTKBNN10D10A466A</v>
      </c>
    </row>
    <row r="10" spans="1:70" ht="14.5" customHeight="1" x14ac:dyDescent="0.25">
      <c r="C10" s="9"/>
      <c r="AW10" t="s">
        <v>125</v>
      </c>
      <c r="AX10">
        <f ca="1"/>
        <v>42984</v>
      </c>
      <c r="AY10" t="s">
        <v>126</v>
      </c>
      <c r="AZ10" t="str">
        <f t="shared" ref="AZ10:AZ23" ca="1" si="6">AW10&amp;AX10&amp;AY10</f>
        <v>BA42984CJ</v>
      </c>
      <c r="BD10" s="32" t="s">
        <v>127</v>
      </c>
      <c r="BE10">
        <f ca="1"/>
        <v>859</v>
      </c>
      <c r="BG10" t="s">
        <v>124</v>
      </c>
      <c r="BH10" t="str">
        <f t="shared" ref="BH10:BH23" ca="1" si="7">BD10&amp;BE10&amp;BF10&amp;BG10</f>
        <v>MTKNBN20D20A859A</v>
      </c>
    </row>
    <row r="11" spans="1:70" ht="14.5" customHeight="1" x14ac:dyDescent="0.25">
      <c r="C11" s="9"/>
      <c r="AW11" t="s">
        <v>121</v>
      </c>
      <c r="AX11">
        <f ca="1"/>
        <v>37581</v>
      </c>
      <c r="AY11" t="s">
        <v>122</v>
      </c>
      <c r="AZ11" t="str">
        <f t="shared" ca="1" si="6"/>
        <v>AB37581JC</v>
      </c>
      <c r="BD11" s="32" t="s">
        <v>123</v>
      </c>
      <c r="BE11">
        <f ca="1"/>
        <v>417</v>
      </c>
      <c r="BG11" t="s">
        <v>124</v>
      </c>
      <c r="BH11" t="str">
        <f t="shared" ca="1" si="7"/>
        <v>MTKBNN10D10A417A</v>
      </c>
    </row>
    <row r="12" spans="1:70" ht="14.5" customHeight="1" x14ac:dyDescent="0.35">
      <c r="C12" s="9"/>
      <c r="AW12" t="s">
        <v>125</v>
      </c>
      <c r="AX12">
        <f ca="1"/>
        <v>51706</v>
      </c>
      <c r="AY12" t="s">
        <v>126</v>
      </c>
      <c r="AZ12" t="str">
        <f t="shared" ca="1" si="6"/>
        <v>BA51706CJ</v>
      </c>
      <c r="BD12" s="32" t="s">
        <v>127</v>
      </c>
      <c r="BE12">
        <f ca="1"/>
        <v>683</v>
      </c>
      <c r="BG12" t="s">
        <v>124</v>
      </c>
      <c r="BH12" t="str">
        <f t="shared" ca="1" si="7"/>
        <v>MTKNBN20D20A683A</v>
      </c>
    </row>
    <row r="13" spans="1:70" ht="14.5" customHeight="1" x14ac:dyDescent="0.35">
      <c r="C13" s="9"/>
      <c r="AW13" t="s">
        <v>121</v>
      </c>
      <c r="AX13">
        <f ca="1"/>
        <v>46816</v>
      </c>
      <c r="AY13" t="s">
        <v>122</v>
      </c>
      <c r="AZ13" t="str">
        <f t="shared" ca="1" si="6"/>
        <v>AB46816JC</v>
      </c>
      <c r="BD13" s="32" t="s">
        <v>123</v>
      </c>
      <c r="BE13">
        <f ca="1"/>
        <v>701</v>
      </c>
      <c r="BG13" t="s">
        <v>124</v>
      </c>
      <c r="BH13" t="str">
        <f t="shared" ca="1" si="7"/>
        <v>MTKBNN10D10A701A</v>
      </c>
    </row>
    <row r="14" spans="1:70" ht="14.5" customHeight="1" x14ac:dyDescent="0.35">
      <c r="C14" s="9"/>
      <c r="AW14" t="s">
        <v>125</v>
      </c>
      <c r="AX14">
        <f ca="1"/>
        <v>26906</v>
      </c>
      <c r="AY14" t="s">
        <v>126</v>
      </c>
      <c r="AZ14" t="str">
        <f t="shared" ca="1" si="6"/>
        <v>BA26906CJ</v>
      </c>
      <c r="BD14" s="32" t="s">
        <v>127</v>
      </c>
      <c r="BE14">
        <f ca="1"/>
        <v>911</v>
      </c>
      <c r="BG14" t="s">
        <v>124</v>
      </c>
      <c r="BH14" t="str">
        <f t="shared" ca="1" si="7"/>
        <v>MTKNBN20D20A911A</v>
      </c>
    </row>
    <row r="15" spans="1:70" ht="14.5" customHeight="1" x14ac:dyDescent="0.35">
      <c r="C15" s="9"/>
      <c r="AW15" t="s">
        <v>121</v>
      </c>
      <c r="AX15">
        <f ca="1"/>
        <v>27261</v>
      </c>
      <c r="AY15" t="s">
        <v>122</v>
      </c>
      <c r="AZ15" t="str">
        <f t="shared" ca="1" si="6"/>
        <v>AB27261JC</v>
      </c>
      <c r="BD15" s="32" t="s">
        <v>123</v>
      </c>
      <c r="BE15">
        <f ca="1"/>
        <v>867</v>
      </c>
      <c r="BG15" t="s">
        <v>124</v>
      </c>
      <c r="BH15" t="str">
        <f t="shared" ca="1" si="7"/>
        <v>MTKBNN10D10A867A</v>
      </c>
    </row>
    <row r="16" spans="1:70" ht="14.5" customHeight="1" x14ac:dyDescent="0.35">
      <c r="C16" s="9"/>
      <c r="AW16" t="s">
        <v>125</v>
      </c>
      <c r="AX16">
        <f ca="1"/>
        <v>31655</v>
      </c>
      <c r="AY16" t="s">
        <v>126</v>
      </c>
      <c r="AZ16" t="str">
        <f t="shared" ca="1" si="6"/>
        <v>BA31655CJ</v>
      </c>
      <c r="BD16" s="32" t="s">
        <v>127</v>
      </c>
      <c r="BE16">
        <f ca="1"/>
        <v>790</v>
      </c>
      <c r="BG16" t="s">
        <v>124</v>
      </c>
      <c r="BH16" t="str">
        <f t="shared" ca="1" si="7"/>
        <v>MTKNBN20D20A790A</v>
      </c>
    </row>
    <row r="17" spans="3:60" ht="14.5" customHeight="1" x14ac:dyDescent="0.35">
      <c r="C17" s="9"/>
      <c r="AW17" t="s">
        <v>121</v>
      </c>
      <c r="AX17">
        <f ca="1"/>
        <v>95736</v>
      </c>
      <c r="AY17" t="s">
        <v>122</v>
      </c>
      <c r="AZ17" t="str">
        <f t="shared" ca="1" si="6"/>
        <v>AB95736JC</v>
      </c>
      <c r="BD17" s="32" t="s">
        <v>123</v>
      </c>
      <c r="BE17">
        <f ca="1"/>
        <v>900</v>
      </c>
      <c r="BG17" t="s">
        <v>124</v>
      </c>
      <c r="BH17" t="str">
        <f t="shared" ca="1" si="7"/>
        <v>MTKBNN10D10A900A</v>
      </c>
    </row>
    <row r="18" spans="3:60" ht="14.5" customHeight="1" x14ac:dyDescent="0.35">
      <c r="C18" s="9"/>
      <c r="AW18" t="s">
        <v>125</v>
      </c>
      <c r="AX18">
        <f ca="1"/>
        <v>24109</v>
      </c>
      <c r="AY18" t="s">
        <v>126</v>
      </c>
      <c r="AZ18" t="str">
        <f t="shared" ca="1" si="6"/>
        <v>BA24109CJ</v>
      </c>
      <c r="BD18" s="32" t="s">
        <v>127</v>
      </c>
      <c r="BE18">
        <f ca="1"/>
        <v>801</v>
      </c>
      <c r="BG18" t="s">
        <v>124</v>
      </c>
      <c r="BH18" t="str">
        <f t="shared" ca="1" si="7"/>
        <v>MTKNBN20D20A801A</v>
      </c>
    </row>
    <row r="19" spans="3:60" ht="14.5" customHeight="1" x14ac:dyDescent="0.35">
      <c r="AW19" t="s">
        <v>121</v>
      </c>
      <c r="AX19">
        <f ca="1"/>
        <v>36437</v>
      </c>
      <c r="AY19" t="s">
        <v>122</v>
      </c>
      <c r="AZ19" t="str">
        <f t="shared" ca="1" si="6"/>
        <v>AB36437JC</v>
      </c>
      <c r="BD19" s="32" t="s">
        <v>123</v>
      </c>
      <c r="BE19">
        <f ca="1"/>
        <v>385</v>
      </c>
      <c r="BG19" t="s">
        <v>124</v>
      </c>
      <c r="BH19" t="str">
        <f t="shared" ca="1" si="7"/>
        <v>MTKBNN10D10A385A</v>
      </c>
    </row>
    <row r="20" spans="3:60" ht="14.5" customHeight="1" x14ac:dyDescent="0.35">
      <c r="AW20" t="s">
        <v>125</v>
      </c>
      <c r="AX20">
        <f ca="1"/>
        <v>22254</v>
      </c>
      <c r="AY20" t="s">
        <v>126</v>
      </c>
      <c r="AZ20" t="str">
        <f t="shared" ca="1" si="6"/>
        <v>BA22254CJ</v>
      </c>
      <c r="BD20" s="32" t="s">
        <v>127</v>
      </c>
      <c r="BE20">
        <f ca="1"/>
        <v>412</v>
      </c>
      <c r="BG20" t="s">
        <v>124</v>
      </c>
      <c r="BH20" t="str">
        <f t="shared" ca="1" si="7"/>
        <v>MTKNBN20D20A412A</v>
      </c>
    </row>
    <row r="21" spans="3:60" ht="14.5" customHeight="1" x14ac:dyDescent="0.35">
      <c r="AW21" t="s">
        <v>121</v>
      </c>
      <c r="AX21">
        <f ca="1"/>
        <v>70907</v>
      </c>
      <c r="AY21" t="s">
        <v>122</v>
      </c>
      <c r="AZ21" t="str">
        <f t="shared" ca="1" si="6"/>
        <v>AB70907JC</v>
      </c>
      <c r="BD21" s="32" t="s">
        <v>123</v>
      </c>
      <c r="BE21">
        <f ca="1"/>
        <v>930</v>
      </c>
      <c r="BG21" t="s">
        <v>124</v>
      </c>
      <c r="BH21" t="str">
        <f t="shared" ca="1" si="7"/>
        <v>MTKBNN10D10A930A</v>
      </c>
    </row>
    <row r="22" spans="3:60" ht="14.5" customHeight="1" x14ac:dyDescent="0.35">
      <c r="AW22" t="s">
        <v>125</v>
      </c>
      <c r="AX22">
        <f ca="1"/>
        <v>70838</v>
      </c>
      <c r="AY22" t="s">
        <v>126</v>
      </c>
      <c r="AZ22" t="str">
        <f t="shared" ca="1" si="6"/>
        <v>BA70838CJ</v>
      </c>
      <c r="BD22" s="32" t="s">
        <v>127</v>
      </c>
      <c r="BE22">
        <f ca="1"/>
        <v>879</v>
      </c>
      <c r="BG22" t="s">
        <v>124</v>
      </c>
      <c r="BH22" t="str">
        <f t="shared" ca="1" si="7"/>
        <v>MTKNBN20D20A879A</v>
      </c>
    </row>
    <row r="23" spans="3:60" ht="14.5" customHeight="1" x14ac:dyDescent="0.35">
      <c r="AW23" t="s">
        <v>121</v>
      </c>
      <c r="AX23">
        <f ca="1"/>
        <v>60727</v>
      </c>
      <c r="AY23" t="s">
        <v>122</v>
      </c>
      <c r="AZ23" t="str">
        <f t="shared" ca="1" si="6"/>
        <v>AB60727JC</v>
      </c>
      <c r="BD23" s="32" t="s">
        <v>123</v>
      </c>
      <c r="BE23">
        <f ca="1"/>
        <v>773</v>
      </c>
      <c r="BG23" t="s">
        <v>124</v>
      </c>
      <c r="BH23" t="str">
        <f t="shared" ca="1" si="7"/>
        <v>MTKBNN10D10A773A</v>
      </c>
    </row>
  </sheetData>
  <dataValidations count="1">
    <dataValidation type="list" allowBlank="1" showInputMessage="1" showErrorMessage="1" sqref="AS2:AS3 Z2:Z3 V2:V3 S2:S3 K2:K3 BQ2:BQ3" xr:uid="{00000000-0002-0000-0000-000000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2025-05-15T17:09:18Z</dcterms:modified>
</cp:coreProperties>
</file>