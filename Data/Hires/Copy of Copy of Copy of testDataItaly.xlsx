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<sst xmlns="http://schemas.openxmlformats.org/spreadsheetml/2006/main" count="969" uniqueCount="196">
  <si>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</si>
  <si>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</si>
  <si>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</si>
  <si>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</si>
  <si>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</si>
  <si>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</si>
  <si>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</si>
  <si>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</si>
  <si>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</si>
  <si>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</si>
  <si>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</si>
  <si>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</si>
  <si>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</si>
  <si>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</si>
  <si>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</si>
  <si>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</si>
  <si>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</si>
  <si>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</si>
  <si>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</si>
  <si>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</si>
  <si>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</si>
  <si>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</si>
  <si>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</si>
  <si>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</si>
  <si>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</si>
  <si>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</si>
  <si>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</si>
  <si>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</si>
  <si>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</si>
  <si>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</si>
  <si>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</si>
  <si>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</si>
  <si>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</si>
  <si>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</si>
  <si>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</si>
  <si>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</si>
  <si>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</si>
  <si>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</si>
  <si>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</si>
  <si>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</si>
  <si>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</si>
  <si>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</si>
  <si>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</si>
  <si>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</si>
  <si>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</si>
  <si>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</si>
  <si>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</si>
  <si>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</si>
  <si>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</si>
  <si>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</si>
  <si>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</si>
  <si>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</si>
  <si>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</si>
  <si>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</si>
  <si>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</si>
  <si>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</si>
  <si>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</si>
  <si>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</si>
  <si>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</si>
  <si>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</si>
  <si>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</si>
  <si>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</si>
  <si>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</si>
  <si>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</si>
  <si>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</si>
  <si>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</si>
  <si>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</si>
  <si>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</si>
  <si>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10698584</t>
  </si>
  <si>
    <t>Passed</t>
  </si>
  <si>
    <t>275 Recruitment (Zojez Vizyzi (10279378))</t>
  </si>
  <si>
    <t>Italy</t>
  </si>
  <si>
    <t>Mr</t>
  </si>
  <si>
    <t>Aryanna</t>
  </si>
  <si>
    <t>Mann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</si>
  <si>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</si>
  <si>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</si>
  <si>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</si>
  <si>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</si>
  <si>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</si>
  <si>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</si>
  <si>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</si>
  <si>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</si>
  <si>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</si>
  <si>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</si>
  <si>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</si>
  <si>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</si>
  <si>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</si>
  <si>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</si>
  <si>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</si>
  <si>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</si>
  <si>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</si>
  <si>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</si>
  <si>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</si>
  <si>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</si>
  <si>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</si>
  <si>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</si>
  <si>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</si>
  <si>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</si>
  <si>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</si>
  <si>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</si>
  <si>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</si>
  <si>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</si>
  <si>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</si>
  <si>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</si>
  <si>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</si>
  <si>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</si>
  <si>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</si>
  <si>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</si>
  <si>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</si>
  <si>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</si>
  <si>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</si>
  <si>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</si>
  <si>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</si>
  <si>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10698554</t>
  </si>
  <si>
    <t>275 Store Management (Gyzag Hopope (10144587))</t>
  </si>
  <si>
    <t>Gaetano</t>
  </si>
  <si>
    <t>Casper</t>
  </si>
  <si>
    <t>Auto 66135066</t>
  </si>
  <si>
    <t>Assistant Manager</t>
  </si>
  <si>
    <t>92 Retail Management</t>
  </si>
  <si>
    <t>251 Management Retail</t>
  </si>
  <si>
    <t>Impiegato</t>
  </si>
  <si>
    <t>Level 2</t>
  </si>
  <si>
    <t>Test_3</t>
  </si>
  <si>
    <t>Aurelie</t>
  </si>
  <si>
    <t>Kohler</t>
  </si>
  <si>
    <t>Auto 77895529</t>
  </si>
  <si>
    <t>Department Manager</t>
  </si>
  <si>
    <t>Part time</t>
  </si>
  <si>
    <t>Test_4</t>
  </si>
  <si>
    <t>10698564</t>
  </si>
  <si>
    <t>Alfonso</t>
  </si>
  <si>
    <t>Dietrich</t>
  </si>
  <si>
    <t>Auto 17029637</t>
  </si>
  <si>
    <t>Fixed Term</t>
  </si>
  <si>
    <t>Visual Merchandising Manager</t>
  </si>
  <si>
    <t>Italia Department Manager</t>
  </si>
  <si>
    <t>Test_5</t>
  </si>
  <si>
    <t>Uriel</t>
  </si>
  <si>
    <t>Mohr</t>
  </si>
  <si>
    <t>Auto 4190403</t>
  </si>
  <si>
    <t>Team Manager - Retail</t>
  </si>
  <si>
    <t>Italia Team Manager- Retail</t>
  </si>
  <si>
    <t>Test_6</t>
  </si>
  <si>
    <t>10698559</t>
  </si>
  <si>
    <t>Penelope</t>
  </si>
  <si>
    <t>Considine</t>
  </si>
  <si>
    <t>Auto 26454706</t>
  </si>
  <si>
    <t>P&amp;C Manager Stores</t>
  </si>
  <si>
    <t>Level 1</t>
  </si>
  <si>
    <t>Test_7</t>
  </si>
  <si>
    <t>Olen</t>
  </si>
  <si>
    <t>Fay</t>
  </si>
  <si>
    <t>Auto 359062</t>
  </si>
  <si>
    <t>Store Manager</t>
  </si>
  <si>
    <t>Test_8</t>
  </si>
  <si>
    <t>10698575</t>
  </si>
  <si>
    <t>Bennett</t>
  </si>
  <si>
    <t>Kessler</t>
  </si>
  <si>
    <t>261 Tills</t>
  </si>
  <si>
    <t>Test_9</t>
  </si>
  <si>
    <t>10698577</t>
  </si>
  <si>
    <t>Arlo</t>
  </si>
  <si>
    <t>Wilkinson</t>
  </si>
  <si>
    <t>Supervisor</t>
  </si>
  <si>
    <t>253 Supervisors</t>
  </si>
  <si>
    <t>Level 4</t>
  </si>
  <si>
    <t>Italia Supervisor Level 3 - Milano Via Torino 275</t>
  </si>
  <si>
    <t>Italia Supervisor - Level 3 - Milano Via Torino 275</t>
  </si>
  <si>
    <t>Test_10</t>
  </si>
  <si>
    <t>P&amp;C Assistant (NLD/FRA/USA/ITA/PL/CZ ONLY)</t>
  </si>
  <si>
    <t>250 Human Resources Retail</t>
  </si>
  <si>
    <t>Italia Retail Assistant Level 4 - Milano Via Torino 275</t>
  </si>
  <si>
    <t>Italia Retail Assistant Level 4</t>
  </si>
  <si>
    <t>Test_11</t>
  </si>
  <si>
    <t>10698582</t>
  </si>
  <si>
    <t>Lueilwitz</t>
  </si>
  <si>
    <t>P&amp;C Supervisor (NLD/FRA/USA/ITA/PL/CZ ONLY)</t>
  </si>
  <si>
    <t>Test_12</t>
  </si>
  <si>
    <t>Velva</t>
  </si>
  <si>
    <t>Kub</t>
  </si>
  <si>
    <t>Intern</t>
  </si>
  <si>
    <t>1@661</t>
  </si>
  <si>
    <t>Stage</t>
  </si>
  <si>
    <t>Test_13</t>
  </si>
  <si>
    <t>Apprenticeship</t>
  </si>
  <si>
    <t>Test_14</t>
  </si>
  <si>
    <t>Test_15</t>
  </si>
  <si>
    <t>AB</t>
  </si>
  <si>
    <t>JC</t>
  </si>
  <si>
    <t>MTKBNN10D10A</t>
  </si>
  <si>
    <t>Z</t>
  </si>
  <si>
    <t>BA</t>
  </si>
  <si>
    <t>CJ</t>
  </si>
  <si>
    <t>MTKNBN20D20A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</si>
</sst>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b/>
      <color theme="1"/>
      <family val="2"/>
      <sz val="14"/>
      <name val="Arial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14" fontId="1" fillId="0" borderId="0" xfId="0" applyNumberFormat="1" applyFont="1"/>
    <xf numFmtId="0" fontId="0" fillId="0" borderId="0" xfId="0" applyAlignment="1">
      <alignment vertical="top" wrapText="1"/>
    </xf>
    <xf numFmtId="0" fontId="1" fillId="0" borderId="3" xfId="0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kenumber.org/generator-other/italy06-789-8707" TargetMode="External"/><Relationship Id="rId2" Type="http://schemas.openxmlformats.org/officeDocument/2006/relationships/hyperlink" Target="mailto:Testharsh121@gmail.com" TargetMode="External"/><Relationship Id="rId3" Type="http://schemas.openxmlformats.org/officeDocument/2006/relationships/hyperlink" Target="mailto:2@661" TargetMode="External"/><Relationship Id="rId4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https://fakenumber.org/generator-other/italy06-789-8707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https://fakenumber.org/generator-other/italy06-789-8707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7" Type="http://schemas.openxmlformats.org/officeDocument/2006/relationships/hyperlink" Target="mailto:Testharsh121@gmail.com" TargetMode="External"/><Relationship Id="rId18" Type="http://schemas.openxmlformats.org/officeDocument/2006/relationships/hyperlink" Target="mailto:1@661" TargetMode="External"/><Relationship Id="rId19" Type="http://schemas.openxmlformats.org/officeDocument/2006/relationships/hyperlink" Target="mailto:Testharsh121@gmail.com" TargetMode="External"/><Relationship Id="rId20" Type="http://schemas.openxmlformats.org/officeDocument/2006/relationships/hyperlink" Target="mailto:Testharsh121@gmail.com" TargetMode="External"/><Relationship Id="rId2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"/>
  <sheetViews>
    <sheetView workbookViewId="0" zoomScale="100" zoomScaleNormal="100">
      <selection activeCell="B6" sqref="B6"/>
    </sheetView>
  </sheetViews>
  <sheetFormatPr defaultRowHeight="14.5" outlineLevelRow="0" outlineLevelCol="0" x14ac:dyDescent="0.35" customHeight="1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ht="18" customHeight="1" spans="1:7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ht="14.5" customHeight="1" spans="1:70" x14ac:dyDescent="0.25">
      <c r="A2" t="s">
        <v>67</v>
      </c>
      <c r="B2" t="s">
        <v>68</v>
      </c>
      <c r="C2" s="8" t="s">
        <v>69</v>
      </c>
      <c r="D2" s="9" t="s">
        <v>70</v>
      </c>
      <c r="E2" s="10" t="s">
        <v>71</v>
      </c>
      <c r="F2" s="11" t="s">
        <v>72</v>
      </c>
      <c r="G2" s="12" t="s">
        <v>73</v>
      </c>
      <c r="H2" s="13" t="s">
        <v>74</v>
      </c>
      <c r="I2" t="s">
        <v>75</v>
      </c>
      <c r="J2" s="14" t="s">
        <v>76</v>
      </c>
      <c r="K2" s="14" t="s">
        <v>77</v>
      </c>
      <c r="L2" s="15">
        <f t="shared" ref="L2:L16" si="0">TODAY()-31</f>
        <v>45734</v>
      </c>
      <c r="M2" s="10" t="s">
        <v>71</v>
      </c>
      <c r="N2" s="16" t="s">
        <v>78</v>
      </c>
      <c r="O2" s="16" t="s">
        <v>79</v>
      </c>
      <c r="P2" s="16">
        <v>1</v>
      </c>
      <c r="Q2" s="14" t="s">
        <v>80</v>
      </c>
      <c r="R2" s="14" t="s">
        <v>81</v>
      </c>
      <c r="S2" s="14" t="s">
        <v>77</v>
      </c>
      <c r="T2" s="17" t="s">
        <v>82</v>
      </c>
      <c r="U2" s="18" t="s">
        <v>83</v>
      </c>
      <c r="V2" s="14" t="s">
        <v>77</v>
      </c>
      <c r="W2" s="14" t="s">
        <v>84</v>
      </c>
      <c r="X2" s="19">
        <f t="shared" ref="X2:X16" si="1">L2</f>
        <v>45734</v>
      </c>
      <c r="Y2" s="15">
        <f t="shared" ref="Y2:Y16" si="2">TODAY()+20</f>
        <v>45785</v>
      </c>
      <c r="Z2" s="14" t="s">
        <v>85</v>
      </c>
      <c r="AA2" s="20" t="s">
        <v>86</v>
      </c>
      <c r="AB2" s="21" t="s">
        <v>87</v>
      </c>
      <c r="AC2" s="22" t="s">
        <v>88</v>
      </c>
      <c r="AD2" s="21" t="s">
        <v>89</v>
      </c>
      <c r="AE2" s="10">
        <v>275</v>
      </c>
      <c r="AF2" s="10" t="s">
        <v>61</v>
      </c>
      <c r="AG2" s="23">
        <v>40</v>
      </c>
      <c r="AH2" s="24" t="s">
        <v>90</v>
      </c>
      <c r="AI2" t="s">
        <v>91</v>
      </c>
      <c r="AJ2" s="25" t="s">
        <v>92</v>
      </c>
      <c r="AK2" s="14" t="s">
        <v>93</v>
      </c>
      <c r="AL2" s="14" t="s">
        <v>94</v>
      </c>
      <c r="AM2" t="s">
        <v>95</v>
      </c>
      <c r="AN2" s="14" t="s">
        <v>96</v>
      </c>
      <c r="AO2" s="14" t="s">
        <v>97</v>
      </c>
      <c r="AP2" s="14" t="s">
        <v>98</v>
      </c>
      <c r="AQ2" s="26" t="s">
        <v>99</v>
      </c>
      <c r="AR2" s="21" t="s">
        <v>92</v>
      </c>
      <c r="AS2" s="27" t="s">
        <v>100</v>
      </c>
      <c r="AT2" s="17">
        <f t="shared" ref="AT2:AT16" si="3">X2-1</f>
        <v>45733</v>
      </c>
      <c r="AU2" s="17">
        <f t="shared" ref="AU2:AU16" si="4">X2-1</f>
        <v>45733</v>
      </c>
      <c r="AV2" s="28">
        <f t="shared" ref="AV2:AV16" si="5">AJ2</f>
        <v>NaN</v>
      </c>
      <c r="AW2" s="29" t="s">
        <v>92</v>
      </c>
      <c r="AX2" s="29" t="s">
        <v>92</v>
      </c>
      <c r="AY2" s="10" t="s">
        <v>71</v>
      </c>
      <c r="AZ2" s="30" t="s">
        <v>101</v>
      </c>
      <c r="BA2" t="str">
        <f>AZ22</f>
        <v>AB88013JC</v>
      </c>
      <c r="BB2" s="10" t="s">
        <v>71</v>
      </c>
      <c r="BC2" s="30" t="s">
        <v>102</v>
      </c>
      <c r="BD2" s="31" t="str">
        <f>BH22</f>
        <v>MTKBNN10D10A347Z</v>
      </c>
      <c r="BE2" t="s">
        <v>103</v>
      </c>
      <c r="BF2" s="32">
        <v>35591</v>
      </c>
      <c r="BG2" s="10" t="s">
        <v>71</v>
      </c>
      <c r="BH2" s="10" t="s">
        <v>104</v>
      </c>
      <c r="BI2" s="10" t="s">
        <v>104</v>
      </c>
      <c r="BJ2" s="10" t="s">
        <v>105</v>
      </c>
      <c r="BK2" s="32" t="s">
        <v>106</v>
      </c>
      <c r="BL2" s="10" t="s">
        <v>71</v>
      </c>
      <c r="BM2" s="10" t="s">
        <v>107</v>
      </c>
      <c r="BN2" s="30" t="s">
        <v>108</v>
      </c>
      <c r="BO2" s="30" t="s">
        <v>109</v>
      </c>
      <c r="BP2" s="30" t="s">
        <v>110</v>
      </c>
      <c r="BQ2" s="30" t="s">
        <v>111</v>
      </c>
      <c r="BR2" s="14" t="s">
        <v>112</v>
      </c>
    </row>
    <row r="3" ht="14.5" customHeight="1" spans="1:70" x14ac:dyDescent="0.25">
      <c r="A3" t="s">
        <v>113</v>
      </c>
      <c r="B3" t="s">
        <v>114</v>
      </c>
      <c r="C3" s="8" t="s">
        <v>69</v>
      </c>
      <c r="D3" s="9" t="s">
        <v>115</v>
      </c>
      <c r="E3" s="10" t="s">
        <v>71</v>
      </c>
      <c r="F3" s="11" t="s">
        <v>72</v>
      </c>
      <c r="G3" s="12" t="s">
        <v>116</v>
      </c>
      <c r="H3" s="13" t="s">
        <v>117</v>
      </c>
      <c r="I3" t="s">
        <v>75</v>
      </c>
      <c r="J3" s="14" t="s">
        <v>76</v>
      </c>
      <c r="K3" s="14" t="s">
        <v>77</v>
      </c>
      <c r="L3" s="15">
        <f t="shared" si="0"/>
        <v>45734</v>
      </c>
      <c r="M3" s="10" t="s">
        <v>71</v>
      </c>
      <c r="N3" s="16" t="s">
        <v>78</v>
      </c>
      <c r="O3" s="16" t="s">
        <v>79</v>
      </c>
      <c r="P3" s="16">
        <v>1</v>
      </c>
      <c r="Q3" s="14" t="s">
        <v>80</v>
      </c>
      <c r="R3" s="14" t="s">
        <v>81</v>
      </c>
      <c r="S3" s="14" t="s">
        <v>77</v>
      </c>
      <c r="T3" s="17" t="s">
        <v>82</v>
      </c>
      <c r="U3" s="18" t="s">
        <v>83</v>
      </c>
      <c r="V3" s="14" t="s">
        <v>77</v>
      </c>
      <c r="W3" s="14" t="s">
        <v>84</v>
      </c>
      <c r="X3" s="19">
        <f t="shared" si="1"/>
        <v>45734</v>
      </c>
      <c r="Y3" s="15">
        <f t="shared" si="2"/>
        <v>45785</v>
      </c>
      <c r="Z3" s="14" t="s">
        <v>85</v>
      </c>
      <c r="AA3" s="20" t="s">
        <v>118</v>
      </c>
      <c r="AB3" s="21" t="s">
        <v>87</v>
      </c>
      <c r="AC3" s="22" t="s">
        <v>119</v>
      </c>
      <c r="AD3" s="21" t="s">
        <v>89</v>
      </c>
      <c r="AE3" s="10">
        <v>275</v>
      </c>
      <c r="AF3" s="10" t="s">
        <v>61</v>
      </c>
      <c r="AG3" s="23">
        <v>40</v>
      </c>
      <c r="AH3" s="24" t="s">
        <v>90</v>
      </c>
      <c r="AI3" t="s">
        <v>91</v>
      </c>
      <c r="AJ3" s="25" t="s">
        <v>92</v>
      </c>
      <c r="AK3" s="14" t="s">
        <v>93</v>
      </c>
      <c r="AL3" s="14" t="s">
        <v>120</v>
      </c>
      <c r="AM3" t="s">
        <v>121</v>
      </c>
      <c r="AN3" s="14" t="s">
        <v>96</v>
      </c>
      <c r="AO3" s="14" t="s">
        <v>122</v>
      </c>
      <c r="AP3" s="14" t="s">
        <v>123</v>
      </c>
      <c r="AQ3" s="26" t="s">
        <v>99</v>
      </c>
      <c r="AR3" s="21" t="s">
        <v>92</v>
      </c>
      <c r="AS3" s="27" t="s">
        <v>100</v>
      </c>
      <c r="AT3" s="17">
        <f t="shared" si="3"/>
        <v>45733</v>
      </c>
      <c r="AU3" s="17">
        <f t="shared" si="4"/>
        <v>45733</v>
      </c>
      <c r="AV3" s="28">
        <f t="shared" si="5"/>
        <v>NaN</v>
      </c>
      <c r="AW3" s="29" t="s">
        <v>92</v>
      </c>
      <c r="AX3" s="29" t="s">
        <v>92</v>
      </c>
      <c r="AY3" s="10" t="s">
        <v>71</v>
      </c>
      <c r="AZ3" s="30" t="s">
        <v>101</v>
      </c>
      <c r="BA3" t="str">
        <f t="shared" ref="BA3:BA16" si="6">AZ23</f>
        <v>BA91023CJ</v>
      </c>
      <c r="BB3" s="10" t="s">
        <v>71</v>
      </c>
      <c r="BC3" s="30" t="s">
        <v>102</v>
      </c>
      <c r="BD3" s="31" t="str">
        <f t="shared" ref="BD3:BD16" si="7">BH23</f>
        <v>MTKNBN20D20A157Z</v>
      </c>
      <c r="BE3" t="s">
        <v>103</v>
      </c>
      <c r="BF3" s="32">
        <v>35591</v>
      </c>
      <c r="BG3" s="10" t="s">
        <v>71</v>
      </c>
      <c r="BH3" s="10" t="s">
        <v>104</v>
      </c>
      <c r="BI3" s="10" t="s">
        <v>104</v>
      </c>
      <c r="BJ3" s="10" t="s">
        <v>105</v>
      </c>
      <c r="BK3" s="32" t="s">
        <v>106</v>
      </c>
      <c r="BL3" s="10" t="s">
        <v>71</v>
      </c>
      <c r="BM3" s="10" t="s">
        <v>107</v>
      </c>
      <c r="BN3" s="30" t="s">
        <v>108</v>
      </c>
      <c r="BO3" s="30" t="s">
        <v>109</v>
      </c>
      <c r="BP3" s="30" t="s">
        <v>110</v>
      </c>
      <c r="BQ3" s="30" t="s">
        <v>111</v>
      </c>
      <c r="BR3" s="14" t="s">
        <v>112</v>
      </c>
    </row>
    <row r="4" ht="14.5" customHeight="1" spans="1:70" x14ac:dyDescent="0.25">
      <c r="A4" t="s">
        <v>124</v>
      </c>
      <c r="B4" s="33"/>
      <c r="C4" s="8"/>
      <c r="D4" s="9" t="s">
        <v>115</v>
      </c>
      <c r="E4" s="10" t="s">
        <v>71</v>
      </c>
      <c r="F4" s="11" t="s">
        <v>72</v>
      </c>
      <c r="G4" s="12" t="s">
        <v>125</v>
      </c>
      <c r="H4" s="13" t="s">
        <v>126</v>
      </c>
      <c r="I4" t="s">
        <v>75</v>
      </c>
      <c r="J4" s="14" t="s">
        <v>76</v>
      </c>
      <c r="K4" s="14" t="s">
        <v>77</v>
      </c>
      <c r="L4" s="15">
        <f t="shared" si="0"/>
        <v>45734</v>
      </c>
      <c r="M4" s="10" t="s">
        <v>71</v>
      </c>
      <c r="N4" s="16" t="s">
        <v>78</v>
      </c>
      <c r="O4" s="16" t="s">
        <v>79</v>
      </c>
      <c r="P4" s="16">
        <v>1</v>
      </c>
      <c r="Q4" s="14" t="s">
        <v>80</v>
      </c>
      <c r="R4" s="14" t="s">
        <v>81</v>
      </c>
      <c r="S4" s="14" t="s">
        <v>77</v>
      </c>
      <c r="T4" s="17" t="s">
        <v>82</v>
      </c>
      <c r="U4" s="18" t="s">
        <v>83</v>
      </c>
      <c r="V4" s="14" t="s">
        <v>77</v>
      </c>
      <c r="W4" s="14" t="s">
        <v>84</v>
      </c>
      <c r="X4" s="19">
        <f t="shared" si="1"/>
        <v>45734</v>
      </c>
      <c r="Y4" s="15">
        <f t="shared" si="2"/>
        <v>45785</v>
      </c>
      <c r="Z4" s="14" t="s">
        <v>85</v>
      </c>
      <c r="AA4" s="20" t="s">
        <v>127</v>
      </c>
      <c r="AB4" s="21" t="s">
        <v>87</v>
      </c>
      <c r="AC4" s="22" t="s">
        <v>128</v>
      </c>
      <c r="AD4" s="21" t="s">
        <v>129</v>
      </c>
      <c r="AE4" s="10">
        <v>275</v>
      </c>
      <c r="AF4" s="10" t="s">
        <v>61</v>
      </c>
      <c r="AG4" s="23">
        <v>26</v>
      </c>
      <c r="AH4" s="24" t="s">
        <v>90</v>
      </c>
      <c r="AI4" t="s">
        <v>91</v>
      </c>
      <c r="AJ4" s="25" t="s">
        <v>92</v>
      </c>
      <c r="AK4" s="14" t="s">
        <v>93</v>
      </c>
      <c r="AL4" s="14" t="s">
        <v>120</v>
      </c>
      <c r="AM4" t="s">
        <v>121</v>
      </c>
      <c r="AN4" s="14" t="s">
        <v>96</v>
      </c>
      <c r="AO4" s="14" t="s">
        <v>122</v>
      </c>
      <c r="AP4" s="14" t="s">
        <v>123</v>
      </c>
      <c r="AQ4" s="26" t="s">
        <v>99</v>
      </c>
      <c r="AR4" s="21" t="s">
        <v>92</v>
      </c>
      <c r="AS4" s="27" t="s">
        <v>100</v>
      </c>
      <c r="AT4" s="17">
        <f t="shared" si="3"/>
        <v>45733</v>
      </c>
      <c r="AU4" s="17">
        <f t="shared" si="4"/>
        <v>45733</v>
      </c>
      <c r="AV4" s="28">
        <f t="shared" si="5"/>
        <v>NaN</v>
      </c>
      <c r="AW4" s="29" t="s">
        <v>92</v>
      </c>
      <c r="AX4" s="29" t="s">
        <v>92</v>
      </c>
      <c r="AY4" s="10" t="s">
        <v>71</v>
      </c>
      <c r="AZ4" s="30" t="s">
        <v>101</v>
      </c>
      <c r="BA4" t="str">
        <f t="shared" si="6"/>
        <v>AB58807JC</v>
      </c>
      <c r="BB4" s="10" t="s">
        <v>71</v>
      </c>
      <c r="BC4" s="30" t="s">
        <v>102</v>
      </c>
      <c r="BD4" s="31" t="str">
        <f t="shared" si="7"/>
        <v>MTKBNN10D10A256Z</v>
      </c>
      <c r="BE4" t="s">
        <v>103</v>
      </c>
      <c r="BF4" s="32">
        <v>35591</v>
      </c>
      <c r="BG4" s="10" t="s">
        <v>71</v>
      </c>
      <c r="BH4" s="10" t="s">
        <v>104</v>
      </c>
      <c r="BI4" s="10" t="s">
        <v>104</v>
      </c>
      <c r="BJ4" s="10" t="s">
        <v>105</v>
      </c>
      <c r="BK4" s="32" t="s">
        <v>106</v>
      </c>
      <c r="BL4" s="10" t="s">
        <v>71</v>
      </c>
      <c r="BM4" s="10" t="s">
        <v>107</v>
      </c>
      <c r="BN4" s="30" t="s">
        <v>108</v>
      </c>
      <c r="BO4" s="30" t="s">
        <v>109</v>
      </c>
      <c r="BP4" s="30" t="s">
        <v>110</v>
      </c>
      <c r="BQ4" s="30" t="s">
        <v>111</v>
      </c>
      <c r="BR4" s="14" t="s">
        <v>112</v>
      </c>
    </row>
    <row r="5" ht="14.5" customHeight="1" spans="1:70" x14ac:dyDescent="0.25">
      <c r="A5" t="s">
        <v>130</v>
      </c>
      <c r="B5" t="s">
        <v>131</v>
      </c>
      <c r="C5" s="8" t="s">
        <v>69</v>
      </c>
      <c r="D5" s="9" t="s">
        <v>115</v>
      </c>
      <c r="E5" s="10" t="s">
        <v>71</v>
      </c>
      <c r="F5" s="11" t="s">
        <v>72</v>
      </c>
      <c r="G5" s="12" t="s">
        <v>132</v>
      </c>
      <c r="H5" s="13" t="s">
        <v>133</v>
      </c>
      <c r="I5" t="s">
        <v>75</v>
      </c>
      <c r="J5" s="14" t="s">
        <v>76</v>
      </c>
      <c r="K5" s="14" t="s">
        <v>77</v>
      </c>
      <c r="L5" s="15">
        <f t="shared" si="0"/>
        <v>45734</v>
      </c>
      <c r="M5" s="10" t="s">
        <v>71</v>
      </c>
      <c r="N5" s="16" t="s">
        <v>78</v>
      </c>
      <c r="O5" s="16" t="s">
        <v>79</v>
      </c>
      <c r="P5" s="16">
        <v>1</v>
      </c>
      <c r="Q5" s="14" t="s">
        <v>80</v>
      </c>
      <c r="R5" s="14" t="s">
        <v>81</v>
      </c>
      <c r="S5" s="14" t="s">
        <v>77</v>
      </c>
      <c r="T5" s="17" t="s">
        <v>82</v>
      </c>
      <c r="U5" s="18" t="s">
        <v>83</v>
      </c>
      <c r="V5" s="14" t="s">
        <v>77</v>
      </c>
      <c r="W5" s="14" t="s">
        <v>84</v>
      </c>
      <c r="X5" s="19">
        <f t="shared" si="1"/>
        <v>45734</v>
      </c>
      <c r="Y5" s="15">
        <f t="shared" si="2"/>
        <v>45785</v>
      </c>
      <c r="Z5" s="14" t="s">
        <v>85</v>
      </c>
      <c r="AA5" s="20" t="s">
        <v>134</v>
      </c>
      <c r="AB5" s="21" t="s">
        <v>135</v>
      </c>
      <c r="AC5" s="34" t="s">
        <v>136</v>
      </c>
      <c r="AD5" s="21" t="s">
        <v>89</v>
      </c>
      <c r="AE5" s="10">
        <v>275</v>
      </c>
      <c r="AF5" s="10" t="s">
        <v>61</v>
      </c>
      <c r="AG5" s="23">
        <v>40</v>
      </c>
      <c r="AH5" s="24" t="s">
        <v>90</v>
      </c>
      <c r="AI5" t="s">
        <v>91</v>
      </c>
      <c r="AJ5" s="35">
        <f>TODAY()+365</f>
        <v>46130</v>
      </c>
      <c r="AK5" s="14" t="s">
        <v>93</v>
      </c>
      <c r="AL5" s="14" t="s">
        <v>120</v>
      </c>
      <c r="AM5" t="s">
        <v>121</v>
      </c>
      <c r="AN5" s="14" t="s">
        <v>96</v>
      </c>
      <c r="AO5" s="14" t="s">
        <v>122</v>
      </c>
      <c r="AP5" s="14" t="s">
        <v>123</v>
      </c>
      <c r="AQ5" s="26" t="s">
        <v>99</v>
      </c>
      <c r="AR5" s="21" t="s">
        <v>87</v>
      </c>
      <c r="AS5" s="27" t="s">
        <v>100</v>
      </c>
      <c r="AT5" s="17">
        <f t="shared" si="3"/>
        <v>45733</v>
      </c>
      <c r="AU5" s="17">
        <f t="shared" si="4"/>
        <v>45733</v>
      </c>
      <c r="AV5" s="28">
        <f t="shared" si="5"/>
        <v>46130</v>
      </c>
      <c r="AW5" s="29" t="s">
        <v>137</v>
      </c>
      <c r="AX5" s="29" t="s">
        <v>92</v>
      </c>
      <c r="AY5" s="10" t="s">
        <v>71</v>
      </c>
      <c r="AZ5" s="30" t="s">
        <v>101</v>
      </c>
      <c r="BA5" t="str">
        <f t="shared" si="6"/>
        <v>BA41397CJ</v>
      </c>
      <c r="BB5" s="10" t="s">
        <v>71</v>
      </c>
      <c r="BC5" s="30" t="s">
        <v>102</v>
      </c>
      <c r="BD5" s="31" t="str">
        <f t="shared" si="7"/>
        <v>MTKNBN20D20A636Z</v>
      </c>
      <c r="BE5" t="s">
        <v>103</v>
      </c>
      <c r="BF5" s="32">
        <v>35591</v>
      </c>
      <c r="BG5" s="10" t="s">
        <v>71</v>
      </c>
      <c r="BH5" s="10" t="s">
        <v>104</v>
      </c>
      <c r="BI5" s="10" t="s">
        <v>104</v>
      </c>
      <c r="BJ5" s="10" t="s">
        <v>105</v>
      </c>
      <c r="BK5" s="32" t="s">
        <v>106</v>
      </c>
      <c r="BL5" s="10" t="s">
        <v>71</v>
      </c>
      <c r="BM5" s="10" t="s">
        <v>107</v>
      </c>
      <c r="BN5" s="30" t="s">
        <v>108</v>
      </c>
      <c r="BO5" s="30" t="s">
        <v>109</v>
      </c>
      <c r="BP5" s="30" t="s">
        <v>110</v>
      </c>
      <c r="BQ5" s="30" t="s">
        <v>111</v>
      </c>
      <c r="BR5" s="14" t="s">
        <v>112</v>
      </c>
    </row>
    <row r="6" ht="14.5" customHeight="1" spans="1:70" x14ac:dyDescent="0.25">
      <c r="A6" t="s">
        <v>138</v>
      </c>
      <c r="C6" s="8"/>
      <c r="D6" s="9" t="s">
        <v>115</v>
      </c>
      <c r="E6" s="10" t="s">
        <v>71</v>
      </c>
      <c r="F6" s="11" t="s">
        <v>72</v>
      </c>
      <c r="G6" s="12" t="s">
        <v>139</v>
      </c>
      <c r="H6" s="13" t="s">
        <v>140</v>
      </c>
      <c r="I6" t="s">
        <v>75</v>
      </c>
      <c r="J6" s="14" t="s">
        <v>76</v>
      </c>
      <c r="K6" s="14" t="s">
        <v>77</v>
      </c>
      <c r="L6" s="15">
        <f t="shared" si="0"/>
        <v>45734</v>
      </c>
      <c r="M6" s="10" t="s">
        <v>71</v>
      </c>
      <c r="N6" s="16" t="s">
        <v>78</v>
      </c>
      <c r="O6" s="16" t="s">
        <v>79</v>
      </c>
      <c r="P6" s="16">
        <v>1</v>
      </c>
      <c r="Q6" s="14" t="s">
        <v>80</v>
      </c>
      <c r="R6" s="14" t="s">
        <v>81</v>
      </c>
      <c r="S6" s="14" t="s">
        <v>77</v>
      </c>
      <c r="T6" s="17" t="s">
        <v>82</v>
      </c>
      <c r="U6" s="18" t="s">
        <v>83</v>
      </c>
      <c r="V6" s="14" t="s">
        <v>77</v>
      </c>
      <c r="W6" s="14" t="s">
        <v>84</v>
      </c>
      <c r="X6" s="19">
        <f t="shared" si="1"/>
        <v>45734</v>
      </c>
      <c r="Y6" s="15">
        <f t="shared" si="2"/>
        <v>45785</v>
      </c>
      <c r="Z6" s="14" t="s">
        <v>85</v>
      </c>
      <c r="AA6" s="20" t="s">
        <v>141</v>
      </c>
      <c r="AB6" s="21" t="s">
        <v>135</v>
      </c>
      <c r="AC6" s="34" t="s">
        <v>142</v>
      </c>
      <c r="AD6" s="21" t="s">
        <v>129</v>
      </c>
      <c r="AE6" s="10">
        <v>275</v>
      </c>
      <c r="AF6" s="10" t="s">
        <v>61</v>
      </c>
      <c r="AG6" s="23">
        <v>21</v>
      </c>
      <c r="AH6" s="24" t="s">
        <v>90</v>
      </c>
      <c r="AI6" t="s">
        <v>91</v>
      </c>
      <c r="AJ6" s="35">
        <f>TODAY()+365</f>
        <v>46130</v>
      </c>
      <c r="AK6" s="14" t="s">
        <v>93</v>
      </c>
      <c r="AL6" s="14" t="s">
        <v>120</v>
      </c>
      <c r="AM6" t="s">
        <v>121</v>
      </c>
      <c r="AN6" s="14" t="s">
        <v>96</v>
      </c>
      <c r="AO6" s="14" t="s">
        <v>122</v>
      </c>
      <c r="AP6" s="14" t="s">
        <v>123</v>
      </c>
      <c r="AQ6" s="26" t="s">
        <v>99</v>
      </c>
      <c r="AR6" s="21" t="s">
        <v>87</v>
      </c>
      <c r="AS6" s="27" t="s">
        <v>100</v>
      </c>
      <c r="AT6" s="17">
        <f t="shared" si="3"/>
        <v>45733</v>
      </c>
      <c r="AU6" s="17">
        <f t="shared" si="4"/>
        <v>45733</v>
      </c>
      <c r="AV6" s="28">
        <f t="shared" si="5"/>
        <v>46130</v>
      </c>
      <c r="AW6" s="29" t="s">
        <v>143</v>
      </c>
      <c r="AX6" s="29" t="s">
        <v>92</v>
      </c>
      <c r="AY6" s="10" t="s">
        <v>71</v>
      </c>
      <c r="AZ6" s="30" t="s">
        <v>101</v>
      </c>
      <c r="BA6" t="str">
        <f t="shared" si="6"/>
        <v>AB45511JC</v>
      </c>
      <c r="BB6" s="10" t="s">
        <v>71</v>
      </c>
      <c r="BC6" s="30" t="s">
        <v>102</v>
      </c>
      <c r="BD6" s="31" t="str">
        <f t="shared" si="7"/>
        <v>MTKBNN10D10A601Z</v>
      </c>
      <c r="BE6" t="s">
        <v>103</v>
      </c>
      <c r="BF6" s="32">
        <v>35591</v>
      </c>
      <c r="BG6" s="10" t="s">
        <v>71</v>
      </c>
      <c r="BH6" s="10" t="s">
        <v>104</v>
      </c>
      <c r="BI6" s="10" t="s">
        <v>104</v>
      </c>
      <c r="BJ6" s="10" t="s">
        <v>105</v>
      </c>
      <c r="BK6" s="32" t="s">
        <v>106</v>
      </c>
      <c r="BL6" s="10" t="s">
        <v>71</v>
      </c>
      <c r="BM6" s="10" t="s">
        <v>107</v>
      </c>
      <c r="BN6" s="30" t="s">
        <v>108</v>
      </c>
      <c r="BO6" s="30" t="s">
        <v>109</v>
      </c>
      <c r="BP6" s="30" t="s">
        <v>110</v>
      </c>
      <c r="BQ6" s="30" t="s">
        <v>111</v>
      </c>
      <c r="BR6" s="14" t="s">
        <v>112</v>
      </c>
    </row>
    <row r="7" ht="14.5" customHeight="1" spans="1:70" x14ac:dyDescent="0.25">
      <c r="A7" t="s">
        <v>144</v>
      </c>
      <c r="B7" t="s">
        <v>145</v>
      </c>
      <c r="C7" s="8" t="s">
        <v>69</v>
      </c>
      <c r="D7" s="9" t="s">
        <v>115</v>
      </c>
      <c r="E7" s="10" t="s">
        <v>71</v>
      </c>
      <c r="F7" s="11" t="s">
        <v>72</v>
      </c>
      <c r="G7" s="12" t="s">
        <v>146</v>
      </c>
      <c r="H7" s="13" t="s">
        <v>147</v>
      </c>
      <c r="I7" t="s">
        <v>75</v>
      </c>
      <c r="J7" s="14" t="s">
        <v>76</v>
      </c>
      <c r="K7" s="14" t="s">
        <v>77</v>
      </c>
      <c r="L7" s="15">
        <f t="shared" si="0"/>
        <v>45734</v>
      </c>
      <c r="M7" s="10" t="s">
        <v>71</v>
      </c>
      <c r="N7" s="16" t="s">
        <v>78</v>
      </c>
      <c r="O7" s="16" t="s">
        <v>79</v>
      </c>
      <c r="P7" s="16">
        <v>1</v>
      </c>
      <c r="Q7" s="14" t="s">
        <v>80</v>
      </c>
      <c r="R7" s="14" t="s">
        <v>81</v>
      </c>
      <c r="S7" s="14" t="s">
        <v>77</v>
      </c>
      <c r="T7" s="17" t="s">
        <v>82</v>
      </c>
      <c r="U7" s="18" t="s">
        <v>83</v>
      </c>
      <c r="V7" s="14" t="s">
        <v>77</v>
      </c>
      <c r="W7" s="14" t="s">
        <v>84</v>
      </c>
      <c r="X7" s="19">
        <f t="shared" si="1"/>
        <v>45734</v>
      </c>
      <c r="Y7" s="15">
        <f t="shared" si="2"/>
        <v>45785</v>
      </c>
      <c r="Z7" s="14" t="s">
        <v>85</v>
      </c>
      <c r="AA7" s="20" t="s">
        <v>148</v>
      </c>
      <c r="AB7" s="21" t="s">
        <v>87</v>
      </c>
      <c r="AC7" s="34" t="s">
        <v>149</v>
      </c>
      <c r="AD7" s="21" t="s">
        <v>89</v>
      </c>
      <c r="AE7" s="10">
        <v>275</v>
      </c>
      <c r="AF7" s="10" t="s">
        <v>61</v>
      </c>
      <c r="AG7" s="23">
        <v>40</v>
      </c>
      <c r="AH7" s="24" t="s">
        <v>90</v>
      </c>
      <c r="AI7" t="s">
        <v>91</v>
      </c>
      <c r="AJ7" s="25" t="s">
        <v>92</v>
      </c>
      <c r="AK7" s="14" t="s">
        <v>93</v>
      </c>
      <c r="AL7" s="14" t="s">
        <v>120</v>
      </c>
      <c r="AM7" t="s">
        <v>121</v>
      </c>
      <c r="AN7" s="14" t="s">
        <v>96</v>
      </c>
      <c r="AO7" s="14" t="s">
        <v>122</v>
      </c>
      <c r="AP7" s="14" t="s">
        <v>150</v>
      </c>
      <c r="AQ7" s="26" t="s">
        <v>99</v>
      </c>
      <c r="AR7" s="21" t="s">
        <v>92</v>
      </c>
      <c r="AS7" s="27" t="s">
        <v>100</v>
      </c>
      <c r="AT7" s="17">
        <f t="shared" si="3"/>
        <v>45733</v>
      </c>
      <c r="AU7" s="17">
        <f t="shared" si="4"/>
        <v>45733</v>
      </c>
      <c r="AV7" s="28">
        <f t="shared" si="5"/>
        <v>NaN</v>
      </c>
      <c r="AW7" s="29" t="s">
        <v>92</v>
      </c>
      <c r="AX7" s="29" t="s">
        <v>92</v>
      </c>
      <c r="AY7" s="10" t="s">
        <v>71</v>
      </c>
      <c r="AZ7" s="30" t="s">
        <v>101</v>
      </c>
      <c r="BA7" t="str">
        <f t="shared" si="6"/>
        <v>BA88129CJ</v>
      </c>
      <c r="BB7" s="10" t="s">
        <v>71</v>
      </c>
      <c r="BC7" s="30" t="s">
        <v>102</v>
      </c>
      <c r="BD7" s="31" t="str">
        <f t="shared" si="7"/>
        <v>MTKNBN20D20A411Z</v>
      </c>
      <c r="BE7" t="s">
        <v>103</v>
      </c>
      <c r="BF7" s="32">
        <v>35591</v>
      </c>
      <c r="BG7" s="10" t="s">
        <v>71</v>
      </c>
      <c r="BH7" s="10" t="s">
        <v>104</v>
      </c>
      <c r="BI7" s="10" t="s">
        <v>104</v>
      </c>
      <c r="BJ7" s="10" t="s">
        <v>105</v>
      </c>
      <c r="BK7" s="32" t="s">
        <v>106</v>
      </c>
      <c r="BL7" s="10" t="s">
        <v>71</v>
      </c>
      <c r="BM7" s="10" t="s">
        <v>107</v>
      </c>
      <c r="BN7" s="30" t="s">
        <v>108</v>
      </c>
      <c r="BO7" s="30" t="s">
        <v>109</v>
      </c>
      <c r="BP7" s="30" t="s">
        <v>110</v>
      </c>
      <c r="BQ7" s="30" t="s">
        <v>111</v>
      </c>
      <c r="BR7" s="14" t="s">
        <v>112</v>
      </c>
    </row>
    <row r="8" ht="14.5" customHeight="1" spans="1:70" x14ac:dyDescent="0.25">
      <c r="A8" t="s">
        <v>151</v>
      </c>
      <c r="C8" s="8"/>
      <c r="D8" s="9" t="s">
        <v>115</v>
      </c>
      <c r="E8" s="10" t="s">
        <v>71</v>
      </c>
      <c r="F8" s="11" t="s">
        <v>72</v>
      </c>
      <c r="G8" s="12" t="s">
        <v>152</v>
      </c>
      <c r="H8" s="13" t="s">
        <v>153</v>
      </c>
      <c r="I8" t="s">
        <v>75</v>
      </c>
      <c r="J8" s="14" t="s">
        <v>76</v>
      </c>
      <c r="K8" s="14" t="s">
        <v>77</v>
      </c>
      <c r="L8" s="15">
        <f t="shared" si="0"/>
        <v>45734</v>
      </c>
      <c r="M8" s="10" t="s">
        <v>71</v>
      </c>
      <c r="N8" s="16" t="s">
        <v>78</v>
      </c>
      <c r="O8" s="16" t="s">
        <v>79</v>
      </c>
      <c r="P8" s="16">
        <v>1</v>
      </c>
      <c r="Q8" s="14" t="s">
        <v>80</v>
      </c>
      <c r="R8" s="14" t="s">
        <v>81</v>
      </c>
      <c r="S8" s="14" t="s">
        <v>77</v>
      </c>
      <c r="T8" s="17" t="s">
        <v>82</v>
      </c>
      <c r="U8" s="18" t="s">
        <v>83</v>
      </c>
      <c r="V8" s="14" t="s">
        <v>77</v>
      </c>
      <c r="W8" s="14" t="s">
        <v>84</v>
      </c>
      <c r="X8" s="19">
        <f t="shared" si="1"/>
        <v>45734</v>
      </c>
      <c r="Y8" s="15">
        <f t="shared" si="2"/>
        <v>45785</v>
      </c>
      <c r="Z8" s="14" t="s">
        <v>85</v>
      </c>
      <c r="AA8" s="20" t="s">
        <v>154</v>
      </c>
      <c r="AB8" s="21" t="s">
        <v>87</v>
      </c>
      <c r="AC8" s="22" t="s">
        <v>155</v>
      </c>
      <c r="AD8" s="21" t="s">
        <v>129</v>
      </c>
      <c r="AE8" s="10">
        <v>275</v>
      </c>
      <c r="AF8" s="10" t="s">
        <v>61</v>
      </c>
      <c r="AG8" s="23">
        <v>16</v>
      </c>
      <c r="AH8" s="24" t="s">
        <v>90</v>
      </c>
      <c r="AI8" t="s">
        <v>91</v>
      </c>
      <c r="AJ8" s="25" t="s">
        <v>92</v>
      </c>
      <c r="AK8" s="14" t="s">
        <v>93</v>
      </c>
      <c r="AL8" s="14" t="s">
        <v>120</v>
      </c>
      <c r="AM8" t="s">
        <v>121</v>
      </c>
      <c r="AN8" s="14" t="s">
        <v>96</v>
      </c>
      <c r="AO8" s="14" t="s">
        <v>122</v>
      </c>
      <c r="AP8" s="14" t="s">
        <v>123</v>
      </c>
      <c r="AQ8" s="26" t="s">
        <v>99</v>
      </c>
      <c r="AR8" s="21" t="s">
        <v>92</v>
      </c>
      <c r="AS8" s="27" t="s">
        <v>100</v>
      </c>
      <c r="AT8" s="17">
        <f t="shared" si="3"/>
        <v>45733</v>
      </c>
      <c r="AU8" s="17">
        <f t="shared" si="4"/>
        <v>45733</v>
      </c>
      <c r="AV8" s="28">
        <f t="shared" si="5"/>
        <v>NaN</v>
      </c>
      <c r="AW8" s="29" t="s">
        <v>92</v>
      </c>
      <c r="AX8" s="29" t="s">
        <v>92</v>
      </c>
      <c r="AY8" s="10" t="s">
        <v>71</v>
      </c>
      <c r="AZ8" s="30" t="s">
        <v>101</v>
      </c>
      <c r="BA8" t="str">
        <f t="shared" si="6"/>
        <v>AB80376JC</v>
      </c>
      <c r="BB8" s="10" t="s">
        <v>71</v>
      </c>
      <c r="BC8" s="30" t="s">
        <v>102</v>
      </c>
      <c r="BD8" s="31" t="str">
        <f t="shared" si="7"/>
        <v>MTKBNN10D10A161Z</v>
      </c>
      <c r="BE8" t="s">
        <v>103</v>
      </c>
      <c r="BF8" s="32">
        <v>35591</v>
      </c>
      <c r="BG8" s="10" t="s">
        <v>71</v>
      </c>
      <c r="BH8" s="10" t="s">
        <v>104</v>
      </c>
      <c r="BI8" s="10" t="s">
        <v>104</v>
      </c>
      <c r="BJ8" s="10" t="s">
        <v>105</v>
      </c>
      <c r="BK8" s="32" t="s">
        <v>106</v>
      </c>
      <c r="BL8" s="10" t="s">
        <v>71</v>
      </c>
      <c r="BM8" s="10" t="s">
        <v>107</v>
      </c>
      <c r="BN8" s="30" t="s">
        <v>108</v>
      </c>
      <c r="BO8" s="30" t="s">
        <v>109</v>
      </c>
      <c r="BP8" s="30" t="s">
        <v>110</v>
      </c>
      <c r="BQ8" s="30" t="s">
        <v>111</v>
      </c>
      <c r="BR8" s="14" t="s">
        <v>112</v>
      </c>
    </row>
    <row r="9" ht="14.5" customHeight="1" spans="1:70" x14ac:dyDescent="0.25">
      <c r="A9" t="s">
        <v>156</v>
      </c>
      <c r="B9" t="s">
        <v>157</v>
      </c>
      <c r="C9" s="8" t="s">
        <v>69</v>
      </c>
      <c r="D9" s="9" t="s">
        <v>70</v>
      </c>
      <c r="E9" s="10" t="s">
        <v>71</v>
      </c>
      <c r="F9" s="11" t="s">
        <v>72</v>
      </c>
      <c r="G9" s="12" t="s">
        <v>158</v>
      </c>
      <c r="H9" s="13" t="s">
        <v>159</v>
      </c>
      <c r="I9" t="s">
        <v>75</v>
      </c>
      <c r="J9" s="14" t="s">
        <v>76</v>
      </c>
      <c r="K9" s="14" t="s">
        <v>77</v>
      </c>
      <c r="L9" s="15">
        <f t="shared" si="0"/>
        <v>45734</v>
      </c>
      <c r="M9" s="10" t="s">
        <v>71</v>
      </c>
      <c r="N9" s="16" t="s">
        <v>78</v>
      </c>
      <c r="O9" s="16" t="s">
        <v>79</v>
      </c>
      <c r="P9" s="16">
        <v>1</v>
      </c>
      <c r="Q9" s="14" t="s">
        <v>80</v>
      </c>
      <c r="R9" s="14" t="s">
        <v>81</v>
      </c>
      <c r="S9" s="14" t="s">
        <v>77</v>
      </c>
      <c r="T9" s="17" t="s">
        <v>82</v>
      </c>
      <c r="U9" s="18" t="s">
        <v>83</v>
      </c>
      <c r="V9" s="14" t="s">
        <v>77</v>
      </c>
      <c r="W9" s="14" t="s">
        <v>84</v>
      </c>
      <c r="X9" s="19">
        <f t="shared" si="1"/>
        <v>45734</v>
      </c>
      <c r="Y9" s="15">
        <f t="shared" si="2"/>
        <v>45785</v>
      </c>
      <c r="Z9" s="14" t="s">
        <v>85</v>
      </c>
      <c r="AA9" s="20" t="s">
        <v>86</v>
      </c>
      <c r="AB9" s="21" t="s">
        <v>87</v>
      </c>
      <c r="AC9" s="22" t="s">
        <v>88</v>
      </c>
      <c r="AD9" s="21" t="s">
        <v>129</v>
      </c>
      <c r="AE9" s="10">
        <v>275</v>
      </c>
      <c r="AF9" s="10" t="s">
        <v>61</v>
      </c>
      <c r="AG9" s="23">
        <v>20</v>
      </c>
      <c r="AH9" s="24" t="s">
        <v>90</v>
      </c>
      <c r="AI9" t="s">
        <v>91</v>
      </c>
      <c r="AJ9" s="25" t="s">
        <v>92</v>
      </c>
      <c r="AK9" s="14" t="s">
        <v>93</v>
      </c>
      <c r="AL9" s="14" t="s">
        <v>94</v>
      </c>
      <c r="AM9" s="36" t="s">
        <v>160</v>
      </c>
      <c r="AN9" s="14" t="s">
        <v>96</v>
      </c>
      <c r="AO9" s="14" t="s">
        <v>122</v>
      </c>
      <c r="AP9" s="14" t="s">
        <v>98</v>
      </c>
      <c r="AQ9" s="26" t="s">
        <v>99</v>
      </c>
      <c r="AR9" s="21" t="s">
        <v>92</v>
      </c>
      <c r="AS9" s="27" t="s">
        <v>100</v>
      </c>
      <c r="AT9" s="17">
        <f t="shared" si="3"/>
        <v>45733</v>
      </c>
      <c r="AU9" s="17">
        <f t="shared" si="4"/>
        <v>45733</v>
      </c>
      <c r="AV9" s="28">
        <f t="shared" si="5"/>
        <v>NaN</v>
      </c>
      <c r="AW9" s="29" t="s">
        <v>92</v>
      </c>
      <c r="AX9" s="29" t="s">
        <v>92</v>
      </c>
      <c r="AY9" s="10" t="s">
        <v>71</v>
      </c>
      <c r="AZ9" s="30" t="s">
        <v>101</v>
      </c>
      <c r="BA9" t="str">
        <f t="shared" si="6"/>
        <v>BA63359CJ</v>
      </c>
      <c r="BB9" s="10" t="s">
        <v>71</v>
      </c>
      <c r="BC9" s="30" t="s">
        <v>102</v>
      </c>
      <c r="BD9" s="31" t="str">
        <f t="shared" si="7"/>
        <v>MTKNBN20D20A818Z</v>
      </c>
      <c r="BE9" t="s">
        <v>103</v>
      </c>
      <c r="BF9" s="32">
        <v>35591</v>
      </c>
      <c r="BG9" s="10" t="s">
        <v>71</v>
      </c>
      <c r="BH9" s="10" t="s">
        <v>104</v>
      </c>
      <c r="BI9" s="10" t="s">
        <v>104</v>
      </c>
      <c r="BJ9" s="10" t="s">
        <v>105</v>
      </c>
      <c r="BK9" s="32" t="s">
        <v>106</v>
      </c>
      <c r="BL9" s="10" t="s">
        <v>71</v>
      </c>
      <c r="BM9" s="10" t="s">
        <v>107</v>
      </c>
      <c r="BN9" s="30" t="s">
        <v>108</v>
      </c>
      <c r="BO9" s="30" t="s">
        <v>109</v>
      </c>
      <c r="BP9" s="30" t="s">
        <v>110</v>
      </c>
      <c r="BQ9" s="30" t="s">
        <v>111</v>
      </c>
      <c r="BR9" s="14" t="s">
        <v>112</v>
      </c>
    </row>
    <row r="10" ht="14.5" customHeight="1" spans="1:70" x14ac:dyDescent="0.25">
      <c r="A10" t="s">
        <v>161</v>
      </c>
      <c r="B10" t="s">
        <v>162</v>
      </c>
      <c r="C10" s="8" t="s">
        <v>69</v>
      </c>
      <c r="D10" s="9" t="s">
        <v>70</v>
      </c>
      <c r="E10" s="10" t="s">
        <v>71</v>
      </c>
      <c r="F10" s="11" t="s">
        <v>72</v>
      </c>
      <c r="G10" s="12" t="s">
        <v>163</v>
      </c>
      <c r="H10" s="13" t="s">
        <v>164</v>
      </c>
      <c r="I10" t="s">
        <v>75</v>
      </c>
      <c r="J10" s="14" t="s">
        <v>76</v>
      </c>
      <c r="K10" s="14" t="s">
        <v>77</v>
      </c>
      <c r="L10" s="15">
        <f t="shared" si="0"/>
        <v>45734</v>
      </c>
      <c r="M10" s="10" t="s">
        <v>71</v>
      </c>
      <c r="N10" s="16" t="s">
        <v>78</v>
      </c>
      <c r="O10" s="16" t="s">
        <v>79</v>
      </c>
      <c r="P10" s="16">
        <v>1</v>
      </c>
      <c r="Q10" s="14" t="s">
        <v>80</v>
      </c>
      <c r="R10" s="14" t="s">
        <v>81</v>
      </c>
      <c r="S10" s="14" t="s">
        <v>77</v>
      </c>
      <c r="T10" s="17" t="s">
        <v>82</v>
      </c>
      <c r="U10" s="18" t="s">
        <v>83</v>
      </c>
      <c r="V10" s="14" t="s">
        <v>77</v>
      </c>
      <c r="W10" s="14" t="s">
        <v>84</v>
      </c>
      <c r="X10" s="19">
        <f t="shared" si="1"/>
        <v>45734</v>
      </c>
      <c r="Y10" s="15">
        <f t="shared" si="2"/>
        <v>45785</v>
      </c>
      <c r="Z10" s="14" t="s">
        <v>85</v>
      </c>
      <c r="AA10" s="20" t="s">
        <v>86</v>
      </c>
      <c r="AB10" s="21" t="s">
        <v>135</v>
      </c>
      <c r="AC10" s="34" t="s">
        <v>165</v>
      </c>
      <c r="AD10" s="21" t="s">
        <v>89</v>
      </c>
      <c r="AE10" s="10">
        <v>275</v>
      </c>
      <c r="AF10" s="10" t="s">
        <v>61</v>
      </c>
      <c r="AG10" s="23">
        <v>40</v>
      </c>
      <c r="AH10" s="24" t="s">
        <v>90</v>
      </c>
      <c r="AI10" t="s">
        <v>91</v>
      </c>
      <c r="AJ10" s="35">
        <f>TODAY()+365</f>
        <v>46130</v>
      </c>
      <c r="AK10" s="14" t="s">
        <v>93</v>
      </c>
      <c r="AL10" s="14" t="s">
        <v>94</v>
      </c>
      <c r="AM10" s="36" t="s">
        <v>166</v>
      </c>
      <c r="AN10" s="14" t="s">
        <v>96</v>
      </c>
      <c r="AO10" s="14" t="s">
        <v>122</v>
      </c>
      <c r="AP10" s="14" t="s">
        <v>167</v>
      </c>
      <c r="AQ10" s="26" t="s">
        <v>99</v>
      </c>
      <c r="AR10" s="21" t="s">
        <v>87</v>
      </c>
      <c r="AS10" s="27" t="s">
        <v>100</v>
      </c>
      <c r="AT10" s="17">
        <f t="shared" si="3"/>
        <v>45733</v>
      </c>
      <c r="AU10" s="17">
        <f t="shared" si="4"/>
        <v>45733</v>
      </c>
      <c r="AV10" s="28">
        <f t="shared" si="5"/>
        <v>46130</v>
      </c>
      <c r="AW10" s="29" t="s">
        <v>168</v>
      </c>
      <c r="AX10" s="37" t="s">
        <v>169</v>
      </c>
      <c r="AY10" s="10" t="s">
        <v>71</v>
      </c>
      <c r="AZ10" s="30" t="s">
        <v>101</v>
      </c>
      <c r="BA10" t="str">
        <f t="shared" si="6"/>
        <v>AB68336JC</v>
      </c>
      <c r="BB10" s="10" t="s">
        <v>71</v>
      </c>
      <c r="BC10" s="30" t="s">
        <v>102</v>
      </c>
      <c r="BD10" s="31" t="str">
        <f t="shared" si="7"/>
        <v>MTKBNN10D10A655Z</v>
      </c>
      <c r="BE10" t="s">
        <v>103</v>
      </c>
      <c r="BF10" s="32">
        <v>35591</v>
      </c>
      <c r="BG10" s="10" t="s">
        <v>71</v>
      </c>
      <c r="BH10" s="10" t="s">
        <v>104</v>
      </c>
      <c r="BI10" s="10" t="s">
        <v>104</v>
      </c>
      <c r="BJ10" s="10" t="s">
        <v>105</v>
      </c>
      <c r="BK10" s="32" t="s">
        <v>106</v>
      </c>
      <c r="BL10" s="10" t="s">
        <v>71</v>
      </c>
      <c r="BM10" s="10" t="s">
        <v>107</v>
      </c>
      <c r="BN10" s="30" t="s">
        <v>108</v>
      </c>
      <c r="BO10" s="30" t="s">
        <v>109</v>
      </c>
      <c r="BP10" s="30" t="s">
        <v>110</v>
      </c>
      <c r="BQ10" s="30" t="s">
        <v>111</v>
      </c>
      <c r="BR10" s="14" t="s">
        <v>112</v>
      </c>
    </row>
    <row r="11" ht="14.5" customHeight="1" spans="1:70" x14ac:dyDescent="0.25">
      <c r="A11" t="s">
        <v>170</v>
      </c>
      <c r="C11" s="8"/>
      <c r="D11" s="9" t="s">
        <v>70</v>
      </c>
      <c r="E11" s="10" t="s">
        <v>71</v>
      </c>
      <c r="F11" s="11" t="s">
        <v>72</v>
      </c>
      <c r="G11" s="12"/>
      <c r="H11" s="13"/>
      <c r="I11" t="s">
        <v>75</v>
      </c>
      <c r="J11" s="14" t="s">
        <v>76</v>
      </c>
      <c r="K11" s="14" t="s">
        <v>77</v>
      </c>
      <c r="L11" s="15">
        <f t="shared" si="0"/>
        <v>45734</v>
      </c>
      <c r="M11" s="10" t="s">
        <v>71</v>
      </c>
      <c r="N11" s="16" t="s">
        <v>78</v>
      </c>
      <c r="O11" s="16" t="s">
        <v>79</v>
      </c>
      <c r="P11" s="16">
        <v>1</v>
      </c>
      <c r="Q11" s="14" t="s">
        <v>80</v>
      </c>
      <c r="R11" s="14" t="s">
        <v>81</v>
      </c>
      <c r="S11" s="14" t="s">
        <v>77</v>
      </c>
      <c r="T11" s="17" t="s">
        <v>82</v>
      </c>
      <c r="U11" s="18" t="s">
        <v>83</v>
      </c>
      <c r="V11" s="14" t="s">
        <v>77</v>
      </c>
      <c r="W11" s="14" t="s">
        <v>84</v>
      </c>
      <c r="X11" s="19">
        <f t="shared" si="1"/>
        <v>45734</v>
      </c>
      <c r="Y11" s="15">
        <f t="shared" si="2"/>
        <v>45785</v>
      </c>
      <c r="Z11" s="14" t="s">
        <v>85</v>
      </c>
      <c r="AA11" s="20" t="s">
        <v>86</v>
      </c>
      <c r="AB11" s="21" t="s">
        <v>87</v>
      </c>
      <c r="AC11" s="34" t="s">
        <v>171</v>
      </c>
      <c r="AD11" s="21" t="s">
        <v>129</v>
      </c>
      <c r="AE11" s="10">
        <v>275</v>
      </c>
      <c r="AF11" s="10" t="s">
        <v>61</v>
      </c>
      <c r="AG11" s="23">
        <v>26</v>
      </c>
      <c r="AH11" s="24" t="s">
        <v>90</v>
      </c>
      <c r="AI11" t="s">
        <v>91</v>
      </c>
      <c r="AJ11" s="25" t="s">
        <v>92</v>
      </c>
      <c r="AK11" s="14" t="s">
        <v>93</v>
      </c>
      <c r="AL11" s="14" t="s">
        <v>94</v>
      </c>
      <c r="AM11" s="36" t="s">
        <v>172</v>
      </c>
      <c r="AN11" s="14" t="s">
        <v>96</v>
      </c>
      <c r="AO11" s="14" t="s">
        <v>122</v>
      </c>
      <c r="AP11" s="14" t="s">
        <v>167</v>
      </c>
      <c r="AQ11" s="26" t="s">
        <v>99</v>
      </c>
      <c r="AR11" s="21" t="s">
        <v>92</v>
      </c>
      <c r="AS11" s="27" t="s">
        <v>100</v>
      </c>
      <c r="AT11" s="17">
        <f t="shared" si="3"/>
        <v>45733</v>
      </c>
      <c r="AU11" s="17">
        <f t="shared" si="4"/>
        <v>45733</v>
      </c>
      <c r="AV11" s="28">
        <f t="shared" si="5"/>
        <v>NaN</v>
      </c>
      <c r="AW11" s="29" t="s">
        <v>173</v>
      </c>
      <c r="AX11" s="29" t="s">
        <v>174</v>
      </c>
      <c r="AY11" s="10" t="s">
        <v>71</v>
      </c>
      <c r="AZ11" s="30" t="s">
        <v>101</v>
      </c>
      <c r="BA11" t="str">
        <f t="shared" si="6"/>
        <v>BA19581CJ</v>
      </c>
      <c r="BB11" s="10" t="s">
        <v>71</v>
      </c>
      <c r="BC11" s="30" t="s">
        <v>102</v>
      </c>
      <c r="BD11" s="31" t="str">
        <f t="shared" si="7"/>
        <v>MTKNBN20D20A716Z</v>
      </c>
      <c r="BE11" t="s">
        <v>103</v>
      </c>
      <c r="BF11" s="32">
        <v>35591</v>
      </c>
      <c r="BG11" s="10" t="s">
        <v>71</v>
      </c>
      <c r="BH11" s="10" t="s">
        <v>104</v>
      </c>
      <c r="BI11" s="10" t="s">
        <v>104</v>
      </c>
      <c r="BJ11" s="10" t="s">
        <v>105</v>
      </c>
      <c r="BK11" s="32" t="s">
        <v>106</v>
      </c>
      <c r="BL11" s="10" t="s">
        <v>71</v>
      </c>
      <c r="BM11" s="10" t="s">
        <v>107</v>
      </c>
      <c r="BN11" s="30" t="s">
        <v>108</v>
      </c>
      <c r="BO11" s="30" t="s">
        <v>109</v>
      </c>
      <c r="BP11" s="30" t="s">
        <v>110</v>
      </c>
      <c r="BQ11" s="30" t="s">
        <v>111</v>
      </c>
      <c r="BR11" s="14" t="s">
        <v>112</v>
      </c>
    </row>
    <row r="12" ht="14.5" customHeight="1" spans="1:70" x14ac:dyDescent="0.25">
      <c r="A12" t="s">
        <v>175</v>
      </c>
      <c r="B12" t="s">
        <v>176</v>
      </c>
      <c r="C12" s="8" t="s">
        <v>69</v>
      </c>
      <c r="D12" s="9" t="s">
        <v>70</v>
      </c>
      <c r="E12" s="10" t="s">
        <v>71</v>
      </c>
      <c r="F12" s="11" t="s">
        <v>72</v>
      </c>
      <c r="G12" s="12" t="s">
        <v>153</v>
      </c>
      <c r="H12" s="13" t="s">
        <v>177</v>
      </c>
      <c r="I12" t="s">
        <v>75</v>
      </c>
      <c r="J12" s="14" t="s">
        <v>76</v>
      </c>
      <c r="K12" s="14" t="s">
        <v>77</v>
      </c>
      <c r="L12" s="15">
        <f t="shared" si="0"/>
        <v>45734</v>
      </c>
      <c r="M12" s="10" t="s">
        <v>71</v>
      </c>
      <c r="N12" s="16" t="s">
        <v>78</v>
      </c>
      <c r="O12" s="16" t="s">
        <v>79</v>
      </c>
      <c r="P12" s="16">
        <v>1</v>
      </c>
      <c r="Q12" s="14" t="s">
        <v>80</v>
      </c>
      <c r="R12" s="14" t="s">
        <v>81</v>
      </c>
      <c r="S12" s="14" t="s">
        <v>77</v>
      </c>
      <c r="T12" s="17" t="s">
        <v>82</v>
      </c>
      <c r="U12" s="18" t="s">
        <v>83</v>
      </c>
      <c r="V12" s="14" t="s">
        <v>77</v>
      </c>
      <c r="W12" s="14" t="s">
        <v>84</v>
      </c>
      <c r="X12" s="19">
        <f t="shared" si="1"/>
        <v>45734</v>
      </c>
      <c r="Y12" s="15">
        <f t="shared" si="2"/>
        <v>45785</v>
      </c>
      <c r="Z12" s="14" t="s">
        <v>85</v>
      </c>
      <c r="AA12" s="20" t="s">
        <v>86</v>
      </c>
      <c r="AB12" s="21" t="s">
        <v>135</v>
      </c>
      <c r="AC12" s="34" t="s">
        <v>178</v>
      </c>
      <c r="AD12" s="21" t="s">
        <v>89</v>
      </c>
      <c r="AE12" s="10">
        <v>275</v>
      </c>
      <c r="AF12" s="10" t="s">
        <v>61</v>
      </c>
      <c r="AG12" s="23">
        <v>40</v>
      </c>
      <c r="AH12" s="24" t="s">
        <v>90</v>
      </c>
      <c r="AI12" t="s">
        <v>91</v>
      </c>
      <c r="AJ12" s="35">
        <f>TODAY()+365</f>
        <v>46130</v>
      </c>
      <c r="AK12" s="14" t="s">
        <v>93</v>
      </c>
      <c r="AL12" s="14" t="s">
        <v>94</v>
      </c>
      <c r="AM12" s="36" t="s">
        <v>172</v>
      </c>
      <c r="AN12" s="14" t="s">
        <v>96</v>
      </c>
      <c r="AO12" s="14" t="s">
        <v>122</v>
      </c>
      <c r="AP12" s="14" t="s">
        <v>167</v>
      </c>
      <c r="AQ12" s="26" t="s">
        <v>99</v>
      </c>
      <c r="AR12" s="21" t="s">
        <v>87</v>
      </c>
      <c r="AS12" s="27" t="s">
        <v>100</v>
      </c>
      <c r="AT12" s="17">
        <f t="shared" si="3"/>
        <v>45733</v>
      </c>
      <c r="AU12" s="17">
        <f t="shared" si="4"/>
        <v>45733</v>
      </c>
      <c r="AV12" s="28">
        <f t="shared" si="5"/>
        <v>46130</v>
      </c>
      <c r="AW12" s="29" t="s">
        <v>168</v>
      </c>
      <c r="AX12" s="37" t="s">
        <v>169</v>
      </c>
      <c r="AY12" s="10" t="s">
        <v>71</v>
      </c>
      <c r="AZ12" s="30" t="s">
        <v>101</v>
      </c>
      <c r="BA12" t="str">
        <f t="shared" si="6"/>
        <v>AB63528JC</v>
      </c>
      <c r="BB12" s="10" t="s">
        <v>71</v>
      </c>
      <c r="BC12" s="30" t="s">
        <v>102</v>
      </c>
      <c r="BD12" s="31" t="str">
        <f t="shared" si="7"/>
        <v>MTKBNN10D10A124Z</v>
      </c>
      <c r="BE12" t="s">
        <v>103</v>
      </c>
      <c r="BF12" s="32">
        <v>35591</v>
      </c>
      <c r="BG12" s="10" t="s">
        <v>71</v>
      </c>
      <c r="BH12" s="10" t="s">
        <v>104</v>
      </c>
      <c r="BI12" s="10" t="s">
        <v>104</v>
      </c>
      <c r="BJ12" s="10" t="s">
        <v>105</v>
      </c>
      <c r="BK12" s="32" t="s">
        <v>106</v>
      </c>
      <c r="BL12" s="10" t="s">
        <v>71</v>
      </c>
      <c r="BM12" s="10" t="s">
        <v>107</v>
      </c>
      <c r="BN12" s="30" t="s">
        <v>108</v>
      </c>
      <c r="BO12" s="30" t="s">
        <v>109</v>
      </c>
      <c r="BP12" s="30" t="s">
        <v>110</v>
      </c>
      <c r="BQ12" s="30" t="s">
        <v>111</v>
      </c>
      <c r="BR12" s="14" t="s">
        <v>112</v>
      </c>
    </row>
    <row r="13" ht="14.5" customHeight="1" spans="1:70" x14ac:dyDescent="0.25">
      <c r="A13" t="s">
        <v>179</v>
      </c>
      <c r="C13" s="8"/>
      <c r="D13" s="9" t="s">
        <v>70</v>
      </c>
      <c r="E13" s="10" t="s">
        <v>71</v>
      </c>
      <c r="F13" s="11" t="s">
        <v>72</v>
      </c>
      <c r="G13" s="12" t="s">
        <v>180</v>
      </c>
      <c r="H13" s="13" t="s">
        <v>181</v>
      </c>
      <c r="I13" t="s">
        <v>75</v>
      </c>
      <c r="J13" s="14" t="s">
        <v>76</v>
      </c>
      <c r="K13" s="14" t="s">
        <v>77</v>
      </c>
      <c r="L13" s="15">
        <f t="shared" si="0"/>
        <v>45734</v>
      </c>
      <c r="M13" s="10" t="s">
        <v>71</v>
      </c>
      <c r="N13" s="16" t="s">
        <v>78</v>
      </c>
      <c r="O13" s="16" t="s">
        <v>79</v>
      </c>
      <c r="P13" s="16">
        <v>1</v>
      </c>
      <c r="Q13" s="14" t="s">
        <v>80</v>
      </c>
      <c r="R13" s="14" t="s">
        <v>81</v>
      </c>
      <c r="S13" s="14" t="s">
        <v>77</v>
      </c>
      <c r="T13" s="17" t="s">
        <v>82</v>
      </c>
      <c r="U13" s="18" t="s">
        <v>83</v>
      </c>
      <c r="V13" s="14" t="s">
        <v>77</v>
      </c>
      <c r="W13" s="14" t="s">
        <v>84</v>
      </c>
      <c r="X13" s="19">
        <f t="shared" si="1"/>
        <v>45734</v>
      </c>
      <c r="Y13" s="15">
        <f t="shared" si="2"/>
        <v>45785</v>
      </c>
      <c r="Z13" s="14" t="s">
        <v>85</v>
      </c>
      <c r="AA13" s="20" t="s">
        <v>86</v>
      </c>
      <c r="AB13" s="21" t="s">
        <v>182</v>
      </c>
      <c r="AC13" s="34" t="s">
        <v>182</v>
      </c>
      <c r="AD13" s="21" t="s">
        <v>129</v>
      </c>
      <c r="AE13" s="10">
        <v>275</v>
      </c>
      <c r="AF13" s="10" t="s">
        <v>61</v>
      </c>
      <c r="AG13" s="23">
        <v>21</v>
      </c>
      <c r="AH13" s="24" t="s">
        <v>183</v>
      </c>
      <c r="AI13" t="s">
        <v>91</v>
      </c>
      <c r="AJ13" s="35">
        <f>TODAY()+365</f>
        <v>46130</v>
      </c>
      <c r="AK13" s="14" t="s">
        <v>93</v>
      </c>
      <c r="AL13" s="14" t="s">
        <v>94</v>
      </c>
      <c r="AM13" s="36" t="s">
        <v>160</v>
      </c>
      <c r="AN13" s="14" t="s">
        <v>96</v>
      </c>
      <c r="AO13" s="14" t="s">
        <v>184</v>
      </c>
      <c r="AP13" s="14" t="s">
        <v>184</v>
      </c>
      <c r="AQ13" s="26" t="s">
        <v>99</v>
      </c>
      <c r="AR13" s="21" t="s">
        <v>182</v>
      </c>
      <c r="AS13" s="27" t="s">
        <v>100</v>
      </c>
      <c r="AT13" s="17">
        <f t="shared" si="3"/>
        <v>45733</v>
      </c>
      <c r="AU13" s="17">
        <f t="shared" si="4"/>
        <v>45733</v>
      </c>
      <c r="AV13" s="28">
        <f t="shared" si="5"/>
        <v>46130</v>
      </c>
      <c r="AW13" s="29" t="s">
        <v>92</v>
      </c>
      <c r="AX13" s="29" t="s">
        <v>92</v>
      </c>
      <c r="AY13" s="10" t="s">
        <v>71</v>
      </c>
      <c r="AZ13" s="30" t="s">
        <v>101</v>
      </c>
      <c r="BA13" t="str">
        <f t="shared" si="6"/>
        <v>BA57273CJ</v>
      </c>
      <c r="BB13" s="10" t="s">
        <v>71</v>
      </c>
      <c r="BC13" s="30" t="s">
        <v>102</v>
      </c>
      <c r="BD13" s="31" t="str">
        <f t="shared" si="7"/>
        <v>MTKNBN20D20A944Z</v>
      </c>
      <c r="BE13" t="s">
        <v>103</v>
      </c>
      <c r="BF13" s="32">
        <v>35591</v>
      </c>
      <c r="BG13" s="10" t="s">
        <v>71</v>
      </c>
      <c r="BH13" s="10" t="s">
        <v>104</v>
      </c>
      <c r="BI13" s="10" t="s">
        <v>104</v>
      </c>
      <c r="BJ13" s="10" t="s">
        <v>105</v>
      </c>
      <c r="BK13" s="32" t="s">
        <v>106</v>
      </c>
      <c r="BL13" s="10" t="s">
        <v>71</v>
      </c>
      <c r="BM13" s="10" t="s">
        <v>107</v>
      </c>
      <c r="BN13" s="30" t="s">
        <v>108</v>
      </c>
      <c r="BO13" s="30" t="s">
        <v>109</v>
      </c>
      <c r="BP13" s="30" t="s">
        <v>110</v>
      </c>
      <c r="BQ13" s="30" t="s">
        <v>111</v>
      </c>
      <c r="BR13" s="14" t="s">
        <v>112</v>
      </c>
    </row>
    <row r="14" ht="14.5" customHeight="1" spans="1:70" x14ac:dyDescent="0.25">
      <c r="A14" t="s">
        <v>185</v>
      </c>
      <c r="C14" s="8"/>
      <c r="D14" s="9" t="s">
        <v>70</v>
      </c>
      <c r="E14" s="10" t="s">
        <v>71</v>
      </c>
      <c r="F14" s="11" t="s">
        <v>72</v>
      </c>
      <c r="G14" s="12"/>
      <c r="H14" s="13"/>
      <c r="I14" t="s">
        <v>75</v>
      </c>
      <c r="J14" s="14" t="s">
        <v>76</v>
      </c>
      <c r="K14" s="14" t="s">
        <v>77</v>
      </c>
      <c r="L14" s="15">
        <f t="shared" si="0"/>
        <v>45734</v>
      </c>
      <c r="M14" s="10" t="s">
        <v>71</v>
      </c>
      <c r="N14" s="16" t="s">
        <v>78</v>
      </c>
      <c r="O14" s="16" t="s">
        <v>79</v>
      </c>
      <c r="P14" s="16">
        <v>1</v>
      </c>
      <c r="Q14" s="14" t="s">
        <v>80</v>
      </c>
      <c r="R14" s="14" t="s">
        <v>81</v>
      </c>
      <c r="S14" s="14" t="s">
        <v>77</v>
      </c>
      <c r="T14" s="17" t="s">
        <v>82</v>
      </c>
      <c r="U14" s="18" t="s">
        <v>83</v>
      </c>
      <c r="V14" s="14" t="s">
        <v>77</v>
      </c>
      <c r="W14" s="14" t="s">
        <v>84</v>
      </c>
      <c r="X14" s="19">
        <f t="shared" si="1"/>
        <v>45734</v>
      </c>
      <c r="Y14" s="15">
        <f t="shared" si="2"/>
        <v>45785</v>
      </c>
      <c r="Z14" s="14" t="s">
        <v>85</v>
      </c>
      <c r="AA14" s="20" t="s">
        <v>86</v>
      </c>
      <c r="AB14" s="21" t="s">
        <v>186</v>
      </c>
      <c r="AC14" s="22" t="s">
        <v>88</v>
      </c>
      <c r="AD14" s="21" t="s">
        <v>89</v>
      </c>
      <c r="AE14" s="10">
        <v>275</v>
      </c>
      <c r="AF14" s="10" t="s">
        <v>61</v>
      </c>
      <c r="AG14" s="23">
        <v>40</v>
      </c>
      <c r="AH14" s="24" t="s">
        <v>90</v>
      </c>
      <c r="AI14" t="s">
        <v>91</v>
      </c>
      <c r="AJ14" s="35">
        <f>TODAY()+365</f>
        <v>46130</v>
      </c>
      <c r="AK14" s="14" t="s">
        <v>93</v>
      </c>
      <c r="AL14" s="14" t="s">
        <v>94</v>
      </c>
      <c r="AM14" t="s">
        <v>95</v>
      </c>
      <c r="AN14" s="14" t="s">
        <v>96</v>
      </c>
      <c r="AO14" s="14" t="s">
        <v>97</v>
      </c>
      <c r="AP14" s="14" t="s">
        <v>98</v>
      </c>
      <c r="AQ14" s="26" t="s">
        <v>99</v>
      </c>
      <c r="AR14" s="21" t="s">
        <v>97</v>
      </c>
      <c r="AS14" s="27" t="s">
        <v>100</v>
      </c>
      <c r="AT14" s="17">
        <f t="shared" si="3"/>
        <v>45733</v>
      </c>
      <c r="AU14" s="17">
        <f t="shared" si="4"/>
        <v>45733</v>
      </c>
      <c r="AV14" s="28">
        <f t="shared" si="5"/>
        <v>46130</v>
      </c>
      <c r="AW14" s="29" t="s">
        <v>92</v>
      </c>
      <c r="AX14" s="29" t="s">
        <v>92</v>
      </c>
      <c r="AY14" s="10" t="s">
        <v>71</v>
      </c>
      <c r="AZ14" s="30" t="s">
        <v>101</v>
      </c>
      <c r="BA14" t="str">
        <f t="shared" si="6"/>
        <v>AB73218JC</v>
      </c>
      <c r="BB14" s="10" t="s">
        <v>71</v>
      </c>
      <c r="BC14" s="30" t="s">
        <v>102</v>
      </c>
      <c r="BD14" s="31" t="str">
        <f t="shared" si="7"/>
        <v>MTKBNN10D10A256Z</v>
      </c>
      <c r="BE14" t="s">
        <v>103</v>
      </c>
      <c r="BF14" s="32">
        <v>35591</v>
      </c>
      <c r="BG14" s="10" t="s">
        <v>71</v>
      </c>
      <c r="BH14" s="10" t="s">
        <v>104</v>
      </c>
      <c r="BI14" s="10" t="s">
        <v>104</v>
      </c>
      <c r="BJ14" s="10" t="s">
        <v>105</v>
      </c>
      <c r="BK14" s="32" t="s">
        <v>106</v>
      </c>
      <c r="BL14" s="10" t="s">
        <v>71</v>
      </c>
      <c r="BM14" s="10" t="s">
        <v>107</v>
      </c>
      <c r="BN14" s="30" t="s">
        <v>108</v>
      </c>
      <c r="BO14" s="30" t="s">
        <v>109</v>
      </c>
      <c r="BP14" s="30" t="s">
        <v>110</v>
      </c>
      <c r="BQ14" s="30" t="s">
        <v>111</v>
      </c>
      <c r="BR14" s="14" t="s">
        <v>112</v>
      </c>
    </row>
    <row r="15" ht="14.5" customHeight="1" spans="1:70" x14ac:dyDescent="0.25">
      <c r="A15" t="s">
        <v>187</v>
      </c>
      <c r="C15" s="8"/>
      <c r="D15" s="9" t="s">
        <v>70</v>
      </c>
      <c r="E15" s="10" t="s">
        <v>71</v>
      </c>
      <c r="F15" s="11" t="s">
        <v>72</v>
      </c>
      <c r="G15" s="12"/>
      <c r="H15" s="13"/>
      <c r="I15" t="s">
        <v>75</v>
      </c>
      <c r="J15" s="14" t="s">
        <v>76</v>
      </c>
      <c r="K15" s="14" t="s">
        <v>77</v>
      </c>
      <c r="L15" s="15">
        <f t="shared" si="0"/>
        <v>45734</v>
      </c>
      <c r="M15" s="10" t="s">
        <v>71</v>
      </c>
      <c r="N15" s="16" t="s">
        <v>78</v>
      </c>
      <c r="O15" s="16" t="s">
        <v>79</v>
      </c>
      <c r="P15" s="16">
        <v>1</v>
      </c>
      <c r="Q15" s="14" t="s">
        <v>80</v>
      </c>
      <c r="R15" s="14" t="s">
        <v>81</v>
      </c>
      <c r="S15" s="14" t="s">
        <v>77</v>
      </c>
      <c r="T15" s="17" t="s">
        <v>82</v>
      </c>
      <c r="U15" s="18" t="s">
        <v>83</v>
      </c>
      <c r="V15" s="14" t="s">
        <v>77</v>
      </c>
      <c r="W15" s="14" t="s">
        <v>84</v>
      </c>
      <c r="X15" s="19">
        <f t="shared" si="1"/>
        <v>45734</v>
      </c>
      <c r="Y15" s="15">
        <f t="shared" si="2"/>
        <v>45785</v>
      </c>
      <c r="Z15" s="14" t="s">
        <v>85</v>
      </c>
      <c r="AA15" s="20" t="s">
        <v>86</v>
      </c>
      <c r="AB15" s="21" t="s">
        <v>87</v>
      </c>
      <c r="AC15" s="22" t="s">
        <v>88</v>
      </c>
      <c r="AD15" s="21" t="s">
        <v>129</v>
      </c>
      <c r="AE15" s="10">
        <v>275</v>
      </c>
      <c r="AF15" s="10" t="s">
        <v>61</v>
      </c>
      <c r="AG15" s="23">
        <v>20</v>
      </c>
      <c r="AH15" s="24" t="s">
        <v>90</v>
      </c>
      <c r="AI15" t="s">
        <v>91</v>
      </c>
      <c r="AJ15" s="25" t="s">
        <v>92</v>
      </c>
      <c r="AK15" s="14" t="s">
        <v>93</v>
      </c>
      <c r="AL15" s="14" t="s">
        <v>94</v>
      </c>
      <c r="AM15" t="s">
        <v>95</v>
      </c>
      <c r="AN15" s="14" t="s">
        <v>96</v>
      </c>
      <c r="AO15" s="14" t="s">
        <v>122</v>
      </c>
      <c r="AP15" s="14" t="s">
        <v>98</v>
      </c>
      <c r="AQ15" s="26" t="s">
        <v>99</v>
      </c>
      <c r="AR15" s="21" t="s">
        <v>92</v>
      </c>
      <c r="AS15" s="27" t="s">
        <v>100</v>
      </c>
      <c r="AT15" s="17">
        <f t="shared" si="3"/>
        <v>45733</v>
      </c>
      <c r="AU15" s="17">
        <f t="shared" si="4"/>
        <v>45733</v>
      </c>
      <c r="AV15" s="28">
        <f t="shared" si="5"/>
        <v>NaN</v>
      </c>
      <c r="AW15" s="29" t="s">
        <v>92</v>
      </c>
      <c r="AX15" s="29" t="s">
        <v>92</v>
      </c>
      <c r="AY15" s="10" t="s">
        <v>71</v>
      </c>
      <c r="AZ15" s="30" t="s">
        <v>101</v>
      </c>
      <c r="BA15" t="str">
        <f t="shared" si="6"/>
        <v>BA25422CJ</v>
      </c>
      <c r="BB15" s="10" t="s">
        <v>71</v>
      </c>
      <c r="BC15" s="30" t="s">
        <v>102</v>
      </c>
      <c r="BD15" s="31" t="str">
        <f t="shared" si="7"/>
        <v>MTKNBN20D20A434Z</v>
      </c>
      <c r="BE15" t="s">
        <v>103</v>
      </c>
      <c r="BF15" s="32">
        <v>35591</v>
      </c>
      <c r="BG15" s="10" t="s">
        <v>71</v>
      </c>
      <c r="BH15" s="10" t="s">
        <v>104</v>
      </c>
      <c r="BI15" s="10" t="s">
        <v>104</v>
      </c>
      <c r="BJ15" s="10" t="s">
        <v>105</v>
      </c>
      <c r="BK15" s="32" t="s">
        <v>106</v>
      </c>
      <c r="BL15" s="10" t="s">
        <v>71</v>
      </c>
      <c r="BM15" s="10" t="s">
        <v>107</v>
      </c>
      <c r="BN15" s="30" t="s">
        <v>108</v>
      </c>
      <c r="BO15" s="30" t="s">
        <v>109</v>
      </c>
      <c r="BP15" s="30" t="s">
        <v>110</v>
      </c>
      <c r="BQ15" s="30" t="s">
        <v>111</v>
      </c>
      <c r="BR15" s="14" t="s">
        <v>112</v>
      </c>
    </row>
    <row r="16" ht="14.5" customHeight="1" spans="1:70" x14ac:dyDescent="0.25">
      <c r="A16" t="s">
        <v>188</v>
      </c>
      <c r="C16" s="8"/>
      <c r="D16" s="9" t="s">
        <v>70</v>
      </c>
      <c r="E16" s="10" t="s">
        <v>71</v>
      </c>
      <c r="F16" s="11" t="s">
        <v>72</v>
      </c>
      <c r="G16" s="12"/>
      <c r="H16" s="13"/>
      <c r="I16" t="s">
        <v>75</v>
      </c>
      <c r="J16" s="14" t="s">
        <v>76</v>
      </c>
      <c r="K16" s="14" t="s">
        <v>77</v>
      </c>
      <c r="L16" s="15">
        <f t="shared" si="0"/>
        <v>45734</v>
      </c>
      <c r="M16" s="10" t="s">
        <v>71</v>
      </c>
      <c r="N16" s="16" t="s">
        <v>78</v>
      </c>
      <c r="O16" s="16" t="s">
        <v>79</v>
      </c>
      <c r="P16" s="16">
        <v>1</v>
      </c>
      <c r="Q16" s="14" t="s">
        <v>80</v>
      </c>
      <c r="R16" s="14" t="s">
        <v>81</v>
      </c>
      <c r="S16" s="14" t="s">
        <v>77</v>
      </c>
      <c r="T16" s="17" t="s">
        <v>82</v>
      </c>
      <c r="U16" s="18" t="s">
        <v>83</v>
      </c>
      <c r="V16" s="14" t="s">
        <v>77</v>
      </c>
      <c r="W16" s="14" t="s">
        <v>84</v>
      </c>
      <c r="X16" s="19">
        <f t="shared" si="1"/>
        <v>45734</v>
      </c>
      <c r="Y16" s="15">
        <f t="shared" si="2"/>
        <v>45785</v>
      </c>
      <c r="Z16" s="14" t="s">
        <v>85</v>
      </c>
      <c r="AA16" s="20" t="s">
        <v>86</v>
      </c>
      <c r="AB16" s="21" t="s">
        <v>135</v>
      </c>
      <c r="AC16" s="22" t="s">
        <v>88</v>
      </c>
      <c r="AD16" s="21" t="s">
        <v>89</v>
      </c>
      <c r="AE16" s="10">
        <v>275</v>
      </c>
      <c r="AF16" s="10" t="s">
        <v>61</v>
      </c>
      <c r="AG16" s="23">
        <v>40</v>
      </c>
      <c r="AH16" s="24" t="s">
        <v>90</v>
      </c>
      <c r="AI16" t="s">
        <v>91</v>
      </c>
      <c r="AJ16" s="35">
        <f>TODAY()+365</f>
        <v>46130</v>
      </c>
      <c r="AK16" s="14" t="s">
        <v>93</v>
      </c>
      <c r="AL16" s="14" t="s">
        <v>94</v>
      </c>
      <c r="AM16" t="s">
        <v>95</v>
      </c>
      <c r="AN16" s="14" t="s">
        <v>96</v>
      </c>
      <c r="AO16" s="14" t="s">
        <v>122</v>
      </c>
      <c r="AP16" s="14" t="s">
        <v>98</v>
      </c>
      <c r="AQ16" s="26" t="s">
        <v>99</v>
      </c>
      <c r="AR16" s="21" t="s">
        <v>87</v>
      </c>
      <c r="AS16" s="27" t="s">
        <v>100</v>
      </c>
      <c r="AT16" s="17">
        <f t="shared" si="3"/>
        <v>45733</v>
      </c>
      <c r="AU16" s="17">
        <f t="shared" si="4"/>
        <v>45733</v>
      </c>
      <c r="AV16" s="28">
        <f t="shared" si="5"/>
        <v>46130</v>
      </c>
      <c r="AW16" s="29" t="s">
        <v>92</v>
      </c>
      <c r="AX16" s="29" t="s">
        <v>92</v>
      </c>
      <c r="AY16" s="10" t="s">
        <v>71</v>
      </c>
      <c r="AZ16" s="30" t="s">
        <v>101</v>
      </c>
      <c r="BA16" t="str">
        <f t="shared" si="6"/>
        <v>AB55814JC</v>
      </c>
      <c r="BB16" s="10" t="s">
        <v>71</v>
      </c>
      <c r="BC16" s="30" t="s">
        <v>102</v>
      </c>
      <c r="BD16" s="31" t="str">
        <f t="shared" si="7"/>
        <v>MTKBNN10D10A649Z</v>
      </c>
      <c r="BE16" t="s">
        <v>103</v>
      </c>
      <c r="BF16" s="32">
        <v>35591</v>
      </c>
      <c r="BG16" s="10" t="s">
        <v>71</v>
      </c>
      <c r="BH16" s="10" t="s">
        <v>104</v>
      </c>
      <c r="BI16" s="10" t="s">
        <v>104</v>
      </c>
      <c r="BJ16" s="10" t="s">
        <v>105</v>
      </c>
      <c r="BK16" s="32" t="s">
        <v>106</v>
      </c>
      <c r="BL16" s="10" t="s">
        <v>71</v>
      </c>
      <c r="BM16" s="10" t="s">
        <v>107</v>
      </c>
      <c r="BN16" s="30" t="s">
        <v>108</v>
      </c>
      <c r="BO16" s="30" t="s">
        <v>109</v>
      </c>
      <c r="BP16" s="30" t="s">
        <v>110</v>
      </c>
      <c r="BQ16" s="30" t="s">
        <v>111</v>
      </c>
      <c r="BR16" s="14" t="s">
        <v>112</v>
      </c>
    </row>
    <row r="22" ht="14.5" customHeight="1" spans="49:60" x14ac:dyDescent="0.25">
      <c r="AW22" t="s">
        <v>189</v>
      </c>
      <c r="AX22">
        <f t="array" ref="AX22:AX36">_xlfn.RANDARRAY(15,1,12345,99999,TRUE)</f>
        <v>88013</v>
      </c>
      <c r="AY22" t="s">
        <v>190</v>
      </c>
      <c r="AZ22" t="str">
        <f>AW22&amp;AX22&amp;AY22</f>
        <v>AB88013JC</v>
      </c>
      <c r="BD22" s="31" t="s">
        <v>191</v>
      </c>
      <c r="BE22">
        <f t="array" ref="BE22:BE36">_xlfn.RANDARRAY(15,1,123,999,TRUE)</f>
        <v>347</v>
      </c>
      <c r="BG22" t="s">
        <v>192</v>
      </c>
      <c r="BH22" t="str">
        <f>BD22&amp;BE22&amp;BF22&amp;BG22</f>
        <v>MTKBNN10D10A347Z</v>
      </c>
    </row>
    <row r="23" ht="14.5" customHeight="1" spans="49:60" x14ac:dyDescent="0.25">
      <c r="AW23" t="s">
        <v>193</v>
      </c>
      <c r="AX23">
        <v>91023</v>
      </c>
      <c r="AY23" t="s">
        <v>194</v>
      </c>
      <c r="AZ23" t="str">
        <f t="shared" ref="AZ23:AZ36" si="8">AW23&amp;AX23&amp;AY23</f>
        <v>BA91023CJ</v>
      </c>
      <c r="BD23" s="31" t="s">
        <v>195</v>
      </c>
      <c r="BE23">
        <v>157</v>
      </c>
      <c r="BG23" t="s">
        <v>192</v>
      </c>
      <c r="BH23" t="str">
        <f t="shared" ref="BH23:BH36" si="9">BD23&amp;BE23&amp;BF23&amp;BG23</f>
        <v>MTKNBN20D20A157Z</v>
      </c>
    </row>
    <row r="24" ht="14.5" customHeight="1" spans="49:60" x14ac:dyDescent="0.25">
      <c r="AW24" t="s">
        <v>189</v>
      </c>
      <c r="AX24">
        <v>58807</v>
      </c>
      <c r="AY24" t="s">
        <v>190</v>
      </c>
      <c r="AZ24" t="str">
        <f t="shared" si="8"/>
        <v>AB58807JC</v>
      </c>
      <c r="BD24" s="31" t="s">
        <v>191</v>
      </c>
      <c r="BE24">
        <v>256</v>
      </c>
      <c r="BG24" t="s">
        <v>192</v>
      </c>
      <c r="BH24" t="str">
        <f t="shared" si="9"/>
        <v>MTKBNN10D10A256Z</v>
      </c>
    </row>
    <row r="25" ht="14.5" customHeight="1" spans="49:60" x14ac:dyDescent="0.25">
      <c r="AW25" t="s">
        <v>193</v>
      </c>
      <c r="AX25">
        <v>41397</v>
      </c>
      <c r="AY25" t="s">
        <v>194</v>
      </c>
      <c r="AZ25" t="str">
        <f t="shared" si="8"/>
        <v>BA41397CJ</v>
      </c>
      <c r="BD25" s="31" t="s">
        <v>195</v>
      </c>
      <c r="BE25">
        <v>636</v>
      </c>
      <c r="BG25" t="s">
        <v>192</v>
      </c>
      <c r="BH25" t="str">
        <f t="shared" si="9"/>
        <v>MTKNBN20D20A636Z</v>
      </c>
    </row>
    <row r="26" ht="14.5" customHeight="1" spans="49:60" x14ac:dyDescent="0.25">
      <c r="AW26" t="s">
        <v>189</v>
      </c>
      <c r="AX26">
        <v>45511</v>
      </c>
      <c r="AY26" t="s">
        <v>190</v>
      </c>
      <c r="AZ26" t="str">
        <f t="shared" si="8"/>
        <v>AB45511JC</v>
      </c>
      <c r="BD26" s="31" t="s">
        <v>191</v>
      </c>
      <c r="BE26">
        <v>601</v>
      </c>
      <c r="BG26" t="s">
        <v>192</v>
      </c>
      <c r="BH26" t="str">
        <f t="shared" si="9"/>
        <v>MTKBNN10D10A601Z</v>
      </c>
    </row>
    <row r="27" ht="14.5" customHeight="1" spans="49:60" x14ac:dyDescent="0.25">
      <c r="AW27" t="s">
        <v>193</v>
      </c>
      <c r="AX27">
        <v>88129</v>
      </c>
      <c r="AY27" t="s">
        <v>194</v>
      </c>
      <c r="AZ27" t="str">
        <f t="shared" si="8"/>
        <v>BA88129CJ</v>
      </c>
      <c r="BD27" s="31" t="s">
        <v>195</v>
      </c>
      <c r="BE27">
        <v>411</v>
      </c>
      <c r="BG27" t="s">
        <v>192</v>
      </c>
      <c r="BH27" t="str">
        <f t="shared" si="9"/>
        <v>MTKNBN20D20A411Z</v>
      </c>
    </row>
    <row r="28" ht="14.5" customHeight="1" spans="49:60" x14ac:dyDescent="0.25">
      <c r="AW28" t="s">
        <v>189</v>
      </c>
      <c r="AX28">
        <v>80376</v>
      </c>
      <c r="AY28" t="s">
        <v>190</v>
      </c>
      <c r="AZ28" t="str">
        <f t="shared" si="8"/>
        <v>AB80376JC</v>
      </c>
      <c r="BD28" s="31" t="s">
        <v>191</v>
      </c>
      <c r="BE28">
        <v>161</v>
      </c>
      <c r="BG28" t="s">
        <v>192</v>
      </c>
      <c r="BH28" t="str">
        <f t="shared" si="9"/>
        <v>MTKBNN10D10A161Z</v>
      </c>
    </row>
    <row r="29" ht="14.5" customHeight="1" spans="49:60" x14ac:dyDescent="0.25">
      <c r="AW29" t="s">
        <v>193</v>
      </c>
      <c r="AX29">
        <v>63359</v>
      </c>
      <c r="AY29" t="s">
        <v>194</v>
      </c>
      <c r="AZ29" t="str">
        <f t="shared" si="8"/>
        <v>BA63359CJ</v>
      </c>
      <c r="BD29" s="31" t="s">
        <v>195</v>
      </c>
      <c r="BE29">
        <v>818</v>
      </c>
      <c r="BG29" t="s">
        <v>192</v>
      </c>
      <c r="BH29" t="str">
        <f t="shared" si="9"/>
        <v>MTKNBN20D20A818Z</v>
      </c>
    </row>
    <row r="30" ht="14.5" customHeight="1" spans="49:60" x14ac:dyDescent="0.25">
      <c r="AW30" t="s">
        <v>189</v>
      </c>
      <c r="AX30">
        <v>68336</v>
      </c>
      <c r="AY30" t="s">
        <v>190</v>
      </c>
      <c r="AZ30" t="str">
        <f t="shared" si="8"/>
        <v>AB68336JC</v>
      </c>
      <c r="BD30" s="31" t="s">
        <v>191</v>
      </c>
      <c r="BE30">
        <v>655</v>
      </c>
      <c r="BG30" t="s">
        <v>192</v>
      </c>
      <c r="BH30" t="str">
        <f t="shared" si="9"/>
        <v>MTKBNN10D10A655Z</v>
      </c>
    </row>
    <row r="31" ht="14.5" customHeight="1" spans="49:60" x14ac:dyDescent="0.25">
      <c r="AW31" t="s">
        <v>193</v>
      </c>
      <c r="AX31">
        <v>19581</v>
      </c>
      <c r="AY31" t="s">
        <v>194</v>
      </c>
      <c r="AZ31" t="str">
        <f t="shared" si="8"/>
        <v>BA19581CJ</v>
      </c>
      <c r="BD31" s="31" t="s">
        <v>195</v>
      </c>
      <c r="BE31">
        <v>716</v>
      </c>
      <c r="BG31" t="s">
        <v>192</v>
      </c>
      <c r="BH31" t="str">
        <f t="shared" si="9"/>
        <v>MTKNBN20D20A716Z</v>
      </c>
    </row>
    <row r="32" ht="14.5" customHeight="1" spans="49:60" x14ac:dyDescent="0.25">
      <c r="AW32" t="s">
        <v>189</v>
      </c>
      <c r="AX32">
        <v>63528</v>
      </c>
      <c r="AY32" t="s">
        <v>190</v>
      </c>
      <c r="AZ32" t="str">
        <f t="shared" si="8"/>
        <v>AB63528JC</v>
      </c>
      <c r="BD32" s="31" t="s">
        <v>191</v>
      </c>
      <c r="BE32">
        <v>124</v>
      </c>
      <c r="BG32" t="s">
        <v>192</v>
      </c>
      <c r="BH32" t="str">
        <f t="shared" si="9"/>
        <v>MTKBNN10D10A124Z</v>
      </c>
    </row>
    <row r="33" ht="14.5" customHeight="1" spans="49:60" x14ac:dyDescent="0.25">
      <c r="AW33" t="s">
        <v>193</v>
      </c>
      <c r="AX33">
        <v>57273</v>
      </c>
      <c r="AY33" t="s">
        <v>194</v>
      </c>
      <c r="AZ33" t="str">
        <f t="shared" si="8"/>
        <v>BA57273CJ</v>
      </c>
      <c r="BD33" s="31" t="s">
        <v>195</v>
      </c>
      <c r="BE33">
        <v>944</v>
      </c>
      <c r="BG33" t="s">
        <v>192</v>
      </c>
      <c r="BH33" t="str">
        <f t="shared" si="9"/>
        <v>MTKNBN20D20A944Z</v>
      </c>
    </row>
    <row r="34" ht="14.5" customHeight="1" spans="49:60" x14ac:dyDescent="0.25">
      <c r="AW34" t="s">
        <v>189</v>
      </c>
      <c r="AX34">
        <v>73218</v>
      </c>
      <c r="AY34" t="s">
        <v>190</v>
      </c>
      <c r="AZ34" t="str">
        <f t="shared" si="8"/>
        <v>AB73218JC</v>
      </c>
      <c r="BD34" s="31" t="s">
        <v>191</v>
      </c>
      <c r="BE34">
        <v>256</v>
      </c>
      <c r="BG34" t="s">
        <v>192</v>
      </c>
      <c r="BH34" t="str">
        <f t="shared" si="9"/>
        <v>MTKBNN10D10A256Z</v>
      </c>
    </row>
    <row r="35" ht="14.5" customHeight="1" spans="49:60" x14ac:dyDescent="0.25">
      <c r="AW35" t="s">
        <v>193</v>
      </c>
      <c r="AX35">
        <v>25422</v>
      </c>
      <c r="AY35" t="s">
        <v>194</v>
      </c>
      <c r="AZ35" t="str">
        <f t="shared" si="8"/>
        <v>BA25422CJ</v>
      </c>
      <c r="BD35" s="31" t="s">
        <v>195</v>
      </c>
      <c r="BE35">
        <v>434</v>
      </c>
      <c r="BG35" t="s">
        <v>192</v>
      </c>
      <c r="BH35" t="str">
        <f t="shared" si="9"/>
        <v>MTKNBN20D20A434Z</v>
      </c>
    </row>
    <row r="36" ht="14.5" customHeight="1" spans="49:60" x14ac:dyDescent="0.25">
      <c r="AW36" t="s">
        <v>189</v>
      </c>
      <c r="AX36">
        <v>55814</v>
      </c>
      <c r="AY36" t="s">
        <v>190</v>
      </c>
      <c r="AZ36" t="str">
        <f t="shared" si="8"/>
        <v>AB55814JC</v>
      </c>
      <c r="BD36" s="31" t="s">
        <v>191</v>
      </c>
      <c r="BE36">
        <v>649</v>
      </c>
      <c r="BG36" t="s">
        <v>192</v>
      </c>
      <c r="BH36" t="str">
        <f t="shared" si="9"/>
        <v>MTKBNN10D10A649Z</v>
      </c>
    </row>
  </sheetData>
  <dataValidations count="12">
    <dataValidation type="list" allowBlank="1" showInputMessage="1" showErrorMessage="1" sqref="AS10:AS16">
      <formula1>INDIRECT($E2)</formula1>
    </dataValidation>
    <dataValidation type="list" allowBlank="1" showInputMessage="1" showErrorMessage="1" sqref="AS2:AS16">
      <formula1>INDIRECT($E2)</formula1>
    </dataValidation>
    <dataValidation type="list" allowBlank="1" showInputMessage="1" showErrorMessage="1" sqref="BQ10:BQ16">
      <formula1>INDIRECT($E2)</formula1>
    </dataValidation>
    <dataValidation type="list" allowBlank="1" showInputMessage="1" showErrorMessage="1" sqref="BQ2:BQ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S10:S16">
      <formula1>INDIRECT($E2)</formula1>
    </dataValidation>
    <dataValidation type="list" allowBlank="1" showInputMessage="1" showErrorMessage="1" sqref="S2:S16">
      <formula1>INDIRECT($E2)</formula1>
    </dataValidation>
    <dataValidation type="list" allowBlank="1" showInputMessage="1" showErrorMessage="1" sqref="V10:V16">
      <formula1>INDIRECT($E2)</formula1>
    </dataValidation>
    <dataValidation type="list" allowBlank="1" showInputMessage="1" showErrorMessage="1" sqref="V2:V16">
      <formula1>INDIRECT($E2)</formula1>
    </dataValidation>
    <dataValidation type="list" allowBlank="1" showInputMessage="1" showErrorMessage="1" sqref="Z10:Z16">
      <formula1>INDIRECT($E2)</formula1>
    </dataValidation>
    <dataValidation type="list" allowBlank="1" showInputMessage="1" showErrorMessage="1" sqref="Z2:Z16">
      <formula1>INDIRECT($E2)</formula1>
    </dataValidation>
  </dataValidations>
  <hyperlinks>
    <hyperlink ref="I2" r:id="rId1"/>
    <hyperlink ref="U2" r:id="rId2"/>
    <hyperlink ref="AH2" r:id="rId3"/>
    <hyperlink ref="I3" r:id="rId4"/>
    <hyperlink ref="U3" r:id="rId5"/>
    <hyperlink ref="I4" r:id="rId6"/>
    <hyperlink ref="U4" r:id="rId7"/>
    <hyperlink ref="I5" r:id="rId8"/>
    <hyperlink ref="U5" r:id="rId9"/>
    <hyperlink ref="U6" r:id="rId10"/>
    <hyperlink ref="U7" r:id="rId11"/>
    <hyperlink ref="U8" r:id="rId12"/>
    <hyperlink ref="U9" r:id="rId13"/>
    <hyperlink ref="U10" r:id="rId14"/>
    <hyperlink ref="U11" r:id="rId15"/>
    <hyperlink ref="U12" r:id="rId16"/>
    <hyperlink ref="U13" r:id="rId17"/>
    <hyperlink ref="AH13" r:id="rId18"/>
    <hyperlink ref="U14" r:id="rId19"/>
    <hyperlink ref="U15" r:id="rId20"/>
    <hyperlink ref="U16" r:id="rId2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2025-04-18T06:30:38Z</dcterms:modified>
</cp:coreProperties>
</file>