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11D0337A-DE0F-4BDA-886F-5E62D79097D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7" i="1" l="1"/>
  <c r="AT7" i="1" s="1"/>
  <c r="L7" i="1"/>
  <c r="W7" i="1" s="1"/>
  <c r="AP6" i="1" a="1"/>
  <c r="AP7" i="1" s="1"/>
  <c r="L6" i="1"/>
  <c r="W6" i="1" s="1"/>
  <c r="AH5" i="1"/>
  <c r="AT5" i="1" s="1"/>
  <c r="L5" i="1"/>
  <c r="W5" i="1" s="1"/>
  <c r="AT4" i="1"/>
  <c r="AP4" i="1" a="1"/>
  <c r="AP5" i="1" s="1"/>
  <c r="L4" i="1"/>
  <c r="W4" i="1" s="1"/>
  <c r="AH3" i="1"/>
  <c r="AT3" i="1" s="1"/>
  <c r="L3" i="1"/>
  <c r="W3" i="1" s="1"/>
  <c r="AT2" i="1"/>
  <c r="AP2" i="1" a="1"/>
  <c r="AP3" i="1" s="1"/>
  <c r="L2" i="1"/>
  <c r="W2" i="1" s="1"/>
  <c r="AP6" i="1" l="1"/>
  <c r="AP4" i="1"/>
  <c r="AP2" i="1"/>
</calcChain>
</file>

<file path=xl/sharedStrings.xml><?xml version="1.0" encoding="utf-8"?>
<sst xmlns="http://schemas.openxmlformats.org/spreadsheetml/2006/main" count="464" uniqueCount="137">
  <si>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</si>
  <si>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</si>
  <si>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</si>
  <si>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</si>
  <si>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</si>
  <si>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</si>
  <si>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</si>
  <si>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</si>
  <si>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</si>
  <si>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</si>
  <si>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</si>
  <si>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</si>
  <si>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</si>
  <si>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</si>
  <si>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</si>
  <si>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</si>
  <si>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</si>
  <si>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</si>
  <si>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</si>
  <si>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</si>
  <si>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</si>
  <si>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</si>
  <si>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</si>
  <si>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</si>
  <si>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</si>
  <si>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</si>
  <si>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</si>
  <si>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</si>
  <si>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</si>
  <si>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</si>
  <si>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</si>
  <si>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</si>
  <si>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</si>
  <si>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</si>
  <si>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EmployeeID_1</t>
  </si>
  <si>
    <t>EmployeeID_2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</si>
  <si>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</si>
  <si>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</si>
  <si>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</si>
  <si>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</si>
  <si>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</si>
  <si>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</si>
  <si>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</si>
  <si>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</si>
  <si>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</si>
  <si>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</si>
  <si>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</si>
  <si>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</si>
  <si>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</si>
  <si>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</si>
  <si>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</si>
  <si>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</si>
  <si>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</si>
  <si>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</si>
  <si>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</si>
  <si>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</si>
  <si>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</si>
  <si>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</si>
  <si>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</si>
  <si>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</si>
  <si>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</si>
  <si>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</si>
  <si>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</si>
  <si>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</si>
  <si>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Address</t>
  </si>
  <si>
    <t>PartnerRevenue</t>
  </si>
  <si>
    <t>ProposedPayGroup</t>
  </si>
  <si>
    <t>HourlyRegime</t>
  </si>
  <si>
    <t>Test3</t>
  </si>
  <si>
    <t>751 Retail Team 1 (Rykec Puvyjo (10528834) (Inherited))</t>
  </si>
  <si>
    <t>Belgium</t>
  </si>
  <si>
    <t>Mr</t>
  </si>
  <si>
    <t>Lemuel</t>
  </si>
  <si>
    <t>Schmidt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</si>
  <si>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</si>
  <si>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</si>
  <si>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</si>
  <si>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</si>
  <si>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</si>
  <si>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</si>
  <si>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</si>
  <si>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</si>
  <si>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</si>
  <si>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</si>
  <si>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</si>
  <si>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</si>
  <si>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</si>
  <si>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</si>
  <si>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</si>
  <si>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</si>
  <si>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</si>
  <si>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</si>
  <si>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</si>
  <si>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</si>
  <si>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</si>
  <si>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</si>
  <si>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</si>
  <si>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</si>
  <si>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</si>
  <si>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</si>
  <si>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</si>
  <si>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</si>
  <si>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</si>
  <si>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</si>
  <si>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</si>
  <si>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</si>
  <si>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</si>
  <si>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</si>
  <si>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</si>
  <si>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</si>
  <si>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</si>
  <si>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</si>
  <si>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</si>
  <si>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1000</t>
  </si>
  <si>
    <t>Independent spouse</t>
  </si>
  <si>
    <t>BE Monthly</t>
  </si>
  <si>
    <t>Variable | 35 | A35</t>
  </si>
  <si>
    <t>Test4</t>
  </si>
  <si>
    <t>751 Store Management (Rykec Puvyjo (10528834))</t>
  </si>
  <si>
    <t>Mme</t>
  </si>
  <si>
    <t>Vergie</t>
  </si>
  <si>
    <t>Botsford</t>
  </si>
  <si>
    <t>Auto 29874477</t>
  </si>
  <si>
    <t>Fixed Term (Fixed Term)</t>
  </si>
  <si>
    <t>Store Manager_NEW</t>
  </si>
  <si>
    <t>V2 - (Job Qualifications-Belgium)</t>
  </si>
  <si>
    <t>92 Retail</t>
  </si>
  <si>
    <t>Fixed Term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</si>
  <si>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</si>
  <si>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</si>
  <si>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</si>
  <si>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</si>
  <si>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</si>
  <si>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Test1</t>
  </si>
  <si>
    <t>Test2</t>
  </si>
  <si>
    <t>Test5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</si>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</sst>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"/>
  <sheetViews>
    <sheetView tabSelected="1" topLeftCell="AK1" zoomScaleNormal="100" workbookViewId="0">
      <selection activeCell="AP12" sqref="AP12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9" width="12.90625" style="1" customWidth="1"/>
    <col min="40" max="40" width="8.453125" style="1" customWidth="1"/>
    <col min="41" max="41" width="22.453125" style="1" customWidth="1"/>
    <col min="42" max="42" width="11.81640625" style="1" customWidth="1"/>
    <col min="43" max="43" width="18.1796875" style="1" customWidth="1"/>
    <col min="44" max="44" width="17.7265625" style="1" customWidth="1"/>
    <col min="45" max="45" width="5.90625" style="1" customWidth="1"/>
    <col min="46" max="46" width="15.08984375" style="1" customWidth="1"/>
    <col min="47" max="47" width="7" style="1" customWidth="1"/>
    <col min="48" max="48" width="10.7265625" style="1" customWidth="1"/>
    <col min="49" max="49" width="13.54296875" style="1" customWidth="1"/>
    <col min="50" max="50" width="20.26953125" style="1" customWidth="1"/>
    <col min="51" max="51" width="9.90625" style="1" customWidth="1"/>
    <col min="52" max="52" width="11.90625" style="1" customWidth="1"/>
    <col min="53" max="53" width="15.90625" style="1" customWidth="1"/>
    <col min="54" max="54" width="15" style="1" customWidth="1"/>
    <col min="55" max="55" width="16.36328125" style="2" customWidth="1"/>
    <col min="56" max="56" width="53.6328125" style="2" customWidth="1"/>
    <col min="57" max="57" width="23.7265625" style="2" customWidth="1"/>
    <col min="58" max="58" width="9" style="1" customWidth="1"/>
    <col min="59" max="59" width="30.08984375" style="1" customWidth="1"/>
    <col min="60" max="60" width="20.36328125" style="1" customWidth="1"/>
    <col min="61" max="61" width="14.453125" style="1" customWidth="1"/>
    <col min="62" max="62" width="17.08984375" style="1" customWidth="1"/>
    <col min="63" max="63" width="11.54296875" style="1" customWidth="1"/>
    <col min="64" max="64" width="5.54296875" style="1" customWidth="1"/>
    <col min="65" max="65" width="15.453125" style="1" customWidth="1"/>
    <col min="66" max="67" width="11.08984375" style="1" customWidth="1"/>
    <col min="68" max="68" width="16.6328125" style="1" customWidth="1"/>
    <col min="69" max="69" width="21.7265625" style="1" customWidth="1"/>
    <col min="70" max="70" width="13" style="1" customWidth="1"/>
    <col min="71" max="71" width="10.08984375" style="1" customWidth="1"/>
    <col min="72" max="72" width="7.6328125" style="1" customWidth="1"/>
    <col min="73" max="73" width="20.26953125" style="1" customWidth="1"/>
    <col min="74" max="74" width="5.81640625" style="1" customWidth="1"/>
    <col min="75" max="75" width="18.7265625" style="1" customWidth="1"/>
    <col min="76" max="76" width="5.81640625" style="1" customWidth="1"/>
    <col min="77" max="77" width="18.08984375" style="1" customWidth="1"/>
    <col min="78" max="78" width="17.08984375" style="1" customWidth="1"/>
    <col min="79" max="79" width="16.54296875" style="1" customWidth="1"/>
  </cols>
  <sheetData>
    <row r="1" spans="1:79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10" t="s">
        <v>38</v>
      </c>
      <c r="AQ1" s="4" t="s">
        <v>39</v>
      </c>
      <c r="AR1" s="4" t="s">
        <v>40</v>
      </c>
      <c r="AS1" s="4" t="s">
        <v>41</v>
      </c>
      <c r="AT1" s="9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5</v>
      </c>
      <c r="BM1" s="4" t="s">
        <v>60</v>
      </c>
      <c r="BN1" s="4" t="s">
        <v>61</v>
      </c>
      <c r="BO1" s="4" t="s">
        <v>62</v>
      </c>
      <c r="BP1" s="4" t="s">
        <v>63</v>
      </c>
      <c r="BQ1" s="4" t="s">
        <v>12</v>
      </c>
      <c r="BR1" s="4" t="s">
        <v>13</v>
      </c>
      <c r="BS1" s="4" t="s">
        <v>14</v>
      </c>
      <c r="BT1" s="4" t="s">
        <v>15</v>
      </c>
      <c r="BU1" s="4" t="s">
        <v>16</v>
      </c>
      <c r="BV1" s="4" t="s">
        <v>10</v>
      </c>
      <c r="BW1" s="4" t="s">
        <v>64</v>
      </c>
      <c r="BX1" s="4" t="s">
        <v>10</v>
      </c>
      <c r="BY1" s="4" t="s">
        <v>65</v>
      </c>
      <c r="BZ1" s="4" t="s">
        <v>66</v>
      </c>
      <c r="CA1" s="11" t="s">
        <v>67</v>
      </c>
    </row>
    <row r="2" spans="1:79" ht="15.65" customHeight="1" x14ac:dyDescent="0.35">
      <c r="A2" s="1" t="s">
        <v>133</v>
      </c>
      <c r="B2" s="12"/>
      <c r="C2" s="13"/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9">
        <v>25041111</v>
      </c>
      <c r="J2" s="19" t="s">
        <v>74</v>
      </c>
      <c r="K2" s="19" t="s">
        <v>75</v>
      </c>
      <c r="L2" s="20">
        <f ca="1">TODAY()-31</f>
        <v>45685</v>
      </c>
      <c r="M2" s="15" t="s">
        <v>70</v>
      </c>
      <c r="N2" s="21" t="s">
        <v>76</v>
      </c>
      <c r="O2" s="19">
        <v>38</v>
      </c>
      <c r="P2" s="19">
        <v>1000</v>
      </c>
      <c r="Q2" s="19" t="s">
        <v>77</v>
      </c>
      <c r="R2" s="19" t="s">
        <v>78</v>
      </c>
      <c r="S2" s="19" t="s">
        <v>75</v>
      </c>
      <c r="T2" s="22" t="s">
        <v>79</v>
      </c>
      <c r="U2" s="23" t="s">
        <v>80</v>
      </c>
      <c r="V2" s="19" t="s">
        <v>75</v>
      </c>
      <c r="W2" s="24">
        <f ca="1">L2</f>
        <v>45685</v>
      </c>
      <c r="X2" s="19" t="s">
        <v>81</v>
      </c>
      <c r="Y2" s="25" t="s">
        <v>82</v>
      </c>
      <c r="Z2" t="s">
        <v>83</v>
      </c>
      <c r="AA2" s="26" t="s">
        <v>84</v>
      </c>
      <c r="AB2" t="s">
        <v>85</v>
      </c>
      <c r="AC2" s="1" t="s">
        <v>86</v>
      </c>
      <c r="AD2" s="1" t="s">
        <v>54</v>
      </c>
      <c r="AE2" s="27">
        <v>35</v>
      </c>
      <c r="AF2" s="28" t="s">
        <v>87</v>
      </c>
      <c r="AG2" t="s">
        <v>88</v>
      </c>
      <c r="AH2" s="20" t="s">
        <v>89</v>
      </c>
      <c r="AI2" s="19" t="s">
        <v>90</v>
      </c>
      <c r="AJ2" s="19" t="s">
        <v>91</v>
      </c>
      <c r="AK2" t="s">
        <v>92</v>
      </c>
      <c r="AL2" s="19">
        <v>10527565</v>
      </c>
      <c r="AM2" s="19">
        <v>10527565</v>
      </c>
      <c r="AN2" s="29" t="s">
        <v>70</v>
      </c>
      <c r="AO2" s="29" t="s">
        <v>93</v>
      </c>
      <c r="AP2" s="30">
        <f t="array" aca="1" ref="AP2:AP3" ca="1">_xlfn.RANDARRAY(2,1,12345678910,99999999999,TRUE)</f>
        <v>27102065714</v>
      </c>
      <c r="AQ2" s="15" t="s">
        <v>94</v>
      </c>
      <c r="AR2" s="21" t="s">
        <v>95</v>
      </c>
      <c r="AS2" s="21" t="s">
        <v>96</v>
      </c>
      <c r="AT2" s="20" t="str">
        <f>AH2</f>
        <v>N/A</v>
      </c>
      <c r="AU2" t="s">
        <v>97</v>
      </c>
      <c r="AV2" s="31">
        <v>35591</v>
      </c>
      <c r="AW2" s="32" t="s">
        <v>70</v>
      </c>
      <c r="AX2" s="29" t="s">
        <v>78</v>
      </c>
      <c r="AY2" s="32" t="s">
        <v>77</v>
      </c>
      <c r="AZ2" s="32" t="s">
        <v>98</v>
      </c>
      <c r="BA2" s="33" t="s">
        <v>99</v>
      </c>
      <c r="BB2" s="32" t="s">
        <v>100</v>
      </c>
      <c r="BC2" s="32" t="s">
        <v>70</v>
      </c>
      <c r="BD2" t="s">
        <v>101</v>
      </c>
      <c r="BE2" t="s">
        <v>102</v>
      </c>
      <c r="BF2" s="15" t="s">
        <v>103</v>
      </c>
      <c r="BG2" s="29" t="s">
        <v>104</v>
      </c>
      <c r="BH2" s="34" t="s">
        <v>105</v>
      </c>
      <c r="BI2" s="29" t="s">
        <v>106</v>
      </c>
      <c r="BJ2" s="29" t="s">
        <v>107</v>
      </c>
      <c r="BK2" s="29" t="s">
        <v>108</v>
      </c>
      <c r="BL2" s="32" t="s">
        <v>71</v>
      </c>
      <c r="BM2" s="32" t="s">
        <v>109</v>
      </c>
      <c r="BN2" s="32" t="s">
        <v>110</v>
      </c>
      <c r="BO2" s="32" t="s">
        <v>111</v>
      </c>
      <c r="BP2" s="32" t="s">
        <v>112</v>
      </c>
      <c r="BQ2" s="35" t="s">
        <v>76</v>
      </c>
      <c r="BR2" s="35">
        <v>38</v>
      </c>
      <c r="BS2" s="19" t="s">
        <v>113</v>
      </c>
      <c r="BT2" s="32" t="s">
        <v>77</v>
      </c>
      <c r="BU2" s="32" t="s">
        <v>78</v>
      </c>
      <c r="BV2" s="32" t="s">
        <v>75</v>
      </c>
      <c r="BW2" s="32" t="s">
        <v>80</v>
      </c>
      <c r="BX2" s="32" t="s">
        <v>75</v>
      </c>
      <c r="BY2" s="32" t="s">
        <v>114</v>
      </c>
      <c r="BZ2" s="19" t="s">
        <v>115</v>
      </c>
      <c r="CA2" s="36" t="s">
        <v>116</v>
      </c>
    </row>
    <row r="3" spans="1:79" ht="15.65" customHeight="1" x14ac:dyDescent="0.35">
      <c r="A3" s="1" t="s">
        <v>134</v>
      </c>
      <c r="C3" s="13"/>
      <c r="D3" s="14" t="s">
        <v>118</v>
      </c>
      <c r="E3" s="15" t="s">
        <v>70</v>
      </c>
      <c r="F3" s="16" t="s">
        <v>119</v>
      </c>
      <c r="G3" s="17" t="s">
        <v>120</v>
      </c>
      <c r="H3" s="18" t="s">
        <v>121</v>
      </c>
      <c r="I3" s="19">
        <v>25041111</v>
      </c>
      <c r="J3" s="19" t="s">
        <v>74</v>
      </c>
      <c r="K3" s="19" t="s">
        <v>75</v>
      </c>
      <c r="L3" s="20">
        <f ca="1">TODAY()-31</f>
        <v>45685</v>
      </c>
      <c r="M3" s="15" t="s">
        <v>70</v>
      </c>
      <c r="N3" s="21" t="s">
        <v>76</v>
      </c>
      <c r="O3" s="19">
        <v>38</v>
      </c>
      <c r="P3" s="19">
        <v>1000</v>
      </c>
      <c r="Q3" s="19" t="s">
        <v>77</v>
      </c>
      <c r="R3" s="19" t="s">
        <v>78</v>
      </c>
      <c r="S3" s="19" t="s">
        <v>75</v>
      </c>
      <c r="T3" s="22" t="s">
        <v>79</v>
      </c>
      <c r="U3" s="23" t="s">
        <v>80</v>
      </c>
      <c r="V3" s="19" t="s">
        <v>75</v>
      </c>
      <c r="W3" s="24">
        <f ca="1">L3</f>
        <v>45685</v>
      </c>
      <c r="X3" s="19" t="s">
        <v>81</v>
      </c>
      <c r="Y3" s="25" t="s">
        <v>122</v>
      </c>
      <c r="Z3" t="s">
        <v>123</v>
      </c>
      <c r="AA3" s="26" t="s">
        <v>124</v>
      </c>
      <c r="AB3" t="s">
        <v>85</v>
      </c>
      <c r="AC3" s="1" t="s">
        <v>86</v>
      </c>
      <c r="AD3" s="1" t="s">
        <v>54</v>
      </c>
      <c r="AE3" s="27">
        <v>35</v>
      </c>
      <c r="AF3" s="15" t="s">
        <v>125</v>
      </c>
      <c r="AG3" t="s">
        <v>88</v>
      </c>
      <c r="AH3" s="20">
        <f ca="1">TODAY()+365</f>
        <v>46081</v>
      </c>
      <c r="AI3" s="19" t="s">
        <v>90</v>
      </c>
      <c r="AJ3" s="19" t="s">
        <v>126</v>
      </c>
      <c r="AK3" s="1">
        <v>251</v>
      </c>
      <c r="AL3" s="19">
        <v>10527565</v>
      </c>
      <c r="AM3" s="19">
        <v>8708905</v>
      </c>
      <c r="AN3" s="29" t="s">
        <v>70</v>
      </c>
      <c r="AO3" s="29" t="s">
        <v>93</v>
      </c>
      <c r="AP3" s="1">
        <f ca="1"/>
        <v>52959267022</v>
      </c>
      <c r="AQ3" s="15" t="s">
        <v>94</v>
      </c>
      <c r="AR3" s="21" t="s">
        <v>127</v>
      </c>
      <c r="AS3" s="21" t="s">
        <v>96</v>
      </c>
      <c r="AT3" s="20">
        <f ca="1">AH3</f>
        <v>46081</v>
      </c>
      <c r="AU3" t="s">
        <v>128</v>
      </c>
      <c r="AV3" s="31">
        <v>35591</v>
      </c>
      <c r="AW3" s="32" t="s">
        <v>70</v>
      </c>
      <c r="AX3" s="29" t="s">
        <v>78</v>
      </c>
      <c r="AY3" s="32" t="s">
        <v>77</v>
      </c>
      <c r="AZ3" s="32" t="s">
        <v>98</v>
      </c>
      <c r="BA3" s="33" t="s">
        <v>99</v>
      </c>
      <c r="BB3" s="32" t="s">
        <v>100</v>
      </c>
      <c r="BC3" s="32" t="s">
        <v>70</v>
      </c>
      <c r="BD3" s="37" t="s">
        <v>129</v>
      </c>
      <c r="BE3" t="s">
        <v>130</v>
      </c>
      <c r="BF3" s="15" t="s">
        <v>103</v>
      </c>
      <c r="BG3" s="29" t="s">
        <v>104</v>
      </c>
      <c r="BH3" s="34" t="s">
        <v>105</v>
      </c>
      <c r="BI3" s="29" t="s">
        <v>106</v>
      </c>
      <c r="BJ3" s="29" t="s">
        <v>107</v>
      </c>
      <c r="BK3" s="29" t="s">
        <v>108</v>
      </c>
      <c r="BL3" s="32" t="s">
        <v>71</v>
      </c>
      <c r="BM3" s="32" t="s">
        <v>131</v>
      </c>
      <c r="BN3" s="32" t="s">
        <v>132</v>
      </c>
      <c r="BO3" s="32" t="s">
        <v>111</v>
      </c>
      <c r="BP3" s="32" t="s">
        <v>112</v>
      </c>
      <c r="BQ3" s="35" t="s">
        <v>76</v>
      </c>
      <c r="BR3" s="35">
        <v>38</v>
      </c>
      <c r="BS3" s="19" t="s">
        <v>113</v>
      </c>
      <c r="BT3" s="32" t="s">
        <v>77</v>
      </c>
      <c r="BU3" s="32" t="s">
        <v>78</v>
      </c>
      <c r="BV3" s="32" t="s">
        <v>75</v>
      </c>
      <c r="BW3" s="32" t="s">
        <v>80</v>
      </c>
      <c r="BX3" s="32" t="s">
        <v>75</v>
      </c>
      <c r="BY3" s="32" t="s">
        <v>114</v>
      </c>
      <c r="BZ3" s="19" t="s">
        <v>115</v>
      </c>
      <c r="CA3" s="36" t="s">
        <v>116</v>
      </c>
    </row>
    <row r="4" spans="1:79" ht="15.65" customHeight="1" x14ac:dyDescent="0.35">
      <c r="A4" s="1" t="s">
        <v>68</v>
      </c>
      <c r="D4" s="14" t="s">
        <v>69</v>
      </c>
      <c r="E4" s="15" t="s">
        <v>70</v>
      </c>
      <c r="F4" s="16" t="s">
        <v>71</v>
      </c>
      <c r="G4" s="17" t="s">
        <v>72</v>
      </c>
      <c r="H4" s="18" t="s">
        <v>73</v>
      </c>
      <c r="I4" s="19">
        <v>25041111</v>
      </c>
      <c r="J4" s="19" t="s">
        <v>74</v>
      </c>
      <c r="K4" s="19" t="s">
        <v>75</v>
      </c>
      <c r="L4" s="20">
        <f ca="1">TODAY()-31</f>
        <v>45685</v>
      </c>
      <c r="M4" s="15" t="s">
        <v>70</v>
      </c>
      <c r="N4" s="21" t="s">
        <v>76</v>
      </c>
      <c r="O4" s="19">
        <v>38</v>
      </c>
      <c r="P4" s="19">
        <v>1000</v>
      </c>
      <c r="Q4" s="19" t="s">
        <v>77</v>
      </c>
      <c r="R4" s="19" t="s">
        <v>78</v>
      </c>
      <c r="S4" s="19" t="s">
        <v>75</v>
      </c>
      <c r="T4" s="22" t="s">
        <v>79</v>
      </c>
      <c r="U4" s="23" t="s">
        <v>80</v>
      </c>
      <c r="V4" s="19" t="s">
        <v>75</v>
      </c>
      <c r="W4" s="24">
        <f ca="1">L4</f>
        <v>45685</v>
      </c>
      <c r="X4" s="19" t="s">
        <v>81</v>
      </c>
      <c r="Y4" s="25" t="s">
        <v>82</v>
      </c>
      <c r="Z4" t="s">
        <v>83</v>
      </c>
      <c r="AA4" s="26" t="s">
        <v>84</v>
      </c>
      <c r="AB4" t="s">
        <v>85</v>
      </c>
      <c r="AC4" s="1" t="s">
        <v>86</v>
      </c>
      <c r="AD4" s="1" t="s">
        <v>54</v>
      </c>
      <c r="AE4" s="27">
        <v>35</v>
      </c>
      <c r="AF4" s="28" t="s">
        <v>87</v>
      </c>
      <c r="AG4" t="s">
        <v>88</v>
      </c>
      <c r="AH4" s="20" t="s">
        <v>89</v>
      </c>
      <c r="AI4" s="19" t="s">
        <v>90</v>
      </c>
      <c r="AJ4" s="19" t="s">
        <v>91</v>
      </c>
      <c r="AK4" t="s">
        <v>92</v>
      </c>
      <c r="AL4" s="19">
        <v>10527565</v>
      </c>
      <c r="AM4" s="19">
        <v>10527565</v>
      </c>
      <c r="AN4" s="29" t="s">
        <v>70</v>
      </c>
      <c r="AO4" s="29" t="s">
        <v>93</v>
      </c>
      <c r="AP4" s="30">
        <f t="array" aca="1" ref="AP4:AP5" ca="1">_xlfn.RANDARRAY(2,1,12345678910,99999999999,TRUE)</f>
        <v>38945764286</v>
      </c>
      <c r="AQ4" s="15" t="s">
        <v>94</v>
      </c>
      <c r="AR4" s="21" t="s">
        <v>95</v>
      </c>
      <c r="AS4" s="21" t="s">
        <v>96</v>
      </c>
      <c r="AT4" s="20" t="str">
        <f>AH4</f>
        <v>N/A</v>
      </c>
      <c r="AU4" t="s">
        <v>97</v>
      </c>
      <c r="AV4" s="31">
        <v>35591</v>
      </c>
      <c r="AW4" s="32" t="s">
        <v>70</v>
      </c>
      <c r="AX4" s="29" t="s">
        <v>78</v>
      </c>
      <c r="AY4" s="32" t="s">
        <v>77</v>
      </c>
      <c r="AZ4" s="32" t="s">
        <v>98</v>
      </c>
      <c r="BA4" s="33" t="s">
        <v>99</v>
      </c>
      <c r="BB4" s="32" t="s">
        <v>100</v>
      </c>
      <c r="BC4" s="32" t="s">
        <v>70</v>
      </c>
      <c r="BD4" t="s">
        <v>101</v>
      </c>
      <c r="BE4" t="s">
        <v>102</v>
      </c>
      <c r="BF4" s="15" t="s">
        <v>103</v>
      </c>
      <c r="BG4" s="29" t="s">
        <v>104</v>
      </c>
      <c r="BH4" s="34" t="s">
        <v>105</v>
      </c>
      <c r="BI4" s="29" t="s">
        <v>106</v>
      </c>
      <c r="BJ4" s="29" t="s">
        <v>107</v>
      </c>
      <c r="BK4" s="29" t="s">
        <v>108</v>
      </c>
      <c r="BL4" s="32" t="s">
        <v>71</v>
      </c>
      <c r="BM4" s="32" t="s">
        <v>109</v>
      </c>
      <c r="BN4" s="32" t="s">
        <v>110</v>
      </c>
      <c r="BO4" s="32" t="s">
        <v>111</v>
      </c>
      <c r="BP4" s="32" t="s">
        <v>112</v>
      </c>
      <c r="BQ4" s="35" t="s">
        <v>76</v>
      </c>
      <c r="BR4" s="35">
        <v>38</v>
      </c>
      <c r="BS4" s="19" t="s">
        <v>113</v>
      </c>
      <c r="BT4" s="32" t="s">
        <v>77</v>
      </c>
      <c r="BU4" s="32" t="s">
        <v>78</v>
      </c>
      <c r="BV4" s="32" t="s">
        <v>75</v>
      </c>
      <c r="BW4" s="32" t="s">
        <v>80</v>
      </c>
      <c r="BX4" s="32" t="s">
        <v>75</v>
      </c>
      <c r="BY4" s="32" t="s">
        <v>114</v>
      </c>
      <c r="BZ4" s="19" t="s">
        <v>115</v>
      </c>
      <c r="CA4" s="36" t="s">
        <v>116</v>
      </c>
    </row>
    <row r="5" spans="1:79" ht="15.65" customHeight="1" x14ac:dyDescent="0.35">
      <c r="A5" s="1" t="s">
        <v>117</v>
      </c>
      <c r="D5" s="14" t="s">
        <v>118</v>
      </c>
      <c r="E5" s="15" t="s">
        <v>70</v>
      </c>
      <c r="F5" s="16" t="s">
        <v>119</v>
      </c>
      <c r="G5" s="17" t="s">
        <v>120</v>
      </c>
      <c r="H5" s="18" t="s">
        <v>121</v>
      </c>
      <c r="I5" s="19">
        <v>25041111</v>
      </c>
      <c r="J5" s="19" t="s">
        <v>74</v>
      </c>
      <c r="K5" s="19" t="s">
        <v>75</v>
      </c>
      <c r="L5" s="20">
        <f ca="1">TODAY()-31</f>
        <v>45685</v>
      </c>
      <c r="M5" s="15" t="s">
        <v>70</v>
      </c>
      <c r="N5" s="21" t="s">
        <v>76</v>
      </c>
      <c r="O5" s="19">
        <v>38</v>
      </c>
      <c r="P5" s="19">
        <v>1000</v>
      </c>
      <c r="Q5" s="19" t="s">
        <v>77</v>
      </c>
      <c r="R5" s="19" t="s">
        <v>78</v>
      </c>
      <c r="S5" s="19" t="s">
        <v>75</v>
      </c>
      <c r="T5" s="22" t="s">
        <v>79</v>
      </c>
      <c r="U5" s="23" t="s">
        <v>80</v>
      </c>
      <c r="V5" s="19" t="s">
        <v>75</v>
      </c>
      <c r="W5" s="24">
        <f ca="1">L5</f>
        <v>45685</v>
      </c>
      <c r="X5" s="19" t="s">
        <v>81</v>
      </c>
      <c r="Y5" s="25" t="s">
        <v>122</v>
      </c>
      <c r="Z5" t="s">
        <v>123</v>
      </c>
      <c r="AA5" s="26" t="s">
        <v>124</v>
      </c>
      <c r="AB5" t="s">
        <v>85</v>
      </c>
      <c r="AC5" s="1" t="s">
        <v>86</v>
      </c>
      <c r="AD5" s="1" t="s">
        <v>54</v>
      </c>
      <c r="AE5" s="27">
        <v>35</v>
      </c>
      <c r="AF5" s="15" t="s">
        <v>125</v>
      </c>
      <c r="AG5" t="s">
        <v>88</v>
      </c>
      <c r="AH5" s="20">
        <f ca="1">TODAY()+365</f>
        <v>46081</v>
      </c>
      <c r="AI5" s="19" t="s">
        <v>90</v>
      </c>
      <c r="AJ5" s="19" t="s">
        <v>126</v>
      </c>
      <c r="AK5" s="1">
        <v>251</v>
      </c>
      <c r="AL5" s="19">
        <v>10527565</v>
      </c>
      <c r="AM5" s="19">
        <v>8708905</v>
      </c>
      <c r="AN5" s="29" t="s">
        <v>70</v>
      </c>
      <c r="AO5" s="29" t="s">
        <v>93</v>
      </c>
      <c r="AP5" s="1">
        <f ca="1"/>
        <v>40748438235</v>
      </c>
      <c r="AQ5" s="15" t="s">
        <v>94</v>
      </c>
      <c r="AR5" s="21" t="s">
        <v>127</v>
      </c>
      <c r="AS5" s="21" t="s">
        <v>96</v>
      </c>
      <c r="AT5" s="20">
        <f ca="1">AH5</f>
        <v>46081</v>
      </c>
      <c r="AU5" t="s">
        <v>128</v>
      </c>
      <c r="AV5" s="31">
        <v>35591</v>
      </c>
      <c r="AW5" s="32" t="s">
        <v>70</v>
      </c>
      <c r="AX5" s="29" t="s">
        <v>78</v>
      </c>
      <c r="AY5" s="32" t="s">
        <v>77</v>
      </c>
      <c r="AZ5" s="32" t="s">
        <v>98</v>
      </c>
      <c r="BA5" s="33" t="s">
        <v>99</v>
      </c>
      <c r="BB5" s="32" t="s">
        <v>100</v>
      </c>
      <c r="BC5" s="32" t="s">
        <v>70</v>
      </c>
      <c r="BD5" s="37" t="s">
        <v>129</v>
      </c>
      <c r="BE5" t="s">
        <v>130</v>
      </c>
      <c r="BF5" s="15" t="s">
        <v>103</v>
      </c>
      <c r="BG5" s="29" t="s">
        <v>104</v>
      </c>
      <c r="BH5" s="34" t="s">
        <v>105</v>
      </c>
      <c r="BI5" s="29" t="s">
        <v>106</v>
      </c>
      <c r="BJ5" s="29" t="s">
        <v>107</v>
      </c>
      <c r="BK5" s="29" t="s">
        <v>108</v>
      </c>
      <c r="BL5" s="32" t="s">
        <v>71</v>
      </c>
      <c r="BM5" s="32" t="s">
        <v>131</v>
      </c>
      <c r="BN5" s="32" t="s">
        <v>132</v>
      </c>
      <c r="BO5" s="32" t="s">
        <v>111</v>
      </c>
      <c r="BP5" s="32" t="s">
        <v>112</v>
      </c>
      <c r="BQ5" s="35" t="s">
        <v>76</v>
      </c>
      <c r="BR5" s="35">
        <v>38</v>
      </c>
      <c r="BS5" s="19" t="s">
        <v>113</v>
      </c>
      <c r="BT5" s="32" t="s">
        <v>77</v>
      </c>
      <c r="BU5" s="32" t="s">
        <v>78</v>
      </c>
      <c r="BV5" s="32" t="s">
        <v>75</v>
      </c>
      <c r="BW5" s="32" t="s">
        <v>80</v>
      </c>
      <c r="BX5" s="32" t="s">
        <v>75</v>
      </c>
      <c r="BY5" s="32" t="s">
        <v>114</v>
      </c>
      <c r="BZ5" s="19" t="s">
        <v>115</v>
      </c>
      <c r="CA5" s="36" t="s">
        <v>116</v>
      </c>
    </row>
    <row r="6" spans="1:79" ht="15.65" customHeight="1" x14ac:dyDescent="0.35">
      <c r="A6" s="1" t="s">
        <v>135</v>
      </c>
      <c r="D6" s="14" t="s">
        <v>69</v>
      </c>
      <c r="E6" s="15" t="s">
        <v>70</v>
      </c>
      <c r="F6" s="16" t="s">
        <v>71</v>
      </c>
      <c r="G6" s="17" t="s">
        <v>72</v>
      </c>
      <c r="H6" s="18" t="s">
        <v>73</v>
      </c>
      <c r="I6" s="19">
        <v>25041111</v>
      </c>
      <c r="J6" s="19" t="s">
        <v>74</v>
      </c>
      <c r="K6" s="19" t="s">
        <v>75</v>
      </c>
      <c r="L6" s="20">
        <f ca="1">TODAY()-31</f>
        <v>45685</v>
      </c>
      <c r="M6" s="15" t="s">
        <v>70</v>
      </c>
      <c r="N6" s="21" t="s">
        <v>76</v>
      </c>
      <c r="O6" s="19">
        <v>38</v>
      </c>
      <c r="P6" s="19">
        <v>1000</v>
      </c>
      <c r="Q6" s="19" t="s">
        <v>77</v>
      </c>
      <c r="R6" s="19" t="s">
        <v>78</v>
      </c>
      <c r="S6" s="19" t="s">
        <v>75</v>
      </c>
      <c r="T6" s="22" t="s">
        <v>79</v>
      </c>
      <c r="U6" s="23" t="s">
        <v>80</v>
      </c>
      <c r="V6" s="19" t="s">
        <v>75</v>
      </c>
      <c r="W6" s="24">
        <f ca="1">L6</f>
        <v>45685</v>
      </c>
      <c r="X6" s="19" t="s">
        <v>81</v>
      </c>
      <c r="Y6" s="25" t="s">
        <v>82</v>
      </c>
      <c r="Z6" t="s">
        <v>83</v>
      </c>
      <c r="AA6" s="26" t="s">
        <v>84</v>
      </c>
      <c r="AB6" t="s">
        <v>85</v>
      </c>
      <c r="AC6" s="1" t="s">
        <v>86</v>
      </c>
      <c r="AD6" s="1" t="s">
        <v>54</v>
      </c>
      <c r="AE6" s="27">
        <v>35</v>
      </c>
      <c r="AF6" s="28" t="s">
        <v>87</v>
      </c>
      <c r="AG6" t="s">
        <v>88</v>
      </c>
      <c r="AH6" s="20" t="s">
        <v>89</v>
      </c>
      <c r="AI6" s="19" t="s">
        <v>90</v>
      </c>
      <c r="AJ6" s="19" t="s">
        <v>91</v>
      </c>
      <c r="AK6" t="s">
        <v>92</v>
      </c>
      <c r="AL6" s="19">
        <v>10527565</v>
      </c>
      <c r="AM6" s="19">
        <v>10527565</v>
      </c>
      <c r="AN6" s="29" t="s">
        <v>70</v>
      </c>
      <c r="AO6" s="29" t="s">
        <v>93</v>
      </c>
      <c r="AP6" s="30">
        <f t="array" aca="1" ref="AP6:AP7" ca="1">_xlfn.RANDARRAY(2,1,12345678910,99999999999,TRUE)</f>
        <v>77482973560</v>
      </c>
      <c r="AQ6" s="15" t="s">
        <v>94</v>
      </c>
      <c r="AR6" s="21" t="s">
        <v>95</v>
      </c>
      <c r="AS6" s="21" t="s">
        <v>96</v>
      </c>
      <c r="AT6" s="20" t="s">
        <v>89</v>
      </c>
      <c r="AU6" t="s">
        <v>97</v>
      </c>
      <c r="AV6" s="31">
        <v>35591</v>
      </c>
      <c r="AW6" s="32" t="s">
        <v>70</v>
      </c>
      <c r="AX6" s="29" t="s">
        <v>78</v>
      </c>
      <c r="AY6" s="32" t="s">
        <v>77</v>
      </c>
      <c r="AZ6" s="32" t="s">
        <v>98</v>
      </c>
      <c r="BA6" s="33" t="s">
        <v>99</v>
      </c>
      <c r="BB6" s="32" t="s">
        <v>100</v>
      </c>
      <c r="BC6" s="32" t="s">
        <v>70</v>
      </c>
      <c r="BD6" t="s">
        <v>101</v>
      </c>
      <c r="BE6" t="s">
        <v>102</v>
      </c>
      <c r="BF6" s="15" t="s">
        <v>103</v>
      </c>
      <c r="BG6" s="29" t="s">
        <v>104</v>
      </c>
      <c r="BH6" s="34" t="s">
        <v>105</v>
      </c>
      <c r="BI6" s="29" t="s">
        <v>106</v>
      </c>
      <c r="BJ6" s="29" t="s">
        <v>107</v>
      </c>
      <c r="BK6" s="29" t="s">
        <v>108</v>
      </c>
      <c r="BL6" s="32" t="s">
        <v>71</v>
      </c>
      <c r="BM6" s="32" t="s">
        <v>109</v>
      </c>
      <c r="BN6" s="32" t="s">
        <v>110</v>
      </c>
      <c r="BO6" s="32" t="s">
        <v>111</v>
      </c>
      <c r="BP6" s="32" t="s">
        <v>112</v>
      </c>
      <c r="BQ6" s="35" t="s">
        <v>76</v>
      </c>
      <c r="BR6" s="35">
        <v>38</v>
      </c>
      <c r="BS6" s="19" t="s">
        <v>113</v>
      </c>
      <c r="BT6" s="32" t="s">
        <v>77</v>
      </c>
      <c r="BU6" s="32" t="s">
        <v>78</v>
      </c>
      <c r="BV6" s="32" t="s">
        <v>75</v>
      </c>
      <c r="BW6" s="32" t="s">
        <v>80</v>
      </c>
      <c r="BX6" s="32" t="s">
        <v>75</v>
      </c>
      <c r="BY6" s="32" t="s">
        <v>114</v>
      </c>
      <c r="BZ6" s="19" t="s">
        <v>115</v>
      </c>
      <c r="CA6" s="36" t="s">
        <v>116</v>
      </c>
    </row>
    <row r="7" spans="1:79" ht="15.65" customHeight="1" x14ac:dyDescent="0.35">
      <c r="A7" s="1" t="s">
        <v>136</v>
      </c>
      <c r="D7" s="14" t="s">
        <v>118</v>
      </c>
      <c r="E7" s="15" t="s">
        <v>70</v>
      </c>
      <c r="F7" s="16" t="s">
        <v>119</v>
      </c>
      <c r="G7" s="17" t="s">
        <v>120</v>
      </c>
      <c r="H7" s="18" t="s">
        <v>121</v>
      </c>
      <c r="I7" s="19">
        <v>25041111</v>
      </c>
      <c r="J7" s="19" t="s">
        <v>74</v>
      </c>
      <c r="K7" s="19" t="s">
        <v>75</v>
      </c>
      <c r="L7" s="20">
        <f ca="1">TODAY()-31</f>
        <v>45685</v>
      </c>
      <c r="M7" s="15" t="s">
        <v>70</v>
      </c>
      <c r="N7" s="21" t="s">
        <v>76</v>
      </c>
      <c r="O7" s="19">
        <v>38</v>
      </c>
      <c r="P7" s="19">
        <v>1000</v>
      </c>
      <c r="Q7" s="19" t="s">
        <v>77</v>
      </c>
      <c r="R7" s="19" t="s">
        <v>78</v>
      </c>
      <c r="S7" s="19" t="s">
        <v>75</v>
      </c>
      <c r="T7" s="22" t="s">
        <v>79</v>
      </c>
      <c r="U7" s="23" t="s">
        <v>80</v>
      </c>
      <c r="V7" s="19" t="s">
        <v>75</v>
      </c>
      <c r="W7" s="24">
        <f ca="1">L7</f>
        <v>45685</v>
      </c>
      <c r="X7" s="19" t="s">
        <v>81</v>
      </c>
      <c r="Y7" s="25" t="s">
        <v>122</v>
      </c>
      <c r="Z7" t="s">
        <v>123</v>
      </c>
      <c r="AA7" s="26" t="s">
        <v>124</v>
      </c>
      <c r="AB7" t="s">
        <v>85</v>
      </c>
      <c r="AC7" s="1" t="s">
        <v>86</v>
      </c>
      <c r="AD7" s="1" t="s">
        <v>54</v>
      </c>
      <c r="AE7" s="27">
        <v>35</v>
      </c>
      <c r="AF7" s="15" t="s">
        <v>125</v>
      </c>
      <c r="AG7" t="s">
        <v>88</v>
      </c>
      <c r="AH7" s="20">
        <f ca="1">TODAY()+365</f>
        <v>46081</v>
      </c>
      <c r="AI7" s="19" t="s">
        <v>90</v>
      </c>
      <c r="AJ7" s="19" t="s">
        <v>126</v>
      </c>
      <c r="AK7" s="1">
        <v>251</v>
      </c>
      <c r="AL7" s="19">
        <v>10527565</v>
      </c>
      <c r="AM7" s="19">
        <v>8708905</v>
      </c>
      <c r="AN7" s="29" t="s">
        <v>70</v>
      </c>
      <c r="AO7" s="29" t="s">
        <v>93</v>
      </c>
      <c r="AP7" s="1">
        <f ca="1"/>
        <v>20229611767</v>
      </c>
      <c r="AQ7" s="15" t="s">
        <v>94</v>
      </c>
      <c r="AR7" s="21" t="s">
        <v>127</v>
      </c>
      <c r="AS7" s="21" t="s">
        <v>96</v>
      </c>
      <c r="AT7" s="20">
        <f ca="1">AH7</f>
        <v>46081</v>
      </c>
      <c r="AU7" t="s">
        <v>128</v>
      </c>
      <c r="AV7" s="31">
        <v>35591</v>
      </c>
      <c r="AW7" s="32" t="s">
        <v>70</v>
      </c>
      <c r="AX7" s="29" t="s">
        <v>78</v>
      </c>
      <c r="AY7" s="32" t="s">
        <v>77</v>
      </c>
      <c r="AZ7" s="32" t="s">
        <v>98</v>
      </c>
      <c r="BA7" s="33" t="s">
        <v>99</v>
      </c>
      <c r="BB7" s="32" t="s">
        <v>100</v>
      </c>
      <c r="BC7" s="32" t="s">
        <v>70</v>
      </c>
      <c r="BD7" s="37" t="s">
        <v>129</v>
      </c>
      <c r="BE7" t="s">
        <v>130</v>
      </c>
      <c r="BF7" s="15" t="s">
        <v>103</v>
      </c>
      <c r="BG7" s="29" t="s">
        <v>104</v>
      </c>
      <c r="BH7" s="34" t="s">
        <v>105</v>
      </c>
      <c r="BI7" s="29" t="s">
        <v>106</v>
      </c>
      <c r="BJ7" s="29" t="s">
        <v>107</v>
      </c>
      <c r="BK7" s="29" t="s">
        <v>108</v>
      </c>
      <c r="BL7" s="32" t="s">
        <v>71</v>
      </c>
      <c r="BM7" s="32" t="s">
        <v>131</v>
      </c>
      <c r="BN7" s="32" t="s">
        <v>132</v>
      </c>
      <c r="BO7" s="32" t="s">
        <v>111</v>
      </c>
      <c r="BP7" s="32" t="s">
        <v>112</v>
      </c>
      <c r="BQ7" s="35" t="s">
        <v>76</v>
      </c>
      <c r="BR7" s="35">
        <v>38</v>
      </c>
      <c r="BS7" s="19" t="s">
        <v>113</v>
      </c>
      <c r="BT7" s="32" t="s">
        <v>77</v>
      </c>
      <c r="BU7" s="32" t="s">
        <v>78</v>
      </c>
      <c r="BV7" s="32" t="s">
        <v>75</v>
      </c>
      <c r="BW7" s="32" t="s">
        <v>80</v>
      </c>
      <c r="BX7" s="32" t="s">
        <v>75</v>
      </c>
      <c r="BY7" s="32" t="s">
        <v>114</v>
      </c>
      <c r="BZ7" s="19" t="s">
        <v>115</v>
      </c>
      <c r="CA7" s="36" t="s">
        <v>116</v>
      </c>
    </row>
    <row r="9" spans="1:79" ht="15.65" customHeight="1" x14ac:dyDescent="0.25">
      <c r="AF9" s="28"/>
    </row>
  </sheetData>
  <phoneticPr fontId="7" type="noConversion"/>
  <dataValidations count="1">
    <dataValidation type="list" allowBlank="1" showInputMessage="1" showErrorMessage="1" sqref="AS2:AS7 X2:X7 V2:V7 S2:S7 K2:K7 BK2:BK7 AZ2:AZ7" xr:uid="{00000000-0002-0000-0000-000000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2839B315-C94B-41B9-8D65-30CAD2364C9F}"/>
    <hyperlink ref="U5" r:id="rId4" xr:uid="{3D6CE038-077F-427B-8AD1-1840B73C97F3}"/>
    <hyperlink ref="U6" r:id="rId5" xr:uid="{BCCBBD37-B64D-4CE5-A856-9A6D57CC355E}"/>
    <hyperlink ref="U7" r:id="rId6" xr:uid="{0CDB8350-0EA5-4991-BE97-C4138EADE8E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2025-02-28T09:15:38Z</dcterms:modified>
</cp:coreProperties>
</file>