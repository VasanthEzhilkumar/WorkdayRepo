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AEEDE964-35A3-40BF-88EE-73D95F2B07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L3" i="1"/>
  <c r="X3" i="1" s="1"/>
  <c r="AS2" i="1" a="1"/>
  <c r="AS2" i="1" s="1"/>
  <c r="Y2" i="1"/>
  <c r="L2" i="1"/>
  <c r="X2" i="1" s="1"/>
  <c r="AS3" i="1" l="1"/>
</calcChain>
</file>

<file path=xl/sharedStrings.xml><?xml version="1.0" encoding="utf-8"?>
<sst xmlns="http://schemas.openxmlformats.org/spreadsheetml/2006/main" count="142" uniqueCount="94">
  <si>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</si>
  <si>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</si>
  <si>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</si>
  <si>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</si>
  <si>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</si>
  <si>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</si>
  <si>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</si>
  <si>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</si>
  <si>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</si>
  <si>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</si>
  <si>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</si>
  <si>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</si>
  <si>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</si>
  <si>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</si>
  <si>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</si>
  <si>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</si>
  <si>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</si>
  <si>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</si>
  <si>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</si>
  <si>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</si>
  <si>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</si>
  <si>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</si>
  <si>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</si>
  <si>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</si>
  <si>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</si>
  <si>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</si>
  <si>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</si>
  <si>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</si>
  <si>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</si>
  <si>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DefaultWeeklyHours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</si>
  <si>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</si>
  <si>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</si>
  <si>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</si>
  <si>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</si>
  <si>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</si>
  <si>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</si>
  <si>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</si>
  <si>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</si>
  <si>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</si>
  <si>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</si>
  <si>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</si>
  <si>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</si>
  <si>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</si>
  <si>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</si>
  <si>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</si>
  <si>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</si>
  <si>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</si>
  <si>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</si>
  <si>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I9ExpirationDate</t>
  </si>
  <si>
    <t>IssuingAuthority</t>
  </si>
  <si>
    <t>USEmploymentVerificationStatus</t>
  </si>
  <si>
    <t>OverdueReason</t>
  </si>
  <si>
    <t>ProposedPayGroupFinal</t>
  </si>
  <si>
    <t>Test_1</t>
  </si>
  <si>
    <t>United States of America</t>
  </si>
  <si>
    <t>Mr</t>
  </si>
  <si>
    <t>(202) 555-0147</t>
  </si>
  <si>
    <t>Landline</t>
  </si>
  <si>
    <t>Home</t>
  </si>
  <si>
    <t>Automation Street Name</t>
  </si>
  <si>
    <t>Maryland</t>
  </si>
  <si>
    <t xml:space="preserve">Maryland </t>
  </si>
  <si>
    <t>Street Address</t>
  </si>
  <si>
    <t>Testharsh121@gmail.com</t>
  </si>
  <si>
    <t>New Hire</t>
  </si>
  <si>
    <t>Auto 66682893</t>
  </si>
  <si>
    <t>Regular</t>
  </si>
  <si>
    <t>Department Manager_NEW</t>
  </si>
  <si>
    <t>Full time</t>
  </si>
  <si>
    <t>N/A</t>
  </si>
  <si>
    <t>4 Sales Workers - (EEO-1 Job Classifications-United States of America)</t>
  </si>
  <si>
    <t>Default Work Shift (United States of America)</t>
  </si>
  <si>
    <t>Automation Comments here….</t>
  </si>
  <si>
    <t xml:space="preserve">92 Retail Management </t>
  </si>
  <si>
    <t xml:space="preserve">251 Management Retail </t>
  </si>
  <si>
    <t>USA - Tier 2</t>
  </si>
  <si>
    <t>Defaulted</t>
  </si>
  <si>
    <t>Social Security Number (SSN)</t>
  </si>
  <si>
    <t>Male</t>
  </si>
  <si>
    <t>White</t>
  </si>
  <si>
    <t>Employment Authorized</t>
  </si>
  <si>
    <t>Audit Revealed that New Hire Was Not Run</t>
  </si>
  <si>
    <t>USA Pay Group</t>
  </si>
  <si>
    <t>Test_2</t>
  </si>
  <si>
    <t>No</t>
  </si>
  <si>
    <t>Seasonal</t>
  </si>
  <si>
    <t>Retail Assistant_NEW</t>
  </si>
  <si>
    <t>Part time</t>
  </si>
  <si>
    <t>Hourly</t>
  </si>
  <si>
    <t>94 Retail Operative</t>
  </si>
  <si>
    <t>01 Accessories</t>
  </si>
  <si>
    <t>121 Walden Galleria</t>
  </si>
  <si>
    <t>121 Recruitment (Angel Palma (10498025))</t>
  </si>
  <si>
    <t>124 Store Management (Tyler Nelson (10671950))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</si>
</sst>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color rgb="FF040C28"/>
      <name val="Arial"/>
      <family val="2"/>
    </font>
    <font>
      <u/>
      <sz val="14"/>
      <color theme="10"/>
      <name val="Arial"/>
      <family val="2"/>
    </font>
    <font>
      <sz val="14"/>
      <color rgb="FF4A4A4A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DCDB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4" borderId="0" xfId="0" applyFill="1"/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/>
    </xf>
    <xf numFmtId="0" fontId="4" fillId="0" borderId="5" xfId="0" applyFont="1" applyBorder="1"/>
    <xf numFmtId="0" fontId="0" fillId="5" borderId="0" xfId="0" applyFill="1"/>
    <xf numFmtId="0" fontId="4" fillId="5" borderId="3" xfId="0" applyFont="1" applyFill="1" applyBorder="1"/>
    <xf numFmtId="0" fontId="4" fillId="0" borderId="3" xfId="0" applyFont="1" applyBorder="1" applyAlignment="1" applyProtection="1">
      <alignment horizontal="left"/>
      <protection locked="0"/>
    </xf>
    <xf numFmtId="14" fontId="4" fillId="0" borderId="0" xfId="0" applyNumberFormat="1" applyFont="1" applyAlignment="1">
      <alignment horizontal="left"/>
    </xf>
    <xf numFmtId="0" fontId="4" fillId="0" borderId="3" xfId="0" applyFont="1" applyBorder="1" applyProtection="1">
      <protection locked="0"/>
    </xf>
    <xf numFmtId="0" fontId="5" fillId="0" borderId="0" xfId="0" applyFont="1" applyAlignment="1">
      <alignment horizontal="left"/>
    </xf>
    <xf numFmtId="14" fontId="4" fillId="0" borderId="3" xfId="0" applyNumberFormat="1" applyFont="1" applyBorder="1" applyAlignment="1">
      <alignment horizontal="left"/>
    </xf>
    <xf numFmtId="0" fontId="6" fillId="0" borderId="3" xfId="0" applyFont="1" applyBorder="1" applyProtection="1">
      <protection locked="0"/>
    </xf>
    <xf numFmtId="14" fontId="3" fillId="0" borderId="0" xfId="0" applyNumberFormat="1" applyFont="1" applyAlignment="1">
      <alignment horizontal="left"/>
    </xf>
    <xf numFmtId="0" fontId="4" fillId="0" borderId="6" xfId="0" applyFont="1" applyBorder="1" applyAlignment="1" applyProtection="1">
      <alignment horizontal="left"/>
      <protection locked="0"/>
    </xf>
    <xf numFmtId="0" fontId="4" fillId="5" borderId="3" xfId="0" applyFont="1" applyFill="1" applyBorder="1" applyAlignment="1" applyProtection="1">
      <alignment horizontal="left"/>
      <protection locked="0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 applyProtection="1">
      <alignment horizontal="left" wrapText="1"/>
      <protection locked="0"/>
    </xf>
    <xf numFmtId="0" fontId="8" fillId="0" borderId="3" xfId="0" applyFont="1" applyBorder="1" applyAlignment="1">
      <alignment horizontal="left"/>
    </xf>
    <xf numFmtId="164" fontId="4" fillId="0" borderId="3" xfId="0" applyNumberFormat="1" applyFont="1" applyBorder="1" applyAlignment="1" applyProtection="1">
      <alignment horizontal="left"/>
      <protection locked="0"/>
    </xf>
    <xf numFmtId="1" fontId="4" fillId="3" borderId="0" xfId="0" applyNumberFormat="1" applyFont="1" applyFill="1" applyAlignment="1" applyProtection="1">
      <alignment horizontal="left"/>
      <protection locked="0"/>
    </xf>
    <xf numFmtId="164" fontId="4" fillId="0" borderId="1" xfId="0" applyNumberFormat="1" applyFont="1" applyBorder="1" applyAlignment="1" applyProtection="1">
      <alignment horizontal="left"/>
      <protection locked="0"/>
    </xf>
    <xf numFmtId="14" fontId="0" fillId="0" borderId="0" xfId="0" applyNumberFormat="1"/>
    <xf numFmtId="0" fontId="8" fillId="0" borderId="5" xfId="0" applyFont="1" applyBorder="1"/>
    <xf numFmtId="0" fontId="9" fillId="6" borderId="0" xfId="0" applyFont="1" applyFill="1"/>
    <xf numFmtId="0" fontId="8" fillId="6" borderId="3" xfId="0" applyFont="1" applyFill="1" applyBorder="1"/>
    <xf numFmtId="14" fontId="8" fillId="0" borderId="0" xfId="0" applyNumberFormat="1" applyFont="1" applyAlignment="1">
      <alignment horizontal="left"/>
    </xf>
    <xf numFmtId="0" fontId="8" fillId="0" borderId="3" xfId="0" applyFont="1" applyBorder="1"/>
    <xf numFmtId="0" fontId="10" fillId="0" borderId="3" xfId="0" applyFont="1" applyBorder="1"/>
    <xf numFmtId="0" fontId="8" fillId="0" borderId="6" xfId="0" applyFont="1" applyBorder="1" applyAlignment="1">
      <alignment horizontal="left"/>
    </xf>
    <xf numFmtId="0" fontId="8" fillId="6" borderId="3" xfId="0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8" fillId="7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" fontId="8" fillId="3" borderId="0" xfId="0" applyNumberFormat="1" applyFont="1" applyFill="1" applyAlignment="1">
      <alignment horizontal="left"/>
    </xf>
    <xf numFmtId="14" fontId="8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harsh121@gmail.com" TargetMode="External"/><Relationship Id="rId1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"/>
  <sheetViews>
    <sheetView tabSelected="1" zoomScale="85" zoomScaleNormal="85" workbookViewId="0">
      <selection activeCell="J13" sqref="J13"/>
    </sheetView>
  </sheetViews>
  <sheetFormatPr defaultRowHeight="14.5" customHeight="1" x14ac:dyDescent="0.35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1.1796875" customWidth="1"/>
    <col min="18" max="18" width="4.2695312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9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5" width="15.6328125" customWidth="1"/>
    <col min="46" max="46" width="7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</cols>
  <sheetData>
    <row r="1" spans="1:56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7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</row>
    <row r="2" spans="1:56" ht="14.5" customHeight="1" x14ac:dyDescent="0.35">
      <c r="A2" t="s">
        <v>53</v>
      </c>
      <c r="C2" s="8"/>
      <c r="D2" s="9" t="s">
        <v>93</v>
      </c>
      <c r="E2" s="10" t="s">
        <v>54</v>
      </c>
      <c r="F2" s="11" t="s">
        <v>55</v>
      </c>
      <c r="G2" s="12"/>
      <c r="H2" s="13"/>
      <c r="I2" s="14" t="s">
        <v>56</v>
      </c>
      <c r="J2" s="14" t="s">
        <v>57</v>
      </c>
      <c r="K2" s="14" t="s">
        <v>58</v>
      </c>
      <c r="L2" s="15">
        <f ca="1">TODAY()-31</f>
        <v>45829</v>
      </c>
      <c r="M2" s="10" t="s">
        <v>54</v>
      </c>
      <c r="N2" s="10" t="s">
        <v>54</v>
      </c>
      <c r="O2" s="16" t="s">
        <v>59</v>
      </c>
      <c r="P2" s="16" t="s">
        <v>60</v>
      </c>
      <c r="Q2" s="17">
        <v>21201</v>
      </c>
      <c r="R2" s="14" t="s">
        <v>61</v>
      </c>
      <c r="S2" s="14" t="s">
        <v>61</v>
      </c>
      <c r="T2" s="14" t="s">
        <v>58</v>
      </c>
      <c r="U2" s="18" t="s">
        <v>62</v>
      </c>
      <c r="V2" s="19" t="s">
        <v>63</v>
      </c>
      <c r="W2" s="14" t="s">
        <v>58</v>
      </c>
      <c r="X2" s="20">
        <f ca="1">L2</f>
        <v>45829</v>
      </c>
      <c r="Y2" s="15">
        <f ca="1">TODAY()+20</f>
        <v>45880</v>
      </c>
      <c r="Z2" s="21" t="s">
        <v>64</v>
      </c>
      <c r="AA2" s="22" t="s">
        <v>65</v>
      </c>
      <c r="AB2" s="23" t="s">
        <v>66</v>
      </c>
      <c r="AC2" s="24" t="s">
        <v>67</v>
      </c>
      <c r="AD2" s="23" t="s">
        <v>68</v>
      </c>
      <c r="AE2" s="25">
        <v>124</v>
      </c>
      <c r="AF2" s="25" t="s">
        <v>47</v>
      </c>
      <c r="AG2" s="25" t="s">
        <v>69</v>
      </c>
      <c r="AH2" s="26">
        <v>40</v>
      </c>
      <c r="AI2" s="23" t="s">
        <v>70</v>
      </c>
      <c r="AJ2" s="23" t="s">
        <v>71</v>
      </c>
      <c r="AK2" s="20" t="s">
        <v>69</v>
      </c>
      <c r="AL2" s="14" t="s">
        <v>72</v>
      </c>
      <c r="AM2" s="14" t="s">
        <v>73</v>
      </c>
      <c r="AN2" s="23" t="s">
        <v>74</v>
      </c>
      <c r="AO2" s="27" t="s">
        <v>75</v>
      </c>
      <c r="AP2" s="10" t="s">
        <v>76</v>
      </c>
      <c r="AQ2" s="10" t="s">
        <v>54</v>
      </c>
      <c r="AR2" s="28" t="s">
        <v>77</v>
      </c>
      <c r="AS2" s="29">
        <f t="array" aca="1" ref="AS2:AS3" ca="1">_xlfn.RANDARRAY(2,1,123456789,999999999,TRUE)</f>
        <v>139696207</v>
      </c>
      <c r="AT2" s="23" t="s">
        <v>78</v>
      </c>
      <c r="AU2" s="30">
        <v>35591</v>
      </c>
      <c r="AV2" s="10" t="s">
        <v>54</v>
      </c>
      <c r="AW2" t="s">
        <v>79</v>
      </c>
      <c r="AX2" s="10" t="s">
        <v>54</v>
      </c>
      <c r="AY2" s="10" t="s">
        <v>76</v>
      </c>
      <c r="AZ2" s="31">
        <v>54057</v>
      </c>
      <c r="BA2" t="s">
        <v>60</v>
      </c>
      <c r="BB2" t="s">
        <v>80</v>
      </c>
      <c r="BC2" t="s">
        <v>81</v>
      </c>
      <c r="BD2" t="s">
        <v>82</v>
      </c>
    </row>
    <row r="3" spans="1:56" ht="14.5" customHeight="1" x14ac:dyDescent="0.35">
      <c r="A3" t="s">
        <v>83</v>
      </c>
      <c r="C3" s="8"/>
      <c r="D3" s="9" t="s">
        <v>92</v>
      </c>
      <c r="E3" s="27" t="s">
        <v>54</v>
      </c>
      <c r="F3" s="32" t="s">
        <v>55</v>
      </c>
      <c r="G3" s="33"/>
      <c r="H3" s="34"/>
      <c r="I3" s="27" t="s">
        <v>56</v>
      </c>
      <c r="J3" s="27" t="s">
        <v>57</v>
      </c>
      <c r="K3" s="27" t="s">
        <v>58</v>
      </c>
      <c r="L3" s="35">
        <f t="shared" ref="L3" ca="1" si="0">TODAY()-31</f>
        <v>45829</v>
      </c>
      <c r="M3" s="27" t="s">
        <v>54</v>
      </c>
      <c r="N3" s="36" t="s">
        <v>60</v>
      </c>
      <c r="O3" s="36" t="s">
        <v>59</v>
      </c>
      <c r="P3" s="36" t="s">
        <v>60</v>
      </c>
      <c r="Q3" s="17">
        <v>21201</v>
      </c>
      <c r="R3" s="36" t="s">
        <v>61</v>
      </c>
      <c r="S3" s="36" t="s">
        <v>61</v>
      </c>
      <c r="T3" s="27" t="s">
        <v>58</v>
      </c>
      <c r="U3" s="27" t="s">
        <v>62</v>
      </c>
      <c r="V3" s="37" t="s">
        <v>63</v>
      </c>
      <c r="W3" s="27" t="s">
        <v>58</v>
      </c>
      <c r="X3" s="20">
        <f t="shared" ref="X3" ca="1" si="1">L3</f>
        <v>45829</v>
      </c>
      <c r="Y3" s="35">
        <f t="shared" ref="Y3" ca="1" si="2">TODAY()+20</f>
        <v>45880</v>
      </c>
      <c r="Z3" s="38" t="s">
        <v>64</v>
      </c>
      <c r="AA3" s="39" t="s">
        <v>84</v>
      </c>
      <c r="AB3" s="40" t="s">
        <v>85</v>
      </c>
      <c r="AC3" s="41" t="s">
        <v>86</v>
      </c>
      <c r="AD3" s="40" t="s">
        <v>87</v>
      </c>
      <c r="AE3" s="42">
        <v>121</v>
      </c>
      <c r="AF3" s="43" t="s">
        <v>88</v>
      </c>
      <c r="AG3" s="25" t="s">
        <v>69</v>
      </c>
      <c r="AH3" s="44">
        <v>10</v>
      </c>
      <c r="AI3" s="40" t="s">
        <v>70</v>
      </c>
      <c r="AJ3" s="40" t="s">
        <v>71</v>
      </c>
      <c r="AK3" s="45" t="s">
        <v>69</v>
      </c>
      <c r="AL3" s="27" t="s">
        <v>72</v>
      </c>
      <c r="AM3" s="27" t="s">
        <v>89</v>
      </c>
      <c r="AN3" s="40" t="s">
        <v>90</v>
      </c>
      <c r="AO3" s="27" t="s">
        <v>91</v>
      </c>
      <c r="AP3" s="27" t="s">
        <v>69</v>
      </c>
      <c r="AQ3" s="27" t="s">
        <v>54</v>
      </c>
      <c r="AR3" s="27" t="s">
        <v>77</v>
      </c>
      <c r="AS3" s="46">
        <f ca="1"/>
        <v>375682668</v>
      </c>
      <c r="AT3" s="40" t="s">
        <v>78</v>
      </c>
      <c r="AU3" s="47">
        <v>35226</v>
      </c>
      <c r="AV3" s="27" t="s">
        <v>54</v>
      </c>
      <c r="AW3" t="s">
        <v>79</v>
      </c>
      <c r="AX3" s="27" t="s">
        <v>54</v>
      </c>
      <c r="AY3" s="27" t="s">
        <v>76</v>
      </c>
      <c r="AZ3" s="31">
        <v>54057</v>
      </c>
      <c r="BA3" t="s">
        <v>60</v>
      </c>
      <c r="BB3" t="s">
        <v>80</v>
      </c>
      <c r="BC3" t="s">
        <v>81</v>
      </c>
      <c r="BD3" t="s">
        <v>82</v>
      </c>
    </row>
  </sheetData>
  <dataValidations count="2">
    <dataValidation type="list" allowBlank="1" showInputMessage="1" showErrorMessage="1" sqref="K2 Z2 W2 T2" xr:uid="{00000000-0002-0000-0000-000000000000}">
      <formula1>INDIRECT($E2)</formula1>
    </dataValidation>
    <dataValidation type="list" allowBlank="1" showInputMessage="1" showErrorMessage="1" sqref="K3 Z3 W3 T3" xr:uid="{00000000-0002-0000-0000-000001000000}">
      <formula1>INDIRECT($G3)</formula1>
    </dataValidation>
  </dataValidations>
  <hyperlinks>
    <hyperlink ref="V2" r:id="rId1" xr:uid="{00000000-0004-0000-0000-000000000000}"/>
    <hyperlink ref="V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2025-07-22T16:52:03Z</dcterms:modified>
</cp:coreProperties>
</file>