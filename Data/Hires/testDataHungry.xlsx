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F7D04299-E0CB-4858-AC76-14A162FCE1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" i="1" l="1"/>
  <c r="AU3" i="1"/>
  <c r="K3" i="1"/>
  <c r="Y3" i="1" s="1"/>
  <c r="AU2" i="1"/>
  <c r="AJ2" i="1"/>
  <c r="AY2" i="1" s="1"/>
  <c r="K2" i="1"/>
  <c r="Y2" i="1" s="1"/>
  <c r="AX2" i="1" l="1"/>
  <c r="AW2" i="1"/>
  <c r="AK2" i="1"/>
  <c r="AK3" i="1"/>
  <c r="AX3" i="1"/>
  <c r="AW3" i="1"/>
</calcChain>
</file>

<file path=xl/sharedStrings.xml><?xml version="1.0" encoding="utf-8"?>
<sst xmlns="http://schemas.openxmlformats.org/spreadsheetml/2006/main" count="261" uniqueCount="172">
  <si>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</si>
  <si>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</si>
  <si>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</si>
  <si>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</si>
  <si>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</si>
  <si>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</si>
  <si>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</si>
  <si>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</si>
  <si>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</si>
  <si>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</si>
  <si>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</si>
  <si>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</si>
  <si>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</si>
  <si>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</si>
  <si>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</si>
  <si>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</si>
  <si>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</si>
  <si>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</si>
  <si>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</si>
  <si>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</si>
  <si>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</si>
  <si>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</si>
  <si>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</si>
  <si>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</si>
  <si>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</si>
  <si>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</si>
  <si>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</si>
  <si>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</si>
  <si>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</si>
  <si>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</si>
  <si>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</si>
  <si>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</si>
  <si>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</si>
  <si>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</si>
  <si>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</si>
  <si>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</si>
  <si>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</si>
  <si>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</si>
  <si>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</si>
  <si>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</si>
  <si>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</si>
  <si>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</si>
  <si>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</si>
  <si>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</si>
  <si>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</si>
  <si>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</si>
  <si>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</si>
  <si>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</si>
  <si>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</si>
  <si>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</si>
  <si>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</si>
  <si>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</si>
  <si>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</si>
  <si>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</si>
  <si>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</si>
  <si>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</si>
  <si>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</si>
  <si>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</si>
  <si>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</si>
  <si>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</si>
  <si>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</si>
  <si>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</si>
  <si>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</si>
  <si>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</si>
  <si>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</si>
  <si>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</si>
  <si>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</si>
  <si>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</si>
  <si>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</si>
  <si>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</si>
  <si>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</si>
  <si>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</si>
  <si>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</si>
  <si>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</si>
  <si>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</si>
  <si>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</si>
  <si>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</si>
  <si>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</si>
  <si>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</si>
  <si>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</si>
  <si>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</si>
  <si>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</si>
  <si>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</si>
  <si>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</si>
  <si>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</si>
  <si>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</si>
  <si>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</si>
  <si>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</si>
  <si>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</si>
  <si>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</si>
  <si>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</si>
  <si>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</si>
  <si>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</si>
  <si>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</si>
  <si>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defaultHours</t>
  </si>
  <si>
    <t>Test_1</t>
  </si>
  <si>
    <t>10700245</t>
  </si>
  <si>
    <t>Passed</t>
  </si>
  <si>
    <t>846 Recruitment (Sekive Solav (10632957))</t>
  </si>
  <si>
    <t>Hungary</t>
  </si>
  <si>
    <t>Carmen</t>
  </si>
  <si>
    <t>Erdman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</si>
  <si>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</si>
  <si>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</si>
  <si>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</si>
  <si>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</si>
  <si>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</si>
  <si>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</si>
  <si>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</si>
  <si>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</si>
  <si>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</si>
  <si>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</si>
  <si>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</si>
  <si>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</si>
  <si>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</si>
  <si>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</si>
  <si>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Fixed Term (Fixed Term)</t>
  </si>
  <si>
    <t>Retail Assistant_NEW</t>
  </si>
  <si>
    <t>Full Time</t>
  </si>
  <si>
    <t>REGULAR - Regular Shift Pattern (Hungary Regular &amp; Irregular Shift Pattern-Hungary)</t>
  </si>
  <si>
    <t>5 Days</t>
  </si>
  <si>
    <t>Automation Comments here….</t>
  </si>
  <si>
    <t>94 Retail Operatives </t>
  </si>
  <si>
    <t>16 Men’s Accessories</t>
  </si>
  <si>
    <t>HU Monthly</t>
  </si>
  <si>
    <t>Yes</t>
  </si>
  <si>
    <t>No</t>
  </si>
  <si>
    <t xml:space="preserve">Defaulted
</t>
  </si>
  <si>
    <t>Active</t>
  </si>
  <si>
    <t>Social Security</t>
  </si>
  <si>
    <t>666661492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</si>
  <si>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</si>
  <si>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</si>
  <si>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</si>
  <si>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</si>
  <si>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</si>
  <si>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</si>
  <si>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</si>
  <si>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</si>
  <si>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</si>
  <si>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</si>
  <si>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</si>
  <si>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</si>
  <si>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</si>
  <si>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</si>
  <si>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</si>
  <si>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</si>
  <si>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</si>
  <si>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</si>
  <si>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</si>
  <si>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</si>
  <si>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</si>
  <si>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Test_2</t>
  </si>
  <si>
    <t>846 Store Management (Zavamy Pyfaw (10632958))</t>
  </si>
  <si>
    <t>Nyah</t>
  </si>
  <si>
    <t>Reichel</t>
  </si>
  <si>
    <t>B</t>
  </si>
  <si>
    <t>Auto 35526582</t>
  </si>
  <si>
    <t>Permanent</t>
  </si>
  <si>
    <t>Store Manager_NEW</t>
  </si>
  <si>
    <t>Part Time</t>
  </si>
  <si>
    <t>IRREGULAR - Irregular Shift Pattern (Hungary Regular &amp; Irregular Shift Pattern-Hungary)</t>
  </si>
  <si>
    <t>92 Retail Management </t>
  </si>
  <si>
    <t>251 Management Retail</t>
  </si>
  <si>
    <t>Social Security (TAJ) Number</t>
  </si>
  <si>
    <t>666661493</t>
  </si>
  <si>
    <t>Female</t>
  </si>
  <si>
    <t>0000000098624423</t>
  </si>
  <si>
    <t>AutoMaiden</t>
  </si>
  <si>
    <t xml:space="preserve">Spouse </t>
  </si>
  <si>
    <t>DepSpouse</t>
  </si>
  <si>
    <t>Mammy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</si>
</sst>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horizontal="left"/>
    </xf>
    <xf numFmtId="0" fontId="3" fillId="2" borderId="1" xfId="0" applyFont="1" applyFill="1" applyBorder="1"/>
    <xf numFmtId="0" fontId="0" fillId="2" borderId="5" xfId="0" applyFill="1" applyBorder="1" applyAlignment="1">
      <alignment horizontal="left"/>
    </xf>
    <xf numFmtId="0" fontId="2" fillId="0" borderId="3" xfId="0" applyFont="1" applyBorder="1"/>
    <xf numFmtId="0" fontId="3" fillId="0" borderId="6" xfId="0" applyFont="1" applyBorder="1" applyAlignment="1">
      <alignment horizontal="left"/>
    </xf>
    <xf numFmtId="0" fontId="0" fillId="3" borderId="3" xfId="0" applyFill="1" applyBorder="1"/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4" fontId="2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 applyProtection="1"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4" fillId="0" borderId="8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3" fillId="3" borderId="3" xfId="0" applyNumberFormat="1" applyFont="1" applyFill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4" fillId="0" borderId="3" xfId="0" applyFont="1" applyBorder="1"/>
    <xf numFmtId="0" fontId="4" fillId="0" borderId="0" xfId="0" applyFont="1"/>
    <xf numFmtId="14" fontId="2" fillId="0" borderId="0" xfId="0" applyNumberFormat="1" applyFont="1" applyAlignment="1">
      <alignment horizontal="left"/>
    </xf>
    <xf numFmtId="0" fontId="4" fillId="0" borderId="7" xfId="0" applyFont="1" applyBorder="1"/>
    <xf numFmtId="49" fontId="4" fillId="0" borderId="7" xfId="0" applyNumberFormat="1" applyFont="1" applyBorder="1"/>
    <xf numFmtId="14" fontId="0" fillId="0" borderId="7" xfId="0" applyNumberFormat="1" applyBorder="1"/>
    <xf numFmtId="14" fontId="2" fillId="0" borderId="0" xfId="0" applyNumberFormat="1" applyFont="1"/>
    <xf numFmtId="49" fontId="4" fillId="4" borderId="3" xfId="0" applyNumberFormat="1" applyFont="1" applyFill="1" applyBorder="1" applyAlignment="1">
      <alignment horizontal="right"/>
    </xf>
    <xf numFmtId="0" fontId="4" fillId="4" borderId="0" xfId="0" applyFont="1" applyFill="1"/>
    <xf numFmtId="14" fontId="4" fillId="0" borderId="3" xfId="0" applyNumberFormat="1" applyFont="1" applyBorder="1"/>
    <xf numFmtId="0" fontId="6" fillId="0" borderId="3" xfId="0" applyFont="1" applyBorder="1" applyAlignment="1">
      <alignment horizontal="left"/>
    </xf>
    <xf numFmtId="0" fontId="3" fillId="0" borderId="3" xfId="0" applyFont="1" applyBorder="1"/>
    <xf numFmtId="15" fontId="3" fillId="0" borderId="3" xfId="0" applyNumberFormat="1" applyFont="1" applyBorder="1"/>
    <xf numFmtId="1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 applyProtection="1">
      <alignment horizontal="left" wrapText="1"/>
      <protection locked="0"/>
    </xf>
    <xf numFmtId="0" fontId="4" fillId="0" borderId="3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49" fontId="3" fillId="0" borderId="3" xfId="0" applyNumberFormat="1" applyFont="1" applyBorder="1" applyAlignment="1" applyProtection="1">
      <alignment horizontal="left"/>
      <protection locked="0"/>
    </xf>
    <xf numFmtId="14" fontId="4" fillId="0" borderId="3" xfId="0" applyNumberFormat="1" applyFont="1" applyBorder="1" applyAlignment="1">
      <alignment horizontal="left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tabSelected="1" zoomScale="90" zoomScaleNormal="90" workbookViewId="0">
      <selection activeCell="C3" sqref="C3"/>
    </sheetView>
  </sheetViews>
  <sheetFormatPr defaultRowHeight="14.5" customHeight="1" x14ac:dyDescent="0.35"/>
  <cols>
    <col min="1" max="1" width="23.6328125" customWidth="1"/>
    <col min="2" max="2" width="57.6328125" customWidth="1"/>
    <col min="4" max="4" width="53.90625" customWidth="1"/>
    <col min="6" max="6" width="25" customWidth="1"/>
    <col min="7" max="7" width="30.90625" customWidth="1"/>
    <col min="11" max="11" width="21.54296875" customWidth="1"/>
    <col min="13" max="17" width="26.7265625" customWidth="1"/>
    <col min="25" max="25" width="23.26953125" customWidth="1"/>
    <col min="27" max="27" width="45.08984375" customWidth="1"/>
    <col min="28" max="28" width="38" customWidth="1"/>
    <col min="29" max="29" width="30.81640625" customWidth="1"/>
    <col min="32" max="32" width="18" customWidth="1"/>
    <col min="34" max="34" width="19.36328125" customWidth="1"/>
    <col min="35" max="35" width="20.453125" customWidth="1"/>
    <col min="36" max="36" width="18.81640625" customWidth="1"/>
    <col min="37" max="37" width="28" customWidth="1"/>
    <col min="40" max="40" width="31.7265625" customWidth="1"/>
    <col min="41" max="41" width="26.36328125" customWidth="1"/>
    <col min="43" max="43" width="12.08984375" customWidth="1"/>
    <col min="46" max="46" width="23.1796875" customWidth="1"/>
    <col min="47" max="47" width="68.54296875" customWidth="1"/>
    <col min="49" max="49" width="24.26953125" customWidth="1"/>
    <col min="50" max="50" width="33.6328125" customWidth="1"/>
    <col min="52" max="52" width="38.453125" customWidth="1"/>
    <col min="53" max="53" width="34.08984375" customWidth="1"/>
    <col min="54" max="54" width="43.26953125" customWidth="1"/>
    <col min="55" max="55" width="35.453125" customWidth="1"/>
    <col min="56" max="56" width="37.453125" customWidth="1"/>
    <col min="58" max="58" width="44" customWidth="1"/>
    <col min="59" max="59" width="55.7265625" customWidth="1"/>
    <col min="60" max="60" width="28.54296875" customWidth="1"/>
    <col min="61" max="61" width="29.36328125" customWidth="1"/>
    <col min="64" max="64" width="29.453125" customWidth="1"/>
    <col min="65" max="65" width="34.36328125" customWidth="1"/>
    <col min="66" max="66" width="26.08984375" customWidth="1"/>
    <col min="67" max="67" width="37" customWidth="1"/>
    <col min="68" max="68" width="45.26953125" customWidth="1"/>
    <col min="69" max="69" width="45.6328125" customWidth="1"/>
    <col min="70" max="70" width="42.36328125" customWidth="1"/>
    <col min="78" max="78" width="21.6328125" customWidth="1"/>
    <col min="79" max="79" width="23.26953125" customWidth="1"/>
    <col min="89" max="89" width="29.36328125" customWidth="1"/>
    <col min="91" max="91" width="20.54296875" customWidth="1"/>
    <col min="92" max="92" width="24.1796875" customWidth="1"/>
    <col min="96" max="96" width="25.08984375" customWidth="1"/>
    <col min="97" max="97" width="35.36328125" customWidth="1"/>
    <col min="98" max="98" width="54.81640625" customWidth="1"/>
    <col min="99" max="99" width="34.453125" customWidth="1"/>
    <col min="100" max="100" width="20.90625" customWidth="1"/>
  </cols>
  <sheetData>
    <row r="1" spans="1:101" ht="5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2" t="s">
        <v>10</v>
      </c>
      <c r="L1" s="6" t="s">
        <v>4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9</v>
      </c>
      <c r="V1" s="6" t="s">
        <v>19</v>
      </c>
      <c r="W1" s="6" t="s">
        <v>20</v>
      </c>
      <c r="X1" s="6" t="s">
        <v>9</v>
      </c>
      <c r="Y1" s="7" t="s">
        <v>21</v>
      </c>
      <c r="Z1" s="6" t="s">
        <v>22</v>
      </c>
      <c r="AA1" s="8" t="s">
        <v>23</v>
      </c>
      <c r="AB1" s="9" t="s">
        <v>24</v>
      </c>
      <c r="AC1" s="9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2" t="s">
        <v>32</v>
      </c>
      <c r="AK1" s="2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22</v>
      </c>
      <c r="AT1" s="6" t="s">
        <v>41</v>
      </c>
      <c r="AU1" s="6" t="s">
        <v>42</v>
      </c>
      <c r="AV1" s="6" t="s">
        <v>43</v>
      </c>
      <c r="AW1" s="6" t="s">
        <v>44</v>
      </c>
      <c r="AX1" s="6" t="s">
        <v>45</v>
      </c>
      <c r="AY1" s="2" t="s">
        <v>46</v>
      </c>
      <c r="AZ1" s="6" t="s">
        <v>47</v>
      </c>
      <c r="BA1" s="6" t="s">
        <v>48</v>
      </c>
      <c r="BB1" s="10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10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  <c r="BO1" s="6" t="s">
        <v>62</v>
      </c>
      <c r="BP1" s="6" t="s">
        <v>63</v>
      </c>
      <c r="BQ1" s="6" t="s">
        <v>64</v>
      </c>
      <c r="BR1" s="6" t="s">
        <v>65</v>
      </c>
      <c r="BS1" s="11" t="s">
        <v>66</v>
      </c>
      <c r="BT1" s="11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72</v>
      </c>
      <c r="BZ1" s="6" t="s">
        <v>73</v>
      </c>
      <c r="CA1" s="6" t="s">
        <v>74</v>
      </c>
      <c r="CB1" s="6" t="s">
        <v>75</v>
      </c>
      <c r="CC1" s="6" t="s">
        <v>76</v>
      </c>
      <c r="CD1" s="6" t="s">
        <v>77</v>
      </c>
      <c r="CE1" s="6" t="s">
        <v>78</v>
      </c>
      <c r="CF1" s="6" t="s">
        <v>79</v>
      </c>
      <c r="CG1" s="6" t="s">
        <v>80</v>
      </c>
      <c r="CH1" s="6" t="s">
        <v>81</v>
      </c>
      <c r="CI1" s="6" t="s">
        <v>82</v>
      </c>
      <c r="CJ1" s="6" t="s">
        <v>83</v>
      </c>
      <c r="CK1" s="6" t="s">
        <v>84</v>
      </c>
      <c r="CL1" s="6" t="s">
        <v>4</v>
      </c>
      <c r="CM1" s="6" t="s">
        <v>85</v>
      </c>
      <c r="CN1" s="6" t="s">
        <v>86</v>
      </c>
      <c r="CO1" s="6" t="s">
        <v>87</v>
      </c>
      <c r="CP1" s="6" t="s">
        <v>88</v>
      </c>
      <c r="CQ1" s="6" t="s">
        <v>89</v>
      </c>
      <c r="CR1" s="6" t="s">
        <v>90</v>
      </c>
      <c r="CS1" s="6" t="s">
        <v>91</v>
      </c>
      <c r="CT1" s="6" t="s">
        <v>92</v>
      </c>
      <c r="CU1" s="6" t="s">
        <v>93</v>
      </c>
      <c r="CV1" s="6" t="s">
        <v>94</v>
      </c>
      <c r="CW1" s="12"/>
    </row>
    <row r="2" spans="1:101" ht="87.5" customHeight="1" x14ac:dyDescent="0.35">
      <c r="A2" t="s">
        <v>95</v>
      </c>
      <c r="B2" s="48" t="s">
        <v>96</v>
      </c>
      <c r="C2" s="48" t="s">
        <v>97</v>
      </c>
      <c r="D2" s="13" t="s">
        <v>98</v>
      </c>
      <c r="E2" s="14" t="s">
        <v>99</v>
      </c>
      <c r="F2" s="15" t="s">
        <v>100</v>
      </c>
      <c r="G2" s="15" t="s">
        <v>101</v>
      </c>
      <c r="H2" s="16" t="s">
        <v>102</v>
      </c>
      <c r="I2" s="17" t="s">
        <v>103</v>
      </c>
      <c r="J2" s="17" t="s">
        <v>104</v>
      </c>
      <c r="K2" s="18">
        <f t="shared" ref="K2:K3" ca="1" si="0">TODAY()-31</f>
        <v>45825</v>
      </c>
      <c r="L2" s="19" t="s">
        <v>99</v>
      </c>
      <c r="M2" s="20" t="s">
        <v>105</v>
      </c>
      <c r="N2" s="17" t="s">
        <v>106</v>
      </c>
      <c r="O2" s="21" t="s">
        <v>107</v>
      </c>
      <c r="P2" s="22" t="s">
        <v>108</v>
      </c>
      <c r="Q2" s="17" t="s">
        <v>109</v>
      </c>
      <c r="R2" s="17" t="s">
        <v>110</v>
      </c>
      <c r="S2" s="23" t="s">
        <v>111</v>
      </c>
      <c r="T2" s="23" t="s">
        <v>111</v>
      </c>
      <c r="U2" s="17" t="s">
        <v>104</v>
      </c>
      <c r="V2" s="24" t="s">
        <v>112</v>
      </c>
      <c r="W2" s="25" t="s">
        <v>113</v>
      </c>
      <c r="X2" s="17" t="s">
        <v>104</v>
      </c>
      <c r="Y2" s="18">
        <f t="shared" ref="Y2:Y3" ca="1" si="1">K2</f>
        <v>45825</v>
      </c>
      <c r="Z2" s="17" t="s">
        <v>114</v>
      </c>
      <c r="AA2" s="26" t="s">
        <v>115</v>
      </c>
      <c r="AB2" s="27" t="s">
        <v>116</v>
      </c>
      <c r="AC2" s="28" t="s">
        <v>117</v>
      </c>
      <c r="AD2" s="29" t="s">
        <v>118</v>
      </c>
      <c r="AE2" s="19">
        <v>846</v>
      </c>
      <c r="AF2" s="19" t="s">
        <v>57</v>
      </c>
      <c r="AG2" s="28">
        <v>40</v>
      </c>
      <c r="AH2" s="28" t="s">
        <v>119</v>
      </c>
      <c r="AI2" s="19" t="s">
        <v>120</v>
      </c>
      <c r="AJ2" s="30">
        <f ca="1">TODAY()+365</f>
        <v>46221</v>
      </c>
      <c r="AK2" s="30">
        <f t="shared" ref="AK2:AK3" ca="1" si="2">Y2+90</f>
        <v>45915</v>
      </c>
      <c r="AL2" s="17" t="s">
        <v>121</v>
      </c>
      <c r="AM2" s="29" t="s">
        <v>122</v>
      </c>
      <c r="AN2" s="28" t="s">
        <v>123</v>
      </c>
      <c r="AO2" s="17" t="s">
        <v>124</v>
      </c>
      <c r="AP2" s="31" t="s">
        <v>125</v>
      </c>
      <c r="AQ2" s="17" t="s">
        <v>126</v>
      </c>
      <c r="AR2" s="28" t="s">
        <v>126</v>
      </c>
      <c r="AS2" s="24" t="s">
        <v>115</v>
      </c>
      <c r="AT2" s="17" t="s">
        <v>127</v>
      </c>
      <c r="AU2" s="32" t="str">
        <f>AB2</f>
        <v>Fixed Term (Fixed Term)</v>
      </c>
      <c r="AV2" s="24" t="s">
        <v>128</v>
      </c>
      <c r="AW2" s="33">
        <f t="shared" ref="AW2:AW3" ca="1" si="3">Y2-1</f>
        <v>45824</v>
      </c>
      <c r="AX2" s="33">
        <f t="shared" ref="AX2:AX3" ca="1" si="4">Y2-1</f>
        <v>45824</v>
      </c>
      <c r="AY2" s="34">
        <f t="shared" ref="AY2:AY3" ca="1" si="5">AJ2</f>
        <v>46221</v>
      </c>
      <c r="AZ2" s="23" t="s">
        <v>99</v>
      </c>
      <c r="BA2" s="23" t="s">
        <v>129</v>
      </c>
      <c r="BB2" s="35" t="s">
        <v>130</v>
      </c>
      <c r="BC2" s="24" t="s">
        <v>131</v>
      </c>
      <c r="BD2" s="24" t="s">
        <v>132</v>
      </c>
      <c r="BE2" s="23" t="s">
        <v>99</v>
      </c>
      <c r="BF2" s="23" t="s">
        <v>133</v>
      </c>
      <c r="BG2" s="36">
        <v>5555005691</v>
      </c>
      <c r="BH2" s="24">
        <v>36526</v>
      </c>
      <c r="BI2" s="24">
        <v>51136</v>
      </c>
      <c r="BJ2" s="19" t="s">
        <v>134</v>
      </c>
      <c r="BK2" s="28" t="s">
        <v>135</v>
      </c>
      <c r="BL2" s="37">
        <v>32875</v>
      </c>
      <c r="BM2" s="38" t="s">
        <v>99</v>
      </c>
      <c r="BN2" s="23" t="s">
        <v>111</v>
      </c>
      <c r="BO2" s="39" t="s">
        <v>136</v>
      </c>
      <c r="BP2" s="40" t="s">
        <v>115</v>
      </c>
      <c r="BQ2" s="23" t="s">
        <v>137</v>
      </c>
      <c r="BR2" s="23" t="s">
        <v>99</v>
      </c>
      <c r="BS2" s="28" t="s">
        <v>126</v>
      </c>
      <c r="BT2" s="29" t="s">
        <v>115</v>
      </c>
      <c r="BU2" s="39" t="s">
        <v>138</v>
      </c>
      <c r="BV2" s="39" t="s">
        <v>139</v>
      </c>
      <c r="BW2" s="23" t="s">
        <v>140</v>
      </c>
      <c r="BX2" s="17" t="s">
        <v>141</v>
      </c>
      <c r="BY2" s="23" t="s">
        <v>142</v>
      </c>
      <c r="BZ2" s="23" t="s">
        <v>143</v>
      </c>
      <c r="CA2" s="23" t="s">
        <v>144</v>
      </c>
      <c r="CB2" s="23" t="s">
        <v>145</v>
      </c>
      <c r="CC2" s="23" t="s">
        <v>140</v>
      </c>
      <c r="CD2" s="17" t="s">
        <v>141</v>
      </c>
      <c r="CE2" s="23" t="s">
        <v>142</v>
      </c>
      <c r="CF2" s="23" t="s">
        <v>146</v>
      </c>
      <c r="CG2" s="23" t="s">
        <v>147</v>
      </c>
      <c r="CH2" s="23" t="s">
        <v>146</v>
      </c>
      <c r="CI2" s="41">
        <v>100</v>
      </c>
      <c r="CJ2" s="23" t="s">
        <v>148</v>
      </c>
      <c r="CK2" s="23" t="s">
        <v>149</v>
      </c>
      <c r="CL2" s="23" t="s">
        <v>99</v>
      </c>
      <c r="CM2" s="23" t="s">
        <v>150</v>
      </c>
      <c r="CN2" s="23" t="s">
        <v>151</v>
      </c>
      <c r="CO2" s="29" t="s">
        <v>115</v>
      </c>
      <c r="CP2" s="42" t="s">
        <v>115</v>
      </c>
      <c r="CQ2" s="37" t="s">
        <v>115</v>
      </c>
      <c r="CR2" s="29" t="s">
        <v>115</v>
      </c>
      <c r="CS2" s="29" t="s">
        <v>115</v>
      </c>
      <c r="CT2" s="29" t="s">
        <v>115</v>
      </c>
      <c r="CU2" s="29" t="s">
        <v>115</v>
      </c>
      <c r="CV2">
        <v>40</v>
      </c>
    </row>
    <row r="3" spans="1:101" ht="72.5" customHeight="1" x14ac:dyDescent="0.35">
      <c r="A3" t="s">
        <v>152</v>
      </c>
      <c r="B3" s="48">
        <v>10700272</v>
      </c>
      <c r="C3" s="48" t="s">
        <v>97</v>
      </c>
      <c r="D3" s="13" t="s">
        <v>153</v>
      </c>
      <c r="E3" s="14" t="s">
        <v>99</v>
      </c>
      <c r="F3" s="15" t="s">
        <v>154</v>
      </c>
      <c r="G3" s="15" t="s">
        <v>155</v>
      </c>
      <c r="H3" s="16" t="s">
        <v>102</v>
      </c>
      <c r="I3" s="17" t="s">
        <v>103</v>
      </c>
      <c r="J3" s="17" t="s">
        <v>104</v>
      </c>
      <c r="K3" s="18">
        <f t="shared" ca="1" si="0"/>
        <v>45825</v>
      </c>
      <c r="L3" s="19" t="s">
        <v>99</v>
      </c>
      <c r="M3" s="20" t="s">
        <v>105</v>
      </c>
      <c r="N3" s="17" t="s">
        <v>156</v>
      </c>
      <c r="O3" s="21" t="s">
        <v>107</v>
      </c>
      <c r="P3" s="43" t="s">
        <v>108</v>
      </c>
      <c r="Q3" s="17">
        <v>123</v>
      </c>
      <c r="R3" s="17">
        <v>1046</v>
      </c>
      <c r="S3" s="23" t="s">
        <v>111</v>
      </c>
      <c r="T3" s="23" t="s">
        <v>111</v>
      </c>
      <c r="U3" s="17" t="s">
        <v>104</v>
      </c>
      <c r="V3" s="24" t="s">
        <v>112</v>
      </c>
      <c r="W3" s="25" t="s">
        <v>113</v>
      </c>
      <c r="X3" s="17" t="s">
        <v>104</v>
      </c>
      <c r="Y3" s="18">
        <f t="shared" ca="1" si="1"/>
        <v>45825</v>
      </c>
      <c r="Z3" s="17" t="s">
        <v>114</v>
      </c>
      <c r="AA3" s="26" t="s">
        <v>157</v>
      </c>
      <c r="AB3" s="31" t="s">
        <v>158</v>
      </c>
      <c r="AC3" s="28" t="s">
        <v>159</v>
      </c>
      <c r="AD3" s="29" t="s">
        <v>160</v>
      </c>
      <c r="AE3" s="19">
        <v>846</v>
      </c>
      <c r="AF3" s="19" t="s">
        <v>57</v>
      </c>
      <c r="AG3" s="28">
        <v>10</v>
      </c>
      <c r="AH3" s="28" t="s">
        <v>161</v>
      </c>
      <c r="AI3" s="19" t="s">
        <v>120</v>
      </c>
      <c r="AJ3" s="44" t="s">
        <v>115</v>
      </c>
      <c r="AK3" s="30">
        <f t="shared" ca="1" si="2"/>
        <v>45915</v>
      </c>
      <c r="AL3" s="17" t="s">
        <v>121</v>
      </c>
      <c r="AM3" s="28" t="s">
        <v>162</v>
      </c>
      <c r="AN3" s="39" t="s">
        <v>163</v>
      </c>
      <c r="AO3" s="17" t="s">
        <v>124</v>
      </c>
      <c r="AP3" s="28" t="s">
        <v>125</v>
      </c>
      <c r="AQ3" s="17" t="s">
        <v>126</v>
      </c>
      <c r="AR3" s="28" t="s">
        <v>126</v>
      </c>
      <c r="AS3" s="24" t="s">
        <v>115</v>
      </c>
      <c r="AT3" s="17" t="s">
        <v>127</v>
      </c>
      <c r="AU3" s="31" t="str">
        <f t="shared" ref="AU3" si="6">AB3</f>
        <v>Permanent</v>
      </c>
      <c r="AV3" s="24" t="s">
        <v>128</v>
      </c>
      <c r="AW3" s="33">
        <f t="shared" ca="1" si="3"/>
        <v>45824</v>
      </c>
      <c r="AX3" s="33">
        <f t="shared" ca="1" si="4"/>
        <v>45824</v>
      </c>
      <c r="AY3" s="45" t="str">
        <f t="shared" si="5"/>
        <v>N/A</v>
      </c>
      <c r="AZ3" s="23" t="s">
        <v>99</v>
      </c>
      <c r="BA3" s="23" t="s">
        <v>164</v>
      </c>
      <c r="BB3" s="35" t="s">
        <v>165</v>
      </c>
      <c r="BC3" s="24">
        <v>36526</v>
      </c>
      <c r="BD3" s="24">
        <v>51136</v>
      </c>
      <c r="BE3" s="23" t="s">
        <v>99</v>
      </c>
      <c r="BF3" s="23" t="s">
        <v>133</v>
      </c>
      <c r="BG3" s="36">
        <v>5555005692</v>
      </c>
      <c r="BH3" s="24">
        <v>36526</v>
      </c>
      <c r="BI3" s="24">
        <v>51136</v>
      </c>
      <c r="BJ3" s="19" t="s">
        <v>134</v>
      </c>
      <c r="BK3" s="28" t="s">
        <v>166</v>
      </c>
      <c r="BL3" s="37">
        <v>32875</v>
      </c>
      <c r="BM3" s="38" t="s">
        <v>99</v>
      </c>
      <c r="BN3" s="23" t="s">
        <v>111</v>
      </c>
      <c r="BO3" s="39" t="s">
        <v>136</v>
      </c>
      <c r="BP3" s="40" t="s">
        <v>115</v>
      </c>
      <c r="BQ3" s="23" t="s">
        <v>137</v>
      </c>
      <c r="BR3" s="23" t="s">
        <v>99</v>
      </c>
      <c r="BS3" s="28" t="s">
        <v>126</v>
      </c>
      <c r="BT3" s="29" t="s">
        <v>115</v>
      </c>
      <c r="BU3" s="39" t="s">
        <v>138</v>
      </c>
      <c r="BV3" s="39" t="s">
        <v>139</v>
      </c>
      <c r="BW3" s="23" t="s">
        <v>140</v>
      </c>
      <c r="BX3" s="46" t="s">
        <v>167</v>
      </c>
      <c r="BY3" s="23" t="s">
        <v>142</v>
      </c>
      <c r="BZ3" s="23" t="s">
        <v>143</v>
      </c>
      <c r="CA3" s="23" t="s">
        <v>144</v>
      </c>
      <c r="CB3" s="23" t="s">
        <v>145</v>
      </c>
      <c r="CC3" s="23" t="s">
        <v>140</v>
      </c>
      <c r="CD3" s="17" t="s">
        <v>141</v>
      </c>
      <c r="CE3" s="23" t="s">
        <v>142</v>
      </c>
      <c r="CF3" s="23" t="s">
        <v>146</v>
      </c>
      <c r="CG3" s="23" t="s">
        <v>147</v>
      </c>
      <c r="CH3" s="23" t="s">
        <v>146</v>
      </c>
      <c r="CI3" s="41">
        <v>100</v>
      </c>
      <c r="CJ3" s="23" t="s">
        <v>148</v>
      </c>
      <c r="CK3" s="23" t="s">
        <v>149</v>
      </c>
      <c r="CL3" s="23" t="s">
        <v>99</v>
      </c>
      <c r="CM3" s="23" t="s">
        <v>168</v>
      </c>
      <c r="CN3" s="23" t="s">
        <v>151</v>
      </c>
      <c r="CO3" s="31" t="s">
        <v>169</v>
      </c>
      <c r="CP3" s="29" t="s">
        <v>170</v>
      </c>
      <c r="CQ3" s="42" t="s">
        <v>111</v>
      </c>
      <c r="CR3" s="47">
        <v>31048</v>
      </c>
      <c r="CS3" s="29" t="s">
        <v>171</v>
      </c>
      <c r="CT3" s="41">
        <v>1234011</v>
      </c>
      <c r="CU3" s="41">
        <v>123456011</v>
      </c>
      <c r="CV3" s="41">
        <v>40</v>
      </c>
    </row>
  </sheetData>
  <dataValidations count="2">
    <dataValidation type="list" allowBlank="1" showInputMessage="1" showErrorMessage="1" sqref="AV2 Z2 X2 U2 I2:J2 CC2:CC3 BW2" xr:uid="{00000000-0002-0000-0000-000000000000}">
      <formula1>INDIRECT($C2)</formula1>
    </dataValidation>
    <dataValidation type="list" allowBlank="1" showInputMessage="1" showErrorMessage="1" sqref="AV3 Z3 X3 U3 I3:J3 BW3" xr:uid="{00000000-0002-0000-0000-000001000000}">
      <formula1>INDIRECT($E3)</formula1>
    </dataValidation>
  </dataValidations>
  <hyperlinks>
    <hyperlink ref="W2" r:id="rId1" xr:uid="{00000000-0004-0000-0000-000000000000}"/>
    <hyperlink ref="W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2025-07-18T12:47:54Z</dcterms:modified>
</cp:coreProperties>
</file>