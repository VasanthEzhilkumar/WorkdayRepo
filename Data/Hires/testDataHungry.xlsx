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17E0A6E8-9BBB-483F-88A6-DDE9FE190C2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U7" i="1"/>
  <c r="K7" i="1"/>
  <c r="Y7" i="1" s="1"/>
  <c r="AU6" i="1"/>
  <c r="AJ6" i="1"/>
  <c r="AY6" i="1" s="1"/>
  <c r="K6" i="1"/>
  <c r="Y6" i="1" s="1"/>
  <c r="AY5" i="1"/>
  <c r="AU5" i="1"/>
  <c r="K5" i="1"/>
  <c r="Y5" i="1" s="1"/>
  <c r="AU4" i="1"/>
  <c r="AJ4" i="1"/>
  <c r="AY4" i="1" s="1"/>
  <c r="K4" i="1"/>
  <c r="Y4" i="1" s="1"/>
  <c r="AY3" i="1"/>
  <c r="AU3" i="1"/>
  <c r="K3" i="1"/>
  <c r="Y3" i="1" s="1"/>
  <c r="AU2" i="1"/>
  <c r="AJ2" i="1"/>
  <c r="AY2" i="1" s="1"/>
  <c r="K2" i="1"/>
  <c r="Y2" i="1" s="1"/>
  <c r="AX6" i="1" l="1"/>
  <c r="AK6" i="1"/>
  <c r="AW6" i="1"/>
  <c r="AK7" i="1"/>
  <c r="AX7" i="1"/>
  <c r="AW7" i="1"/>
  <c r="AK5" i="1"/>
  <c r="AX5" i="1"/>
  <c r="AW5" i="1"/>
  <c r="AX4" i="1"/>
  <c r="AW4" i="1"/>
  <c r="AK4" i="1"/>
  <c r="AK3" i="1"/>
  <c r="AX3" i="1"/>
  <c r="AW3" i="1"/>
  <c r="AX2" i="1"/>
  <c r="AK2" i="1"/>
  <c r="AW2" i="1"/>
</calcChain>
</file>

<file path=xl/sharedStrings.xml><?xml version="1.0" encoding="utf-8"?>
<sst xmlns="http://schemas.openxmlformats.org/spreadsheetml/2006/main" count="574" uniqueCount="177">
  <si>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</si>
  <si>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</si>
  <si>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</si>
  <si>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</si>
  <si>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</si>
  <si>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</si>
  <si>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</si>
  <si>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</si>
  <si>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</si>
  <si>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</si>
  <si>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</si>
  <si>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</si>
  <si>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</si>
  <si>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</si>
  <si>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</si>
  <si>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</si>
  <si>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</si>
  <si>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</si>
  <si>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</si>
  <si>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</si>
  <si>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</si>
  <si>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</si>
  <si>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</si>
  <si>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</si>
  <si>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</si>
  <si>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</si>
  <si>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</si>
  <si>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</si>
  <si>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</si>
  <si>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</si>
  <si>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</si>
  <si>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</si>
  <si>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</si>
  <si>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</si>
  <si>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</si>
  <si>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</si>
  <si>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</si>
  <si>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</si>
  <si>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</si>
  <si>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</si>
  <si>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</si>
  <si>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</si>
  <si>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</si>
  <si>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</si>
  <si>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</si>
  <si>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</si>
  <si>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</si>
  <si>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</si>
  <si>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</si>
  <si>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</si>
  <si>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</si>
  <si>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</si>
  <si>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</si>
  <si>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</si>
  <si>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</si>
  <si>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</si>
  <si>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</si>
  <si>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</si>
  <si>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</si>
  <si>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</si>
  <si>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</si>
  <si>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</si>
  <si>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</si>
  <si>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</si>
  <si>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</si>
  <si>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</si>
  <si>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</si>
  <si>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</si>
  <si>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</si>
  <si>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</si>
  <si>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</si>
  <si>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</si>
  <si>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</si>
  <si>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</si>
  <si>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</si>
  <si>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</si>
  <si>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</si>
  <si>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</si>
  <si>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</si>
  <si>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</si>
  <si>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</si>
  <si>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</si>
  <si>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</si>
  <si>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</si>
  <si>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</si>
  <si>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</si>
  <si>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</si>
  <si>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</si>
  <si>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</si>
  <si>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</si>
  <si>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</si>
  <si>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</si>
  <si>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</si>
  <si>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</si>
  <si>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defaultHours</t>
  </si>
  <si>
    <t>Test_1</t>
  </si>
  <si>
    <t>10699738</t>
  </si>
  <si>
    <t>Passed</t>
  </si>
  <si>
    <t>846 Recruitment (Sekive Solav (10632957))</t>
  </si>
  <si>
    <t>Hungary</t>
  </si>
  <si>
    <t>Tevin</t>
  </si>
  <si>
    <t>Hermiston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</si>
  <si>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</si>
  <si>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</si>
  <si>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</si>
  <si>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</si>
  <si>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</si>
  <si>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</si>
  <si>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</si>
  <si>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</si>
  <si>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</si>
  <si>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</si>
  <si>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</si>
  <si>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</si>
  <si>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</si>
  <si>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</si>
  <si>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</si>
  <si>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</si>
  <si>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</si>
  <si>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</si>
  <si>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</si>
  <si>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</si>
  <si>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</si>
  <si>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</si>
  <si>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</si>
  <si>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</si>
  <si>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</si>
  <si>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</si>
  <si>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</si>
  <si>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</si>
  <si>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</si>
  <si>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</si>
  <si>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</si>
  <si>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</si>
  <si>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</si>
  <si>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</si>
  <si>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</si>
  <si>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</si>
  <si>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</si>
  <si>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</si>
  <si>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</si>
  <si>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</si>
  <si>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</si>
  <si>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</si>
  <si>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</si>
  <si>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</si>
  <si>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</si>
  <si>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</si>
  <si>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</si>
  <si>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</si>
  <si>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</si>
  <si>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Test_3</t>
  </si>
  <si>
    <t>10699740</t>
  </si>
  <si>
    <t>846 Store Management (Zavamy Pyfaw (10632958))</t>
  </si>
  <si>
    <t>Davin</t>
  </si>
  <si>
    <t>Block</t>
  </si>
  <si>
    <t>B</t>
  </si>
  <si>
    <t>Auto 90159801</t>
  </si>
  <si>
    <t>Permanent</t>
  </si>
  <si>
    <t>Store Manager_NEW</t>
  </si>
  <si>
    <t>Part Time</t>
  </si>
  <si>
    <t>IRREGULAR - Irregular Shift Pattern (Hungary Regular &amp; Irregular Shift Pattern-Hungary)</t>
  </si>
  <si>
    <t>92 Retail Management </t>
  </si>
  <si>
    <t>251 Management Retail</t>
  </si>
  <si>
    <t>Social Security (TAJ) Number</t>
  </si>
  <si>
    <t>Female</t>
  </si>
  <si>
    <t>0000000098624423</t>
  </si>
  <si>
    <t>AutoMaiden</t>
  </si>
  <si>
    <t xml:space="preserve">Spouse </t>
  </si>
  <si>
    <t>DepSpouse</t>
  </si>
  <si>
    <t>Mammy</t>
  </si>
  <si>
    <t>666661300</t>
  </si>
  <si>
    <t>666661301</t>
  </si>
  <si>
    <t>666661302</t>
  </si>
  <si>
    <t>666661303</t>
  </si>
  <si>
    <t>666661304</t>
  </si>
  <si>
    <t>666661305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</si>
</sst>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/>
    <xf numFmtId="0" fontId="0" fillId="2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/>
    <xf numFmtId="0" fontId="2" fillId="0" borderId="3" xfId="0" applyFont="1" applyBorder="1"/>
    <xf numFmtId="0" fontId="3" fillId="0" borderId="6" xfId="0" applyFont="1" applyBorder="1" applyAlignment="1">
      <alignment horizontal="left"/>
    </xf>
    <xf numFmtId="0" fontId="0" fillId="3" borderId="3" xfId="0" applyFill="1" applyBorder="1"/>
    <xf numFmtId="0" fontId="3" fillId="0" borderId="7" xfId="0" applyFont="1" applyBorder="1" applyAlignment="1" applyProtection="1">
      <alignment horizontal="left"/>
      <protection locked="0"/>
    </xf>
    <xf numFmtId="0" fontId="3" fillId="0" borderId="3" xfId="0" applyFont="1" applyBorder="1" applyAlignment="1" applyProtection="1">
      <alignment horizontal="left"/>
      <protection locked="0"/>
    </xf>
    <xf numFmtId="14" fontId="2" fillId="0" borderId="3" xfId="0" applyNumberFormat="1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Protection="1"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4" fillId="0" borderId="8" xfId="0" applyFont="1" applyBorder="1" applyAlignment="1">
      <alignment horizontal="center"/>
    </xf>
    <xf numFmtId="164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3" fillId="3" borderId="3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0" fontId="4" fillId="0" borderId="3" xfId="0" applyFont="1" applyBorder="1"/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4" fillId="0" borderId="7" xfId="0" applyFont="1" applyBorder="1"/>
    <xf numFmtId="49" fontId="4" fillId="0" borderId="7" xfId="0" applyNumberFormat="1" applyFont="1" applyBorder="1"/>
    <xf numFmtId="14" fontId="0" fillId="0" borderId="7" xfId="0" applyNumberFormat="1" applyBorder="1"/>
    <xf numFmtId="14" fontId="2" fillId="0" borderId="0" xfId="0" applyNumberFormat="1" applyFont="1"/>
    <xf numFmtId="49" fontId="4" fillId="4" borderId="3" xfId="0" applyNumberFormat="1" applyFont="1" applyFill="1" applyBorder="1" applyAlignment="1">
      <alignment horizontal="right"/>
    </xf>
    <xf numFmtId="0" fontId="4" fillId="4" borderId="0" xfId="0" applyFont="1" applyFill="1"/>
    <xf numFmtId="14" fontId="4" fillId="0" borderId="3" xfId="0" applyNumberFormat="1" applyFont="1" applyBorder="1"/>
    <xf numFmtId="0" fontId="6" fillId="0" borderId="3" xfId="0" applyFont="1" applyBorder="1" applyAlignment="1">
      <alignment horizontal="left"/>
    </xf>
    <xf numFmtId="0" fontId="3" fillId="0" borderId="3" xfId="0" applyFont="1" applyBorder="1"/>
    <xf numFmtId="15" fontId="3" fillId="0" borderId="3" xfId="0" applyNumberFormat="1" applyFont="1" applyBorder="1"/>
    <xf numFmtId="1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 applyProtection="1">
      <alignment horizontal="left" wrapText="1"/>
      <protection locked="0"/>
    </xf>
    <xf numFmtId="0" fontId="0" fillId="0" borderId="0" xfId="0" applyAlignment="1">
      <alignment wrapText="1"/>
    </xf>
    <xf numFmtId="0" fontId="4" fillId="0" borderId="3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49" fontId="3" fillId="0" borderId="3" xfId="0" applyNumberFormat="1" applyFont="1" applyBorder="1" applyAlignment="1" applyProtection="1">
      <alignment horizontal="left"/>
      <protection locked="0"/>
    </xf>
    <xf numFmtId="14" fontId="4" fillId="0" borderId="3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W7"/>
  <sheetViews>
    <sheetView tabSelected="1" topLeftCell="CS1" zoomScale="90" zoomScaleNormal="90" workbookViewId="0">
      <selection activeCell="BI3" sqref="BI3"/>
    </sheetView>
  </sheetViews>
  <sheetFormatPr defaultRowHeight="14.5" customHeight="1" x14ac:dyDescent="0.35"/>
  <cols>
    <col min="1" max="1" width="23.6328125" customWidth="1"/>
    <col min="2" max="2" width="57.63281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7" max="47" width="68.54296875" customWidth="1"/>
    <col min="49" max="49" width="24.26953125" customWidth="1"/>
    <col min="50" max="50" width="33.6328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67" max="67" width="37" customWidth="1"/>
    <col min="68" max="68" width="45.26953125" customWidth="1"/>
    <col min="69" max="69" width="45.6328125" customWidth="1"/>
    <col min="70" max="70" width="42.3632812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  <col min="100" max="100" width="20.90625" customWidth="1"/>
  </cols>
  <sheetData>
    <row r="1" spans="1:101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2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9</v>
      </c>
      <c r="V1" s="6" t="s">
        <v>19</v>
      </c>
      <c r="W1" s="6" t="s">
        <v>20</v>
      </c>
      <c r="X1" s="6" t="s">
        <v>9</v>
      </c>
      <c r="Y1" s="7" t="s">
        <v>21</v>
      </c>
      <c r="Z1" s="6" t="s">
        <v>22</v>
      </c>
      <c r="AA1" s="8" t="s">
        <v>23</v>
      </c>
      <c r="AB1" s="9" t="s">
        <v>24</v>
      </c>
      <c r="AC1" s="9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2" t="s">
        <v>32</v>
      </c>
      <c r="AK1" s="2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22</v>
      </c>
      <c r="AT1" s="6" t="s">
        <v>41</v>
      </c>
      <c r="AU1" s="6" t="s">
        <v>42</v>
      </c>
      <c r="AV1" s="6" t="s">
        <v>43</v>
      </c>
      <c r="AW1" s="6" t="s">
        <v>44</v>
      </c>
      <c r="AX1" s="6" t="s">
        <v>45</v>
      </c>
      <c r="AY1" s="2" t="s">
        <v>46</v>
      </c>
      <c r="AZ1" s="6" t="s">
        <v>47</v>
      </c>
      <c r="BA1" s="6" t="s">
        <v>48</v>
      </c>
      <c r="BB1" s="10" t="s">
        <v>49</v>
      </c>
      <c r="BC1" s="6" t="s">
        <v>50</v>
      </c>
      <c r="BD1" s="6" t="s">
        <v>51</v>
      </c>
      <c r="BE1" s="6" t="s">
        <v>52</v>
      </c>
      <c r="BF1" s="6" t="s">
        <v>53</v>
      </c>
      <c r="BG1" s="10" t="s">
        <v>54</v>
      </c>
      <c r="BH1" s="6" t="s">
        <v>55</v>
      </c>
      <c r="BI1" s="6" t="s">
        <v>56</v>
      </c>
      <c r="BJ1" s="6" t="s">
        <v>57</v>
      </c>
      <c r="BK1" s="6" t="s">
        <v>58</v>
      </c>
      <c r="BL1" s="6" t="s">
        <v>59</v>
      </c>
      <c r="BM1" s="6" t="s">
        <v>60</v>
      </c>
      <c r="BN1" s="6" t="s">
        <v>61</v>
      </c>
      <c r="BO1" s="6" t="s">
        <v>62</v>
      </c>
      <c r="BP1" s="6" t="s">
        <v>63</v>
      </c>
      <c r="BQ1" s="6" t="s">
        <v>64</v>
      </c>
      <c r="BR1" s="6" t="s">
        <v>65</v>
      </c>
      <c r="BS1" s="11" t="s">
        <v>66</v>
      </c>
      <c r="BT1" s="11" t="s">
        <v>67</v>
      </c>
      <c r="BU1" s="6" t="s">
        <v>68</v>
      </c>
      <c r="BV1" s="6" t="s">
        <v>69</v>
      </c>
      <c r="BW1" s="6" t="s">
        <v>70</v>
      </c>
      <c r="BX1" s="6" t="s">
        <v>71</v>
      </c>
      <c r="BY1" s="6" t="s">
        <v>72</v>
      </c>
      <c r="BZ1" s="6" t="s">
        <v>73</v>
      </c>
      <c r="CA1" s="6" t="s">
        <v>74</v>
      </c>
      <c r="CB1" s="6" t="s">
        <v>75</v>
      </c>
      <c r="CC1" s="6" t="s">
        <v>76</v>
      </c>
      <c r="CD1" s="6" t="s">
        <v>77</v>
      </c>
      <c r="CE1" s="6" t="s">
        <v>78</v>
      </c>
      <c r="CF1" s="6" t="s">
        <v>79</v>
      </c>
      <c r="CG1" s="6" t="s">
        <v>80</v>
      </c>
      <c r="CH1" s="6" t="s">
        <v>81</v>
      </c>
      <c r="CI1" s="6" t="s">
        <v>82</v>
      </c>
      <c r="CJ1" s="6" t="s">
        <v>83</v>
      </c>
      <c r="CK1" s="6" t="s">
        <v>84</v>
      </c>
      <c r="CL1" s="6" t="s">
        <v>4</v>
      </c>
      <c r="CM1" s="6" t="s">
        <v>85</v>
      </c>
      <c r="CN1" s="6" t="s">
        <v>86</v>
      </c>
      <c r="CO1" s="6" t="s">
        <v>87</v>
      </c>
      <c r="CP1" s="6" t="s">
        <v>88</v>
      </c>
      <c r="CQ1" s="6" t="s">
        <v>89</v>
      </c>
      <c r="CR1" s="6" t="s">
        <v>90</v>
      </c>
      <c r="CS1" s="6" t="s">
        <v>91</v>
      </c>
      <c r="CT1" s="6" t="s">
        <v>92</v>
      </c>
      <c r="CU1" s="6" t="s">
        <v>93</v>
      </c>
      <c r="CV1" s="6" t="s">
        <v>94</v>
      </c>
      <c r="CW1" s="12"/>
    </row>
    <row r="2" spans="1:101" ht="87.5" customHeight="1" x14ac:dyDescent="0.35">
      <c r="A2" t="s">
        <v>95</v>
      </c>
      <c r="B2" s="13" t="s">
        <v>96</v>
      </c>
      <c r="C2" s="14" t="s">
        <v>97</v>
      </c>
      <c r="D2" s="15" t="s">
        <v>98</v>
      </c>
      <c r="E2" s="16" t="s">
        <v>99</v>
      </c>
      <c r="F2" s="17" t="s">
        <v>100</v>
      </c>
      <c r="G2" s="17" t="s">
        <v>101</v>
      </c>
      <c r="H2" s="18" t="s">
        <v>102</v>
      </c>
      <c r="I2" s="19" t="s">
        <v>103</v>
      </c>
      <c r="J2" s="19" t="s">
        <v>104</v>
      </c>
      <c r="K2" s="20">
        <f t="shared" ref="K2:K7" ca="1" si="0">TODAY()-31</f>
        <v>45803</v>
      </c>
      <c r="L2" s="21" t="s">
        <v>99</v>
      </c>
      <c r="M2" s="22" t="s">
        <v>105</v>
      </c>
      <c r="N2" s="19" t="s">
        <v>106</v>
      </c>
      <c r="O2" s="23" t="s">
        <v>107</v>
      </c>
      <c r="P2" s="24" t="s">
        <v>108</v>
      </c>
      <c r="Q2" s="19" t="s">
        <v>109</v>
      </c>
      <c r="R2" s="19" t="s">
        <v>110</v>
      </c>
      <c r="S2" s="25" t="s">
        <v>111</v>
      </c>
      <c r="T2" s="25" t="s">
        <v>111</v>
      </c>
      <c r="U2" s="19" t="s">
        <v>104</v>
      </c>
      <c r="V2" s="26" t="s">
        <v>112</v>
      </c>
      <c r="W2" s="27" t="s">
        <v>113</v>
      </c>
      <c r="X2" s="19" t="s">
        <v>104</v>
      </c>
      <c r="Y2" s="20">
        <f t="shared" ref="Y2:Y3" ca="1" si="1">K2</f>
        <v>45803</v>
      </c>
      <c r="Z2" s="19" t="s">
        <v>114</v>
      </c>
      <c r="AA2" s="28" t="s">
        <v>115</v>
      </c>
      <c r="AB2" s="29" t="s">
        <v>116</v>
      </c>
      <c r="AC2" s="30" t="s">
        <v>117</v>
      </c>
      <c r="AD2" s="31" t="s">
        <v>118</v>
      </c>
      <c r="AE2" s="21">
        <v>846</v>
      </c>
      <c r="AF2" s="21" t="s">
        <v>57</v>
      </c>
      <c r="AG2" s="30">
        <v>40</v>
      </c>
      <c r="AH2" s="30" t="s">
        <v>119</v>
      </c>
      <c r="AI2" s="21" t="s">
        <v>120</v>
      </c>
      <c r="AJ2" s="32">
        <f ca="1">TODAY()+365</f>
        <v>46199</v>
      </c>
      <c r="AK2" s="32">
        <f t="shared" ref="AK2:AK3" ca="1" si="2">Y2+90</f>
        <v>45893</v>
      </c>
      <c r="AL2" s="19" t="s">
        <v>121</v>
      </c>
      <c r="AM2" s="31" t="s">
        <v>122</v>
      </c>
      <c r="AN2" s="30" t="s">
        <v>123</v>
      </c>
      <c r="AO2" s="19" t="s">
        <v>124</v>
      </c>
      <c r="AP2" s="33" t="s">
        <v>125</v>
      </c>
      <c r="AQ2" s="19" t="s">
        <v>126</v>
      </c>
      <c r="AR2" s="30" t="s">
        <v>126</v>
      </c>
      <c r="AS2" s="26" t="s">
        <v>115</v>
      </c>
      <c r="AT2" s="19" t="s">
        <v>127</v>
      </c>
      <c r="AU2" s="34" t="str">
        <f>AB2</f>
        <v>Fixed Term (Fixed Term)</v>
      </c>
      <c r="AV2" s="26" t="s">
        <v>128</v>
      </c>
      <c r="AW2" s="35">
        <f t="shared" ref="AW2:AW3" ca="1" si="3">Y2-1</f>
        <v>45802</v>
      </c>
      <c r="AX2" s="35">
        <f t="shared" ref="AX2:AX3" ca="1" si="4">Y2-1</f>
        <v>45802</v>
      </c>
      <c r="AY2" s="36">
        <f t="shared" ref="AY2:AY3" ca="1" si="5">AJ2</f>
        <v>46199</v>
      </c>
      <c r="AZ2" s="25" t="s">
        <v>99</v>
      </c>
      <c r="BA2" s="25" t="s">
        <v>129</v>
      </c>
      <c r="BB2" s="37" t="s">
        <v>171</v>
      </c>
      <c r="BC2" s="26" t="s">
        <v>130</v>
      </c>
      <c r="BD2" s="26" t="s">
        <v>131</v>
      </c>
      <c r="BE2" s="25" t="s">
        <v>99</v>
      </c>
      <c r="BF2" s="25" t="s">
        <v>132</v>
      </c>
      <c r="BG2" s="38">
        <v>5555005400</v>
      </c>
      <c r="BH2" s="26">
        <v>36526</v>
      </c>
      <c r="BI2" s="26">
        <v>51136</v>
      </c>
      <c r="BJ2" s="21" t="s">
        <v>133</v>
      </c>
      <c r="BK2" s="30" t="s">
        <v>134</v>
      </c>
      <c r="BL2" s="39">
        <v>32875</v>
      </c>
      <c r="BM2" s="40" t="s">
        <v>99</v>
      </c>
      <c r="BN2" s="25" t="s">
        <v>111</v>
      </c>
      <c r="BO2" s="41" t="s">
        <v>135</v>
      </c>
      <c r="BP2" s="42" t="s">
        <v>115</v>
      </c>
      <c r="BQ2" s="25" t="s">
        <v>136</v>
      </c>
      <c r="BR2" s="25" t="s">
        <v>99</v>
      </c>
      <c r="BS2" s="30" t="s">
        <v>126</v>
      </c>
      <c r="BT2" s="31" t="s">
        <v>115</v>
      </c>
      <c r="BU2" s="41" t="s">
        <v>137</v>
      </c>
      <c r="BV2" s="41" t="s">
        <v>138</v>
      </c>
      <c r="BW2" s="25" t="s">
        <v>139</v>
      </c>
      <c r="BX2" s="19" t="s">
        <v>140</v>
      </c>
      <c r="BY2" s="25" t="s">
        <v>141</v>
      </c>
      <c r="BZ2" s="25" t="s">
        <v>142</v>
      </c>
      <c r="CA2" s="25" t="s">
        <v>143</v>
      </c>
      <c r="CB2" s="25" t="s">
        <v>144</v>
      </c>
      <c r="CC2" s="25" t="s">
        <v>139</v>
      </c>
      <c r="CD2" s="19" t="s">
        <v>140</v>
      </c>
      <c r="CE2" s="25" t="s">
        <v>141</v>
      </c>
      <c r="CF2" s="25" t="s">
        <v>145</v>
      </c>
      <c r="CG2" s="25" t="s">
        <v>146</v>
      </c>
      <c r="CH2" s="25" t="s">
        <v>145</v>
      </c>
      <c r="CI2" s="43">
        <v>100</v>
      </c>
      <c r="CJ2" s="25" t="s">
        <v>147</v>
      </c>
      <c r="CK2" s="25" t="s">
        <v>148</v>
      </c>
      <c r="CL2" s="25" t="s">
        <v>99</v>
      </c>
      <c r="CM2" s="25" t="s">
        <v>149</v>
      </c>
      <c r="CN2" s="25" t="s">
        <v>150</v>
      </c>
      <c r="CO2" s="31" t="s">
        <v>115</v>
      </c>
      <c r="CP2" s="44" t="s">
        <v>115</v>
      </c>
      <c r="CQ2" s="39" t="s">
        <v>115</v>
      </c>
      <c r="CR2" s="31" t="s">
        <v>115</v>
      </c>
      <c r="CS2" s="31" t="s">
        <v>115</v>
      </c>
      <c r="CT2" s="31" t="s">
        <v>115</v>
      </c>
      <c r="CU2" s="31" t="s">
        <v>115</v>
      </c>
      <c r="CV2">
        <v>40</v>
      </c>
    </row>
    <row r="3" spans="1:101" ht="72.5" customHeight="1" x14ac:dyDescent="0.35">
      <c r="A3" t="s">
        <v>151</v>
      </c>
      <c r="B3" s="45" t="s">
        <v>152</v>
      </c>
      <c r="C3" s="14" t="s">
        <v>97</v>
      </c>
      <c r="D3" s="15" t="s">
        <v>153</v>
      </c>
      <c r="E3" s="16" t="s">
        <v>99</v>
      </c>
      <c r="F3" s="17" t="s">
        <v>154</v>
      </c>
      <c r="G3" s="17" t="s">
        <v>155</v>
      </c>
      <c r="H3" s="18" t="s">
        <v>102</v>
      </c>
      <c r="I3" s="19" t="s">
        <v>103</v>
      </c>
      <c r="J3" s="19" t="s">
        <v>104</v>
      </c>
      <c r="K3" s="20">
        <f t="shared" ca="1" si="0"/>
        <v>45803</v>
      </c>
      <c r="L3" s="21" t="s">
        <v>99</v>
      </c>
      <c r="M3" s="22" t="s">
        <v>105</v>
      </c>
      <c r="N3" s="19" t="s">
        <v>156</v>
      </c>
      <c r="O3" s="23" t="s">
        <v>107</v>
      </c>
      <c r="P3" s="46" t="s">
        <v>108</v>
      </c>
      <c r="Q3" s="19">
        <v>123</v>
      </c>
      <c r="R3" s="19">
        <v>1046</v>
      </c>
      <c r="S3" s="25" t="s">
        <v>111</v>
      </c>
      <c r="T3" s="25" t="s">
        <v>111</v>
      </c>
      <c r="U3" s="19" t="s">
        <v>104</v>
      </c>
      <c r="V3" s="26" t="s">
        <v>112</v>
      </c>
      <c r="W3" s="27" t="s">
        <v>113</v>
      </c>
      <c r="X3" s="19" t="s">
        <v>104</v>
      </c>
      <c r="Y3" s="20">
        <f t="shared" ca="1" si="1"/>
        <v>45803</v>
      </c>
      <c r="Z3" s="19" t="s">
        <v>114</v>
      </c>
      <c r="AA3" s="28" t="s">
        <v>157</v>
      </c>
      <c r="AB3" s="33" t="s">
        <v>158</v>
      </c>
      <c r="AC3" s="30" t="s">
        <v>159</v>
      </c>
      <c r="AD3" s="31" t="s">
        <v>160</v>
      </c>
      <c r="AE3" s="21">
        <v>846</v>
      </c>
      <c r="AF3" s="21" t="s">
        <v>57</v>
      </c>
      <c r="AG3" s="30">
        <v>10</v>
      </c>
      <c r="AH3" s="30" t="s">
        <v>161</v>
      </c>
      <c r="AI3" s="21" t="s">
        <v>120</v>
      </c>
      <c r="AJ3" s="47" t="s">
        <v>115</v>
      </c>
      <c r="AK3" s="32">
        <f t="shared" ca="1" si="2"/>
        <v>45893</v>
      </c>
      <c r="AL3" s="19" t="s">
        <v>121</v>
      </c>
      <c r="AM3" s="30" t="s">
        <v>162</v>
      </c>
      <c r="AN3" s="41" t="s">
        <v>163</v>
      </c>
      <c r="AO3" s="19" t="s">
        <v>124</v>
      </c>
      <c r="AP3" s="30" t="s">
        <v>125</v>
      </c>
      <c r="AQ3" s="19" t="s">
        <v>126</v>
      </c>
      <c r="AR3" s="30" t="s">
        <v>126</v>
      </c>
      <c r="AS3" s="26" t="s">
        <v>115</v>
      </c>
      <c r="AT3" s="19" t="s">
        <v>127</v>
      </c>
      <c r="AU3" s="33" t="str">
        <f t="shared" ref="AU3" si="6">AB3</f>
        <v>Permanent</v>
      </c>
      <c r="AV3" s="26" t="s">
        <v>128</v>
      </c>
      <c r="AW3" s="35">
        <f t="shared" ca="1" si="3"/>
        <v>45802</v>
      </c>
      <c r="AX3" s="35">
        <f t="shared" ca="1" si="4"/>
        <v>45802</v>
      </c>
      <c r="AY3" s="48" t="str">
        <f t="shared" si="5"/>
        <v>N/A</v>
      </c>
      <c r="AZ3" s="25" t="s">
        <v>99</v>
      </c>
      <c r="BA3" s="25" t="s">
        <v>164</v>
      </c>
      <c r="BB3" s="37" t="s">
        <v>172</v>
      </c>
      <c r="BC3" s="26">
        <v>36526</v>
      </c>
      <c r="BD3" s="26">
        <v>51136</v>
      </c>
      <c r="BE3" s="25" t="s">
        <v>99</v>
      </c>
      <c r="BF3" s="25" t="s">
        <v>132</v>
      </c>
      <c r="BG3" s="38">
        <v>5555005401</v>
      </c>
      <c r="BH3" s="26">
        <v>36526</v>
      </c>
      <c r="BI3" s="26">
        <v>51136</v>
      </c>
      <c r="BJ3" s="21" t="s">
        <v>133</v>
      </c>
      <c r="BK3" s="30" t="s">
        <v>165</v>
      </c>
      <c r="BL3" s="39">
        <v>32875</v>
      </c>
      <c r="BM3" s="40" t="s">
        <v>99</v>
      </c>
      <c r="BN3" s="25" t="s">
        <v>111</v>
      </c>
      <c r="BO3" s="41" t="s">
        <v>135</v>
      </c>
      <c r="BP3" s="42" t="s">
        <v>115</v>
      </c>
      <c r="BQ3" s="25" t="s">
        <v>136</v>
      </c>
      <c r="BR3" s="25" t="s">
        <v>99</v>
      </c>
      <c r="BS3" s="30" t="s">
        <v>126</v>
      </c>
      <c r="BT3" s="31" t="s">
        <v>115</v>
      </c>
      <c r="BU3" s="41" t="s">
        <v>137</v>
      </c>
      <c r="BV3" s="41" t="s">
        <v>138</v>
      </c>
      <c r="BW3" s="25" t="s">
        <v>139</v>
      </c>
      <c r="BX3" s="49" t="s">
        <v>166</v>
      </c>
      <c r="BY3" s="25" t="s">
        <v>141</v>
      </c>
      <c r="BZ3" s="25" t="s">
        <v>142</v>
      </c>
      <c r="CA3" s="25" t="s">
        <v>143</v>
      </c>
      <c r="CB3" s="25" t="s">
        <v>144</v>
      </c>
      <c r="CC3" s="25" t="s">
        <v>139</v>
      </c>
      <c r="CD3" s="19" t="s">
        <v>140</v>
      </c>
      <c r="CE3" s="25" t="s">
        <v>141</v>
      </c>
      <c r="CF3" s="25" t="s">
        <v>145</v>
      </c>
      <c r="CG3" s="25" t="s">
        <v>146</v>
      </c>
      <c r="CH3" s="25" t="s">
        <v>145</v>
      </c>
      <c r="CI3" s="43">
        <v>100</v>
      </c>
      <c r="CJ3" s="25" t="s">
        <v>147</v>
      </c>
      <c r="CK3" s="25" t="s">
        <v>148</v>
      </c>
      <c r="CL3" s="25" t="s">
        <v>99</v>
      </c>
      <c r="CM3" s="25" t="s">
        <v>167</v>
      </c>
      <c r="CN3" s="25" t="s">
        <v>150</v>
      </c>
      <c r="CO3" s="33" t="s">
        <v>168</v>
      </c>
      <c r="CP3" s="31" t="s">
        <v>169</v>
      </c>
      <c r="CQ3" s="44" t="s">
        <v>111</v>
      </c>
      <c r="CR3" s="50">
        <v>31048</v>
      </c>
      <c r="CS3" s="31" t="s">
        <v>170</v>
      </c>
      <c r="CT3" s="43">
        <v>1234011</v>
      </c>
      <c r="CU3" s="43">
        <v>123456011</v>
      </c>
      <c r="CV3" s="43">
        <v>40</v>
      </c>
    </row>
    <row r="4" spans="1:101" ht="14.5" customHeight="1" x14ac:dyDescent="0.35">
      <c r="D4" s="15" t="s">
        <v>98</v>
      </c>
      <c r="E4" s="16" t="s">
        <v>99</v>
      </c>
      <c r="F4" s="17" t="s">
        <v>100</v>
      </c>
      <c r="G4" s="17" t="s">
        <v>101</v>
      </c>
      <c r="H4" s="18" t="s">
        <v>102</v>
      </c>
      <c r="I4" s="19" t="s">
        <v>103</v>
      </c>
      <c r="J4" s="19" t="s">
        <v>104</v>
      </c>
      <c r="K4" s="20">
        <f t="shared" ca="1" si="0"/>
        <v>45803</v>
      </c>
      <c r="L4" s="21" t="s">
        <v>99</v>
      </c>
      <c r="M4" s="22" t="s">
        <v>105</v>
      </c>
      <c r="N4" s="19" t="s">
        <v>106</v>
      </c>
      <c r="O4" s="23" t="s">
        <v>107</v>
      </c>
      <c r="P4" s="24" t="s">
        <v>108</v>
      </c>
      <c r="Q4" s="19" t="s">
        <v>109</v>
      </c>
      <c r="R4" s="19" t="s">
        <v>110</v>
      </c>
      <c r="S4" s="25" t="s">
        <v>111</v>
      </c>
      <c r="T4" s="25" t="s">
        <v>111</v>
      </c>
      <c r="U4" s="19" t="s">
        <v>104</v>
      </c>
      <c r="V4" s="26" t="s">
        <v>112</v>
      </c>
      <c r="W4" s="27" t="s">
        <v>113</v>
      </c>
      <c r="X4" s="19" t="s">
        <v>104</v>
      </c>
      <c r="Y4" s="20">
        <f t="shared" ref="Y4:Y7" ca="1" si="7">K4</f>
        <v>45803</v>
      </c>
      <c r="Z4" s="19" t="s">
        <v>114</v>
      </c>
      <c r="AA4" s="28" t="s">
        <v>115</v>
      </c>
      <c r="AB4" s="29" t="s">
        <v>116</v>
      </c>
      <c r="AC4" s="30" t="s">
        <v>117</v>
      </c>
      <c r="AD4" s="31" t="s">
        <v>118</v>
      </c>
      <c r="AE4" s="21">
        <v>846</v>
      </c>
      <c r="AF4" s="21" t="s">
        <v>57</v>
      </c>
      <c r="AG4" s="30">
        <v>40</v>
      </c>
      <c r="AH4" s="30" t="s">
        <v>119</v>
      </c>
      <c r="AI4" s="21" t="s">
        <v>120</v>
      </c>
      <c r="AJ4" s="32">
        <f ca="1">TODAY()+365</f>
        <v>46199</v>
      </c>
      <c r="AK4" s="32">
        <f t="shared" ref="AK4:AK7" ca="1" si="8">Y4+90</f>
        <v>45893</v>
      </c>
      <c r="AL4" s="19" t="s">
        <v>121</v>
      </c>
      <c r="AM4" s="31" t="s">
        <v>122</v>
      </c>
      <c r="AN4" s="30" t="s">
        <v>123</v>
      </c>
      <c r="AO4" s="19" t="s">
        <v>124</v>
      </c>
      <c r="AP4" s="33" t="s">
        <v>125</v>
      </c>
      <c r="AQ4" s="19" t="s">
        <v>126</v>
      </c>
      <c r="AR4" s="30" t="s">
        <v>126</v>
      </c>
      <c r="AS4" s="26" t="s">
        <v>115</v>
      </c>
      <c r="AT4" s="19" t="s">
        <v>127</v>
      </c>
      <c r="AU4" s="34" t="str">
        <f>AB4</f>
        <v>Fixed Term (Fixed Term)</v>
      </c>
      <c r="AV4" s="26" t="s">
        <v>128</v>
      </c>
      <c r="AW4" s="35">
        <f t="shared" ref="AW4:AW7" ca="1" si="9">Y4-1</f>
        <v>45802</v>
      </c>
      <c r="AX4" s="35">
        <f t="shared" ref="AX4:AX7" ca="1" si="10">Y4-1</f>
        <v>45802</v>
      </c>
      <c r="AY4" s="36">
        <f t="shared" ref="AY4:AY7" ca="1" si="11">AJ4</f>
        <v>46199</v>
      </c>
      <c r="AZ4" s="25" t="s">
        <v>99</v>
      </c>
      <c r="BA4" s="25" t="s">
        <v>129</v>
      </c>
      <c r="BB4" s="37" t="s">
        <v>173</v>
      </c>
      <c r="BC4" s="26" t="s">
        <v>130</v>
      </c>
      <c r="BD4" s="26" t="s">
        <v>131</v>
      </c>
      <c r="BE4" s="25" t="s">
        <v>99</v>
      </c>
      <c r="BF4" s="25" t="s">
        <v>132</v>
      </c>
      <c r="BG4" s="38">
        <v>5555005402</v>
      </c>
      <c r="BH4" s="26">
        <v>36526</v>
      </c>
      <c r="BI4" s="26">
        <v>51136</v>
      </c>
      <c r="BJ4" s="21" t="s">
        <v>133</v>
      </c>
      <c r="BK4" s="30" t="s">
        <v>134</v>
      </c>
      <c r="BL4" s="39">
        <v>32875</v>
      </c>
      <c r="BM4" s="40" t="s">
        <v>99</v>
      </c>
      <c r="BN4" s="25" t="s">
        <v>111</v>
      </c>
      <c r="BO4" s="41" t="s">
        <v>135</v>
      </c>
      <c r="BP4" s="42" t="s">
        <v>115</v>
      </c>
      <c r="BQ4" s="25" t="s">
        <v>136</v>
      </c>
      <c r="BR4" s="25" t="s">
        <v>99</v>
      </c>
      <c r="BS4" s="30" t="s">
        <v>126</v>
      </c>
      <c r="BT4" s="31" t="s">
        <v>115</v>
      </c>
      <c r="BU4" s="41" t="s">
        <v>137</v>
      </c>
      <c r="BV4" s="41" t="s">
        <v>138</v>
      </c>
      <c r="BW4" s="25" t="s">
        <v>139</v>
      </c>
      <c r="BX4" s="19" t="s">
        <v>140</v>
      </c>
      <c r="BY4" s="25" t="s">
        <v>141</v>
      </c>
      <c r="BZ4" s="25" t="s">
        <v>142</v>
      </c>
      <c r="CA4" s="25" t="s">
        <v>143</v>
      </c>
      <c r="CB4" s="25" t="s">
        <v>144</v>
      </c>
      <c r="CC4" s="25" t="s">
        <v>139</v>
      </c>
      <c r="CD4" s="19" t="s">
        <v>140</v>
      </c>
      <c r="CE4" s="25" t="s">
        <v>141</v>
      </c>
      <c r="CF4" s="25" t="s">
        <v>145</v>
      </c>
      <c r="CG4" s="25" t="s">
        <v>146</v>
      </c>
      <c r="CH4" s="25" t="s">
        <v>145</v>
      </c>
      <c r="CI4" s="43">
        <v>100</v>
      </c>
      <c r="CJ4" s="25" t="s">
        <v>147</v>
      </c>
      <c r="CK4" s="25" t="s">
        <v>148</v>
      </c>
      <c r="CL4" s="25" t="s">
        <v>99</v>
      </c>
      <c r="CM4" s="25" t="s">
        <v>149</v>
      </c>
      <c r="CN4" s="25" t="s">
        <v>150</v>
      </c>
      <c r="CO4" s="31" t="s">
        <v>115</v>
      </c>
      <c r="CP4" s="44" t="s">
        <v>115</v>
      </c>
      <c r="CQ4" s="39" t="s">
        <v>115</v>
      </c>
      <c r="CR4" s="31" t="s">
        <v>115</v>
      </c>
      <c r="CS4" s="31" t="s">
        <v>115</v>
      </c>
      <c r="CT4" s="31" t="s">
        <v>115</v>
      </c>
      <c r="CU4" s="31" t="s">
        <v>115</v>
      </c>
      <c r="CV4">
        <v>40</v>
      </c>
    </row>
    <row r="5" spans="1:101" ht="14.5" customHeight="1" x14ac:dyDescent="0.35">
      <c r="D5" s="15" t="s">
        <v>153</v>
      </c>
      <c r="E5" s="16" t="s">
        <v>99</v>
      </c>
      <c r="F5" s="17" t="s">
        <v>154</v>
      </c>
      <c r="G5" s="17" t="s">
        <v>155</v>
      </c>
      <c r="H5" s="18" t="s">
        <v>102</v>
      </c>
      <c r="I5" s="19" t="s">
        <v>103</v>
      </c>
      <c r="J5" s="19" t="s">
        <v>104</v>
      </c>
      <c r="K5" s="20">
        <f t="shared" ca="1" si="0"/>
        <v>45803</v>
      </c>
      <c r="L5" s="21" t="s">
        <v>99</v>
      </c>
      <c r="M5" s="22" t="s">
        <v>105</v>
      </c>
      <c r="N5" s="19" t="s">
        <v>156</v>
      </c>
      <c r="O5" s="23" t="s">
        <v>107</v>
      </c>
      <c r="P5" s="46" t="s">
        <v>108</v>
      </c>
      <c r="Q5" s="19">
        <v>123</v>
      </c>
      <c r="R5" s="19">
        <v>1046</v>
      </c>
      <c r="S5" s="25" t="s">
        <v>111</v>
      </c>
      <c r="T5" s="25" t="s">
        <v>111</v>
      </c>
      <c r="U5" s="19" t="s">
        <v>104</v>
      </c>
      <c r="V5" s="26" t="s">
        <v>112</v>
      </c>
      <c r="W5" s="27" t="s">
        <v>113</v>
      </c>
      <c r="X5" s="19" t="s">
        <v>104</v>
      </c>
      <c r="Y5" s="20">
        <f t="shared" ca="1" si="7"/>
        <v>45803</v>
      </c>
      <c r="Z5" s="19" t="s">
        <v>114</v>
      </c>
      <c r="AA5" s="28" t="s">
        <v>157</v>
      </c>
      <c r="AB5" s="33" t="s">
        <v>158</v>
      </c>
      <c r="AC5" s="30" t="s">
        <v>159</v>
      </c>
      <c r="AD5" s="31" t="s">
        <v>160</v>
      </c>
      <c r="AE5" s="21">
        <v>846</v>
      </c>
      <c r="AF5" s="21" t="s">
        <v>57</v>
      </c>
      <c r="AG5" s="30">
        <v>10</v>
      </c>
      <c r="AH5" s="30" t="s">
        <v>161</v>
      </c>
      <c r="AI5" s="21" t="s">
        <v>120</v>
      </c>
      <c r="AJ5" s="47" t="s">
        <v>115</v>
      </c>
      <c r="AK5" s="32">
        <f t="shared" ca="1" si="8"/>
        <v>45893</v>
      </c>
      <c r="AL5" s="19" t="s">
        <v>121</v>
      </c>
      <c r="AM5" s="30" t="s">
        <v>162</v>
      </c>
      <c r="AN5" s="41" t="s">
        <v>163</v>
      </c>
      <c r="AO5" s="19" t="s">
        <v>124</v>
      </c>
      <c r="AP5" s="30" t="s">
        <v>125</v>
      </c>
      <c r="AQ5" s="19" t="s">
        <v>126</v>
      </c>
      <c r="AR5" s="30" t="s">
        <v>126</v>
      </c>
      <c r="AS5" s="26" t="s">
        <v>115</v>
      </c>
      <c r="AT5" s="19" t="s">
        <v>127</v>
      </c>
      <c r="AU5" s="33" t="str">
        <f t="shared" ref="AU5" si="12">AB5</f>
        <v>Permanent</v>
      </c>
      <c r="AV5" s="26" t="s">
        <v>128</v>
      </c>
      <c r="AW5" s="35">
        <f t="shared" ca="1" si="9"/>
        <v>45802</v>
      </c>
      <c r="AX5" s="35">
        <f t="shared" ca="1" si="10"/>
        <v>45802</v>
      </c>
      <c r="AY5" s="48" t="str">
        <f t="shared" si="11"/>
        <v>N/A</v>
      </c>
      <c r="AZ5" s="25" t="s">
        <v>99</v>
      </c>
      <c r="BA5" s="25" t="s">
        <v>164</v>
      </c>
      <c r="BB5" s="37" t="s">
        <v>174</v>
      </c>
      <c r="BC5" s="26">
        <v>36526</v>
      </c>
      <c r="BD5" s="26">
        <v>51136</v>
      </c>
      <c r="BE5" s="25" t="s">
        <v>99</v>
      </c>
      <c r="BF5" s="25" t="s">
        <v>132</v>
      </c>
      <c r="BG5" s="38">
        <v>5555005403</v>
      </c>
      <c r="BH5" s="26">
        <v>36526</v>
      </c>
      <c r="BI5" s="26">
        <v>51136</v>
      </c>
      <c r="BJ5" s="21" t="s">
        <v>133</v>
      </c>
      <c r="BK5" s="30" t="s">
        <v>165</v>
      </c>
      <c r="BL5" s="39">
        <v>32875</v>
      </c>
      <c r="BM5" s="40" t="s">
        <v>99</v>
      </c>
      <c r="BN5" s="25" t="s">
        <v>111</v>
      </c>
      <c r="BO5" s="41" t="s">
        <v>135</v>
      </c>
      <c r="BP5" s="42" t="s">
        <v>115</v>
      </c>
      <c r="BQ5" s="25" t="s">
        <v>136</v>
      </c>
      <c r="BR5" s="25" t="s">
        <v>99</v>
      </c>
      <c r="BS5" s="30" t="s">
        <v>126</v>
      </c>
      <c r="BT5" s="31" t="s">
        <v>115</v>
      </c>
      <c r="BU5" s="41" t="s">
        <v>137</v>
      </c>
      <c r="BV5" s="41" t="s">
        <v>138</v>
      </c>
      <c r="BW5" s="25" t="s">
        <v>139</v>
      </c>
      <c r="BX5" s="49" t="s">
        <v>166</v>
      </c>
      <c r="BY5" s="25" t="s">
        <v>141</v>
      </c>
      <c r="BZ5" s="25" t="s">
        <v>142</v>
      </c>
      <c r="CA5" s="25" t="s">
        <v>143</v>
      </c>
      <c r="CB5" s="25" t="s">
        <v>144</v>
      </c>
      <c r="CC5" s="25" t="s">
        <v>139</v>
      </c>
      <c r="CD5" s="19" t="s">
        <v>140</v>
      </c>
      <c r="CE5" s="25" t="s">
        <v>141</v>
      </c>
      <c r="CF5" s="25" t="s">
        <v>145</v>
      </c>
      <c r="CG5" s="25" t="s">
        <v>146</v>
      </c>
      <c r="CH5" s="25" t="s">
        <v>145</v>
      </c>
      <c r="CI5" s="43">
        <v>100</v>
      </c>
      <c r="CJ5" s="25" t="s">
        <v>147</v>
      </c>
      <c r="CK5" s="25" t="s">
        <v>148</v>
      </c>
      <c r="CL5" s="25" t="s">
        <v>99</v>
      </c>
      <c r="CM5" s="25" t="s">
        <v>167</v>
      </c>
      <c r="CN5" s="25" t="s">
        <v>150</v>
      </c>
      <c r="CO5" s="33" t="s">
        <v>168</v>
      </c>
      <c r="CP5" s="31" t="s">
        <v>169</v>
      </c>
      <c r="CQ5" s="44" t="s">
        <v>111</v>
      </c>
      <c r="CR5" s="50">
        <v>31048</v>
      </c>
      <c r="CS5" s="31" t="s">
        <v>170</v>
      </c>
      <c r="CT5" s="43">
        <v>1234011</v>
      </c>
      <c r="CU5" s="43">
        <v>123456011</v>
      </c>
      <c r="CV5" s="43">
        <v>40</v>
      </c>
    </row>
    <row r="6" spans="1:101" ht="14.5" customHeight="1" x14ac:dyDescent="0.35">
      <c r="D6" s="15" t="s">
        <v>98</v>
      </c>
      <c r="E6" s="16" t="s">
        <v>99</v>
      </c>
      <c r="F6" s="17" t="s">
        <v>100</v>
      </c>
      <c r="G6" s="17" t="s">
        <v>101</v>
      </c>
      <c r="H6" s="18" t="s">
        <v>102</v>
      </c>
      <c r="I6" s="19" t="s">
        <v>103</v>
      </c>
      <c r="J6" s="19" t="s">
        <v>104</v>
      </c>
      <c r="K6" s="20">
        <f t="shared" ca="1" si="0"/>
        <v>45803</v>
      </c>
      <c r="L6" s="21" t="s">
        <v>99</v>
      </c>
      <c r="M6" s="22" t="s">
        <v>105</v>
      </c>
      <c r="N6" s="19" t="s">
        <v>106</v>
      </c>
      <c r="O6" s="23" t="s">
        <v>107</v>
      </c>
      <c r="P6" s="24" t="s">
        <v>108</v>
      </c>
      <c r="Q6" s="19" t="s">
        <v>109</v>
      </c>
      <c r="R6" s="19" t="s">
        <v>110</v>
      </c>
      <c r="S6" s="25" t="s">
        <v>111</v>
      </c>
      <c r="T6" s="25" t="s">
        <v>111</v>
      </c>
      <c r="U6" s="19" t="s">
        <v>104</v>
      </c>
      <c r="V6" s="26" t="s">
        <v>112</v>
      </c>
      <c r="W6" s="27" t="s">
        <v>113</v>
      </c>
      <c r="X6" s="19" t="s">
        <v>104</v>
      </c>
      <c r="Y6" s="20">
        <f t="shared" ca="1" si="7"/>
        <v>45803</v>
      </c>
      <c r="Z6" s="19" t="s">
        <v>114</v>
      </c>
      <c r="AA6" s="28" t="s">
        <v>115</v>
      </c>
      <c r="AB6" s="29" t="s">
        <v>116</v>
      </c>
      <c r="AC6" s="30" t="s">
        <v>117</v>
      </c>
      <c r="AD6" s="31" t="s">
        <v>118</v>
      </c>
      <c r="AE6" s="21">
        <v>846</v>
      </c>
      <c r="AF6" s="21" t="s">
        <v>57</v>
      </c>
      <c r="AG6" s="30">
        <v>40</v>
      </c>
      <c r="AH6" s="30" t="s">
        <v>119</v>
      </c>
      <c r="AI6" s="21" t="s">
        <v>120</v>
      </c>
      <c r="AJ6" s="32">
        <f ca="1">TODAY()+365</f>
        <v>46199</v>
      </c>
      <c r="AK6" s="32">
        <f t="shared" ca="1" si="8"/>
        <v>45893</v>
      </c>
      <c r="AL6" s="19" t="s">
        <v>121</v>
      </c>
      <c r="AM6" s="31" t="s">
        <v>122</v>
      </c>
      <c r="AN6" s="30" t="s">
        <v>123</v>
      </c>
      <c r="AO6" s="19" t="s">
        <v>124</v>
      </c>
      <c r="AP6" s="33" t="s">
        <v>125</v>
      </c>
      <c r="AQ6" s="19" t="s">
        <v>126</v>
      </c>
      <c r="AR6" s="30" t="s">
        <v>126</v>
      </c>
      <c r="AS6" s="26" t="s">
        <v>115</v>
      </c>
      <c r="AT6" s="19" t="s">
        <v>127</v>
      </c>
      <c r="AU6" s="34" t="str">
        <f>AB6</f>
        <v>Fixed Term (Fixed Term)</v>
      </c>
      <c r="AV6" s="26" t="s">
        <v>128</v>
      </c>
      <c r="AW6" s="35">
        <f t="shared" ca="1" si="9"/>
        <v>45802</v>
      </c>
      <c r="AX6" s="35">
        <f t="shared" ca="1" si="10"/>
        <v>45802</v>
      </c>
      <c r="AY6" s="36">
        <f t="shared" ca="1" si="11"/>
        <v>46199</v>
      </c>
      <c r="AZ6" s="25" t="s">
        <v>99</v>
      </c>
      <c r="BA6" s="25" t="s">
        <v>129</v>
      </c>
      <c r="BB6" s="37" t="s">
        <v>175</v>
      </c>
      <c r="BC6" s="26" t="s">
        <v>130</v>
      </c>
      <c r="BD6" s="26" t="s">
        <v>131</v>
      </c>
      <c r="BE6" s="25" t="s">
        <v>99</v>
      </c>
      <c r="BF6" s="25" t="s">
        <v>132</v>
      </c>
      <c r="BG6" s="38">
        <v>5555005404</v>
      </c>
      <c r="BH6" s="26">
        <v>36526</v>
      </c>
      <c r="BI6" s="26">
        <v>51136</v>
      </c>
      <c r="BJ6" s="21" t="s">
        <v>133</v>
      </c>
      <c r="BK6" s="30" t="s">
        <v>134</v>
      </c>
      <c r="BL6" s="39">
        <v>32875</v>
      </c>
      <c r="BM6" s="40" t="s">
        <v>99</v>
      </c>
      <c r="BN6" s="25" t="s">
        <v>111</v>
      </c>
      <c r="BO6" s="41" t="s">
        <v>135</v>
      </c>
      <c r="BP6" s="42" t="s">
        <v>115</v>
      </c>
      <c r="BQ6" s="25" t="s">
        <v>136</v>
      </c>
      <c r="BR6" s="25" t="s">
        <v>99</v>
      </c>
      <c r="BS6" s="30" t="s">
        <v>126</v>
      </c>
      <c r="BT6" s="31" t="s">
        <v>115</v>
      </c>
      <c r="BU6" s="41" t="s">
        <v>137</v>
      </c>
      <c r="BV6" s="41" t="s">
        <v>138</v>
      </c>
      <c r="BW6" s="25" t="s">
        <v>139</v>
      </c>
      <c r="BX6" s="19" t="s">
        <v>140</v>
      </c>
      <c r="BY6" s="25" t="s">
        <v>141</v>
      </c>
      <c r="BZ6" s="25" t="s">
        <v>142</v>
      </c>
      <c r="CA6" s="25" t="s">
        <v>143</v>
      </c>
      <c r="CB6" s="25" t="s">
        <v>144</v>
      </c>
      <c r="CC6" s="25" t="s">
        <v>139</v>
      </c>
      <c r="CD6" s="19" t="s">
        <v>140</v>
      </c>
      <c r="CE6" s="25" t="s">
        <v>141</v>
      </c>
      <c r="CF6" s="25" t="s">
        <v>145</v>
      </c>
      <c r="CG6" s="25" t="s">
        <v>146</v>
      </c>
      <c r="CH6" s="25" t="s">
        <v>145</v>
      </c>
      <c r="CI6" s="43">
        <v>100</v>
      </c>
      <c r="CJ6" s="25" t="s">
        <v>147</v>
      </c>
      <c r="CK6" s="25" t="s">
        <v>148</v>
      </c>
      <c r="CL6" s="25" t="s">
        <v>99</v>
      </c>
      <c r="CM6" s="25" t="s">
        <v>149</v>
      </c>
      <c r="CN6" s="25" t="s">
        <v>150</v>
      </c>
      <c r="CO6" s="31" t="s">
        <v>115</v>
      </c>
      <c r="CP6" s="44" t="s">
        <v>115</v>
      </c>
      <c r="CQ6" s="39" t="s">
        <v>115</v>
      </c>
      <c r="CR6" s="31" t="s">
        <v>115</v>
      </c>
      <c r="CS6" s="31" t="s">
        <v>115</v>
      </c>
      <c r="CT6" s="31" t="s">
        <v>115</v>
      </c>
      <c r="CU6" s="31" t="s">
        <v>115</v>
      </c>
      <c r="CV6">
        <v>40</v>
      </c>
    </row>
    <row r="7" spans="1:101" ht="14.5" customHeight="1" x14ac:dyDescent="0.35">
      <c r="D7" s="15" t="s">
        <v>153</v>
      </c>
      <c r="E7" s="16" t="s">
        <v>99</v>
      </c>
      <c r="F7" s="17" t="s">
        <v>154</v>
      </c>
      <c r="G7" s="17" t="s">
        <v>155</v>
      </c>
      <c r="H7" s="18" t="s">
        <v>102</v>
      </c>
      <c r="I7" s="19" t="s">
        <v>103</v>
      </c>
      <c r="J7" s="19" t="s">
        <v>104</v>
      </c>
      <c r="K7" s="20">
        <f t="shared" ca="1" si="0"/>
        <v>45803</v>
      </c>
      <c r="L7" s="21" t="s">
        <v>99</v>
      </c>
      <c r="M7" s="22" t="s">
        <v>105</v>
      </c>
      <c r="N7" s="19" t="s">
        <v>156</v>
      </c>
      <c r="O7" s="23" t="s">
        <v>107</v>
      </c>
      <c r="P7" s="46" t="s">
        <v>108</v>
      </c>
      <c r="Q7" s="19">
        <v>123</v>
      </c>
      <c r="R7" s="19">
        <v>1046</v>
      </c>
      <c r="S7" s="25" t="s">
        <v>111</v>
      </c>
      <c r="T7" s="25" t="s">
        <v>111</v>
      </c>
      <c r="U7" s="19" t="s">
        <v>104</v>
      </c>
      <c r="V7" s="26" t="s">
        <v>112</v>
      </c>
      <c r="W7" s="27" t="s">
        <v>113</v>
      </c>
      <c r="X7" s="19" t="s">
        <v>104</v>
      </c>
      <c r="Y7" s="20">
        <f t="shared" ca="1" si="7"/>
        <v>45803</v>
      </c>
      <c r="Z7" s="19" t="s">
        <v>114</v>
      </c>
      <c r="AA7" s="28" t="s">
        <v>157</v>
      </c>
      <c r="AB7" s="33" t="s">
        <v>158</v>
      </c>
      <c r="AC7" s="30" t="s">
        <v>159</v>
      </c>
      <c r="AD7" s="31" t="s">
        <v>160</v>
      </c>
      <c r="AE7" s="21">
        <v>846</v>
      </c>
      <c r="AF7" s="21" t="s">
        <v>57</v>
      </c>
      <c r="AG7" s="30">
        <v>10</v>
      </c>
      <c r="AH7" s="30" t="s">
        <v>161</v>
      </c>
      <c r="AI7" s="21" t="s">
        <v>120</v>
      </c>
      <c r="AJ7" s="47" t="s">
        <v>115</v>
      </c>
      <c r="AK7" s="32">
        <f t="shared" ca="1" si="8"/>
        <v>45893</v>
      </c>
      <c r="AL7" s="19" t="s">
        <v>121</v>
      </c>
      <c r="AM7" s="30" t="s">
        <v>162</v>
      </c>
      <c r="AN7" s="41" t="s">
        <v>163</v>
      </c>
      <c r="AO7" s="19" t="s">
        <v>124</v>
      </c>
      <c r="AP7" s="30" t="s">
        <v>125</v>
      </c>
      <c r="AQ7" s="19" t="s">
        <v>126</v>
      </c>
      <c r="AR7" s="30" t="s">
        <v>126</v>
      </c>
      <c r="AS7" s="26" t="s">
        <v>115</v>
      </c>
      <c r="AT7" s="19" t="s">
        <v>127</v>
      </c>
      <c r="AU7" s="33" t="str">
        <f t="shared" ref="AU7" si="13">AB7</f>
        <v>Permanent</v>
      </c>
      <c r="AV7" s="26" t="s">
        <v>128</v>
      </c>
      <c r="AW7" s="35">
        <f t="shared" ca="1" si="9"/>
        <v>45802</v>
      </c>
      <c r="AX7" s="35">
        <f t="shared" ca="1" si="10"/>
        <v>45802</v>
      </c>
      <c r="AY7" s="48" t="str">
        <f t="shared" si="11"/>
        <v>N/A</v>
      </c>
      <c r="AZ7" s="25" t="s">
        <v>99</v>
      </c>
      <c r="BA7" s="25" t="s">
        <v>164</v>
      </c>
      <c r="BB7" s="37" t="s">
        <v>176</v>
      </c>
      <c r="BC7" s="26">
        <v>36526</v>
      </c>
      <c r="BD7" s="26">
        <v>51136</v>
      </c>
      <c r="BE7" s="25" t="s">
        <v>99</v>
      </c>
      <c r="BF7" s="25" t="s">
        <v>132</v>
      </c>
      <c r="BG7" s="38">
        <v>5555005405</v>
      </c>
      <c r="BH7" s="26">
        <v>36526</v>
      </c>
      <c r="BI7" s="26">
        <v>51136</v>
      </c>
      <c r="BJ7" s="21" t="s">
        <v>133</v>
      </c>
      <c r="BK7" s="30" t="s">
        <v>165</v>
      </c>
      <c r="BL7" s="39">
        <v>32875</v>
      </c>
      <c r="BM7" s="40" t="s">
        <v>99</v>
      </c>
      <c r="BN7" s="25" t="s">
        <v>111</v>
      </c>
      <c r="BO7" s="41" t="s">
        <v>135</v>
      </c>
      <c r="BP7" s="42" t="s">
        <v>115</v>
      </c>
      <c r="BQ7" s="25" t="s">
        <v>136</v>
      </c>
      <c r="BR7" s="25" t="s">
        <v>99</v>
      </c>
      <c r="BS7" s="30" t="s">
        <v>126</v>
      </c>
      <c r="BT7" s="31" t="s">
        <v>115</v>
      </c>
      <c r="BU7" s="41" t="s">
        <v>137</v>
      </c>
      <c r="BV7" s="41" t="s">
        <v>138</v>
      </c>
      <c r="BW7" s="25" t="s">
        <v>139</v>
      </c>
      <c r="BX7" s="49" t="s">
        <v>166</v>
      </c>
      <c r="BY7" s="25" t="s">
        <v>141</v>
      </c>
      <c r="BZ7" s="25" t="s">
        <v>142</v>
      </c>
      <c r="CA7" s="25" t="s">
        <v>143</v>
      </c>
      <c r="CB7" s="25" t="s">
        <v>144</v>
      </c>
      <c r="CC7" s="25" t="s">
        <v>139</v>
      </c>
      <c r="CD7" s="19" t="s">
        <v>140</v>
      </c>
      <c r="CE7" s="25" t="s">
        <v>141</v>
      </c>
      <c r="CF7" s="25" t="s">
        <v>145</v>
      </c>
      <c r="CG7" s="25" t="s">
        <v>146</v>
      </c>
      <c r="CH7" s="25" t="s">
        <v>145</v>
      </c>
      <c r="CI7" s="43">
        <v>100</v>
      </c>
      <c r="CJ7" s="25" t="s">
        <v>147</v>
      </c>
      <c r="CK7" s="25" t="s">
        <v>148</v>
      </c>
      <c r="CL7" s="25" t="s">
        <v>99</v>
      </c>
      <c r="CM7" s="25" t="s">
        <v>167</v>
      </c>
      <c r="CN7" s="25" t="s">
        <v>150</v>
      </c>
      <c r="CO7" s="33" t="s">
        <v>168</v>
      </c>
      <c r="CP7" s="31" t="s">
        <v>169</v>
      </c>
      <c r="CQ7" s="44" t="s">
        <v>111</v>
      </c>
      <c r="CR7" s="50">
        <v>31048</v>
      </c>
      <c r="CS7" s="31" t="s">
        <v>170</v>
      </c>
      <c r="CT7" s="43">
        <v>1234011</v>
      </c>
      <c r="CU7" s="43">
        <v>123456011</v>
      </c>
      <c r="CV7" s="43">
        <v>40</v>
      </c>
    </row>
  </sheetData>
  <phoneticPr fontId="7" type="noConversion"/>
  <dataValidations count="2">
    <dataValidation type="list" allowBlank="1" showInputMessage="1" showErrorMessage="1" sqref="AV2 Z2 X2 U2 I2:J2 CC2:CC7 BW2 AV4 Z4 X4 U4 I4:J4 BW4 AV6 Z6 X6 U6 I6:J6 BW6" xr:uid="{00000000-0002-0000-0000-000000000000}">
      <formula1>INDIRECT($C2)</formula1>
    </dataValidation>
    <dataValidation type="list" allowBlank="1" showInputMessage="1" showErrorMessage="1" sqref="AV3 Z3 X3 U3 I3:J3 BW3 AV5 Z5 X5 U5 I5:J5 BW5 AV7 Z7 X7 U7 I7:J7 BW7" xr:uid="{00000000-0002-0000-0000-000001000000}">
      <formula1>INDIRECT($E3)</formula1>
    </dataValidation>
  </dataValidations>
  <hyperlinks>
    <hyperlink ref="W2" r:id="rId1" xr:uid="{00000000-0004-0000-0000-000000000000}"/>
    <hyperlink ref="W3" r:id="rId2" xr:uid="{00000000-0004-0000-0000-000001000000}"/>
    <hyperlink ref="W4" r:id="rId3" xr:uid="{212574F2-90BA-4EC3-9FF0-1A66B7682BB2}"/>
    <hyperlink ref="W5" r:id="rId4" xr:uid="{8F08755A-B2BC-49FA-8B57-C44461772D49}"/>
    <hyperlink ref="W6" r:id="rId5" xr:uid="{B5A90B36-9EF6-49B0-A55A-86D19CDADC5D}"/>
    <hyperlink ref="W7" r:id="rId6" xr:uid="{3D7A8BD4-4E58-4004-BAD2-437B0C3D583D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2025-06-26T10:26:46Z</dcterms:modified>
</cp:coreProperties>
</file>