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20001_{3E05D5DD-9B5F-46C6-9DEB-79101C5CE10E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E2E Hires 2006" sheetId="2" r:id="rId1"/>
  </sheets>
  <definedNames>
    <definedName name="_xlnm._FilterDatabase">'E2E Hires 2006'!$A$1:$CC$6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6" i="2" l="1"/>
  <c r="AS6" i="2"/>
  <c r="AR6" i="2"/>
  <c r="K6" i="2"/>
  <c r="AT5" i="2"/>
  <c r="AS5" i="2"/>
  <c r="AR5" i="2"/>
  <c r="K5" i="2"/>
  <c r="AT4" i="2"/>
  <c r="AS4" i="2"/>
  <c r="AR4" i="2"/>
  <c r="K4" i="2"/>
  <c r="AT3" i="2"/>
  <c r="AS3" i="2"/>
  <c r="AR3" i="2"/>
  <c r="K3" i="2"/>
  <c r="AT2" i="2"/>
  <c r="AS2" i="2"/>
  <c r="AR2" i="2"/>
  <c r="K2" i="2"/>
</calcChain>
</file>

<file path=xl/sharedStrings.xml><?xml version="1.0" encoding="utf-8"?>
<sst xmlns="http://schemas.openxmlformats.org/spreadsheetml/2006/main" count="432" uniqueCount="195">
  <si>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</si>
  <si>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</si>
  <si>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</si>
  <si>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</si>
  <si>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</si>
  <si>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</si>
  <si>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</si>
  <si>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</si>
  <si>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</si>
  <si>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</si>
  <si>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</si>
  <si>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</si>
  <si>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</si>
  <si>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</si>
  <si>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</si>
  <si>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</si>
  <si>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</si>
  <si>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</si>
  <si>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</si>
  <si>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</si>
  <si>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</si>
  <si>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</si>
  <si>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</si>
  <si>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</si>
  <si>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</si>
  <si>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</si>
  <si>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</si>
  <si>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</si>
  <si>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</si>
  <si>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</si>
  <si>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</si>
  <si>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</si>
  <si>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</si>
  <si>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</si>
  <si>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</si>
  <si>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</si>
  <si>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</si>
  <si>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</si>
  <si>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</si>
  <si>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</si>
  <si>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</si>
  <si>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</si>
  <si>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</si>
  <si>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Company</t>
  </si>
  <si>
    <t>CostCenter</t>
  </si>
  <si>
    <t>DepartmentSection</t>
  </si>
  <si>
    <t>UrządSkarbowy</t>
  </si>
  <si>
    <t>Ulgapodatkowa</t>
  </si>
  <si>
    <t>KosztyUzyskaniaPrzychodu</t>
  </si>
  <si>
    <t>Częśćulgi</t>
  </si>
  <si>
    <t>Typopodatkowania</t>
  </si>
  <si>
    <t>Identyfikatorpodatkowy</t>
  </si>
  <si>
    <t>FirstEverJobDetails</t>
  </si>
  <si>
    <t>FirstJobStartDate</t>
  </si>
  <si>
    <t>FirstJobExpiryDate</t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</si>
  <si>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</si>
  <si>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</si>
  <si>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</si>
  <si>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</si>
  <si>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</si>
  <si>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</si>
  <si>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</si>
  <si>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</si>
  <si>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</si>
  <si>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</si>
  <si>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</si>
  <si>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</si>
  <si>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</si>
  <si>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</si>
  <si>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</si>
  <si>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</si>
  <si>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</si>
  <si>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</si>
  <si>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</si>
  <si>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</si>
  <si>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</si>
  <si>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</si>
  <si>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NationalHealthFundCode</t>
  </si>
  <si>
    <t>Test_68</t>
  </si>
  <si>
    <t xml:space="preserve">Test failed for 'Milena Urbaniak' Employee:{undefined}TimeoutError: locator.fill: Timeout 30000ms exceeded.
Call log:
  [2m- waiting for locator('text=Email AddressEmail AddressTypeType0 items selectedPrimary WorkPrimary WorkPrimar').locator('input[role="textbox"]')[22m
</t>
  </si>
  <si>
    <t>Test failed for 'Milena Urbaniaki' Employee: undefined &amp; find failed Screenshot Path:-&gt;H:\WorkdayPlaywright/WorkdayFailedScreenshot/2025-07-20T02-50-54-103Z.png</t>
  </si>
  <si>
    <t>770 Retail Team (Gawob Difyzi (10631241))</t>
  </si>
  <si>
    <t>Poland</t>
  </si>
  <si>
    <t>Milena</t>
  </si>
  <si>
    <t xml:space="preserve">698 980 460 </t>
  </si>
  <si>
    <t>Landline</t>
  </si>
  <si>
    <t>Home</t>
  </si>
  <si>
    <t>ul. Obrońców Bydgoszczy</t>
  </si>
  <si>
    <t>Lodz</t>
  </si>
  <si>
    <t>05-149</t>
  </si>
  <si>
    <t>Łódź</t>
  </si>
  <si>
    <t>Permanent</t>
  </si>
  <si>
    <t>Test001@gmail.com</t>
  </si>
  <si>
    <t>01/07/2025</t>
  </si>
  <si>
    <t>New Hire</t>
  </si>
  <si>
    <t>No</t>
  </si>
  <si>
    <t>Fixed Term (Fixed Term)</t>
  </si>
  <si>
    <t>Retail Assistant_NEW</t>
  </si>
  <si>
    <t>Part time</t>
  </si>
  <si>
    <t>Szkoła</t>
  </si>
  <si>
    <t>ŚredniaSzkołaOgólnokształcąca</t>
  </si>
  <si>
    <t>01/01/2020</t>
  </si>
  <si>
    <t>02/01/2024</t>
  </si>
  <si>
    <t>5 Days</t>
  </si>
  <si>
    <t>10/10/2025</t>
  </si>
  <si>
    <t>N/A</t>
  </si>
  <si>
    <t>Automation Comments here….</t>
  </si>
  <si>
    <t>Trial</t>
  </si>
  <si>
    <t>Active</t>
  </si>
  <si>
    <t>Primark Sklepy SP. z.o.o.</t>
  </si>
  <si>
    <t>94 Retail Operatives</t>
  </si>
  <si>
    <t>04 Lingerie</t>
  </si>
  <si>
    <t>0203</t>
  </si>
  <si>
    <t>Ulga podatkowa obowiązuje</t>
  </si>
  <si>
    <t>Podwyższone - z jednego stosunku pracy (1,25)</t>
  </si>
  <si>
    <t>1/24 kwoty zmniejszającej podatek</t>
  </si>
  <si>
    <t>Indywidualne</t>
  </si>
  <si>
    <t>PESEL</t>
  </si>
  <si>
    <t>Personal Identity (PESEL) Number</t>
  </si>
  <si>
    <t>Female</t>
  </si>
  <si>
    <t>Not Disclosed (Poland)</t>
  </si>
  <si>
    <t>Citizen (Poland)</t>
  </si>
  <si>
    <t>Narodowy Bank Polski</t>
  </si>
  <si>
    <t>NBPLPLPW</t>
  </si>
  <si>
    <t>Checking</t>
  </si>
  <si>
    <t>14968907563953822118075816</t>
  </si>
  <si>
    <t>PL14968907563953822118075816</t>
  </si>
  <si>
    <t>Defaulted</t>
  </si>
  <si>
    <t>Please select a Poland Pay Group</t>
  </si>
  <si>
    <t>PL Monthly</t>
  </si>
  <si>
    <t>Test_69</t>
  </si>
  <si>
    <t xml:space="preserve">Test failed for 'Hubert  Peruń' Employee:{}TimeoutError: locator.click: Timeout 30000ms exceeded.
Call log:
  [2m- waiting for locator('//div[@data-automation-id="tooltipsWrapper"]/button[@data-automation-id="inbox_preview"]').first()[22m
[2m  -   locator resolved to &lt;button class="wdappchrome-v" data-automation-id="inbox_…&gt;…&lt;/button&gt;[22m
[2m  - attempting click action[22m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#4[22m
[2m  -   waiting 100ms[22m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#5[22m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#6[22m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#7[22m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#8[22m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#9[22m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#10[22m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#11[22m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#12[22m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#13[22m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#14[22m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#15[22m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#16[22m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#17[22m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#18[22m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#19[22m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#20[22m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#21[22m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#22[22m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#23[22m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#24[22m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#25[22m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#26[22m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#27[22m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#28[22m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#29[22m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#30[22m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#31[22m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#32[22m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#33[22m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#34[22m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#35[22m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#36[22m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#37[22m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#38[22m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#39[22m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#40[22m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#41[22m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#42[22m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#43[22m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#44[22m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#45[22m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#46[22m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#47[22m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#48[22m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#49[22m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#50[22m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#51[22m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#52[22m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#53[22m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#54[22m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#55[22m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#56[22m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#57[22m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#58[22m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#59[22m
[2m  -   waiting 500ms[22m
</t>
  </si>
  <si>
    <t>Failed</t>
  </si>
  <si>
    <t>768 Recruitment  (Sudah Wyzywi (10542224))</t>
  </si>
  <si>
    <t xml:space="preserve">Hubert </t>
  </si>
  <si>
    <t>Lower Silesian</t>
  </si>
  <si>
    <t>05-150</t>
  </si>
  <si>
    <t>Wrocław</t>
  </si>
  <si>
    <t>Retail Assistant Cash Office_NEW</t>
  </si>
  <si>
    <t>Full time</t>
  </si>
  <si>
    <t>ŚredniaSzkołaZawodowa</t>
  </si>
  <si>
    <t>Open-ended</t>
  </si>
  <si>
    <t>258 Cash Office</t>
  </si>
  <si>
    <t>0204</t>
  </si>
  <si>
    <t>Podwyższone - z więcej niż jednego stosunku pracy (1,25)</t>
  </si>
  <si>
    <t>1/36 kwoty zmniejszającej podatek</t>
  </si>
  <si>
    <t>Wspolne opodatkowanie - Ulgax1</t>
  </si>
  <si>
    <t>ID Card (Dowód Osobisty) Number</t>
  </si>
  <si>
    <t>ADJ273845</t>
  </si>
  <si>
    <t>Male</t>
  </si>
  <si>
    <t>Test_70</t>
  </si>
  <si>
    <t xml:space="preserve">Test failed for 'Anastazja  Macak' Employee:{}TimeoutError: locator.fill: Timeout 30000ms exceeded.
Call log:
  [2m- waiting for locator('text=Email AddressEmail AddressTypeType0 items selectedPrimary WorkPrimary WorkPrimar').locator('input[role="textbox"]')[22m
</t>
  </si>
  <si>
    <t xml:space="preserve">Anastazja </t>
  </si>
  <si>
    <t>Macak</t>
  </si>
  <si>
    <t>Lublin</t>
  </si>
  <si>
    <t>05-151</t>
  </si>
  <si>
    <t xml:space="preserve"> SzkołaPolicealna</t>
  </si>
  <si>
    <t>0205</t>
  </si>
  <si>
    <t>1/12 kwoty zmniejszającej podatek</t>
  </si>
  <si>
    <t>Standardowy</t>
  </si>
  <si>
    <t>Test_71</t>
  </si>
  <si>
    <t xml:space="preserve">Test failed for 'Cyprian  Dobek' Employee:{}TimeoutError: locator.click: Timeout 30000ms exceeded.
Call log:
  [2m- waiting for locator('//div[@data-automation-id="tooltipsWrapper"]/button[@data-automation-id="inbox_preview"]').first()[22m
[2m  -   locator resolved to &lt;button class="wdappchrome-v" data-automation-id="inbox_…&gt;…&lt;/button&gt;[22m
[2m  - attempting click action[22m
[2m  -   waiting for element to be visible, enabled and stable[22m
[2m  -   element is not visible[22m
[2m  - retrying click action, attempt #1[22m
[2m  -   waiting for element to be visible, enabled and stable[22m
[2m  -   element is not visible[22m
[2m  - retrying click action, attempt #2[22m
[2m  -   waiting 20ms[22m
[2m  -   waiting for element to be visible, enabled and stable[22m
[2m  -   element is not visible[22m
[2m  - retrying click action, attempt #3[22m
[2m  -   waiting 100ms[22m
[2m  -   waiting for element to be visible, enabled and stable[22m
[2m  -   element is not visible[22m
[2m  - retrying click action, attempt #4[22m
[2m  -   waiting 100ms[22m
[2m  -   waiting for element to be visible, enabled and stable[22m
[2m  -   element is not visible[22m
[2m  - retrying click action, attempt #5[22m
[2m  -   waiting 500ms[22m
[2m  -   waiting for element to be visible, enabled and stable[22m
[2m  -   element is not visible[22m
[2m  - retrying click action, attempt #6[22m
[2m  -   waiting 500ms[22m
[2m  -   waiting for element to be visible, enabled and stable[22m
[2m  -   element is not visible[22m
[2m  - retrying click action, attempt #7[22m
[2m  -   waiting 500ms[22m
[2m  -   waiting for element to be visible, enabled and stable[22m
[2m  -   element is not visible[22m
[2m  - retrying click action, attempt #8[22m
[2m  -   waiting 500ms[22m
[2m  -   waiting for element to be visible, enabled and stable[22m
[2m  -   element is not visible[22m
[2m  - retrying click action, attempt #9[22m
[2m  -   waiting 500ms[22m
[2m  -   waiting for element to be visible, enabled and stable[22m
[2m  -   element is not visible[22m
[2m  - retrying click action, attempt #10[22m
[2m  -   waiting 500ms[22m
[2m  -   waiting for element to be visible, enabled and stable[22m
[2m  -   element is not visible[22m
[2m  - retrying click action, attempt #11[22m
[2m  -   waiting 500ms[22m
[2m  -   waiting for element to be visible, enabled and stable[22m
[2m  -   element is not visible[22m
[2m  - retrying click action, attempt #12[22m
[2m  -   waiting 500ms[22m
[2m  -   waiting for element to be visible, enabled and stable[22m
[2m  -   element is not visible[22m
[2m  - retrying click action, attempt #13[22m
[2m  -   waiting 500ms[22m
[2m  -   waiting for element to be visible, enabled and stable[22m
[2m  -   element is not visible[22m
[2m  - retrying click action, attempt #14[22m
[2m  -   waiting 500ms[22m
[2m  -   waiting for element to be visible, enabled and stable[22m
[2m  -   element is not visible[22m
[2m  - retrying click action, attempt #15[22m
[2m  -   waiting 500ms[22m
[2m  -   waiting for element to be visible, enabled and stable[22m
[2m  -   element is not visible[22m
[2m  - retrying click action, attempt #16[22m
[2m  -   waiting 500ms[22m
[2m  -   waiting for element to be visible, enabled and stable[22m
[2m  -   element is not visible[22m
[2m  - retrying click action, attempt #17[22m
[2m  -   waiting 500ms[22m
[2m  -   waiting for element to be visible, enabled and stable[22m
[2m  -   element is not visible[22m
[2m  - retrying click action, attempt #18[22m
[2m  -   waiting 500ms[22m
[2m  -   waiting for element to be visible, enabled and stable[22m
[2m  -   element is not visible[22m
[2m  - retrying click action, attempt #19[22m
[2m  -   waiting 500ms[22m
[2m  -   waiting for element to be visible, enabled and stable[22m
[2m  -   element is not visible[22m
[2m  - retrying click action, attempt #20[22m
[2m  -   waiting 500ms[22m
[2m  -   waiting for element to be visible, enabled and stable[22m
[2m  -   element is not visible[22m
[2m  - retrying click action, attempt #21[22m
[2m  -   waiting 500ms[22m
[2m  -   waiting for element to be visible, enabled and stable[22m
[2m  -   element is not visible[22m
[2m  - retrying click action, attempt #22[22m
[2m  -   waiting 500ms[22m
[2m  -   waiting for element to be visible, enabled and stable[22m
[2m  -   element is not visible[22m
[2m  - retrying click action, attempt #23[22m
[2m  -   waiting 500ms[22m
[2m  -   waiting for element to be visible, enabled and stable[22m
[2m  -   element is not visible[22m
[2m  - retrying click action, attempt #24[22m
[2m  -   waiting 500ms[22m
[2m  -   waiting for element to be visible, enabled and stable[22m
[2m  -   element is not visible[22m
[2m  - retrying click action, attempt #25[22m
[2m  -   waiting 500ms[22m
[2m  -   waiting for element to be visible, enabled and stable[22m
[2m  -   element is not visible[22m
[2m  - retrying click action, attempt #26[22m
[2m  -   waiting 500ms[22m
[2m  -   waiting for element to be visible, enabled and stable[22m
[2m  -   element is not visible[22m
[2m  - retrying click action, attempt #27[22m
[2m  -   waiting 500ms[22m
[2m  -   waiting for element to be visible, enabled and stable[22m
[2m  -   element is not visible[22m
[2m  - retrying click action, attempt #28[22m
[2m  -   waiting 500ms[22m
[2m  -   waiting for element to be visible, enabled and stable[22m
[2m  -   element is not visible[22m
[2m  - retrying click action, attempt #29[22m
[2m  -   waiting 500ms[22m
[2m  -   waiting for element to be visible, enabled and stable[22m
[2m  -   element is not visible[22m
[2m  - retrying click action, attempt #30[22m
[2m  -   waiting 500ms[22m
[2m  -   waiting for element to be visible, enabled and stable[22m
[2m  -   element is not visible[22m
[2m  - retrying click action, attempt #31[22m
[2m  -   waiting 500ms[22m
[2m  -   waiting for element to be visible, enabled and stable[22m
[2m  -   element is not visible[22m
[2m  - retrying click action, attempt #32[22m
[2m  -   waiting 500ms[22m
[2m  -   waiting for element to be visible, enabled and stable[22m
[2m  -   element is not visible[22m
[2m  - retrying click action, attempt #33[22m
[2m  -   waiting 500ms[22m
[2m  -   waiting for element to be visible, enabled and stable[22m
[2m  -   element is not visible[22m
[2m  - retrying click action, attempt #34[22m
[2m  -   waiting 500ms[22m
[2m  -   waiting for element to be visible, enabled and stable[22m
[2m  -   element is not visible[22m
[2m  - retrying click action, attempt #35[22m
[2m  -   waiting 500ms[22m
[2m  -   waiting for element to be visible, enabled and stable[22m
[2m  -   element is not visible[22m
[2m  - retrying click action, attempt #36[22m
[2m  -   waiting 500ms[22m
[2m  -   waiting for element to be visible, enabled and stable[22m
[2m  -   element is not visible[22m
[2m  - retrying click action, attempt #37[22m
[2m  -   waiting 500ms[22m
[2m  -   waiting for element to be visible, enabled and stable[22m
[2m  -   element is not visible[22m
[2m  - retrying click action, attempt #38[22m
[2m  -   waiting 500ms[22m
[2m  -   waiting for element to be visible, enabled and stable[22m
[2m  -   element is not visible[22m
[2m  - retrying click action, attempt #39[22m
[2m  -   waiting 500ms[22m
[2m  -   waiting for element to be visible, enabled and stable[22m
[2m  -   element is not visible[22m
[2m  - retrying click action, attempt #40[22m
[2m  -   waiting 500ms[22m
[2m  -   waiting for element to be visible, enabled and stable[22m
[2m  -   element is not visible[22m
[2m  - retrying click action, attempt #41[22m
[2m  -   waiting 500ms[22m
[2m  -   waiting for element to be visible, enabled and stable[22m
[2m  -   element is not visible[22m
[2m  - retrying click action, attempt #42[22m
[2m  -   waiting 500ms[22m
[2m  -   waiting for element to be visible, enabled and stable[22m
[2m  -   element is not visible[22m
[2m  - retrying click action, attempt #43[22m
[2m  -   waiting 500ms[22m
[2m  -   waiting for element to be visible, enabled and stable[22m
[2m  -   element is not visible[22m
[2m  - retrying click action, attempt #44[22m
[2m  -   waiting 500ms[22m
[2m  -   waiting for element to be visible, enabled and stable[22m
[2m  -   element is not visible[22m
[2m  - retrying click action, attempt #45[22m
[2m  -   waiting 500ms[22m
[2m  -   waiting for element to be visible, enabled and stable[22m
[2m  -   element is not visible[22m
[2m  - retrying click action, attempt #46[22m
[2m  -   waiting 500ms[22m
[2m  -   waiting for element to be visible, enabled and stable[22m
[2m  -   element is not visible[22m
[2m  - retrying click action, attempt #47[22m
[2m  -   waiting 500ms[22m
[2m  -   waiting for element to be visible, enabled and stable[22m
[2m  -   element is not visible[22m
[2m  - retrying click action, attempt #48[22m
[2m  -   waiting 500ms[22m
[2m  -   waiting for element to be visible, enabled and stable[22m
[2m  -   element is not visible[22m
[2m  - retrying click action, attempt #49[22m
[2m  -   waiting 500ms[22m
[2m  -   waiting for element to be visible, enabled and stable[22m
[2m  -   element is not visible[22m
[2m  - retrying click action, attempt #50[22m
[2m  -   waiting 500ms[22m
[2m  -   waiting for element to be visible, enabled and stable[22m
[2m  -   element is not visible[22m
[2m  - retrying click action, attempt #51[22m
[2m  -   waiting 500ms[22m
[2m  -   waiting for element to be visible, enabled and stable[22m
[2m  -   element is not visible[22m
[2m  - retrying click action, attempt #52[22m
[2m  -   waiting 500ms[22m
[2m  -   waiting for element to be visible, enabled and stable[22m
[2m  -   element is not visible[22m
[2m  - retrying click action, attempt #53[22m
[2m  -   waiting 500ms[22m
[2m  -   waiting for element to be visible, enabled and stable[22m
[2m  -   element is not visible[22m
[2m  - retrying click action, attempt #54[22m
[2m  -   waiting 500ms[22m
[2m  -   waiting for element to be visible, enabled and stable[22m
[2m  -   element is not visible[22m
[2m  - retrying click action, attempt #55[22m
[2m  -   waiting 500ms[22m
[2m  -   waiting for element to be visible, enabled and stable[22m
[2m  -   element is not visible[22m
[2m  - retrying click action, attempt #56[22m
[2m  -   waiting 500ms[22m
[2m  -   waiting for element to be visible, enabled and stable[22m
[2m  -   element is not visible[22m
[2m  - retrying click action, attempt #57[22m
[2m  -   waiting 500ms[22m
[2m  -   waiting for element to be visible, enabled and stable[22m
[2m  -   element is not visible[22m
[2m  - retrying click action, attempt #58[22m
[2m  -   waiting 500ms[22m
[2m  -   waiting for element to be visible, enabled and stable[22m
[2m  -   element is not visible[22m
[2m  - retrying click action, attempt #59[22m
[2m  -   waiting 500ms[22m
[2m  -   waiting for element to be visible, enabled and stable[22m
[2m  -   element is not visible[22m
[2m  - retrying click action, attempt #60[22m
[2m  -   waiting 500ms[22m
</t>
  </si>
  <si>
    <t>765 Store Management (Jizur Buzese (10226524))</t>
  </si>
  <si>
    <t xml:space="preserve">Cyprian </t>
  </si>
  <si>
    <t>Dobek</t>
  </si>
  <si>
    <t>Lubusz</t>
  </si>
  <si>
    <t>05-152</t>
  </si>
  <si>
    <t>Slubice</t>
  </si>
  <si>
    <t>Auto 40553203</t>
  </si>
  <si>
    <t>Department Manager_NEW</t>
  </si>
  <si>
    <t>ZasadniczaSzkołaZawodowa</t>
  </si>
  <si>
    <t>92 Retail Management</t>
  </si>
  <si>
    <t>251 Management Retail</t>
  </si>
  <si>
    <t>0206</t>
  </si>
  <si>
    <t>Ulga podatkowa nieobowiązuje</t>
  </si>
  <si>
    <t>Brak</t>
  </si>
  <si>
    <t>Brak kwoty zmniejszającej podatek</t>
  </si>
  <si>
    <t>Wspolne opodatkowanie pojedyncze - Ulgax2</t>
  </si>
  <si>
    <t>Test_72</t>
  </si>
  <si>
    <t xml:space="preserve">Test failed for 'Magdalena  Zlotnikey' Employee:{}TimeoutError: locator.click: Timeout 30000ms exceeded.
Call log:
  [2m- waiting for locator('//div[@data-automation-id="tooltipsWrapper"]/button[@data-automation-id="inbox_preview"]').first()[22m
[2m  -   locator resolved to &lt;button class="wdappchrome-v" data-automation-id="inbox_…&gt;…&lt;/button&gt;[22m
[2m  - attempting click action[22m
[2m  -   waiting for element to be visible, enabled and stable[22m
[2m  -   element is not visible[22m
[2m  - retrying click action, attempt #1[22m
[2m  -   waiting for element to be visible, enabled and stable[22m
[2m  -   element is not visible[22m
[2m  - retrying click action, attempt #2[22m
[2m  -   waiting 20ms[22m
[2m  -   waiting for element to be visible, enabled and stable[22m
[2m  -   element is not visible[22m
[2m  - retrying click action, attempt #3[22m
[2m  -   waiting 100ms[22m
[2m  -   waiting for element to be visible, enabled and stable[22m
[2m  -   element is not visible[22m
[2m  - retrying click action, attempt #4[22m
[2m  -   waiting 100ms[22m
[2m  -   waiting for element to be visible, enabled and stable[22m
[2m  -   element is not visible[22m
[2m  - retrying click action, attempt #5[22m
[2m  -   waiting 500ms[22m
[2m  -   waiting for element to be visible, enabled and stable[22m
[2m  -   element is not visible[22m
[2m  - retrying click action, attempt #6[22m
[2m  -   waiting 500ms[22m
[2m  -   waiting for element to be visible, enabled and stable[22m
[2m  -   element is not visible[22m
[2m  - retrying click action, attempt #7[22m
[2m  -   waiting 500ms[22m
[2m  -   waiting for element to be visible, enabled and stable[22m
[2m  -   element is not visible[22m
[2m  - retrying click action, attempt #8[22m
[2m  -   waiting 500ms[22m
[2m  -   waiting for element to be visible, enabled and stable[22m
[2m  -   element is not visible[22m
[2m  - retrying click action, attempt #9[22m
[2m  -   waiting 500ms[22m
[2m  -   waiting for element to be visible, enabled and stable[22m
[2m  -   element is not visible[22m
[2m  - retrying click action, attempt #10[22m
[2m  -   waiting 500ms[22m
[2m  -   waiting for element to be visible, enabled and stable[22m
[2m  -   element is not visible[22m
[2m  - retrying click action, attempt #11[22m
[2m  -   waiting 500ms[22m
[2m  -   waiting for element to be visible, enabled and stable[22m
[2m  -   element is not visible[22m
[2m  - retrying click action, attempt #12[22m
[2m  -   waiting 500ms[22m
[2m  -   waiting for element to be visible, enabled and stable[22m
[2m  -   element is not visible[22m
[2m  - retrying click action, attempt #13[22m
[2m  -   waiting 500ms[22m
[2m  -   waiting for element to be visible, enabled and stable[22m
[2m  -   element is not visible[22m
[2m  - retrying click action, attempt #14[22m
[2m  -   waiting 500ms[22m
[2m  -   waiting for element to be visible, enabled and stable[22m
[2m  -   element is not visible[22m
[2m  - retrying click action, attempt #15[22m
[2m  -   waiting 500ms[22m
[2m  -   waiting for element to be visible, enabled and stable[22m
[2m  -   element is not visible[22m
[2m  - retrying click action, attempt #16[22m
[2m  -   waiting 500ms[22m
[2m  -   waiting for element to be visible, enabled and stable[22m
[2m  -   element is not visible[22m
[2m  - retrying click action, attempt #17[22m
[2m  -   waiting 500ms[22m
[2m  -   waiting for element to be visible, enabled and stable[22m
[2m  -   element is not visible[22m
[2m  - retrying click action, attempt #18[22m
[2m  -   waiting 500ms[22m
[2m  -   waiting for element to be visible, enabled and stable[22m
[2m  -   element is not visible[22m
[2m  - retrying click action, attempt #19[22m
[2m  -   waiting 500ms[22m
[2m  -   waiting for element to be visible, enabled and stable[22m
[2m  -   element is not visible[22m
[2m  - retrying click action, attempt #20[22m
[2m  -   waiting 500ms[22m
[2m  -   waiting for element to be visible, enabled and stable[22m
[2m  -   element is not visible[22m
[2m  - retrying click action, attempt #21[22m
[2m  -   waiting 500ms[22m
[2m  -   waiting for element to be visible, enabled and stable[22m
[2m  -   element is not visible[22m
[2m  - retrying click action, attempt #22[22m
[2m  -   waiting 500ms[22m
[2m  -   waiting for element to be visible, enabled and stable[22m
[2m  -   element is not visible[22m
[2m  - retrying click action, attempt #23[22m
[2m  -   waiting 500ms[22m
[2m  -   waiting for element to be visible, enabled and stable[22m
[2m  -   element is not visible[22m
[2m  - retrying click action, attempt #24[22m
[2m  -   waiting 500ms[22m
[2m  -   waiting for element to be visible, enabled and stable[22m
[2m  -   element is not visible[22m
[2m  - retrying click action, attempt #25[22m
[2m  -   waiting 500ms[22m
[2m  -   waiting for element to be visible, enabled and stable[22m
[2m  -   element is not visible[22m
[2m  - retrying click action, attempt #26[22m
[2m  -   waiting 500ms[22m
[2m  -   waiting for element to be visible, enabled and stable[22m
[2m  -   element is not visible[22m
[2m  - retrying click action, attempt #27[22m
[2m  -   waiting 500ms[22m
[2m  -   waiting for element to be visible, enabled and stable[22m
[2m  -   element is not visible[22m
[2m  - retrying click action, attempt #28[22m
[2m  -   waiting 500ms[22m
[2m  -   waiting for element to be visible, enabled and stable[22m
[2m  -   element is not visible[22m
[2m  - retrying click action, attempt #29[22m
[2m  -   waiting 500ms[22m
[2m  -   waiting for element to be visible, enabled and stable[22m
[2m  -   element is not visible[22m
[2m  - retrying click action, attempt #30[22m
[2m  -   waiting 500ms[22m
[2m  -   waiting for element to be visible, enabled and stable[22m
[2m  -   element is not visible[22m
[2m  - retrying click action, attempt #31[22m
[2m  -   waiting 500ms[22m
[2m  -   waiting for element to be visible, enabled and stable[22m
[2m  -   element is not visible[22m
[2m  - retrying click action, attempt #32[22m
[2m  -   waiting 500ms[22m
[2m  -   waiting for element to be visible, enabled and stable[22m
[2m  -   element is not visible[22m
[2m  - retrying click action, attempt #33[22m
[2m  -   waiting 500ms[22m
[2m  -   waiting for element to be visible, enabled and stable[22m
[2m  -   element is not visible[22m
[2m  - retrying click action, attempt #34[22m
[2m  -   waiting 500ms[22m
[2m  -   waiting for element to be visible, enabled and stable[22m
[2m  -   element is not visible[22m
[2m  - retrying click action, attempt #35[22m
[2m  -   waiting 500ms[22m
[2m  -   waiting for element to be visible, enabled and stable[22m
[2m  -   element is not visible[22m
[2m  - retrying click action, attempt #36[22m
[2m  -   waiting 500ms[22m
[2m  -   waiting for element to be visible, enabled and stable[22m
[2m  -   element is not visible[22m
[2m  - retrying click action, attempt #37[22m
[2m  -   waiting 500ms[22m
[2m  -   waiting for element to be visible, enabled and stable[22m
[2m  -   element is not visible[22m
[2m  - retrying click action, attempt #38[22m
[2m  -   waiting 500ms[22m
[2m  -   waiting for element to be visible, enabled and stable[22m
[2m  -   element is not visible[22m
[2m  - retrying click action, attempt #39[22m
[2m  -   waiting 500ms[22m
[2m  -   waiting for element to be visible, enabled and stable[22m
[2m  -   element is not visible[22m
[2m  - retrying click action, attempt #40[22m
[2m  -   waiting 500ms[22m
[2m  -   waiting for element to be visible, enabled and stable[22m
[2m  -   element is not visible[22m
[2m  - retrying click action, attempt #41[22m
[2m  -   waiting 500ms[22m
[2m  -   waiting for element to be visible, enabled and stable[22m
[2m  -   element is not visible[22m
[2m  - retrying click action, attempt #42[22m
[2m  -   waiting 500ms[22m
[2m  -   waiting for element to be visible, enabled and stable[22m
[2m  -   element is not visible[22m
[2m  - retrying click action, attempt #43[22m
[2m  -   waiting 500ms[22m
[2m  -   waiting for element to be visible, enabled and stable[22m
[2m  -   element is not visible[22m
[2m  - retrying click action, attempt #44[22m
[2m  -   waiting 500ms[22m
[2m  -   waiting for element to be visible, enabled and stable[22m
[2m  -   element is not visible[22m
[2m  - retrying click action, attempt #45[22m
[2m  -   waiting 500ms[22m
[2m  -   waiting for element to be visible, enabled and stable[22m
[2m  -   element is not visible[22m
[2m  - retrying click action, attempt #46[22m
[2m  -   waiting 500ms[22m
[2m  -   waiting for element to be visible, enabled and stable[22m
[2m  -   element is not visible[22m
[2m  - retrying click action, attempt #47[22m
[2m  -   waiting 500ms[22m
[2m  -   waiting for element to be visible, enabled and stable[22m
[2m  -   element is not visible[22m
[2m  - retrying click action, attempt #48[22m
[2m  -   waiting 500ms[22m
[2m  -   waiting for element to be visible, enabled and stable[22m
[2m  -   element is not visible[22m
[2m  - retrying click action, attempt #49[22m
[2m  -   waiting 500ms[22m
[2m  -   waiting for element to be visible, enabled and stable[22m
[2m  -   element is not visible[22m
[2m  - retrying click action, attempt #50[22m
[2m  -   waiting 500ms[22m
[2m  -   waiting for element to be visible, enabled and stable[22m
[2m  -   element is not visible[22m
[2m  - retrying click action, attempt #51[22m
[2m  -   waiting 500ms[22m
[2m  -   waiting for element to be visible, enabled and stable[22m
[2m  -   element is not visible[22m
[2m  - retrying click action, attempt #52[22m
[2m  -   waiting 500ms[22m
[2m  -   waiting for element to be visible, enabled and stable[22m
[2m  -   element is not visible[22m
[2m  - retrying click action, attempt #53[22m
[2m  -   waiting 500ms[22m
[2m  -   waiting for element to be visible, enabled and stable[22m
[2m  -   element is not visible[22m
[2m  - retrying click action, attempt #54[22m
[2m  -   waiting 500ms[22m
[2m  -   waiting for element to be visible, enabled and stable[22m
[2m  -   element is not visible[22m
[2m  - retrying click action, attempt #55[22m
[2m  -   waiting 500ms[22m
[2m  -   waiting for element to be visible, enabled and stable[22m
[2m  -   element is not visible[22m
[2m  - retrying click action, attempt #56[22m
[2m  -   waiting 500ms[22m
[2m  -   waiting for element to be visible, enabled and stable[22m
[2m  -   element is not visible[22m
[2m  - retrying click action, attempt #57[22m
[2m  -   waiting 500ms[22m
[2m  -   waiting for element to be visible, enabled and stable[22m
[2m  -   element is not visible[22m
[2m  - retrying click action, attempt #58[22m
[2m  -   waiting 500ms[22m
[2m  -   waiting for element to be visible, enabled and stable[22m
[2m  -   element is not visible[22m
[2m  - retrying click action, attempt #59[22m
[2m  -   waiting 500ms[22m
[2m  -   waiting for element to be visible, enabled and stable[22m
[2m  -   element is not visible[22m
[2m  - retrying click action, attempt #60[22m
[2m  -   waiting 500ms[22m
</t>
  </si>
  <si>
    <t xml:space="preserve">Magdalena </t>
  </si>
  <si>
    <t>Zlotnikey</t>
  </si>
  <si>
    <t>Masovian</t>
  </si>
  <si>
    <t>05-153</t>
  </si>
  <si>
    <t>Płock</t>
  </si>
  <si>
    <t>Auto 71587362</t>
  </si>
  <si>
    <t>SzkołaWyższa</t>
  </si>
  <si>
    <t>0202</t>
  </si>
  <si>
    <t>Standardowe - z więcej niż jednego stosunku pracy (1)</t>
  </si>
  <si>
    <t>Google</t>
  </si>
  <si>
    <t>01/01/2022</t>
  </si>
  <si>
    <t>01/01/2025</t>
  </si>
  <si>
    <t>04</t>
  </si>
  <si>
    <t>Urbaniakey</t>
  </si>
  <si>
    <t>Perori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</si>
</sst>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9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Display"/>
      <family val="2"/>
      <scheme val="major"/>
    </font>
    <font>
      <b/>
      <sz val="10"/>
      <color rgb="FFFF0000"/>
      <name val="Aptos Display"/>
      <family val="2"/>
      <scheme val="major"/>
    </font>
    <font>
      <b/>
      <sz val="10"/>
      <color indexed="8"/>
      <name val="Aptos Display"/>
      <family val="2"/>
      <scheme val="major"/>
    </font>
    <font>
      <b/>
      <sz val="10"/>
      <color indexed="63"/>
      <name val="Aptos Display"/>
      <family val="2"/>
      <scheme val="major"/>
    </font>
    <font>
      <b/>
      <sz val="10"/>
      <color indexed="12"/>
      <name val="Aptos Display"/>
      <family val="2"/>
      <scheme val="major"/>
    </font>
    <font>
      <b/>
      <sz val="10"/>
      <color rgb="FF000000"/>
      <name val="Aptos Display"/>
      <family val="2"/>
      <scheme val="major"/>
    </font>
    <font>
      <b/>
      <sz val="10"/>
      <color indexed="10"/>
      <name val="Aptos Display"/>
      <family val="2"/>
      <scheme val="major"/>
    </font>
    <font>
      <b/>
      <sz val="10"/>
      <name val="Aptos Display"/>
      <family val="2"/>
      <scheme val="major"/>
    </font>
    <font>
      <b/>
      <sz val="10"/>
      <color rgb="FF000000"/>
      <name val="Calibri Light"/>
      <family val="2"/>
    </font>
    <font>
      <sz val="10"/>
      <color rgb="FF000000"/>
      <name val="Calibri"/>
      <family val="2"/>
    </font>
    <font>
      <sz val="11"/>
      <color theme="1"/>
      <name val="Calibri"/>
      <charset val="1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494949"/>
      <name val="Inherit"/>
      <charset val="1"/>
    </font>
    <font>
      <sz val="11"/>
      <color rgb="FF000000"/>
      <name val="Courier New"/>
      <charset val="1"/>
    </font>
    <font>
      <sz val="10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00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1" fontId="2" fillId="0" borderId="0" xfId="0" applyNumberFormat="1" applyFont="1"/>
    <xf numFmtId="0" fontId="2" fillId="0" borderId="0" xfId="0" applyFont="1"/>
    <xf numFmtId="0" fontId="3" fillId="4" borderId="1" xfId="0" applyFont="1" applyFill="1" applyBorder="1"/>
    <xf numFmtId="0" fontId="4" fillId="4" borderId="1" xfId="0" applyFont="1" applyFill="1" applyBorder="1"/>
    <xf numFmtId="0" fontId="5" fillId="4" borderId="1" xfId="0" applyFont="1" applyFill="1" applyBorder="1"/>
    <xf numFmtId="0" fontId="5" fillId="4" borderId="1" xfId="0" applyFont="1" applyFill="1" applyBorder="1" applyProtection="1">
      <protection locked="0"/>
    </xf>
    <xf numFmtId="14" fontId="5" fillId="4" borderId="1" xfId="0" applyNumberFormat="1" applyFont="1" applyFill="1" applyBorder="1"/>
    <xf numFmtId="0" fontId="6" fillId="4" borderId="1" xfId="0" applyFont="1" applyFill="1" applyBorder="1"/>
    <xf numFmtId="0" fontId="7" fillId="4" borderId="1" xfId="0" applyFont="1" applyFill="1" applyBorder="1" applyProtection="1">
      <protection locked="0"/>
    </xf>
    <xf numFmtId="14" fontId="8" fillId="4" borderId="1" xfId="0" applyNumberFormat="1" applyFont="1" applyFill="1" applyBorder="1"/>
    <xf numFmtId="0" fontId="5" fillId="3" borderId="1" xfId="0" applyFont="1" applyFill="1" applyBorder="1"/>
    <xf numFmtId="14" fontId="9" fillId="4" borderId="1" xfId="0" applyNumberFormat="1" applyFont="1" applyFill="1" applyBorder="1"/>
    <xf numFmtId="14" fontId="10" fillId="4" borderId="1" xfId="0" applyNumberFormat="1" applyFont="1" applyFill="1" applyBorder="1"/>
    <xf numFmtId="14" fontId="4" fillId="4" borderId="1" xfId="0" applyNumberFormat="1" applyFont="1" applyFill="1" applyBorder="1"/>
    <xf numFmtId="0" fontId="11" fillId="5" borderId="0" xfId="0" applyFont="1" applyFill="1"/>
    <xf numFmtId="0" fontId="3" fillId="6" borderId="1" xfId="0" applyFont="1" applyFill="1" applyBorder="1"/>
    <xf numFmtId="0" fontId="11" fillId="7" borderId="0" xfId="0" applyFont="1" applyFill="1"/>
    <xf numFmtId="0" fontId="3" fillId="3" borderId="1" xfId="0" applyFont="1" applyFill="1" applyBorder="1"/>
    <xf numFmtId="164" fontId="5" fillId="4" borderId="1" xfId="0" applyNumberFormat="1" applyFont="1" applyFill="1" applyBorder="1" applyProtection="1">
      <protection locked="0"/>
    </xf>
    <xf numFmtId="164" fontId="10" fillId="4" borderId="1" xfId="0" applyNumberFormat="1" applyFont="1" applyFill="1" applyBorder="1" applyProtection="1">
      <protection locked="0"/>
    </xf>
    <xf numFmtId="15" fontId="10" fillId="4" borderId="1" xfId="0" applyNumberFormat="1" applyFont="1" applyFill="1" applyBorder="1"/>
    <xf numFmtId="0" fontId="10" fillId="4" borderId="1" xfId="0" applyFont="1" applyFill="1" applyBorder="1"/>
    <xf numFmtId="1" fontId="10" fillId="4" borderId="1" xfId="0" applyNumberFormat="1" applyFont="1" applyFill="1" applyBorder="1" applyProtection="1">
      <protection locked="0"/>
    </xf>
    <xf numFmtId="0" fontId="5" fillId="4" borderId="2" xfId="0" applyFont="1" applyFill="1" applyBorder="1"/>
    <xf numFmtId="0" fontId="5" fillId="4" borderId="3" xfId="0" applyFont="1" applyFill="1" applyBorder="1"/>
    <xf numFmtId="0" fontId="12" fillId="2" borderId="4" xfId="0" applyFont="1" applyFill="1" applyBorder="1" applyAlignment="1">
      <alignment horizontal="left"/>
    </xf>
    <xf numFmtId="0" fontId="13" fillId="0" borderId="4" xfId="0" applyFont="1" applyBorder="1"/>
    <xf numFmtId="0" fontId="14" fillId="3" borderId="4" xfId="0" applyFont="1" applyFill="1" applyBorder="1" applyAlignment="1">
      <alignment horizontal="left"/>
    </xf>
    <xf numFmtId="0" fontId="12" fillId="3" borderId="4" xfId="0" applyFont="1" applyFill="1" applyBorder="1" applyAlignment="1" applyProtection="1">
      <alignment horizontal="left"/>
      <protection locked="0"/>
    </xf>
    <xf numFmtId="14" fontId="12" fillId="3" borderId="4" xfId="0" applyNumberFormat="1" applyFont="1" applyFill="1" applyBorder="1" applyAlignment="1">
      <alignment horizontal="left"/>
    </xf>
    <xf numFmtId="0" fontId="15" fillId="3" borderId="4" xfId="0" applyFont="1" applyFill="1" applyBorder="1"/>
    <xf numFmtId="0" fontId="12" fillId="8" borderId="4" xfId="0" applyFont="1" applyFill="1" applyBorder="1"/>
    <xf numFmtId="0" fontId="16" fillId="0" borderId="0" xfId="0" applyFont="1"/>
    <xf numFmtId="0" fontId="17" fillId="0" borderId="0" xfId="0" applyFont="1"/>
    <xf numFmtId="164" fontId="12" fillId="3" borderId="4" xfId="0" applyNumberFormat="1" applyFont="1" applyFill="1" applyBorder="1" applyAlignment="1" applyProtection="1">
      <alignment horizontal="left"/>
      <protection locked="0"/>
    </xf>
    <xf numFmtId="49" fontId="12" fillId="3" borderId="4" xfId="0" applyNumberFormat="1" applyFont="1" applyFill="1" applyBorder="1" applyAlignment="1">
      <alignment horizontal="left"/>
    </xf>
    <xf numFmtId="0" fontId="18" fillId="0" borderId="5" xfId="0" applyFont="1" applyBorder="1"/>
    <xf numFmtId="0" fontId="15" fillId="3" borderId="4" xfId="0" applyFont="1" applyFill="1" applyBorder="1" applyAlignment="1">
      <alignment horizontal="left"/>
    </xf>
    <xf numFmtId="0" fontId="12" fillId="2" borderId="4" xfId="0" applyFont="1" applyFill="1" applyBorder="1" applyAlignment="1">
      <alignment horizontal="left" wrapText="1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22"/>
  <sheetViews>
    <sheetView tabSelected="1" zoomScaleNormal="100" workbookViewId="0">
      <selection activeCell="F13" sqref="F13"/>
    </sheetView>
  </sheetViews>
  <sheetFormatPr defaultColWidth="13.44140625" defaultRowHeight="14.4" customHeight="1"/>
  <cols>
    <col min="1" max="1" width="13" customWidth="1"/>
    <col min="2" max="2" width="26.33203125" customWidth="1"/>
    <col min="3" max="3" width="11.5546875" customWidth="1"/>
    <col min="4" max="4" width="64.77734375" customWidth="1"/>
    <col min="5" max="5" width="9.44140625" customWidth="1"/>
    <col min="6" max="6" width="12.21875" customWidth="1"/>
    <col min="7" max="7" width="13" customWidth="1"/>
    <col min="8" max="8" width="14.44140625" customWidth="1"/>
    <col min="9" max="9" width="13.44140625" customWidth="1"/>
    <col min="10" max="10" width="6.77734375" customWidth="1"/>
    <col min="11" max="11" width="13.5546875" customWidth="1"/>
    <col min="12" max="12" width="9.44140625" customWidth="1"/>
    <col min="13" max="13" width="20" customWidth="1"/>
    <col min="14" max="14" width="17.5546875" customWidth="1"/>
    <col min="15" max="15" width="12.21875" customWidth="1"/>
    <col min="16" max="16" width="8.44140625" customWidth="1"/>
    <col min="17" max="17" width="14.21875" customWidth="1"/>
    <col min="18" max="18" width="12.77734375" customWidth="1"/>
    <col min="20" max="20" width="6.77734375" customWidth="1"/>
    <col min="21" max="21" width="9.21875" customWidth="1"/>
    <col min="22" max="22" width="16.21875" customWidth="1"/>
    <col min="23" max="23" width="6.77734375" customWidth="1"/>
    <col min="24" max="24" width="10.5546875" style="1" customWidth="1"/>
    <col min="25" max="25" width="8.77734375" customWidth="1"/>
    <col min="26" max="26" width="35.77734375" customWidth="1"/>
    <col min="27" max="27" width="19.21875" style="2" customWidth="1"/>
    <col min="28" max="28" width="42.21875" customWidth="1"/>
    <col min="29" max="29" width="10.5546875" style="2" customWidth="1"/>
    <col min="30" max="30" width="9.77734375" customWidth="1"/>
    <col min="31" max="31" width="13.21875" customWidth="1"/>
    <col min="32" max="32" width="22.21875" customWidth="1"/>
    <col min="33" max="33" width="13.21875" customWidth="1"/>
    <col min="34" max="34" width="24.5546875" customWidth="1"/>
    <col min="35" max="35" width="16.21875" customWidth="1"/>
    <col min="36" max="36" width="15.44140625" customWidth="1"/>
    <col min="37" max="37" width="25.77734375" style="3" customWidth="1"/>
    <col min="38" max="38" width="10.77734375" style="2" customWidth="1"/>
    <col min="39" max="39" width="20.21875" customWidth="1"/>
    <col min="40" max="40" width="17.77734375" customWidth="1"/>
    <col min="41" max="41" width="24.5546875" customWidth="1"/>
    <col min="42" max="42" width="13.77734375" customWidth="1"/>
    <col min="43" max="43" width="8.21875" customWidth="1"/>
    <col min="44" max="44" width="20" customWidth="1"/>
    <col min="45" max="45" width="19.77734375" customWidth="1"/>
    <col min="46" max="47" width="16.77734375" customWidth="1"/>
    <col min="48" max="48" width="19.44140625" customWidth="1"/>
    <col min="49" max="49" width="25.5546875" customWidth="1"/>
    <col min="50" max="50" width="15.44140625" customWidth="1"/>
    <col min="51" max="51" width="25" customWidth="1"/>
    <col min="52" max="52" width="54.77734375" customWidth="1"/>
    <col min="53" max="53" width="27.5546875" customWidth="1"/>
    <col min="54" max="54" width="36" customWidth="1"/>
    <col min="55" max="55" width="22" customWidth="1"/>
    <col min="56" max="56" width="18.44140625" customWidth="1"/>
    <col min="57" max="57" width="17.21875" customWidth="1"/>
    <col min="58" max="58" width="18.44140625" customWidth="1"/>
    <col min="59" max="59" width="10.44140625" customWidth="1"/>
    <col min="60" max="60" width="26.5546875" customWidth="1"/>
    <col min="61" max="61" width="20.77734375" customWidth="1"/>
    <col min="62" max="62" width="10.44140625" customWidth="1"/>
    <col min="63" max="63" width="27.21875" customWidth="1"/>
    <col min="64" max="64" width="12" customWidth="1"/>
    <col min="65" max="65" width="10.44140625" customWidth="1"/>
    <col min="66" max="66" width="16.44140625" customWidth="1"/>
    <col min="67" max="67" width="12" customWidth="1"/>
    <col min="68" max="68" width="8.77734375" customWidth="1"/>
    <col min="69" max="69" width="12.44140625" customWidth="1"/>
    <col min="70" max="70" width="18.21875" customWidth="1"/>
    <col min="71" max="71" width="17.5546875" customWidth="1"/>
    <col min="72" max="72" width="17.21875" customWidth="1"/>
    <col min="73" max="73" width="17.77734375" customWidth="1"/>
    <col min="74" max="74" width="21.5546875" customWidth="1"/>
    <col min="75" max="75" width="13.44140625" customWidth="1"/>
    <col min="76" max="76" width="24.77734375" style="4" customWidth="1"/>
    <col min="77" max="77" width="26.44140625" customWidth="1"/>
    <col min="78" max="78" width="8.21875" customWidth="1"/>
    <col min="79" max="79" width="26.21875" customWidth="1"/>
    <col min="80" max="80" width="22.44140625" customWidth="1"/>
    <col min="81" max="81" width="23.44140625" customWidth="1"/>
  </cols>
  <sheetData>
    <row r="1" spans="1:81" s="5" customFormat="1" ht="14.4" customHeight="1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8" t="s">
        <v>7</v>
      </c>
      <c r="I1" s="9" t="s">
        <v>8</v>
      </c>
      <c r="J1" s="9" t="s">
        <v>9</v>
      </c>
      <c r="K1" s="10" t="s">
        <v>10</v>
      </c>
      <c r="L1" s="8" t="s">
        <v>4</v>
      </c>
      <c r="M1" s="8" t="s">
        <v>11</v>
      </c>
      <c r="N1" s="9" t="s">
        <v>12</v>
      </c>
      <c r="O1" s="11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9</v>
      </c>
      <c r="U1" s="10" t="s">
        <v>18</v>
      </c>
      <c r="V1" s="12" t="s">
        <v>19</v>
      </c>
      <c r="W1" s="9" t="s">
        <v>9</v>
      </c>
      <c r="X1" s="13" t="s">
        <v>20</v>
      </c>
      <c r="Y1" s="9" t="s">
        <v>21</v>
      </c>
      <c r="Z1" s="9" t="s">
        <v>22</v>
      </c>
      <c r="AA1" s="9" t="s">
        <v>23</v>
      </c>
      <c r="AB1" s="9" t="s">
        <v>24</v>
      </c>
      <c r="AC1" s="8" t="s">
        <v>25</v>
      </c>
      <c r="AD1" s="8" t="s">
        <v>26</v>
      </c>
      <c r="AE1" s="8" t="s">
        <v>27</v>
      </c>
      <c r="AF1" s="9" t="s">
        <v>28</v>
      </c>
      <c r="AG1" s="8" t="s">
        <v>29</v>
      </c>
      <c r="AH1" s="8" t="s">
        <v>30</v>
      </c>
      <c r="AI1" s="8" t="s">
        <v>31</v>
      </c>
      <c r="AJ1" s="8" t="s">
        <v>32</v>
      </c>
      <c r="AK1" s="14" t="s">
        <v>33</v>
      </c>
      <c r="AL1" s="8" t="s">
        <v>34</v>
      </c>
      <c r="AM1" s="15" t="s">
        <v>35</v>
      </c>
      <c r="AN1" s="9" t="s">
        <v>36</v>
      </c>
      <c r="AO1" s="9" t="s">
        <v>37</v>
      </c>
      <c r="AP1" s="8" t="s">
        <v>38</v>
      </c>
      <c r="AQ1" s="9" t="s">
        <v>39</v>
      </c>
      <c r="AR1" s="16" t="s">
        <v>40</v>
      </c>
      <c r="AS1" s="16" t="s">
        <v>41</v>
      </c>
      <c r="AT1" s="17" t="s">
        <v>42</v>
      </c>
      <c r="AU1" s="9" t="s">
        <v>43</v>
      </c>
      <c r="AV1" s="9" t="s">
        <v>44</v>
      </c>
      <c r="AW1" s="6" t="s">
        <v>45</v>
      </c>
      <c r="AX1" s="6" t="s">
        <v>46</v>
      </c>
      <c r="AY1" s="6" t="s">
        <v>47</v>
      </c>
      <c r="AZ1" s="18" t="s">
        <v>48</v>
      </c>
      <c r="BA1" s="6" t="s">
        <v>49</v>
      </c>
      <c r="BB1" s="6" t="s">
        <v>50</v>
      </c>
      <c r="BC1" s="6" t="s">
        <v>51</v>
      </c>
      <c r="BD1" s="19" t="s">
        <v>52</v>
      </c>
      <c r="BE1" s="20" t="s">
        <v>53</v>
      </c>
      <c r="BF1" s="19" t="s">
        <v>54</v>
      </c>
      <c r="BG1" s="21" t="s">
        <v>55</v>
      </c>
      <c r="BH1" s="22" t="s">
        <v>56</v>
      </c>
      <c r="BI1" s="8" t="s">
        <v>57</v>
      </c>
      <c r="BJ1" s="6" t="s">
        <v>58</v>
      </c>
      <c r="BK1" s="22" t="s">
        <v>59</v>
      </c>
      <c r="BL1" s="8" t="s">
        <v>60</v>
      </c>
      <c r="BM1" s="8" t="s">
        <v>61</v>
      </c>
      <c r="BN1" s="22" t="s">
        <v>62</v>
      </c>
      <c r="BO1" s="8" t="s">
        <v>63</v>
      </c>
      <c r="BP1" s="8" t="s">
        <v>64</v>
      </c>
      <c r="BQ1" s="22" t="s">
        <v>65</v>
      </c>
      <c r="BR1" s="23" t="s">
        <v>66</v>
      </c>
      <c r="BS1" s="24" t="s">
        <v>67</v>
      </c>
      <c r="BT1" s="23" t="s">
        <v>68</v>
      </c>
      <c r="BU1" s="8" t="s">
        <v>69</v>
      </c>
      <c r="BV1" s="25" t="s">
        <v>70</v>
      </c>
      <c r="BW1" s="8" t="s">
        <v>71</v>
      </c>
      <c r="BX1" s="26" t="s">
        <v>72</v>
      </c>
      <c r="BY1" s="23" t="s">
        <v>73</v>
      </c>
      <c r="BZ1" s="8" t="s">
        <v>74</v>
      </c>
      <c r="CA1" s="8" t="s">
        <v>75</v>
      </c>
      <c r="CB1" s="27" t="s">
        <v>76</v>
      </c>
      <c r="CC1" s="28" t="s">
        <v>77</v>
      </c>
    </row>
    <row r="2" spans="1:81" s="5" customFormat="1" ht="14.4" customHeight="1">
      <c r="A2" s="29" t="s">
        <v>78</v>
      </c>
      <c r="B2" s="29" t="s">
        <v>79</v>
      </c>
      <c r="C2" s="29" t="s">
        <v>80</v>
      </c>
      <c r="D2" s="30" t="s">
        <v>81</v>
      </c>
      <c r="E2" s="29" t="s">
        <v>82</v>
      </c>
      <c r="F2" s="29" t="s">
        <v>83</v>
      </c>
      <c r="G2" s="29" t="s">
        <v>193</v>
      </c>
      <c r="H2" s="31" t="s">
        <v>84</v>
      </c>
      <c r="I2" s="32" t="s">
        <v>85</v>
      </c>
      <c r="J2" s="32" t="s">
        <v>86</v>
      </c>
      <c r="K2" s="33">
        <f t="shared" ref="K2:K3" ca="1" si="0">TODAY()-31</f>
        <v>45827</v>
      </c>
      <c r="L2" s="29" t="s">
        <v>82</v>
      </c>
      <c r="M2" s="29" t="s">
        <v>87</v>
      </c>
      <c r="N2" s="32" t="s">
        <v>88</v>
      </c>
      <c r="O2" s="31" t="s">
        <v>89</v>
      </c>
      <c r="P2" s="32" t="s">
        <v>90</v>
      </c>
      <c r="Q2" s="32">
        <v>78</v>
      </c>
      <c r="R2" s="32" t="s">
        <v>90</v>
      </c>
      <c r="S2" s="32" t="s">
        <v>90</v>
      </c>
      <c r="T2" s="32" t="s">
        <v>86</v>
      </c>
      <c r="U2" s="33" t="s">
        <v>91</v>
      </c>
      <c r="V2" s="32" t="s">
        <v>92</v>
      </c>
      <c r="W2" s="32" t="s">
        <v>86</v>
      </c>
      <c r="X2" s="33" t="s">
        <v>93</v>
      </c>
      <c r="Y2" s="32" t="s">
        <v>94</v>
      </c>
      <c r="Z2" s="29" t="s">
        <v>95</v>
      </c>
      <c r="AA2" s="29" t="s">
        <v>96</v>
      </c>
      <c r="AB2" s="29" t="s">
        <v>97</v>
      </c>
      <c r="AC2" s="29" t="s">
        <v>98</v>
      </c>
      <c r="AD2" s="29">
        <v>770</v>
      </c>
      <c r="AE2" s="29" t="s">
        <v>74</v>
      </c>
      <c r="AF2" s="29">
        <v>20</v>
      </c>
      <c r="AG2" s="29" t="s">
        <v>99</v>
      </c>
      <c r="AH2" s="34" t="s">
        <v>100</v>
      </c>
      <c r="AI2" s="33" t="s">
        <v>101</v>
      </c>
      <c r="AJ2" s="33" t="s">
        <v>102</v>
      </c>
      <c r="AK2" s="29">
        <v>524902</v>
      </c>
      <c r="AL2" s="29" t="s">
        <v>103</v>
      </c>
      <c r="AM2" s="33" t="s">
        <v>104</v>
      </c>
      <c r="AN2" s="35" t="s">
        <v>105</v>
      </c>
      <c r="AO2" s="32" t="s">
        <v>106</v>
      </c>
      <c r="AP2" s="29" t="s">
        <v>107</v>
      </c>
      <c r="AQ2" s="32" t="s">
        <v>108</v>
      </c>
      <c r="AR2" s="33" t="str">
        <f t="shared" ref="AR2:AR6" si="1">X2</f>
        <v>01/07/2025</v>
      </c>
      <c r="AS2" s="33" t="str">
        <f t="shared" ref="AS2:AS6" si="2">X2</f>
        <v>01/07/2025</v>
      </c>
      <c r="AT2" s="33" t="str">
        <f t="shared" ref="AT2:AT6" si="3">AM2</f>
        <v>10/10/2025</v>
      </c>
      <c r="AU2" s="33" t="s">
        <v>109</v>
      </c>
      <c r="AV2" s="32" t="s">
        <v>110</v>
      </c>
      <c r="AW2" s="29" t="s">
        <v>111</v>
      </c>
      <c r="AX2" s="29" t="s">
        <v>112</v>
      </c>
      <c r="AY2" s="29" t="s">
        <v>113</v>
      </c>
      <c r="AZ2" s="36" t="s">
        <v>114</v>
      </c>
      <c r="BA2" s="29" t="s">
        <v>115</v>
      </c>
      <c r="BB2" s="29" t="s">
        <v>116</v>
      </c>
      <c r="BC2" s="29" t="s">
        <v>117</v>
      </c>
      <c r="BD2" s="29" t="s">
        <v>95</v>
      </c>
      <c r="BE2" s="29" t="s">
        <v>105</v>
      </c>
      <c r="BF2" s="29" t="s">
        <v>105</v>
      </c>
      <c r="BG2" s="29" t="s">
        <v>82</v>
      </c>
      <c r="BH2" s="29" t="s">
        <v>118</v>
      </c>
      <c r="BI2" s="37">
        <v>99050577244</v>
      </c>
      <c r="BJ2" s="29" t="s">
        <v>105</v>
      </c>
      <c r="BK2" s="29" t="s">
        <v>105</v>
      </c>
      <c r="BL2" s="29" t="s">
        <v>105</v>
      </c>
      <c r="BM2" s="29" t="s">
        <v>105</v>
      </c>
      <c r="BN2" s="29" t="s">
        <v>105</v>
      </c>
      <c r="BO2" s="29" t="s">
        <v>105</v>
      </c>
      <c r="BP2" s="29" t="s">
        <v>119</v>
      </c>
      <c r="BQ2" s="38">
        <v>36285</v>
      </c>
      <c r="BR2" s="38" t="s">
        <v>120</v>
      </c>
      <c r="BS2" s="38" t="s">
        <v>105</v>
      </c>
      <c r="BT2" s="38" t="s">
        <v>121</v>
      </c>
      <c r="BU2" s="29" t="s">
        <v>122</v>
      </c>
      <c r="BV2" s="29" t="s">
        <v>123</v>
      </c>
      <c r="BW2" s="29" t="s">
        <v>124</v>
      </c>
      <c r="BX2" s="39" t="s">
        <v>125</v>
      </c>
      <c r="BY2" s="29" t="s">
        <v>126</v>
      </c>
      <c r="BZ2" s="29" t="s">
        <v>127</v>
      </c>
      <c r="CA2" s="29" t="s">
        <v>128</v>
      </c>
      <c r="CB2" s="29" t="s">
        <v>129</v>
      </c>
      <c r="CC2" s="29">
        <v>13</v>
      </c>
    </row>
    <row r="3" spans="1:81" s="5" customFormat="1" ht="14.4" customHeight="1">
      <c r="A3" s="29" t="s">
        <v>130</v>
      </c>
      <c r="B3" s="29" t="s">
        <v>131</v>
      </c>
      <c r="C3" s="29" t="s">
        <v>132</v>
      </c>
      <c r="D3" s="29" t="s">
        <v>133</v>
      </c>
      <c r="E3" s="29" t="s">
        <v>82</v>
      </c>
      <c r="F3" s="29" t="s">
        <v>134</v>
      </c>
      <c r="G3" s="29" t="s">
        <v>194</v>
      </c>
      <c r="H3" s="31" t="s">
        <v>84</v>
      </c>
      <c r="I3" s="32" t="s">
        <v>85</v>
      </c>
      <c r="J3" s="32" t="s">
        <v>86</v>
      </c>
      <c r="K3" s="33">
        <f t="shared" ca="1" si="0"/>
        <v>45827</v>
      </c>
      <c r="L3" s="29" t="s">
        <v>82</v>
      </c>
      <c r="M3" s="29" t="s">
        <v>87</v>
      </c>
      <c r="N3" s="32" t="s">
        <v>135</v>
      </c>
      <c r="O3" s="31" t="s">
        <v>136</v>
      </c>
      <c r="P3" s="32" t="s">
        <v>137</v>
      </c>
      <c r="Q3" s="32">
        <v>79</v>
      </c>
      <c r="R3" s="32" t="s">
        <v>137</v>
      </c>
      <c r="S3" s="32" t="s">
        <v>137</v>
      </c>
      <c r="T3" s="32" t="s">
        <v>86</v>
      </c>
      <c r="U3" s="33" t="s">
        <v>91</v>
      </c>
      <c r="V3" s="32" t="s">
        <v>92</v>
      </c>
      <c r="W3" s="32" t="s">
        <v>86</v>
      </c>
      <c r="X3" s="33" t="s">
        <v>93</v>
      </c>
      <c r="Y3" s="32" t="s">
        <v>94</v>
      </c>
      <c r="Z3" s="29" t="s">
        <v>95</v>
      </c>
      <c r="AA3" s="29" t="s">
        <v>91</v>
      </c>
      <c r="AB3" s="29" t="s">
        <v>138</v>
      </c>
      <c r="AC3" s="29" t="s">
        <v>139</v>
      </c>
      <c r="AD3" s="29">
        <v>768</v>
      </c>
      <c r="AE3" s="29" t="s">
        <v>74</v>
      </c>
      <c r="AF3" s="29">
        <v>40</v>
      </c>
      <c r="AG3" s="29" t="s">
        <v>99</v>
      </c>
      <c r="AH3" s="34" t="s">
        <v>140</v>
      </c>
      <c r="AI3" s="33" t="s">
        <v>101</v>
      </c>
      <c r="AJ3" s="33" t="s">
        <v>102</v>
      </c>
      <c r="AK3" s="29">
        <v>524902</v>
      </c>
      <c r="AL3" s="29" t="s">
        <v>103</v>
      </c>
      <c r="AM3" s="29" t="s">
        <v>105</v>
      </c>
      <c r="AN3" s="35" t="s">
        <v>105</v>
      </c>
      <c r="AO3" s="32" t="s">
        <v>106</v>
      </c>
      <c r="AP3" s="29" t="s">
        <v>141</v>
      </c>
      <c r="AQ3" s="32" t="s">
        <v>108</v>
      </c>
      <c r="AR3" s="33" t="str">
        <f t="shared" si="1"/>
        <v>01/07/2025</v>
      </c>
      <c r="AS3" s="33" t="str">
        <f t="shared" si="2"/>
        <v>01/07/2025</v>
      </c>
      <c r="AT3" s="33" t="str">
        <f t="shared" si="3"/>
        <v>N/A</v>
      </c>
      <c r="AU3" s="33" t="s">
        <v>109</v>
      </c>
      <c r="AV3" s="29" t="s">
        <v>110</v>
      </c>
      <c r="AW3" s="29" t="s">
        <v>142</v>
      </c>
      <c r="AX3" s="29" t="s">
        <v>143</v>
      </c>
      <c r="AY3" s="29" t="s">
        <v>113</v>
      </c>
      <c r="AZ3" s="36" t="s">
        <v>144</v>
      </c>
      <c r="BA3" s="29" t="s">
        <v>145</v>
      </c>
      <c r="BB3" s="29" t="s">
        <v>146</v>
      </c>
      <c r="BC3" s="29" t="s">
        <v>117</v>
      </c>
      <c r="BD3" s="29" t="s">
        <v>95</v>
      </c>
      <c r="BE3" s="29" t="s">
        <v>105</v>
      </c>
      <c r="BF3" s="29" t="s">
        <v>105</v>
      </c>
      <c r="BG3" s="29" t="s">
        <v>82</v>
      </c>
      <c r="BH3" s="29" t="s">
        <v>118</v>
      </c>
      <c r="BI3" s="37">
        <v>70010168137</v>
      </c>
      <c r="BJ3" s="29" t="s">
        <v>82</v>
      </c>
      <c r="BK3" s="29" t="s">
        <v>147</v>
      </c>
      <c r="BL3" s="29" t="s">
        <v>148</v>
      </c>
      <c r="BM3" s="29" t="s">
        <v>105</v>
      </c>
      <c r="BN3" s="29" t="s">
        <v>105</v>
      </c>
      <c r="BO3" s="29" t="s">
        <v>105</v>
      </c>
      <c r="BP3" s="29" t="s">
        <v>149</v>
      </c>
      <c r="BQ3" s="38">
        <v>25569</v>
      </c>
      <c r="BR3" s="38" t="s">
        <v>120</v>
      </c>
      <c r="BS3" s="38" t="s">
        <v>105</v>
      </c>
      <c r="BT3" s="38" t="s">
        <v>121</v>
      </c>
      <c r="BU3" s="29" t="s">
        <v>122</v>
      </c>
      <c r="BV3" s="29" t="s">
        <v>123</v>
      </c>
      <c r="BW3" s="29" t="s">
        <v>124</v>
      </c>
      <c r="BX3" s="39" t="s">
        <v>125</v>
      </c>
      <c r="BY3" s="29" t="s">
        <v>126</v>
      </c>
      <c r="BZ3" s="29" t="s">
        <v>127</v>
      </c>
      <c r="CA3" s="29" t="s">
        <v>128</v>
      </c>
      <c r="CB3" s="29" t="s">
        <v>129</v>
      </c>
      <c r="CC3" s="29">
        <v>14</v>
      </c>
    </row>
    <row r="4" spans="1:81" s="5" customFormat="1" ht="14.4" customHeight="1">
      <c r="A4" s="29" t="s">
        <v>150</v>
      </c>
      <c r="B4" s="29" t="s">
        <v>151</v>
      </c>
      <c r="C4" s="29" t="s">
        <v>132</v>
      </c>
      <c r="D4" s="29" t="s">
        <v>133</v>
      </c>
      <c r="E4" s="29" t="s">
        <v>82</v>
      </c>
      <c r="F4" s="29" t="s">
        <v>152</v>
      </c>
      <c r="G4" s="29" t="s">
        <v>153</v>
      </c>
      <c r="H4" s="31" t="s">
        <v>84</v>
      </c>
      <c r="I4" s="32" t="s">
        <v>85</v>
      </c>
      <c r="J4" s="32" t="s">
        <v>86</v>
      </c>
      <c r="K4" s="33">
        <f t="shared" ref="K4:K6" ca="1" si="4">TODAY()-31</f>
        <v>45827</v>
      </c>
      <c r="L4" s="29" t="s">
        <v>82</v>
      </c>
      <c r="M4" s="29" t="s">
        <v>87</v>
      </c>
      <c r="N4" s="32" t="s">
        <v>154</v>
      </c>
      <c r="O4" s="31" t="s">
        <v>155</v>
      </c>
      <c r="P4" s="32" t="s">
        <v>154</v>
      </c>
      <c r="Q4" s="32">
        <v>80</v>
      </c>
      <c r="R4" s="32" t="s">
        <v>154</v>
      </c>
      <c r="S4" s="32" t="s">
        <v>154</v>
      </c>
      <c r="T4" s="32" t="s">
        <v>86</v>
      </c>
      <c r="U4" s="33" t="s">
        <v>91</v>
      </c>
      <c r="V4" s="32" t="s">
        <v>92</v>
      </c>
      <c r="W4" s="32" t="s">
        <v>86</v>
      </c>
      <c r="X4" s="33" t="s">
        <v>93</v>
      </c>
      <c r="Y4" s="32" t="s">
        <v>94</v>
      </c>
      <c r="Z4" s="29" t="s">
        <v>95</v>
      </c>
      <c r="AA4" s="29" t="s">
        <v>91</v>
      </c>
      <c r="AB4" s="29" t="s">
        <v>138</v>
      </c>
      <c r="AC4" s="29" t="s">
        <v>139</v>
      </c>
      <c r="AD4" s="29">
        <v>768</v>
      </c>
      <c r="AE4" s="29" t="s">
        <v>74</v>
      </c>
      <c r="AF4" s="29">
        <v>40</v>
      </c>
      <c r="AG4" s="29" t="s">
        <v>99</v>
      </c>
      <c r="AH4" s="34" t="s">
        <v>156</v>
      </c>
      <c r="AI4" s="33" t="s">
        <v>101</v>
      </c>
      <c r="AJ4" s="33" t="s">
        <v>102</v>
      </c>
      <c r="AK4" s="29">
        <v>524902</v>
      </c>
      <c r="AL4" s="29" t="s">
        <v>103</v>
      </c>
      <c r="AM4" s="29" t="s">
        <v>105</v>
      </c>
      <c r="AN4" s="35" t="s">
        <v>105</v>
      </c>
      <c r="AO4" s="32" t="s">
        <v>106</v>
      </c>
      <c r="AP4" s="29" t="s">
        <v>141</v>
      </c>
      <c r="AQ4" s="32" t="s">
        <v>108</v>
      </c>
      <c r="AR4" s="33" t="str">
        <f t="shared" si="1"/>
        <v>01/07/2025</v>
      </c>
      <c r="AS4" s="33" t="str">
        <f t="shared" si="2"/>
        <v>01/07/2025</v>
      </c>
      <c r="AT4" s="33" t="str">
        <f t="shared" si="3"/>
        <v>N/A</v>
      </c>
      <c r="AU4" s="33" t="s">
        <v>109</v>
      </c>
      <c r="AV4" s="29" t="s">
        <v>110</v>
      </c>
      <c r="AW4" s="29" t="s">
        <v>142</v>
      </c>
      <c r="AX4" s="29" t="s">
        <v>157</v>
      </c>
      <c r="AY4" s="29" t="s">
        <v>113</v>
      </c>
      <c r="AZ4" s="36" t="s">
        <v>144</v>
      </c>
      <c r="BA4" s="29" t="s">
        <v>158</v>
      </c>
      <c r="BB4" s="29" t="s">
        <v>159</v>
      </c>
      <c r="BC4" s="29" t="s">
        <v>117</v>
      </c>
      <c r="BD4" s="29" t="s">
        <v>95</v>
      </c>
      <c r="BE4" s="29" t="s">
        <v>105</v>
      </c>
      <c r="BF4" s="29" t="s">
        <v>105</v>
      </c>
      <c r="BG4" s="29" t="s">
        <v>82</v>
      </c>
      <c r="BH4" s="29" t="s">
        <v>118</v>
      </c>
      <c r="BI4" s="37">
        <v>71020234826</v>
      </c>
      <c r="BJ4" s="29" t="s">
        <v>105</v>
      </c>
      <c r="BK4" s="29" t="s">
        <v>105</v>
      </c>
      <c r="BL4" s="29" t="s">
        <v>105</v>
      </c>
      <c r="BM4" s="29" t="s">
        <v>105</v>
      </c>
      <c r="BN4" s="29" t="s">
        <v>105</v>
      </c>
      <c r="BO4" s="29" t="s">
        <v>105</v>
      </c>
      <c r="BP4" s="29" t="s">
        <v>119</v>
      </c>
      <c r="BQ4" s="38">
        <v>25966</v>
      </c>
      <c r="BR4" s="38" t="s">
        <v>120</v>
      </c>
      <c r="BS4" s="38" t="s">
        <v>105</v>
      </c>
      <c r="BT4" s="38" t="s">
        <v>121</v>
      </c>
      <c r="BU4" s="29" t="s">
        <v>122</v>
      </c>
      <c r="BV4" s="29" t="s">
        <v>123</v>
      </c>
      <c r="BW4" s="29" t="s">
        <v>124</v>
      </c>
      <c r="BX4" s="39" t="s">
        <v>125</v>
      </c>
      <c r="BY4" s="29" t="s">
        <v>126</v>
      </c>
      <c r="BZ4" s="29" t="s">
        <v>127</v>
      </c>
      <c r="CA4" s="29" t="s">
        <v>128</v>
      </c>
      <c r="CB4" s="29" t="s">
        <v>129</v>
      </c>
      <c r="CC4" s="29">
        <v>15</v>
      </c>
    </row>
    <row r="5" spans="1:81" s="5" customFormat="1" ht="14.4" customHeight="1">
      <c r="A5" s="29" t="s">
        <v>160</v>
      </c>
      <c r="B5" s="29" t="s">
        <v>161</v>
      </c>
      <c r="C5" s="29" t="s">
        <v>132</v>
      </c>
      <c r="D5" s="40" t="s">
        <v>162</v>
      </c>
      <c r="E5" s="29" t="s">
        <v>82</v>
      </c>
      <c r="F5" s="29" t="s">
        <v>163</v>
      </c>
      <c r="G5" s="29" t="s">
        <v>164</v>
      </c>
      <c r="H5" s="31" t="s">
        <v>84</v>
      </c>
      <c r="I5" s="32" t="s">
        <v>85</v>
      </c>
      <c r="J5" s="32" t="s">
        <v>86</v>
      </c>
      <c r="K5" s="33">
        <f t="shared" ca="1" si="4"/>
        <v>45827</v>
      </c>
      <c r="L5" s="29" t="s">
        <v>82</v>
      </c>
      <c r="M5" s="29" t="s">
        <v>87</v>
      </c>
      <c r="N5" s="32" t="s">
        <v>165</v>
      </c>
      <c r="O5" s="31" t="s">
        <v>166</v>
      </c>
      <c r="P5" s="32" t="s">
        <v>167</v>
      </c>
      <c r="Q5" s="32">
        <v>81</v>
      </c>
      <c r="R5" s="32" t="s">
        <v>167</v>
      </c>
      <c r="S5" s="32" t="s">
        <v>167</v>
      </c>
      <c r="T5" s="32" t="s">
        <v>86</v>
      </c>
      <c r="U5" s="33" t="s">
        <v>91</v>
      </c>
      <c r="V5" s="32" t="s">
        <v>92</v>
      </c>
      <c r="W5" s="32" t="s">
        <v>86</v>
      </c>
      <c r="X5" s="33" t="s">
        <v>93</v>
      </c>
      <c r="Y5" s="32" t="s">
        <v>94</v>
      </c>
      <c r="Z5" s="29" t="s">
        <v>168</v>
      </c>
      <c r="AA5" s="29" t="s">
        <v>91</v>
      </c>
      <c r="AB5" s="29" t="s">
        <v>169</v>
      </c>
      <c r="AC5" s="29" t="s">
        <v>139</v>
      </c>
      <c r="AD5" s="29">
        <v>765</v>
      </c>
      <c r="AE5" s="29" t="s">
        <v>74</v>
      </c>
      <c r="AF5" s="29">
        <v>40</v>
      </c>
      <c r="AG5" s="29" t="s">
        <v>99</v>
      </c>
      <c r="AH5" s="41" t="s">
        <v>170</v>
      </c>
      <c r="AI5" s="33" t="s">
        <v>101</v>
      </c>
      <c r="AJ5" s="33" t="s">
        <v>102</v>
      </c>
      <c r="AK5" s="29">
        <v>522201</v>
      </c>
      <c r="AL5" s="29" t="s">
        <v>103</v>
      </c>
      <c r="AM5" s="29" t="s">
        <v>105</v>
      </c>
      <c r="AN5" s="35" t="s">
        <v>105</v>
      </c>
      <c r="AO5" s="32" t="s">
        <v>106</v>
      </c>
      <c r="AP5" s="29" t="s">
        <v>141</v>
      </c>
      <c r="AQ5" s="32" t="s">
        <v>108</v>
      </c>
      <c r="AR5" s="33" t="str">
        <f t="shared" si="1"/>
        <v>01/07/2025</v>
      </c>
      <c r="AS5" s="33" t="str">
        <f t="shared" si="2"/>
        <v>01/07/2025</v>
      </c>
      <c r="AT5" s="33" t="str">
        <f t="shared" si="3"/>
        <v>N/A</v>
      </c>
      <c r="AU5" s="33" t="s">
        <v>109</v>
      </c>
      <c r="AV5" s="29" t="s">
        <v>171</v>
      </c>
      <c r="AW5" s="29" t="s">
        <v>172</v>
      </c>
      <c r="AX5" s="29" t="s">
        <v>173</v>
      </c>
      <c r="AY5" s="29" t="s">
        <v>174</v>
      </c>
      <c r="AZ5" s="36" t="s">
        <v>175</v>
      </c>
      <c r="BA5" s="29" t="s">
        <v>176</v>
      </c>
      <c r="BB5" s="29" t="s">
        <v>177</v>
      </c>
      <c r="BC5" s="29" t="s">
        <v>117</v>
      </c>
      <c r="BD5" s="29" t="s">
        <v>95</v>
      </c>
      <c r="BE5" s="29" t="s">
        <v>105</v>
      </c>
      <c r="BF5" s="29" t="s">
        <v>105</v>
      </c>
      <c r="BG5" s="29" t="s">
        <v>82</v>
      </c>
      <c r="BH5" s="29" t="s">
        <v>118</v>
      </c>
      <c r="BI5" s="37">
        <v>72030345919</v>
      </c>
      <c r="BJ5" s="29" t="s">
        <v>105</v>
      </c>
      <c r="BK5" s="29" t="s">
        <v>105</v>
      </c>
      <c r="BL5" s="29" t="s">
        <v>105</v>
      </c>
      <c r="BM5" s="29" t="s">
        <v>105</v>
      </c>
      <c r="BN5" s="29" t="s">
        <v>105</v>
      </c>
      <c r="BO5" s="29" t="s">
        <v>105</v>
      </c>
      <c r="BP5" s="29" t="s">
        <v>149</v>
      </c>
      <c r="BQ5" s="38">
        <v>26361</v>
      </c>
      <c r="BR5" s="38" t="s">
        <v>120</v>
      </c>
      <c r="BS5" s="38" t="s">
        <v>105</v>
      </c>
      <c r="BT5" s="38" t="s">
        <v>121</v>
      </c>
      <c r="BU5" s="29" t="s">
        <v>122</v>
      </c>
      <c r="BV5" s="29" t="s">
        <v>123</v>
      </c>
      <c r="BW5" s="29" t="s">
        <v>124</v>
      </c>
      <c r="BX5" s="39" t="s">
        <v>125</v>
      </c>
      <c r="BY5" s="29" t="s">
        <v>126</v>
      </c>
      <c r="BZ5" s="29" t="s">
        <v>127</v>
      </c>
      <c r="CA5" s="29" t="s">
        <v>128</v>
      </c>
      <c r="CB5" s="29" t="s">
        <v>129</v>
      </c>
      <c r="CC5" s="29">
        <v>16</v>
      </c>
    </row>
    <row r="6" spans="1:81" s="5" customFormat="1" ht="14.4" customHeight="1">
      <c r="A6" s="29" t="s">
        <v>178</v>
      </c>
      <c r="B6" s="42" t="s">
        <v>179</v>
      </c>
      <c r="C6" s="29" t="s">
        <v>132</v>
      </c>
      <c r="D6" s="40" t="s">
        <v>162</v>
      </c>
      <c r="E6" s="29" t="s">
        <v>82</v>
      </c>
      <c r="F6" s="29" t="s">
        <v>180</v>
      </c>
      <c r="G6" s="29" t="s">
        <v>181</v>
      </c>
      <c r="H6" s="31" t="s">
        <v>84</v>
      </c>
      <c r="I6" s="32" t="s">
        <v>85</v>
      </c>
      <c r="J6" s="32" t="s">
        <v>86</v>
      </c>
      <c r="K6" s="33">
        <f t="shared" ca="1" si="4"/>
        <v>45827</v>
      </c>
      <c r="L6" s="29" t="s">
        <v>82</v>
      </c>
      <c r="M6" s="29" t="s">
        <v>87</v>
      </c>
      <c r="N6" s="32" t="s">
        <v>182</v>
      </c>
      <c r="O6" s="31" t="s">
        <v>183</v>
      </c>
      <c r="P6" s="32" t="s">
        <v>184</v>
      </c>
      <c r="Q6" s="32">
        <v>82</v>
      </c>
      <c r="R6" s="32" t="s">
        <v>184</v>
      </c>
      <c r="S6" s="32" t="s">
        <v>184</v>
      </c>
      <c r="T6" s="32" t="s">
        <v>86</v>
      </c>
      <c r="U6" s="33" t="s">
        <v>91</v>
      </c>
      <c r="V6" s="32" t="s">
        <v>92</v>
      </c>
      <c r="W6" s="32" t="s">
        <v>86</v>
      </c>
      <c r="X6" s="33" t="s">
        <v>93</v>
      </c>
      <c r="Y6" s="32" t="s">
        <v>94</v>
      </c>
      <c r="Z6" s="29" t="s">
        <v>185</v>
      </c>
      <c r="AA6" s="29" t="s">
        <v>91</v>
      </c>
      <c r="AB6" s="29" t="s">
        <v>169</v>
      </c>
      <c r="AC6" s="29" t="s">
        <v>139</v>
      </c>
      <c r="AD6" s="29">
        <v>765</v>
      </c>
      <c r="AE6" s="29" t="s">
        <v>74</v>
      </c>
      <c r="AF6" s="29">
        <v>40</v>
      </c>
      <c r="AG6" s="29" t="s">
        <v>99</v>
      </c>
      <c r="AH6" s="34" t="s">
        <v>186</v>
      </c>
      <c r="AI6" s="33" t="s">
        <v>101</v>
      </c>
      <c r="AJ6" s="33" t="s">
        <v>102</v>
      </c>
      <c r="AK6" s="29">
        <v>522201</v>
      </c>
      <c r="AL6" s="29" t="s">
        <v>103</v>
      </c>
      <c r="AM6" s="29" t="s">
        <v>105</v>
      </c>
      <c r="AN6" s="35" t="s">
        <v>105</v>
      </c>
      <c r="AO6" s="32" t="s">
        <v>106</v>
      </c>
      <c r="AP6" s="29" t="s">
        <v>141</v>
      </c>
      <c r="AQ6" s="32" t="s">
        <v>108</v>
      </c>
      <c r="AR6" s="33" t="str">
        <f t="shared" si="1"/>
        <v>01/07/2025</v>
      </c>
      <c r="AS6" s="33" t="str">
        <f t="shared" si="2"/>
        <v>01/07/2025</v>
      </c>
      <c r="AT6" s="33" t="str">
        <f t="shared" si="3"/>
        <v>N/A</v>
      </c>
      <c r="AU6" s="33" t="s">
        <v>109</v>
      </c>
      <c r="AV6" s="29" t="s">
        <v>171</v>
      </c>
      <c r="AW6" s="29" t="s">
        <v>172</v>
      </c>
      <c r="AX6" s="29" t="s">
        <v>187</v>
      </c>
      <c r="AY6" s="29" t="s">
        <v>113</v>
      </c>
      <c r="AZ6" s="36" t="s">
        <v>188</v>
      </c>
      <c r="BA6" s="29" t="s">
        <v>158</v>
      </c>
      <c r="BB6" s="29" t="s">
        <v>159</v>
      </c>
      <c r="BC6" s="29" t="s">
        <v>117</v>
      </c>
      <c r="BD6" s="29" t="s">
        <v>189</v>
      </c>
      <c r="BE6" s="33" t="s">
        <v>190</v>
      </c>
      <c r="BF6" s="33" t="s">
        <v>191</v>
      </c>
      <c r="BG6" s="29" t="s">
        <v>82</v>
      </c>
      <c r="BH6" s="29" t="s">
        <v>118</v>
      </c>
      <c r="BI6" s="37">
        <v>73040438642</v>
      </c>
      <c r="BJ6" s="29" t="s">
        <v>105</v>
      </c>
      <c r="BK6" s="29" t="s">
        <v>105</v>
      </c>
      <c r="BL6" s="29" t="s">
        <v>105</v>
      </c>
      <c r="BM6" s="29" t="s">
        <v>105</v>
      </c>
      <c r="BN6" s="29" t="s">
        <v>105</v>
      </c>
      <c r="BO6" s="29" t="s">
        <v>105</v>
      </c>
      <c r="BP6" s="29" t="s">
        <v>119</v>
      </c>
      <c r="BQ6" s="38">
        <v>26758</v>
      </c>
      <c r="BR6" s="38" t="s">
        <v>120</v>
      </c>
      <c r="BS6" s="38" t="s">
        <v>105</v>
      </c>
      <c r="BT6" s="38" t="s">
        <v>121</v>
      </c>
      <c r="BU6" s="29" t="s">
        <v>122</v>
      </c>
      <c r="BV6" s="29" t="s">
        <v>123</v>
      </c>
      <c r="BW6" s="29" t="s">
        <v>124</v>
      </c>
      <c r="BX6" s="39" t="s">
        <v>125</v>
      </c>
      <c r="BY6" s="29" t="s">
        <v>126</v>
      </c>
      <c r="BZ6" s="29" t="s">
        <v>127</v>
      </c>
      <c r="CA6" s="29" t="s">
        <v>128</v>
      </c>
      <c r="CB6" s="29" t="s">
        <v>129</v>
      </c>
      <c r="CC6" s="29" t="s">
        <v>192</v>
      </c>
    </row>
    <row r="7" spans="1:81" ht="14.4" customHeight="1">
      <c r="AA7" s="43"/>
      <c r="AB7" s="43"/>
      <c r="AC7" s="43"/>
      <c r="AL7" s="3"/>
    </row>
    <row r="8" spans="1:81" ht="14.4" customHeight="1">
      <c r="AA8" s="43"/>
      <c r="AB8" s="43"/>
      <c r="AC8" s="43"/>
      <c r="AL8" s="3"/>
    </row>
    <row r="9" spans="1:81" ht="14.4" customHeight="1">
      <c r="AA9" s="43"/>
      <c r="AB9" s="43"/>
      <c r="AC9" s="43"/>
      <c r="AL9" s="3"/>
    </row>
    <row r="10" spans="1:81" ht="14.4" customHeight="1">
      <c r="AA10" s="43"/>
      <c r="AB10" s="43"/>
      <c r="AC10" s="43"/>
      <c r="AL10" s="3"/>
    </row>
    <row r="11" spans="1:81" ht="14.4" customHeight="1">
      <c r="AA11" s="43"/>
      <c r="AB11" s="43"/>
      <c r="AC11" s="43"/>
      <c r="AL11" s="3"/>
    </row>
    <row r="12" spans="1:81" ht="14.4" customHeight="1">
      <c r="AA12" s="43"/>
      <c r="AB12" s="43"/>
      <c r="AC12" s="43"/>
      <c r="AL12" s="3"/>
    </row>
    <row r="13" spans="1:81" ht="14.4" customHeight="1">
      <c r="AA13" s="43"/>
      <c r="AB13" s="43"/>
      <c r="AC13" s="43"/>
      <c r="AL13" s="3"/>
    </row>
    <row r="14" spans="1:81" ht="14.4" customHeight="1">
      <c r="AA14" s="43"/>
      <c r="AB14" s="43"/>
      <c r="AC14" s="43"/>
      <c r="AL14" s="3"/>
    </row>
    <row r="15" spans="1:81" ht="14.4" customHeight="1">
      <c r="AA15" s="43"/>
      <c r="AB15" s="43"/>
      <c r="AC15" s="43"/>
      <c r="AL15" s="3"/>
    </row>
    <row r="16" spans="1:81" ht="14.4" customHeight="1">
      <c r="AA16" s="43"/>
      <c r="AB16" s="43"/>
      <c r="AC16" s="43"/>
      <c r="AL16" s="3"/>
    </row>
    <row r="17" spans="27:38" ht="14.4" customHeight="1">
      <c r="AA17" s="43"/>
      <c r="AB17" s="43"/>
      <c r="AC17" s="43"/>
      <c r="AL17" s="3"/>
    </row>
    <row r="18" spans="27:38" ht="14.4" customHeight="1">
      <c r="AA18" s="43"/>
      <c r="AB18" s="43"/>
      <c r="AC18" s="43"/>
      <c r="AL18" s="3"/>
    </row>
    <row r="19" spans="27:38" ht="14.4" customHeight="1">
      <c r="AA19" s="43"/>
      <c r="AB19" s="43"/>
      <c r="AC19" s="43"/>
      <c r="AL19" s="3"/>
    </row>
    <row r="20" spans="27:38" ht="14.4" customHeight="1">
      <c r="AA20" s="43"/>
      <c r="AB20" s="43"/>
      <c r="AC20" s="43"/>
      <c r="AL20" s="3"/>
    </row>
    <row r="21" spans="27:38" ht="14.4" customHeight="1">
      <c r="AA21" s="43"/>
      <c r="AB21" s="43"/>
      <c r="AC21" s="43"/>
    </row>
    <row r="22" spans="27:38" ht="14.4" customHeight="1">
      <c r="AA22" s="43"/>
      <c r="AB22" s="43"/>
      <c r="AC22" s="43"/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E2E Hires 2006</vt:lpstr>
      <vt:lpstr>_FilterDatabase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2025-06-20T08:44:32Z</dcterms:created>
  <dcterms:modified xsi:type="dcterms:W3CDTF">2025-07-20T02:53:10Z</dcterms:modified>
  <cp:category/>
  <cp:contentStatus/>
</cp:coreProperties>
</file>