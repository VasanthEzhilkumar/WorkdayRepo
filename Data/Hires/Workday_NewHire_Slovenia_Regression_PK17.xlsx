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0CA32C1-592B-4117-B9F9-94DFBEFF0B40}" xr6:coauthVersionLast="47" xr6:coauthVersionMax="47" xr10:uidLastSave="{00000000-0000-0000-0000-000000000000}"/>
  <bookViews>
    <workbookView xWindow="1900" yWindow="1900" windowWidth="14400" windowHeight="736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" i="1" l="1"/>
  <c r="AU3" i="1"/>
  <c r="AM3" i="1"/>
  <c r="AL3" i="1"/>
  <c r="AK3" i="1"/>
  <c r="AJ3" i="1"/>
  <c r="U3" i="1"/>
  <c r="K3" i="1"/>
  <c r="BU2" i="1"/>
  <c r="BQ2" i="1" a="1"/>
  <c r="BQ3" i="1" s="1"/>
  <c r="BC2" i="1" a="1"/>
  <c r="BC3" i="1" s="1"/>
  <c r="AX2" i="1" a="1"/>
  <c r="AX2" i="1" s="1"/>
  <c r="AU2" i="1"/>
  <c r="AM2" i="1"/>
  <c r="AL2" i="1"/>
  <c r="AK2" i="1"/>
  <c r="AJ2" i="1"/>
  <c r="U2" i="1"/>
  <c r="K2" i="1"/>
  <c r="BQ2" i="1" l="1"/>
  <c r="BC2" i="1"/>
  <c r="AX3" i="1"/>
</calcChain>
</file>

<file path=xl/sharedStrings.xml><?xml version="1.0" encoding="utf-8"?>
<sst xmlns="http://schemas.openxmlformats.org/spreadsheetml/2006/main" count="183" uniqueCount="117">
  <si>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</si>
  <si>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</si>
  <si>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</si>
  <si>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</si>
  <si>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</si>
  <si>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</si>
  <si>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</si>
  <si>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</si>
  <si>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</si>
  <si>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</si>
  <si>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</si>
  <si>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</si>
  <si>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</si>
  <si>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</si>
  <si>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</si>
  <si>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</si>
  <si>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</si>
  <si>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</si>
  <si>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</si>
  <si>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</si>
  <si>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</si>
  <si>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</si>
  <si>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</si>
  <si>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</si>
  <si>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</si>
  <si>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</si>
  <si>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</si>
  <si>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</si>
  <si>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</si>
  <si>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</si>
  <si>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</si>
  <si>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</si>
  <si>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</si>
  <si>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</si>
  <si>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</si>
  <si>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</si>
  <si>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</si>
  <si>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</si>
  <si>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</si>
  <si>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</si>
  <si>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</si>
  <si>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</si>
  <si>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</si>
  <si>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</si>
  <si>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</si>
  <si>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</si>
  <si>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</si>
  <si>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</si>
  <si>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</si>
  <si>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</si>
  <si>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</si>
  <si>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</si>
  <si>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</si>
  <si>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</si>
  <si>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</si>
  <si>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</si>
  <si>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</si>
  <si>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</si>
  <si>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</si>
  <si>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</si>
  <si>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</si>
  <si>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</si>
  <si>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</si>
  <si>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</si>
  <si>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</si>
  <si>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</si>
  <si>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</si>
  <si>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</si>
  <si>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</si>
  <si>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</si>
  <si>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</si>
  <si>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795 Store Management (Zogop Dogegy (On Leave) (10185858))</t>
  </si>
  <si>
    <t>Slovenia</t>
  </si>
  <si>
    <t>Jaqueline</t>
  </si>
  <si>
    <t>Haag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</si>
  <si>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</si>
  <si>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</si>
  <si>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</si>
  <si>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</si>
  <si>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</si>
  <si>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</si>
  <si>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</si>
  <si>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</si>
  <si>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84185324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</si>
  <si>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</si>
  <si>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</si>
  <si>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</si>
  <si>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</si>
  <si>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</si>
  <si>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</si>
  <si>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</si>
  <si>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</si>
  <si>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</si>
  <si>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</si>
  <si>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</si>
  <si>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</si>
  <si>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</si>
  <si>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</si>
  <si>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</si>
  <si>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</si>
  <si>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</si>
  <si>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</si>
  <si>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</si>
  <si>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</si>
  <si>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</si>
  <si>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</si>
  <si>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</si>
  <si>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</si>
  <si>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</si>
  <si>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</si>
  <si>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795 Recruitment (Zosig Depazi (10280602))</t>
  </si>
  <si>
    <t>Eladio</t>
  </si>
  <si>
    <t>Shanahan</t>
  </si>
  <si>
    <t>No</t>
  </si>
  <si>
    <t>Retail Assistant_NEW</t>
  </si>
  <si>
    <t>94 Retail Operatives</t>
  </si>
  <si>
    <t>01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</si>
</sst>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"/>
  <sheetViews>
    <sheetView tabSelected="1" zoomScale="115" zoomScaleNormal="115" workbookViewId="0">
      <selection activeCell="C1" sqref="C1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/>
      <c r="C2" s="11"/>
      <c r="D2" s="12" t="s">
        <v>71</v>
      </c>
      <c r="E2" s="13" t="s">
        <v>72</v>
      </c>
      <c r="F2" s="14" t="s">
        <v>73</v>
      </c>
      <c r="G2" s="14" t="s">
        <v>74</v>
      </c>
      <c r="H2" s="15" t="s">
        <v>75</v>
      </c>
      <c r="I2" s="16" t="s">
        <v>76</v>
      </c>
      <c r="J2" s="16" t="s">
        <v>77</v>
      </c>
      <c r="K2" s="17">
        <f t="shared" ref="K2:K3" ca="1" si="0">TODAY()-7</f>
        <v>45785</v>
      </c>
      <c r="L2" s="13" t="s">
        <v>72</v>
      </c>
      <c r="M2" s="18" t="s">
        <v>78</v>
      </c>
      <c r="N2" s="18" t="s">
        <v>79</v>
      </c>
      <c r="O2" s="19" t="s">
        <v>79</v>
      </c>
      <c r="P2" s="16">
        <v>1542</v>
      </c>
      <c r="Q2" s="16" t="s">
        <v>77</v>
      </c>
      <c r="R2" s="20" t="s">
        <v>80</v>
      </c>
      <c r="S2" s="21" t="s">
        <v>81</v>
      </c>
      <c r="T2" s="16" t="s">
        <v>77</v>
      </c>
      <c r="U2" s="22">
        <f t="shared" ref="U2:U3" ca="1" si="1">TODAY()-31</f>
        <v>45761</v>
      </c>
      <c r="V2" s="16" t="s">
        <v>82</v>
      </c>
      <c r="W2" s="23" t="s">
        <v>83</v>
      </c>
      <c r="X2" s="24" t="s">
        <v>84</v>
      </c>
      <c r="Y2" s="24" t="s">
        <v>85</v>
      </c>
      <c r="Z2" s="24" t="s">
        <v>86</v>
      </c>
      <c r="AA2" s="25">
        <v>795</v>
      </c>
      <c r="AB2" s="25" t="s">
        <v>87</v>
      </c>
      <c r="AC2" s="26">
        <v>40</v>
      </c>
      <c r="AD2" s="27" t="s">
        <v>88</v>
      </c>
      <c r="AE2" s="19" t="s">
        <v>89</v>
      </c>
      <c r="AF2" s="28" t="s">
        <v>88</v>
      </c>
      <c r="AG2" s="16" t="s">
        <v>90</v>
      </c>
      <c r="AH2" s="16" t="s">
        <v>91</v>
      </c>
      <c r="AI2" s="16" t="s">
        <v>88</v>
      </c>
      <c r="AJ2" s="17">
        <f t="shared" ref="AJ2:AL3" ca="1" si="2">TODAY()-31</f>
        <v>45761</v>
      </c>
      <c r="AK2" s="17">
        <f t="shared" ca="1" si="2"/>
        <v>45761</v>
      </c>
      <c r="AL2" s="17">
        <f t="shared" ca="1" si="2"/>
        <v>45761</v>
      </c>
      <c r="AM2" s="22" t="str">
        <f t="shared" ref="AM2:AM3" si="3">AF2</f>
        <v>N/A</v>
      </c>
      <c r="AN2" s="16">
        <v>92</v>
      </c>
      <c r="AO2" s="24" t="s">
        <v>92</v>
      </c>
      <c r="AP2" s="24" t="s">
        <v>93</v>
      </c>
      <c r="AQ2" s="24" t="s">
        <v>94</v>
      </c>
      <c r="AR2" s="19" t="s">
        <v>95</v>
      </c>
      <c r="AS2" s="13" t="s">
        <v>88</v>
      </c>
      <c r="AT2" s="13" t="s">
        <v>88</v>
      </c>
      <c r="AU2" s="17">
        <f t="shared" ref="AU2:AU3" ca="1" si="4">TODAY()+7</f>
        <v>45799</v>
      </c>
      <c r="AV2" s="13" t="s">
        <v>72</v>
      </c>
      <c r="AW2" s="29" t="s">
        <v>96</v>
      </c>
      <c r="AX2" s="30">
        <f t="array" aca="1" ref="AX2:AX3" ca="1">_xlfn.RANDARRAY(2,1,1023456789000,9999999999999,TRUE)</f>
        <v>4395871015030</v>
      </c>
      <c r="AY2" s="17" t="s">
        <v>97</v>
      </c>
      <c r="AZ2" s="17" t="s">
        <v>98</v>
      </c>
      <c r="BA2" s="13" t="s">
        <v>72</v>
      </c>
      <c r="BB2" s="29" t="s">
        <v>99</v>
      </c>
      <c r="BC2" s="30">
        <f t="array" aca="1" ref="BC2:BC3" ca="1">_xlfn.RANDARRAY(2,1,12345678,99999999,TRUE)</f>
        <v>27131599</v>
      </c>
      <c r="BD2" s="17" t="s">
        <v>97</v>
      </c>
      <c r="BE2" s="17" t="s">
        <v>100</v>
      </c>
      <c r="BF2" s="19" t="s">
        <v>101</v>
      </c>
      <c r="BG2" s="17" t="s">
        <v>97</v>
      </c>
      <c r="BH2" s="13" t="s">
        <v>102</v>
      </c>
      <c r="BI2" s="13" t="s">
        <v>72</v>
      </c>
      <c r="BJ2" s="13" t="s">
        <v>103</v>
      </c>
      <c r="BK2" s="31" t="s">
        <v>88</v>
      </c>
      <c r="BL2" s="13" t="s">
        <v>104</v>
      </c>
      <c r="BM2" s="32" t="s">
        <v>105</v>
      </c>
      <c r="BN2" s="13" t="s">
        <v>106</v>
      </c>
      <c r="BO2" s="13" t="s">
        <v>72</v>
      </c>
      <c r="BP2" s="13" t="s">
        <v>107</v>
      </c>
      <c r="BQ2" s="13">
        <f t="array" aca="1" ref="BQ2:BQ3" ca="1">_xlfn.RANDARRAY(2,1,12345,99999,TRUE)</f>
        <v>54696</v>
      </c>
      <c r="BR2" s="17">
        <v>44562</v>
      </c>
      <c r="BS2" s="17">
        <v>47119</v>
      </c>
      <c r="BT2" s="22">
        <v>44562</v>
      </c>
      <c r="BU2" s="22">
        <f t="shared" ref="BU2:BU3" ca="1" si="5">TODAY()+365</f>
        <v>46157</v>
      </c>
      <c r="BV2" s="16" t="s">
        <v>108</v>
      </c>
    </row>
    <row r="3" spans="1:74" ht="15.65" customHeight="1" x14ac:dyDescent="0.25">
      <c r="A3" s="1" t="s">
        <v>109</v>
      </c>
      <c r="C3" s="11"/>
      <c r="D3" s="12" t="s">
        <v>110</v>
      </c>
      <c r="E3" s="13" t="s">
        <v>72</v>
      </c>
      <c r="F3" s="14" t="s">
        <v>111</v>
      </c>
      <c r="G3" s="14" t="s">
        <v>112</v>
      </c>
      <c r="H3" s="15" t="s">
        <v>75</v>
      </c>
      <c r="I3" s="16" t="s">
        <v>76</v>
      </c>
      <c r="J3" s="16" t="s">
        <v>77</v>
      </c>
      <c r="K3" s="17">
        <f t="shared" ca="1" si="0"/>
        <v>45785</v>
      </c>
      <c r="L3" s="13" t="s">
        <v>72</v>
      </c>
      <c r="M3" s="18" t="s">
        <v>78</v>
      </c>
      <c r="N3" s="18" t="s">
        <v>79</v>
      </c>
      <c r="O3" s="19" t="s">
        <v>79</v>
      </c>
      <c r="P3" s="16">
        <v>1542</v>
      </c>
      <c r="Q3" s="16" t="s">
        <v>77</v>
      </c>
      <c r="R3" s="20" t="s">
        <v>80</v>
      </c>
      <c r="S3" s="21" t="s">
        <v>81</v>
      </c>
      <c r="T3" s="16" t="s">
        <v>77</v>
      </c>
      <c r="U3" s="22">
        <f t="shared" ca="1" si="1"/>
        <v>45761</v>
      </c>
      <c r="V3" s="16" t="s">
        <v>82</v>
      </c>
      <c r="W3" s="23" t="s">
        <v>113</v>
      </c>
      <c r="X3" s="24" t="s">
        <v>84</v>
      </c>
      <c r="Y3" s="24" t="s">
        <v>114</v>
      </c>
      <c r="Z3" s="24" t="s">
        <v>86</v>
      </c>
      <c r="AA3" s="25">
        <v>795</v>
      </c>
      <c r="AB3" s="25" t="s">
        <v>87</v>
      </c>
      <c r="AC3" s="26">
        <v>40</v>
      </c>
      <c r="AD3" s="27" t="s">
        <v>88</v>
      </c>
      <c r="AE3" s="19" t="s">
        <v>89</v>
      </c>
      <c r="AF3" s="28" t="s">
        <v>88</v>
      </c>
      <c r="AG3" s="16" t="s">
        <v>90</v>
      </c>
      <c r="AH3" s="16" t="s">
        <v>91</v>
      </c>
      <c r="AI3" s="16" t="s">
        <v>88</v>
      </c>
      <c r="AJ3" s="17">
        <f t="shared" ca="1" si="2"/>
        <v>45761</v>
      </c>
      <c r="AK3" s="17">
        <f t="shared" ca="1" si="2"/>
        <v>45761</v>
      </c>
      <c r="AL3" s="17">
        <f t="shared" ca="1" si="2"/>
        <v>45761</v>
      </c>
      <c r="AM3" s="22" t="str">
        <f t="shared" si="3"/>
        <v>N/A</v>
      </c>
      <c r="AN3" s="16" t="s">
        <v>115</v>
      </c>
      <c r="AO3" s="24" t="s">
        <v>116</v>
      </c>
      <c r="AP3" s="24" t="s">
        <v>93</v>
      </c>
      <c r="AQ3" s="24" t="s">
        <v>94</v>
      </c>
      <c r="AR3" s="19" t="s">
        <v>95</v>
      </c>
      <c r="AS3" s="13" t="s">
        <v>88</v>
      </c>
      <c r="AT3" s="13" t="s">
        <v>88</v>
      </c>
      <c r="AU3" s="17">
        <f t="shared" ca="1" si="4"/>
        <v>45799</v>
      </c>
      <c r="AV3" s="13" t="s">
        <v>72</v>
      </c>
      <c r="AW3" s="29" t="s">
        <v>96</v>
      </c>
      <c r="AX3" s="30">
        <f ca="1"/>
        <v>7329688276318</v>
      </c>
      <c r="AY3" s="17" t="s">
        <v>97</v>
      </c>
      <c r="AZ3" s="17" t="s">
        <v>98</v>
      </c>
      <c r="BA3" s="13" t="s">
        <v>72</v>
      </c>
      <c r="BB3" s="29" t="s">
        <v>99</v>
      </c>
      <c r="BC3" s="30">
        <f ca="1"/>
        <v>84265107</v>
      </c>
      <c r="BD3" s="17" t="s">
        <v>97</v>
      </c>
      <c r="BE3" s="17" t="s">
        <v>100</v>
      </c>
      <c r="BF3" s="19" t="s">
        <v>101</v>
      </c>
      <c r="BG3" s="17" t="s">
        <v>97</v>
      </c>
      <c r="BH3" s="13" t="s">
        <v>102</v>
      </c>
      <c r="BI3" s="13" t="s">
        <v>72</v>
      </c>
      <c r="BJ3" s="13" t="s">
        <v>103</v>
      </c>
      <c r="BK3" s="31" t="s">
        <v>88</v>
      </c>
      <c r="BL3" s="13" t="s">
        <v>104</v>
      </c>
      <c r="BM3" s="32" t="s">
        <v>105</v>
      </c>
      <c r="BN3" s="13" t="s">
        <v>106</v>
      </c>
      <c r="BO3" s="13" t="s">
        <v>72</v>
      </c>
      <c r="BP3" s="13" t="s">
        <v>107</v>
      </c>
      <c r="BQ3" s="13">
        <f ca="1"/>
        <v>40793</v>
      </c>
      <c r="BR3" s="17">
        <v>44562</v>
      </c>
      <c r="BS3" s="17">
        <v>47119</v>
      </c>
      <c r="BT3" s="22">
        <v>44562</v>
      </c>
      <c r="BU3" s="22">
        <f t="shared" ca="1" si="5"/>
        <v>46157</v>
      </c>
      <c r="BV3" s="16" t="s">
        <v>108</v>
      </c>
    </row>
  </sheetData>
  <dataValidations count="1">
    <dataValidation type="list" allowBlank="1" showInputMessage="1" showErrorMessage="1" sqref="AH2:AH3 V2:V3 T2:T3 Q2:Q3 J2:J3 BL2:BL3" xr:uid="{00000000-0002-0000-0000-000000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2025-05-15T17:14:34Z</dcterms:modified>
</cp:coreProperties>
</file>