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3D8D5D05-B564-4E02-ACD3-09512514D0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R3" i="1" s="1"/>
  <c r="L3" i="1"/>
  <c r="W3" i="1" s="1"/>
  <c r="AR2" i="1"/>
  <c r="AN2" i="1" a="1"/>
  <c r="AN3" i="1" s="1"/>
  <c r="L2" i="1"/>
  <c r="W2" i="1" s="1"/>
  <c r="AN2" i="1" l="1"/>
</calcChain>
</file>

<file path=xl/sharedStrings.xml><?xml version="1.0" encoding="utf-8"?>
<sst xmlns="http://schemas.openxmlformats.org/spreadsheetml/2006/main" count="180" uniqueCount="128">
  <si>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</si>
  <si>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</si>
  <si>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</si>
  <si>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</si>
  <si>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</si>
  <si>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</si>
  <si>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</si>
  <si>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</si>
  <si>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</si>
  <si>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</si>
  <si>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</si>
  <si>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</si>
  <si>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</si>
  <si>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</si>
  <si>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PostalCode</t>
  </si>
  <si>
    <t>City</t>
  </si>
  <si>
    <t>Province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</si>
  <si>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</si>
  <si>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</si>
  <si>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</si>
  <si>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</si>
  <si>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</si>
  <si>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</si>
  <si>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</si>
  <si>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</si>
  <si>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</si>
  <si>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</si>
  <si>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</si>
  <si>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</si>
  <si>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</si>
  <si>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</si>
  <si>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</si>
  <si>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</si>
  <si>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</si>
  <si>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Country1</t>
  </si>
  <si>
    <t>NationalIDType1</t>
  </si>
  <si>
    <t>NationalIDs</t>
  </si>
  <si>
    <t>ContractReason</t>
  </si>
  <si>
    <t>ContractType</t>
  </si>
  <si>
    <t>Status</t>
  </si>
  <si>
    <t>ContractEndDate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</si>
  <si>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</si>
  <si>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</si>
  <si>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</si>
  <si>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</si>
  <si>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</si>
  <si>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</si>
  <si>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</si>
  <si>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CitizenshipStatus</t>
  </si>
  <si>
    <t>PrimaryNationality</t>
  </si>
  <si>
    <t>GradeProfile</t>
  </si>
  <si>
    <t>Step</t>
  </si>
  <si>
    <t>Salary</t>
  </si>
  <si>
    <t>BankName</t>
  </si>
  <si>
    <t>BankIdentificationCode</t>
  </si>
  <si>
    <t>AccountNumber</t>
  </si>
  <si>
    <t>IBAN</t>
  </si>
  <si>
    <t>AccountType</t>
  </si>
  <si>
    <t>GivenName1</t>
  </si>
  <si>
    <t>FamilyName1</t>
  </si>
  <si>
    <t>Relationship</t>
  </si>
  <si>
    <t>PreferredLanguage</t>
  </si>
  <si>
    <t>PartnerRevenue</t>
  </si>
  <si>
    <t>ProposedPayGroup</t>
  </si>
  <si>
    <t>HourlyRegime</t>
  </si>
  <si>
    <t>Test1</t>
  </si>
  <si>
    <t>751 Retail Team 1 (Rykec Puvyjo (10528834) (Inherited))</t>
  </si>
  <si>
    <t>Belgium</t>
  </si>
  <si>
    <t>Mr</t>
  </si>
  <si>
    <t>Chester</t>
  </si>
  <si>
    <t>Walsh</t>
  </si>
  <si>
    <t>Landline</t>
  </si>
  <si>
    <t>Home</t>
  </si>
  <si>
    <t>Automation Street Name</t>
  </si>
  <si>
    <t>Brussels</t>
  </si>
  <si>
    <t>Brussels-Capital Region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</si>
  <si>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</si>
  <si>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</si>
  <si>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</si>
  <si>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</si>
  <si>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</si>
  <si>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</si>
  <si>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</si>
  <si>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751 Liege</t>
  </si>
  <si>
    <t>V2 BIS - (Job Qualifications-Belgium)</t>
  </si>
  <si>
    <t>5 Days (Belgium)</t>
  </si>
  <si>
    <t>N/A</t>
  </si>
  <si>
    <t>Automation Comments here….</t>
  </si>
  <si>
    <t>94 Retail Operative</t>
  </si>
  <si>
    <t>01 Accessories</t>
  </si>
  <si>
    <t>National Register Number</t>
  </si>
  <si>
    <t>More than 3 Months</t>
  </si>
  <si>
    <t>Contract Permanent</t>
  </si>
  <si>
    <t>Active</t>
  </si>
  <si>
    <t>Male</t>
  </si>
  <si>
    <t>Married</t>
  </si>
  <si>
    <t>28/10/2021</t>
  </si>
  <si>
    <t>Citizen (Belgium)</t>
  </si>
  <si>
    <t>B Belgium Retail Assistant Category II BIS- Experience 11</t>
  </si>
  <si>
    <t>CAT II BIS 1 Year Seniority</t>
  </si>
  <si>
    <t>Defaulted</t>
  </si>
  <si>
    <t>BANQUE NATIONALE DE BELGIQUE</t>
  </si>
  <si>
    <t>NBBEBEBB203</t>
  </si>
  <si>
    <t>7171717</t>
  </si>
  <si>
    <t>BE20100717171756</t>
  </si>
  <si>
    <t>Checking</t>
  </si>
  <si>
    <t>Howard</t>
  </si>
  <si>
    <t>Pollich</t>
  </si>
  <si>
    <t>Father</t>
  </si>
  <si>
    <t>English</t>
  </si>
  <si>
    <t>Independent spouse</t>
  </si>
  <si>
    <t>BE Monthly</t>
  </si>
  <si>
    <t>Variable | 35 | A35</t>
  </si>
  <si>
    <t>Test2</t>
  </si>
  <si>
    <t>751 Store Management (Rykec Puvyjo (10528834))</t>
  </si>
  <si>
    <t>Mme</t>
  </si>
  <si>
    <t>Else</t>
  </si>
  <si>
    <t>Schamberger</t>
  </si>
  <si>
    <t>Auto 26627314</t>
  </si>
  <si>
    <t>Fixed Term (Fixed Term)</t>
  </si>
  <si>
    <t>Store Manager_NEW</t>
  </si>
  <si>
    <t>V2 - (Job Qualifications-Belgium)</t>
  </si>
  <si>
    <t>92 Retail</t>
  </si>
  <si>
    <t>Female</t>
  </si>
  <si>
    <t>Belgium Retail - Store Manager (1st Store, 2nd Store, 3rd store)</t>
  </si>
  <si>
    <t xml:space="preserve">Store Manager - First Store </t>
  </si>
  <si>
    <t>AutomationTeam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</si>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</sst>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6"/>
      <color rgb="FF1F1F1F"/>
      <name val="Courier New"/>
      <family val="3"/>
    </font>
    <font>
      <sz val="11"/>
      <color rgb="FF8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1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6" xfId="0" applyBorder="1"/>
    <xf numFmtId="0" fontId="2" fillId="4" borderId="3" xfId="0" applyFont="1" applyFill="1" applyBorder="1"/>
    <xf numFmtId="0" fontId="0" fillId="4" borderId="3" xfId="0" applyFill="1" applyBorder="1"/>
    <xf numFmtId="0" fontId="0" fillId="0" borderId="3" xfId="0" applyBorder="1" applyAlignment="1" applyProtection="1">
      <alignment horizontal="left"/>
      <protection locked="0"/>
    </xf>
    <xf numFmtId="14" fontId="1" fillId="0" borderId="0" xfId="0" applyNumberFormat="1" applyFont="1" applyAlignment="1">
      <alignment horizontal="left"/>
    </xf>
    <xf numFmtId="0" fontId="0" fillId="0" borderId="3" xfId="0" applyBorder="1" applyProtection="1">
      <protection locked="0"/>
    </xf>
    <xf numFmtId="14" fontId="0" fillId="0" borderId="3" xfId="0" applyNumberFormat="1" applyBorder="1" applyAlignment="1">
      <alignment horizontal="left"/>
    </xf>
    <xf numFmtId="0" fontId="3" fillId="0" borderId="3" xfId="0" applyFont="1" applyBorder="1" applyProtection="1">
      <protection locked="0"/>
    </xf>
    <xf numFmtId="14" fontId="1" fillId="0" borderId="3" xfId="0" applyNumberFormat="1" applyFont="1" applyBorder="1" applyAlignment="1">
      <alignment horizontal="left"/>
    </xf>
    <xf numFmtId="0" fontId="0" fillId="4" borderId="3" xfId="0" applyFill="1" applyBorder="1" applyAlignment="1" applyProtection="1">
      <alignment horizontal="left"/>
      <protection locked="0"/>
    </xf>
    <xf numFmtId="0" fontId="4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5" fillId="0" borderId="0" xfId="0" applyFont="1"/>
    <xf numFmtId="164" fontId="0" fillId="0" borderId="3" xfId="0" applyNumberFormat="1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49" fontId="0" fillId="0" borderId="3" xfId="0" applyNumberFormat="1" applyBorder="1" applyAlignment="1" applyProtection="1">
      <alignment horizontal="left"/>
      <protection locked="0"/>
    </xf>
    <xf numFmtId="0" fontId="6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3"/>
  <sheetViews>
    <sheetView tabSelected="1" topLeftCell="AI1" zoomScale="115" zoomScaleNormal="115" workbookViewId="0">
      <selection activeCell="AN2" sqref="AN2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48.26953125" style="1" customWidth="1"/>
    <col min="5" max="5" width="7.453125" style="1" customWidth="1"/>
    <col min="6" max="6" width="5.54296875" style="1" customWidth="1"/>
    <col min="7" max="7" width="11" style="1" customWidth="1"/>
    <col min="8" max="8" width="16.6328125" style="1" customWidth="1"/>
    <col min="9" max="9" width="13" style="1" customWidth="1"/>
    <col min="10" max="10" width="11.54296875" style="1" customWidth="1"/>
    <col min="11" max="11" width="5.81640625" style="1" customWidth="1"/>
    <col min="12" max="12" width="11.81640625" style="1" customWidth="1"/>
    <col min="13" max="13" width="7.453125" style="1" customWidth="1"/>
    <col min="14" max="14" width="21.7265625" style="2" customWidth="1"/>
    <col min="15" max="15" width="13" style="1" customWidth="1"/>
    <col min="16" max="16" width="10.08984375" style="1" customWidth="1"/>
    <col min="17" max="17" width="7.6328125" style="1" customWidth="1"/>
    <col min="18" max="18" width="20.269531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2.1796875" style="1" customWidth="1"/>
    <col min="24" max="24" width="8.453125" style="1" customWidth="1"/>
    <col min="25" max="25" width="19.90625" style="1" customWidth="1"/>
    <col min="26" max="26" width="13.08984375" style="2" customWidth="1"/>
    <col min="27" max="27" width="18.6328125" style="1" customWidth="1"/>
    <col min="28" max="28" width="8.90625" style="1" customWidth="1"/>
    <col min="29" max="29" width="8.453125" style="1" customWidth="1"/>
    <col min="30" max="30" width="11.453125" style="1" customWidth="1"/>
    <col min="31" max="31" width="20.6328125" style="1" customWidth="1"/>
    <col min="32" max="32" width="31.08984375" style="1" customWidth="1"/>
    <col min="33" max="33" width="14.7265625" style="1" customWidth="1"/>
    <col min="34" max="34" width="18.6328125" style="1" customWidth="1"/>
    <col min="35" max="35" width="26.7265625" style="1" customWidth="1"/>
    <col min="36" max="36" width="16.6328125" style="1" customWidth="1"/>
    <col min="37" max="37" width="17.08984375" style="1" customWidth="1"/>
    <col min="38" max="38" width="8.453125" style="1" customWidth="1"/>
    <col min="39" max="40" width="22.453125" style="1" customWidth="1"/>
    <col min="41" max="41" width="18.1796875" style="1" customWidth="1"/>
    <col min="42" max="42" width="17.7265625" style="1" customWidth="1"/>
    <col min="43" max="43" width="5.90625" style="1" customWidth="1"/>
    <col min="44" max="44" width="15.08984375" style="1" customWidth="1"/>
    <col min="45" max="45" width="7" style="1" customWidth="1"/>
    <col min="46" max="46" width="10.7265625" style="1" customWidth="1"/>
    <col min="47" max="47" width="13.54296875" style="1" customWidth="1"/>
    <col min="48" max="48" width="20.26953125" style="1" customWidth="1"/>
    <col min="49" max="49" width="9.90625" style="1" customWidth="1"/>
    <col min="50" max="50" width="11.90625" style="1" customWidth="1"/>
    <col min="51" max="51" width="15.90625" style="1" customWidth="1"/>
    <col min="52" max="52" width="15" style="1" customWidth="1"/>
    <col min="53" max="53" width="16.36328125" style="2" customWidth="1"/>
    <col min="54" max="54" width="53.6328125" style="2" customWidth="1"/>
    <col min="55" max="55" width="23.7265625" style="2" customWidth="1"/>
    <col min="56" max="56" width="9" style="1" customWidth="1"/>
    <col min="57" max="57" width="30.08984375" style="1" customWidth="1"/>
    <col min="58" max="58" width="20.36328125" style="1" customWidth="1"/>
    <col min="59" max="59" width="14.453125" style="1" customWidth="1"/>
    <col min="60" max="60" width="17.08984375" style="1" customWidth="1"/>
    <col min="61" max="61" width="11.54296875" style="1" customWidth="1"/>
    <col min="62" max="62" width="15.453125" style="1" customWidth="1"/>
    <col min="63" max="64" width="11.08984375" style="1" customWidth="1"/>
    <col min="65" max="65" width="16.6328125" style="1" customWidth="1"/>
    <col min="66" max="66" width="18.08984375" style="1" customWidth="1"/>
    <col min="67" max="67" width="17.08984375" style="1" customWidth="1"/>
    <col min="68" max="68" width="16.54296875" style="1" customWidth="1"/>
  </cols>
  <sheetData>
    <row r="1" spans="1:68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10</v>
      </c>
      <c r="T1" s="4" t="s">
        <v>17</v>
      </c>
      <c r="U1" s="4" t="s">
        <v>18</v>
      </c>
      <c r="V1" s="4" t="s">
        <v>10</v>
      </c>
      <c r="W1" s="4" t="s">
        <v>19</v>
      </c>
      <c r="X1" s="4" t="s">
        <v>20</v>
      </c>
      <c r="Y1" s="5" t="s">
        <v>21</v>
      </c>
      <c r="Z1" s="6" t="s">
        <v>22</v>
      </c>
      <c r="AA1" s="7" t="s">
        <v>23</v>
      </c>
      <c r="AB1" s="8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9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9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10" t="s">
        <v>64</v>
      </c>
    </row>
    <row r="2" spans="1:68" ht="15.65" customHeight="1" x14ac:dyDescent="0.35">
      <c r="A2" s="1" t="s">
        <v>65</v>
      </c>
      <c r="B2" s="11"/>
      <c r="C2" s="12"/>
      <c r="D2" s="13" t="s">
        <v>66</v>
      </c>
      <c r="E2" s="14" t="s">
        <v>67</v>
      </c>
      <c r="F2" s="15" t="s">
        <v>68</v>
      </c>
      <c r="G2" s="16" t="s">
        <v>69</v>
      </c>
      <c r="H2" s="17" t="s">
        <v>70</v>
      </c>
      <c r="I2" s="18">
        <v>25041111</v>
      </c>
      <c r="J2" s="18" t="s">
        <v>71</v>
      </c>
      <c r="K2" s="18" t="s">
        <v>72</v>
      </c>
      <c r="L2" s="19">
        <f t="shared" ref="L2" ca="1" si="0">TODAY()-31</f>
        <v>45773</v>
      </c>
      <c r="M2" s="14" t="s">
        <v>67</v>
      </c>
      <c r="N2" s="20" t="s">
        <v>73</v>
      </c>
      <c r="O2" s="18">
        <v>38</v>
      </c>
      <c r="P2" s="18">
        <v>1000</v>
      </c>
      <c r="Q2" s="18" t="s">
        <v>74</v>
      </c>
      <c r="R2" s="18" t="s">
        <v>75</v>
      </c>
      <c r="S2" s="18" t="s">
        <v>72</v>
      </c>
      <c r="T2" s="21" t="s">
        <v>76</v>
      </c>
      <c r="U2" s="22" t="s">
        <v>77</v>
      </c>
      <c r="V2" s="18" t="s">
        <v>72</v>
      </c>
      <c r="W2" s="23">
        <f t="shared" ref="W2" ca="1" si="1">L2</f>
        <v>45773</v>
      </c>
      <c r="X2" s="18" t="s">
        <v>78</v>
      </c>
      <c r="Y2" s="24" t="s">
        <v>79</v>
      </c>
      <c r="Z2" t="s">
        <v>80</v>
      </c>
      <c r="AA2" s="25" t="s">
        <v>81</v>
      </c>
      <c r="AB2" t="s">
        <v>82</v>
      </c>
      <c r="AC2" s="1" t="s">
        <v>83</v>
      </c>
      <c r="AD2" s="1" t="s">
        <v>52</v>
      </c>
      <c r="AE2" s="26">
        <v>35</v>
      </c>
      <c r="AF2" s="27" t="s">
        <v>84</v>
      </c>
      <c r="AG2" t="s">
        <v>85</v>
      </c>
      <c r="AH2" s="19" t="s">
        <v>86</v>
      </c>
      <c r="AI2" s="18" t="s">
        <v>87</v>
      </c>
      <c r="AJ2" s="18" t="s">
        <v>88</v>
      </c>
      <c r="AK2" t="s">
        <v>89</v>
      </c>
      <c r="AL2" s="28" t="s">
        <v>67</v>
      </c>
      <c r="AM2" s="28" t="s">
        <v>90</v>
      </c>
      <c r="AN2" s="1">
        <f t="array" aca="1" ref="AN2:AN3" ca="1">_xlfn.RANDARRAY(2,1,12345678901,99999999999,TRUE)</f>
        <v>90131241829</v>
      </c>
      <c r="AO2" s="14" t="s">
        <v>91</v>
      </c>
      <c r="AP2" s="20" t="s">
        <v>92</v>
      </c>
      <c r="AQ2" s="20" t="s">
        <v>93</v>
      </c>
      <c r="AR2" s="19" t="str">
        <f>AH2</f>
        <v>N/A</v>
      </c>
      <c r="AS2" t="s">
        <v>94</v>
      </c>
      <c r="AT2" s="29">
        <v>35591</v>
      </c>
      <c r="AU2" s="30" t="s">
        <v>67</v>
      </c>
      <c r="AV2" s="28" t="s">
        <v>75</v>
      </c>
      <c r="AW2" s="30" t="s">
        <v>74</v>
      </c>
      <c r="AX2" s="30" t="s">
        <v>95</v>
      </c>
      <c r="AY2" s="31" t="s">
        <v>96</v>
      </c>
      <c r="AZ2" s="30" t="s">
        <v>97</v>
      </c>
      <c r="BA2" s="30" t="s">
        <v>67</v>
      </c>
      <c r="BB2" t="s">
        <v>98</v>
      </c>
      <c r="BC2" t="s">
        <v>99</v>
      </c>
      <c r="BD2" s="14" t="s">
        <v>100</v>
      </c>
      <c r="BE2" s="28" t="s">
        <v>101</v>
      </c>
      <c r="BF2" s="32" t="s">
        <v>102</v>
      </c>
      <c r="BG2" s="28" t="s">
        <v>103</v>
      </c>
      <c r="BH2" s="28" t="s">
        <v>104</v>
      </c>
      <c r="BI2" s="28" t="s">
        <v>105</v>
      </c>
      <c r="BJ2" s="30" t="s">
        <v>106</v>
      </c>
      <c r="BK2" s="30" t="s">
        <v>107</v>
      </c>
      <c r="BL2" s="30" t="s">
        <v>108</v>
      </c>
      <c r="BM2" s="30" t="s">
        <v>109</v>
      </c>
      <c r="BN2" s="30" t="s">
        <v>110</v>
      </c>
      <c r="BO2" s="18" t="s">
        <v>111</v>
      </c>
      <c r="BP2" s="33" t="s">
        <v>112</v>
      </c>
    </row>
    <row r="3" spans="1:68" ht="15.65" customHeight="1" x14ac:dyDescent="0.35">
      <c r="A3" s="1" t="s">
        <v>113</v>
      </c>
      <c r="C3" s="12"/>
      <c r="D3" s="13" t="s">
        <v>114</v>
      </c>
      <c r="E3" s="14" t="s">
        <v>67</v>
      </c>
      <c r="F3" s="15" t="s">
        <v>115</v>
      </c>
      <c r="G3" s="16" t="s">
        <v>116</v>
      </c>
      <c r="H3" s="17" t="s">
        <v>117</v>
      </c>
      <c r="I3" s="18">
        <v>25041111</v>
      </c>
      <c r="J3" s="18" t="s">
        <v>71</v>
      </c>
      <c r="K3" s="18" t="s">
        <v>72</v>
      </c>
      <c r="L3" s="19">
        <f t="shared" ref="L3" ca="1" si="2">TODAY()-31</f>
        <v>45773</v>
      </c>
      <c r="M3" s="14" t="s">
        <v>67</v>
      </c>
      <c r="N3" s="20" t="s">
        <v>73</v>
      </c>
      <c r="O3" s="18">
        <v>38</v>
      </c>
      <c r="P3" s="18">
        <v>1000</v>
      </c>
      <c r="Q3" s="18" t="s">
        <v>74</v>
      </c>
      <c r="R3" s="18" t="s">
        <v>75</v>
      </c>
      <c r="S3" s="18" t="s">
        <v>72</v>
      </c>
      <c r="T3" s="21" t="s">
        <v>76</v>
      </c>
      <c r="U3" s="22" t="s">
        <v>77</v>
      </c>
      <c r="V3" s="18" t="s">
        <v>72</v>
      </c>
      <c r="W3" s="23">
        <f t="shared" ref="W3" ca="1" si="3">L3</f>
        <v>45773</v>
      </c>
      <c r="X3" s="18" t="s">
        <v>78</v>
      </c>
      <c r="Y3" s="24" t="s">
        <v>118</v>
      </c>
      <c r="Z3" t="s">
        <v>119</v>
      </c>
      <c r="AA3" s="25" t="s">
        <v>120</v>
      </c>
      <c r="AB3" t="s">
        <v>82</v>
      </c>
      <c r="AC3" s="1" t="s">
        <v>83</v>
      </c>
      <c r="AD3" s="1" t="s">
        <v>52</v>
      </c>
      <c r="AE3" s="26">
        <v>35</v>
      </c>
      <c r="AF3" s="14" t="s">
        <v>121</v>
      </c>
      <c r="AG3" t="s">
        <v>85</v>
      </c>
      <c r="AH3" s="19">
        <f ca="1">TODAY()+365</f>
        <v>46169</v>
      </c>
      <c r="AI3" s="18" t="s">
        <v>87</v>
      </c>
      <c r="AJ3" s="18" t="s">
        <v>122</v>
      </c>
      <c r="AK3" s="1">
        <v>251</v>
      </c>
      <c r="AL3" s="28" t="s">
        <v>67</v>
      </c>
      <c r="AM3" s="28" t="s">
        <v>90</v>
      </c>
      <c r="AN3" s="1">
        <f ca="1"/>
        <v>38394683643</v>
      </c>
      <c r="AO3" s="14" t="s">
        <v>91</v>
      </c>
      <c r="AP3" s="20" t="s">
        <v>119</v>
      </c>
      <c r="AQ3" s="20" t="s">
        <v>93</v>
      </c>
      <c r="AR3" s="19">
        <f t="shared" ref="AR3" ca="1" si="4">AH3</f>
        <v>46169</v>
      </c>
      <c r="AS3" t="s">
        <v>123</v>
      </c>
      <c r="AT3" s="29">
        <v>35591</v>
      </c>
      <c r="AU3" s="30" t="s">
        <v>67</v>
      </c>
      <c r="AV3" s="28" t="s">
        <v>75</v>
      </c>
      <c r="AW3" s="30" t="s">
        <v>74</v>
      </c>
      <c r="AX3" s="30" t="s">
        <v>95</v>
      </c>
      <c r="AY3" s="31" t="s">
        <v>96</v>
      </c>
      <c r="AZ3" s="30" t="s">
        <v>97</v>
      </c>
      <c r="BA3" s="30" t="s">
        <v>67</v>
      </c>
      <c r="BB3" s="34" t="s">
        <v>124</v>
      </c>
      <c r="BC3" t="s">
        <v>125</v>
      </c>
      <c r="BD3" s="14" t="s">
        <v>100</v>
      </c>
      <c r="BE3" s="28" t="s">
        <v>101</v>
      </c>
      <c r="BF3" s="32" t="s">
        <v>102</v>
      </c>
      <c r="BG3" s="28" t="s">
        <v>103</v>
      </c>
      <c r="BH3" s="28" t="s">
        <v>104</v>
      </c>
      <c r="BI3" s="28" t="s">
        <v>105</v>
      </c>
      <c r="BJ3" s="30" t="s">
        <v>126</v>
      </c>
      <c r="BK3" s="30" t="s">
        <v>127</v>
      </c>
      <c r="BL3" s="30" t="s">
        <v>108</v>
      </c>
      <c r="BM3" s="30" t="s">
        <v>109</v>
      </c>
      <c r="BN3" s="30" t="s">
        <v>110</v>
      </c>
      <c r="BO3" s="18" t="s">
        <v>111</v>
      </c>
      <c r="BP3" s="33" t="s">
        <v>112</v>
      </c>
    </row>
  </sheetData>
  <dataValidations count="1">
    <dataValidation type="list" allowBlank="1" showInputMessage="1" showErrorMessage="1" sqref="AQ2:AQ3 X2:X3 V2:V3 S2:S3 K2:K3 BI2:BI3 AX2:AX3" xr:uid="{00000000-0002-0000-0000-000000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2025-05-27T04:23:25Z</dcterms:modified>
</cp:coreProperties>
</file>