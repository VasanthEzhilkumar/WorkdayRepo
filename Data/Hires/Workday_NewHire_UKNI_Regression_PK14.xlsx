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C176BDB7-2C0D-4870-875E-BB3A3AB95423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2" r:id="rId1"/>
  </sheets>
  <definedNames>
    <definedName name="_xlnm._FilterDatabase">Sheet1!$A$1:$BI$16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6" i="2" l="1"/>
  <c r="Y16" i="2"/>
  <c r="X16" i="2"/>
  <c r="AK15" i="2"/>
  <c r="Y15" i="2"/>
  <c r="X15" i="2"/>
  <c r="X14" i="2"/>
  <c r="Y14" i="2" s="1"/>
  <c r="X13" i="2"/>
  <c r="Y13" i="2" s="1"/>
  <c r="AK12" i="2"/>
  <c r="X12" i="2"/>
  <c r="Y12" i="2" s="1"/>
  <c r="Y11" i="2"/>
  <c r="X11" i="2"/>
  <c r="X10" i="2"/>
  <c r="Y10" i="2" s="1"/>
  <c r="Y9" i="2"/>
  <c r="X9" i="2"/>
  <c r="X8" i="2"/>
  <c r="Y8" i="2" s="1"/>
  <c r="AK7" i="2"/>
  <c r="X7" i="2"/>
  <c r="Y7" i="2" s="1"/>
  <c r="X6" i="2"/>
  <c r="Y6" i="2" s="1"/>
  <c r="AK5" i="2"/>
  <c r="X5" i="2"/>
  <c r="Y5" i="2" s="1"/>
  <c r="Y4" i="2"/>
  <c r="X4" i="2"/>
  <c r="X3" i="2"/>
  <c r="Y3" i="2" s="1"/>
  <c r="Y2" i="2"/>
  <c r="X2" i="2"/>
</calcChain>
</file>

<file path=xl/sharedStrings.xml><?xml version="1.0" encoding="utf-8"?>
<sst xmlns="http://schemas.openxmlformats.org/spreadsheetml/2006/main" count="848" uniqueCount="226">
  <si>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</si>
  <si>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</si>
  <si>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</si>
  <si>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</si>
  <si>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</si>
  <si>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</si>
  <si>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</si>
  <si>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</si>
  <si>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</si>
  <si>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</si>
  <si>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</si>
  <si>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</si>
  <si>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</si>
  <si>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AddressLine1</t>
  </si>
  <si>
    <t>AddressLine2</t>
  </si>
  <si>
    <t>AddressLine3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</si>
  <si>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</si>
  <si>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</si>
  <si>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</si>
  <si>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</si>
  <si>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</si>
  <si>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</si>
  <si>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</si>
  <si>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</si>
  <si>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</si>
  <si>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</si>
  <si>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</si>
  <si>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</si>
  <si>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</si>
  <si>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</si>
  <si>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</si>
  <si>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</si>
  <si>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</si>
  <si>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</si>
  <si>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</si>
  <si>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</si>
  <si>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</si>
  <si>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</si>
  <si>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</si>
  <si>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Salary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</si>
  <si>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</si>
  <si>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</si>
  <si>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</si>
  <si>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</si>
  <si>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</si>
  <si>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</si>
  <si>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</si>
  <si>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</si>
  <si>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</si>
  <si>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</si>
  <si>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</si>
  <si>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Religion</t>
  </si>
  <si>
    <t>PrimaryNationality</t>
  </si>
  <si>
    <t>BankName</t>
  </si>
  <si>
    <t>BankSortCode</t>
  </si>
  <si>
    <t>AccountNumber</t>
  </si>
  <si>
    <t>AccountType</t>
  </si>
  <si>
    <t>ProposedPayGroupFinal</t>
  </si>
  <si>
    <t>Observation</t>
  </si>
  <si>
    <t>Test1</t>
  </si>
  <si>
    <t>10697964</t>
  </si>
  <si>
    <t>Passed</t>
  </si>
  <si>
    <t>519 Recruitment (Zerab Sepupu (9575064) (Inherited))</t>
  </si>
  <si>
    <t>United Kingdom</t>
  </si>
  <si>
    <t>Mr.</t>
  </si>
  <si>
    <t>UkOne</t>
  </si>
  <si>
    <t>TwentyFiveAprilTwentyOne</t>
  </si>
  <si>
    <t>161 923 4772</t>
  </si>
  <si>
    <t>Landline</t>
  </si>
  <si>
    <t>Home</t>
  </si>
  <si>
    <t>Avon</t>
  </si>
  <si>
    <t>Automation Street Name</t>
  </si>
  <si>
    <t>106 - 122 Market St, Manchester</t>
  </si>
  <si>
    <t>Londan</t>
  </si>
  <si>
    <t>M1 1WA</t>
  </si>
  <si>
    <t>Manchester</t>
  </si>
  <si>
    <t>Street Address</t>
  </si>
  <si>
    <t>Testharsh121@gmail.com</t>
  </si>
  <si>
    <t>New Hire</t>
  </si>
  <si>
    <t>No</t>
  </si>
  <si>
    <t>Permanent</t>
  </si>
  <si>
    <t>Retail Assistant</t>
  </si>
  <si>
    <t>Full time</t>
  </si>
  <si>
    <t>Hourly</t>
  </si>
  <si>
    <t>1@2@3@4@5@000</t>
  </si>
  <si>
    <t>5 Days</t>
  </si>
  <si>
    <t>N/A</t>
  </si>
  <si>
    <t>Automation Comments here….</t>
  </si>
  <si>
    <t>94 Retail Operative</t>
  </si>
  <si>
    <t>01 Accessories</t>
  </si>
  <si>
    <t>GB Retail Assistant - Compensation Group National (23+)</t>
  </si>
  <si>
    <t>Defaulted</t>
  </si>
  <si>
    <t>National Insurance (NI) Number</t>
  </si>
  <si>
    <t>AB911865A</t>
  </si>
  <si>
    <t>Male</t>
  </si>
  <si>
    <t>London</t>
  </si>
  <si>
    <t>Married (United Kingdom)</t>
  </si>
  <si>
    <t>28/10/2021</t>
  </si>
  <si>
    <t>White - Irish</t>
  </si>
  <si>
    <t>Hindu</t>
  </si>
  <si>
    <t>UK Bank</t>
  </si>
  <si>
    <t>Checking</t>
  </si>
  <si>
    <t>UK Staff Group 30</t>
  </si>
  <si>
    <t>Test2</t>
  </si>
  <si>
    <t xml:space="preserve">Test failed for 'UkTwo TwentyFiveAprilTwentyOne' Employee:{10697965}TimeoutError: locator.click: Timeout 30000ms exceeded.
Call log:
  [2m- waiting for locator('//div[@data-automation-id="tooltipsWrapper"]/button[@data-automation-id="inbox_preview"]').first()[22m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#55[22m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#56[22m
[2m  -   waiting 500ms[22m
[2m  -   waiting for element to be visible, enabled and stable[22m
[2m  -   element is visible, enabled and stable[22m
[2m  -   scrolling into view if needed[22m
[2m  -   done scrolling[22m
[2m  -   &lt;div role="none" class="css-1jo90af"&gt;…&lt;/div&gt; from &lt;section aria-live="polite" aria-label="Notifications"&gt;…&lt;/section&gt; subtree intercepts pointer events[22m
[2m  - retrying click action, attempt #57[22m
[2m  -   waiting 500ms[22m
</t>
  </si>
  <si>
    <t>Failed</t>
  </si>
  <si>
    <t>519 Store Management (Zerab Sepupu (9575064))</t>
  </si>
  <si>
    <t>UkTwo</t>
  </si>
  <si>
    <t>Auto 56568486</t>
  </si>
  <si>
    <t>Store Manager</t>
  </si>
  <si>
    <t xml:space="preserve">92 Retail Management </t>
  </si>
  <si>
    <t xml:space="preserve">251 Management Retail </t>
  </si>
  <si>
    <t>AB911866A</t>
  </si>
  <si>
    <t>UK Management Group 60</t>
  </si>
  <si>
    <t>Test3</t>
  </si>
  <si>
    <t>Test failed for 'UkThree TwentyFiveAprilTwentyOne' Employee: Errors and AlertsErrorPage Error- You have not entered an amount within the Compensation Guidelines.     (Employee Compensation Event For Hire Employee) &amp; find failed Screenshot Path:-&gt;H:\WorkdayPlaywright/WorkdayFailedScreenshot/2025-04-21T07-30-16-183Z.png</t>
  </si>
  <si>
    <t>UkThree</t>
  </si>
  <si>
    <t>Auto 79087609</t>
  </si>
  <si>
    <t>Assistant Manager</t>
  </si>
  <si>
    <t>AB911867A</t>
  </si>
  <si>
    <t>Passed after removing Grade Profile and Step</t>
  </si>
  <si>
    <t>Test4</t>
  </si>
  <si>
    <t>10697966</t>
  </si>
  <si>
    <t>UkFour</t>
  </si>
  <si>
    <t>Auto 73423397</t>
  </si>
  <si>
    <t>Fixed Term (Fixed Term)</t>
  </si>
  <si>
    <t>Department Manager</t>
  </si>
  <si>
    <t>50000</t>
  </si>
  <si>
    <t>AB911868A</t>
  </si>
  <si>
    <t>UK Department Manager 1</t>
  </si>
  <si>
    <t>Initial Step-UK DM1</t>
  </si>
  <si>
    <t>Test5</t>
  </si>
  <si>
    <t>10697967</t>
  </si>
  <si>
    <t>UkFive</t>
  </si>
  <si>
    <t>Auto 80768499</t>
  </si>
  <si>
    <t>Team Manager - Retail</t>
  </si>
  <si>
    <t>Part time</t>
  </si>
  <si>
    <t>AB911869A</t>
  </si>
  <si>
    <t>Retail - Team Manager</t>
  </si>
  <si>
    <t>Initial Step-GB TM</t>
  </si>
  <si>
    <t>Test6</t>
  </si>
  <si>
    <t>10697968</t>
  </si>
  <si>
    <t>UkSix</t>
  </si>
  <si>
    <t>Auto 69473062</t>
  </si>
  <si>
    <t>Visual Merchandising Manager</t>
  </si>
  <si>
    <t>AB911870A</t>
  </si>
  <si>
    <t>UK Visual Merchandising Manager 1</t>
  </si>
  <si>
    <t>Initial Step-GB VM1</t>
  </si>
  <si>
    <t>Test7</t>
  </si>
  <si>
    <t>10697969</t>
  </si>
  <si>
    <t>UkSeven</t>
  </si>
  <si>
    <t>Auto 13611941</t>
  </si>
  <si>
    <t>P&amp;C Manager Stores</t>
  </si>
  <si>
    <t>AB911871A</t>
  </si>
  <si>
    <t>UK Assistant Manager</t>
  </si>
  <si>
    <t xml:space="preserve">Initial Step-UK AM </t>
  </si>
  <si>
    <t>Test8</t>
  </si>
  <si>
    <t>10697970</t>
  </si>
  <si>
    <t>UkEight</t>
  </si>
  <si>
    <t>261 Tills</t>
  </si>
  <si>
    <t>AB911872A</t>
  </si>
  <si>
    <t>Test9</t>
  </si>
  <si>
    <t>10697971</t>
  </si>
  <si>
    <t>UkNine</t>
  </si>
  <si>
    <t>Visual Merchandiser</t>
  </si>
  <si>
    <t>256 Visual Merchandising</t>
  </si>
  <si>
    <t>VM Hourly Rates - Pay Zone National - 23 Years and Over</t>
  </si>
  <si>
    <t>Initial Step-GB VM Nat -23+</t>
  </si>
  <si>
    <t>AB911873A</t>
  </si>
  <si>
    <t>Test10</t>
  </si>
  <si>
    <t>10697972</t>
  </si>
  <si>
    <t>UkTen</t>
  </si>
  <si>
    <t>Supervisor</t>
  </si>
  <si>
    <t>250 Human Resources Retail</t>
  </si>
  <si>
    <t>AB911874A</t>
  </si>
  <si>
    <t>Test11</t>
  </si>
  <si>
    <t>Test failed for 'UkEleven TwentyFiveAprilTwentyOne' Employee: Errors and AlertsErrorPage Error- You have not entered an amount within the Compensation Guidelines.     (Employee Compensation Event For Hire Employee) &amp; find failed Screenshot Path:-&gt;H:\WorkdayPlaywright/WorkdayFailedScreenshot/2025-04-21T09-06-07-602Z.png</t>
  </si>
  <si>
    <t>UkEleven</t>
  </si>
  <si>
    <t>Auto 19785937</t>
  </si>
  <si>
    <t>AB911875A</t>
  </si>
  <si>
    <t>Test12</t>
  </si>
  <si>
    <t>10697973</t>
  </si>
  <si>
    <t>UkTwelve</t>
  </si>
  <si>
    <t>Auto 913764</t>
  </si>
  <si>
    <t>AB911876A</t>
  </si>
  <si>
    <t>Test13</t>
  </si>
  <si>
    <t>10697974</t>
  </si>
  <si>
    <t>457 Recruitment (Vyzeb Vizupe (9457836))</t>
  </si>
  <si>
    <t>Ms</t>
  </si>
  <si>
    <t>UkThirteen</t>
  </si>
  <si>
    <t>Antrim</t>
  </si>
  <si>
    <t>79 Botanic Ave</t>
  </si>
  <si>
    <t>High Street</t>
  </si>
  <si>
    <t>Belfast</t>
  </si>
  <si>
    <t>BT11JL</t>
  </si>
  <si>
    <t>3 Days</t>
  </si>
  <si>
    <t>08 Ladieswear</t>
  </si>
  <si>
    <t>NI Retail Assistant (Probationary 23+)</t>
  </si>
  <si>
    <t>NI Retail Assistant</t>
  </si>
  <si>
    <t>AB911877A</t>
  </si>
  <si>
    <t>Female</t>
  </si>
  <si>
    <t>Civil Partnership</t>
  </si>
  <si>
    <t>White - Gypsy or Irish Traveller</t>
  </si>
  <si>
    <t>Protestant</t>
  </si>
  <si>
    <t>Barclays Bank</t>
  </si>
  <si>
    <t>UK NI Group 40</t>
  </si>
  <si>
    <t>Test14</t>
  </si>
  <si>
    <t>10697975</t>
  </si>
  <si>
    <t xml:space="preserve">Mr. </t>
  </si>
  <si>
    <t>UkFourteen</t>
  </si>
  <si>
    <t>Intern</t>
  </si>
  <si>
    <t>Part Time</t>
  </si>
  <si>
    <t>07 Footwear</t>
  </si>
  <si>
    <t>AB911878A</t>
  </si>
  <si>
    <t>20/06/2004</t>
  </si>
  <si>
    <t>Registered Partnership</t>
  </si>
  <si>
    <t>15/04/2023</t>
  </si>
  <si>
    <t>Test15</t>
  </si>
  <si>
    <t>10697976</t>
  </si>
  <si>
    <t>UkFifteen</t>
  </si>
  <si>
    <t>Temporary</t>
  </si>
  <si>
    <t>Full Time</t>
  </si>
  <si>
    <t>255 Stockroom</t>
  </si>
  <si>
    <t>AB911879A</t>
  </si>
  <si>
    <t>31/10/2000</t>
  </si>
  <si>
    <t>Mixed/Multiple Ethnic Groups - White and Black Carribbean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</si>
</sst>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rgb="FF040C28"/>
      <name val="Calibri Light"/>
      <family val="2"/>
      <scheme val="major"/>
    </font>
    <font>
      <u/>
      <sz val="10"/>
      <color theme="10"/>
      <name val="Calibri Light"/>
      <family val="2"/>
      <scheme val="major"/>
    </font>
    <font>
      <sz val="10"/>
      <color rgb="FF4A4A4A"/>
      <name val="Calibri Light"/>
      <family val="2"/>
      <scheme val="major"/>
    </font>
    <font>
      <sz val="1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0" xfId="0" applyFont="1"/>
    <xf numFmtId="0" fontId="4" fillId="4" borderId="0" xfId="0" applyFont="1" applyFill="1"/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/>
    <xf numFmtId="0" fontId="4" fillId="5" borderId="2" xfId="0" applyFont="1" applyFill="1" applyBorder="1"/>
    <xf numFmtId="0" fontId="4" fillId="3" borderId="2" xfId="0" applyFont="1" applyFill="1" applyBorder="1"/>
    <xf numFmtId="0" fontId="4" fillId="0" borderId="2" xfId="0" applyFont="1" applyBorder="1" applyAlignment="1" applyProtection="1">
      <alignment horizontal="left"/>
      <protection locked="0"/>
    </xf>
    <xf numFmtId="14" fontId="4" fillId="3" borderId="0" xfId="0" applyNumberFormat="1" applyFont="1" applyFill="1" applyAlignment="1">
      <alignment horizontal="left"/>
    </xf>
    <xf numFmtId="0" fontId="4" fillId="0" borderId="2" xfId="0" applyFont="1" applyBorder="1" applyProtection="1">
      <protection locked="0"/>
    </xf>
    <xf numFmtId="0" fontId="6" fillId="0" borderId="0" xfId="0" applyFont="1"/>
    <xf numFmtId="14" fontId="4" fillId="0" borderId="2" xfId="0" applyNumberFormat="1" applyFont="1" applyBorder="1" applyAlignment="1">
      <alignment horizontal="left"/>
    </xf>
    <xf numFmtId="0" fontId="7" fillId="0" borderId="2" xfId="0" applyFont="1" applyBorder="1" applyProtection="1">
      <protection locked="0"/>
    </xf>
    <xf numFmtId="14" fontId="5" fillId="0" borderId="2" xfId="0" applyNumberFormat="1" applyFont="1" applyBorder="1" applyAlignment="1">
      <alignment horizontal="left"/>
    </xf>
    <xf numFmtId="0" fontId="4" fillId="5" borderId="2" xfId="0" applyFont="1" applyFill="1" applyBorder="1" applyAlignment="1" applyProtection="1">
      <alignment horizontal="left"/>
      <protection locked="0"/>
    </xf>
    <xf numFmtId="0" fontId="8" fillId="0" borderId="2" xfId="0" applyFont="1" applyBorder="1"/>
    <xf numFmtId="0" fontId="9" fillId="0" borderId="0" xfId="0" applyFont="1"/>
    <xf numFmtId="0" fontId="4" fillId="0" borderId="0" xfId="0" applyFont="1" applyAlignment="1">
      <alignment horizontal="left"/>
    </xf>
    <xf numFmtId="0" fontId="9" fillId="0" borderId="2" xfId="0" applyFont="1" applyBorder="1" applyAlignment="1" applyProtection="1">
      <alignment horizontal="left" wrapText="1"/>
      <protection locked="0"/>
    </xf>
    <xf numFmtId="0" fontId="7" fillId="0" borderId="2" xfId="0" applyFont="1" applyBorder="1" applyAlignment="1">
      <alignment horizontal="left"/>
    </xf>
    <xf numFmtId="14" fontId="5" fillId="0" borderId="0" xfId="0" applyNumberFormat="1" applyFont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164" fontId="4" fillId="0" borderId="1" xfId="0" applyNumberFormat="1" applyFont="1" applyBorder="1" applyAlignment="1" applyProtection="1">
      <alignment horizontal="left"/>
      <protection locked="0"/>
    </xf>
    <xf numFmtId="164" fontId="4" fillId="0" borderId="4" xfId="0" applyNumberFormat="1" applyFont="1" applyBorder="1" applyAlignment="1" applyProtection="1">
      <alignment horizontal="left"/>
      <protection locked="0"/>
    </xf>
    <xf numFmtId="0" fontId="4" fillId="0" borderId="0" xfId="0" applyFont="1" applyAlignment="1">
      <alignment wrapText="1"/>
    </xf>
    <xf numFmtId="0" fontId="4" fillId="6" borderId="2" xfId="0" applyFont="1" applyFill="1" applyBorder="1"/>
    <xf numFmtId="0" fontId="4" fillId="7" borderId="2" xfId="0" applyFont="1" applyFill="1" applyBorder="1" applyAlignment="1">
      <alignment horizontal="left"/>
    </xf>
    <xf numFmtId="0" fontId="4" fillId="7" borderId="3" xfId="0" applyFont="1" applyFill="1" applyBorder="1"/>
    <xf numFmtId="0" fontId="4" fillId="7" borderId="2" xfId="0" applyFont="1" applyFill="1" applyBorder="1" applyAlignment="1" applyProtection="1">
      <alignment horizontal="left"/>
      <protection locked="0"/>
    </xf>
    <xf numFmtId="14" fontId="4" fillId="7" borderId="2" xfId="0" applyNumberFormat="1" applyFont="1" applyFill="1" applyBorder="1" applyAlignment="1">
      <alignment horizontal="left"/>
    </xf>
    <xf numFmtId="0" fontId="7" fillId="7" borderId="2" xfId="0" applyFont="1" applyFill="1" applyBorder="1" applyProtection="1">
      <protection locked="0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4" fillId="3" borderId="2" xfId="0" applyFont="1" applyFill="1" applyBorder="1" applyAlignment="1" applyProtection="1">
      <alignment horizontal="left" wrapText="1"/>
      <protection locked="0"/>
    </xf>
    <xf numFmtId="0" fontId="7" fillId="3" borderId="2" xfId="0" applyFont="1" applyFill="1" applyBorder="1" applyAlignment="1">
      <alignment horizontal="left"/>
    </xf>
    <xf numFmtId="14" fontId="5" fillId="3" borderId="0" xfId="0" applyNumberFormat="1" applyFont="1" applyFill="1" applyAlignment="1">
      <alignment horizontal="left"/>
    </xf>
    <xf numFmtId="0" fontId="4" fillId="3" borderId="2" xfId="0" applyFont="1" applyFill="1" applyBorder="1" applyAlignment="1" applyProtection="1">
      <alignment horizontal="left"/>
      <protection locked="0"/>
    </xf>
    <xf numFmtId="164" fontId="4" fillId="3" borderId="1" xfId="0" applyNumberFormat="1" applyFont="1" applyFill="1" applyBorder="1" applyAlignment="1" applyProtection="1">
      <alignment horizontal="left"/>
      <protection locked="0"/>
    </xf>
    <xf numFmtId="164" fontId="4" fillId="3" borderId="4" xfId="0" applyNumberFormat="1" applyFont="1" applyFill="1" applyBorder="1" applyAlignment="1" applyProtection="1">
      <alignment horizontal="left"/>
      <protection locked="0"/>
    </xf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18" Type="http://schemas.openxmlformats.org/officeDocument/2006/relationships/hyperlink" Target="mailto:Testharsh121@gmail.com" TargetMode="External"/><Relationship Id="rId3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7" Type="http://schemas.openxmlformats.org/officeDocument/2006/relationships/hyperlink" Target="mailto:1@2@3@4@5@000" TargetMode="External"/><Relationship Id="rId2" Type="http://schemas.openxmlformats.org/officeDocument/2006/relationships/hyperlink" Target="mailto:1@2@3@4@5@000" TargetMode="External"/><Relationship Id="rId16" Type="http://schemas.openxmlformats.org/officeDocument/2006/relationships/hyperlink" Target="mailto:Testharsh121@gmail.com" TargetMode="External"/><Relationship Id="rId1" Type="http://schemas.openxmlformats.org/officeDocument/2006/relationships/hyperlink" Target="mailto:Testharsh121@gmail.com" TargetMode="External"/><Relationship Id="rId6" Type="http://schemas.openxmlformats.org/officeDocument/2006/relationships/hyperlink" Target="mailto:1@2@3@4@5@000" TargetMode="External"/><Relationship Id="rId11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19" Type="http://schemas.openxmlformats.org/officeDocument/2006/relationships/hyperlink" Target="mailto:Testharsh121@gmail.com" TargetMode="External"/><Relationship Id="rId4" Type="http://schemas.openxmlformats.org/officeDocument/2006/relationships/hyperlink" Target="mailto:1@2@3@4@5@000" TargetMode="External"/><Relationship Id="rId9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6"/>
  <sheetViews>
    <sheetView tabSelected="1" zoomScaleNormal="100" workbookViewId="0">
      <selection activeCell="D21" sqref="D21"/>
    </sheetView>
  </sheetViews>
  <sheetFormatPr defaultRowHeight="15.6" customHeight="1" x14ac:dyDescent="0.3"/>
  <cols>
    <col min="1" max="1" width="12.21875" style="1" customWidth="1"/>
    <col min="2" max="2" width="9.21875" style="1" customWidth="1"/>
    <col min="3" max="3" width="10" style="1" customWidth="1"/>
    <col min="4" max="4" width="44" style="1" customWidth="1"/>
    <col min="5" max="5" width="15.44140625" style="1" customWidth="1"/>
    <col min="6" max="6" width="6.33203125" style="1" customWidth="1"/>
    <col min="7" max="7" width="11.44140625" style="1" customWidth="1"/>
    <col min="8" max="8" width="12.21875" style="1" customWidth="1"/>
    <col min="9" max="9" width="13.44140625" style="1" customWidth="1"/>
    <col min="10" max="10" width="12.6640625" style="1" customWidth="1"/>
    <col min="11" max="11" width="6.21875" style="1" customWidth="1"/>
    <col min="12" max="12" width="13.21875" style="1" customWidth="1"/>
    <col min="13" max="13" width="15.44140625" style="1" customWidth="1"/>
    <col min="14" max="14" width="7.109375" style="1" customWidth="1"/>
    <col min="15" max="15" width="22.77734375" style="1" customWidth="1"/>
    <col min="16" max="16" width="30.44140625" style="1" customWidth="1"/>
    <col min="17" max="17" width="12.21875" style="1" customWidth="1"/>
    <col min="18" max="19" width="11.109375" style="1" customWidth="1"/>
    <col min="20" max="20" width="6.21875" style="1" customWidth="1"/>
    <col min="21" max="21" width="14.109375" style="1" customWidth="1"/>
    <col min="22" max="22" width="24.21875" style="1" customWidth="1"/>
    <col min="23" max="23" width="6.21875" style="1" customWidth="1"/>
    <col min="24" max="24" width="13.77734375" style="1" customWidth="1"/>
    <col min="25" max="25" width="17.33203125" style="1" customWidth="1"/>
    <col min="26" max="26" width="9.77734375" style="1" customWidth="1"/>
    <col min="27" max="27" width="26" style="1" customWidth="1"/>
    <col min="28" max="28" width="14.33203125" style="1" customWidth="1"/>
    <col min="29" max="29" width="15" style="1" customWidth="1"/>
    <col min="30" max="30" width="10" style="1" customWidth="1"/>
    <col min="31" max="31" width="8.6640625" style="1" customWidth="1"/>
    <col min="32" max="32" width="12.6640625" style="1" customWidth="1"/>
    <col min="33" max="34" width="22.44140625" style="1" customWidth="1"/>
    <col min="35" max="35" width="27.109375" style="1" customWidth="1"/>
    <col min="36" max="36" width="10" style="1" customWidth="1"/>
    <col min="37" max="37" width="19.6640625" style="1" customWidth="1"/>
    <col min="38" max="38" width="28.33203125" style="1" customWidth="1"/>
    <col min="39" max="39" width="21.5546875" style="1" customWidth="1"/>
    <col min="40" max="40" width="22.6640625" style="1" customWidth="1"/>
    <col min="41" max="42" width="53.6640625" style="1" customWidth="1"/>
    <col min="43" max="43" width="9.5546875" style="1" customWidth="1"/>
    <col min="44" max="44" width="15.44140625" style="1" customWidth="1"/>
    <col min="45" max="45" width="29.88671875" style="1" customWidth="1"/>
    <col min="46" max="46" width="12.21875" style="1" customWidth="1"/>
    <col min="47" max="47" width="7.44140625" style="1" customWidth="1"/>
    <col min="48" max="48" width="11.77734375" style="1" customWidth="1"/>
    <col min="49" max="49" width="15.44140625" style="1" customWidth="1"/>
    <col min="50" max="50" width="14" style="1" customWidth="1"/>
    <col min="51" max="51" width="11.33203125" style="1" customWidth="1"/>
    <col min="52" max="52" width="25" style="1" customWidth="1"/>
    <col min="53" max="53" width="17" style="1" customWidth="1"/>
    <col min="54" max="54" width="30.109375" style="1" customWidth="1"/>
    <col min="55" max="55" width="9.6640625" style="1" customWidth="1"/>
    <col min="56" max="56" width="18" style="1" customWidth="1"/>
    <col min="57" max="58" width="13.88671875" style="1" customWidth="1"/>
    <col min="59" max="59" width="15.33203125" style="1" customWidth="1"/>
    <col min="60" max="60" width="12.6640625" style="1" customWidth="1"/>
    <col min="61" max="61" width="26.21875" style="1" customWidth="1"/>
    <col min="62" max="62" width="8.88671875" style="1" customWidth="1"/>
    <col min="63" max="16384" width="8.88671875" style="1"/>
  </cols>
  <sheetData>
    <row r="1" spans="1:67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10</v>
      </c>
      <c r="U1" s="4" t="s">
        <v>18</v>
      </c>
      <c r="V1" s="4" t="s">
        <v>19</v>
      </c>
      <c r="W1" s="4" t="s">
        <v>10</v>
      </c>
      <c r="X1" s="5" t="s">
        <v>20</v>
      </c>
      <c r="Y1" s="5" t="s">
        <v>21</v>
      </c>
      <c r="Z1" s="4" t="s">
        <v>22</v>
      </c>
      <c r="AA1" s="4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6" t="s">
        <v>33</v>
      </c>
      <c r="AL1" s="4" t="s">
        <v>34</v>
      </c>
      <c r="AM1" s="5" t="s">
        <v>35</v>
      </c>
      <c r="AN1" s="5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5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5" t="s">
        <v>50</v>
      </c>
      <c r="BC1" s="5" t="s">
        <v>51</v>
      </c>
      <c r="BD1" s="4" t="s">
        <v>52</v>
      </c>
      <c r="BE1" s="4" t="s">
        <v>53</v>
      </c>
      <c r="BF1" s="5" t="s">
        <v>54</v>
      </c>
      <c r="BG1" s="5" t="s">
        <v>55</v>
      </c>
      <c r="BH1" s="4" t="s">
        <v>56</v>
      </c>
      <c r="BI1" s="4" t="s">
        <v>57</v>
      </c>
      <c r="BJ1" s="4" t="s">
        <v>58</v>
      </c>
    </row>
    <row r="2" spans="1:67" s="7" customFormat="1" ht="15" customHeight="1" x14ac:dyDescent="0.3">
      <c r="A2" s="7" t="s">
        <v>59</v>
      </c>
      <c r="B2" s="7" t="s">
        <v>60</v>
      </c>
      <c r="C2" s="8" t="s">
        <v>61</v>
      </c>
      <c r="D2" s="9" t="s">
        <v>62</v>
      </c>
      <c r="E2" s="10" t="s">
        <v>63</v>
      </c>
      <c r="F2" s="11" t="s">
        <v>64</v>
      </c>
      <c r="G2" s="12" t="s">
        <v>65</v>
      </c>
      <c r="H2" s="13" t="s">
        <v>66</v>
      </c>
      <c r="I2" s="14" t="s">
        <v>67</v>
      </c>
      <c r="J2" s="14" t="s">
        <v>68</v>
      </c>
      <c r="K2" s="14" t="s">
        <v>69</v>
      </c>
      <c r="L2" s="15">
        <v>45597</v>
      </c>
      <c r="M2" s="10" t="s">
        <v>63</v>
      </c>
      <c r="N2" s="16" t="s">
        <v>70</v>
      </c>
      <c r="O2" s="16" t="s">
        <v>71</v>
      </c>
      <c r="P2" s="14" t="s">
        <v>72</v>
      </c>
      <c r="Q2" s="14" t="s">
        <v>73</v>
      </c>
      <c r="R2" s="17" t="s">
        <v>74</v>
      </c>
      <c r="S2" s="14" t="s">
        <v>75</v>
      </c>
      <c r="T2" s="14" t="s">
        <v>69</v>
      </c>
      <c r="U2" s="18" t="s">
        <v>76</v>
      </c>
      <c r="V2" s="19" t="s">
        <v>77</v>
      </c>
      <c r="W2" s="14" t="s">
        <v>69</v>
      </c>
      <c r="X2" s="20">
        <f t="shared" ref="X2:X16" si="0">L2</f>
        <v>45597</v>
      </c>
      <c r="Y2" s="18">
        <f t="shared" ref="Y2:Y16" si="1">X2+90</f>
        <v>45687</v>
      </c>
      <c r="Z2" s="14" t="s">
        <v>78</v>
      </c>
      <c r="AA2" s="21" t="s">
        <v>79</v>
      </c>
      <c r="AB2" s="7" t="s">
        <v>80</v>
      </c>
      <c r="AC2" s="22" t="s">
        <v>81</v>
      </c>
      <c r="AD2" s="23" t="s">
        <v>82</v>
      </c>
      <c r="AE2" s="24">
        <v>519</v>
      </c>
      <c r="AF2" s="24" t="s">
        <v>83</v>
      </c>
      <c r="AG2" s="25">
        <v>37.5</v>
      </c>
      <c r="AH2" s="25">
        <v>37.5</v>
      </c>
      <c r="AI2" s="26" t="s">
        <v>84</v>
      </c>
      <c r="AJ2" s="23" t="s">
        <v>85</v>
      </c>
      <c r="AK2" s="27" t="s">
        <v>86</v>
      </c>
      <c r="AL2" s="14" t="s">
        <v>87</v>
      </c>
      <c r="AM2" s="14" t="s">
        <v>88</v>
      </c>
      <c r="AN2" s="7" t="s">
        <v>89</v>
      </c>
      <c r="AO2" s="7" t="s">
        <v>90</v>
      </c>
      <c r="AP2" s="7" t="s">
        <v>90</v>
      </c>
      <c r="AQ2" s="10" t="s">
        <v>91</v>
      </c>
      <c r="AR2" s="10" t="s">
        <v>63</v>
      </c>
      <c r="AS2" s="28" t="s">
        <v>92</v>
      </c>
      <c r="AT2" s="29" t="s">
        <v>93</v>
      </c>
      <c r="AU2" s="7" t="s">
        <v>94</v>
      </c>
      <c r="AV2" s="30">
        <v>35591</v>
      </c>
      <c r="AW2" s="10" t="s">
        <v>63</v>
      </c>
      <c r="AX2" s="7" t="s">
        <v>95</v>
      </c>
      <c r="AY2" s="30" t="s">
        <v>95</v>
      </c>
      <c r="AZ2" s="30" t="s">
        <v>96</v>
      </c>
      <c r="BA2" s="30" t="s">
        <v>97</v>
      </c>
      <c r="BB2" s="30" t="s">
        <v>98</v>
      </c>
      <c r="BC2" s="31" t="s">
        <v>99</v>
      </c>
      <c r="BD2" s="10" t="s">
        <v>63</v>
      </c>
      <c r="BE2" s="28" t="s">
        <v>100</v>
      </c>
      <c r="BF2" s="14">
        <v>601613</v>
      </c>
      <c r="BG2" s="14">
        <v>31926819</v>
      </c>
      <c r="BH2" s="28" t="s">
        <v>101</v>
      </c>
      <c r="BI2" s="14" t="s">
        <v>102</v>
      </c>
    </row>
    <row r="3" spans="1:67" s="7" customFormat="1" ht="15" customHeight="1" x14ac:dyDescent="0.3">
      <c r="A3" s="7" t="s">
        <v>103</v>
      </c>
      <c r="B3" s="32" t="s">
        <v>104</v>
      </c>
      <c r="C3" s="8" t="s">
        <v>105</v>
      </c>
      <c r="D3" s="9" t="s">
        <v>106</v>
      </c>
      <c r="E3" s="10" t="s">
        <v>63</v>
      </c>
      <c r="F3" s="11" t="s">
        <v>64</v>
      </c>
      <c r="G3" s="12" t="s">
        <v>107</v>
      </c>
      <c r="H3" s="13" t="s">
        <v>66</v>
      </c>
      <c r="I3" s="14" t="s">
        <v>67</v>
      </c>
      <c r="J3" s="14" t="s">
        <v>68</v>
      </c>
      <c r="K3" s="14" t="s">
        <v>69</v>
      </c>
      <c r="L3" s="15">
        <v>45597</v>
      </c>
      <c r="M3" s="10" t="s">
        <v>63</v>
      </c>
      <c r="N3" s="16" t="s">
        <v>70</v>
      </c>
      <c r="O3" s="16" t="s">
        <v>71</v>
      </c>
      <c r="P3" s="14" t="s">
        <v>72</v>
      </c>
      <c r="Q3" s="14" t="s">
        <v>73</v>
      </c>
      <c r="R3" s="17" t="s">
        <v>74</v>
      </c>
      <c r="S3" s="14" t="s">
        <v>75</v>
      </c>
      <c r="T3" s="14" t="s">
        <v>69</v>
      </c>
      <c r="U3" s="18" t="s">
        <v>76</v>
      </c>
      <c r="V3" s="19" t="s">
        <v>77</v>
      </c>
      <c r="W3" s="14" t="s">
        <v>69</v>
      </c>
      <c r="X3" s="20">
        <f t="shared" si="0"/>
        <v>45597</v>
      </c>
      <c r="Y3" s="18">
        <f t="shared" si="1"/>
        <v>45687</v>
      </c>
      <c r="Z3" s="14" t="s">
        <v>78</v>
      </c>
      <c r="AA3" s="21" t="s">
        <v>108</v>
      </c>
      <c r="AB3" s="7" t="s">
        <v>80</v>
      </c>
      <c r="AC3" s="22" t="s">
        <v>109</v>
      </c>
      <c r="AD3" s="23" t="s">
        <v>82</v>
      </c>
      <c r="AE3" s="24">
        <v>519</v>
      </c>
      <c r="AF3" s="24" t="s">
        <v>39</v>
      </c>
      <c r="AG3" s="25">
        <v>40</v>
      </c>
      <c r="AH3" s="25">
        <v>40</v>
      </c>
      <c r="AI3" s="26" t="s">
        <v>84</v>
      </c>
      <c r="AJ3" s="23" t="s">
        <v>85</v>
      </c>
      <c r="AK3" s="27" t="s">
        <v>86</v>
      </c>
      <c r="AL3" s="14" t="s">
        <v>87</v>
      </c>
      <c r="AM3" s="14" t="s">
        <v>110</v>
      </c>
      <c r="AN3" s="7" t="s">
        <v>111</v>
      </c>
      <c r="AO3" s="7" t="s">
        <v>91</v>
      </c>
      <c r="AP3" s="7" t="s">
        <v>91</v>
      </c>
      <c r="AQ3" s="10" t="s">
        <v>91</v>
      </c>
      <c r="AR3" s="10" t="s">
        <v>63</v>
      </c>
      <c r="AS3" s="28" t="s">
        <v>92</v>
      </c>
      <c r="AT3" s="29" t="s">
        <v>112</v>
      </c>
      <c r="AU3" s="7" t="s">
        <v>94</v>
      </c>
      <c r="AV3" s="30">
        <v>35591</v>
      </c>
      <c r="AW3" s="10" t="s">
        <v>63</v>
      </c>
      <c r="AX3" s="7" t="s">
        <v>95</v>
      </c>
      <c r="AY3" s="30" t="s">
        <v>95</v>
      </c>
      <c r="AZ3" s="30" t="s">
        <v>96</v>
      </c>
      <c r="BA3" s="30" t="s">
        <v>97</v>
      </c>
      <c r="BB3" s="30" t="s">
        <v>98</v>
      </c>
      <c r="BC3" s="31" t="s">
        <v>99</v>
      </c>
      <c r="BD3" s="10" t="s">
        <v>63</v>
      </c>
      <c r="BE3" s="28" t="s">
        <v>100</v>
      </c>
      <c r="BF3" s="14">
        <v>601613</v>
      </c>
      <c r="BG3" s="14">
        <v>31926819</v>
      </c>
      <c r="BH3" s="28" t="s">
        <v>101</v>
      </c>
      <c r="BI3" s="14" t="s">
        <v>113</v>
      </c>
    </row>
    <row r="4" spans="1:67" s="7" customFormat="1" ht="15" customHeight="1" x14ac:dyDescent="0.3">
      <c r="A4" s="7" t="s">
        <v>114</v>
      </c>
      <c r="B4" s="32" t="s">
        <v>115</v>
      </c>
      <c r="C4" s="8" t="s">
        <v>105</v>
      </c>
      <c r="D4" s="9" t="s">
        <v>106</v>
      </c>
      <c r="E4" s="10" t="s">
        <v>63</v>
      </c>
      <c r="F4" s="11" t="s">
        <v>64</v>
      </c>
      <c r="G4" s="12" t="s">
        <v>116</v>
      </c>
      <c r="H4" s="13" t="s">
        <v>66</v>
      </c>
      <c r="I4" s="14" t="s">
        <v>67</v>
      </c>
      <c r="J4" s="14" t="s">
        <v>68</v>
      </c>
      <c r="K4" s="14" t="s">
        <v>69</v>
      </c>
      <c r="L4" s="15">
        <v>45597</v>
      </c>
      <c r="M4" s="10" t="s">
        <v>63</v>
      </c>
      <c r="N4" s="16" t="s">
        <v>70</v>
      </c>
      <c r="O4" s="16" t="s">
        <v>71</v>
      </c>
      <c r="P4" s="14" t="s">
        <v>72</v>
      </c>
      <c r="Q4" s="14" t="s">
        <v>73</v>
      </c>
      <c r="R4" s="17" t="s">
        <v>74</v>
      </c>
      <c r="S4" s="14" t="s">
        <v>75</v>
      </c>
      <c r="T4" s="14" t="s">
        <v>69</v>
      </c>
      <c r="U4" s="18" t="s">
        <v>76</v>
      </c>
      <c r="V4" s="19" t="s">
        <v>77</v>
      </c>
      <c r="W4" s="14" t="s">
        <v>69</v>
      </c>
      <c r="X4" s="20">
        <f t="shared" si="0"/>
        <v>45597</v>
      </c>
      <c r="Y4" s="18">
        <f t="shared" si="1"/>
        <v>45687</v>
      </c>
      <c r="Z4" s="14" t="s">
        <v>78</v>
      </c>
      <c r="AA4" s="21" t="s">
        <v>117</v>
      </c>
      <c r="AB4" s="7" t="s">
        <v>80</v>
      </c>
      <c r="AC4" s="22" t="s">
        <v>118</v>
      </c>
      <c r="AD4" s="23" t="s">
        <v>82</v>
      </c>
      <c r="AE4" s="24">
        <v>519</v>
      </c>
      <c r="AF4" s="24" t="s">
        <v>39</v>
      </c>
      <c r="AG4" s="25">
        <v>40</v>
      </c>
      <c r="AH4" s="25">
        <v>40</v>
      </c>
      <c r="AI4" s="26" t="s">
        <v>84</v>
      </c>
      <c r="AJ4" s="23" t="s">
        <v>85</v>
      </c>
      <c r="AK4" s="27" t="s">
        <v>86</v>
      </c>
      <c r="AL4" s="14" t="s">
        <v>87</v>
      </c>
      <c r="AM4" s="14" t="s">
        <v>110</v>
      </c>
      <c r="AN4" s="7" t="s">
        <v>111</v>
      </c>
      <c r="AO4" s="7" t="s">
        <v>91</v>
      </c>
      <c r="AP4" s="7" t="s">
        <v>91</v>
      </c>
      <c r="AQ4" s="10" t="s">
        <v>91</v>
      </c>
      <c r="AR4" s="10" t="s">
        <v>63</v>
      </c>
      <c r="AS4" s="28" t="s">
        <v>92</v>
      </c>
      <c r="AT4" s="29" t="s">
        <v>119</v>
      </c>
      <c r="AU4" s="7" t="s">
        <v>94</v>
      </c>
      <c r="AV4" s="30">
        <v>35591</v>
      </c>
      <c r="AW4" s="10" t="s">
        <v>63</v>
      </c>
      <c r="AX4" s="7" t="s">
        <v>95</v>
      </c>
      <c r="AY4" s="30" t="s">
        <v>95</v>
      </c>
      <c r="AZ4" s="30" t="s">
        <v>96</v>
      </c>
      <c r="BA4" s="30" t="s">
        <v>97</v>
      </c>
      <c r="BB4" s="30" t="s">
        <v>98</v>
      </c>
      <c r="BC4" s="31" t="s">
        <v>99</v>
      </c>
      <c r="BD4" s="10" t="s">
        <v>63</v>
      </c>
      <c r="BE4" s="28" t="s">
        <v>100</v>
      </c>
      <c r="BF4" s="14">
        <v>601613</v>
      </c>
      <c r="BG4" s="14">
        <v>31926819</v>
      </c>
      <c r="BH4" s="28" t="s">
        <v>101</v>
      </c>
      <c r="BI4" s="14" t="s">
        <v>113</v>
      </c>
      <c r="BJ4" s="7" t="s">
        <v>120</v>
      </c>
    </row>
    <row r="5" spans="1:67" s="7" customFormat="1" ht="15.6" customHeight="1" x14ac:dyDescent="0.3">
      <c r="A5" s="7" t="s">
        <v>121</v>
      </c>
      <c r="B5" s="32" t="s">
        <v>122</v>
      </c>
      <c r="C5" s="8" t="s">
        <v>61</v>
      </c>
      <c r="D5" s="9" t="s">
        <v>106</v>
      </c>
      <c r="E5" s="10" t="s">
        <v>63</v>
      </c>
      <c r="F5" s="11" t="s">
        <v>64</v>
      </c>
      <c r="G5" s="12" t="s">
        <v>123</v>
      </c>
      <c r="H5" s="13" t="s">
        <v>66</v>
      </c>
      <c r="I5" s="14" t="s">
        <v>67</v>
      </c>
      <c r="J5" s="14" t="s">
        <v>68</v>
      </c>
      <c r="K5" s="14" t="s">
        <v>69</v>
      </c>
      <c r="L5" s="15">
        <v>45597</v>
      </c>
      <c r="M5" s="10" t="s">
        <v>63</v>
      </c>
      <c r="N5" s="16" t="s">
        <v>70</v>
      </c>
      <c r="O5" s="16" t="s">
        <v>71</v>
      </c>
      <c r="P5" s="14" t="s">
        <v>72</v>
      </c>
      <c r="Q5" s="14" t="s">
        <v>73</v>
      </c>
      <c r="R5" s="17" t="s">
        <v>74</v>
      </c>
      <c r="S5" s="14" t="s">
        <v>75</v>
      </c>
      <c r="T5" s="14" t="s">
        <v>69</v>
      </c>
      <c r="U5" s="18" t="s">
        <v>76</v>
      </c>
      <c r="V5" s="19" t="s">
        <v>77</v>
      </c>
      <c r="W5" s="14" t="s">
        <v>69</v>
      </c>
      <c r="X5" s="20">
        <f t="shared" si="0"/>
        <v>45597</v>
      </c>
      <c r="Y5" s="18">
        <f t="shared" si="1"/>
        <v>45687</v>
      </c>
      <c r="Z5" s="14" t="s">
        <v>78</v>
      </c>
      <c r="AA5" s="21" t="s">
        <v>124</v>
      </c>
      <c r="AB5" s="33" t="s">
        <v>125</v>
      </c>
      <c r="AC5" s="22" t="s">
        <v>126</v>
      </c>
      <c r="AD5" s="23" t="s">
        <v>82</v>
      </c>
      <c r="AE5" s="24">
        <v>519</v>
      </c>
      <c r="AF5" s="24" t="s">
        <v>39</v>
      </c>
      <c r="AG5" s="25">
        <v>40</v>
      </c>
      <c r="AH5" s="25">
        <v>40</v>
      </c>
      <c r="AI5" s="26" t="s">
        <v>84</v>
      </c>
      <c r="AJ5" s="23" t="s">
        <v>85</v>
      </c>
      <c r="AK5" s="27">
        <f>L5+365</f>
        <v>45962</v>
      </c>
      <c r="AL5" s="14" t="s">
        <v>87</v>
      </c>
      <c r="AM5" s="14" t="s">
        <v>110</v>
      </c>
      <c r="AN5" s="7" t="s">
        <v>111</v>
      </c>
      <c r="AO5" s="7" t="s">
        <v>91</v>
      </c>
      <c r="AP5" s="7" t="s">
        <v>91</v>
      </c>
      <c r="AQ5" s="10" t="s">
        <v>127</v>
      </c>
      <c r="AR5" s="10" t="s">
        <v>63</v>
      </c>
      <c r="AS5" s="28" t="s">
        <v>92</v>
      </c>
      <c r="AT5" s="29" t="s">
        <v>128</v>
      </c>
      <c r="AU5" s="7" t="s">
        <v>94</v>
      </c>
      <c r="AV5" s="30">
        <v>35591</v>
      </c>
      <c r="AW5" s="10" t="s">
        <v>63</v>
      </c>
      <c r="AX5" s="7" t="s">
        <v>95</v>
      </c>
      <c r="AY5" s="30" t="s">
        <v>95</v>
      </c>
      <c r="AZ5" s="30" t="s">
        <v>96</v>
      </c>
      <c r="BA5" s="30" t="s">
        <v>97</v>
      </c>
      <c r="BB5" s="30" t="s">
        <v>98</v>
      </c>
      <c r="BC5" s="31" t="s">
        <v>99</v>
      </c>
      <c r="BD5" s="10" t="s">
        <v>63</v>
      </c>
      <c r="BE5" s="28" t="s">
        <v>100</v>
      </c>
      <c r="BF5" s="14">
        <v>601613</v>
      </c>
      <c r="BG5" s="14">
        <v>31926819</v>
      </c>
      <c r="BH5" s="28" t="s">
        <v>101</v>
      </c>
      <c r="BI5" s="14" t="s">
        <v>113</v>
      </c>
      <c r="BJ5" s="7" t="s">
        <v>120</v>
      </c>
      <c r="BN5" s="32" t="s">
        <v>129</v>
      </c>
      <c r="BO5" s="7" t="s">
        <v>130</v>
      </c>
    </row>
    <row r="6" spans="1:67" s="7" customFormat="1" ht="15.6" customHeight="1" x14ac:dyDescent="0.3">
      <c r="A6" s="7" t="s">
        <v>131</v>
      </c>
      <c r="B6" s="32" t="s">
        <v>132</v>
      </c>
      <c r="C6" s="8" t="s">
        <v>61</v>
      </c>
      <c r="D6" s="9" t="s">
        <v>106</v>
      </c>
      <c r="E6" s="10" t="s">
        <v>63</v>
      </c>
      <c r="F6" s="11" t="s">
        <v>64</v>
      </c>
      <c r="G6" s="12" t="s">
        <v>133</v>
      </c>
      <c r="H6" s="13" t="s">
        <v>66</v>
      </c>
      <c r="I6" s="14" t="s">
        <v>67</v>
      </c>
      <c r="J6" s="14" t="s">
        <v>68</v>
      </c>
      <c r="K6" s="14" t="s">
        <v>69</v>
      </c>
      <c r="L6" s="15">
        <v>45597</v>
      </c>
      <c r="M6" s="10" t="s">
        <v>63</v>
      </c>
      <c r="N6" s="16" t="s">
        <v>70</v>
      </c>
      <c r="O6" s="16" t="s">
        <v>71</v>
      </c>
      <c r="P6" s="14" t="s">
        <v>72</v>
      </c>
      <c r="Q6" s="14" t="s">
        <v>73</v>
      </c>
      <c r="R6" s="17" t="s">
        <v>74</v>
      </c>
      <c r="S6" s="14" t="s">
        <v>75</v>
      </c>
      <c r="T6" s="14" t="s">
        <v>69</v>
      </c>
      <c r="U6" s="18" t="s">
        <v>76</v>
      </c>
      <c r="V6" s="19" t="s">
        <v>77</v>
      </c>
      <c r="W6" s="14" t="s">
        <v>69</v>
      </c>
      <c r="X6" s="20">
        <f t="shared" si="0"/>
        <v>45597</v>
      </c>
      <c r="Y6" s="18">
        <f t="shared" si="1"/>
        <v>45687</v>
      </c>
      <c r="Z6" s="14" t="s">
        <v>78</v>
      </c>
      <c r="AA6" s="21" t="s">
        <v>134</v>
      </c>
      <c r="AB6" s="7" t="s">
        <v>80</v>
      </c>
      <c r="AC6" s="22" t="s">
        <v>135</v>
      </c>
      <c r="AD6" s="23" t="s">
        <v>136</v>
      </c>
      <c r="AE6" s="24">
        <v>519</v>
      </c>
      <c r="AF6" s="24" t="s">
        <v>39</v>
      </c>
      <c r="AG6" s="25">
        <v>24</v>
      </c>
      <c r="AH6" s="25">
        <v>40</v>
      </c>
      <c r="AI6" s="26" t="s">
        <v>84</v>
      </c>
      <c r="AJ6" s="23" t="s">
        <v>85</v>
      </c>
      <c r="AK6" s="27" t="s">
        <v>86</v>
      </c>
      <c r="AL6" s="14" t="s">
        <v>87</v>
      </c>
      <c r="AM6" s="14" t="s">
        <v>110</v>
      </c>
      <c r="AN6" s="7" t="s">
        <v>111</v>
      </c>
      <c r="AO6" s="7" t="s">
        <v>91</v>
      </c>
      <c r="AP6" s="7" t="s">
        <v>91</v>
      </c>
      <c r="AQ6" s="10" t="s">
        <v>127</v>
      </c>
      <c r="AR6" s="10" t="s">
        <v>63</v>
      </c>
      <c r="AS6" s="28" t="s">
        <v>92</v>
      </c>
      <c r="AT6" s="29" t="s">
        <v>137</v>
      </c>
      <c r="AU6" s="7" t="s">
        <v>94</v>
      </c>
      <c r="AV6" s="30">
        <v>35591</v>
      </c>
      <c r="AW6" s="10" t="s">
        <v>63</v>
      </c>
      <c r="AX6" s="7" t="s">
        <v>95</v>
      </c>
      <c r="AY6" s="30" t="s">
        <v>95</v>
      </c>
      <c r="AZ6" s="30" t="s">
        <v>96</v>
      </c>
      <c r="BA6" s="30" t="s">
        <v>97</v>
      </c>
      <c r="BB6" s="30" t="s">
        <v>98</v>
      </c>
      <c r="BC6" s="31" t="s">
        <v>99</v>
      </c>
      <c r="BD6" s="10" t="s">
        <v>63</v>
      </c>
      <c r="BE6" s="28" t="s">
        <v>100</v>
      </c>
      <c r="BF6" s="14">
        <v>601613</v>
      </c>
      <c r="BG6" s="14">
        <v>31926819</v>
      </c>
      <c r="BH6" s="28" t="s">
        <v>101</v>
      </c>
      <c r="BI6" s="14" t="s">
        <v>113</v>
      </c>
      <c r="BN6" s="7" t="s">
        <v>138</v>
      </c>
      <c r="BO6" s="7" t="s">
        <v>139</v>
      </c>
    </row>
    <row r="7" spans="1:67" s="7" customFormat="1" ht="15.6" customHeight="1" x14ac:dyDescent="0.3">
      <c r="A7" s="7" t="s">
        <v>140</v>
      </c>
      <c r="B7" s="32" t="s">
        <v>141</v>
      </c>
      <c r="C7" s="8" t="s">
        <v>61</v>
      </c>
      <c r="D7" s="9" t="s">
        <v>106</v>
      </c>
      <c r="E7" s="10" t="s">
        <v>63</v>
      </c>
      <c r="F7" s="11" t="s">
        <v>64</v>
      </c>
      <c r="G7" s="12" t="s">
        <v>142</v>
      </c>
      <c r="H7" s="13" t="s">
        <v>66</v>
      </c>
      <c r="I7" s="14" t="s">
        <v>67</v>
      </c>
      <c r="J7" s="14" t="s">
        <v>68</v>
      </c>
      <c r="K7" s="14" t="s">
        <v>69</v>
      </c>
      <c r="L7" s="15">
        <v>45597</v>
      </c>
      <c r="M7" s="10" t="s">
        <v>63</v>
      </c>
      <c r="N7" s="16" t="s">
        <v>70</v>
      </c>
      <c r="O7" s="16" t="s">
        <v>71</v>
      </c>
      <c r="P7" s="14" t="s">
        <v>72</v>
      </c>
      <c r="Q7" s="14" t="s">
        <v>73</v>
      </c>
      <c r="R7" s="17" t="s">
        <v>74</v>
      </c>
      <c r="S7" s="14" t="s">
        <v>75</v>
      </c>
      <c r="T7" s="14" t="s">
        <v>69</v>
      </c>
      <c r="U7" s="18" t="s">
        <v>76</v>
      </c>
      <c r="V7" s="19" t="s">
        <v>77</v>
      </c>
      <c r="W7" s="14" t="s">
        <v>69</v>
      </c>
      <c r="X7" s="20">
        <f t="shared" si="0"/>
        <v>45597</v>
      </c>
      <c r="Y7" s="18">
        <f t="shared" si="1"/>
        <v>45687</v>
      </c>
      <c r="Z7" s="14" t="s">
        <v>78</v>
      </c>
      <c r="AA7" s="21" t="s">
        <v>143</v>
      </c>
      <c r="AB7" s="33" t="s">
        <v>125</v>
      </c>
      <c r="AC7" s="22" t="s">
        <v>144</v>
      </c>
      <c r="AD7" s="23" t="s">
        <v>82</v>
      </c>
      <c r="AE7" s="24">
        <v>519</v>
      </c>
      <c r="AF7" s="24" t="s">
        <v>39</v>
      </c>
      <c r="AG7" s="25">
        <v>40</v>
      </c>
      <c r="AH7" s="25">
        <v>40</v>
      </c>
      <c r="AI7" s="26" t="s">
        <v>84</v>
      </c>
      <c r="AJ7" s="23" t="s">
        <v>85</v>
      </c>
      <c r="AK7" s="27">
        <f>L7+365</f>
        <v>45962</v>
      </c>
      <c r="AL7" s="14" t="s">
        <v>87</v>
      </c>
      <c r="AM7" s="14" t="s">
        <v>110</v>
      </c>
      <c r="AN7" s="7" t="s">
        <v>111</v>
      </c>
      <c r="AO7" s="7" t="s">
        <v>91</v>
      </c>
      <c r="AP7" s="7" t="s">
        <v>91</v>
      </c>
      <c r="AQ7" s="10" t="s">
        <v>127</v>
      </c>
      <c r="AR7" s="10" t="s">
        <v>63</v>
      </c>
      <c r="AS7" s="28" t="s">
        <v>92</v>
      </c>
      <c r="AT7" s="29" t="s">
        <v>145</v>
      </c>
      <c r="AU7" s="7" t="s">
        <v>94</v>
      </c>
      <c r="AV7" s="30">
        <v>35591</v>
      </c>
      <c r="AW7" s="10" t="s">
        <v>63</v>
      </c>
      <c r="AX7" s="7" t="s">
        <v>95</v>
      </c>
      <c r="AY7" s="30" t="s">
        <v>95</v>
      </c>
      <c r="AZ7" s="30" t="s">
        <v>96</v>
      </c>
      <c r="BA7" s="30" t="s">
        <v>97</v>
      </c>
      <c r="BB7" s="30" t="s">
        <v>98</v>
      </c>
      <c r="BC7" s="31" t="s">
        <v>99</v>
      </c>
      <c r="BD7" s="10" t="s">
        <v>63</v>
      </c>
      <c r="BE7" s="28" t="s">
        <v>100</v>
      </c>
      <c r="BF7" s="14">
        <v>601613</v>
      </c>
      <c r="BG7" s="14">
        <v>31926819</v>
      </c>
      <c r="BH7" s="28" t="s">
        <v>101</v>
      </c>
      <c r="BI7" s="14" t="s">
        <v>113</v>
      </c>
      <c r="BN7" s="7" t="s">
        <v>146</v>
      </c>
      <c r="BO7" s="7" t="s">
        <v>147</v>
      </c>
    </row>
    <row r="8" spans="1:67" s="7" customFormat="1" ht="15.6" customHeight="1" x14ac:dyDescent="0.3">
      <c r="A8" s="7" t="s">
        <v>148</v>
      </c>
      <c r="B8" s="32" t="s">
        <v>149</v>
      </c>
      <c r="C8" s="8" t="s">
        <v>61</v>
      </c>
      <c r="D8" s="9" t="s">
        <v>106</v>
      </c>
      <c r="E8" s="10" t="s">
        <v>63</v>
      </c>
      <c r="F8" s="11" t="s">
        <v>64</v>
      </c>
      <c r="G8" s="12" t="s">
        <v>150</v>
      </c>
      <c r="H8" s="13" t="s">
        <v>66</v>
      </c>
      <c r="I8" s="14" t="s">
        <v>67</v>
      </c>
      <c r="J8" s="14" t="s">
        <v>68</v>
      </c>
      <c r="K8" s="14" t="s">
        <v>69</v>
      </c>
      <c r="L8" s="15">
        <v>45597</v>
      </c>
      <c r="M8" s="10" t="s">
        <v>63</v>
      </c>
      <c r="N8" s="16" t="s">
        <v>70</v>
      </c>
      <c r="O8" s="16" t="s">
        <v>71</v>
      </c>
      <c r="P8" s="14" t="s">
        <v>72</v>
      </c>
      <c r="Q8" s="14" t="s">
        <v>73</v>
      </c>
      <c r="R8" s="17" t="s">
        <v>74</v>
      </c>
      <c r="S8" s="14" t="s">
        <v>75</v>
      </c>
      <c r="T8" s="14" t="s">
        <v>69</v>
      </c>
      <c r="U8" s="18" t="s">
        <v>76</v>
      </c>
      <c r="V8" s="19" t="s">
        <v>77</v>
      </c>
      <c r="W8" s="14" t="s">
        <v>69</v>
      </c>
      <c r="X8" s="20">
        <f t="shared" si="0"/>
        <v>45597</v>
      </c>
      <c r="Y8" s="18">
        <f t="shared" si="1"/>
        <v>45687</v>
      </c>
      <c r="Z8" s="14" t="s">
        <v>78</v>
      </c>
      <c r="AA8" s="21" t="s">
        <v>151</v>
      </c>
      <c r="AB8" s="7" t="s">
        <v>80</v>
      </c>
      <c r="AC8" s="22" t="s">
        <v>152</v>
      </c>
      <c r="AD8" s="23" t="s">
        <v>136</v>
      </c>
      <c r="AE8" s="24">
        <v>519</v>
      </c>
      <c r="AF8" s="24" t="s">
        <v>39</v>
      </c>
      <c r="AG8" s="25">
        <v>32</v>
      </c>
      <c r="AH8" s="25">
        <v>40</v>
      </c>
      <c r="AI8" s="26" t="s">
        <v>84</v>
      </c>
      <c r="AJ8" s="23" t="s">
        <v>85</v>
      </c>
      <c r="AK8" s="27" t="s">
        <v>86</v>
      </c>
      <c r="AL8" s="14" t="s">
        <v>87</v>
      </c>
      <c r="AM8" s="14" t="s">
        <v>110</v>
      </c>
      <c r="AN8" s="7" t="s">
        <v>111</v>
      </c>
      <c r="AO8" s="7" t="s">
        <v>91</v>
      </c>
      <c r="AP8" s="7" t="s">
        <v>91</v>
      </c>
      <c r="AQ8" s="10" t="s">
        <v>127</v>
      </c>
      <c r="AR8" s="10" t="s">
        <v>63</v>
      </c>
      <c r="AS8" s="28" t="s">
        <v>92</v>
      </c>
      <c r="AT8" s="29" t="s">
        <v>153</v>
      </c>
      <c r="AU8" s="7" t="s">
        <v>94</v>
      </c>
      <c r="AV8" s="30">
        <v>35591</v>
      </c>
      <c r="AW8" s="10" t="s">
        <v>63</v>
      </c>
      <c r="AX8" s="7" t="s">
        <v>95</v>
      </c>
      <c r="AY8" s="30" t="s">
        <v>95</v>
      </c>
      <c r="AZ8" s="30" t="s">
        <v>96</v>
      </c>
      <c r="BA8" s="30" t="s">
        <v>97</v>
      </c>
      <c r="BB8" s="30" t="s">
        <v>98</v>
      </c>
      <c r="BC8" s="31" t="s">
        <v>99</v>
      </c>
      <c r="BD8" s="10" t="s">
        <v>63</v>
      </c>
      <c r="BE8" s="28" t="s">
        <v>100</v>
      </c>
      <c r="BF8" s="14">
        <v>601613</v>
      </c>
      <c r="BG8" s="14">
        <v>31926819</v>
      </c>
      <c r="BH8" s="28" t="s">
        <v>101</v>
      </c>
      <c r="BI8" s="14" t="s">
        <v>113</v>
      </c>
      <c r="BN8" s="7" t="s">
        <v>154</v>
      </c>
      <c r="BO8" s="7" t="s">
        <v>155</v>
      </c>
    </row>
    <row r="9" spans="1:67" s="7" customFormat="1" ht="15.6" customHeight="1" x14ac:dyDescent="0.3">
      <c r="A9" s="7" t="s">
        <v>156</v>
      </c>
      <c r="B9" s="32" t="s">
        <v>157</v>
      </c>
      <c r="C9" s="8" t="s">
        <v>61</v>
      </c>
      <c r="D9" s="9" t="s">
        <v>62</v>
      </c>
      <c r="E9" s="10" t="s">
        <v>63</v>
      </c>
      <c r="F9" s="11" t="s">
        <v>64</v>
      </c>
      <c r="G9" s="12" t="s">
        <v>158</v>
      </c>
      <c r="H9" s="13" t="s">
        <v>66</v>
      </c>
      <c r="I9" s="14" t="s">
        <v>67</v>
      </c>
      <c r="J9" s="14" t="s">
        <v>68</v>
      </c>
      <c r="K9" s="14" t="s">
        <v>69</v>
      </c>
      <c r="L9" s="15">
        <v>45597</v>
      </c>
      <c r="M9" s="10" t="s">
        <v>63</v>
      </c>
      <c r="N9" s="16" t="s">
        <v>70</v>
      </c>
      <c r="O9" s="16" t="s">
        <v>71</v>
      </c>
      <c r="P9" s="14" t="s">
        <v>72</v>
      </c>
      <c r="Q9" s="14" t="s">
        <v>73</v>
      </c>
      <c r="R9" s="17" t="s">
        <v>74</v>
      </c>
      <c r="S9" s="14" t="s">
        <v>75</v>
      </c>
      <c r="T9" s="14" t="s">
        <v>69</v>
      </c>
      <c r="U9" s="18" t="s">
        <v>76</v>
      </c>
      <c r="V9" s="19" t="s">
        <v>77</v>
      </c>
      <c r="W9" s="14" t="s">
        <v>69</v>
      </c>
      <c r="X9" s="20">
        <f t="shared" si="0"/>
        <v>45597</v>
      </c>
      <c r="Y9" s="18">
        <f t="shared" si="1"/>
        <v>45687</v>
      </c>
      <c r="Z9" s="14" t="s">
        <v>78</v>
      </c>
      <c r="AA9" s="21" t="s">
        <v>79</v>
      </c>
      <c r="AB9" s="7" t="s">
        <v>80</v>
      </c>
      <c r="AC9" s="22" t="s">
        <v>81</v>
      </c>
      <c r="AD9" s="23" t="s">
        <v>136</v>
      </c>
      <c r="AE9" s="24">
        <v>519</v>
      </c>
      <c r="AF9" s="24" t="s">
        <v>83</v>
      </c>
      <c r="AG9" s="25">
        <v>15</v>
      </c>
      <c r="AH9" s="25">
        <v>40</v>
      </c>
      <c r="AI9" s="26" t="s">
        <v>84</v>
      </c>
      <c r="AJ9" s="23" t="s">
        <v>85</v>
      </c>
      <c r="AK9" s="27" t="s">
        <v>86</v>
      </c>
      <c r="AL9" s="14" t="s">
        <v>87</v>
      </c>
      <c r="AM9" s="14" t="s">
        <v>88</v>
      </c>
      <c r="AN9" s="7" t="s">
        <v>159</v>
      </c>
      <c r="AO9" s="7" t="s">
        <v>90</v>
      </c>
      <c r="AP9" s="7" t="s">
        <v>90</v>
      </c>
      <c r="AQ9" s="10" t="s">
        <v>91</v>
      </c>
      <c r="AR9" s="10" t="s">
        <v>63</v>
      </c>
      <c r="AS9" s="28" t="s">
        <v>92</v>
      </c>
      <c r="AT9" s="29" t="s">
        <v>160</v>
      </c>
      <c r="AU9" s="7" t="s">
        <v>94</v>
      </c>
      <c r="AV9" s="30">
        <v>35591</v>
      </c>
      <c r="AW9" s="10" t="s">
        <v>63</v>
      </c>
      <c r="AX9" s="7" t="s">
        <v>95</v>
      </c>
      <c r="AY9" s="30" t="s">
        <v>95</v>
      </c>
      <c r="AZ9" s="30" t="s">
        <v>96</v>
      </c>
      <c r="BA9" s="30" t="s">
        <v>97</v>
      </c>
      <c r="BB9" s="30" t="s">
        <v>98</v>
      </c>
      <c r="BC9" s="31" t="s">
        <v>99</v>
      </c>
      <c r="BD9" s="10" t="s">
        <v>63</v>
      </c>
      <c r="BE9" s="28" t="s">
        <v>100</v>
      </c>
      <c r="BF9" s="14">
        <v>601613</v>
      </c>
      <c r="BG9" s="14">
        <v>31926819</v>
      </c>
      <c r="BH9" s="28" t="s">
        <v>101</v>
      </c>
      <c r="BI9" s="14" t="s">
        <v>102</v>
      </c>
    </row>
    <row r="10" spans="1:67" s="7" customFormat="1" ht="15.6" customHeight="1" x14ac:dyDescent="0.3">
      <c r="A10" s="7" t="s">
        <v>161</v>
      </c>
      <c r="B10" s="32" t="s">
        <v>162</v>
      </c>
      <c r="C10" s="8" t="s">
        <v>61</v>
      </c>
      <c r="D10" s="9" t="s">
        <v>62</v>
      </c>
      <c r="E10" s="10" t="s">
        <v>63</v>
      </c>
      <c r="F10" s="11" t="s">
        <v>64</v>
      </c>
      <c r="G10" s="12" t="s">
        <v>163</v>
      </c>
      <c r="H10" s="13" t="s">
        <v>66</v>
      </c>
      <c r="I10" s="14" t="s">
        <v>67</v>
      </c>
      <c r="J10" s="14" t="s">
        <v>68</v>
      </c>
      <c r="K10" s="14" t="s">
        <v>69</v>
      </c>
      <c r="L10" s="15">
        <v>45597</v>
      </c>
      <c r="M10" s="10" t="s">
        <v>63</v>
      </c>
      <c r="N10" s="16" t="s">
        <v>70</v>
      </c>
      <c r="O10" s="16" t="s">
        <v>71</v>
      </c>
      <c r="P10" s="14" t="s">
        <v>72</v>
      </c>
      <c r="Q10" s="14" t="s">
        <v>73</v>
      </c>
      <c r="R10" s="17" t="s">
        <v>74</v>
      </c>
      <c r="S10" s="14" t="s">
        <v>75</v>
      </c>
      <c r="T10" s="14" t="s">
        <v>69</v>
      </c>
      <c r="U10" s="18" t="s">
        <v>76</v>
      </c>
      <c r="V10" s="19" t="s">
        <v>77</v>
      </c>
      <c r="W10" s="14" t="s">
        <v>69</v>
      </c>
      <c r="X10" s="20">
        <f t="shared" si="0"/>
        <v>45597</v>
      </c>
      <c r="Y10" s="18">
        <f t="shared" si="1"/>
        <v>45687</v>
      </c>
      <c r="Z10" s="14" t="s">
        <v>78</v>
      </c>
      <c r="AA10" s="21" t="s">
        <v>79</v>
      </c>
      <c r="AB10" s="7" t="s">
        <v>80</v>
      </c>
      <c r="AC10" s="22" t="s">
        <v>164</v>
      </c>
      <c r="AD10" s="23" t="s">
        <v>82</v>
      </c>
      <c r="AE10" s="24">
        <v>519</v>
      </c>
      <c r="AF10" s="24" t="s">
        <v>83</v>
      </c>
      <c r="AG10" s="25">
        <v>37.5</v>
      </c>
      <c r="AH10" s="25">
        <v>37.5</v>
      </c>
      <c r="AI10" s="26" t="s">
        <v>84</v>
      </c>
      <c r="AJ10" s="23" t="s">
        <v>85</v>
      </c>
      <c r="AK10" s="27" t="s">
        <v>86</v>
      </c>
      <c r="AL10" s="14" t="s">
        <v>87</v>
      </c>
      <c r="AM10" s="14" t="s">
        <v>88</v>
      </c>
      <c r="AN10" s="7" t="s">
        <v>165</v>
      </c>
      <c r="AO10" s="7" t="s">
        <v>166</v>
      </c>
      <c r="AP10" s="7" t="s">
        <v>167</v>
      </c>
      <c r="AQ10" s="10" t="s">
        <v>91</v>
      </c>
      <c r="AR10" s="10" t="s">
        <v>63</v>
      </c>
      <c r="AS10" s="28" t="s">
        <v>92</v>
      </c>
      <c r="AT10" s="29" t="s">
        <v>168</v>
      </c>
      <c r="AU10" s="7" t="s">
        <v>94</v>
      </c>
      <c r="AV10" s="30">
        <v>35591</v>
      </c>
      <c r="AW10" s="10" t="s">
        <v>63</v>
      </c>
      <c r="AX10" s="7" t="s">
        <v>95</v>
      </c>
      <c r="AY10" s="30" t="s">
        <v>95</v>
      </c>
      <c r="AZ10" s="30" t="s">
        <v>96</v>
      </c>
      <c r="BA10" s="30" t="s">
        <v>97</v>
      </c>
      <c r="BB10" s="30" t="s">
        <v>98</v>
      </c>
      <c r="BC10" s="31" t="s">
        <v>99</v>
      </c>
      <c r="BD10" s="10" t="s">
        <v>63</v>
      </c>
      <c r="BE10" s="28" t="s">
        <v>100</v>
      </c>
      <c r="BF10" s="14">
        <v>601613</v>
      </c>
      <c r="BG10" s="14">
        <v>31926819</v>
      </c>
      <c r="BH10" s="28" t="s">
        <v>101</v>
      </c>
      <c r="BI10" s="14" t="s">
        <v>102</v>
      </c>
    </row>
    <row r="11" spans="1:67" s="7" customFormat="1" ht="15.6" customHeight="1" x14ac:dyDescent="0.3">
      <c r="A11" s="7" t="s">
        <v>169</v>
      </c>
      <c r="B11" s="32" t="s">
        <v>170</v>
      </c>
      <c r="C11" s="8" t="s">
        <v>61</v>
      </c>
      <c r="D11" s="9" t="s">
        <v>62</v>
      </c>
      <c r="E11" s="10" t="s">
        <v>63</v>
      </c>
      <c r="F11" s="11" t="s">
        <v>64</v>
      </c>
      <c r="G11" s="12" t="s">
        <v>171</v>
      </c>
      <c r="H11" s="13" t="s">
        <v>66</v>
      </c>
      <c r="I11" s="14" t="s">
        <v>67</v>
      </c>
      <c r="J11" s="14" t="s">
        <v>68</v>
      </c>
      <c r="K11" s="14" t="s">
        <v>69</v>
      </c>
      <c r="L11" s="15">
        <v>45597</v>
      </c>
      <c r="M11" s="10" t="s">
        <v>63</v>
      </c>
      <c r="N11" s="16" t="s">
        <v>70</v>
      </c>
      <c r="O11" s="16" t="s">
        <v>71</v>
      </c>
      <c r="P11" s="14" t="s">
        <v>72</v>
      </c>
      <c r="Q11" s="14" t="s">
        <v>73</v>
      </c>
      <c r="R11" s="17" t="s">
        <v>74</v>
      </c>
      <c r="S11" s="14" t="s">
        <v>75</v>
      </c>
      <c r="T11" s="14" t="s">
        <v>69</v>
      </c>
      <c r="U11" s="18" t="s">
        <v>76</v>
      </c>
      <c r="V11" s="19" t="s">
        <v>77</v>
      </c>
      <c r="W11" s="14" t="s">
        <v>69</v>
      </c>
      <c r="X11" s="20">
        <f t="shared" si="0"/>
        <v>45597</v>
      </c>
      <c r="Y11" s="18">
        <f t="shared" si="1"/>
        <v>45687</v>
      </c>
      <c r="Z11" s="14" t="s">
        <v>78</v>
      </c>
      <c r="AA11" s="21" t="s">
        <v>79</v>
      </c>
      <c r="AB11" s="7" t="s">
        <v>80</v>
      </c>
      <c r="AC11" s="22" t="s">
        <v>172</v>
      </c>
      <c r="AD11" s="23" t="s">
        <v>136</v>
      </c>
      <c r="AE11" s="24">
        <v>519</v>
      </c>
      <c r="AF11" s="24" t="s">
        <v>83</v>
      </c>
      <c r="AG11" s="25">
        <v>16</v>
      </c>
      <c r="AH11" s="25">
        <v>40</v>
      </c>
      <c r="AI11" s="26" t="s">
        <v>84</v>
      </c>
      <c r="AJ11" s="23" t="s">
        <v>85</v>
      </c>
      <c r="AK11" s="27" t="s">
        <v>86</v>
      </c>
      <c r="AL11" s="14" t="s">
        <v>87</v>
      </c>
      <c r="AM11" s="14" t="s">
        <v>88</v>
      </c>
      <c r="AN11" s="7" t="s">
        <v>173</v>
      </c>
      <c r="AO11" s="7" t="s">
        <v>91</v>
      </c>
      <c r="AP11" s="7" t="s">
        <v>91</v>
      </c>
      <c r="AQ11" s="10" t="s">
        <v>91</v>
      </c>
      <c r="AR11" s="10" t="s">
        <v>63</v>
      </c>
      <c r="AS11" s="28" t="s">
        <v>92</v>
      </c>
      <c r="AT11" s="29" t="s">
        <v>174</v>
      </c>
      <c r="AU11" s="7" t="s">
        <v>94</v>
      </c>
      <c r="AV11" s="30">
        <v>35591</v>
      </c>
      <c r="AW11" s="10" t="s">
        <v>63</v>
      </c>
      <c r="AX11" s="7" t="s">
        <v>95</v>
      </c>
      <c r="AY11" s="30" t="s">
        <v>95</v>
      </c>
      <c r="AZ11" s="30" t="s">
        <v>96</v>
      </c>
      <c r="BA11" s="30" t="s">
        <v>97</v>
      </c>
      <c r="BB11" s="30" t="s">
        <v>98</v>
      </c>
      <c r="BC11" s="31" t="s">
        <v>99</v>
      </c>
      <c r="BD11" s="10" t="s">
        <v>63</v>
      </c>
      <c r="BE11" s="28" t="s">
        <v>100</v>
      </c>
      <c r="BF11" s="14">
        <v>601613</v>
      </c>
      <c r="BG11" s="14">
        <v>31926819</v>
      </c>
      <c r="BH11" s="28" t="s">
        <v>101</v>
      </c>
      <c r="BI11" s="14" t="s">
        <v>102</v>
      </c>
    </row>
    <row r="12" spans="1:67" s="7" customFormat="1" ht="15.6" customHeight="1" x14ac:dyDescent="0.3">
      <c r="A12" s="7" t="s">
        <v>175</v>
      </c>
      <c r="B12" s="32" t="s">
        <v>176</v>
      </c>
      <c r="C12" s="8" t="s">
        <v>105</v>
      </c>
      <c r="D12" s="9" t="s">
        <v>106</v>
      </c>
      <c r="E12" s="10" t="s">
        <v>63</v>
      </c>
      <c r="F12" s="11" t="s">
        <v>64</v>
      </c>
      <c r="G12" s="12" t="s">
        <v>177</v>
      </c>
      <c r="H12" s="13" t="s">
        <v>66</v>
      </c>
      <c r="I12" s="14" t="s">
        <v>67</v>
      </c>
      <c r="J12" s="14" t="s">
        <v>68</v>
      </c>
      <c r="K12" s="14" t="s">
        <v>69</v>
      </c>
      <c r="L12" s="15">
        <v>45597</v>
      </c>
      <c r="M12" s="10" t="s">
        <v>63</v>
      </c>
      <c r="N12" s="16" t="s">
        <v>70</v>
      </c>
      <c r="O12" s="16" t="s">
        <v>71</v>
      </c>
      <c r="P12" s="14" t="s">
        <v>72</v>
      </c>
      <c r="Q12" s="14" t="s">
        <v>73</v>
      </c>
      <c r="R12" s="17" t="s">
        <v>74</v>
      </c>
      <c r="S12" s="14" t="s">
        <v>75</v>
      </c>
      <c r="T12" s="14" t="s">
        <v>69</v>
      </c>
      <c r="U12" s="18" t="s">
        <v>76</v>
      </c>
      <c r="V12" s="19" t="s">
        <v>77</v>
      </c>
      <c r="W12" s="14" t="s">
        <v>69</v>
      </c>
      <c r="X12" s="20">
        <f t="shared" si="0"/>
        <v>45597</v>
      </c>
      <c r="Y12" s="18">
        <f t="shared" si="1"/>
        <v>45687</v>
      </c>
      <c r="Z12" s="14" t="s">
        <v>78</v>
      </c>
      <c r="AA12" s="21" t="s">
        <v>178</v>
      </c>
      <c r="AB12" s="33" t="s">
        <v>125</v>
      </c>
      <c r="AC12" s="22" t="s">
        <v>118</v>
      </c>
      <c r="AD12" s="23" t="s">
        <v>136</v>
      </c>
      <c r="AE12" s="24">
        <v>519</v>
      </c>
      <c r="AF12" s="24" t="s">
        <v>39</v>
      </c>
      <c r="AG12" s="25">
        <v>32</v>
      </c>
      <c r="AH12" s="25">
        <v>40</v>
      </c>
      <c r="AI12" s="26" t="s">
        <v>84</v>
      </c>
      <c r="AJ12" s="23" t="s">
        <v>85</v>
      </c>
      <c r="AK12" s="27">
        <f>L12+365</f>
        <v>45962</v>
      </c>
      <c r="AL12" s="14" t="s">
        <v>87</v>
      </c>
      <c r="AM12" s="14" t="s">
        <v>110</v>
      </c>
      <c r="AN12" s="7" t="s">
        <v>111</v>
      </c>
      <c r="AO12" s="7" t="s">
        <v>91</v>
      </c>
      <c r="AP12" s="7" t="s">
        <v>91</v>
      </c>
      <c r="AQ12" s="10">
        <v>50000</v>
      </c>
      <c r="AR12" s="10" t="s">
        <v>63</v>
      </c>
      <c r="AS12" s="28" t="s">
        <v>92</v>
      </c>
      <c r="AT12" s="29" t="s">
        <v>179</v>
      </c>
      <c r="AU12" s="7" t="s">
        <v>94</v>
      </c>
      <c r="AV12" s="30">
        <v>35591</v>
      </c>
      <c r="AW12" s="10" t="s">
        <v>63</v>
      </c>
      <c r="AX12" s="7" t="s">
        <v>95</v>
      </c>
      <c r="AY12" s="30" t="s">
        <v>95</v>
      </c>
      <c r="AZ12" s="30" t="s">
        <v>96</v>
      </c>
      <c r="BA12" s="30" t="s">
        <v>97</v>
      </c>
      <c r="BB12" s="30" t="s">
        <v>98</v>
      </c>
      <c r="BC12" s="31" t="s">
        <v>99</v>
      </c>
      <c r="BD12" s="10" t="s">
        <v>63</v>
      </c>
      <c r="BE12" s="28" t="s">
        <v>100</v>
      </c>
      <c r="BF12" s="14">
        <v>601613</v>
      </c>
      <c r="BG12" s="14">
        <v>31926819</v>
      </c>
      <c r="BH12" s="28" t="s">
        <v>101</v>
      </c>
      <c r="BI12" s="14" t="s">
        <v>113</v>
      </c>
    </row>
    <row r="13" spans="1:67" s="7" customFormat="1" ht="15.6" customHeight="1" x14ac:dyDescent="0.3">
      <c r="A13" s="7" t="s">
        <v>180</v>
      </c>
      <c r="B13" s="32" t="s">
        <v>181</v>
      </c>
      <c r="C13" s="8" t="s">
        <v>61</v>
      </c>
      <c r="D13" s="9" t="s">
        <v>106</v>
      </c>
      <c r="E13" s="10" t="s">
        <v>63</v>
      </c>
      <c r="F13" s="11" t="s">
        <v>64</v>
      </c>
      <c r="G13" s="12" t="s">
        <v>182</v>
      </c>
      <c r="H13" s="13" t="s">
        <v>66</v>
      </c>
      <c r="I13" s="14" t="s">
        <v>67</v>
      </c>
      <c r="J13" s="14" t="s">
        <v>68</v>
      </c>
      <c r="K13" s="14" t="s">
        <v>69</v>
      </c>
      <c r="L13" s="15">
        <v>45597</v>
      </c>
      <c r="M13" s="10" t="s">
        <v>63</v>
      </c>
      <c r="N13" s="16" t="s">
        <v>70</v>
      </c>
      <c r="O13" s="16" t="s">
        <v>71</v>
      </c>
      <c r="P13" s="14" t="s">
        <v>72</v>
      </c>
      <c r="Q13" s="14" t="s">
        <v>73</v>
      </c>
      <c r="R13" s="17" t="s">
        <v>74</v>
      </c>
      <c r="S13" s="14" t="s">
        <v>75</v>
      </c>
      <c r="T13" s="14" t="s">
        <v>69</v>
      </c>
      <c r="U13" s="18" t="s">
        <v>76</v>
      </c>
      <c r="V13" s="19" t="s">
        <v>77</v>
      </c>
      <c r="W13" s="14" t="s">
        <v>69</v>
      </c>
      <c r="X13" s="20">
        <f t="shared" si="0"/>
        <v>45597</v>
      </c>
      <c r="Y13" s="18">
        <f t="shared" si="1"/>
        <v>45687</v>
      </c>
      <c r="Z13" s="14" t="s">
        <v>78</v>
      </c>
      <c r="AA13" s="21" t="s">
        <v>183</v>
      </c>
      <c r="AB13" s="7" t="s">
        <v>80</v>
      </c>
      <c r="AC13" s="22" t="s">
        <v>144</v>
      </c>
      <c r="AD13" s="23" t="s">
        <v>136</v>
      </c>
      <c r="AE13" s="24">
        <v>519</v>
      </c>
      <c r="AF13" s="24" t="s">
        <v>39</v>
      </c>
      <c r="AG13" s="25">
        <v>24</v>
      </c>
      <c r="AH13" s="25">
        <v>40</v>
      </c>
      <c r="AI13" s="26" t="s">
        <v>84</v>
      </c>
      <c r="AJ13" s="23" t="s">
        <v>85</v>
      </c>
      <c r="AK13" s="27" t="s">
        <v>86</v>
      </c>
      <c r="AL13" s="14" t="s">
        <v>87</v>
      </c>
      <c r="AM13" s="14" t="s">
        <v>110</v>
      </c>
      <c r="AN13" s="7" t="s">
        <v>111</v>
      </c>
      <c r="AO13" s="7" t="s">
        <v>91</v>
      </c>
      <c r="AP13" s="7" t="s">
        <v>91</v>
      </c>
      <c r="AQ13" s="10" t="s">
        <v>127</v>
      </c>
      <c r="AR13" s="10" t="s">
        <v>63</v>
      </c>
      <c r="AS13" s="28" t="s">
        <v>92</v>
      </c>
      <c r="AT13" s="29" t="s">
        <v>184</v>
      </c>
      <c r="AU13" s="7" t="s">
        <v>94</v>
      </c>
      <c r="AV13" s="30">
        <v>35591</v>
      </c>
      <c r="AW13" s="10" t="s">
        <v>63</v>
      </c>
      <c r="AX13" s="7" t="s">
        <v>95</v>
      </c>
      <c r="AY13" s="30" t="s">
        <v>95</v>
      </c>
      <c r="AZ13" s="30" t="s">
        <v>96</v>
      </c>
      <c r="BA13" s="30" t="s">
        <v>97</v>
      </c>
      <c r="BB13" s="30" t="s">
        <v>98</v>
      </c>
      <c r="BC13" s="31" t="s">
        <v>99</v>
      </c>
      <c r="BD13" s="10" t="s">
        <v>63</v>
      </c>
      <c r="BE13" s="28" t="s">
        <v>100</v>
      </c>
      <c r="BF13" s="14">
        <v>601613</v>
      </c>
      <c r="BG13" s="14">
        <v>31926819</v>
      </c>
      <c r="BH13" s="28" t="s">
        <v>101</v>
      </c>
      <c r="BI13" s="14" t="s">
        <v>113</v>
      </c>
      <c r="BN13" s="7" t="s">
        <v>146</v>
      </c>
      <c r="BO13" s="7" t="s">
        <v>147</v>
      </c>
    </row>
    <row r="14" spans="1:67" s="7" customFormat="1" ht="15.6" customHeight="1" x14ac:dyDescent="0.3">
      <c r="A14" s="7" t="s">
        <v>185</v>
      </c>
      <c r="B14" s="32" t="s">
        <v>186</v>
      </c>
      <c r="C14" s="8" t="s">
        <v>61</v>
      </c>
      <c r="D14" s="9" t="s">
        <v>187</v>
      </c>
      <c r="E14" s="34" t="s">
        <v>63</v>
      </c>
      <c r="F14" s="35" t="s">
        <v>188</v>
      </c>
      <c r="G14" s="12" t="s">
        <v>189</v>
      </c>
      <c r="H14" s="13" t="s">
        <v>66</v>
      </c>
      <c r="I14" s="36" t="s">
        <v>67</v>
      </c>
      <c r="J14" s="36" t="s">
        <v>68</v>
      </c>
      <c r="K14" s="36" t="s">
        <v>69</v>
      </c>
      <c r="L14" s="15">
        <v>45597</v>
      </c>
      <c r="M14" s="34" t="s">
        <v>63</v>
      </c>
      <c r="N14" s="16" t="s">
        <v>190</v>
      </c>
      <c r="O14" s="16" t="s">
        <v>191</v>
      </c>
      <c r="P14" s="14" t="s">
        <v>192</v>
      </c>
      <c r="Q14" s="14" t="s">
        <v>193</v>
      </c>
      <c r="R14" s="17" t="s">
        <v>194</v>
      </c>
      <c r="S14" s="14" t="s">
        <v>193</v>
      </c>
      <c r="T14" s="36" t="s">
        <v>69</v>
      </c>
      <c r="U14" s="37" t="s">
        <v>76</v>
      </c>
      <c r="V14" s="38" t="s">
        <v>77</v>
      </c>
      <c r="W14" s="36" t="s">
        <v>69</v>
      </c>
      <c r="X14" s="20">
        <f t="shared" si="0"/>
        <v>45597</v>
      </c>
      <c r="Y14" s="18">
        <f t="shared" si="1"/>
        <v>45687</v>
      </c>
      <c r="Z14" s="36" t="s">
        <v>78</v>
      </c>
      <c r="AA14" s="36" t="s">
        <v>79</v>
      </c>
      <c r="AB14" s="39" t="s">
        <v>80</v>
      </c>
      <c r="AC14" s="39" t="s">
        <v>81</v>
      </c>
      <c r="AD14" s="39" t="s">
        <v>136</v>
      </c>
      <c r="AE14" s="40">
        <v>457</v>
      </c>
      <c r="AF14" s="40" t="s">
        <v>39</v>
      </c>
      <c r="AG14" s="41">
        <v>15</v>
      </c>
      <c r="AH14" s="25">
        <v>40</v>
      </c>
      <c r="AI14" s="42" t="s">
        <v>84</v>
      </c>
      <c r="AJ14" s="39" t="s">
        <v>195</v>
      </c>
      <c r="AK14" s="43" t="s">
        <v>86</v>
      </c>
      <c r="AL14" s="14" t="s">
        <v>87</v>
      </c>
      <c r="AM14" s="44" t="s">
        <v>88</v>
      </c>
      <c r="AN14" s="39" t="s">
        <v>196</v>
      </c>
      <c r="AO14" s="39" t="s">
        <v>197</v>
      </c>
      <c r="AP14" s="39" t="s">
        <v>198</v>
      </c>
      <c r="AQ14" s="10" t="s">
        <v>91</v>
      </c>
      <c r="AR14" s="10" t="s">
        <v>63</v>
      </c>
      <c r="AS14" s="28" t="s">
        <v>92</v>
      </c>
      <c r="AT14" s="29" t="s">
        <v>199</v>
      </c>
      <c r="AU14" s="7" t="s">
        <v>200</v>
      </c>
      <c r="AV14" s="30">
        <v>38081</v>
      </c>
      <c r="AW14" s="10" t="s">
        <v>63</v>
      </c>
      <c r="AX14" s="7" t="s">
        <v>193</v>
      </c>
      <c r="AY14" s="30" t="s">
        <v>193</v>
      </c>
      <c r="AZ14" s="30" t="s">
        <v>201</v>
      </c>
      <c r="BA14" s="30">
        <v>45020</v>
      </c>
      <c r="BB14" s="45" t="s">
        <v>202</v>
      </c>
      <c r="BC14" s="46" t="s">
        <v>203</v>
      </c>
      <c r="BD14" s="10" t="s">
        <v>63</v>
      </c>
      <c r="BE14" s="10" t="s">
        <v>204</v>
      </c>
      <c r="BF14" s="44">
        <v>200052</v>
      </c>
      <c r="BG14" s="44">
        <v>75849856</v>
      </c>
      <c r="BH14" s="28" t="s">
        <v>101</v>
      </c>
      <c r="BI14" t="s">
        <v>205</v>
      </c>
    </row>
    <row r="15" spans="1:67" s="7" customFormat="1" ht="15.6" customHeight="1" x14ac:dyDescent="0.3">
      <c r="A15" s="7" t="s">
        <v>206</v>
      </c>
      <c r="B15" s="32" t="s">
        <v>207</v>
      </c>
      <c r="C15" s="8" t="s">
        <v>61</v>
      </c>
      <c r="D15" s="9" t="s">
        <v>187</v>
      </c>
      <c r="E15" s="34" t="s">
        <v>63</v>
      </c>
      <c r="F15" s="11" t="s">
        <v>208</v>
      </c>
      <c r="G15" s="12" t="s">
        <v>209</v>
      </c>
      <c r="H15" s="13" t="s">
        <v>66</v>
      </c>
      <c r="I15" s="36" t="s">
        <v>67</v>
      </c>
      <c r="J15" s="36" t="s">
        <v>68</v>
      </c>
      <c r="K15" s="36" t="s">
        <v>69</v>
      </c>
      <c r="L15" s="15">
        <v>45597</v>
      </c>
      <c r="M15" s="34" t="s">
        <v>63</v>
      </c>
      <c r="N15" s="16" t="s">
        <v>190</v>
      </c>
      <c r="O15" s="16" t="s">
        <v>191</v>
      </c>
      <c r="P15" s="14" t="s">
        <v>192</v>
      </c>
      <c r="Q15" s="14" t="s">
        <v>193</v>
      </c>
      <c r="R15" s="17" t="s">
        <v>194</v>
      </c>
      <c r="S15" s="14" t="s">
        <v>193</v>
      </c>
      <c r="T15" s="36" t="s">
        <v>69</v>
      </c>
      <c r="U15" s="37" t="s">
        <v>76</v>
      </c>
      <c r="V15" s="38" t="s">
        <v>77</v>
      </c>
      <c r="W15" s="36" t="s">
        <v>69</v>
      </c>
      <c r="X15" s="20">
        <f t="shared" si="0"/>
        <v>45597</v>
      </c>
      <c r="Y15" s="18">
        <f t="shared" si="1"/>
        <v>45687</v>
      </c>
      <c r="Z15" s="36" t="s">
        <v>78</v>
      </c>
      <c r="AA15" s="36" t="s">
        <v>79</v>
      </c>
      <c r="AB15" s="39" t="s">
        <v>210</v>
      </c>
      <c r="AC15" s="47" t="s">
        <v>81</v>
      </c>
      <c r="AD15" s="39" t="s">
        <v>211</v>
      </c>
      <c r="AE15" s="40">
        <v>457</v>
      </c>
      <c r="AF15" s="40" t="s">
        <v>83</v>
      </c>
      <c r="AG15" s="41">
        <v>25</v>
      </c>
      <c r="AH15" s="41">
        <v>40</v>
      </c>
      <c r="AI15" s="42" t="s">
        <v>84</v>
      </c>
      <c r="AJ15" s="39" t="s">
        <v>85</v>
      </c>
      <c r="AK15" s="27">
        <f>L15+365</f>
        <v>45962</v>
      </c>
      <c r="AL15" s="14" t="s">
        <v>87</v>
      </c>
      <c r="AM15" s="44" t="s">
        <v>88</v>
      </c>
      <c r="AN15" s="39" t="s">
        <v>212</v>
      </c>
      <c r="AO15" s="39" t="s">
        <v>197</v>
      </c>
      <c r="AP15" s="39" t="s">
        <v>198</v>
      </c>
      <c r="AQ15" s="10" t="s">
        <v>91</v>
      </c>
      <c r="AR15" s="10" t="s">
        <v>63</v>
      </c>
      <c r="AS15" s="28" t="s">
        <v>92</v>
      </c>
      <c r="AT15" s="29" t="s">
        <v>213</v>
      </c>
      <c r="AU15" s="7" t="s">
        <v>94</v>
      </c>
      <c r="AV15" s="30" t="s">
        <v>214</v>
      </c>
      <c r="AW15" s="10" t="s">
        <v>63</v>
      </c>
      <c r="AX15" s="7" t="s">
        <v>193</v>
      </c>
      <c r="AY15" s="30" t="s">
        <v>193</v>
      </c>
      <c r="AZ15" s="30" t="s">
        <v>215</v>
      </c>
      <c r="BA15" s="30" t="s">
        <v>216</v>
      </c>
      <c r="BB15" s="45" t="s">
        <v>98</v>
      </c>
      <c r="BC15" s="46" t="s">
        <v>203</v>
      </c>
      <c r="BD15" s="10" t="s">
        <v>63</v>
      </c>
      <c r="BE15" s="10" t="s">
        <v>204</v>
      </c>
      <c r="BF15" s="44">
        <v>200052</v>
      </c>
      <c r="BG15" s="44">
        <v>75849858</v>
      </c>
      <c r="BH15" s="28" t="s">
        <v>101</v>
      </c>
      <c r="BI15" t="s">
        <v>205</v>
      </c>
    </row>
    <row r="16" spans="1:67" s="7" customFormat="1" ht="15.6" customHeight="1" x14ac:dyDescent="0.3">
      <c r="A16" s="7" t="s">
        <v>217</v>
      </c>
      <c r="B16" s="32" t="s">
        <v>218</v>
      </c>
      <c r="C16" s="8" t="s">
        <v>61</v>
      </c>
      <c r="D16" s="9" t="s">
        <v>187</v>
      </c>
      <c r="E16" s="34" t="s">
        <v>63</v>
      </c>
      <c r="F16" s="11" t="s">
        <v>208</v>
      </c>
      <c r="G16" s="12" t="s">
        <v>219</v>
      </c>
      <c r="H16" s="13" t="s">
        <v>66</v>
      </c>
      <c r="I16" s="36" t="s">
        <v>67</v>
      </c>
      <c r="J16" s="36" t="s">
        <v>68</v>
      </c>
      <c r="K16" s="36" t="s">
        <v>69</v>
      </c>
      <c r="L16" s="15">
        <v>45597</v>
      </c>
      <c r="M16" s="34" t="s">
        <v>63</v>
      </c>
      <c r="N16" s="16" t="s">
        <v>190</v>
      </c>
      <c r="O16" s="16" t="s">
        <v>191</v>
      </c>
      <c r="P16" s="14" t="s">
        <v>192</v>
      </c>
      <c r="Q16" s="14" t="s">
        <v>193</v>
      </c>
      <c r="R16" s="17" t="s">
        <v>194</v>
      </c>
      <c r="S16" s="14" t="s">
        <v>193</v>
      </c>
      <c r="T16" s="36" t="s">
        <v>69</v>
      </c>
      <c r="U16" s="37" t="s">
        <v>76</v>
      </c>
      <c r="V16" s="38" t="s">
        <v>77</v>
      </c>
      <c r="W16" s="36" t="s">
        <v>69</v>
      </c>
      <c r="X16" s="20">
        <f t="shared" si="0"/>
        <v>45597</v>
      </c>
      <c r="Y16" s="18">
        <f t="shared" si="1"/>
        <v>45687</v>
      </c>
      <c r="Z16" s="36" t="s">
        <v>78</v>
      </c>
      <c r="AA16" s="36" t="s">
        <v>79</v>
      </c>
      <c r="AB16" s="39" t="s">
        <v>220</v>
      </c>
      <c r="AC16" s="47" t="s">
        <v>81</v>
      </c>
      <c r="AD16" s="39" t="s">
        <v>221</v>
      </c>
      <c r="AE16" s="40">
        <v>457</v>
      </c>
      <c r="AF16" s="40" t="s">
        <v>39</v>
      </c>
      <c r="AG16" s="41">
        <v>37.5</v>
      </c>
      <c r="AH16" s="41">
        <v>37.5</v>
      </c>
      <c r="AI16" s="42" t="s">
        <v>84</v>
      </c>
      <c r="AJ16" s="39" t="s">
        <v>85</v>
      </c>
      <c r="AK16" s="27">
        <f>L16+365</f>
        <v>45962</v>
      </c>
      <c r="AL16" s="14" t="s">
        <v>87</v>
      </c>
      <c r="AM16" s="44" t="s">
        <v>88</v>
      </c>
      <c r="AN16" s="39" t="s">
        <v>222</v>
      </c>
      <c r="AO16" s="39" t="s">
        <v>197</v>
      </c>
      <c r="AP16" s="39" t="s">
        <v>198</v>
      </c>
      <c r="AQ16" s="10" t="s">
        <v>91</v>
      </c>
      <c r="AR16" s="10" t="s">
        <v>63</v>
      </c>
      <c r="AS16" s="28" t="s">
        <v>92</v>
      </c>
      <c r="AT16" s="29" t="s">
        <v>223</v>
      </c>
      <c r="AU16" s="7" t="s">
        <v>94</v>
      </c>
      <c r="AV16" s="30" t="s">
        <v>224</v>
      </c>
      <c r="AW16" s="10" t="s">
        <v>63</v>
      </c>
      <c r="AX16" s="7" t="s">
        <v>193</v>
      </c>
      <c r="AY16" s="30" t="s">
        <v>193</v>
      </c>
      <c r="AZ16" s="30" t="s">
        <v>96</v>
      </c>
      <c r="BA16" s="30">
        <v>44197</v>
      </c>
      <c r="BB16" s="45" t="s">
        <v>225</v>
      </c>
      <c r="BC16" s="46" t="s">
        <v>203</v>
      </c>
      <c r="BD16" s="10" t="s">
        <v>63</v>
      </c>
      <c r="BE16" s="10" t="s">
        <v>204</v>
      </c>
      <c r="BF16" s="44">
        <v>200052</v>
      </c>
      <c r="BG16" s="44">
        <v>75849861</v>
      </c>
      <c r="BH16" s="28" t="s">
        <v>101</v>
      </c>
      <c r="BI16" t="s">
        <v>205</v>
      </c>
    </row>
  </sheetData>
  <dataValidations count="2">
    <dataValidation type="list" allowBlank="1" showInputMessage="1" showErrorMessage="1" sqref="BH10:BH16 Z10:Z16 W10:W16 T10:T16 K10:K16" xr:uid="{00000000-0002-0000-0000-000000000000}">
      <formula1>INDIRECT($E2)</formula1>
    </dataValidation>
    <dataValidation type="list" allowBlank="1" showInputMessage="1" showErrorMessage="1" sqref="BH2:BH16 Z2:Z16 W2:W16 T2:T16 K2:K16" xr:uid="{00000000-0002-0000-0000-000001000000}">
      <formula1>INDIRECT($E2)</formula1>
    </dataValidation>
  </dataValidations>
  <hyperlinks>
    <hyperlink ref="V2" r:id="rId1" xr:uid="{00000000-0004-0000-0000-000000000000}"/>
    <hyperlink ref="AI2" r:id="rId2" xr:uid="{00000000-0004-0000-0000-000001000000}"/>
    <hyperlink ref="V3" r:id="rId3" xr:uid="{00000000-0004-0000-0000-000002000000}"/>
    <hyperlink ref="AI3" r:id="rId4" xr:uid="{00000000-0004-0000-0000-000003000000}"/>
    <hyperlink ref="V4" r:id="rId5" xr:uid="{00000000-0004-0000-0000-000004000000}"/>
    <hyperlink ref="AI4" r:id="rId6" xr:uid="{00000000-0004-0000-0000-000005000000}"/>
    <hyperlink ref="V5" r:id="rId7" xr:uid="{00000000-0004-0000-0000-000006000000}"/>
    <hyperlink ref="V6" r:id="rId8" xr:uid="{00000000-0004-0000-0000-000007000000}"/>
    <hyperlink ref="V7" r:id="rId9" xr:uid="{00000000-0004-0000-0000-000008000000}"/>
    <hyperlink ref="V8" r:id="rId10" xr:uid="{00000000-0004-0000-0000-000009000000}"/>
    <hyperlink ref="V9" r:id="rId11" xr:uid="{00000000-0004-0000-0000-00000A000000}"/>
    <hyperlink ref="V10" r:id="rId12" xr:uid="{00000000-0004-0000-0000-00000B000000}"/>
    <hyperlink ref="V11" r:id="rId13" xr:uid="{00000000-0004-0000-0000-00000C000000}"/>
    <hyperlink ref="V12" r:id="rId14" xr:uid="{00000000-0004-0000-0000-00000D000000}"/>
    <hyperlink ref="V13" r:id="rId15" xr:uid="{00000000-0004-0000-0000-00000E000000}"/>
    <hyperlink ref="V14" r:id="rId16" xr:uid="{00000000-0004-0000-0000-00000F000000}"/>
    <hyperlink ref="AI14" r:id="rId17" xr:uid="{00000000-0004-0000-0000-000010000000}"/>
    <hyperlink ref="V15" r:id="rId18" xr:uid="{00000000-0004-0000-0000-000011000000}"/>
    <hyperlink ref="V16" r:id="rId19" xr:uid="{00000000-0004-0000-0000-000012000000}"/>
  </hyperlinks>
  <pageMargins left="0.7" right="0.7" top="0.75" bottom="0.75" header="0.3" footer="0.3"/>
  <pageSetup paperSize="9" orientation="portrait" useFirstPageNumber="1" horizontalDpi="4294967295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2025-04-21T09:59:34Z</dcterms:modified>
</cp:coreProperties>
</file>