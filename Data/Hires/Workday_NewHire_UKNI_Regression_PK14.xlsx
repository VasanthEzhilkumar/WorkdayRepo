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B676BF72-2AE5-4BD9-B6BA-E35A66A0ED2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definedNames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" i="2" l="1"/>
  <c r="Y16" i="2"/>
  <c r="X16" i="2"/>
  <c r="AK15" i="2"/>
  <c r="Y15" i="2"/>
  <c r="X15" i="2"/>
  <c r="X14" i="2"/>
  <c r="Y14" i="2" s="1"/>
  <c r="X13" i="2"/>
  <c r="Y13" i="2" s="1"/>
  <c r="AK12" i="2"/>
  <c r="X12" i="2"/>
  <c r="Y12" i="2" s="1"/>
  <c r="Y11" i="2"/>
  <c r="X11" i="2"/>
  <c r="X10" i="2"/>
  <c r="Y10" i="2" s="1"/>
  <c r="Y9" i="2"/>
  <c r="X9" i="2"/>
  <c r="X8" i="2"/>
  <c r="Y8" i="2" s="1"/>
  <c r="AK7" i="2"/>
  <c r="X7" i="2"/>
  <c r="Y7" i="2" s="1"/>
  <c r="X6" i="2"/>
  <c r="Y6" i="2" s="1"/>
  <c r="AK5" i="2"/>
  <c r="X5" i="2"/>
  <c r="Y5" i="2" s="1"/>
  <c r="Y4" i="2"/>
  <c r="X4" i="2"/>
  <c r="X3" i="2"/>
  <c r="Y3" i="2" s="1"/>
  <c r="Y2" i="2"/>
  <c r="X2" i="2"/>
</calcChain>
</file>

<file path=xl/sharedStrings.xml><?xml version="1.0" encoding="utf-8"?>
<sst xmlns="http://schemas.openxmlformats.org/spreadsheetml/2006/main" count="848" uniqueCount="226">
  <si>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</si>
  <si>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</si>
  <si>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</si>
  <si>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</si>
  <si>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</si>
  <si>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</si>
  <si>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</si>
  <si>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</si>
  <si>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</si>
  <si>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</si>
  <si>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</si>
  <si>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</si>
  <si>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</si>
  <si>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</si>
  <si>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</si>
  <si>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</si>
  <si>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</si>
  <si>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</si>
  <si>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</si>
  <si>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</si>
  <si>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</si>
  <si>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</si>
  <si>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</si>
  <si>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</si>
  <si>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</si>
  <si>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</si>
  <si>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</si>
  <si>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</si>
  <si>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</si>
  <si>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</si>
  <si>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</si>
  <si>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</si>
  <si>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</si>
  <si>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</si>
  <si>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</si>
  <si>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</si>
  <si>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</si>
  <si>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</si>
  <si>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</si>
  <si>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</si>
  <si>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</si>
  <si>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</si>
  <si>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</si>
  <si>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</si>
  <si>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</si>
  <si>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</si>
  <si>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</si>
  <si>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</si>
  <si>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</si>
  <si>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</si>
  <si>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</si>
  <si>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</si>
  <si>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</si>
  <si>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</si>
  <si>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</si>
  <si>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</si>
  <si>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</si>
  <si>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</si>
  <si>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</si>
  <si>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</si>
  <si>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10697964</t>
  </si>
  <si>
    <t>Passed</t>
  </si>
  <si>
    <t>519 Recruitment (Zerab Sepupu (9575064) (Inherited))</t>
  </si>
  <si>
    <t>United Kingdom</t>
  </si>
  <si>
    <t>Mr.</t>
  </si>
  <si>
    <t>UkOne</t>
  </si>
  <si>
    <t>TwentyFiveAprilTwentyOne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</si>
  <si>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</si>
  <si>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</si>
  <si>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</si>
  <si>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</si>
  <si>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</si>
  <si>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</si>
  <si>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</si>
  <si>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</si>
  <si>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</si>
  <si>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</si>
  <si>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</si>
  <si>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</si>
  <si>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</si>
  <si>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</si>
  <si>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</si>
  <si>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</si>
  <si>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</si>
  <si>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</si>
  <si>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</si>
  <si>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</si>
  <si>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</si>
  <si>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</si>
  <si>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</si>
  <si>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</si>
  <si>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</si>
  <si>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</si>
  <si>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AB911865A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</si>
  <si>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</si>
  <si>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</si>
  <si>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</si>
  <si>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</si>
  <si>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</si>
  <si>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</si>
  <si>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</si>
  <si>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</si>
  <si>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</si>
  <si>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</si>
  <si>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 xml:space="preserve">Test failed for 'UkTwo TwentyFiveAprilTwentyOne' Employee:{10697965}TimeoutError: locator.click: Timeout 30000ms exceeded.
Call log:
  [2m- waiting for locator('//div[@data-automation-id="tooltipsWrapper"]/button[@data-automation-id="inbox_preview"]').first()[22m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#55[22m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#56[22m
[2m  -   waiting 500ms[22m
[2m  -   waiting for element to be visible, enabled and stable[22m
[2m  -   element is visible, enabled and stable[22m
[2m  -   scrolling into view if needed[22m
[2m  -   done scrolling[22m
[2m  -   &lt;div role="none" class="css-1jo90af"&gt;…&lt;/div&gt; from &lt;section aria-live="polite" aria-label="Notifications"&gt;…&lt;/section&gt; subtree intercepts pointer events[22m
[2m  - retrying click action, attempt #57[22m
[2m  -   waiting 500ms[22m
</t>
  </si>
  <si>
    <t>Failed</t>
  </si>
  <si>
    <t>519 Store Management (Zerab Sepupu (9575064))</t>
  </si>
  <si>
    <t>UkTwo</t>
  </si>
  <si>
    <t>Auto 56568486</t>
  </si>
  <si>
    <t>Store Manager</t>
  </si>
  <si>
    <t xml:space="preserve">92 Retail Management </t>
  </si>
  <si>
    <t xml:space="preserve">251 Management Retail </t>
  </si>
  <si>
    <t>AB911866A</t>
  </si>
  <si>
    <t>UK Management Group 60</t>
  </si>
  <si>
    <t>Test3</t>
  </si>
  <si>
    <t>Test failed for 'UkThree TwentyFiveAprilTwentyOne' Employee: Errors and AlertsErrorPage Error- You have not entered an amount within the Compensation Guidelines.     (Employee Compensation Event For Hire Employee) &amp; find failed Screenshot Path:-&gt;H:\WorkdayPlaywright/WorkdayFailedScreenshot/2025-04-21T07-30-16-183Z.png</t>
  </si>
  <si>
    <t>UkThree</t>
  </si>
  <si>
    <t>Auto 79087609</t>
  </si>
  <si>
    <t>Assistant Manager</t>
  </si>
  <si>
    <t>AB911867A</t>
  </si>
  <si>
    <t>Passed after removing Grade Profile and Step</t>
  </si>
  <si>
    <t>Test4</t>
  </si>
  <si>
    <t>10697966</t>
  </si>
  <si>
    <t>UkFour</t>
  </si>
  <si>
    <t>Auto 73423397</t>
  </si>
  <si>
    <t>Fixed Term (Fixed Term)</t>
  </si>
  <si>
    <t>Department Manager</t>
  </si>
  <si>
    <t>50000</t>
  </si>
  <si>
    <t>AB911868A</t>
  </si>
  <si>
    <t>UK Department Manager 1</t>
  </si>
  <si>
    <t>Initial Step-UK DM1</t>
  </si>
  <si>
    <t>Test5</t>
  </si>
  <si>
    <t>10697967</t>
  </si>
  <si>
    <t>UkFive</t>
  </si>
  <si>
    <t>Auto 80768499</t>
  </si>
  <si>
    <t>Team Manager - Retail</t>
  </si>
  <si>
    <t>Part time</t>
  </si>
  <si>
    <t>AB911869A</t>
  </si>
  <si>
    <t>Retail - Team Manager</t>
  </si>
  <si>
    <t>Initial Step-GB TM</t>
  </si>
  <si>
    <t>Test6</t>
  </si>
  <si>
    <t>10697968</t>
  </si>
  <si>
    <t>UkSix</t>
  </si>
  <si>
    <t>Auto 69473062</t>
  </si>
  <si>
    <t>Visual Merchandising Manager</t>
  </si>
  <si>
    <t>AB911870A</t>
  </si>
  <si>
    <t>UK Visual Merchandising Manager 1</t>
  </si>
  <si>
    <t>Initial Step-GB VM1</t>
  </si>
  <si>
    <t>Test7</t>
  </si>
  <si>
    <t>10697969</t>
  </si>
  <si>
    <t>UkSeven</t>
  </si>
  <si>
    <t>Auto 13611941</t>
  </si>
  <si>
    <t>P&amp;C Manager Stores</t>
  </si>
  <si>
    <t>AB911871A</t>
  </si>
  <si>
    <t>UK Assistant Manager</t>
  </si>
  <si>
    <t xml:space="preserve">Initial Step-UK AM </t>
  </si>
  <si>
    <t>Test8</t>
  </si>
  <si>
    <t>10697970</t>
  </si>
  <si>
    <t>UkEight</t>
  </si>
  <si>
    <t>261 Tills</t>
  </si>
  <si>
    <t>AB911872A</t>
  </si>
  <si>
    <t>Test9</t>
  </si>
  <si>
    <t>10697971</t>
  </si>
  <si>
    <t>UkNine</t>
  </si>
  <si>
    <t>Visual Merchandiser</t>
  </si>
  <si>
    <t>256 Visual Merchandising</t>
  </si>
  <si>
    <t>VM Hourly Rates - Pay Zone National - 23 Years and Over</t>
  </si>
  <si>
    <t>Initial Step-GB VM Nat -23+</t>
  </si>
  <si>
    <t>AB911873A</t>
  </si>
  <si>
    <t>Test10</t>
  </si>
  <si>
    <t>10697972</t>
  </si>
  <si>
    <t>UkTen</t>
  </si>
  <si>
    <t>Supervisor</t>
  </si>
  <si>
    <t>250 Human Resources Retail</t>
  </si>
  <si>
    <t>AB911874A</t>
  </si>
  <si>
    <t>Test11</t>
  </si>
  <si>
    <t>Test failed for 'UkEleven TwentyFiveAprilTwentyOne' Employee: Errors and AlertsErrorPage Error- You have not entered an amount within the Compensation Guidelines.     (Employee Compensation Event For Hire Employee) &amp; find failed Screenshot Path:-&gt;H:\WorkdayPlaywright/WorkdayFailedScreenshot/2025-04-21T09-06-07-602Z.png</t>
  </si>
  <si>
    <t>UkEleven</t>
  </si>
  <si>
    <t>Auto 19785937</t>
  </si>
  <si>
    <t>AB911875A</t>
  </si>
  <si>
    <t>Test12</t>
  </si>
  <si>
    <t>10697973</t>
  </si>
  <si>
    <t>UkTwelve</t>
  </si>
  <si>
    <t>Auto 913764</t>
  </si>
  <si>
    <t>AB911876A</t>
  </si>
  <si>
    <t>Test13</t>
  </si>
  <si>
    <t>10697974</t>
  </si>
  <si>
    <t>457 Recruitment (Vyzeb Vizupe (9457836))</t>
  </si>
  <si>
    <t>Ms</t>
  </si>
  <si>
    <t>UkThirteen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</si>
  <si>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</si>
  <si>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</si>
  <si>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</si>
  <si>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</si>
  <si>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</si>
  <si>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</si>
  <si>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</si>
  <si>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</si>
  <si>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</si>
  <si>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AB911877A</t>
  </si>
  <si>
    <t>Female</t>
  </si>
  <si>
    <t>Civil Partnership</t>
  </si>
  <si>
    <t>White - Gypsy or Irish Traveller</t>
  </si>
  <si>
    <t>Protestant</t>
  </si>
  <si>
    <t>Barclays Bank</t>
  </si>
  <si>
    <t>UK NI Group 40</t>
  </si>
  <si>
    <t>Test14</t>
  </si>
  <si>
    <t>10697975</t>
  </si>
  <si>
    <t xml:space="preserve">Mr. </t>
  </si>
  <si>
    <t>UkFourteen</t>
  </si>
  <si>
    <t>Intern</t>
  </si>
  <si>
    <t>Part Time</t>
  </si>
  <si>
    <t>07 Footwear</t>
  </si>
  <si>
    <t>AB911878A</t>
  </si>
  <si>
    <t>20/06/2004</t>
  </si>
  <si>
    <t>Registered Partnership</t>
  </si>
  <si>
    <t>15/04/2023</t>
  </si>
  <si>
    <t>Test15</t>
  </si>
  <si>
    <t>10697976</t>
  </si>
  <si>
    <t>UkFifteen</t>
  </si>
  <si>
    <t>Temporary</t>
  </si>
  <si>
    <t>Full Time</t>
  </si>
  <si>
    <t>255 Stockroom</t>
  </si>
  <si>
    <t>AB911879A</t>
  </si>
  <si>
    <t>31/10/2000</t>
  </si>
  <si>
    <t>Mixed/Multiple Ethnic Groups - White and Black Carribbean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</si>
</sst>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6"/>
  <sheetViews>
    <sheetView tabSelected="1" zoomScaleNormal="100" workbookViewId="0">
      <selection activeCell="C8" sqref="C8"/>
    </sheetView>
  </sheetViews>
  <sheetFormatPr defaultColWidth="8.90625" defaultRowHeight="15.65" customHeight="1" x14ac:dyDescent="0.35"/>
  <cols>
    <col min="1" max="1" width="12.1796875" style="1" customWidth="1"/>
    <col min="2" max="2" width="9.179687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62" width="8.90625" style="1" customWidth="1"/>
    <col min="63" max="16384" width="8.90625" style="1"/>
  </cols>
  <sheetData>
    <row r="1" spans="1:67" s="2" customFormat="1" ht="15.5" x14ac:dyDescent="0.3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5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45597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45597</v>
      </c>
      <c r="Y2" s="18">
        <f t="shared" ref="Y2:Y16" si="1">X2+90</f>
        <v>45687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5">
      <c r="A3" s="7" t="s">
        <v>103</v>
      </c>
      <c r="B3" s="32" t="s">
        <v>104</v>
      </c>
      <c r="C3" s="8" t="s">
        <v>105</v>
      </c>
      <c r="D3" s="9" t="s">
        <v>106</v>
      </c>
      <c r="E3" s="10" t="s">
        <v>63</v>
      </c>
      <c r="F3" s="11" t="s">
        <v>64</v>
      </c>
      <c r="G3" s="12" t="s">
        <v>107</v>
      </c>
      <c r="H3" s="13" t="s">
        <v>66</v>
      </c>
      <c r="I3" s="14" t="s">
        <v>67</v>
      </c>
      <c r="J3" s="14" t="s">
        <v>68</v>
      </c>
      <c r="K3" s="14" t="s">
        <v>69</v>
      </c>
      <c r="L3" s="15">
        <v>45597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45597</v>
      </c>
      <c r="Y3" s="18">
        <f t="shared" si="1"/>
        <v>45687</v>
      </c>
      <c r="Z3" s="14" t="s">
        <v>78</v>
      </c>
      <c r="AA3" s="21" t="s">
        <v>108</v>
      </c>
      <c r="AB3" s="7" t="s">
        <v>80</v>
      </c>
      <c r="AC3" s="22" t="s">
        <v>109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110</v>
      </c>
      <c r="AN3" s="7" t="s">
        <v>111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113</v>
      </c>
    </row>
    <row r="4" spans="1:67" s="7" customFormat="1" ht="15" customHeight="1" x14ac:dyDescent="0.35">
      <c r="A4" s="7" t="s">
        <v>114</v>
      </c>
      <c r="B4" s="32" t="s">
        <v>115</v>
      </c>
      <c r="C4" s="8" t="s">
        <v>105</v>
      </c>
      <c r="D4" s="9" t="s">
        <v>106</v>
      </c>
      <c r="E4" s="10" t="s">
        <v>63</v>
      </c>
      <c r="F4" s="11" t="s">
        <v>64</v>
      </c>
      <c r="G4" s="12" t="s">
        <v>116</v>
      </c>
      <c r="H4" s="13" t="s">
        <v>66</v>
      </c>
      <c r="I4" s="14" t="s">
        <v>67</v>
      </c>
      <c r="J4" s="14" t="s">
        <v>68</v>
      </c>
      <c r="K4" s="14" t="s">
        <v>69</v>
      </c>
      <c r="L4" s="15">
        <v>45597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45597</v>
      </c>
      <c r="Y4" s="18">
        <f t="shared" si="1"/>
        <v>45687</v>
      </c>
      <c r="Z4" s="14" t="s">
        <v>78</v>
      </c>
      <c r="AA4" s="21" t="s">
        <v>117</v>
      </c>
      <c r="AB4" s="7" t="s">
        <v>80</v>
      </c>
      <c r="AC4" s="22" t="s">
        <v>118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110</v>
      </c>
      <c r="AN4" s="7" t="s">
        <v>111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119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113</v>
      </c>
      <c r="BJ4" s="7" t="s">
        <v>120</v>
      </c>
    </row>
    <row r="5" spans="1:67" s="7" customFormat="1" ht="15.65" customHeight="1" x14ac:dyDescent="0.35">
      <c r="A5" s="7" t="s">
        <v>121</v>
      </c>
      <c r="B5" s="32" t="s">
        <v>122</v>
      </c>
      <c r="C5" s="8" t="s">
        <v>61</v>
      </c>
      <c r="D5" s="9" t="s">
        <v>106</v>
      </c>
      <c r="E5" s="10" t="s">
        <v>63</v>
      </c>
      <c r="F5" s="11" t="s">
        <v>64</v>
      </c>
      <c r="G5" s="12" t="s">
        <v>123</v>
      </c>
      <c r="H5" s="13" t="s">
        <v>66</v>
      </c>
      <c r="I5" s="14" t="s">
        <v>67</v>
      </c>
      <c r="J5" s="14" t="s">
        <v>68</v>
      </c>
      <c r="K5" s="14" t="s">
        <v>69</v>
      </c>
      <c r="L5" s="15">
        <v>45597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45597</v>
      </c>
      <c r="Y5" s="18">
        <f t="shared" si="1"/>
        <v>45687</v>
      </c>
      <c r="Z5" s="14" t="s">
        <v>78</v>
      </c>
      <c r="AA5" s="21" t="s">
        <v>124</v>
      </c>
      <c r="AB5" s="33" t="s">
        <v>125</v>
      </c>
      <c r="AC5" s="22" t="s">
        <v>126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45962</v>
      </c>
      <c r="AL5" s="14" t="s">
        <v>87</v>
      </c>
      <c r="AM5" s="14" t="s">
        <v>110</v>
      </c>
      <c r="AN5" s="7" t="s">
        <v>111</v>
      </c>
      <c r="AO5" s="7" t="s">
        <v>91</v>
      </c>
      <c r="AP5" s="7" t="s">
        <v>91</v>
      </c>
      <c r="AQ5" s="10" t="s">
        <v>127</v>
      </c>
      <c r="AR5" s="10" t="s">
        <v>63</v>
      </c>
      <c r="AS5" s="28" t="s">
        <v>92</v>
      </c>
      <c r="AT5" s="29" t="s">
        <v>128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113</v>
      </c>
      <c r="BJ5" s="7" t="s">
        <v>120</v>
      </c>
      <c r="BN5" s="32" t="s">
        <v>129</v>
      </c>
      <c r="BO5" s="7" t="s">
        <v>130</v>
      </c>
    </row>
    <row r="6" spans="1:67" s="7" customFormat="1" ht="15.65" customHeight="1" x14ac:dyDescent="0.35">
      <c r="A6" s="7" t="s">
        <v>131</v>
      </c>
      <c r="B6" s="32" t="s">
        <v>132</v>
      </c>
      <c r="C6" s="8" t="s">
        <v>61</v>
      </c>
      <c r="D6" s="9" t="s">
        <v>106</v>
      </c>
      <c r="E6" s="10" t="s">
        <v>63</v>
      </c>
      <c r="F6" s="11" t="s">
        <v>64</v>
      </c>
      <c r="G6" s="12" t="s">
        <v>133</v>
      </c>
      <c r="H6" s="13" t="s">
        <v>66</v>
      </c>
      <c r="I6" s="14" t="s">
        <v>67</v>
      </c>
      <c r="J6" s="14" t="s">
        <v>68</v>
      </c>
      <c r="K6" s="14" t="s">
        <v>69</v>
      </c>
      <c r="L6" s="15">
        <v>45597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45597</v>
      </c>
      <c r="Y6" s="18">
        <f t="shared" si="1"/>
        <v>45687</v>
      </c>
      <c r="Z6" s="14" t="s">
        <v>78</v>
      </c>
      <c r="AA6" s="21" t="s">
        <v>134</v>
      </c>
      <c r="AB6" s="7" t="s">
        <v>80</v>
      </c>
      <c r="AC6" s="22" t="s">
        <v>135</v>
      </c>
      <c r="AD6" s="23" t="s">
        <v>136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110</v>
      </c>
      <c r="AN6" s="7" t="s">
        <v>111</v>
      </c>
      <c r="AO6" s="7" t="s">
        <v>91</v>
      </c>
      <c r="AP6" s="7" t="s">
        <v>91</v>
      </c>
      <c r="AQ6" s="10" t="s">
        <v>127</v>
      </c>
      <c r="AR6" s="10" t="s">
        <v>63</v>
      </c>
      <c r="AS6" s="28" t="s">
        <v>92</v>
      </c>
      <c r="AT6" s="29" t="s">
        <v>137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113</v>
      </c>
      <c r="BN6" s="7" t="s">
        <v>138</v>
      </c>
      <c r="BO6" s="7" t="s">
        <v>139</v>
      </c>
    </row>
    <row r="7" spans="1:67" s="7" customFormat="1" ht="15.65" customHeight="1" x14ac:dyDescent="0.35">
      <c r="A7" s="7" t="s">
        <v>140</v>
      </c>
      <c r="B7" s="32" t="s">
        <v>141</v>
      </c>
      <c r="C7" s="8" t="s">
        <v>61</v>
      </c>
      <c r="D7" s="9" t="s">
        <v>106</v>
      </c>
      <c r="E7" s="10" t="s">
        <v>63</v>
      </c>
      <c r="F7" s="11" t="s">
        <v>64</v>
      </c>
      <c r="G7" s="12" t="s">
        <v>142</v>
      </c>
      <c r="H7" s="13" t="s">
        <v>66</v>
      </c>
      <c r="I7" s="14" t="s">
        <v>67</v>
      </c>
      <c r="J7" s="14" t="s">
        <v>68</v>
      </c>
      <c r="K7" s="14" t="s">
        <v>69</v>
      </c>
      <c r="L7" s="15">
        <v>45597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45597</v>
      </c>
      <c r="Y7" s="18">
        <f t="shared" si="1"/>
        <v>45687</v>
      </c>
      <c r="Z7" s="14" t="s">
        <v>78</v>
      </c>
      <c r="AA7" s="21" t="s">
        <v>143</v>
      </c>
      <c r="AB7" s="33" t="s">
        <v>125</v>
      </c>
      <c r="AC7" s="22" t="s">
        <v>144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45962</v>
      </c>
      <c r="AL7" s="14" t="s">
        <v>87</v>
      </c>
      <c r="AM7" s="14" t="s">
        <v>110</v>
      </c>
      <c r="AN7" s="7" t="s">
        <v>111</v>
      </c>
      <c r="AO7" s="7" t="s">
        <v>91</v>
      </c>
      <c r="AP7" s="7" t="s">
        <v>91</v>
      </c>
      <c r="AQ7" s="10" t="s">
        <v>127</v>
      </c>
      <c r="AR7" s="10" t="s">
        <v>63</v>
      </c>
      <c r="AS7" s="28" t="s">
        <v>92</v>
      </c>
      <c r="AT7" s="29" t="s">
        <v>145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113</v>
      </c>
      <c r="BN7" s="7" t="s">
        <v>146</v>
      </c>
      <c r="BO7" s="7" t="s">
        <v>147</v>
      </c>
    </row>
    <row r="8" spans="1:67" s="7" customFormat="1" ht="15.65" customHeight="1" x14ac:dyDescent="0.35">
      <c r="A8" s="7" t="s">
        <v>148</v>
      </c>
      <c r="B8" s="32" t="s">
        <v>149</v>
      </c>
      <c r="C8" s="8" t="s">
        <v>61</v>
      </c>
      <c r="D8" s="9" t="s">
        <v>106</v>
      </c>
      <c r="E8" s="10" t="s">
        <v>63</v>
      </c>
      <c r="F8" s="11" t="s">
        <v>64</v>
      </c>
      <c r="G8" s="12" t="s">
        <v>150</v>
      </c>
      <c r="H8" s="13" t="s">
        <v>66</v>
      </c>
      <c r="I8" s="14" t="s">
        <v>67</v>
      </c>
      <c r="J8" s="14" t="s">
        <v>68</v>
      </c>
      <c r="K8" s="14" t="s">
        <v>69</v>
      </c>
      <c r="L8" s="15">
        <v>45597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45597</v>
      </c>
      <c r="Y8" s="18">
        <f t="shared" si="1"/>
        <v>45687</v>
      </c>
      <c r="Z8" s="14" t="s">
        <v>78</v>
      </c>
      <c r="AA8" s="21" t="s">
        <v>151</v>
      </c>
      <c r="AB8" s="7" t="s">
        <v>80</v>
      </c>
      <c r="AC8" s="22" t="s">
        <v>152</v>
      </c>
      <c r="AD8" s="23" t="s">
        <v>136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110</v>
      </c>
      <c r="AN8" s="7" t="s">
        <v>111</v>
      </c>
      <c r="AO8" s="7" t="s">
        <v>91</v>
      </c>
      <c r="AP8" s="7" t="s">
        <v>91</v>
      </c>
      <c r="AQ8" s="10" t="s">
        <v>127</v>
      </c>
      <c r="AR8" s="10" t="s">
        <v>63</v>
      </c>
      <c r="AS8" s="28" t="s">
        <v>92</v>
      </c>
      <c r="AT8" s="29" t="s">
        <v>153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113</v>
      </c>
      <c r="BN8" s="7" t="s">
        <v>154</v>
      </c>
      <c r="BO8" s="7" t="s">
        <v>155</v>
      </c>
    </row>
    <row r="9" spans="1:67" s="7" customFormat="1" ht="15.65" customHeight="1" x14ac:dyDescent="0.35">
      <c r="A9" s="7" t="s">
        <v>156</v>
      </c>
      <c r="B9" s="32" t="s">
        <v>157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158</v>
      </c>
      <c r="H9" s="13" t="s">
        <v>66</v>
      </c>
      <c r="I9" s="14" t="s">
        <v>67</v>
      </c>
      <c r="J9" s="14" t="s">
        <v>68</v>
      </c>
      <c r="K9" s="14" t="s">
        <v>69</v>
      </c>
      <c r="L9" s="15">
        <v>45597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45597</v>
      </c>
      <c r="Y9" s="18">
        <f t="shared" si="1"/>
        <v>45687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136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159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160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5" customHeight="1" x14ac:dyDescent="0.35">
      <c r="A10" s="7" t="s">
        <v>161</v>
      </c>
      <c r="B10" s="32" t="s">
        <v>162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163</v>
      </c>
      <c r="H10" s="13" t="s">
        <v>66</v>
      </c>
      <c r="I10" s="14" t="s">
        <v>67</v>
      </c>
      <c r="J10" s="14" t="s">
        <v>68</v>
      </c>
      <c r="K10" s="14" t="s">
        <v>69</v>
      </c>
      <c r="L10" s="15">
        <v>45597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45597</v>
      </c>
      <c r="Y10" s="18">
        <f t="shared" si="1"/>
        <v>45687</v>
      </c>
      <c r="Z10" s="14" t="s">
        <v>78</v>
      </c>
      <c r="AA10" s="21" t="s">
        <v>79</v>
      </c>
      <c r="AB10" s="7" t="s">
        <v>80</v>
      </c>
      <c r="AC10" s="22" t="s">
        <v>164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165</v>
      </c>
      <c r="AO10" s="7" t="s">
        <v>166</v>
      </c>
      <c r="AP10" s="7" t="s">
        <v>167</v>
      </c>
      <c r="AQ10" s="10" t="s">
        <v>91</v>
      </c>
      <c r="AR10" s="10" t="s">
        <v>63</v>
      </c>
      <c r="AS10" s="28" t="s">
        <v>92</v>
      </c>
      <c r="AT10" s="29" t="s">
        <v>168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5" customHeight="1" x14ac:dyDescent="0.35">
      <c r="A11" s="7" t="s">
        <v>169</v>
      </c>
      <c r="B11" s="32" t="s">
        <v>170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171</v>
      </c>
      <c r="H11" s="13" t="s">
        <v>66</v>
      </c>
      <c r="I11" s="14" t="s">
        <v>67</v>
      </c>
      <c r="J11" s="14" t="s">
        <v>68</v>
      </c>
      <c r="K11" s="14" t="s">
        <v>69</v>
      </c>
      <c r="L11" s="15">
        <v>45597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45597</v>
      </c>
      <c r="Y11" s="18">
        <f t="shared" si="1"/>
        <v>45687</v>
      </c>
      <c r="Z11" s="14" t="s">
        <v>78</v>
      </c>
      <c r="AA11" s="21" t="s">
        <v>79</v>
      </c>
      <c r="AB11" s="7" t="s">
        <v>80</v>
      </c>
      <c r="AC11" s="22" t="s">
        <v>172</v>
      </c>
      <c r="AD11" s="23" t="s">
        <v>136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173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174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5" customHeight="1" x14ac:dyDescent="0.35">
      <c r="A12" s="7" t="s">
        <v>175</v>
      </c>
      <c r="B12" s="32" t="s">
        <v>176</v>
      </c>
      <c r="C12" s="8" t="s">
        <v>105</v>
      </c>
      <c r="D12" s="9" t="s">
        <v>106</v>
      </c>
      <c r="E12" s="10" t="s">
        <v>63</v>
      </c>
      <c r="F12" s="11" t="s">
        <v>64</v>
      </c>
      <c r="G12" s="12" t="s">
        <v>177</v>
      </c>
      <c r="H12" s="13" t="s">
        <v>66</v>
      </c>
      <c r="I12" s="14" t="s">
        <v>67</v>
      </c>
      <c r="J12" s="14" t="s">
        <v>68</v>
      </c>
      <c r="K12" s="14" t="s">
        <v>69</v>
      </c>
      <c r="L12" s="15">
        <v>45597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45597</v>
      </c>
      <c r="Y12" s="18">
        <f t="shared" si="1"/>
        <v>45687</v>
      </c>
      <c r="Z12" s="14" t="s">
        <v>78</v>
      </c>
      <c r="AA12" s="21" t="s">
        <v>178</v>
      </c>
      <c r="AB12" s="33" t="s">
        <v>125</v>
      </c>
      <c r="AC12" s="22" t="s">
        <v>118</v>
      </c>
      <c r="AD12" s="23" t="s">
        <v>136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45962</v>
      </c>
      <c r="AL12" s="14" t="s">
        <v>87</v>
      </c>
      <c r="AM12" s="14" t="s">
        <v>110</v>
      </c>
      <c r="AN12" s="7" t="s">
        <v>111</v>
      </c>
      <c r="AO12" s="7" t="s">
        <v>91</v>
      </c>
      <c r="AP12" s="7" t="s">
        <v>91</v>
      </c>
      <c r="AQ12" s="10">
        <v>50000</v>
      </c>
      <c r="AR12" s="10" t="s">
        <v>63</v>
      </c>
      <c r="AS12" s="28" t="s">
        <v>92</v>
      </c>
      <c r="AT12" s="29" t="s">
        <v>179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113</v>
      </c>
    </row>
    <row r="13" spans="1:67" s="7" customFormat="1" ht="15.65" customHeight="1" x14ac:dyDescent="0.35">
      <c r="A13" s="7" t="s">
        <v>180</v>
      </c>
      <c r="B13" s="32" t="s">
        <v>181</v>
      </c>
      <c r="C13" s="8" t="s">
        <v>61</v>
      </c>
      <c r="D13" s="9" t="s">
        <v>106</v>
      </c>
      <c r="E13" s="10" t="s">
        <v>63</v>
      </c>
      <c r="F13" s="11" t="s">
        <v>64</v>
      </c>
      <c r="G13" s="12" t="s">
        <v>182</v>
      </c>
      <c r="H13" s="13" t="s">
        <v>66</v>
      </c>
      <c r="I13" s="14" t="s">
        <v>67</v>
      </c>
      <c r="J13" s="14" t="s">
        <v>68</v>
      </c>
      <c r="K13" s="14" t="s">
        <v>69</v>
      </c>
      <c r="L13" s="15">
        <v>45597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45597</v>
      </c>
      <c r="Y13" s="18">
        <f t="shared" si="1"/>
        <v>45687</v>
      </c>
      <c r="Z13" s="14" t="s">
        <v>78</v>
      </c>
      <c r="AA13" s="21" t="s">
        <v>183</v>
      </c>
      <c r="AB13" s="7" t="s">
        <v>80</v>
      </c>
      <c r="AC13" s="22" t="s">
        <v>144</v>
      </c>
      <c r="AD13" s="23" t="s">
        <v>136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110</v>
      </c>
      <c r="AN13" s="7" t="s">
        <v>111</v>
      </c>
      <c r="AO13" s="7" t="s">
        <v>91</v>
      </c>
      <c r="AP13" s="7" t="s">
        <v>91</v>
      </c>
      <c r="AQ13" s="10" t="s">
        <v>127</v>
      </c>
      <c r="AR13" s="10" t="s">
        <v>63</v>
      </c>
      <c r="AS13" s="28" t="s">
        <v>92</v>
      </c>
      <c r="AT13" s="29" t="s">
        <v>184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113</v>
      </c>
      <c r="BN13" s="7" t="s">
        <v>146</v>
      </c>
      <c r="BO13" s="7" t="s">
        <v>147</v>
      </c>
    </row>
    <row r="14" spans="1:67" s="7" customFormat="1" ht="15.65" customHeight="1" x14ac:dyDescent="0.35">
      <c r="A14" s="7" t="s">
        <v>185</v>
      </c>
      <c r="B14" s="32" t="s">
        <v>186</v>
      </c>
      <c r="C14" s="8" t="s">
        <v>61</v>
      </c>
      <c r="D14" s="9" t="s">
        <v>187</v>
      </c>
      <c r="E14" s="34" t="s">
        <v>63</v>
      </c>
      <c r="F14" s="35" t="s">
        <v>188</v>
      </c>
      <c r="G14" s="12" t="s">
        <v>189</v>
      </c>
      <c r="H14" s="13" t="s">
        <v>66</v>
      </c>
      <c r="I14" s="36" t="s">
        <v>67</v>
      </c>
      <c r="J14" s="36" t="s">
        <v>68</v>
      </c>
      <c r="K14" s="36" t="s">
        <v>69</v>
      </c>
      <c r="L14" s="15">
        <v>45597</v>
      </c>
      <c r="M14" s="34" t="s">
        <v>63</v>
      </c>
      <c r="N14" s="16" t="s">
        <v>190</v>
      </c>
      <c r="O14" s="16" t="s">
        <v>191</v>
      </c>
      <c r="P14" s="14" t="s">
        <v>192</v>
      </c>
      <c r="Q14" s="14" t="s">
        <v>193</v>
      </c>
      <c r="R14" s="17" t="s">
        <v>194</v>
      </c>
      <c r="S14" s="14" t="s">
        <v>193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45597</v>
      </c>
      <c r="Y14" s="18">
        <f t="shared" si="1"/>
        <v>45687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136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195</v>
      </c>
      <c r="AK14" s="43" t="s">
        <v>86</v>
      </c>
      <c r="AL14" s="14" t="s">
        <v>87</v>
      </c>
      <c r="AM14" s="44" t="s">
        <v>88</v>
      </c>
      <c r="AN14" s="39" t="s">
        <v>196</v>
      </c>
      <c r="AO14" s="39" t="s">
        <v>197</v>
      </c>
      <c r="AP14" s="39" t="s">
        <v>198</v>
      </c>
      <c r="AQ14" s="10" t="s">
        <v>91</v>
      </c>
      <c r="AR14" s="10" t="s">
        <v>63</v>
      </c>
      <c r="AS14" s="28" t="s">
        <v>92</v>
      </c>
      <c r="AT14" s="29" t="s">
        <v>199</v>
      </c>
      <c r="AU14" s="7" t="s">
        <v>200</v>
      </c>
      <c r="AV14" s="30">
        <v>38081</v>
      </c>
      <c r="AW14" s="10" t="s">
        <v>63</v>
      </c>
      <c r="AX14" s="7" t="s">
        <v>193</v>
      </c>
      <c r="AY14" s="30" t="s">
        <v>193</v>
      </c>
      <c r="AZ14" s="30" t="s">
        <v>201</v>
      </c>
      <c r="BA14" s="30">
        <v>45020</v>
      </c>
      <c r="BB14" s="45" t="s">
        <v>202</v>
      </c>
      <c r="BC14" s="46" t="s">
        <v>203</v>
      </c>
      <c r="BD14" s="10" t="s">
        <v>63</v>
      </c>
      <c r="BE14" s="10" t="s">
        <v>204</v>
      </c>
      <c r="BF14" s="44">
        <v>200052</v>
      </c>
      <c r="BG14" s="44">
        <v>75849856</v>
      </c>
      <c r="BH14" s="28" t="s">
        <v>101</v>
      </c>
      <c r="BI14" t="s">
        <v>205</v>
      </c>
    </row>
    <row r="15" spans="1:67" s="7" customFormat="1" ht="15.65" customHeight="1" x14ac:dyDescent="0.35">
      <c r="A15" s="7" t="s">
        <v>206</v>
      </c>
      <c r="B15" s="32" t="s">
        <v>207</v>
      </c>
      <c r="C15" s="8" t="s">
        <v>61</v>
      </c>
      <c r="D15" s="9" t="s">
        <v>187</v>
      </c>
      <c r="E15" s="34" t="s">
        <v>63</v>
      </c>
      <c r="F15" s="11" t="s">
        <v>208</v>
      </c>
      <c r="G15" s="12" t="s">
        <v>209</v>
      </c>
      <c r="H15" s="13" t="s">
        <v>66</v>
      </c>
      <c r="I15" s="36" t="s">
        <v>67</v>
      </c>
      <c r="J15" s="36" t="s">
        <v>68</v>
      </c>
      <c r="K15" s="36" t="s">
        <v>69</v>
      </c>
      <c r="L15" s="15">
        <v>45597</v>
      </c>
      <c r="M15" s="34" t="s">
        <v>63</v>
      </c>
      <c r="N15" s="16" t="s">
        <v>190</v>
      </c>
      <c r="O15" s="16" t="s">
        <v>191</v>
      </c>
      <c r="P15" s="14" t="s">
        <v>192</v>
      </c>
      <c r="Q15" s="14" t="s">
        <v>193</v>
      </c>
      <c r="R15" s="17" t="s">
        <v>194</v>
      </c>
      <c r="S15" s="14" t="s">
        <v>193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45597</v>
      </c>
      <c r="Y15" s="18">
        <f t="shared" si="1"/>
        <v>45687</v>
      </c>
      <c r="Z15" s="36" t="s">
        <v>78</v>
      </c>
      <c r="AA15" s="36" t="s">
        <v>79</v>
      </c>
      <c r="AB15" s="39" t="s">
        <v>210</v>
      </c>
      <c r="AC15" s="47" t="s">
        <v>81</v>
      </c>
      <c r="AD15" s="39" t="s">
        <v>211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45962</v>
      </c>
      <c r="AL15" s="14" t="s">
        <v>87</v>
      </c>
      <c r="AM15" s="44" t="s">
        <v>88</v>
      </c>
      <c r="AN15" s="39" t="s">
        <v>212</v>
      </c>
      <c r="AO15" s="39" t="s">
        <v>197</v>
      </c>
      <c r="AP15" s="39" t="s">
        <v>198</v>
      </c>
      <c r="AQ15" s="10" t="s">
        <v>91</v>
      </c>
      <c r="AR15" s="10" t="s">
        <v>63</v>
      </c>
      <c r="AS15" s="28" t="s">
        <v>92</v>
      </c>
      <c r="AT15" s="29" t="s">
        <v>213</v>
      </c>
      <c r="AU15" s="7" t="s">
        <v>94</v>
      </c>
      <c r="AV15" s="30" t="s">
        <v>214</v>
      </c>
      <c r="AW15" s="10" t="s">
        <v>63</v>
      </c>
      <c r="AX15" s="7" t="s">
        <v>193</v>
      </c>
      <c r="AY15" s="30" t="s">
        <v>193</v>
      </c>
      <c r="AZ15" s="30" t="s">
        <v>215</v>
      </c>
      <c r="BA15" s="30" t="s">
        <v>216</v>
      </c>
      <c r="BB15" s="45" t="s">
        <v>98</v>
      </c>
      <c r="BC15" s="46" t="s">
        <v>203</v>
      </c>
      <c r="BD15" s="10" t="s">
        <v>63</v>
      </c>
      <c r="BE15" s="10" t="s">
        <v>204</v>
      </c>
      <c r="BF15" s="44">
        <v>200052</v>
      </c>
      <c r="BG15" s="44">
        <v>75849858</v>
      </c>
      <c r="BH15" s="28" t="s">
        <v>101</v>
      </c>
      <c r="BI15" t="s">
        <v>205</v>
      </c>
    </row>
    <row r="16" spans="1:67" s="7" customFormat="1" ht="15.65" customHeight="1" x14ac:dyDescent="0.35">
      <c r="A16" s="7" t="s">
        <v>217</v>
      </c>
      <c r="B16" s="32" t="s">
        <v>218</v>
      </c>
      <c r="C16" s="8" t="s">
        <v>61</v>
      </c>
      <c r="D16" s="9" t="s">
        <v>187</v>
      </c>
      <c r="E16" s="34" t="s">
        <v>63</v>
      </c>
      <c r="F16" s="11" t="s">
        <v>208</v>
      </c>
      <c r="G16" s="12" t="s">
        <v>219</v>
      </c>
      <c r="H16" s="13" t="s">
        <v>66</v>
      </c>
      <c r="I16" s="36" t="s">
        <v>67</v>
      </c>
      <c r="J16" s="36" t="s">
        <v>68</v>
      </c>
      <c r="K16" s="36" t="s">
        <v>69</v>
      </c>
      <c r="L16" s="15">
        <v>45597</v>
      </c>
      <c r="M16" s="34" t="s">
        <v>63</v>
      </c>
      <c r="N16" s="16" t="s">
        <v>190</v>
      </c>
      <c r="O16" s="16" t="s">
        <v>191</v>
      </c>
      <c r="P16" s="14" t="s">
        <v>192</v>
      </c>
      <c r="Q16" s="14" t="s">
        <v>193</v>
      </c>
      <c r="R16" s="17" t="s">
        <v>194</v>
      </c>
      <c r="S16" s="14" t="s">
        <v>193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45597</v>
      </c>
      <c r="Y16" s="18">
        <f t="shared" si="1"/>
        <v>45687</v>
      </c>
      <c r="Z16" s="36" t="s">
        <v>78</v>
      </c>
      <c r="AA16" s="36" t="s">
        <v>79</v>
      </c>
      <c r="AB16" s="39" t="s">
        <v>220</v>
      </c>
      <c r="AC16" s="47" t="s">
        <v>81</v>
      </c>
      <c r="AD16" s="39" t="s">
        <v>221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45962</v>
      </c>
      <c r="AL16" s="14" t="s">
        <v>87</v>
      </c>
      <c r="AM16" s="44" t="s">
        <v>88</v>
      </c>
      <c r="AN16" s="39" t="s">
        <v>222</v>
      </c>
      <c r="AO16" s="39" t="s">
        <v>197</v>
      </c>
      <c r="AP16" s="39" t="s">
        <v>198</v>
      </c>
      <c r="AQ16" s="10" t="s">
        <v>91</v>
      </c>
      <c r="AR16" s="10" t="s">
        <v>63</v>
      </c>
      <c r="AS16" s="28" t="s">
        <v>92</v>
      </c>
      <c r="AT16" s="29" t="s">
        <v>223</v>
      </c>
      <c r="AU16" s="7" t="s">
        <v>94</v>
      </c>
      <c r="AV16" s="30" t="s">
        <v>224</v>
      </c>
      <c r="AW16" s="10" t="s">
        <v>63</v>
      </c>
      <c r="AX16" s="7" t="s">
        <v>193</v>
      </c>
      <c r="AY16" s="30" t="s">
        <v>193</v>
      </c>
      <c r="AZ16" s="30" t="s">
        <v>96</v>
      </c>
      <c r="BA16" s="30">
        <v>44197</v>
      </c>
      <c r="BB16" s="45" t="s">
        <v>225</v>
      </c>
      <c r="BC16" s="46" t="s">
        <v>203</v>
      </c>
      <c r="BD16" s="10" t="s">
        <v>63</v>
      </c>
      <c r="BE16" s="10" t="s">
        <v>204</v>
      </c>
      <c r="BF16" s="44">
        <v>200052</v>
      </c>
      <c r="BG16" s="44">
        <v>75849861</v>
      </c>
      <c r="BH16" s="28" t="s">
        <v>101</v>
      </c>
      <c r="BI16" t="s">
        <v>205</v>
      </c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2025-05-07T08:43:12Z</dcterms:modified>
</cp:coreProperties>
</file>