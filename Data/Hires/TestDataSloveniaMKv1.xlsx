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3F511150-DB49-4E6F-9CF9-7E9864181EA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6" i="1" l="1"/>
  <c r="AU16" i="1"/>
  <c r="AM16" i="1"/>
  <c r="AL16" i="1"/>
  <c r="AK16" i="1"/>
  <c r="AJ16" i="1"/>
  <c r="U16" i="1"/>
  <c r="K16" i="1"/>
  <c r="BT15" i="1"/>
  <c r="AU15" i="1"/>
  <c r="AM15" i="1"/>
  <c r="AL15" i="1"/>
  <c r="AK15" i="1"/>
  <c r="AJ15" i="1"/>
  <c r="U15" i="1"/>
  <c r="K15" i="1"/>
  <c r="BT14" i="1"/>
  <c r="AU14" i="1"/>
  <c r="AL14" i="1"/>
  <c r="AK14" i="1"/>
  <c r="AJ14" i="1"/>
  <c r="AF14" i="1"/>
  <c r="AM14" i="1" s="1"/>
  <c r="U14" i="1"/>
  <c r="K14" i="1"/>
  <c r="BT13" i="1"/>
  <c r="AU13" i="1"/>
  <c r="AL13" i="1"/>
  <c r="AK13" i="1"/>
  <c r="AJ13" i="1"/>
  <c r="AF13" i="1"/>
  <c r="AM13" i="1" s="1"/>
  <c r="U13" i="1"/>
  <c r="K13" i="1"/>
  <c r="BT12" i="1"/>
  <c r="AU12" i="1"/>
  <c r="AM12" i="1"/>
  <c r="AL12" i="1"/>
  <c r="AK12" i="1"/>
  <c r="AJ12" i="1"/>
  <c r="U12" i="1"/>
  <c r="K12" i="1"/>
  <c r="BT11" i="1"/>
  <c r="AU11" i="1"/>
  <c r="AM11" i="1"/>
  <c r="AL11" i="1"/>
  <c r="AK11" i="1"/>
  <c r="AJ11" i="1"/>
  <c r="U11" i="1"/>
  <c r="K11" i="1"/>
  <c r="BT10" i="1"/>
  <c r="AU10" i="1"/>
  <c r="AM10" i="1"/>
  <c r="AL10" i="1"/>
  <c r="AK10" i="1"/>
  <c r="AJ10" i="1"/>
  <c r="U10" i="1"/>
  <c r="K10" i="1"/>
  <c r="BT9" i="1"/>
  <c r="AU9" i="1"/>
  <c r="AM9" i="1"/>
  <c r="AL9" i="1"/>
  <c r="AK9" i="1"/>
  <c r="AJ9" i="1"/>
  <c r="U9" i="1"/>
  <c r="K9" i="1"/>
  <c r="BT8" i="1"/>
  <c r="AU8" i="1"/>
  <c r="AL8" i="1"/>
  <c r="AK8" i="1"/>
  <c r="AJ8" i="1"/>
  <c r="AF8" i="1"/>
  <c r="AM8" i="1" s="1"/>
  <c r="U8" i="1"/>
  <c r="K8" i="1"/>
  <c r="BT7" i="1"/>
  <c r="AU7" i="1"/>
  <c r="AM7" i="1"/>
  <c r="AL7" i="1"/>
  <c r="AK7" i="1"/>
  <c r="AJ7" i="1"/>
  <c r="U7" i="1"/>
  <c r="K7" i="1"/>
  <c r="BT6" i="1"/>
  <c r="AU6" i="1"/>
  <c r="AM6" i="1"/>
  <c r="AL6" i="1"/>
  <c r="AK6" i="1"/>
  <c r="AJ6" i="1"/>
  <c r="U6" i="1"/>
  <c r="K6" i="1"/>
  <c r="BT5" i="1"/>
  <c r="AU5" i="1"/>
  <c r="AL5" i="1"/>
  <c r="AK5" i="1"/>
  <c r="AJ5" i="1"/>
  <c r="AF5" i="1"/>
  <c r="AM5" i="1" s="1"/>
  <c r="U5" i="1"/>
  <c r="K5" i="1"/>
  <c r="BT4" i="1"/>
  <c r="AU4" i="1"/>
  <c r="AL4" i="1"/>
  <c r="AK4" i="1"/>
  <c r="AJ4" i="1"/>
  <c r="AF4" i="1"/>
  <c r="AM4" i="1" s="1"/>
  <c r="U4" i="1"/>
  <c r="K4" i="1"/>
  <c r="BT3" i="1"/>
  <c r="AU3" i="1"/>
  <c r="AM3" i="1"/>
  <c r="AL3" i="1"/>
  <c r="AK3" i="1"/>
  <c r="AJ3" i="1"/>
  <c r="U3" i="1"/>
  <c r="K3" i="1"/>
  <c r="BT2" i="1"/>
  <c r="AU2" i="1"/>
  <c r="AM2" i="1"/>
  <c r="AL2" i="1"/>
  <c r="AK2" i="1"/>
  <c r="AJ2" i="1"/>
  <c r="U2" i="1"/>
  <c r="K2" i="1"/>
</calcChain>
</file>

<file path=xl/sharedStrings.xml><?xml version="1.0" encoding="utf-8"?>
<sst xmlns="http://schemas.openxmlformats.org/spreadsheetml/2006/main" count="866" uniqueCount="169">
  <si>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</si>
  <si>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</si>
  <si>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</si>
  <si>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</si>
  <si>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</si>
  <si>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</si>
  <si>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</si>
  <si>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</si>
  <si>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</si>
  <si>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</si>
  <si>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</si>
  <si>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PostalCode</t>
  </si>
  <si>
    <t>City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</si>
  <si>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</si>
  <si>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</si>
  <si>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</si>
  <si>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</si>
  <si>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</si>
  <si>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</si>
  <si>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</si>
  <si>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</si>
  <si>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</si>
  <si>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</si>
  <si>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</si>
  <si>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</si>
  <si>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</si>
  <si>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</si>
  <si>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CostCenter</t>
  </si>
  <si>
    <t>Country1</t>
  </si>
  <si>
    <t>NationalIDType1</t>
  </si>
  <si>
    <t>ContractType</t>
  </si>
  <si>
    <t>Status</t>
  </si>
  <si>
    <t>ContractEndDate</t>
  </si>
  <si>
    <t>Gender</t>
  </si>
  <si>
    <t>DateOfBirth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</si>
  <si>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</si>
  <si>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</si>
  <si>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</si>
  <si>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</si>
  <si>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</si>
  <si>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</si>
  <si>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</si>
  <si>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IBAN</t>
  </si>
  <si>
    <t>AccountType</t>
  </si>
  <si>
    <t>Test1</t>
  </si>
  <si>
    <t>Landline</t>
  </si>
  <si>
    <t>Home</t>
  </si>
  <si>
    <t>Automation Street Name</t>
  </si>
  <si>
    <t>Street Address</t>
  </si>
  <si>
    <t>New Hire</t>
  </si>
  <si>
    <t>No</t>
  </si>
  <si>
    <t>Permanent</t>
  </si>
  <si>
    <t>Retail Assistant_NEW</t>
  </si>
  <si>
    <t>Full time</t>
  </si>
  <si>
    <t>N/A</t>
  </si>
  <si>
    <t>01 Accessories</t>
  </si>
  <si>
    <t>Active</t>
  </si>
  <si>
    <t>Male</t>
  </si>
  <si>
    <t>Checking</t>
  </si>
  <si>
    <t>Test2</t>
  </si>
  <si>
    <t>Fixed Term (Fixed Term)</t>
  </si>
  <si>
    <t>Store Manager_NEW</t>
  </si>
  <si>
    <t>Female</t>
  </si>
  <si>
    <t>Test3</t>
  </si>
  <si>
    <t>Part time</t>
  </si>
  <si>
    <t>250 Human Resources Retail</t>
  </si>
  <si>
    <t>Test4</t>
  </si>
  <si>
    <t>Team Manager - Retail_NEW</t>
  </si>
  <si>
    <t>Test5</t>
  </si>
  <si>
    <t>Test6</t>
  </si>
  <si>
    <t>Department Manager_NEW</t>
  </si>
  <si>
    <t>Test7</t>
  </si>
  <si>
    <t>Assistant Store Manager_NEW</t>
  </si>
  <si>
    <t>Test8</t>
  </si>
  <si>
    <t>Test9</t>
  </si>
  <si>
    <t>Test10</t>
  </si>
  <si>
    <t>Retail Assistant Cash Office_NEW</t>
  </si>
  <si>
    <t>258 Cash Office</t>
  </si>
  <si>
    <t>Test11</t>
  </si>
  <si>
    <t>Supervisor_NEW</t>
  </si>
  <si>
    <t>253 Supervisors</t>
  </si>
  <si>
    <t>Test12</t>
  </si>
  <si>
    <t>Visual Merchandiser_NEW</t>
  </si>
  <si>
    <t>256 Visual Merchandising</t>
  </si>
  <si>
    <t>Test13</t>
  </si>
  <si>
    <t>255 Stockroom</t>
  </si>
  <si>
    <t>Test14</t>
  </si>
  <si>
    <t>Test15</t>
  </si>
  <si>
    <t>In-Store P&amp;C Manager_NEW</t>
  </si>
  <si>
    <t>AdressLine1</t>
  </si>
  <si>
    <t>AdressLine2</t>
  </si>
  <si>
    <t>Level</t>
  </si>
  <si>
    <t>DateWhenMedicalExamTaken</t>
  </si>
  <si>
    <t>795 Store Management (Sywyp Jimiwu (10185858))</t>
  </si>
  <si>
    <t>Slovenia</t>
  </si>
  <si>
    <t>SloveniaOne</t>
  </si>
  <si>
    <t>GlobelRegTwentyFiveOCT</t>
  </si>
  <si>
    <t xml:space="preserve">070-417-626 </t>
  </si>
  <si>
    <t>Ljubljana</t>
  </si>
  <si>
    <t>Test@email.com</t>
  </si>
  <si>
    <t>Auto 12112024 170307</t>
  </si>
  <si>
    <t>5 Days (Slovenia)</t>
  </si>
  <si>
    <t>0- Ne gre za zaposlitev po ZUTD-A ali ZIUPTDSV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</si>
  <si>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</si>
  <si>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</si>
  <si>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</si>
  <si>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</si>
  <si>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</si>
  <si>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</si>
  <si>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</si>
  <si>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</si>
  <si>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Citizen (Slovenia)</t>
  </si>
  <si>
    <t>TestBankOFSlovenia</t>
  </si>
  <si>
    <t>SI56 2633 0001 2039 086</t>
  </si>
  <si>
    <t>Grun Frun</t>
  </si>
  <si>
    <t>Standard</t>
  </si>
  <si>
    <t>SVN Monthly</t>
  </si>
  <si>
    <t>795 Retail Team 1 (Sywyp Jimiwu (10185858) (Inherited))</t>
  </si>
  <si>
    <t>SloveniaTwo</t>
  </si>
  <si>
    <t>94 Retail Operatives</t>
  </si>
  <si>
    <t>SloveniaThree</t>
  </si>
  <si>
    <t>3 Days (Slovenia)</t>
  </si>
  <si>
    <t>SloveniaFour</t>
  </si>
  <si>
    <t>Auto 12112024 174309</t>
  </si>
  <si>
    <t>4 Days (Slovenia)</t>
  </si>
  <si>
    <t>SloveniaFive</t>
  </si>
  <si>
    <t>In-Store Visual Merchandising Assistant_NEW</t>
  </si>
  <si>
    <t>SloveniaSix</t>
  </si>
  <si>
    <t>Auto 12112024 181600</t>
  </si>
  <si>
    <t>Strokovni sodelavec v kadrovski službi</t>
  </si>
  <si>
    <t>V.</t>
  </si>
  <si>
    <t>SloveniaSeven</t>
  </si>
  <si>
    <t>Auto 12112024 183327</t>
  </si>
  <si>
    <t>SloveniaEight</t>
  </si>
  <si>
    <t>Auto 12112024 185050</t>
  </si>
  <si>
    <t>SloveniaNine</t>
  </si>
  <si>
    <t>Auto 12112024 190812</t>
  </si>
  <si>
    <t>SloveniaTen</t>
  </si>
  <si>
    <t>In-Store P&amp;C Supervisor_NEW</t>
  </si>
  <si>
    <t>Supervizor</t>
  </si>
  <si>
    <t>SloveniaEleven</t>
  </si>
  <si>
    <t>SloveniaTweleve</t>
  </si>
  <si>
    <t>GlobelRegTwentyFiveOCTER</t>
  </si>
  <si>
    <t>SloveniaThirteen</t>
  </si>
  <si>
    <t>SloveniaFourteen</t>
  </si>
  <si>
    <t>Retail Assistant Stockroom_NEW</t>
  </si>
  <si>
    <t>SloveniaFifteen</t>
  </si>
  <si>
    <t>In-Store Visual Merchandising Supervisor_NEW</t>
  </si>
  <si>
    <t>Vodja visual merchandisinga</t>
  </si>
  <si>
    <t>ContractStartDate</t>
  </si>
  <si>
    <t>DateEmployeeSigned</t>
  </si>
  <si>
    <t>DateEmployerSigned</t>
  </si>
  <si>
    <t>DepartmentSection</t>
  </si>
  <si>
    <t>CollectiveAgreement</t>
  </si>
  <si>
    <t>ProfessionalCategory</t>
  </si>
  <si>
    <t>ProbationEndDate</t>
  </si>
  <si>
    <t>AddEditID1</t>
  </si>
  <si>
    <t>IssuedDate</t>
  </si>
  <si>
    <t>ExpirationDate</t>
  </si>
  <si>
    <t>GovernmentIDType1</t>
  </si>
  <si>
    <t>AddEditID2</t>
  </si>
  <si>
    <t>IssuedDate2</t>
  </si>
  <si>
    <t>ExpirationDate2</t>
  </si>
  <si>
    <t>NameOnAccount</t>
  </si>
  <si>
    <t>PassportIDType</t>
  </si>
  <si>
    <t>IdentificationNo</t>
  </si>
  <si>
    <t>ExpirationDateOfTheExam</t>
  </si>
  <si>
    <t>ProposedPayGroupFinal</t>
  </si>
  <si>
    <t xml:space="preserve">Fixed Term (Fixed Term)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</si>
</sst>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rgb="FFFF0000"/>
      <name val="Arial"/>
      <family val="2"/>
    </font>
    <font>
      <sz val="14"/>
      <color theme="1"/>
      <name val="Arial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0" fillId="4" borderId="2" xfId="0" applyFill="1" applyBorder="1"/>
    <xf numFmtId="0" fontId="4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5" fillId="4" borderId="2" xfId="0" applyFont="1" applyFill="1" applyBorder="1" applyAlignment="1">
      <alignment horizontal="left"/>
    </xf>
    <xf numFmtId="0" fontId="5" fillId="3" borderId="3" xfId="0" applyFont="1" applyFill="1" applyBorder="1" applyAlignment="1">
      <alignment horizontal="left"/>
    </xf>
    <xf numFmtId="0" fontId="5" fillId="4" borderId="1" xfId="0" applyFont="1" applyFill="1" applyBorder="1" applyAlignment="1">
      <alignment horizontal="left"/>
    </xf>
    <xf numFmtId="0" fontId="4" fillId="3" borderId="1" xfId="0" quotePrefix="1" applyFont="1" applyFill="1" applyBorder="1" applyAlignment="1">
      <alignment horizontal="left"/>
    </xf>
    <xf numFmtId="0" fontId="5" fillId="6" borderId="1" xfId="0" applyFont="1" applyFill="1" applyBorder="1" applyAlignment="1">
      <alignment horizontal="left"/>
    </xf>
    <xf numFmtId="0" fontId="5" fillId="3" borderId="1" xfId="0" quotePrefix="1" applyFont="1" applyFill="1" applyBorder="1" applyAlignment="1">
      <alignment horizontal="left"/>
    </xf>
    <xf numFmtId="0" fontId="4" fillId="0" borderId="0" xfId="0" applyFont="1" applyAlignment="1">
      <alignment vertical="center" wrapText="1"/>
    </xf>
    <xf numFmtId="0" fontId="5" fillId="0" borderId="2" xfId="0" applyFont="1" applyBorder="1" applyAlignment="1">
      <alignment horizontal="left"/>
    </xf>
    <xf numFmtId="0" fontId="3" fillId="0" borderId="0" xfId="0" applyFont="1"/>
    <xf numFmtId="0" fontId="5" fillId="0" borderId="2" xfId="0" applyFont="1" applyBorder="1" applyAlignment="1" applyProtection="1">
      <alignment horizontal="left"/>
      <protection locked="0"/>
    </xf>
    <xf numFmtId="14" fontId="6" fillId="0" borderId="2" xfId="0" quotePrefix="1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0" fontId="5" fillId="0" borderId="0" xfId="0" applyFont="1"/>
    <xf numFmtId="14" fontId="5" fillId="0" borderId="2" xfId="0" applyNumberFormat="1" applyFont="1" applyBorder="1" applyAlignment="1">
      <alignment horizontal="left"/>
    </xf>
    <xf numFmtId="0" fontId="2" fillId="0" borderId="2" xfId="1" applyFill="1" applyBorder="1" applyProtection="1">
      <protection locked="0"/>
    </xf>
    <xf numFmtId="14" fontId="1" fillId="0" borderId="2" xfId="0" quotePrefix="1" applyNumberFormat="1" applyFont="1" applyBorder="1" applyAlignment="1">
      <alignment horizontal="left"/>
    </xf>
    <xf numFmtId="0" fontId="5" fillId="4" borderId="2" xfId="0" applyFont="1" applyFill="1" applyBorder="1" applyAlignment="1" applyProtection="1">
      <alignment horizontal="left"/>
      <protection locked="0"/>
    </xf>
    <xf numFmtId="0" fontId="5" fillId="0" borderId="2" xfId="0" applyFont="1" applyBorder="1"/>
    <xf numFmtId="0" fontId="5" fillId="0" borderId="0" xfId="0" quotePrefix="1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 applyProtection="1">
      <alignment horizontal="left" wrapText="1"/>
      <protection locked="0"/>
    </xf>
    <xf numFmtId="0" fontId="2" fillId="0" borderId="0" xfId="1" applyFill="1"/>
    <xf numFmtId="0" fontId="4" fillId="0" borderId="0" xfId="0" applyFont="1"/>
    <xf numFmtId="0" fontId="5" fillId="0" borderId="2" xfId="0" quotePrefix="1" applyFont="1" applyBorder="1"/>
    <xf numFmtId="0" fontId="5" fillId="0" borderId="0" xfId="0" quotePrefix="1" applyFont="1"/>
    <xf numFmtId="164" fontId="5" fillId="0" borderId="2" xfId="0" quotePrefix="1" applyNumberFormat="1" applyFont="1" applyBorder="1" applyAlignment="1" applyProtection="1">
      <alignment horizontal="left"/>
      <protection locked="0"/>
    </xf>
    <xf numFmtId="1" fontId="5" fillId="6" borderId="0" xfId="0" quotePrefix="1" applyNumberFormat="1" applyFont="1" applyFill="1" applyAlignment="1">
      <alignment horizontal="left"/>
    </xf>
    <xf numFmtId="0" fontId="5" fillId="6" borderId="0" xfId="0" applyFont="1" applyFill="1" applyAlignment="1">
      <alignment horizontal="left"/>
    </xf>
    <xf numFmtId="0" fontId="6" fillId="0" borderId="2" xfId="0" applyFont="1" applyBorder="1" applyAlignment="1">
      <alignment horizontal="left"/>
    </xf>
    <xf numFmtId="164" fontId="6" fillId="0" borderId="2" xfId="0" quotePrefix="1" applyNumberFormat="1" applyFont="1" applyBorder="1" applyAlignment="1" applyProtection="1">
      <alignment horizontal="left"/>
      <protection locked="0"/>
    </xf>
    <xf numFmtId="0" fontId="5" fillId="6" borderId="2" xfId="0" applyFont="1" applyFill="1" applyBorder="1" applyAlignment="1">
      <alignment horizontal="left"/>
    </xf>
    <xf numFmtId="14" fontId="4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18" Type="http://schemas.openxmlformats.org/officeDocument/2006/relationships/hyperlink" Target="mailto:Test@email.com" TargetMode="External"/><Relationship Id="rId26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21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17" Type="http://schemas.openxmlformats.org/officeDocument/2006/relationships/hyperlink" Target="mailto:Test@email.com" TargetMode="External"/><Relationship Id="rId25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16" Type="http://schemas.openxmlformats.org/officeDocument/2006/relationships/hyperlink" Target="mailto:Test@email.com" TargetMode="External"/><Relationship Id="rId20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24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Relationship Id="rId23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19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Relationship Id="rId22" Type="http://schemas.openxmlformats.org/officeDocument/2006/relationships/hyperlink" Target="mailto:Test@email.com" TargetMode="External"/><Relationship Id="rId27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16"/>
  <sheetViews>
    <sheetView tabSelected="1" zoomScale="115" zoomScaleNormal="115" workbookViewId="0">
      <selection activeCell="F8" sqref="F8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28.90625" style="1" bestFit="1" customWidth="1"/>
    <col min="5" max="5" width="9.81640625" style="1" bestFit="1" customWidth="1"/>
    <col min="6" max="6" width="14.36328125" style="1" bestFit="1" customWidth="1"/>
    <col min="7" max="7" width="15.1796875" style="1" bestFit="1" customWidth="1"/>
    <col min="8" max="8" width="17.6328125" style="1" bestFit="1" customWidth="1"/>
    <col min="9" max="9" width="16" style="1" bestFit="1" customWidth="1"/>
    <col min="10" max="10" width="6.453125" style="1" bestFit="1" customWidth="1"/>
    <col min="11" max="11" width="16" style="1" bestFit="1" customWidth="1"/>
    <col min="12" max="12" width="9.81640625" style="1" bestFit="1" customWidth="1"/>
    <col min="13" max="13" width="15.26953125" style="2" bestFit="1" customWidth="1"/>
    <col min="14" max="14" width="15.26953125" style="1" bestFit="1" customWidth="1"/>
    <col min="15" max="15" width="5.26953125" style="1" bestFit="1" customWidth="1"/>
    <col min="16" max="16" width="14.08984375" style="1" bestFit="1" customWidth="1"/>
    <col min="17" max="17" width="6.453125" style="1" bestFit="1" customWidth="1"/>
    <col min="18" max="18" width="9.26953125" style="1" bestFit="1" customWidth="1"/>
    <col min="19" max="19" width="16.81640625" style="1" bestFit="1" customWidth="1"/>
    <col min="20" max="20" width="6.453125" style="1" bestFit="1" customWidth="1"/>
    <col min="21" max="21" width="10.81640625" style="1" bestFit="1" customWidth="1"/>
    <col min="22" max="22" width="9.6328125" style="1" bestFit="1" customWidth="1"/>
    <col min="23" max="23" width="10" style="1" bestFit="1" customWidth="1"/>
    <col min="24" max="24" width="17.81640625" style="1" bestFit="1" customWidth="1"/>
    <col min="25" max="25" width="12.08984375" style="2" bestFit="1" customWidth="1"/>
    <col min="26" max="26" width="12" style="1" bestFit="1" customWidth="1"/>
    <col min="27" max="27" width="10.54296875" style="1" bestFit="1" customWidth="1"/>
    <col min="28" max="28" width="16.08984375" style="1" bestFit="1" customWidth="1"/>
    <col min="29" max="29" width="28.453125" style="1" bestFit="1" customWidth="1"/>
    <col min="30" max="30" width="32.7265625" style="1" bestFit="1" customWidth="1"/>
    <col min="31" max="31" width="12.1796875" style="1" bestFit="1" customWidth="1"/>
    <col min="32" max="32" width="25.453125" style="1" bestFit="1" customWidth="1"/>
    <col min="33" max="33" width="16.08984375" style="1" bestFit="1" customWidth="1"/>
    <col min="34" max="34" width="8.26953125" style="1" bestFit="1" customWidth="1"/>
    <col min="35" max="35" width="9.6328125" style="1" bestFit="1" customWidth="1"/>
    <col min="36" max="36" width="21.453125" style="1" bestFit="1" customWidth="1"/>
    <col min="37" max="37" width="25.81640625" style="1" bestFit="1" customWidth="1"/>
    <col min="38" max="38" width="25.1796875" style="1" bestFit="1" customWidth="1"/>
    <col min="39" max="39" width="20.6328125" style="1" bestFit="1" customWidth="1"/>
    <col min="40" max="40" width="13.81640625" style="1" bestFit="1" customWidth="1"/>
    <col min="41" max="41" width="23" style="1" bestFit="1" customWidth="1"/>
    <col min="42" max="42" width="24.453125" style="1" bestFit="1" customWidth="1"/>
    <col min="43" max="43" width="25.08984375" style="1" bestFit="1" customWidth="1"/>
    <col min="44" max="44" width="6.90625" style="1" bestFit="1" customWidth="1"/>
    <col min="45" max="45" width="15.08984375" style="1" bestFit="1" customWidth="1"/>
    <col min="46" max="46" width="6.26953125" style="1" bestFit="1" customWidth="1"/>
    <col min="47" max="47" width="22" style="1" bestFit="1" customWidth="1"/>
    <col min="48" max="48" width="11.26953125" style="1" bestFit="1" customWidth="1"/>
    <col min="49" max="49" width="19.81640625" style="1" bestFit="1" customWidth="1"/>
    <col min="50" max="50" width="14.1796875" style="1" bestFit="1" customWidth="1"/>
    <col min="51" max="51" width="13.90625" style="1" bestFit="1" customWidth="1"/>
    <col min="52" max="52" width="17.6328125" style="2" bestFit="1" customWidth="1"/>
    <col min="53" max="53" width="24.6328125" style="2" bestFit="1" customWidth="1"/>
    <col min="54" max="54" width="14.1796875" style="2" bestFit="1" customWidth="1"/>
    <col min="55" max="55" width="15.36328125" style="1" bestFit="1" customWidth="1"/>
    <col min="56" max="56" width="19.08984375" style="1" bestFit="1" customWidth="1"/>
    <col min="57" max="57" width="9.453125" style="1" bestFit="1" customWidth="1"/>
    <col min="58" max="58" width="14.36328125" style="1" bestFit="1" customWidth="1"/>
    <col min="59" max="59" width="20.90625" style="1" bestFit="1" customWidth="1"/>
    <col min="60" max="60" width="21.54296875" style="1" bestFit="1" customWidth="1"/>
    <col min="61" max="61" width="13.6328125" style="1" bestFit="1" customWidth="1"/>
    <col min="62" max="62" width="27.36328125" style="1" bestFit="1" customWidth="1"/>
    <col min="63" max="63" width="15.81640625" style="1" bestFit="1" customWidth="1"/>
    <col min="64" max="64" width="7" style="1" bestFit="1" customWidth="1"/>
    <col min="65" max="65" width="20.6328125" style="1" bestFit="1" customWidth="1"/>
    <col min="66" max="66" width="9.81640625" style="1" bestFit="1" customWidth="1"/>
    <col min="67" max="67" width="19.1796875" style="1" bestFit="1" customWidth="1"/>
    <col min="68" max="68" width="18.54296875" bestFit="1" customWidth="1"/>
    <col min="69" max="69" width="13.90625" bestFit="1" customWidth="1"/>
    <col min="70" max="70" width="17.6328125" bestFit="1" customWidth="1"/>
    <col min="71" max="71" width="35.6328125" bestFit="1" customWidth="1"/>
    <col min="72" max="72" width="31.26953125" bestFit="1" customWidth="1"/>
    <col min="73" max="73" width="29" bestFit="1" customWidth="1"/>
  </cols>
  <sheetData>
    <row r="1" spans="1:73" s="3" customFormat="1" ht="14.5" customHeight="1" outlineLevel="1" collapsed="1" x14ac:dyDescent="0.35">
      <c r="A1" s="2" t="s">
        <v>0</v>
      </c>
      <c r="B1" s="2" t="s">
        <v>1</v>
      </c>
      <c r="C1" s="2" t="s">
        <v>2</v>
      </c>
      <c r="D1" s="7" t="s">
        <v>3</v>
      </c>
      <c r="E1" s="8" t="s">
        <v>4</v>
      </c>
      <c r="F1" s="9" t="s">
        <v>5</v>
      </c>
      <c r="G1" s="9" t="s">
        <v>6</v>
      </c>
      <c r="H1" s="10" t="s">
        <v>7</v>
      </c>
      <c r="I1" s="8" t="s">
        <v>8</v>
      </c>
      <c r="J1" s="8" t="s">
        <v>9</v>
      </c>
      <c r="K1" s="8" t="s">
        <v>10</v>
      </c>
      <c r="L1" s="8" t="s">
        <v>4</v>
      </c>
      <c r="M1" s="8" t="s">
        <v>89</v>
      </c>
      <c r="N1" s="8" t="s">
        <v>90</v>
      </c>
      <c r="O1" s="8" t="s">
        <v>12</v>
      </c>
      <c r="P1" s="8" t="s">
        <v>11</v>
      </c>
      <c r="Q1" s="8" t="s">
        <v>9</v>
      </c>
      <c r="R1" s="8" t="s">
        <v>13</v>
      </c>
      <c r="S1" s="8" t="s">
        <v>14</v>
      </c>
      <c r="T1" s="8" t="s">
        <v>9</v>
      </c>
      <c r="U1" s="7" t="s">
        <v>15</v>
      </c>
      <c r="V1" s="8" t="s">
        <v>16</v>
      </c>
      <c r="W1" s="11" t="s">
        <v>17</v>
      </c>
      <c r="X1" s="8" t="s">
        <v>18</v>
      </c>
      <c r="Y1" s="8" t="s">
        <v>19</v>
      </c>
      <c r="Z1" s="8" t="s">
        <v>20</v>
      </c>
      <c r="AA1" s="8" t="s">
        <v>21</v>
      </c>
      <c r="AB1" s="8" t="s">
        <v>22</v>
      </c>
      <c r="AC1" s="8" t="s">
        <v>23</v>
      </c>
      <c r="AD1" s="8" t="s">
        <v>24</v>
      </c>
      <c r="AE1" s="8" t="s">
        <v>25</v>
      </c>
      <c r="AF1" s="12" t="s">
        <v>26</v>
      </c>
      <c r="AG1" s="8" t="s">
        <v>30</v>
      </c>
      <c r="AH1" s="8" t="s">
        <v>31</v>
      </c>
      <c r="AI1" s="8" t="s">
        <v>16</v>
      </c>
      <c r="AJ1" s="8" t="s">
        <v>149</v>
      </c>
      <c r="AK1" s="8" t="s">
        <v>150</v>
      </c>
      <c r="AL1" s="8" t="s">
        <v>151</v>
      </c>
      <c r="AM1" s="12" t="s">
        <v>32</v>
      </c>
      <c r="AN1" s="8" t="s">
        <v>27</v>
      </c>
      <c r="AO1" s="8" t="s">
        <v>152</v>
      </c>
      <c r="AP1" s="8" t="s">
        <v>153</v>
      </c>
      <c r="AQ1" s="8" t="s">
        <v>154</v>
      </c>
      <c r="AR1" s="8" t="s">
        <v>91</v>
      </c>
      <c r="AS1" s="8" t="s">
        <v>37</v>
      </c>
      <c r="AT1" s="8" t="s">
        <v>38</v>
      </c>
      <c r="AU1" s="8" t="s">
        <v>155</v>
      </c>
      <c r="AV1" s="8" t="s">
        <v>28</v>
      </c>
      <c r="AW1" s="8" t="s">
        <v>29</v>
      </c>
      <c r="AX1" s="13" t="s">
        <v>156</v>
      </c>
      <c r="AY1" s="14" t="s">
        <v>157</v>
      </c>
      <c r="AZ1" s="14" t="s">
        <v>158</v>
      </c>
      <c r="BA1" s="8" t="s">
        <v>159</v>
      </c>
      <c r="BB1" s="13" t="s">
        <v>160</v>
      </c>
      <c r="BC1" s="14" t="s">
        <v>161</v>
      </c>
      <c r="BD1" s="14" t="s">
        <v>162</v>
      </c>
      <c r="BE1" s="8" t="s">
        <v>33</v>
      </c>
      <c r="BF1" s="8" t="s">
        <v>34</v>
      </c>
      <c r="BG1" s="8" t="s">
        <v>35</v>
      </c>
      <c r="BH1" s="8" t="s">
        <v>36</v>
      </c>
      <c r="BI1" s="8" t="s">
        <v>40</v>
      </c>
      <c r="BJ1" s="8" t="s">
        <v>41</v>
      </c>
      <c r="BK1" s="8" t="s">
        <v>43</v>
      </c>
      <c r="BL1" s="8" t="s">
        <v>42</v>
      </c>
      <c r="BM1" s="8" t="s">
        <v>163</v>
      </c>
      <c r="BN1" s="8" t="s">
        <v>4</v>
      </c>
      <c r="BO1" s="8" t="s">
        <v>164</v>
      </c>
      <c r="BP1" s="13" t="s">
        <v>165</v>
      </c>
      <c r="BQ1" s="8" t="s">
        <v>157</v>
      </c>
      <c r="BR1" s="8" t="s">
        <v>158</v>
      </c>
      <c r="BS1" s="7" t="s">
        <v>92</v>
      </c>
      <c r="BT1" s="7" t="s">
        <v>166</v>
      </c>
      <c r="BU1" s="13" t="s">
        <v>167</v>
      </c>
    </row>
    <row r="2" spans="1:73" ht="15.65" customHeight="1" x14ac:dyDescent="0.35">
      <c r="A2" s="1" t="s">
        <v>44</v>
      </c>
      <c r="B2" s="4"/>
      <c r="C2" s="5"/>
      <c r="D2" s="15" t="s">
        <v>93</v>
      </c>
      <c r="E2" s="16" t="s">
        <v>94</v>
      </c>
      <c r="F2" s="6" t="s">
        <v>95</v>
      </c>
      <c r="G2" s="6" t="s">
        <v>96</v>
      </c>
      <c r="H2" s="17" t="s">
        <v>97</v>
      </c>
      <c r="I2" s="18" t="s">
        <v>45</v>
      </c>
      <c r="J2" s="18" t="s">
        <v>46</v>
      </c>
      <c r="K2" s="19">
        <f ca="1">TODAY()-7</f>
        <v>45715</v>
      </c>
      <c r="L2" s="16" t="s">
        <v>94</v>
      </c>
      <c r="M2" s="20" t="s">
        <v>47</v>
      </c>
      <c r="N2" s="20" t="s">
        <v>98</v>
      </c>
      <c r="O2" s="21" t="s">
        <v>98</v>
      </c>
      <c r="P2" s="18">
        <v>1542</v>
      </c>
      <c r="Q2" s="18" t="s">
        <v>46</v>
      </c>
      <c r="R2" s="22" t="s">
        <v>48</v>
      </c>
      <c r="S2" s="23" t="s">
        <v>99</v>
      </c>
      <c r="T2" s="18" t="s">
        <v>46</v>
      </c>
      <c r="U2" s="24">
        <f ca="1">TODAY()-31</f>
        <v>45691</v>
      </c>
      <c r="V2" s="18" t="s">
        <v>49</v>
      </c>
      <c r="W2" s="25" t="s">
        <v>100</v>
      </c>
      <c r="X2" s="26" t="s">
        <v>51</v>
      </c>
      <c r="Y2" s="26" t="s">
        <v>61</v>
      </c>
      <c r="Z2" s="26" t="s">
        <v>53</v>
      </c>
      <c r="AA2" s="27">
        <v>795</v>
      </c>
      <c r="AB2" s="28" t="s">
        <v>39</v>
      </c>
      <c r="AC2" s="29">
        <v>40</v>
      </c>
      <c r="AD2" s="30" t="s">
        <v>54</v>
      </c>
      <c r="AE2" s="21" t="s">
        <v>101</v>
      </c>
      <c r="AF2" s="31" t="s">
        <v>54</v>
      </c>
      <c r="AG2" s="18" t="s">
        <v>102</v>
      </c>
      <c r="AH2" s="18" t="s">
        <v>56</v>
      </c>
      <c r="AI2" s="18" t="s">
        <v>54</v>
      </c>
      <c r="AJ2" s="19">
        <f ca="1">TODAY()-31</f>
        <v>45691</v>
      </c>
      <c r="AK2" s="19">
        <f ca="1">TODAY()-31</f>
        <v>45691</v>
      </c>
      <c r="AL2" s="19">
        <f ca="1">TODAY()-31</f>
        <v>45691</v>
      </c>
      <c r="AM2" s="24" t="str">
        <f>AF2</f>
        <v>N/A</v>
      </c>
      <c r="AN2" s="18">
        <v>92</v>
      </c>
      <c r="AO2" s="32">
        <v>251</v>
      </c>
      <c r="AP2" s="32" t="s">
        <v>103</v>
      </c>
      <c r="AQ2" s="32" t="s">
        <v>104</v>
      </c>
      <c r="AR2" s="33" t="s">
        <v>105</v>
      </c>
      <c r="AS2" s="16" t="s">
        <v>54</v>
      </c>
      <c r="AT2" s="16" t="s">
        <v>54</v>
      </c>
      <c r="AU2" s="19">
        <f ca="1">TODAY()+7</f>
        <v>45729</v>
      </c>
      <c r="AV2" s="16" t="s">
        <v>94</v>
      </c>
      <c r="AW2" s="34" t="s">
        <v>106</v>
      </c>
      <c r="AX2" s="35">
        <v>2973000506950</v>
      </c>
      <c r="AY2" s="19" t="s">
        <v>107</v>
      </c>
      <c r="AZ2" s="19" t="s">
        <v>108</v>
      </c>
      <c r="BA2" s="34" t="s">
        <v>109</v>
      </c>
      <c r="BB2" s="36">
        <v>93300875</v>
      </c>
      <c r="BC2" s="19" t="s">
        <v>107</v>
      </c>
      <c r="BD2" s="19" t="s">
        <v>110</v>
      </c>
      <c r="BE2" s="21" t="s">
        <v>62</v>
      </c>
      <c r="BF2" s="19" t="s">
        <v>107</v>
      </c>
      <c r="BG2" s="16" t="s">
        <v>111</v>
      </c>
      <c r="BH2" s="16" t="s">
        <v>94</v>
      </c>
      <c r="BI2" s="16" t="s">
        <v>112</v>
      </c>
      <c r="BJ2" s="37" t="s">
        <v>54</v>
      </c>
      <c r="BK2" s="16" t="s">
        <v>58</v>
      </c>
      <c r="BL2" s="38" t="s">
        <v>113</v>
      </c>
      <c r="BM2" s="16" t="s">
        <v>114</v>
      </c>
      <c r="BN2" s="16" t="s">
        <v>94</v>
      </c>
      <c r="BO2" s="16" t="s">
        <v>115</v>
      </c>
      <c r="BP2" s="39">
        <v>99730</v>
      </c>
      <c r="BQ2" s="19">
        <v>44562</v>
      </c>
      <c r="BR2" s="19">
        <v>47119</v>
      </c>
      <c r="BS2" s="24">
        <v>44562</v>
      </c>
      <c r="BT2" s="24">
        <f ca="1">TODAY()+365</f>
        <v>46087</v>
      </c>
      <c r="BU2" s="18" t="s">
        <v>116</v>
      </c>
    </row>
    <row r="3" spans="1:73" ht="15.65" customHeight="1" x14ac:dyDescent="0.35">
      <c r="A3" s="1" t="s">
        <v>59</v>
      </c>
      <c r="C3" s="5"/>
      <c r="D3" s="15" t="s">
        <v>117</v>
      </c>
      <c r="E3" s="16" t="s">
        <v>94</v>
      </c>
      <c r="F3" s="6" t="s">
        <v>118</v>
      </c>
      <c r="G3" s="6" t="s">
        <v>96</v>
      </c>
      <c r="H3" s="17" t="s">
        <v>97</v>
      </c>
      <c r="I3" s="18" t="s">
        <v>45</v>
      </c>
      <c r="J3" s="18" t="s">
        <v>46</v>
      </c>
      <c r="K3" s="19">
        <f ca="1">TODAY()-7</f>
        <v>45715</v>
      </c>
      <c r="L3" s="16" t="s">
        <v>94</v>
      </c>
      <c r="M3" s="20" t="s">
        <v>47</v>
      </c>
      <c r="N3" s="20" t="s">
        <v>98</v>
      </c>
      <c r="O3" s="21" t="s">
        <v>98</v>
      </c>
      <c r="P3" s="18">
        <v>1542</v>
      </c>
      <c r="Q3" s="18" t="s">
        <v>46</v>
      </c>
      <c r="R3" s="22" t="s">
        <v>48</v>
      </c>
      <c r="S3" s="23" t="s">
        <v>99</v>
      </c>
      <c r="T3" s="18" t="s">
        <v>46</v>
      </c>
      <c r="U3" s="24">
        <f ca="1">TODAY()-31</f>
        <v>45691</v>
      </c>
      <c r="V3" s="18" t="s">
        <v>49</v>
      </c>
      <c r="W3" s="25" t="s">
        <v>50</v>
      </c>
      <c r="X3" s="26" t="s">
        <v>51</v>
      </c>
      <c r="Y3" s="26" t="s">
        <v>52</v>
      </c>
      <c r="Z3" s="26" t="s">
        <v>53</v>
      </c>
      <c r="AA3" s="27">
        <v>795</v>
      </c>
      <c r="AB3" s="28" t="s">
        <v>39</v>
      </c>
      <c r="AC3" s="29">
        <v>40</v>
      </c>
      <c r="AD3" s="30" t="s">
        <v>54</v>
      </c>
      <c r="AE3" s="21" t="s">
        <v>101</v>
      </c>
      <c r="AF3" s="31" t="s">
        <v>54</v>
      </c>
      <c r="AG3" s="18" t="s">
        <v>102</v>
      </c>
      <c r="AH3" s="18" t="s">
        <v>56</v>
      </c>
      <c r="AI3" s="18" t="s">
        <v>54</v>
      </c>
      <c r="AJ3" s="19">
        <f ca="1">TODAY()-31</f>
        <v>45691</v>
      </c>
      <c r="AK3" s="19">
        <f ca="1">TODAY()-31</f>
        <v>45691</v>
      </c>
      <c r="AL3" s="19">
        <f ca="1">TODAY()-31</f>
        <v>45691</v>
      </c>
      <c r="AM3" s="24" t="str">
        <f>AF3</f>
        <v>N/A</v>
      </c>
      <c r="AN3" s="18" t="s">
        <v>119</v>
      </c>
      <c r="AO3" s="32" t="s">
        <v>55</v>
      </c>
      <c r="AP3" s="32" t="s">
        <v>103</v>
      </c>
      <c r="AQ3" s="32" t="s">
        <v>104</v>
      </c>
      <c r="AR3" s="33" t="s">
        <v>105</v>
      </c>
      <c r="AS3" s="16" t="s">
        <v>54</v>
      </c>
      <c r="AT3" s="16" t="s">
        <v>54</v>
      </c>
      <c r="AU3" s="19">
        <f ca="1">TODAY()+7</f>
        <v>45729</v>
      </c>
      <c r="AV3" s="16" t="s">
        <v>94</v>
      </c>
      <c r="AW3" s="34" t="s">
        <v>106</v>
      </c>
      <c r="AX3" s="35">
        <v>2973000506951</v>
      </c>
      <c r="AY3" s="19" t="s">
        <v>107</v>
      </c>
      <c r="AZ3" s="19" t="s">
        <v>108</v>
      </c>
      <c r="BA3" s="34" t="s">
        <v>109</v>
      </c>
      <c r="BB3" s="36">
        <v>93300876</v>
      </c>
      <c r="BC3" s="19" t="s">
        <v>107</v>
      </c>
      <c r="BD3" s="19" t="s">
        <v>110</v>
      </c>
      <c r="BE3" s="21" t="s">
        <v>62</v>
      </c>
      <c r="BF3" s="19" t="s">
        <v>107</v>
      </c>
      <c r="BG3" s="16" t="s">
        <v>111</v>
      </c>
      <c r="BH3" s="16" t="s">
        <v>94</v>
      </c>
      <c r="BI3" s="16" t="s">
        <v>112</v>
      </c>
      <c r="BJ3" s="37" t="s">
        <v>54</v>
      </c>
      <c r="BK3" s="16" t="s">
        <v>58</v>
      </c>
      <c r="BL3" s="38" t="s">
        <v>113</v>
      </c>
      <c r="BM3" s="16" t="s">
        <v>114</v>
      </c>
      <c r="BN3" s="16" t="s">
        <v>94</v>
      </c>
      <c r="BO3" s="16" t="s">
        <v>115</v>
      </c>
      <c r="BP3" s="39">
        <v>99731</v>
      </c>
      <c r="BQ3" s="19">
        <v>44562</v>
      </c>
      <c r="BR3" s="19">
        <v>47119</v>
      </c>
      <c r="BS3" s="24">
        <v>44562</v>
      </c>
      <c r="BT3" s="24">
        <f ca="1">TODAY()+365</f>
        <v>46087</v>
      </c>
      <c r="BU3" s="18" t="s">
        <v>116</v>
      </c>
    </row>
    <row r="4" spans="1:73" ht="15.65" customHeight="1" x14ac:dyDescent="0.35">
      <c r="A4" s="1" t="s">
        <v>63</v>
      </c>
      <c r="C4" s="5"/>
      <c r="D4" s="15" t="s">
        <v>117</v>
      </c>
      <c r="E4" s="16" t="s">
        <v>94</v>
      </c>
      <c r="F4" s="6" t="s">
        <v>120</v>
      </c>
      <c r="G4" s="6" t="s">
        <v>96</v>
      </c>
      <c r="H4" s="17" t="s">
        <v>97</v>
      </c>
      <c r="I4" s="18" t="s">
        <v>45</v>
      </c>
      <c r="J4" s="18" t="s">
        <v>46</v>
      </c>
      <c r="K4" s="19">
        <f ca="1">TODAY()-7</f>
        <v>45715</v>
      </c>
      <c r="L4" s="16" t="s">
        <v>94</v>
      </c>
      <c r="M4" s="20" t="s">
        <v>47</v>
      </c>
      <c r="N4" s="20" t="s">
        <v>98</v>
      </c>
      <c r="O4" s="21" t="s">
        <v>98</v>
      </c>
      <c r="P4" s="18">
        <v>1542</v>
      </c>
      <c r="Q4" s="18" t="s">
        <v>46</v>
      </c>
      <c r="R4" s="22" t="s">
        <v>48</v>
      </c>
      <c r="S4" s="23" t="s">
        <v>99</v>
      </c>
      <c r="T4" s="18" t="s">
        <v>46</v>
      </c>
      <c r="U4" s="24">
        <f ca="1">TODAY()-31</f>
        <v>45691</v>
      </c>
      <c r="V4" s="18" t="s">
        <v>49</v>
      </c>
      <c r="W4" s="25" t="s">
        <v>50</v>
      </c>
      <c r="X4" s="26" t="s">
        <v>60</v>
      </c>
      <c r="Y4" s="26" t="s">
        <v>52</v>
      </c>
      <c r="Z4" s="26" t="s">
        <v>64</v>
      </c>
      <c r="AA4" s="27">
        <v>795</v>
      </c>
      <c r="AB4" s="28" t="s">
        <v>39</v>
      </c>
      <c r="AC4" s="29">
        <v>15</v>
      </c>
      <c r="AD4" s="30" t="s">
        <v>54</v>
      </c>
      <c r="AE4" s="21" t="s">
        <v>121</v>
      </c>
      <c r="AF4" s="40">
        <f ca="1">TODAY()+365</f>
        <v>46087</v>
      </c>
      <c r="AG4" s="18" t="s">
        <v>102</v>
      </c>
      <c r="AH4" s="18" t="s">
        <v>56</v>
      </c>
      <c r="AI4" s="18" t="s">
        <v>54</v>
      </c>
      <c r="AJ4" s="19">
        <f ca="1">TODAY()-31</f>
        <v>45691</v>
      </c>
      <c r="AK4" s="19">
        <f ca="1">TODAY()-31</f>
        <v>45691</v>
      </c>
      <c r="AL4" s="19">
        <f ca="1">TODAY()-31</f>
        <v>45691</v>
      </c>
      <c r="AM4" s="24">
        <f ca="1">AF4</f>
        <v>46087</v>
      </c>
      <c r="AN4" s="18" t="s">
        <v>119</v>
      </c>
      <c r="AO4" s="32" t="s">
        <v>55</v>
      </c>
      <c r="AP4" s="32" t="s">
        <v>103</v>
      </c>
      <c r="AQ4" s="32" t="s">
        <v>104</v>
      </c>
      <c r="AR4" s="33" t="s">
        <v>105</v>
      </c>
      <c r="AS4" s="16" t="s">
        <v>54</v>
      </c>
      <c r="AT4" s="16" t="s">
        <v>54</v>
      </c>
      <c r="AU4" s="19">
        <f ca="1">TODAY()+7</f>
        <v>45729</v>
      </c>
      <c r="AV4" s="16" t="s">
        <v>94</v>
      </c>
      <c r="AW4" s="34" t="s">
        <v>106</v>
      </c>
      <c r="AX4" s="35">
        <v>2973000506952</v>
      </c>
      <c r="AY4" s="19" t="s">
        <v>107</v>
      </c>
      <c r="AZ4" s="19" t="s">
        <v>108</v>
      </c>
      <c r="BA4" s="34" t="s">
        <v>109</v>
      </c>
      <c r="BB4" s="36">
        <v>93300877</v>
      </c>
      <c r="BC4" s="19" t="s">
        <v>107</v>
      </c>
      <c r="BD4" s="19" t="s">
        <v>110</v>
      </c>
      <c r="BE4" s="21" t="s">
        <v>57</v>
      </c>
      <c r="BF4" s="19" t="s">
        <v>107</v>
      </c>
      <c r="BG4" s="16" t="s">
        <v>111</v>
      </c>
      <c r="BH4" s="16" t="s">
        <v>94</v>
      </c>
      <c r="BI4" s="16" t="s">
        <v>112</v>
      </c>
      <c r="BJ4" s="37" t="s">
        <v>54</v>
      </c>
      <c r="BK4" s="16" t="s">
        <v>58</v>
      </c>
      <c r="BL4" s="38" t="s">
        <v>113</v>
      </c>
      <c r="BM4" s="16" t="s">
        <v>114</v>
      </c>
      <c r="BN4" s="16" t="s">
        <v>94</v>
      </c>
      <c r="BO4" s="16" t="s">
        <v>115</v>
      </c>
      <c r="BP4" s="39">
        <v>99732</v>
      </c>
      <c r="BQ4" s="19">
        <v>44562</v>
      </c>
      <c r="BR4" s="19">
        <v>47119</v>
      </c>
      <c r="BS4" s="24">
        <v>44562</v>
      </c>
      <c r="BT4" s="24">
        <f ca="1">TODAY()+365</f>
        <v>46087</v>
      </c>
      <c r="BU4" s="18" t="s">
        <v>116</v>
      </c>
    </row>
    <row r="5" spans="1:73" ht="15.65" customHeight="1" x14ac:dyDescent="0.35">
      <c r="A5" s="1" t="s">
        <v>66</v>
      </c>
      <c r="C5" s="5"/>
      <c r="D5" s="15" t="s">
        <v>93</v>
      </c>
      <c r="E5" s="16" t="s">
        <v>94</v>
      </c>
      <c r="F5" s="6" t="s">
        <v>122</v>
      </c>
      <c r="G5" s="6" t="s">
        <v>96</v>
      </c>
      <c r="H5" s="17" t="s">
        <v>97</v>
      </c>
      <c r="I5" s="18" t="s">
        <v>45</v>
      </c>
      <c r="J5" s="18" t="s">
        <v>46</v>
      </c>
      <c r="K5" s="19">
        <f ca="1">TODAY()-7</f>
        <v>45715</v>
      </c>
      <c r="L5" s="16" t="s">
        <v>94</v>
      </c>
      <c r="M5" s="20" t="s">
        <v>47</v>
      </c>
      <c r="N5" s="20" t="s">
        <v>98</v>
      </c>
      <c r="O5" s="21" t="s">
        <v>98</v>
      </c>
      <c r="P5" s="18">
        <v>1542</v>
      </c>
      <c r="Q5" s="18" t="s">
        <v>46</v>
      </c>
      <c r="R5" s="22" t="s">
        <v>48</v>
      </c>
      <c r="S5" s="23" t="s">
        <v>99</v>
      </c>
      <c r="T5" s="18" t="s">
        <v>46</v>
      </c>
      <c r="U5" s="24">
        <f ca="1">TODAY()-31</f>
        <v>45691</v>
      </c>
      <c r="V5" s="18" t="s">
        <v>49</v>
      </c>
      <c r="W5" s="25" t="s">
        <v>123</v>
      </c>
      <c r="X5" s="26" t="s">
        <v>60</v>
      </c>
      <c r="Y5" s="26" t="s">
        <v>67</v>
      </c>
      <c r="Z5" s="26" t="s">
        <v>64</v>
      </c>
      <c r="AA5" s="27">
        <v>795</v>
      </c>
      <c r="AB5" s="28" t="s">
        <v>39</v>
      </c>
      <c r="AC5" s="29">
        <v>20</v>
      </c>
      <c r="AD5" s="30" t="s">
        <v>54</v>
      </c>
      <c r="AE5" s="21" t="s">
        <v>124</v>
      </c>
      <c r="AF5" s="40">
        <f ca="1">TODAY()+365</f>
        <v>46087</v>
      </c>
      <c r="AG5" s="18" t="s">
        <v>102</v>
      </c>
      <c r="AH5" s="18" t="s">
        <v>56</v>
      </c>
      <c r="AI5" s="18" t="s">
        <v>54</v>
      </c>
      <c r="AJ5" s="19">
        <f ca="1">TODAY()-31</f>
        <v>45691</v>
      </c>
      <c r="AK5" s="19">
        <f ca="1">TODAY()-31</f>
        <v>45691</v>
      </c>
      <c r="AL5" s="19">
        <f ca="1">TODAY()-31</f>
        <v>45691</v>
      </c>
      <c r="AM5" s="24">
        <f ca="1">AF5</f>
        <v>46087</v>
      </c>
      <c r="AN5" s="18">
        <v>92</v>
      </c>
      <c r="AO5" s="32">
        <v>251</v>
      </c>
      <c r="AP5" s="32" t="s">
        <v>103</v>
      </c>
      <c r="AQ5" s="32" t="s">
        <v>104</v>
      </c>
      <c r="AR5" s="33" t="s">
        <v>105</v>
      </c>
      <c r="AS5" s="16" t="s">
        <v>54</v>
      </c>
      <c r="AT5" s="16" t="s">
        <v>54</v>
      </c>
      <c r="AU5" s="19">
        <f ca="1">TODAY()+7</f>
        <v>45729</v>
      </c>
      <c r="AV5" s="16" t="s">
        <v>94</v>
      </c>
      <c r="AW5" s="34" t="s">
        <v>106</v>
      </c>
      <c r="AX5" s="35">
        <v>2973000506953</v>
      </c>
      <c r="AY5" s="19" t="s">
        <v>107</v>
      </c>
      <c r="AZ5" s="19" t="s">
        <v>108</v>
      </c>
      <c r="BA5" s="34" t="s">
        <v>109</v>
      </c>
      <c r="BB5" s="36">
        <v>93300878</v>
      </c>
      <c r="BC5" s="19" t="s">
        <v>107</v>
      </c>
      <c r="BD5" s="19" t="s">
        <v>110</v>
      </c>
      <c r="BE5" s="21" t="s">
        <v>62</v>
      </c>
      <c r="BF5" s="19" t="s">
        <v>107</v>
      </c>
      <c r="BG5" s="16" t="s">
        <v>111</v>
      </c>
      <c r="BH5" s="16" t="s">
        <v>94</v>
      </c>
      <c r="BI5" s="16" t="s">
        <v>112</v>
      </c>
      <c r="BJ5" s="37" t="s">
        <v>54</v>
      </c>
      <c r="BK5" s="16" t="s">
        <v>58</v>
      </c>
      <c r="BL5" s="38" t="s">
        <v>113</v>
      </c>
      <c r="BM5" s="16" t="s">
        <v>114</v>
      </c>
      <c r="BN5" s="16" t="s">
        <v>94</v>
      </c>
      <c r="BO5" s="16" t="s">
        <v>115</v>
      </c>
      <c r="BP5" s="39">
        <v>99733</v>
      </c>
      <c r="BQ5" s="19">
        <v>44562</v>
      </c>
      <c r="BR5" s="19">
        <v>47119</v>
      </c>
      <c r="BS5" s="24">
        <v>44562</v>
      </c>
      <c r="BT5" s="24">
        <f ca="1">TODAY()+365</f>
        <v>46087</v>
      </c>
      <c r="BU5" s="18" t="s">
        <v>116</v>
      </c>
    </row>
    <row r="6" spans="1:73" ht="15.65" customHeight="1" x14ac:dyDescent="0.35">
      <c r="A6" s="1" t="s">
        <v>68</v>
      </c>
      <c r="C6" s="5"/>
      <c r="D6" s="15" t="s">
        <v>117</v>
      </c>
      <c r="E6" s="16" t="s">
        <v>94</v>
      </c>
      <c r="F6" s="6" t="s">
        <v>125</v>
      </c>
      <c r="G6" s="6" t="s">
        <v>96</v>
      </c>
      <c r="H6" s="17" t="s">
        <v>97</v>
      </c>
      <c r="I6" s="18" t="s">
        <v>45</v>
      </c>
      <c r="J6" s="18" t="s">
        <v>46</v>
      </c>
      <c r="K6" s="19">
        <f ca="1">TODAY()-7</f>
        <v>45715</v>
      </c>
      <c r="L6" s="16" t="s">
        <v>94</v>
      </c>
      <c r="M6" s="20" t="s">
        <v>47</v>
      </c>
      <c r="N6" s="20" t="s">
        <v>98</v>
      </c>
      <c r="O6" s="21" t="s">
        <v>98</v>
      </c>
      <c r="P6" s="18">
        <v>1542</v>
      </c>
      <c r="Q6" s="18" t="s">
        <v>46</v>
      </c>
      <c r="R6" s="22" t="s">
        <v>48</v>
      </c>
      <c r="S6" s="23" t="s">
        <v>99</v>
      </c>
      <c r="T6" s="18" t="s">
        <v>46</v>
      </c>
      <c r="U6" s="24">
        <f ca="1">TODAY()-31</f>
        <v>45691</v>
      </c>
      <c r="V6" s="18" t="s">
        <v>49</v>
      </c>
      <c r="W6" s="25" t="s">
        <v>50</v>
      </c>
      <c r="X6" s="26" t="s">
        <v>51</v>
      </c>
      <c r="Y6" s="26" t="s">
        <v>126</v>
      </c>
      <c r="Z6" s="26" t="s">
        <v>53</v>
      </c>
      <c r="AA6" s="27">
        <v>795</v>
      </c>
      <c r="AB6" s="28" t="s">
        <v>39</v>
      </c>
      <c r="AC6" s="29">
        <v>40</v>
      </c>
      <c r="AD6" s="30" t="s">
        <v>54</v>
      </c>
      <c r="AE6" s="21" t="s">
        <v>101</v>
      </c>
      <c r="AF6" s="31" t="s">
        <v>54</v>
      </c>
      <c r="AG6" s="18" t="s">
        <v>102</v>
      </c>
      <c r="AH6" s="18" t="s">
        <v>56</v>
      </c>
      <c r="AI6" s="18" t="s">
        <v>54</v>
      </c>
      <c r="AJ6" s="19">
        <f ca="1">TODAY()-31</f>
        <v>45691</v>
      </c>
      <c r="AK6" s="19">
        <f ca="1">TODAY()-31</f>
        <v>45691</v>
      </c>
      <c r="AL6" s="19">
        <f ca="1">TODAY()-31</f>
        <v>45691</v>
      </c>
      <c r="AM6" s="24" t="str">
        <f>AF6</f>
        <v>N/A</v>
      </c>
      <c r="AN6" s="18" t="s">
        <v>119</v>
      </c>
      <c r="AO6" s="32" t="s">
        <v>83</v>
      </c>
      <c r="AP6" s="32" t="s">
        <v>103</v>
      </c>
      <c r="AQ6" s="32" t="s">
        <v>104</v>
      </c>
      <c r="AR6" s="33" t="s">
        <v>105</v>
      </c>
      <c r="AS6" s="16" t="s">
        <v>54</v>
      </c>
      <c r="AT6" s="16" t="s">
        <v>54</v>
      </c>
      <c r="AU6" s="19">
        <f ca="1">TODAY()+7</f>
        <v>45729</v>
      </c>
      <c r="AV6" s="16" t="s">
        <v>94</v>
      </c>
      <c r="AW6" s="34" t="s">
        <v>106</v>
      </c>
      <c r="AX6" s="35">
        <v>2973000506954</v>
      </c>
      <c r="AY6" s="19" t="s">
        <v>107</v>
      </c>
      <c r="AZ6" s="19" t="s">
        <v>108</v>
      </c>
      <c r="BA6" s="34" t="s">
        <v>109</v>
      </c>
      <c r="BB6" s="36">
        <v>93300879</v>
      </c>
      <c r="BC6" s="19" t="s">
        <v>107</v>
      </c>
      <c r="BD6" s="19" t="s">
        <v>110</v>
      </c>
      <c r="BE6" s="21" t="s">
        <v>57</v>
      </c>
      <c r="BF6" s="19" t="s">
        <v>107</v>
      </c>
      <c r="BG6" s="16" t="s">
        <v>111</v>
      </c>
      <c r="BH6" s="16" t="s">
        <v>94</v>
      </c>
      <c r="BI6" s="16" t="s">
        <v>112</v>
      </c>
      <c r="BJ6" s="37" t="s">
        <v>54</v>
      </c>
      <c r="BK6" s="16" t="s">
        <v>58</v>
      </c>
      <c r="BL6" s="38" t="s">
        <v>113</v>
      </c>
      <c r="BM6" s="16" t="s">
        <v>114</v>
      </c>
      <c r="BN6" s="16" t="s">
        <v>94</v>
      </c>
      <c r="BO6" s="16" t="s">
        <v>115</v>
      </c>
      <c r="BP6" s="39">
        <v>99734</v>
      </c>
      <c r="BQ6" s="19">
        <v>44562</v>
      </c>
      <c r="BR6" s="19">
        <v>47119</v>
      </c>
      <c r="BS6" s="24">
        <v>44562</v>
      </c>
      <c r="BT6" s="24">
        <f ca="1">TODAY()+365</f>
        <v>46087</v>
      </c>
      <c r="BU6" s="18" t="s">
        <v>116</v>
      </c>
    </row>
    <row r="7" spans="1:73" ht="15.65" customHeight="1" x14ac:dyDescent="0.35">
      <c r="A7" s="1" t="s">
        <v>69</v>
      </c>
      <c r="C7" s="5"/>
      <c r="D7" s="15" t="s">
        <v>93</v>
      </c>
      <c r="E7" s="16" t="s">
        <v>94</v>
      </c>
      <c r="F7" s="6" t="s">
        <v>127</v>
      </c>
      <c r="G7" s="6" t="s">
        <v>96</v>
      </c>
      <c r="H7" s="17" t="s">
        <v>97</v>
      </c>
      <c r="I7" s="18" t="s">
        <v>45</v>
      </c>
      <c r="J7" s="18" t="s">
        <v>46</v>
      </c>
      <c r="K7" s="19">
        <f ca="1">TODAY()-7</f>
        <v>45715</v>
      </c>
      <c r="L7" s="16" t="s">
        <v>94</v>
      </c>
      <c r="M7" s="20" t="s">
        <v>47</v>
      </c>
      <c r="N7" s="20" t="s">
        <v>98</v>
      </c>
      <c r="O7" s="21" t="s">
        <v>98</v>
      </c>
      <c r="P7" s="18">
        <v>1542</v>
      </c>
      <c r="Q7" s="18" t="s">
        <v>46</v>
      </c>
      <c r="R7" s="22" t="s">
        <v>48</v>
      </c>
      <c r="S7" s="23" t="s">
        <v>99</v>
      </c>
      <c r="T7" s="18" t="s">
        <v>46</v>
      </c>
      <c r="U7" s="24">
        <f ca="1">TODAY()-31</f>
        <v>45691</v>
      </c>
      <c r="V7" s="18" t="s">
        <v>49</v>
      </c>
      <c r="W7" s="25" t="s">
        <v>128</v>
      </c>
      <c r="X7" s="26" t="s">
        <v>51</v>
      </c>
      <c r="Y7" s="26" t="s">
        <v>67</v>
      </c>
      <c r="Z7" s="26" t="s">
        <v>53</v>
      </c>
      <c r="AA7" s="27">
        <v>795</v>
      </c>
      <c r="AB7" s="28" t="s">
        <v>39</v>
      </c>
      <c r="AC7" s="29">
        <v>40</v>
      </c>
      <c r="AD7" s="30" t="s">
        <v>54</v>
      </c>
      <c r="AE7" s="21" t="s">
        <v>101</v>
      </c>
      <c r="AF7" s="31" t="s">
        <v>54</v>
      </c>
      <c r="AG7" s="18" t="s">
        <v>102</v>
      </c>
      <c r="AH7" s="18" t="s">
        <v>56</v>
      </c>
      <c r="AI7" s="18" t="s">
        <v>54</v>
      </c>
      <c r="AJ7" s="19">
        <f ca="1">TODAY()-31</f>
        <v>45691</v>
      </c>
      <c r="AK7" s="19">
        <f ca="1">TODAY()-31</f>
        <v>45691</v>
      </c>
      <c r="AL7" s="19">
        <f ca="1">TODAY()-31</f>
        <v>45691</v>
      </c>
      <c r="AM7" s="24" t="str">
        <f>AF7</f>
        <v>N/A</v>
      </c>
      <c r="AN7" s="18">
        <v>92</v>
      </c>
      <c r="AO7" s="32">
        <v>251</v>
      </c>
      <c r="AP7" s="32" t="s">
        <v>103</v>
      </c>
      <c r="AQ7" s="32" t="s">
        <v>129</v>
      </c>
      <c r="AR7" s="33" t="s">
        <v>130</v>
      </c>
      <c r="AS7" s="16" t="s">
        <v>54</v>
      </c>
      <c r="AT7" s="16" t="s">
        <v>54</v>
      </c>
      <c r="AU7" s="19">
        <f ca="1">TODAY()+7</f>
        <v>45729</v>
      </c>
      <c r="AV7" s="16" t="s">
        <v>94</v>
      </c>
      <c r="AW7" s="34" t="s">
        <v>106</v>
      </c>
      <c r="AX7" s="35">
        <v>2973000506955</v>
      </c>
      <c r="AY7" s="19" t="s">
        <v>107</v>
      </c>
      <c r="AZ7" s="19" t="s">
        <v>108</v>
      </c>
      <c r="BA7" s="34" t="s">
        <v>109</v>
      </c>
      <c r="BB7" s="36">
        <v>93300880</v>
      </c>
      <c r="BC7" s="19" t="s">
        <v>107</v>
      </c>
      <c r="BD7" s="19" t="s">
        <v>110</v>
      </c>
      <c r="BE7" s="21" t="s">
        <v>57</v>
      </c>
      <c r="BF7" s="19" t="s">
        <v>107</v>
      </c>
      <c r="BG7" s="16" t="s">
        <v>111</v>
      </c>
      <c r="BH7" s="16" t="s">
        <v>94</v>
      </c>
      <c r="BI7" s="16" t="s">
        <v>112</v>
      </c>
      <c r="BJ7" s="37" t="s">
        <v>54</v>
      </c>
      <c r="BK7" s="16" t="s">
        <v>58</v>
      </c>
      <c r="BL7" s="38" t="s">
        <v>113</v>
      </c>
      <c r="BM7" s="16" t="s">
        <v>114</v>
      </c>
      <c r="BN7" s="16" t="s">
        <v>94</v>
      </c>
      <c r="BO7" s="16" t="s">
        <v>115</v>
      </c>
      <c r="BP7" s="39">
        <v>99735</v>
      </c>
      <c r="BQ7" s="19">
        <v>44562</v>
      </c>
      <c r="BR7" s="19">
        <v>47119</v>
      </c>
      <c r="BS7" s="24">
        <v>44562</v>
      </c>
      <c r="BT7" s="24">
        <f ca="1">TODAY()+365</f>
        <v>46087</v>
      </c>
      <c r="BU7" s="18" t="s">
        <v>116</v>
      </c>
    </row>
    <row r="8" spans="1:73" ht="15.65" customHeight="1" x14ac:dyDescent="0.35">
      <c r="A8" s="1" t="s">
        <v>71</v>
      </c>
      <c r="C8" s="5"/>
      <c r="D8" s="15" t="s">
        <v>93</v>
      </c>
      <c r="E8" s="16" t="s">
        <v>94</v>
      </c>
      <c r="F8" s="6" t="s">
        <v>131</v>
      </c>
      <c r="G8" s="6" t="s">
        <v>96</v>
      </c>
      <c r="H8" s="17" t="s">
        <v>97</v>
      </c>
      <c r="I8" s="18" t="s">
        <v>45</v>
      </c>
      <c r="J8" s="18" t="s">
        <v>46</v>
      </c>
      <c r="K8" s="19">
        <f ca="1">TODAY()-7</f>
        <v>45715</v>
      </c>
      <c r="L8" s="16" t="s">
        <v>94</v>
      </c>
      <c r="M8" s="20" t="s">
        <v>47</v>
      </c>
      <c r="N8" s="20" t="s">
        <v>98</v>
      </c>
      <c r="O8" s="21" t="s">
        <v>98</v>
      </c>
      <c r="P8" s="18">
        <v>1542</v>
      </c>
      <c r="Q8" s="18" t="s">
        <v>46</v>
      </c>
      <c r="R8" s="22" t="s">
        <v>48</v>
      </c>
      <c r="S8" s="23" t="s">
        <v>99</v>
      </c>
      <c r="T8" s="18" t="s">
        <v>46</v>
      </c>
      <c r="U8" s="24">
        <f ca="1">TODAY()-31</f>
        <v>45691</v>
      </c>
      <c r="V8" s="18" t="s">
        <v>49</v>
      </c>
      <c r="W8" s="25" t="s">
        <v>132</v>
      </c>
      <c r="X8" s="26" t="s">
        <v>168</v>
      </c>
      <c r="Y8" s="26" t="s">
        <v>72</v>
      </c>
      <c r="Z8" s="26" t="s">
        <v>53</v>
      </c>
      <c r="AA8" s="27">
        <v>795</v>
      </c>
      <c r="AB8" s="28" t="s">
        <v>39</v>
      </c>
      <c r="AC8" s="29">
        <v>40</v>
      </c>
      <c r="AD8" s="30" t="s">
        <v>54</v>
      </c>
      <c r="AE8" s="21" t="s">
        <v>101</v>
      </c>
      <c r="AF8" s="40">
        <f ca="1">TODAY()+365</f>
        <v>46087</v>
      </c>
      <c r="AG8" s="18" t="s">
        <v>102</v>
      </c>
      <c r="AH8" s="18" t="s">
        <v>56</v>
      </c>
      <c r="AI8" s="18" t="s">
        <v>54</v>
      </c>
      <c r="AJ8" s="19">
        <f ca="1">TODAY()-31</f>
        <v>45691</v>
      </c>
      <c r="AK8" s="19">
        <f ca="1">TODAY()-31</f>
        <v>45691</v>
      </c>
      <c r="AL8" s="19">
        <f ca="1">TODAY()-31</f>
        <v>45691</v>
      </c>
      <c r="AM8" s="24">
        <f ca="1">AF8</f>
        <v>46087</v>
      </c>
      <c r="AN8" s="18">
        <v>92</v>
      </c>
      <c r="AO8" s="32">
        <v>251</v>
      </c>
      <c r="AP8" s="32" t="s">
        <v>103</v>
      </c>
      <c r="AQ8" s="32" t="s">
        <v>129</v>
      </c>
      <c r="AR8" s="33" t="s">
        <v>130</v>
      </c>
      <c r="AS8" s="16" t="s">
        <v>54</v>
      </c>
      <c r="AT8" s="16" t="s">
        <v>54</v>
      </c>
      <c r="AU8" s="19">
        <f ca="1">TODAY()+7</f>
        <v>45729</v>
      </c>
      <c r="AV8" s="16" t="s">
        <v>94</v>
      </c>
      <c r="AW8" s="34" t="s">
        <v>106</v>
      </c>
      <c r="AX8" s="35">
        <v>2973000506956</v>
      </c>
      <c r="AY8" s="19" t="s">
        <v>107</v>
      </c>
      <c r="AZ8" s="19" t="s">
        <v>108</v>
      </c>
      <c r="BA8" s="34" t="s">
        <v>109</v>
      </c>
      <c r="BB8" s="36">
        <v>93300881</v>
      </c>
      <c r="BC8" s="19" t="s">
        <v>107</v>
      </c>
      <c r="BD8" s="19" t="s">
        <v>110</v>
      </c>
      <c r="BE8" s="21" t="s">
        <v>57</v>
      </c>
      <c r="BF8" s="19" t="s">
        <v>107</v>
      </c>
      <c r="BG8" s="16" t="s">
        <v>111</v>
      </c>
      <c r="BH8" s="16" t="s">
        <v>94</v>
      </c>
      <c r="BI8" s="16" t="s">
        <v>112</v>
      </c>
      <c r="BJ8" s="37" t="s">
        <v>54</v>
      </c>
      <c r="BK8" s="16" t="s">
        <v>58</v>
      </c>
      <c r="BL8" s="38" t="s">
        <v>113</v>
      </c>
      <c r="BM8" s="16" t="s">
        <v>114</v>
      </c>
      <c r="BN8" s="16" t="s">
        <v>94</v>
      </c>
      <c r="BO8" s="16" t="s">
        <v>115</v>
      </c>
      <c r="BP8" s="39">
        <v>99736</v>
      </c>
      <c r="BQ8" s="19">
        <v>44562</v>
      </c>
      <c r="BR8" s="19">
        <v>47119</v>
      </c>
      <c r="BS8" s="24">
        <v>44562</v>
      </c>
      <c r="BT8" s="24">
        <f ca="1">TODAY()+365</f>
        <v>46087</v>
      </c>
      <c r="BU8" s="18" t="s">
        <v>116</v>
      </c>
    </row>
    <row r="9" spans="1:73" ht="15.65" customHeight="1" x14ac:dyDescent="0.35">
      <c r="A9" s="1" t="s">
        <v>73</v>
      </c>
      <c r="C9" s="5"/>
      <c r="D9" s="15" t="s">
        <v>93</v>
      </c>
      <c r="E9" s="16" t="s">
        <v>94</v>
      </c>
      <c r="F9" s="6" t="s">
        <v>133</v>
      </c>
      <c r="G9" s="6" t="s">
        <v>96</v>
      </c>
      <c r="H9" s="17" t="s">
        <v>97</v>
      </c>
      <c r="I9" s="18" t="s">
        <v>45</v>
      </c>
      <c r="J9" s="18" t="s">
        <v>46</v>
      </c>
      <c r="K9" s="19">
        <f ca="1">TODAY()-7</f>
        <v>45715</v>
      </c>
      <c r="L9" s="16" t="s">
        <v>94</v>
      </c>
      <c r="M9" s="20" t="s">
        <v>47</v>
      </c>
      <c r="N9" s="20" t="s">
        <v>98</v>
      </c>
      <c r="O9" s="21" t="s">
        <v>98</v>
      </c>
      <c r="P9" s="18">
        <v>1542</v>
      </c>
      <c r="Q9" s="18" t="s">
        <v>46</v>
      </c>
      <c r="R9" s="22" t="s">
        <v>48</v>
      </c>
      <c r="S9" s="23" t="s">
        <v>99</v>
      </c>
      <c r="T9" s="18" t="s">
        <v>46</v>
      </c>
      <c r="U9" s="24">
        <f ca="1">TODAY()-31</f>
        <v>45691</v>
      </c>
      <c r="V9" s="18" t="s">
        <v>49</v>
      </c>
      <c r="W9" s="25" t="s">
        <v>134</v>
      </c>
      <c r="X9" s="26" t="s">
        <v>51</v>
      </c>
      <c r="Y9" s="26" t="s">
        <v>70</v>
      </c>
      <c r="Z9" s="26" t="s">
        <v>64</v>
      </c>
      <c r="AA9" s="27">
        <v>795</v>
      </c>
      <c r="AB9" s="28" t="s">
        <v>39</v>
      </c>
      <c r="AC9" s="29">
        <v>20</v>
      </c>
      <c r="AD9" s="30" t="s">
        <v>54</v>
      </c>
      <c r="AE9" s="21" t="s">
        <v>101</v>
      </c>
      <c r="AF9" s="31" t="s">
        <v>54</v>
      </c>
      <c r="AG9" s="18" t="s">
        <v>102</v>
      </c>
      <c r="AH9" s="18" t="s">
        <v>56</v>
      </c>
      <c r="AI9" s="18" t="s">
        <v>54</v>
      </c>
      <c r="AJ9" s="19">
        <f ca="1">TODAY()-31</f>
        <v>45691</v>
      </c>
      <c r="AK9" s="19">
        <f ca="1">TODAY()-31</f>
        <v>45691</v>
      </c>
      <c r="AL9" s="19">
        <f ca="1">TODAY()-31</f>
        <v>45691</v>
      </c>
      <c r="AM9" s="24" t="str">
        <f>AF9</f>
        <v>N/A</v>
      </c>
      <c r="AN9" s="18">
        <v>92</v>
      </c>
      <c r="AO9" s="32">
        <v>251</v>
      </c>
      <c r="AP9" s="32" t="s">
        <v>103</v>
      </c>
      <c r="AQ9" s="32" t="s">
        <v>129</v>
      </c>
      <c r="AR9" s="33" t="s">
        <v>130</v>
      </c>
      <c r="AS9" s="16" t="s">
        <v>54</v>
      </c>
      <c r="AT9" s="16" t="s">
        <v>54</v>
      </c>
      <c r="AU9" s="19">
        <f ca="1">TODAY()+7</f>
        <v>45729</v>
      </c>
      <c r="AV9" s="16" t="s">
        <v>94</v>
      </c>
      <c r="AW9" s="34" t="s">
        <v>106</v>
      </c>
      <c r="AX9" s="35">
        <v>2973000506957</v>
      </c>
      <c r="AY9" s="19" t="s">
        <v>107</v>
      </c>
      <c r="AZ9" s="19" t="s">
        <v>108</v>
      </c>
      <c r="BA9" s="34" t="s">
        <v>109</v>
      </c>
      <c r="BB9" s="36">
        <v>93300882</v>
      </c>
      <c r="BC9" s="19" t="s">
        <v>107</v>
      </c>
      <c r="BD9" s="19" t="s">
        <v>110</v>
      </c>
      <c r="BE9" s="21" t="s">
        <v>57</v>
      </c>
      <c r="BF9" s="19" t="s">
        <v>107</v>
      </c>
      <c r="BG9" s="16" t="s">
        <v>111</v>
      </c>
      <c r="BH9" s="16" t="s">
        <v>94</v>
      </c>
      <c r="BI9" s="16" t="s">
        <v>112</v>
      </c>
      <c r="BJ9" s="37" t="s">
        <v>54</v>
      </c>
      <c r="BK9" s="16" t="s">
        <v>58</v>
      </c>
      <c r="BL9" s="38" t="s">
        <v>113</v>
      </c>
      <c r="BM9" s="16" t="s">
        <v>114</v>
      </c>
      <c r="BN9" s="16" t="s">
        <v>94</v>
      </c>
      <c r="BO9" s="16" t="s">
        <v>115</v>
      </c>
      <c r="BP9" s="39">
        <v>99737</v>
      </c>
      <c r="BQ9" s="19">
        <v>44562</v>
      </c>
      <c r="BR9" s="19">
        <v>47119</v>
      </c>
      <c r="BS9" s="24">
        <v>44562</v>
      </c>
      <c r="BT9" s="24">
        <f ca="1">TODAY()+365</f>
        <v>46087</v>
      </c>
      <c r="BU9" s="18" t="s">
        <v>116</v>
      </c>
    </row>
    <row r="10" spans="1:73" ht="15.65" customHeight="1" x14ac:dyDescent="0.35">
      <c r="A10" s="1" t="s">
        <v>74</v>
      </c>
      <c r="C10" s="5"/>
      <c r="D10" s="15" t="s">
        <v>93</v>
      </c>
      <c r="E10" s="16" t="s">
        <v>94</v>
      </c>
      <c r="F10" s="6" t="s">
        <v>135</v>
      </c>
      <c r="G10" s="6" t="s">
        <v>96</v>
      </c>
      <c r="H10" s="17" t="s">
        <v>97</v>
      </c>
      <c r="I10" s="18" t="s">
        <v>45</v>
      </c>
      <c r="J10" s="18" t="s">
        <v>46</v>
      </c>
      <c r="K10" s="19">
        <f ca="1">TODAY()-7</f>
        <v>45715</v>
      </c>
      <c r="L10" s="16" t="s">
        <v>94</v>
      </c>
      <c r="M10" s="20" t="s">
        <v>47</v>
      </c>
      <c r="N10" s="20" t="s">
        <v>98</v>
      </c>
      <c r="O10" s="21" t="s">
        <v>98</v>
      </c>
      <c r="P10" s="18">
        <v>1542</v>
      </c>
      <c r="Q10" s="18" t="s">
        <v>46</v>
      </c>
      <c r="R10" s="22" t="s">
        <v>48</v>
      </c>
      <c r="S10" s="23" t="s">
        <v>99</v>
      </c>
      <c r="T10" s="18" t="s">
        <v>46</v>
      </c>
      <c r="U10" s="24">
        <f ca="1">TODAY()-31</f>
        <v>45691</v>
      </c>
      <c r="V10" s="18" t="s">
        <v>49</v>
      </c>
      <c r="W10" s="25" t="s">
        <v>136</v>
      </c>
      <c r="X10" s="26" t="s">
        <v>51</v>
      </c>
      <c r="Y10" s="26" t="s">
        <v>88</v>
      </c>
      <c r="Z10" s="26" t="s">
        <v>53</v>
      </c>
      <c r="AA10" s="27">
        <v>795</v>
      </c>
      <c r="AB10" s="28" t="s">
        <v>39</v>
      </c>
      <c r="AC10" s="29">
        <v>40</v>
      </c>
      <c r="AD10" s="30" t="s">
        <v>54</v>
      </c>
      <c r="AE10" s="21" t="s">
        <v>101</v>
      </c>
      <c r="AF10" s="31" t="s">
        <v>54</v>
      </c>
      <c r="AG10" s="18" t="s">
        <v>102</v>
      </c>
      <c r="AH10" s="18" t="s">
        <v>56</v>
      </c>
      <c r="AI10" s="18" t="s">
        <v>54</v>
      </c>
      <c r="AJ10" s="19">
        <f ca="1">TODAY()-31</f>
        <v>45691</v>
      </c>
      <c r="AK10" s="19">
        <f ca="1">TODAY()-31</f>
        <v>45691</v>
      </c>
      <c r="AL10" s="19">
        <f ca="1">TODAY()-31</f>
        <v>45691</v>
      </c>
      <c r="AM10" s="24" t="str">
        <f>AF10</f>
        <v>N/A</v>
      </c>
      <c r="AN10" s="18">
        <v>92</v>
      </c>
      <c r="AO10" s="32">
        <v>251</v>
      </c>
      <c r="AP10" s="32" t="s">
        <v>103</v>
      </c>
      <c r="AQ10" s="32" t="s">
        <v>129</v>
      </c>
      <c r="AR10" s="33" t="s">
        <v>130</v>
      </c>
      <c r="AS10" s="16" t="s">
        <v>54</v>
      </c>
      <c r="AT10" s="16" t="s">
        <v>54</v>
      </c>
      <c r="AU10" s="19">
        <f ca="1">TODAY()+7</f>
        <v>45729</v>
      </c>
      <c r="AV10" s="16" t="s">
        <v>94</v>
      </c>
      <c r="AW10" s="34" t="s">
        <v>106</v>
      </c>
      <c r="AX10" s="35">
        <v>2973000506958</v>
      </c>
      <c r="AY10" s="19" t="s">
        <v>107</v>
      </c>
      <c r="AZ10" s="19" t="s">
        <v>108</v>
      </c>
      <c r="BA10" s="34" t="s">
        <v>109</v>
      </c>
      <c r="BB10" s="36">
        <v>93300883</v>
      </c>
      <c r="BC10" s="19" t="s">
        <v>107</v>
      </c>
      <c r="BD10" s="19" t="s">
        <v>110</v>
      </c>
      <c r="BE10" s="21" t="s">
        <v>57</v>
      </c>
      <c r="BF10" s="19" t="s">
        <v>107</v>
      </c>
      <c r="BG10" s="16" t="s">
        <v>111</v>
      </c>
      <c r="BH10" s="16" t="s">
        <v>94</v>
      </c>
      <c r="BI10" s="16" t="s">
        <v>112</v>
      </c>
      <c r="BJ10" s="37" t="s">
        <v>54</v>
      </c>
      <c r="BK10" s="16" t="s">
        <v>58</v>
      </c>
      <c r="BL10" s="38" t="s">
        <v>113</v>
      </c>
      <c r="BM10" s="16" t="s">
        <v>114</v>
      </c>
      <c r="BN10" s="16" t="s">
        <v>94</v>
      </c>
      <c r="BO10" s="16" t="s">
        <v>115</v>
      </c>
      <c r="BP10" s="39">
        <v>99738</v>
      </c>
      <c r="BQ10" s="19">
        <v>44562</v>
      </c>
      <c r="BR10" s="19">
        <v>47119</v>
      </c>
      <c r="BS10" s="24">
        <v>44562</v>
      </c>
      <c r="BT10" s="24">
        <f ca="1">TODAY()+365</f>
        <v>46087</v>
      </c>
      <c r="BU10" s="18" t="s">
        <v>116</v>
      </c>
    </row>
    <row r="11" spans="1:73" ht="15.65" customHeight="1" x14ac:dyDescent="0.35">
      <c r="A11" s="1" t="s">
        <v>75</v>
      </c>
      <c r="C11" s="5"/>
      <c r="D11" s="15" t="s">
        <v>117</v>
      </c>
      <c r="E11" s="16" t="s">
        <v>94</v>
      </c>
      <c r="F11" s="6" t="s">
        <v>137</v>
      </c>
      <c r="G11" s="6" t="s">
        <v>96</v>
      </c>
      <c r="H11" s="17" t="s">
        <v>97</v>
      </c>
      <c r="I11" s="18" t="s">
        <v>45</v>
      </c>
      <c r="J11" s="18" t="s">
        <v>46</v>
      </c>
      <c r="K11" s="19">
        <f ca="1">TODAY()-7</f>
        <v>45715</v>
      </c>
      <c r="L11" s="16" t="s">
        <v>94</v>
      </c>
      <c r="M11" s="20" t="s">
        <v>47</v>
      </c>
      <c r="N11" s="20" t="s">
        <v>98</v>
      </c>
      <c r="O11" s="21" t="s">
        <v>98</v>
      </c>
      <c r="P11" s="18">
        <v>1542</v>
      </c>
      <c r="Q11" s="18" t="s">
        <v>46</v>
      </c>
      <c r="R11" s="22" t="s">
        <v>48</v>
      </c>
      <c r="S11" s="23" t="s">
        <v>99</v>
      </c>
      <c r="T11" s="18" t="s">
        <v>46</v>
      </c>
      <c r="U11" s="24">
        <f ca="1">TODAY()-31</f>
        <v>45691</v>
      </c>
      <c r="V11" s="18" t="s">
        <v>49</v>
      </c>
      <c r="W11" s="25" t="s">
        <v>50</v>
      </c>
      <c r="X11" s="26" t="s">
        <v>51</v>
      </c>
      <c r="Y11" s="26" t="s">
        <v>138</v>
      </c>
      <c r="Z11" s="26" t="s">
        <v>53</v>
      </c>
      <c r="AA11" s="27">
        <v>795</v>
      </c>
      <c r="AB11" s="28" t="s">
        <v>39</v>
      </c>
      <c r="AC11" s="29">
        <v>40</v>
      </c>
      <c r="AD11" s="30" t="s">
        <v>54</v>
      </c>
      <c r="AE11" s="21" t="s">
        <v>101</v>
      </c>
      <c r="AF11" s="31" t="s">
        <v>54</v>
      </c>
      <c r="AG11" s="18" t="s">
        <v>102</v>
      </c>
      <c r="AH11" s="18" t="s">
        <v>56</v>
      </c>
      <c r="AI11" s="18" t="s">
        <v>54</v>
      </c>
      <c r="AJ11" s="19">
        <f ca="1">TODAY()-31</f>
        <v>45691</v>
      </c>
      <c r="AK11" s="19">
        <f ca="1">TODAY()-31</f>
        <v>45691</v>
      </c>
      <c r="AL11" s="19">
        <f ca="1">TODAY()-31</f>
        <v>45691</v>
      </c>
      <c r="AM11" s="24" t="str">
        <f>AF11</f>
        <v>N/A</v>
      </c>
      <c r="AN11" s="18" t="s">
        <v>119</v>
      </c>
      <c r="AO11" s="32" t="s">
        <v>65</v>
      </c>
      <c r="AP11" s="32" t="s">
        <v>103</v>
      </c>
      <c r="AQ11" s="32" t="s">
        <v>139</v>
      </c>
      <c r="AR11" s="33" t="s">
        <v>105</v>
      </c>
      <c r="AS11" s="16" t="s">
        <v>54</v>
      </c>
      <c r="AT11" s="16" t="s">
        <v>54</v>
      </c>
      <c r="AU11" s="19">
        <f ca="1">TODAY()+7</f>
        <v>45729</v>
      </c>
      <c r="AV11" s="16" t="s">
        <v>94</v>
      </c>
      <c r="AW11" s="34" t="s">
        <v>106</v>
      </c>
      <c r="AX11" s="35">
        <v>2973000506959</v>
      </c>
      <c r="AY11" s="19" t="s">
        <v>107</v>
      </c>
      <c r="AZ11" s="19" t="s">
        <v>108</v>
      </c>
      <c r="BA11" s="34" t="s">
        <v>109</v>
      </c>
      <c r="BB11" s="36">
        <v>93300884</v>
      </c>
      <c r="BC11" s="19" t="s">
        <v>107</v>
      </c>
      <c r="BD11" s="19" t="s">
        <v>110</v>
      </c>
      <c r="BE11" s="21" t="s">
        <v>57</v>
      </c>
      <c r="BF11" s="19" t="s">
        <v>107</v>
      </c>
      <c r="BG11" s="16" t="s">
        <v>111</v>
      </c>
      <c r="BH11" s="16" t="s">
        <v>94</v>
      </c>
      <c r="BI11" s="16" t="s">
        <v>112</v>
      </c>
      <c r="BJ11" s="37" t="s">
        <v>54</v>
      </c>
      <c r="BK11" s="16" t="s">
        <v>58</v>
      </c>
      <c r="BL11" s="38" t="s">
        <v>113</v>
      </c>
      <c r="BM11" s="16" t="s">
        <v>114</v>
      </c>
      <c r="BN11" s="16" t="s">
        <v>94</v>
      </c>
      <c r="BO11" s="16" t="s">
        <v>115</v>
      </c>
      <c r="BP11" s="39">
        <v>99739</v>
      </c>
      <c r="BQ11" s="19">
        <v>44562</v>
      </c>
      <c r="BR11" s="19">
        <v>47119</v>
      </c>
      <c r="BS11" s="24">
        <v>44562</v>
      </c>
      <c r="BT11" s="24">
        <f ca="1">TODAY()+365</f>
        <v>46087</v>
      </c>
      <c r="BU11" s="18" t="s">
        <v>116</v>
      </c>
    </row>
    <row r="12" spans="1:73" ht="15.65" customHeight="1" x14ac:dyDescent="0.35">
      <c r="A12" s="1" t="s">
        <v>78</v>
      </c>
      <c r="C12" s="5"/>
      <c r="D12" s="15" t="s">
        <v>117</v>
      </c>
      <c r="E12" s="16" t="s">
        <v>94</v>
      </c>
      <c r="F12" s="6" t="s">
        <v>140</v>
      </c>
      <c r="G12" s="6" t="s">
        <v>96</v>
      </c>
      <c r="H12" s="17" t="s">
        <v>97</v>
      </c>
      <c r="I12" s="18" t="s">
        <v>45</v>
      </c>
      <c r="J12" s="18" t="s">
        <v>46</v>
      </c>
      <c r="K12" s="19">
        <f ca="1">TODAY()-7</f>
        <v>45715</v>
      </c>
      <c r="L12" s="16" t="s">
        <v>94</v>
      </c>
      <c r="M12" s="20" t="s">
        <v>47</v>
      </c>
      <c r="N12" s="20" t="s">
        <v>98</v>
      </c>
      <c r="O12" s="21" t="s">
        <v>98</v>
      </c>
      <c r="P12" s="18">
        <v>1542</v>
      </c>
      <c r="Q12" s="18" t="s">
        <v>46</v>
      </c>
      <c r="R12" s="22" t="s">
        <v>48</v>
      </c>
      <c r="S12" s="23" t="s">
        <v>99</v>
      </c>
      <c r="T12" s="18" t="s">
        <v>46</v>
      </c>
      <c r="U12" s="24">
        <f ca="1">TODAY()-31</f>
        <v>45691</v>
      </c>
      <c r="V12" s="18" t="s">
        <v>49</v>
      </c>
      <c r="W12" s="25" t="s">
        <v>50</v>
      </c>
      <c r="X12" s="26" t="s">
        <v>51</v>
      </c>
      <c r="Y12" s="26" t="s">
        <v>79</v>
      </c>
      <c r="Z12" s="26" t="s">
        <v>64</v>
      </c>
      <c r="AA12" s="27">
        <v>795</v>
      </c>
      <c r="AB12" s="28" t="s">
        <v>39</v>
      </c>
      <c r="AC12" s="29">
        <v>30</v>
      </c>
      <c r="AD12" s="30" t="s">
        <v>54</v>
      </c>
      <c r="AE12" s="21" t="s">
        <v>101</v>
      </c>
      <c r="AF12" s="31" t="s">
        <v>54</v>
      </c>
      <c r="AG12" s="18" t="s">
        <v>102</v>
      </c>
      <c r="AH12" s="18" t="s">
        <v>56</v>
      </c>
      <c r="AI12" s="18" t="s">
        <v>54</v>
      </c>
      <c r="AJ12" s="19">
        <f ca="1">TODAY()-31</f>
        <v>45691</v>
      </c>
      <c r="AK12" s="19">
        <f ca="1">TODAY()-31</f>
        <v>45691</v>
      </c>
      <c r="AL12" s="19">
        <f ca="1">TODAY()-31</f>
        <v>45691</v>
      </c>
      <c r="AM12" s="24" t="str">
        <f>AF12</f>
        <v>N/A</v>
      </c>
      <c r="AN12" s="18" t="s">
        <v>119</v>
      </c>
      <c r="AO12" s="32" t="s">
        <v>80</v>
      </c>
      <c r="AP12" s="32" t="s">
        <v>103</v>
      </c>
      <c r="AQ12" s="32" t="s">
        <v>139</v>
      </c>
      <c r="AR12" s="33" t="s">
        <v>105</v>
      </c>
      <c r="AS12" s="16" t="s">
        <v>54</v>
      </c>
      <c r="AT12" s="16" t="s">
        <v>54</v>
      </c>
      <c r="AU12" s="19">
        <f ca="1">TODAY()+7</f>
        <v>45729</v>
      </c>
      <c r="AV12" s="16" t="s">
        <v>94</v>
      </c>
      <c r="AW12" s="34" t="s">
        <v>106</v>
      </c>
      <c r="AX12" s="35">
        <v>2973000506960</v>
      </c>
      <c r="AY12" s="19" t="s">
        <v>107</v>
      </c>
      <c r="AZ12" s="19" t="s">
        <v>108</v>
      </c>
      <c r="BA12" s="34" t="s">
        <v>109</v>
      </c>
      <c r="BB12" s="36">
        <v>93300885</v>
      </c>
      <c r="BC12" s="19" t="s">
        <v>107</v>
      </c>
      <c r="BD12" s="19" t="s">
        <v>110</v>
      </c>
      <c r="BE12" s="21" t="s">
        <v>57</v>
      </c>
      <c r="BF12" s="19" t="s">
        <v>107</v>
      </c>
      <c r="BG12" s="16" t="s">
        <v>111</v>
      </c>
      <c r="BH12" s="16" t="s">
        <v>94</v>
      </c>
      <c r="BI12" s="16" t="s">
        <v>112</v>
      </c>
      <c r="BJ12" s="37" t="s">
        <v>54</v>
      </c>
      <c r="BK12" s="16" t="s">
        <v>58</v>
      </c>
      <c r="BL12" s="38" t="s">
        <v>113</v>
      </c>
      <c r="BM12" s="16" t="s">
        <v>114</v>
      </c>
      <c r="BN12" s="16" t="s">
        <v>94</v>
      </c>
      <c r="BO12" s="16" t="s">
        <v>115</v>
      </c>
      <c r="BP12" s="39">
        <v>99740</v>
      </c>
      <c r="BQ12" s="19">
        <v>44562</v>
      </c>
      <c r="BR12" s="19">
        <v>47119</v>
      </c>
      <c r="BS12" s="24">
        <v>44562</v>
      </c>
      <c r="BT12" s="24">
        <f ca="1">TODAY()+365</f>
        <v>46087</v>
      </c>
      <c r="BU12" s="18" t="s">
        <v>116</v>
      </c>
    </row>
    <row r="13" spans="1:73" ht="15.65" customHeight="1" x14ac:dyDescent="0.35">
      <c r="A13" s="1" t="s">
        <v>81</v>
      </c>
      <c r="C13" s="5"/>
      <c r="D13" s="15" t="s">
        <v>117</v>
      </c>
      <c r="E13" s="16" t="s">
        <v>94</v>
      </c>
      <c r="F13" s="6" t="s">
        <v>141</v>
      </c>
      <c r="G13" s="6" t="s">
        <v>142</v>
      </c>
      <c r="H13" s="17" t="s">
        <v>97</v>
      </c>
      <c r="I13" s="18" t="s">
        <v>45</v>
      </c>
      <c r="J13" s="18" t="s">
        <v>46</v>
      </c>
      <c r="K13" s="19">
        <f ca="1">TODAY()-7</f>
        <v>45715</v>
      </c>
      <c r="L13" s="16" t="s">
        <v>94</v>
      </c>
      <c r="M13" s="20" t="s">
        <v>47</v>
      </c>
      <c r="N13" s="20" t="s">
        <v>98</v>
      </c>
      <c r="O13" s="21" t="s">
        <v>98</v>
      </c>
      <c r="P13" s="18">
        <v>1542</v>
      </c>
      <c r="Q13" s="18" t="s">
        <v>46</v>
      </c>
      <c r="R13" s="22" t="s">
        <v>48</v>
      </c>
      <c r="S13" s="23" t="s">
        <v>99</v>
      </c>
      <c r="T13" s="18" t="s">
        <v>46</v>
      </c>
      <c r="U13" s="24">
        <f ca="1">TODAY()-31</f>
        <v>45691</v>
      </c>
      <c r="V13" s="18" t="s">
        <v>49</v>
      </c>
      <c r="W13" s="25" t="s">
        <v>50</v>
      </c>
      <c r="X13" s="26" t="s">
        <v>60</v>
      </c>
      <c r="Y13" s="26" t="s">
        <v>76</v>
      </c>
      <c r="Z13" s="26" t="s">
        <v>64</v>
      </c>
      <c r="AA13" s="27">
        <v>795</v>
      </c>
      <c r="AB13" s="28" t="s">
        <v>39</v>
      </c>
      <c r="AC13" s="29">
        <v>25</v>
      </c>
      <c r="AD13" s="30" t="s">
        <v>54</v>
      </c>
      <c r="AE13" s="21" t="s">
        <v>101</v>
      </c>
      <c r="AF13" s="40">
        <f ca="1">TODAY()+365</f>
        <v>46087</v>
      </c>
      <c r="AG13" s="18" t="s">
        <v>102</v>
      </c>
      <c r="AH13" s="18" t="s">
        <v>56</v>
      </c>
      <c r="AI13" s="18" t="s">
        <v>54</v>
      </c>
      <c r="AJ13" s="19">
        <f ca="1">TODAY()-31</f>
        <v>45691</v>
      </c>
      <c r="AK13" s="19">
        <f ca="1">TODAY()-31</f>
        <v>45691</v>
      </c>
      <c r="AL13" s="19">
        <f ca="1">TODAY()-31</f>
        <v>45691</v>
      </c>
      <c r="AM13" s="24">
        <f ca="1">AF13</f>
        <v>46087</v>
      </c>
      <c r="AN13" s="18" t="s">
        <v>119</v>
      </c>
      <c r="AO13" s="32" t="s">
        <v>77</v>
      </c>
      <c r="AP13" s="32" t="s">
        <v>103</v>
      </c>
      <c r="AQ13" s="32" t="s">
        <v>104</v>
      </c>
      <c r="AR13" s="33" t="s">
        <v>105</v>
      </c>
      <c r="AS13" s="16" t="s">
        <v>54</v>
      </c>
      <c r="AT13" s="16" t="s">
        <v>54</v>
      </c>
      <c r="AU13" s="19">
        <f ca="1">TODAY()+7</f>
        <v>45729</v>
      </c>
      <c r="AV13" s="16" t="s">
        <v>94</v>
      </c>
      <c r="AW13" s="34" t="s">
        <v>106</v>
      </c>
      <c r="AX13" s="35">
        <v>2973000506961</v>
      </c>
      <c r="AY13" s="19" t="s">
        <v>107</v>
      </c>
      <c r="AZ13" s="19" t="s">
        <v>108</v>
      </c>
      <c r="BA13" s="34" t="s">
        <v>109</v>
      </c>
      <c r="BB13" s="36">
        <v>93300886</v>
      </c>
      <c r="BC13" s="19" t="s">
        <v>107</v>
      </c>
      <c r="BD13" s="19" t="s">
        <v>110</v>
      </c>
      <c r="BE13" s="21" t="s">
        <v>57</v>
      </c>
      <c r="BF13" s="19" t="s">
        <v>107</v>
      </c>
      <c r="BG13" s="16" t="s">
        <v>111</v>
      </c>
      <c r="BH13" s="16" t="s">
        <v>94</v>
      </c>
      <c r="BI13" s="16" t="s">
        <v>112</v>
      </c>
      <c r="BJ13" s="37" t="s">
        <v>54</v>
      </c>
      <c r="BK13" s="16" t="s">
        <v>58</v>
      </c>
      <c r="BL13" s="38" t="s">
        <v>113</v>
      </c>
      <c r="BM13" s="16" t="s">
        <v>114</v>
      </c>
      <c r="BN13" s="16" t="s">
        <v>94</v>
      </c>
      <c r="BO13" s="16" t="s">
        <v>115</v>
      </c>
      <c r="BP13" s="39">
        <v>99741</v>
      </c>
      <c r="BQ13" s="19">
        <v>44562</v>
      </c>
      <c r="BR13" s="19">
        <v>47119</v>
      </c>
      <c r="BS13" s="24">
        <v>44562</v>
      </c>
      <c r="BT13" s="24">
        <f ca="1">TODAY()+365</f>
        <v>46087</v>
      </c>
      <c r="BU13" s="18" t="s">
        <v>116</v>
      </c>
    </row>
    <row r="14" spans="1:73" ht="15.65" customHeight="1" x14ac:dyDescent="0.35">
      <c r="A14" s="1" t="s">
        <v>84</v>
      </c>
      <c r="C14" s="5"/>
      <c r="D14" s="15" t="s">
        <v>117</v>
      </c>
      <c r="E14" s="16" t="s">
        <v>94</v>
      </c>
      <c r="F14" s="6" t="s">
        <v>143</v>
      </c>
      <c r="G14" s="6" t="s">
        <v>142</v>
      </c>
      <c r="H14" s="17" t="s">
        <v>97</v>
      </c>
      <c r="I14" s="18" t="s">
        <v>45</v>
      </c>
      <c r="J14" s="18" t="s">
        <v>46</v>
      </c>
      <c r="K14" s="19">
        <f ca="1">TODAY()-7</f>
        <v>45715</v>
      </c>
      <c r="L14" s="16" t="s">
        <v>94</v>
      </c>
      <c r="M14" s="20" t="s">
        <v>47</v>
      </c>
      <c r="N14" s="20" t="s">
        <v>98</v>
      </c>
      <c r="O14" s="21" t="s">
        <v>98</v>
      </c>
      <c r="P14" s="18">
        <v>1542</v>
      </c>
      <c r="Q14" s="18" t="s">
        <v>46</v>
      </c>
      <c r="R14" s="22" t="s">
        <v>48</v>
      </c>
      <c r="S14" s="23" t="s">
        <v>99</v>
      </c>
      <c r="T14" s="18" t="s">
        <v>46</v>
      </c>
      <c r="U14" s="24">
        <f ca="1">TODAY()-31</f>
        <v>45691</v>
      </c>
      <c r="V14" s="18" t="s">
        <v>49</v>
      </c>
      <c r="W14" s="25" t="s">
        <v>50</v>
      </c>
      <c r="X14" s="26" t="s">
        <v>60</v>
      </c>
      <c r="Y14" s="26" t="s">
        <v>82</v>
      </c>
      <c r="Z14" s="26" t="s">
        <v>53</v>
      </c>
      <c r="AA14" s="27">
        <v>795</v>
      </c>
      <c r="AB14" s="28" t="s">
        <v>39</v>
      </c>
      <c r="AC14" s="29">
        <v>40</v>
      </c>
      <c r="AD14" s="30" t="s">
        <v>54</v>
      </c>
      <c r="AE14" s="21" t="s">
        <v>101</v>
      </c>
      <c r="AF14" s="40">
        <f ca="1">TODAY()+365</f>
        <v>46087</v>
      </c>
      <c r="AG14" s="18" t="s">
        <v>102</v>
      </c>
      <c r="AH14" s="18" t="s">
        <v>56</v>
      </c>
      <c r="AI14" s="18" t="s">
        <v>54</v>
      </c>
      <c r="AJ14" s="19">
        <f ca="1">TODAY()-31</f>
        <v>45691</v>
      </c>
      <c r="AK14" s="19">
        <f ca="1">TODAY()-31</f>
        <v>45691</v>
      </c>
      <c r="AL14" s="19">
        <f ca="1">TODAY()-31</f>
        <v>45691</v>
      </c>
      <c r="AM14" s="24">
        <f ca="1">AF14</f>
        <v>46087</v>
      </c>
      <c r="AN14" s="18" t="s">
        <v>119</v>
      </c>
      <c r="AO14" s="32" t="s">
        <v>83</v>
      </c>
      <c r="AP14" s="32" t="s">
        <v>103</v>
      </c>
      <c r="AQ14" s="32" t="s">
        <v>104</v>
      </c>
      <c r="AR14" s="33" t="s">
        <v>105</v>
      </c>
      <c r="AS14" s="16" t="s">
        <v>54</v>
      </c>
      <c r="AT14" s="16" t="s">
        <v>54</v>
      </c>
      <c r="AU14" s="19">
        <f ca="1">TODAY()+7</f>
        <v>45729</v>
      </c>
      <c r="AV14" s="16" t="s">
        <v>94</v>
      </c>
      <c r="AW14" s="34" t="s">
        <v>106</v>
      </c>
      <c r="AX14" s="35">
        <v>2973000506962</v>
      </c>
      <c r="AY14" s="19" t="s">
        <v>107</v>
      </c>
      <c r="AZ14" s="19" t="s">
        <v>108</v>
      </c>
      <c r="BA14" s="34" t="s">
        <v>109</v>
      </c>
      <c r="BB14" s="36">
        <v>93300887</v>
      </c>
      <c r="BC14" s="19" t="s">
        <v>107</v>
      </c>
      <c r="BD14" s="19" t="s">
        <v>110</v>
      </c>
      <c r="BE14" s="21" t="s">
        <v>57</v>
      </c>
      <c r="BF14" s="19" t="s">
        <v>107</v>
      </c>
      <c r="BG14" s="16" t="s">
        <v>111</v>
      </c>
      <c r="BH14" s="16" t="s">
        <v>94</v>
      </c>
      <c r="BI14" s="16" t="s">
        <v>112</v>
      </c>
      <c r="BJ14" s="37" t="s">
        <v>54</v>
      </c>
      <c r="BK14" s="16" t="s">
        <v>58</v>
      </c>
      <c r="BL14" s="38" t="s">
        <v>113</v>
      </c>
      <c r="BM14" s="16" t="s">
        <v>114</v>
      </c>
      <c r="BN14" s="16" t="s">
        <v>94</v>
      </c>
      <c r="BO14" s="16" t="s">
        <v>115</v>
      </c>
      <c r="BP14" s="39">
        <v>99742</v>
      </c>
      <c r="BQ14" s="19">
        <v>44562</v>
      </c>
      <c r="BR14" s="19">
        <v>47119</v>
      </c>
      <c r="BS14" s="24">
        <v>44562</v>
      </c>
      <c r="BT14" s="24">
        <f ca="1">TODAY()+365</f>
        <v>46087</v>
      </c>
      <c r="BU14" s="18" t="s">
        <v>116</v>
      </c>
    </row>
    <row r="15" spans="1:73" ht="15.65" customHeight="1" x14ac:dyDescent="0.35">
      <c r="A15" s="1" t="s">
        <v>86</v>
      </c>
      <c r="C15" s="5"/>
      <c r="D15" s="15" t="s">
        <v>117</v>
      </c>
      <c r="E15" s="16" t="s">
        <v>94</v>
      </c>
      <c r="F15" s="6" t="s">
        <v>144</v>
      </c>
      <c r="G15" s="6" t="s">
        <v>142</v>
      </c>
      <c r="H15" s="17" t="s">
        <v>97</v>
      </c>
      <c r="I15" s="18" t="s">
        <v>45</v>
      </c>
      <c r="J15" s="18" t="s">
        <v>46</v>
      </c>
      <c r="K15" s="19">
        <f ca="1">TODAY()-7</f>
        <v>45715</v>
      </c>
      <c r="L15" s="16" t="s">
        <v>94</v>
      </c>
      <c r="M15" s="20" t="s">
        <v>47</v>
      </c>
      <c r="N15" s="20" t="s">
        <v>98</v>
      </c>
      <c r="O15" s="21" t="s">
        <v>98</v>
      </c>
      <c r="P15" s="18">
        <v>1542</v>
      </c>
      <c r="Q15" s="18" t="s">
        <v>46</v>
      </c>
      <c r="R15" s="22" t="s">
        <v>48</v>
      </c>
      <c r="S15" s="23" t="s">
        <v>99</v>
      </c>
      <c r="T15" s="18" t="s">
        <v>46</v>
      </c>
      <c r="U15" s="24">
        <f ca="1">TODAY()-31</f>
        <v>45691</v>
      </c>
      <c r="V15" s="18" t="s">
        <v>49</v>
      </c>
      <c r="W15" s="25" t="s">
        <v>50</v>
      </c>
      <c r="X15" s="26" t="s">
        <v>51</v>
      </c>
      <c r="Y15" s="26" t="s">
        <v>145</v>
      </c>
      <c r="Z15" s="26" t="s">
        <v>64</v>
      </c>
      <c r="AA15" s="27">
        <v>795</v>
      </c>
      <c r="AB15" s="28" t="s">
        <v>39</v>
      </c>
      <c r="AC15" s="29">
        <v>25</v>
      </c>
      <c r="AD15" s="30" t="s">
        <v>54</v>
      </c>
      <c r="AE15" s="21" t="s">
        <v>101</v>
      </c>
      <c r="AF15" s="31" t="s">
        <v>54</v>
      </c>
      <c r="AG15" s="18" t="s">
        <v>102</v>
      </c>
      <c r="AH15" s="18" t="s">
        <v>56</v>
      </c>
      <c r="AI15" s="18" t="s">
        <v>54</v>
      </c>
      <c r="AJ15" s="19">
        <f ca="1">TODAY()-31</f>
        <v>45691</v>
      </c>
      <c r="AK15" s="19">
        <f ca="1">TODAY()-31</f>
        <v>45691</v>
      </c>
      <c r="AL15" s="19">
        <f ca="1">TODAY()-31</f>
        <v>45691</v>
      </c>
      <c r="AM15" s="24" t="str">
        <f>AF15</f>
        <v>N/A</v>
      </c>
      <c r="AN15" s="18" t="s">
        <v>119</v>
      </c>
      <c r="AO15" s="32" t="s">
        <v>85</v>
      </c>
      <c r="AP15" s="32" t="s">
        <v>103</v>
      </c>
      <c r="AQ15" s="32" t="s">
        <v>104</v>
      </c>
      <c r="AR15" s="33" t="s">
        <v>105</v>
      </c>
      <c r="AS15" s="16" t="s">
        <v>54</v>
      </c>
      <c r="AT15" s="16" t="s">
        <v>54</v>
      </c>
      <c r="AU15" s="19">
        <f ca="1">TODAY()+7</f>
        <v>45729</v>
      </c>
      <c r="AV15" s="16" t="s">
        <v>94</v>
      </c>
      <c r="AW15" s="34" t="s">
        <v>106</v>
      </c>
      <c r="AX15" s="35">
        <v>2973000506963</v>
      </c>
      <c r="AY15" s="19" t="s">
        <v>107</v>
      </c>
      <c r="AZ15" s="19" t="s">
        <v>108</v>
      </c>
      <c r="BA15" s="34" t="s">
        <v>109</v>
      </c>
      <c r="BB15" s="36">
        <v>93300888</v>
      </c>
      <c r="BC15" s="19" t="s">
        <v>107</v>
      </c>
      <c r="BD15" s="19" t="s">
        <v>110</v>
      </c>
      <c r="BE15" s="21" t="s">
        <v>57</v>
      </c>
      <c r="BF15" s="19" t="s">
        <v>107</v>
      </c>
      <c r="BG15" s="16" t="s">
        <v>111</v>
      </c>
      <c r="BH15" s="16" t="s">
        <v>94</v>
      </c>
      <c r="BI15" s="16" t="s">
        <v>112</v>
      </c>
      <c r="BJ15" s="37" t="s">
        <v>54</v>
      </c>
      <c r="BK15" s="16" t="s">
        <v>58</v>
      </c>
      <c r="BL15" s="38" t="s">
        <v>113</v>
      </c>
      <c r="BM15" s="16" t="s">
        <v>114</v>
      </c>
      <c r="BN15" s="16" t="s">
        <v>94</v>
      </c>
      <c r="BO15" s="16" t="s">
        <v>115</v>
      </c>
      <c r="BP15" s="39">
        <v>99743</v>
      </c>
      <c r="BQ15" s="19">
        <v>44562</v>
      </c>
      <c r="BR15" s="19">
        <v>47119</v>
      </c>
      <c r="BS15" s="24">
        <v>44562</v>
      </c>
      <c r="BT15" s="24">
        <f ca="1">TODAY()+365</f>
        <v>46087</v>
      </c>
      <c r="BU15" s="18" t="s">
        <v>116</v>
      </c>
    </row>
    <row r="16" spans="1:73" ht="15.65" customHeight="1" x14ac:dyDescent="0.35">
      <c r="A16" s="1" t="s">
        <v>87</v>
      </c>
      <c r="C16" s="5"/>
      <c r="D16" s="15" t="s">
        <v>117</v>
      </c>
      <c r="E16" s="16" t="s">
        <v>94</v>
      </c>
      <c r="F16" s="6" t="s">
        <v>146</v>
      </c>
      <c r="G16" s="6" t="s">
        <v>142</v>
      </c>
      <c r="H16" s="17" t="s">
        <v>97</v>
      </c>
      <c r="I16" s="18" t="s">
        <v>45</v>
      </c>
      <c r="J16" s="18" t="s">
        <v>46</v>
      </c>
      <c r="K16" s="19">
        <f ca="1">TODAY()-7</f>
        <v>45715</v>
      </c>
      <c r="L16" s="16" t="s">
        <v>94</v>
      </c>
      <c r="M16" s="20" t="s">
        <v>47</v>
      </c>
      <c r="N16" s="20" t="s">
        <v>98</v>
      </c>
      <c r="O16" s="21" t="s">
        <v>98</v>
      </c>
      <c r="P16" s="18">
        <v>1542</v>
      </c>
      <c r="Q16" s="18" t="s">
        <v>46</v>
      </c>
      <c r="R16" s="22" t="s">
        <v>48</v>
      </c>
      <c r="S16" s="23" t="s">
        <v>99</v>
      </c>
      <c r="T16" s="18" t="s">
        <v>46</v>
      </c>
      <c r="U16" s="24">
        <f ca="1">TODAY()-31</f>
        <v>45691</v>
      </c>
      <c r="V16" s="18" t="s">
        <v>49</v>
      </c>
      <c r="W16" s="25" t="s">
        <v>50</v>
      </c>
      <c r="X16" s="26" t="s">
        <v>51</v>
      </c>
      <c r="Y16" s="26" t="s">
        <v>147</v>
      </c>
      <c r="Z16" s="26" t="s">
        <v>53</v>
      </c>
      <c r="AA16" s="27">
        <v>795</v>
      </c>
      <c r="AB16" s="28" t="s">
        <v>39</v>
      </c>
      <c r="AC16" s="29">
        <v>40</v>
      </c>
      <c r="AD16" s="30" t="s">
        <v>54</v>
      </c>
      <c r="AE16" s="21" t="s">
        <v>101</v>
      </c>
      <c r="AF16" s="31" t="s">
        <v>54</v>
      </c>
      <c r="AG16" s="18" t="s">
        <v>102</v>
      </c>
      <c r="AH16" s="18" t="s">
        <v>56</v>
      </c>
      <c r="AI16" s="18" t="s">
        <v>54</v>
      </c>
      <c r="AJ16" s="19">
        <f ca="1">TODAY()-31</f>
        <v>45691</v>
      </c>
      <c r="AK16" s="19">
        <f ca="1">TODAY()-31</f>
        <v>45691</v>
      </c>
      <c r="AL16" s="19">
        <f ca="1">TODAY()-31</f>
        <v>45691</v>
      </c>
      <c r="AM16" s="24" t="str">
        <f>AF16</f>
        <v>N/A</v>
      </c>
      <c r="AN16" s="18" t="s">
        <v>119</v>
      </c>
      <c r="AO16" s="32" t="s">
        <v>83</v>
      </c>
      <c r="AP16" s="32" t="s">
        <v>103</v>
      </c>
      <c r="AQ16" s="32" t="s">
        <v>148</v>
      </c>
      <c r="AR16" s="33" t="s">
        <v>105</v>
      </c>
      <c r="AS16" s="16" t="s">
        <v>54</v>
      </c>
      <c r="AT16" s="16" t="s">
        <v>54</v>
      </c>
      <c r="AU16" s="19">
        <f ca="1">TODAY()+7</f>
        <v>45729</v>
      </c>
      <c r="AV16" s="16" t="s">
        <v>94</v>
      </c>
      <c r="AW16" s="34" t="s">
        <v>106</v>
      </c>
      <c r="AX16" s="35">
        <v>2973000506964</v>
      </c>
      <c r="AY16" s="19" t="s">
        <v>107</v>
      </c>
      <c r="AZ16" s="19" t="s">
        <v>108</v>
      </c>
      <c r="BA16" s="34" t="s">
        <v>109</v>
      </c>
      <c r="BB16" s="36">
        <v>93300889</v>
      </c>
      <c r="BC16" s="19" t="s">
        <v>107</v>
      </c>
      <c r="BD16" s="19" t="s">
        <v>110</v>
      </c>
      <c r="BE16" s="21" t="s">
        <v>57</v>
      </c>
      <c r="BF16" s="19" t="s">
        <v>107</v>
      </c>
      <c r="BG16" s="16" t="s">
        <v>111</v>
      </c>
      <c r="BH16" s="16" t="s">
        <v>94</v>
      </c>
      <c r="BI16" s="16" t="s">
        <v>112</v>
      </c>
      <c r="BJ16" s="37" t="s">
        <v>54</v>
      </c>
      <c r="BK16" s="16" t="s">
        <v>58</v>
      </c>
      <c r="BL16" s="38" t="s">
        <v>113</v>
      </c>
      <c r="BM16" s="16" t="s">
        <v>114</v>
      </c>
      <c r="BN16" s="16" t="s">
        <v>94</v>
      </c>
      <c r="BO16" s="16" t="s">
        <v>115</v>
      </c>
      <c r="BP16" s="39">
        <v>99744</v>
      </c>
      <c r="BQ16" s="19">
        <v>44562</v>
      </c>
      <c r="BR16" s="19">
        <v>47119</v>
      </c>
      <c r="BS16" s="24">
        <v>44562</v>
      </c>
      <c r="BT16" s="24">
        <f ca="1">TODAY()+365</f>
        <v>46087</v>
      </c>
      <c r="BU16" s="18" t="s">
        <v>116</v>
      </c>
    </row>
  </sheetData>
  <dataValidations count="1">
    <dataValidation type="list" allowBlank="1" showInputMessage="1" showErrorMessage="1" sqref="T2:T16 J2:J16 AH2:AH16 V2:V16 BK2:BK16 Q2:Q16" xr:uid="{ADDBBD30-D50C-4F9C-85B6-05091ADFF3FF}">
      <formula1>INDIRECT($E2)</formula1>
    </dataValidation>
  </dataValidations>
  <hyperlinks>
    <hyperlink ref="S2" r:id="rId1" xr:uid="{465A9EC6-9384-45A7-8B79-D9BA220E964E}"/>
    <hyperlink ref="S5" r:id="rId2" xr:uid="{FAB65FF2-7071-4E7E-ABD8-4126B3CBC621}"/>
    <hyperlink ref="S3" r:id="rId3" xr:uid="{79901E86-57F4-43F0-9A43-5555BC9C7FB8}"/>
    <hyperlink ref="S4" r:id="rId4" xr:uid="{2B5060E4-6BBB-4039-A389-2FD231EE1CC2}"/>
    <hyperlink ref="AD2:AD5" r:id="rId5" display="Test@email.com" xr:uid="{4A88A825-9362-4B12-B933-2160A40846FA}"/>
    <hyperlink ref="S6" r:id="rId6" xr:uid="{71217024-5C31-47D0-A0B8-D309271DFDCC}"/>
    <hyperlink ref="AD6" r:id="rId7" display="Test@email.com" xr:uid="{78E6CDE4-397C-46D8-BCB4-133898786608}"/>
    <hyperlink ref="S7" r:id="rId8" xr:uid="{5D8999B4-96A8-47A8-8C48-8BCBC29D9E8A}"/>
    <hyperlink ref="S8" r:id="rId9" xr:uid="{3F2877E2-E757-46AF-AE05-AEC60E2A97D7}"/>
    <hyperlink ref="S9" r:id="rId10" xr:uid="{AAF4AB57-0BBE-4A98-8534-8A84D3926CAF}"/>
    <hyperlink ref="S10" r:id="rId11" xr:uid="{24A2E743-2D62-4111-B9E9-E0738CE5CFAB}"/>
    <hyperlink ref="S11" r:id="rId12" xr:uid="{690764B7-F93F-4E06-BEC7-0B58C1904D44}"/>
    <hyperlink ref="S12" r:id="rId13" xr:uid="{71EF3EFE-6EC9-4765-AA31-FC628A740C48}"/>
    <hyperlink ref="S13" r:id="rId14" xr:uid="{7B563F14-9D09-4875-8595-365901EC5592}"/>
    <hyperlink ref="S14" r:id="rId15" xr:uid="{147D149E-3E02-4960-A18A-AC5DA75C2AB1}"/>
    <hyperlink ref="S15" r:id="rId16" xr:uid="{BEA6EA46-8EFD-4916-844F-D9BF43AE9AB1}"/>
    <hyperlink ref="S16" r:id="rId17" xr:uid="{0B402D7F-78FE-4987-ACA1-99BDABB105BB}"/>
    <hyperlink ref="AD7" r:id="rId18" display="Test@email.com" xr:uid="{924C3D1C-F842-4E89-83D6-728CFE0DED36}"/>
    <hyperlink ref="AD8" r:id="rId19" display="Test@email.com" xr:uid="{EC7A1AFB-9FB7-4A1C-BC4A-7506D03E7C86}"/>
    <hyperlink ref="AD9" r:id="rId20" display="Test@email.com" xr:uid="{43BCFFC7-6A76-408E-93E4-8995ABFABE91}"/>
    <hyperlink ref="AD10" r:id="rId21" display="Test@email.com" xr:uid="{682D3145-7C40-4146-9A59-DDFFC584437C}"/>
    <hyperlink ref="AD11" r:id="rId22" display="Test@email.com" xr:uid="{D5618DE9-C813-4576-B140-FDEC63FBFB4B}"/>
    <hyperlink ref="AD12" r:id="rId23" display="Test@email.com" xr:uid="{7B7D2FC5-F557-4181-BC23-2F8BF99FD9E3}"/>
    <hyperlink ref="AD13" r:id="rId24" display="Test@email.com" xr:uid="{390CFE22-C347-4D62-9A5C-09A401D57153}"/>
    <hyperlink ref="AD14" r:id="rId25" display="Test@email.com" xr:uid="{8D85D8F3-EEED-4625-8D84-1E700C871902}"/>
    <hyperlink ref="AD15" r:id="rId26" display="Test@email.com" xr:uid="{F9176FF8-DE71-4BF6-8E70-99348031D499}"/>
    <hyperlink ref="AD16" r:id="rId27" display="Test@email.com" xr:uid="{6BDD66A3-A750-4507-8C9B-510949CC50A4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2025-03-06T08:52:27Z</dcterms:modified>
</cp:coreProperties>
</file>