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110C8CA7-78F3-4C93-A95C-8675A410D4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4" i="1" l="1"/>
  <c r="AZ4" i="1"/>
  <c r="AY4" i="1"/>
  <c r="AT4" i="1"/>
  <c r="W4" i="1"/>
  <c r="K4" i="1"/>
  <c r="BA3" i="1"/>
  <c r="AZ3" i="1"/>
  <c r="AY3" i="1"/>
  <c r="AT3" i="1"/>
  <c r="AH3" i="1"/>
  <c r="W3" i="1"/>
  <c r="K3" i="1"/>
  <c r="BI2" i="1" a="1"/>
  <c r="BI3" i="1" s="1"/>
  <c r="BI2" i="1"/>
  <c r="AZ2" i="1"/>
  <c r="AY2" i="1"/>
  <c r="AT2" i="1"/>
  <c r="W2" i="1"/>
  <c r="K2" i="1"/>
</calcChain>
</file>

<file path=xl/sharedStrings.xml><?xml version="1.0" encoding="utf-8"?>
<sst xmlns="http://schemas.openxmlformats.org/spreadsheetml/2006/main" count="288" uniqueCount="148">
  <si>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</si>
  <si>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</si>
  <si>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</si>
  <si>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</si>
  <si>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</si>
  <si>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</si>
  <si>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</si>
  <si>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</si>
  <si>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</si>
  <si>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</si>
  <si>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</si>
  <si>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</si>
  <si>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</si>
  <si>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</si>
  <si>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</si>
  <si>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</si>
  <si>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</si>
  <si>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</si>
  <si>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</si>
  <si>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</si>
  <si>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</si>
  <si>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</si>
  <si>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</si>
  <si>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</si>
  <si>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</si>
  <si>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</si>
  <si>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</si>
  <si>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</si>
  <si>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</si>
  <si>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</si>
  <si>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</si>
  <si>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</si>
  <si>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</si>
  <si>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</si>
  <si>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</si>
  <si>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</si>
  <si>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</si>
  <si>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</si>
  <si>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</si>
  <si>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</si>
  <si>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</si>
  <si>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</si>
  <si>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</si>
  <si>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</si>
  <si>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</si>
  <si>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</si>
  <si>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</si>
  <si>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</si>
  <si>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</si>
  <si>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</si>
  <si>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</si>
  <si>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</si>
  <si>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</si>
  <si>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</si>
  <si>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</si>
  <si>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</si>
  <si>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</si>
  <si>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</si>
  <si>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</si>
  <si>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</si>
  <si>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</si>
  <si>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</si>
  <si>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</si>
  <si>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</si>
  <si>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</si>
  <si>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</si>
  <si>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</si>
  <si>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</si>
  <si>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</si>
  <si>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</si>
  <si>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</si>
  <si>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</si>
  <si>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</si>
  <si>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</si>
  <si>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</si>
  <si>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</si>
  <si>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</si>
  <si>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</si>
  <si>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10698830</t>
  </si>
  <si>
    <t>Passed</t>
  </si>
  <si>
    <t>880 Recruitment (Vofur Hagovi (10551546))</t>
  </si>
  <si>
    <t>Romania</t>
  </si>
  <si>
    <t>Marques</t>
  </si>
  <si>
    <t>Ferry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</si>
  <si>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</si>
  <si>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</si>
  <si>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</si>
  <si>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</si>
  <si>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</si>
  <si>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</si>
  <si>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</si>
  <si>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</si>
  <si>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</si>
  <si>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</si>
  <si>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</si>
  <si>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</si>
  <si>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</si>
  <si>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</si>
  <si>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</si>
  <si>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</si>
  <si>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</si>
  <si>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</si>
  <si>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</si>
  <si>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</si>
  <si>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</si>
  <si>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</si>
  <si>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</si>
  <si>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</si>
  <si>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</si>
  <si>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</si>
  <si>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</si>
  <si>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</si>
  <si>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</si>
  <si>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1340703143621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</si>
  <si>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</si>
  <si>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</si>
  <si>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</si>
  <si>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</si>
  <si>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</si>
  <si>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</si>
  <si>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</si>
  <si>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</si>
  <si>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</si>
  <si>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</si>
  <si>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</si>
  <si>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</si>
  <si>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</si>
  <si>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</si>
  <si>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</si>
  <si>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</si>
  <si>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</si>
  <si>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10698831</t>
  </si>
  <si>
    <t>Ciara</t>
  </si>
  <si>
    <t>Bailey</t>
  </si>
  <si>
    <t>Fixed Term (Fixed Term)</t>
  </si>
  <si>
    <t>Part Time</t>
  </si>
  <si>
    <t>01 Accessories</t>
  </si>
  <si>
    <t>Test14</t>
  </si>
  <si>
    <t xml:space="preserve">Test failed for 'Reynold Schinner' Employee:{}TimeoutError: locator.waitFor: Timeout 30000ms exceeded.
Call log:
  [2m- waiting for locator('//label[contains(.,\'Availability Date\')]/parent::div/following-sibling::div/descendant::input[@data-automation-id=\'dateSectionDay-input\']') to be visible[22m
</t>
  </si>
  <si>
    <t>Failed</t>
  </si>
  <si>
    <t>880 Store Management (Dewes Kiwoba (10629083))</t>
  </si>
  <si>
    <t>Reynold</t>
  </si>
  <si>
    <t>Schinner</t>
  </si>
  <si>
    <t>Auto 39968011</t>
  </si>
  <si>
    <t>Store Manager_NEW</t>
  </si>
  <si>
    <t>92 Retail Management </t>
  </si>
  <si>
    <t>251 Management Retail</t>
  </si>
  <si>
    <t xml:space="preserve">Defaulted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</si>
</sst>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3" borderId="0" xfId="0" applyNumberFormat="1" applyFill="1"/>
    <xf numFmtId="49" fontId="0" fillId="3" borderId="0" xfId="0" applyNumberForma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0" fontId="0" fillId="3" borderId="0" xfId="0" applyFill="1"/>
    <xf numFmtId="49" fontId="0" fillId="0" borderId="0" xfId="0" applyNumberFormat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1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 applyAlignment="1">
      <alignment horizontal="left" vertical="center" wrapText="1"/>
    </xf>
    <xf numFmtId="1" fontId="1" fillId="0" borderId="0" xfId="0" applyNumberFormat="1" applyFont="1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0" fontId="2" fillId="0" borderId="3" xfId="0" applyFont="1" applyBorder="1"/>
    <xf numFmtId="49" fontId="1" fillId="0" borderId="3" xfId="0" applyNumberFormat="1" applyFont="1" applyBorder="1" applyAlignment="1">
      <alignment horizontal="left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96"/>
  <sheetViews>
    <sheetView tabSelected="1" zoomScaleNormal="100" workbookViewId="0">
      <selection activeCell="D9" sqref="D9"/>
    </sheetView>
  </sheetViews>
  <sheetFormatPr defaultRowHeight="15.65" customHeight="1" outlineLevelRow="1" x14ac:dyDescent="0.35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1" width="19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83" width="8.7265625" customWidth="1"/>
  </cols>
  <sheetData>
    <row r="1" spans="1:82" s="3" customFormat="1" ht="14.5" customHeight="1" outlineLevel="1" collapsed="1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9</v>
      </c>
      <c r="T1" s="6" t="s">
        <v>17</v>
      </c>
      <c r="U1" s="6" t="s">
        <v>18</v>
      </c>
      <c r="V1" s="6" t="s">
        <v>9</v>
      </c>
      <c r="W1" s="5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5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7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20</v>
      </c>
      <c r="AV1" s="6" t="s">
        <v>43</v>
      </c>
      <c r="AW1" s="6" t="s">
        <v>44</v>
      </c>
      <c r="AX1" s="6" t="s">
        <v>45</v>
      </c>
      <c r="AY1" s="6" t="s">
        <v>46</v>
      </c>
      <c r="AZ1" s="6" t="s">
        <v>47</v>
      </c>
      <c r="BA1" s="5" t="s">
        <v>48</v>
      </c>
      <c r="BB1" s="6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6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6" t="s">
        <v>66</v>
      </c>
      <c r="BT1" s="6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4</v>
      </c>
      <c r="CC1" s="6" t="s">
        <v>75</v>
      </c>
      <c r="CD1" s="8" t="s">
        <v>76</v>
      </c>
    </row>
    <row r="2" spans="1:82" s="9" customFormat="1" ht="15.65" customHeight="1" x14ac:dyDescent="0.35">
      <c r="A2" s="1" t="s">
        <v>77</v>
      </c>
      <c r="B2" s="10" t="s">
        <v>78</v>
      </c>
      <c r="C2" s="1" t="s">
        <v>79</v>
      </c>
      <c r="D2" s="11" t="s">
        <v>80</v>
      </c>
      <c r="E2" s="12" t="s">
        <v>81</v>
      </c>
      <c r="F2" s="13" t="s">
        <v>82</v>
      </c>
      <c r="G2" s="13" t="s">
        <v>83</v>
      </c>
      <c r="H2" s="14">
        <v>720527700</v>
      </c>
      <c r="I2" s="14" t="s">
        <v>84</v>
      </c>
      <c r="J2" s="14" t="s">
        <v>85</v>
      </c>
      <c r="K2" s="15">
        <f ca="1">TODAY()-100</f>
        <v>45679</v>
      </c>
      <c r="L2" s="12" t="s">
        <v>81</v>
      </c>
      <c r="M2" s="16" t="s">
        <v>86</v>
      </c>
      <c r="N2" s="14">
        <v>1</v>
      </c>
      <c r="O2" s="14" t="s">
        <v>87</v>
      </c>
      <c r="P2" s="14">
        <v>515100</v>
      </c>
      <c r="Q2" s="14" t="s">
        <v>88</v>
      </c>
      <c r="R2" s="14" t="s">
        <v>89</v>
      </c>
      <c r="S2" s="14" t="s">
        <v>85</v>
      </c>
      <c r="T2" s="17" t="s">
        <v>90</v>
      </c>
      <c r="U2" s="18" t="s">
        <v>91</v>
      </c>
      <c r="V2" s="14" t="s">
        <v>85</v>
      </c>
      <c r="W2" s="15">
        <f ca="1">TODAY()-100</f>
        <v>45679</v>
      </c>
      <c r="X2" s="14" t="s">
        <v>92</v>
      </c>
      <c r="Y2" s="17" t="s">
        <v>93</v>
      </c>
      <c r="Z2" s="19" t="s">
        <v>94</v>
      </c>
      <c r="AA2" s="20" t="s">
        <v>95</v>
      </c>
      <c r="AB2" s="21" t="s">
        <v>96</v>
      </c>
      <c r="AC2" s="19">
        <v>880</v>
      </c>
      <c r="AD2" s="22" t="s">
        <v>61</v>
      </c>
      <c r="AE2" s="22" t="s">
        <v>97</v>
      </c>
      <c r="AF2" s="23" t="s">
        <v>98</v>
      </c>
      <c r="AG2" s="12" t="s">
        <v>99</v>
      </c>
      <c r="AH2" s="24" t="s">
        <v>100</v>
      </c>
      <c r="AI2" s="14" t="s">
        <v>101</v>
      </c>
      <c r="AJ2" s="25" t="s">
        <v>102</v>
      </c>
      <c r="AK2" s="19" t="s">
        <v>103</v>
      </c>
      <c r="AL2" s="14" t="s">
        <v>104</v>
      </c>
      <c r="AM2" s="14" t="s">
        <v>105</v>
      </c>
      <c r="AN2" s="12" t="s">
        <v>106</v>
      </c>
      <c r="AO2" s="26" t="s">
        <v>107</v>
      </c>
      <c r="AP2" s="27" t="s">
        <v>108</v>
      </c>
      <c r="AQ2" s="12" t="s">
        <v>109</v>
      </c>
      <c r="AR2" s="12" t="s">
        <v>106</v>
      </c>
      <c r="AS2" s="14">
        <v>1</v>
      </c>
      <c r="AT2" s="15" t="str">
        <f t="shared" ref="AT2:AT4" ca="1" si="0">TEXT(TODAY()-100,"DD/MM/YYYY")</f>
        <v>22/01/2025</v>
      </c>
      <c r="AU2" s="12" t="s">
        <v>100</v>
      </c>
      <c r="AV2" s="12" t="s">
        <v>100</v>
      </c>
      <c r="AW2" s="12" t="s">
        <v>110</v>
      </c>
      <c r="AX2" s="16" t="s">
        <v>111</v>
      </c>
      <c r="AY2" s="15">
        <f ca="1">TODAY()-100</f>
        <v>45679</v>
      </c>
      <c r="AZ2" s="15">
        <f ca="1">TODAY()-100</f>
        <v>45679</v>
      </c>
      <c r="BA2" s="24" t="s">
        <v>100</v>
      </c>
      <c r="BB2" s="28" t="s">
        <v>81</v>
      </c>
      <c r="BC2" s="28" t="s">
        <v>112</v>
      </c>
      <c r="BD2" s="29" t="s">
        <v>113</v>
      </c>
      <c r="BE2" s="17" t="s">
        <v>114</v>
      </c>
      <c r="BF2" s="17" t="s">
        <v>115</v>
      </c>
      <c r="BG2" s="28" t="s">
        <v>81</v>
      </c>
      <c r="BH2" s="28" t="s">
        <v>116</v>
      </c>
      <c r="BI2" s="14">
        <f t="array" aca="1" ref="BI2:BI3" ca="1">_xlfn.RANDARRAY(2,1,123456,999999,TRUE)</f>
        <v>942940</v>
      </c>
      <c r="BJ2" s="17" t="s">
        <v>114</v>
      </c>
      <c r="BK2" s="17" t="s">
        <v>115</v>
      </c>
      <c r="BL2" s="30" t="s">
        <v>87</v>
      </c>
      <c r="BM2" s="30" t="s">
        <v>87</v>
      </c>
      <c r="BN2" s="30" t="s">
        <v>117</v>
      </c>
      <c r="BO2" s="30" t="s">
        <v>118</v>
      </c>
      <c r="BP2" s="30" t="s">
        <v>119</v>
      </c>
      <c r="BQ2" s="30" t="s">
        <v>89</v>
      </c>
      <c r="BR2" s="30" t="s">
        <v>120</v>
      </c>
      <c r="BS2" s="30" t="s">
        <v>100</v>
      </c>
      <c r="BT2" s="27" t="s">
        <v>121</v>
      </c>
      <c r="BU2" s="27" t="s">
        <v>81</v>
      </c>
      <c r="BV2" s="31" t="s">
        <v>122</v>
      </c>
      <c r="BW2" s="31" t="s">
        <v>123</v>
      </c>
      <c r="BX2" s="27" t="s">
        <v>124</v>
      </c>
      <c r="BY2" s="27" t="s">
        <v>125</v>
      </c>
      <c r="BZ2" s="27" t="s">
        <v>126</v>
      </c>
      <c r="CA2" s="27" t="s">
        <v>127</v>
      </c>
      <c r="CB2" s="27" t="s">
        <v>81</v>
      </c>
      <c r="CC2" s="27" t="s">
        <v>128</v>
      </c>
      <c r="CD2" s="27" t="s">
        <v>129</v>
      </c>
    </row>
    <row r="3" spans="1:82" ht="15.65" customHeight="1" x14ac:dyDescent="0.35">
      <c r="A3" s="1" t="s">
        <v>130</v>
      </c>
      <c r="B3" s="10" t="s">
        <v>131</v>
      </c>
      <c r="C3" s="1" t="s">
        <v>79</v>
      </c>
      <c r="D3" s="11" t="s">
        <v>80</v>
      </c>
      <c r="E3" s="12" t="s">
        <v>81</v>
      </c>
      <c r="F3" s="13" t="s">
        <v>132</v>
      </c>
      <c r="G3" s="13" t="s">
        <v>133</v>
      </c>
      <c r="H3" s="14">
        <v>720527700</v>
      </c>
      <c r="I3" s="14" t="s">
        <v>84</v>
      </c>
      <c r="J3" s="14" t="s">
        <v>85</v>
      </c>
      <c r="K3" s="15">
        <f t="shared" ref="K3" ca="1" si="1">TODAY()-100</f>
        <v>45679</v>
      </c>
      <c r="L3" s="30" t="s">
        <v>81</v>
      </c>
      <c r="M3" s="27" t="s">
        <v>86</v>
      </c>
      <c r="N3" s="27">
        <v>1</v>
      </c>
      <c r="O3" s="27" t="s">
        <v>87</v>
      </c>
      <c r="P3" s="27">
        <v>515100</v>
      </c>
      <c r="Q3" s="27" t="s">
        <v>88</v>
      </c>
      <c r="R3" s="27" t="s">
        <v>89</v>
      </c>
      <c r="S3" s="27" t="s">
        <v>85</v>
      </c>
      <c r="T3" s="30" t="s">
        <v>90</v>
      </c>
      <c r="U3" s="32" t="s">
        <v>91</v>
      </c>
      <c r="V3" s="27" t="s">
        <v>85</v>
      </c>
      <c r="W3" s="15">
        <f t="shared" ref="W3" ca="1" si="2">TODAY()-100</f>
        <v>45679</v>
      </c>
      <c r="X3" s="14" t="s">
        <v>92</v>
      </c>
      <c r="Y3" s="17" t="s">
        <v>93</v>
      </c>
      <c r="Z3" s="19" t="s">
        <v>134</v>
      </c>
      <c r="AA3" s="20" t="s">
        <v>95</v>
      </c>
      <c r="AB3" s="21" t="s">
        <v>135</v>
      </c>
      <c r="AC3" s="19">
        <v>880</v>
      </c>
      <c r="AD3" s="22" t="s">
        <v>61</v>
      </c>
      <c r="AE3" s="22">
        <v>25</v>
      </c>
      <c r="AF3" s="33" t="s">
        <v>98</v>
      </c>
      <c r="AG3" s="12" t="s">
        <v>99</v>
      </c>
      <c r="AH3" s="15">
        <f ca="1">TODAY()+200</f>
        <v>45979</v>
      </c>
      <c r="AI3" s="14" t="s">
        <v>101</v>
      </c>
      <c r="AJ3" s="25" t="s">
        <v>102</v>
      </c>
      <c r="AK3" s="25" t="s">
        <v>136</v>
      </c>
      <c r="AL3" s="14" t="s">
        <v>104</v>
      </c>
      <c r="AM3" s="14" t="s">
        <v>105</v>
      </c>
      <c r="AN3" s="12" t="s">
        <v>106</v>
      </c>
      <c r="AO3" s="26" t="s">
        <v>107</v>
      </c>
      <c r="AP3" s="27" t="s">
        <v>108</v>
      </c>
      <c r="AQ3" s="12" t="s">
        <v>106</v>
      </c>
      <c r="AR3" s="12" t="s">
        <v>106</v>
      </c>
      <c r="AS3" s="14">
        <v>2</v>
      </c>
      <c r="AT3" s="15" t="str">
        <f t="shared" ca="1" si="0"/>
        <v>22/01/2025</v>
      </c>
      <c r="AU3" s="12" t="s">
        <v>100</v>
      </c>
      <c r="AV3" s="12" t="s">
        <v>100</v>
      </c>
      <c r="AW3" s="30" t="s">
        <v>110</v>
      </c>
      <c r="AX3" s="27" t="s">
        <v>111</v>
      </c>
      <c r="AY3" s="15">
        <f t="shared" ref="AY3:AZ3" ca="1" si="3">TODAY()-100</f>
        <v>45679</v>
      </c>
      <c r="AZ3" s="15">
        <f t="shared" ca="1" si="3"/>
        <v>45679</v>
      </c>
      <c r="BA3" s="15">
        <f ca="1">TODAY()+200</f>
        <v>45979</v>
      </c>
      <c r="BB3" s="28" t="s">
        <v>81</v>
      </c>
      <c r="BC3" s="28" t="s">
        <v>112</v>
      </c>
      <c r="BD3" s="34">
        <v>5041203414132</v>
      </c>
      <c r="BE3" s="17" t="s">
        <v>114</v>
      </c>
      <c r="BF3" s="17" t="s">
        <v>115</v>
      </c>
      <c r="BG3" s="28" t="s">
        <v>81</v>
      </c>
      <c r="BH3" s="28" t="s">
        <v>116</v>
      </c>
      <c r="BI3" s="14">
        <f ca="1"/>
        <v>524924</v>
      </c>
      <c r="BJ3" s="17" t="s">
        <v>114</v>
      </c>
      <c r="BK3" s="17" t="s">
        <v>115</v>
      </c>
      <c r="BL3" s="30" t="s">
        <v>87</v>
      </c>
      <c r="BM3" s="30" t="s">
        <v>87</v>
      </c>
      <c r="BN3" s="30" t="s">
        <v>117</v>
      </c>
      <c r="BO3" s="30" t="s">
        <v>118</v>
      </c>
      <c r="BP3" s="30" t="s">
        <v>119</v>
      </c>
      <c r="BQ3" s="30" t="s">
        <v>89</v>
      </c>
      <c r="BR3" s="30" t="s">
        <v>120</v>
      </c>
      <c r="BS3" s="30" t="s">
        <v>100</v>
      </c>
      <c r="BT3" s="27" t="s">
        <v>121</v>
      </c>
      <c r="BU3" s="27" t="s">
        <v>81</v>
      </c>
      <c r="BV3" s="30" t="s">
        <v>122</v>
      </c>
      <c r="BW3" s="30" t="s">
        <v>123</v>
      </c>
      <c r="BX3" s="27" t="s">
        <v>124</v>
      </c>
      <c r="BY3" s="27" t="s">
        <v>125</v>
      </c>
      <c r="BZ3" s="27" t="s">
        <v>126</v>
      </c>
      <c r="CA3" s="27" t="s">
        <v>127</v>
      </c>
      <c r="CB3" s="27" t="s">
        <v>81</v>
      </c>
      <c r="CC3" s="27" t="s">
        <v>128</v>
      </c>
      <c r="CD3" s="27" t="s">
        <v>129</v>
      </c>
    </row>
    <row r="4" spans="1:82" ht="15.65" customHeight="1" x14ac:dyDescent="0.35">
      <c r="A4" s="1" t="s">
        <v>137</v>
      </c>
      <c r="B4" s="1" t="s">
        <v>138</v>
      </c>
      <c r="C4" s="1" t="s">
        <v>139</v>
      </c>
      <c r="D4" s="11" t="s">
        <v>140</v>
      </c>
      <c r="E4" s="12" t="s">
        <v>81</v>
      </c>
      <c r="F4" s="13" t="s">
        <v>141</v>
      </c>
      <c r="G4" s="13" t="s">
        <v>142</v>
      </c>
      <c r="H4" s="14">
        <v>720527700</v>
      </c>
      <c r="I4" s="14" t="s">
        <v>84</v>
      </c>
      <c r="J4" s="14" t="s">
        <v>85</v>
      </c>
      <c r="K4" s="35" t="str">
        <f t="shared" ref="K4" ca="1" si="4">TEXT(TODAY()-100,"DD/MM/YYYY")</f>
        <v>22/01/2025</v>
      </c>
      <c r="L4" s="30" t="s">
        <v>81</v>
      </c>
      <c r="M4" s="27" t="s">
        <v>86</v>
      </c>
      <c r="N4" s="27">
        <v>1</v>
      </c>
      <c r="O4" s="27" t="s">
        <v>87</v>
      </c>
      <c r="P4" s="27">
        <v>515100</v>
      </c>
      <c r="Q4" s="27" t="s">
        <v>88</v>
      </c>
      <c r="R4" s="27" t="s">
        <v>89</v>
      </c>
      <c r="S4" s="27" t="s">
        <v>85</v>
      </c>
      <c r="T4" s="30" t="s">
        <v>90</v>
      </c>
      <c r="U4" s="32" t="s">
        <v>91</v>
      </c>
      <c r="V4" s="27" t="s">
        <v>85</v>
      </c>
      <c r="W4" s="35" t="str">
        <f t="shared" ref="W4" ca="1" si="5">TEXT(TODAY()-100,"DD/MM/YYYY")</f>
        <v>22/01/2025</v>
      </c>
      <c r="X4" s="14" t="s">
        <v>92</v>
      </c>
      <c r="Y4" s="17" t="s">
        <v>143</v>
      </c>
      <c r="Z4" s="21" t="s">
        <v>94</v>
      </c>
      <c r="AA4" s="21" t="s">
        <v>144</v>
      </c>
      <c r="AB4" s="36" t="s">
        <v>135</v>
      </c>
      <c r="AC4" s="19">
        <v>880</v>
      </c>
      <c r="AD4" s="22" t="s">
        <v>61</v>
      </c>
      <c r="AE4" s="22">
        <v>35</v>
      </c>
      <c r="AF4" s="23" t="s">
        <v>98</v>
      </c>
      <c r="AG4" s="12" t="s">
        <v>99</v>
      </c>
      <c r="AH4" s="37" t="s">
        <v>100</v>
      </c>
      <c r="AI4" s="14" t="s">
        <v>101</v>
      </c>
      <c r="AJ4" s="38" t="s">
        <v>145</v>
      </c>
      <c r="AK4" s="39" t="s">
        <v>146</v>
      </c>
      <c r="AL4" s="14" t="s">
        <v>104</v>
      </c>
      <c r="AM4" s="14" t="s">
        <v>105</v>
      </c>
      <c r="AN4" s="12" t="s">
        <v>106</v>
      </c>
      <c r="AO4" s="26" t="s">
        <v>107</v>
      </c>
      <c r="AP4" s="26" t="s">
        <v>108</v>
      </c>
      <c r="AQ4" s="12" t="s">
        <v>109</v>
      </c>
      <c r="AR4" s="14" t="s">
        <v>147</v>
      </c>
      <c r="AS4" s="14">
        <v>2</v>
      </c>
      <c r="AT4" s="15" t="str">
        <f t="shared" ca="1" si="0"/>
        <v>22/01/2025</v>
      </c>
      <c r="AU4" s="12" t="s">
        <v>100</v>
      </c>
      <c r="AV4" s="12" t="s">
        <v>100</v>
      </c>
      <c r="AW4" s="30" t="s">
        <v>110</v>
      </c>
      <c r="AX4" s="27" t="s">
        <v>111</v>
      </c>
      <c r="AY4" s="35" t="str">
        <f t="shared" ref="AY4:AZ4" ca="1" si="6">TEXT(TODAY()-100,"DD/MM/YYYY")</f>
        <v>22/01/2025</v>
      </c>
      <c r="AZ4" s="35" t="str">
        <f t="shared" ca="1" si="6"/>
        <v>22/01/2025</v>
      </c>
      <c r="BA4" s="37" t="str">
        <f>AH4</f>
        <v>N/A</v>
      </c>
      <c r="BB4" s="28" t="s">
        <v>81</v>
      </c>
      <c r="BC4" s="28" t="s">
        <v>112</v>
      </c>
      <c r="BD4" s="34">
        <v>1780711309921</v>
      </c>
      <c r="BE4" s="17" t="s">
        <v>114</v>
      </c>
      <c r="BF4" s="17" t="s">
        <v>115</v>
      </c>
      <c r="BG4" s="28" t="s">
        <v>81</v>
      </c>
      <c r="BH4" s="28" t="s">
        <v>116</v>
      </c>
      <c r="BI4" s="33">
        <v>945785</v>
      </c>
      <c r="BJ4" s="17" t="s">
        <v>114</v>
      </c>
      <c r="BK4" s="17" t="s">
        <v>115</v>
      </c>
      <c r="BL4" s="30" t="s">
        <v>87</v>
      </c>
      <c r="BM4" s="30" t="s">
        <v>87</v>
      </c>
      <c r="BN4" s="30" t="s">
        <v>117</v>
      </c>
      <c r="BO4" s="30" t="s">
        <v>118</v>
      </c>
      <c r="BP4" s="17" t="s">
        <v>119</v>
      </c>
      <c r="BQ4" s="30" t="s">
        <v>89</v>
      </c>
      <c r="BR4" s="30" t="s">
        <v>120</v>
      </c>
      <c r="BS4" s="30" t="s">
        <v>100</v>
      </c>
      <c r="BT4" s="27" t="s">
        <v>121</v>
      </c>
      <c r="BU4" s="27" t="s">
        <v>81</v>
      </c>
      <c r="BV4" s="30" t="s">
        <v>122</v>
      </c>
      <c r="BW4" s="30" t="s">
        <v>123</v>
      </c>
      <c r="BX4" s="27" t="s">
        <v>124</v>
      </c>
      <c r="BY4" s="27" t="s">
        <v>125</v>
      </c>
      <c r="BZ4" s="27" t="s">
        <v>126</v>
      </c>
      <c r="CA4" s="27" t="s">
        <v>127</v>
      </c>
      <c r="CB4" s="27" t="s">
        <v>81</v>
      </c>
      <c r="CC4" s="27" t="s">
        <v>128</v>
      </c>
      <c r="CD4" s="27" t="s">
        <v>129</v>
      </c>
    </row>
    <row r="5" spans="1:82" s="2" customFormat="1" ht="15.65" customHeight="1" x14ac:dyDescent="0.25"/>
    <row r="6" spans="1:82" s="2" customFormat="1" ht="15.65" customHeight="1" x14ac:dyDescent="0.25"/>
    <row r="7" spans="1:82" s="2" customFormat="1" ht="15.65" customHeight="1" x14ac:dyDescent="0.25"/>
    <row r="8" spans="1:82" s="2" customFormat="1" ht="15.65" customHeight="1" x14ac:dyDescent="0.25"/>
    <row r="9" spans="1:82" s="2" customFormat="1" ht="15.65" customHeight="1" x14ac:dyDescent="0.25"/>
    <row r="10" spans="1:82" s="2" customFormat="1" ht="15.65" customHeight="1" x14ac:dyDescent="0.25"/>
    <row r="11" spans="1:82" s="2" customFormat="1" ht="15.65" customHeight="1" x14ac:dyDescent="0.25"/>
    <row r="12" spans="1:82" s="2" customFormat="1" ht="15.65" customHeight="1" x14ac:dyDescent="0.25"/>
    <row r="13" spans="1:82" s="2" customFormat="1" ht="15.65" customHeight="1" x14ac:dyDescent="0.25"/>
    <row r="14" spans="1:82" s="2" customFormat="1" ht="15.65" customHeight="1" x14ac:dyDescent="0.25"/>
    <row r="15" spans="1:82" s="2" customFormat="1" ht="15.65" customHeight="1" x14ac:dyDescent="0.25"/>
    <row r="16" spans="1:82" s="2" customFormat="1" ht="15.65" customHeight="1" x14ac:dyDescent="0.25"/>
    <row r="17" s="2" customFormat="1" ht="15.65" customHeight="1" x14ac:dyDescent="0.25"/>
    <row r="18" s="2" customFormat="1" ht="15.65" customHeight="1" x14ac:dyDescent="0.25"/>
    <row r="19" s="2" customFormat="1" ht="15.65" customHeight="1" x14ac:dyDescent="0.25"/>
    <row r="20" s="2" customFormat="1" ht="15.65" customHeight="1" x14ac:dyDescent="0.25"/>
    <row r="21" s="2" customFormat="1" ht="15.65" customHeight="1" x14ac:dyDescent="0.35"/>
    <row r="22" s="2" customFormat="1" ht="15.65" customHeight="1" x14ac:dyDescent="0.35"/>
    <row r="23" s="2" customFormat="1" ht="15.65" customHeight="1" x14ac:dyDescent="0.35"/>
    <row r="24" s="2" customFormat="1" ht="15.65" customHeight="1" x14ac:dyDescent="0.35"/>
    <row r="25" s="2" customFormat="1" ht="15.65" customHeight="1" x14ac:dyDescent="0.35"/>
    <row r="26" s="2" customFormat="1" ht="15.65" customHeight="1" x14ac:dyDescent="0.35"/>
    <row r="27" s="2" customFormat="1" ht="15.65" customHeight="1" x14ac:dyDescent="0.35"/>
    <row r="28" s="2" customFormat="1" ht="15.65" customHeight="1" x14ac:dyDescent="0.35"/>
    <row r="29" s="2" customFormat="1" ht="15.65" customHeight="1" x14ac:dyDescent="0.35"/>
    <row r="30" s="2" customFormat="1" ht="15.65" customHeight="1" x14ac:dyDescent="0.35"/>
    <row r="31" s="2" customFormat="1" ht="15.65" customHeight="1" x14ac:dyDescent="0.35"/>
    <row r="32" s="2" customFormat="1" ht="15.65" customHeight="1" x14ac:dyDescent="0.35"/>
    <row r="33" s="2" customFormat="1" ht="15.65" customHeight="1" x14ac:dyDescent="0.35"/>
    <row r="34" s="2" customFormat="1" ht="15.65" customHeight="1" x14ac:dyDescent="0.35"/>
    <row r="35" s="2" customFormat="1" ht="15.65" customHeight="1" x14ac:dyDescent="0.35"/>
    <row r="36" s="2" customFormat="1" ht="15.65" customHeight="1" x14ac:dyDescent="0.35"/>
    <row r="37" s="2" customFormat="1" ht="15.65" customHeight="1" x14ac:dyDescent="0.35"/>
    <row r="38" s="2" customFormat="1" ht="15.65" customHeight="1" x14ac:dyDescent="0.35"/>
    <row r="39" s="2" customFormat="1" ht="15.65" customHeight="1" x14ac:dyDescent="0.35"/>
    <row r="40" s="2" customFormat="1" ht="15.65" customHeight="1" x14ac:dyDescent="0.35"/>
    <row r="41" s="2" customFormat="1" ht="15.65" customHeight="1" x14ac:dyDescent="0.35"/>
    <row r="42" s="2" customFormat="1" ht="15.65" customHeight="1" x14ac:dyDescent="0.35"/>
    <row r="43" s="2" customFormat="1" ht="15.65" customHeight="1" x14ac:dyDescent="0.35"/>
    <row r="44" s="2" customFormat="1" ht="15.65" customHeight="1" x14ac:dyDescent="0.35"/>
    <row r="45" s="2" customFormat="1" ht="15.65" customHeight="1" x14ac:dyDescent="0.35"/>
    <row r="46" s="2" customFormat="1" ht="15.65" customHeight="1" x14ac:dyDescent="0.35"/>
    <row r="47" s="2" customFormat="1" ht="15.65" customHeight="1" x14ac:dyDescent="0.35"/>
    <row r="48" s="2" customFormat="1" ht="15.65" customHeight="1" x14ac:dyDescent="0.35"/>
    <row r="49" s="2" customFormat="1" ht="15.65" customHeight="1" x14ac:dyDescent="0.35"/>
    <row r="50" s="2" customFormat="1" ht="15.65" customHeight="1" x14ac:dyDescent="0.35"/>
    <row r="51" s="2" customFormat="1" ht="15.65" customHeight="1" x14ac:dyDescent="0.35"/>
    <row r="52" s="2" customFormat="1" ht="15.65" customHeight="1" x14ac:dyDescent="0.35"/>
    <row r="53" s="2" customFormat="1" ht="15.65" customHeight="1" x14ac:dyDescent="0.35"/>
    <row r="54" s="2" customFormat="1" ht="15.65" customHeight="1" x14ac:dyDescent="0.35"/>
    <row r="55" s="2" customFormat="1" ht="15.65" customHeight="1" x14ac:dyDescent="0.35"/>
    <row r="56" s="2" customFormat="1" ht="15.65" customHeight="1" x14ac:dyDescent="0.35"/>
    <row r="57" s="2" customFormat="1" ht="15.65" customHeight="1" x14ac:dyDescent="0.35"/>
    <row r="58" s="2" customFormat="1" ht="15.65" customHeight="1" x14ac:dyDescent="0.35"/>
    <row r="59" s="2" customFormat="1" ht="15.65" customHeight="1" x14ac:dyDescent="0.35"/>
    <row r="60" s="2" customFormat="1" ht="15.65" customHeight="1" x14ac:dyDescent="0.35"/>
    <row r="61" s="2" customFormat="1" ht="15.65" customHeight="1" x14ac:dyDescent="0.35"/>
    <row r="62" s="2" customFormat="1" ht="15.65" customHeight="1" x14ac:dyDescent="0.35"/>
    <row r="63" s="2" customFormat="1" ht="15.65" customHeight="1" x14ac:dyDescent="0.35"/>
    <row r="64" s="2" customFormat="1" ht="15.65" customHeight="1" x14ac:dyDescent="0.35"/>
    <row r="65" s="2" customFormat="1" ht="15.65" customHeight="1" x14ac:dyDescent="0.35"/>
    <row r="66" s="2" customFormat="1" ht="15.65" customHeight="1" x14ac:dyDescent="0.35"/>
    <row r="67" s="2" customFormat="1" ht="15.65" customHeight="1" x14ac:dyDescent="0.35"/>
    <row r="68" s="2" customFormat="1" ht="15.65" customHeight="1" x14ac:dyDescent="0.35"/>
    <row r="69" s="2" customFormat="1" ht="15.65" customHeight="1" x14ac:dyDescent="0.35"/>
    <row r="70" s="2" customFormat="1" ht="15.65" customHeight="1" x14ac:dyDescent="0.35"/>
    <row r="71" s="2" customFormat="1" ht="15.65" customHeight="1" x14ac:dyDescent="0.35"/>
    <row r="72" s="2" customFormat="1" ht="15.65" customHeight="1" x14ac:dyDescent="0.35"/>
    <row r="73" s="2" customFormat="1" ht="15.65" customHeight="1" x14ac:dyDescent="0.35"/>
    <row r="74" s="2" customFormat="1" ht="15.65" customHeight="1" x14ac:dyDescent="0.35"/>
    <row r="75" s="2" customFormat="1" ht="15.65" customHeight="1" x14ac:dyDescent="0.35"/>
    <row r="76" s="2" customFormat="1" ht="15.65" customHeight="1" x14ac:dyDescent="0.35"/>
    <row r="77" s="2" customFormat="1" ht="15.65" customHeight="1" x14ac:dyDescent="0.35"/>
    <row r="78" s="2" customFormat="1" ht="15.65" customHeight="1" x14ac:dyDescent="0.35"/>
    <row r="79" s="2" customFormat="1" ht="15.65" customHeight="1" x14ac:dyDescent="0.35"/>
    <row r="80" s="2" customFormat="1" ht="15.65" customHeight="1" x14ac:dyDescent="0.35"/>
    <row r="81" s="2" customFormat="1" ht="15.65" customHeight="1" x14ac:dyDescent="0.35"/>
    <row r="82" s="2" customFormat="1" ht="15.65" customHeight="1" x14ac:dyDescent="0.35"/>
    <row r="83" s="2" customFormat="1" ht="15.65" customHeight="1" x14ac:dyDescent="0.35"/>
    <row r="84" s="2" customFormat="1" ht="15.65" customHeight="1" x14ac:dyDescent="0.35"/>
    <row r="85" s="2" customFormat="1" ht="15.65" customHeight="1" x14ac:dyDescent="0.35"/>
    <row r="86" s="2" customFormat="1" ht="15.65" customHeight="1" x14ac:dyDescent="0.35"/>
    <row r="87" s="2" customFormat="1" ht="15.65" customHeight="1" x14ac:dyDescent="0.35"/>
    <row r="88" s="2" customFormat="1" ht="15.65" customHeight="1" x14ac:dyDescent="0.35"/>
    <row r="89" s="2" customFormat="1" ht="15.65" customHeight="1" x14ac:dyDescent="0.35"/>
    <row r="90" s="2" customFormat="1" ht="15.65" customHeight="1" x14ac:dyDescent="0.35"/>
    <row r="91" s="2" customFormat="1" ht="15.65" customHeight="1" x14ac:dyDescent="0.35"/>
    <row r="92" s="2" customFormat="1" ht="15.65" customHeight="1" x14ac:dyDescent="0.35"/>
    <row r="93" s="2" customFormat="1" ht="15.65" customHeight="1" x14ac:dyDescent="0.35"/>
    <row r="94" s="2" customFormat="1" ht="15.65" customHeight="1" x14ac:dyDescent="0.35"/>
    <row r="95" s="2" customFormat="1" ht="15.65" customHeight="1" x14ac:dyDescent="0.35"/>
    <row r="96" s="2" customFormat="1" ht="15.65" customHeight="1" x14ac:dyDescent="0.35"/>
  </sheetData>
  <dataValidations count="3">
    <dataValidation type="list" allowBlank="1" showInputMessage="1" showErrorMessage="1" sqref="AX2:AX4 X2:X4 V2:V4 S2:S4 BX2:BX4" xr:uid="{00000000-0002-0000-0000-000000000000}">
      <formula1>INDIRECT($E2)</formula1>
    </dataValidation>
    <dataValidation type="list" allowBlank="1" showInputMessage="1" showErrorMessage="1" sqref="I3 J2 I4:J4" xr:uid="{00000000-0002-0000-0000-000002000000}">
      <formula1>INDIRECT(#REF!)</formula1>
    </dataValidation>
    <dataValidation type="list" allowBlank="1" showInputMessage="1" showErrorMessage="1" sqref="J3" xr:uid="{00000000-0002-0000-0000-000004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EB009FEE-9D09-42B8-9037-74C40D8EE08F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2025-05-02T08:18:34Z</dcterms:modified>
</cp:coreProperties>
</file>