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59C4FE85-CE4B-4899-8F77-40EAB685FA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definedNames>
    <definedName name="_xlnm._FilterDatabase">Sheet1!$A$1:$BI$3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" l="1"/>
  <c r="Y3" i="2" s="1"/>
  <c r="L3" i="2"/>
  <c r="X2" i="2"/>
  <c r="Y2" i="2" s="1"/>
  <c r="L2" i="2"/>
</calcChain>
</file>

<file path=xl/sharedStrings.xml><?xml version="1.0" encoding="utf-8"?>
<sst xmlns="http://schemas.openxmlformats.org/spreadsheetml/2006/main" count="164" uniqueCount="111">
  <si>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</si>
  <si>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</si>
  <si>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</si>
  <si>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</si>
  <si>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</si>
  <si>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</si>
  <si>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</si>
  <si>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</si>
  <si>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</si>
  <si>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</si>
  <si>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</si>
  <si>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</si>
  <si>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</si>
  <si>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AddressLine1</t>
  </si>
  <si>
    <t>AddressLine2</t>
  </si>
  <si>
    <t>AddressLine3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</si>
  <si>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</si>
  <si>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</si>
  <si>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</si>
  <si>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</si>
  <si>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</si>
  <si>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</si>
  <si>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</si>
  <si>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</si>
  <si>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</si>
  <si>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</si>
  <si>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</si>
  <si>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</si>
  <si>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</si>
  <si>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</si>
  <si>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</si>
  <si>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</si>
  <si>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</si>
  <si>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</si>
  <si>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</si>
  <si>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</si>
  <si>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</si>
  <si>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</si>
  <si>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</si>
  <si>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Salary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</si>
  <si>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</si>
  <si>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</si>
  <si>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</si>
  <si>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</si>
  <si>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</si>
  <si>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</si>
  <si>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</si>
  <si>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</si>
  <si>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</si>
  <si>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</si>
  <si>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</si>
  <si>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Religion</t>
  </si>
  <si>
    <t>PrimaryNationality</t>
  </si>
  <si>
    <t>BankName</t>
  </si>
  <si>
    <t>BankSortCode</t>
  </si>
  <si>
    <t>AccountNumber</t>
  </si>
  <si>
    <t>AccountType</t>
  </si>
  <si>
    <t>ProposedPayGroupFinal</t>
  </si>
  <si>
    <t>Observation</t>
  </si>
  <si>
    <t>Test1</t>
  </si>
  <si>
    <t>519 Recruitment (Fozac Hosoti (9575064) (Inherited))</t>
  </si>
  <si>
    <t>United Kingdom</t>
  </si>
  <si>
    <t>Mr.</t>
  </si>
  <si>
    <t>Ila</t>
  </si>
  <si>
    <t>Dickens</t>
  </si>
  <si>
    <t>161 923 4772</t>
  </si>
  <si>
    <t>Landline</t>
  </si>
  <si>
    <t>Home</t>
  </si>
  <si>
    <t>Avon</t>
  </si>
  <si>
    <t>Automation Street Name</t>
  </si>
  <si>
    <t>106 - 122 Market St, Manchester</t>
  </si>
  <si>
    <t>Londan</t>
  </si>
  <si>
    <t>M1 1WA</t>
  </si>
  <si>
    <t>Manchester</t>
  </si>
  <si>
    <t>Street Address</t>
  </si>
  <si>
    <t>Testharsh121@gmail.com</t>
  </si>
  <si>
    <t>New Hire</t>
  </si>
  <si>
    <t>No</t>
  </si>
  <si>
    <t>Permanent</t>
  </si>
  <si>
    <t>Retail Assistant</t>
  </si>
  <si>
    <t>Full time</t>
  </si>
  <si>
    <t>Hourly</t>
  </si>
  <si>
    <t>1@2@3@4@5@000</t>
  </si>
  <si>
    <t>5 Days</t>
  </si>
  <si>
    <t>N/A</t>
  </si>
  <si>
    <t>Automation Comments here….</t>
  </si>
  <si>
    <t>94 Retail Operative</t>
  </si>
  <si>
    <t>01 Accessories</t>
  </si>
  <si>
    <t>GB Retail Assistant - Compensation Group National (23+)</t>
  </si>
  <si>
    <t>Defaulted</t>
  </si>
  <si>
    <t>National Insurance (NI) Number</t>
  </si>
  <si>
    <t>Male</t>
  </si>
  <si>
    <t>London</t>
  </si>
  <si>
    <t>Married (United Kingdom)</t>
  </si>
  <si>
    <t>28/10/2021</t>
  </si>
  <si>
    <t>White - Irish</t>
  </si>
  <si>
    <t>Hindu</t>
  </si>
  <si>
    <t>UK Bank</t>
  </si>
  <si>
    <t>Checking</t>
  </si>
  <si>
    <t>UK Staff Group 30_Test</t>
  </si>
  <si>
    <t>Test2</t>
  </si>
  <si>
    <t>519 Store Management (Fozac Hosoti (9575064))</t>
  </si>
  <si>
    <t>Griffin</t>
  </si>
  <si>
    <t>Grant</t>
  </si>
  <si>
    <t>Auto 67794496</t>
  </si>
  <si>
    <t>Store Manager</t>
  </si>
  <si>
    <t xml:space="preserve">92 Retail Management </t>
  </si>
  <si>
    <t xml:space="preserve">251 Management Retail </t>
  </si>
  <si>
    <t>UK Management Group 60</t>
  </si>
  <si>
    <t>AB923152A</t>
  </si>
  <si>
    <t>AB923153A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</si>
</sst>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rgb="FF040C28"/>
      <name val="Calibri Light"/>
      <family val="2"/>
      <scheme val="major"/>
    </font>
    <font>
      <u/>
      <sz val="10"/>
      <color theme="10"/>
      <name val="Calibri Light"/>
      <family val="2"/>
      <scheme val="major"/>
    </font>
    <font>
      <sz val="10"/>
      <color rgb="FF4A4A4A"/>
      <name val="Calibri Light"/>
      <family val="2"/>
      <scheme val="major"/>
    </font>
    <font>
      <sz val="10"/>
      <name val="Calibri Light"/>
      <family val="2"/>
      <scheme val="maj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0" xfId="0" applyFont="1"/>
    <xf numFmtId="0" fontId="4" fillId="0" borderId="2" xfId="0" applyFont="1" applyBorder="1" applyAlignment="1" applyProtection="1">
      <alignment horizontal="left" wrapText="1"/>
      <protection locked="0"/>
    </xf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/>
    <xf numFmtId="0" fontId="4" fillId="4" borderId="2" xfId="0" applyFont="1" applyFill="1" applyBorder="1"/>
    <xf numFmtId="0" fontId="4" fillId="3" borderId="2" xfId="0" applyFont="1" applyFill="1" applyBorder="1"/>
    <xf numFmtId="0" fontId="4" fillId="0" borderId="2" xfId="0" applyFont="1" applyBorder="1" applyAlignment="1" applyProtection="1">
      <alignment horizontal="left"/>
      <protection locked="0"/>
    </xf>
    <xf numFmtId="14" fontId="4" fillId="3" borderId="0" xfId="0" applyNumberFormat="1" applyFont="1" applyFill="1" applyAlignment="1">
      <alignment horizontal="left"/>
    </xf>
    <xf numFmtId="0" fontId="4" fillId="0" borderId="2" xfId="0" applyFont="1" applyBorder="1" applyProtection="1">
      <protection locked="0"/>
    </xf>
    <xf numFmtId="0" fontId="6" fillId="0" borderId="0" xfId="0" applyFont="1"/>
    <xf numFmtId="14" fontId="4" fillId="0" borderId="2" xfId="0" applyNumberFormat="1" applyFont="1" applyBorder="1" applyAlignment="1">
      <alignment horizontal="left"/>
    </xf>
    <xf numFmtId="0" fontId="7" fillId="0" borderId="2" xfId="0" applyFont="1" applyBorder="1" applyProtection="1">
      <protection locked="0"/>
    </xf>
    <xf numFmtId="0" fontId="4" fillId="4" borderId="2" xfId="0" applyFont="1" applyFill="1" applyBorder="1" applyAlignment="1" applyProtection="1">
      <alignment horizontal="left"/>
      <protection locked="0"/>
    </xf>
    <xf numFmtId="0" fontId="8" fillId="0" borderId="2" xfId="0" applyFont="1" applyBorder="1"/>
    <xf numFmtId="0" fontId="9" fillId="0" borderId="0" xfId="0" applyFont="1"/>
    <xf numFmtId="0" fontId="4" fillId="0" borderId="0" xfId="0" applyFont="1" applyAlignment="1">
      <alignment horizontal="left"/>
    </xf>
    <xf numFmtId="0" fontId="9" fillId="0" borderId="2" xfId="0" applyFont="1" applyBorder="1" applyAlignment="1" applyProtection="1">
      <alignment horizontal="left" wrapText="1"/>
      <protection locked="0"/>
    </xf>
    <xf numFmtId="0" fontId="7" fillId="0" borderId="2" xfId="0" applyFont="1" applyBorder="1" applyAlignment="1">
      <alignment horizontal="left"/>
    </xf>
    <xf numFmtId="14" fontId="5" fillId="0" borderId="0" xfId="0" applyNumberFormat="1" applyFont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164" fontId="4" fillId="0" borderId="1" xfId="0" applyNumberFormat="1" applyFont="1" applyBorder="1" applyAlignment="1" applyProtection="1">
      <alignment horizontal="left"/>
      <protection locked="0"/>
    </xf>
    <xf numFmtId="164" fontId="4" fillId="0" borderId="4" xfId="0" applyNumberFormat="1" applyFont="1" applyBorder="1" applyAlignment="1" applyProtection="1">
      <alignment horizontal="left"/>
      <protection locked="0"/>
    </xf>
    <xf numFmtId="0" fontId="1" fillId="5" borderId="0" xfId="0" applyFont="1" applyFill="1"/>
    <xf numFmtId="0" fontId="10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harsh121@gmail.com" TargetMode="External"/><Relationship Id="rId2" Type="http://schemas.openxmlformats.org/officeDocument/2006/relationships/hyperlink" Target="mailto:1@2@3@4@5@000" TargetMode="External"/><Relationship Id="rId1" Type="http://schemas.openxmlformats.org/officeDocument/2006/relationships/hyperlink" Target="mailto:Testharsh12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1@2@3@4@5@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BB1" zoomScaleNormal="100" workbookViewId="0">
      <selection activeCell="AT4" sqref="AT4"/>
    </sheetView>
  </sheetViews>
  <sheetFormatPr defaultColWidth="8.90625" defaultRowHeight="15.65" customHeight="1" x14ac:dyDescent="0.35"/>
  <cols>
    <col min="1" max="1" width="12.1796875" style="1" customWidth="1"/>
    <col min="2" max="2" width="40.7265625" style="1" customWidth="1"/>
    <col min="3" max="3" width="10" style="1" customWidth="1"/>
    <col min="4" max="4" width="44" style="1" customWidth="1"/>
    <col min="5" max="5" width="15.453125" style="1" customWidth="1"/>
    <col min="6" max="6" width="6.36328125" style="1" customWidth="1"/>
    <col min="7" max="7" width="11.453125" style="1" customWidth="1"/>
    <col min="8" max="8" width="12.1796875" style="1" customWidth="1"/>
    <col min="9" max="9" width="13.453125" style="1" customWidth="1"/>
    <col min="10" max="10" width="12.6328125" style="1" customWidth="1"/>
    <col min="11" max="11" width="6.1796875" style="1" customWidth="1"/>
    <col min="12" max="12" width="13.1796875" style="1" customWidth="1"/>
    <col min="13" max="13" width="15.453125" style="1" customWidth="1"/>
    <col min="14" max="14" width="7.08984375" style="1" customWidth="1"/>
    <col min="15" max="15" width="22.81640625" style="1" customWidth="1"/>
    <col min="16" max="16" width="30.453125" style="1" customWidth="1"/>
    <col min="17" max="17" width="12.1796875" style="1" customWidth="1"/>
    <col min="18" max="19" width="11.08984375" style="1" customWidth="1"/>
    <col min="20" max="20" width="6.1796875" style="1" customWidth="1"/>
    <col min="21" max="21" width="14.08984375" style="1" customWidth="1"/>
    <col min="22" max="22" width="24.1796875" style="1" customWidth="1"/>
    <col min="23" max="23" width="6.1796875" style="1" customWidth="1"/>
    <col min="24" max="24" width="13.81640625" style="1" customWidth="1"/>
    <col min="25" max="25" width="17.36328125" style="1" customWidth="1"/>
    <col min="26" max="26" width="9.81640625" style="1" customWidth="1"/>
    <col min="27" max="27" width="26" style="1" customWidth="1"/>
    <col min="28" max="28" width="14.36328125" style="1" customWidth="1"/>
    <col min="29" max="29" width="15" style="1" customWidth="1"/>
    <col min="30" max="30" width="10" style="1" customWidth="1"/>
    <col min="31" max="31" width="8.6328125" style="1" customWidth="1"/>
    <col min="32" max="32" width="12.6328125" style="1" customWidth="1"/>
    <col min="33" max="34" width="22.453125" style="1" customWidth="1"/>
    <col min="35" max="35" width="27.08984375" style="1" customWidth="1"/>
    <col min="36" max="36" width="10" style="1" customWidth="1"/>
    <col min="37" max="37" width="19.6328125" style="1" customWidth="1"/>
    <col min="38" max="38" width="28.36328125" style="1" customWidth="1"/>
    <col min="39" max="39" width="21.54296875" style="1" customWidth="1"/>
    <col min="40" max="40" width="22.6328125" style="1" customWidth="1"/>
    <col min="41" max="42" width="53.6328125" style="1" customWidth="1"/>
    <col min="43" max="43" width="9.54296875" style="1" customWidth="1"/>
    <col min="44" max="44" width="15.453125" style="1" customWidth="1"/>
    <col min="45" max="45" width="29.90625" style="1" customWidth="1"/>
    <col min="46" max="46" width="12.1796875" style="1" customWidth="1"/>
    <col min="47" max="47" width="7.453125" style="1" customWidth="1"/>
    <col min="48" max="48" width="11.81640625" style="1" customWidth="1"/>
    <col min="49" max="49" width="15.453125" style="1" customWidth="1"/>
    <col min="50" max="50" width="14" style="1" customWidth="1"/>
    <col min="51" max="51" width="11.36328125" style="1" customWidth="1"/>
    <col min="52" max="52" width="25" style="1" customWidth="1"/>
    <col min="53" max="53" width="17" style="1" customWidth="1"/>
    <col min="54" max="54" width="30.08984375" style="1" customWidth="1"/>
    <col min="55" max="55" width="9.6328125" style="1" customWidth="1"/>
    <col min="56" max="56" width="18" style="1" customWidth="1"/>
    <col min="57" max="58" width="13.90625" style="1" customWidth="1"/>
    <col min="59" max="59" width="15.36328125" style="1" customWidth="1"/>
    <col min="60" max="60" width="12.6328125" style="1" customWidth="1"/>
    <col min="61" max="61" width="26.1796875" style="1" customWidth="1"/>
    <col min="62" max="62" width="8.90625" style="1" customWidth="1"/>
    <col min="63" max="16384" width="8.90625" style="1"/>
  </cols>
  <sheetData>
    <row r="1" spans="1:62" s="2" customFormat="1" ht="15.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10</v>
      </c>
      <c r="U1" s="4" t="s">
        <v>18</v>
      </c>
      <c r="V1" s="4" t="s">
        <v>19</v>
      </c>
      <c r="W1" s="4" t="s">
        <v>10</v>
      </c>
      <c r="X1" s="5" t="s">
        <v>20</v>
      </c>
      <c r="Y1" s="5" t="s">
        <v>21</v>
      </c>
      <c r="Z1" s="4" t="s">
        <v>22</v>
      </c>
      <c r="AA1" s="4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6" t="s">
        <v>33</v>
      </c>
      <c r="AL1" s="4" t="s">
        <v>34</v>
      </c>
      <c r="AM1" s="5" t="s">
        <v>35</v>
      </c>
      <c r="AN1" s="5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5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5" t="s">
        <v>50</v>
      </c>
      <c r="BC1" s="5" t="s">
        <v>51</v>
      </c>
      <c r="BD1" s="4" t="s">
        <v>52</v>
      </c>
      <c r="BE1" s="4" t="s">
        <v>53</v>
      </c>
      <c r="BF1" s="5" t="s">
        <v>54</v>
      </c>
      <c r="BG1" s="5" t="s">
        <v>55</v>
      </c>
      <c r="BH1" s="4" t="s">
        <v>56</v>
      </c>
      <c r="BI1" s="4" t="s">
        <v>57</v>
      </c>
      <c r="BJ1" s="4" t="s">
        <v>58</v>
      </c>
    </row>
    <row r="2" spans="1:62" s="7" customFormat="1" ht="15" customHeight="1" x14ac:dyDescent="0.35">
      <c r="A2" s="7" t="s">
        <v>59</v>
      </c>
      <c r="B2" s="8"/>
      <c r="C2" s="32"/>
      <c r="D2" s="9" t="s">
        <v>60</v>
      </c>
      <c r="E2" s="10" t="s">
        <v>61</v>
      </c>
      <c r="F2" s="11" t="s">
        <v>62</v>
      </c>
      <c r="G2" s="12" t="s">
        <v>63</v>
      </c>
      <c r="H2" s="13" t="s">
        <v>64</v>
      </c>
      <c r="I2" s="14" t="s">
        <v>65</v>
      </c>
      <c r="J2" s="14" t="s">
        <v>66</v>
      </c>
      <c r="K2" s="14" t="s">
        <v>67</v>
      </c>
      <c r="L2" s="15">
        <f ca="1">TODAY()-30</f>
        <v>45831</v>
      </c>
      <c r="M2" s="10" t="s">
        <v>61</v>
      </c>
      <c r="N2" s="16" t="s">
        <v>68</v>
      </c>
      <c r="O2" s="16" t="s">
        <v>69</v>
      </c>
      <c r="P2" s="14" t="s">
        <v>70</v>
      </c>
      <c r="Q2" s="14" t="s">
        <v>71</v>
      </c>
      <c r="R2" s="17" t="s">
        <v>72</v>
      </c>
      <c r="S2" s="14" t="s">
        <v>73</v>
      </c>
      <c r="T2" s="14" t="s">
        <v>67</v>
      </c>
      <c r="U2" s="18" t="s">
        <v>74</v>
      </c>
      <c r="V2" s="19" t="s">
        <v>75</v>
      </c>
      <c r="W2" s="14" t="s">
        <v>67</v>
      </c>
      <c r="X2" s="15">
        <f ca="1">TODAY()-30</f>
        <v>45831</v>
      </c>
      <c r="Y2" s="18">
        <f t="shared" ref="Y2:Y3" ca="1" si="0">X2+90</f>
        <v>45921</v>
      </c>
      <c r="Z2" s="14" t="s">
        <v>76</v>
      </c>
      <c r="AA2" s="20" t="s">
        <v>77</v>
      </c>
      <c r="AB2" s="7" t="s">
        <v>78</v>
      </c>
      <c r="AC2" s="21" t="s">
        <v>79</v>
      </c>
      <c r="AD2" s="22" t="s">
        <v>80</v>
      </c>
      <c r="AE2" s="23">
        <v>519</v>
      </c>
      <c r="AF2" s="23" t="s">
        <v>81</v>
      </c>
      <c r="AG2" s="24">
        <v>37.5</v>
      </c>
      <c r="AH2" s="24">
        <v>37.5</v>
      </c>
      <c r="AI2" s="25" t="s">
        <v>82</v>
      </c>
      <c r="AJ2" s="22" t="s">
        <v>83</v>
      </c>
      <c r="AK2" s="26" t="s">
        <v>84</v>
      </c>
      <c r="AL2" s="14" t="s">
        <v>85</v>
      </c>
      <c r="AM2" s="14" t="s">
        <v>86</v>
      </c>
      <c r="AN2" s="7" t="s">
        <v>87</v>
      </c>
      <c r="AO2" s="7" t="s">
        <v>88</v>
      </c>
      <c r="AP2" s="7" t="s">
        <v>88</v>
      </c>
      <c r="AQ2" s="10" t="s">
        <v>89</v>
      </c>
      <c r="AR2" s="10" t="s">
        <v>61</v>
      </c>
      <c r="AS2" s="27" t="s">
        <v>90</v>
      </c>
      <c r="AT2" s="28" t="s">
        <v>109</v>
      </c>
      <c r="AU2" s="7" t="s">
        <v>91</v>
      </c>
      <c r="AV2" s="29">
        <v>35591</v>
      </c>
      <c r="AW2" s="10" t="s">
        <v>61</v>
      </c>
      <c r="AX2" s="7" t="s">
        <v>92</v>
      </c>
      <c r="AY2" s="29" t="s">
        <v>92</v>
      </c>
      <c r="AZ2" s="29" t="s">
        <v>93</v>
      </c>
      <c r="BA2" s="29" t="s">
        <v>94</v>
      </c>
      <c r="BB2" s="29" t="s">
        <v>95</v>
      </c>
      <c r="BC2" s="30" t="s">
        <v>96</v>
      </c>
      <c r="BD2" s="10" t="s">
        <v>61</v>
      </c>
      <c r="BE2" s="27" t="s">
        <v>97</v>
      </c>
      <c r="BF2" s="14">
        <v>601613</v>
      </c>
      <c r="BG2" s="14">
        <v>31926819</v>
      </c>
      <c r="BH2" s="27" t="s">
        <v>98</v>
      </c>
      <c r="BI2" s="14" t="s">
        <v>99</v>
      </c>
      <c r="BJ2" s="7" t="s">
        <v>84</v>
      </c>
    </row>
    <row r="3" spans="1:62" s="7" customFormat="1" ht="15" customHeight="1" x14ac:dyDescent="0.35">
      <c r="A3" s="7" t="s">
        <v>100</v>
      </c>
      <c r="B3" s="8"/>
      <c r="C3" s="32"/>
      <c r="D3" s="9" t="s">
        <v>101</v>
      </c>
      <c r="E3" s="10" t="s">
        <v>61</v>
      </c>
      <c r="F3" s="11" t="s">
        <v>62</v>
      </c>
      <c r="G3" s="12" t="s">
        <v>102</v>
      </c>
      <c r="H3" s="13" t="s">
        <v>103</v>
      </c>
      <c r="I3" s="14" t="s">
        <v>65</v>
      </c>
      <c r="J3" s="14" t="s">
        <v>66</v>
      </c>
      <c r="K3" s="14" t="s">
        <v>67</v>
      </c>
      <c r="L3" s="15">
        <f ca="1">TODAY()-30</f>
        <v>45831</v>
      </c>
      <c r="M3" s="10" t="s">
        <v>61</v>
      </c>
      <c r="N3" s="16" t="s">
        <v>68</v>
      </c>
      <c r="O3" s="16" t="s">
        <v>69</v>
      </c>
      <c r="P3" s="14" t="s">
        <v>70</v>
      </c>
      <c r="Q3" s="14" t="s">
        <v>71</v>
      </c>
      <c r="R3" s="17" t="s">
        <v>72</v>
      </c>
      <c r="S3" s="14" t="s">
        <v>73</v>
      </c>
      <c r="T3" s="14" t="s">
        <v>67</v>
      </c>
      <c r="U3" s="18" t="s">
        <v>74</v>
      </c>
      <c r="V3" s="19" t="s">
        <v>75</v>
      </c>
      <c r="W3" s="14" t="s">
        <v>67</v>
      </c>
      <c r="X3" s="15">
        <f ca="1">TODAY()-30</f>
        <v>45831</v>
      </c>
      <c r="Y3" s="18">
        <f t="shared" ca="1" si="0"/>
        <v>45921</v>
      </c>
      <c r="Z3" s="14" t="s">
        <v>76</v>
      </c>
      <c r="AA3" s="20" t="s">
        <v>104</v>
      </c>
      <c r="AB3" s="7" t="s">
        <v>78</v>
      </c>
      <c r="AC3" s="21" t="s">
        <v>105</v>
      </c>
      <c r="AD3" s="22" t="s">
        <v>80</v>
      </c>
      <c r="AE3" s="23">
        <v>519</v>
      </c>
      <c r="AF3" s="23" t="s">
        <v>39</v>
      </c>
      <c r="AG3" s="24">
        <v>40</v>
      </c>
      <c r="AH3" s="24">
        <v>40</v>
      </c>
      <c r="AI3" s="25" t="s">
        <v>82</v>
      </c>
      <c r="AJ3" s="22" t="s">
        <v>83</v>
      </c>
      <c r="AK3" s="26" t="s">
        <v>84</v>
      </c>
      <c r="AL3" s="14" t="s">
        <v>85</v>
      </c>
      <c r="AM3" s="14" t="s">
        <v>106</v>
      </c>
      <c r="AN3" s="7" t="s">
        <v>107</v>
      </c>
      <c r="AO3" s="7" t="s">
        <v>89</v>
      </c>
      <c r="AP3" s="7" t="s">
        <v>89</v>
      </c>
      <c r="AQ3" s="10" t="s">
        <v>89</v>
      </c>
      <c r="AR3" s="10" t="s">
        <v>61</v>
      </c>
      <c r="AS3" s="27" t="s">
        <v>90</v>
      </c>
      <c r="AT3" s="28" t="s">
        <v>110</v>
      </c>
      <c r="AU3" s="7" t="s">
        <v>91</v>
      </c>
      <c r="AV3" s="29">
        <v>35591</v>
      </c>
      <c r="AW3" s="10" t="s">
        <v>61</v>
      </c>
      <c r="AX3" s="7" t="s">
        <v>92</v>
      </c>
      <c r="AY3" s="29" t="s">
        <v>92</v>
      </c>
      <c r="AZ3" s="29" t="s">
        <v>93</v>
      </c>
      <c r="BA3" s="29" t="s">
        <v>94</v>
      </c>
      <c r="BB3" s="29" t="s">
        <v>95</v>
      </c>
      <c r="BC3" s="30" t="s">
        <v>96</v>
      </c>
      <c r="BD3" s="10" t="s">
        <v>61</v>
      </c>
      <c r="BE3" s="27" t="s">
        <v>97</v>
      </c>
      <c r="BF3" s="14">
        <v>601613</v>
      </c>
      <c r="BG3" s="14">
        <v>31926819</v>
      </c>
      <c r="BH3" s="27" t="s">
        <v>98</v>
      </c>
      <c r="BI3" s="14" t="s">
        <v>108</v>
      </c>
      <c r="BJ3" s="7" t="s">
        <v>84</v>
      </c>
    </row>
    <row r="4" spans="1:62" ht="15.65" customHeight="1" x14ac:dyDescent="0.25">
      <c r="C4" s="31"/>
    </row>
  </sheetData>
  <dataValidations count="1">
    <dataValidation type="list" allowBlank="1" showInputMessage="1" showErrorMessage="1" sqref="BH2:BH3 Z2:Z3 W2:W3 T2:T3 K2:K3" xr:uid="{00000000-0002-0000-0000-000000000000}">
      <formula1>INDIRECT($E2)</formula1>
    </dataValidation>
  </dataValidations>
  <hyperlinks>
    <hyperlink ref="V2" r:id="rId1" xr:uid="{00000000-0004-0000-0000-000000000000}"/>
    <hyperlink ref="AI2" r:id="rId2" xr:uid="{00000000-0004-0000-0000-000001000000}"/>
    <hyperlink ref="V3" r:id="rId3" xr:uid="{00000000-0004-0000-0000-000002000000}"/>
    <hyperlink ref="AI3" r:id="rId4" xr:uid="{00000000-0004-0000-0000-000003000000}"/>
  </hyperlinks>
  <pageMargins left="0.7" right="0.7" top="0.75" bottom="0.75" header="0.3" footer="0.3"/>
  <pageSetup paperSize="9" orientation="portrait" useFirstPageNumber="1" horizontalDpi="4294967295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2025-07-23T12:29:21Z</dcterms:modified>
</cp:coreProperties>
</file>