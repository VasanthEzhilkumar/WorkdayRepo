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8A688090-671E-443F-90CE-60F3302DF04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7" i="1" l="1"/>
  <c r="AY7" i="1"/>
  <c r="AT7" i="1"/>
  <c r="W7" i="1"/>
  <c r="AH7" i="1" s="1"/>
  <c r="BA7" i="1" s="1"/>
  <c r="K7" i="1"/>
  <c r="BI6" i="1" a="1"/>
  <c r="BI7" i="1" s="1"/>
  <c r="AZ6" i="1"/>
  <c r="AY6" i="1"/>
  <c r="AT6" i="1"/>
  <c r="W6" i="1"/>
  <c r="K6" i="1"/>
  <c r="BA5" i="1"/>
  <c r="AZ5" i="1"/>
  <c r="AY5" i="1"/>
  <c r="AT5" i="1"/>
  <c r="W5" i="1"/>
  <c r="K5" i="1"/>
  <c r="BI4" i="1" a="1"/>
  <c r="BI4" i="1" s="1"/>
  <c r="AZ4" i="1"/>
  <c r="AY4" i="1"/>
  <c r="AT4" i="1"/>
  <c r="W4" i="1"/>
  <c r="K4" i="1"/>
  <c r="BA3" i="1"/>
  <c r="AZ3" i="1"/>
  <c r="AY3" i="1"/>
  <c r="AT3" i="1"/>
  <c r="W3" i="1"/>
  <c r="K3" i="1"/>
  <c r="BI2" i="1" a="1"/>
  <c r="BI3" i="1" s="1"/>
  <c r="AZ2" i="1"/>
  <c r="AY2" i="1"/>
  <c r="AT2" i="1"/>
  <c r="W2" i="1"/>
  <c r="K2" i="1"/>
  <c r="BI6" i="1" l="1"/>
  <c r="BI2" i="1"/>
  <c r="BI5" i="1"/>
</calcChain>
</file>

<file path=xl/sharedStrings.xml><?xml version="1.0" encoding="utf-8"?>
<sst xmlns="http://schemas.openxmlformats.org/spreadsheetml/2006/main" count="489" uniqueCount="157">
  <si>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</si>
  <si>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</si>
  <si>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</si>
  <si>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</si>
  <si>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</si>
  <si>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</si>
  <si>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</si>
  <si>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</si>
  <si>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</si>
  <si>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</si>
  <si>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</si>
  <si>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</si>
  <si>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</si>
  <si>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</si>
  <si>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</si>
  <si>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</si>
  <si>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</si>
  <si>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</si>
  <si>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</si>
  <si>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</si>
  <si>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</si>
  <si>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</si>
  <si>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</si>
  <si>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</si>
  <si>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</si>
  <si>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</si>
  <si>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</si>
  <si>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</si>
  <si>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</si>
  <si>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</si>
  <si>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</si>
  <si>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</si>
  <si>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</si>
  <si>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</si>
  <si>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</si>
  <si>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</si>
  <si>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MealVoucher</t>
  </si>
  <si>
    <t>MedicalInsurance</t>
  </si>
  <si>
    <t>HealthHouse</t>
  </si>
  <si>
    <t>BasicFunction</t>
  </si>
  <si>
    <t>Pensioner</t>
  </si>
  <si>
    <t>NegotiatedLeave</t>
  </si>
  <si>
    <t>ProbationReviewDate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</si>
  <si>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</si>
  <si>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</si>
  <si>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</si>
  <si>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</si>
  <si>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</si>
  <si>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</si>
  <si>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</si>
  <si>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</si>
  <si>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DepartmentSection1</t>
  </si>
  <si>
    <t>IssuedDate1</t>
  </si>
  <si>
    <t>ExpirationDate1</t>
  </si>
  <si>
    <t>Country2</t>
  </si>
  <si>
    <t>NationalIDType2</t>
  </si>
  <si>
    <t>DepartmentSection2</t>
  </si>
  <si>
    <t>IssuedDate2</t>
  </si>
  <si>
    <t>ExpirationDate2</t>
  </si>
  <si>
    <t>IssuedBy2</t>
  </si>
  <si>
    <t>Series2</t>
  </si>
  <si>
    <t>Salary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</si>
  <si>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</si>
  <si>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</si>
  <si>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</si>
  <si>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</si>
  <si>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</si>
  <si>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</si>
  <si>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</si>
  <si>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</si>
  <si>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</si>
  <si>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</si>
  <si>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</si>
  <si>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</si>
  <si>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NameType</t>
  </si>
  <si>
    <t>GivenName1</t>
  </si>
  <si>
    <t>FamilyName1</t>
  </si>
  <si>
    <t>Test1</t>
  </si>
  <si>
    <t>880 Recruitment (Vofur Hagovi (10551546))</t>
  </si>
  <si>
    <t>Romania</t>
  </si>
  <si>
    <t>Bridgette</t>
  </si>
  <si>
    <t>Aufderhar</t>
  </si>
  <si>
    <t>Mobile</t>
  </si>
  <si>
    <t>Home</t>
  </si>
  <si>
    <t>Automation Street Name</t>
  </si>
  <si>
    <t>Test</t>
  </si>
  <si>
    <t>ABRUD</t>
  </si>
  <si>
    <t>Alba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</si>
  <si>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</si>
  <si>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</si>
  <si>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</si>
  <si>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</si>
  <si>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</si>
  <si>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</si>
  <si>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</si>
  <si>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40</t>
  </si>
  <si>
    <t>C - Regular labour contract (Romania Contract Types-Romania)@522303@DN - Daylight and Night hours (Romania Time Allocation-Romania)</t>
  </si>
  <si>
    <t>5 Days</t>
  </si>
  <si>
    <t>N/A</t>
  </si>
  <si>
    <t>Automation Comments here….</t>
  </si>
  <si>
    <t>94 Retail Operatives</t>
  </si>
  <si>
    <t>06 Menswear</t>
  </si>
  <si>
    <t>Please select a Romania Pay Group</t>
  </si>
  <si>
    <t>RO Monthly</t>
  </si>
  <si>
    <t>No</t>
  </si>
  <si>
    <t>Choice A</t>
  </si>
  <si>
    <t>ALBA</t>
  </si>
  <si>
    <t>Yes</t>
  </si>
  <si>
    <t>Determined</t>
  </si>
  <si>
    <t>Active</t>
  </si>
  <si>
    <t>Personal Numeric Code (CNP)</t>
  </si>
  <si>
    <t>01/01/2000</t>
  </si>
  <si>
    <t>01/01/2040</t>
  </si>
  <si>
    <t>Identity Card Number</t>
  </si>
  <si>
    <t>Defaulted</t>
  </si>
  <si>
    <t>Female</t>
  </si>
  <si>
    <t>01/03/1980</t>
  </si>
  <si>
    <t>Single</t>
  </si>
  <si>
    <t>Citizen (Romania)</t>
  </si>
  <si>
    <t>ABN AMRO BANK ROMANIA</t>
  </si>
  <si>
    <t>ABNA</t>
  </si>
  <si>
    <t>Checking</t>
  </si>
  <si>
    <t>1B31007593840000</t>
  </si>
  <si>
    <t>RO49 AAAA 1B31 00759384 0000</t>
  </si>
  <si>
    <t>Father's Name</t>
  </si>
  <si>
    <t>AutoB</t>
  </si>
  <si>
    <t>one fine</t>
  </si>
  <si>
    <t>Test2</t>
  </si>
  <si>
    <t>880 Store Management (Suvug Rozery (10629083))</t>
  </si>
  <si>
    <t>Sonny</t>
  </si>
  <si>
    <t>Jakubowski</t>
  </si>
  <si>
    <t>Auto 29394639</t>
  </si>
  <si>
    <t>Store Manager_NEW</t>
  </si>
  <si>
    <t>Part Time</t>
  </si>
  <si>
    <t>92 Retail Management </t>
  </si>
  <si>
    <t>251 Management Retail</t>
  </si>
  <si>
    <t>Test3</t>
  </si>
  <si>
    <t>Sandra</t>
  </si>
  <si>
    <t>Willms</t>
  </si>
  <si>
    <t>Test4</t>
  </si>
  <si>
    <t>Twila</t>
  </si>
  <si>
    <t>Purdy</t>
  </si>
  <si>
    <t>Auto 19435506</t>
  </si>
  <si>
    <t>Test5</t>
  </si>
  <si>
    <t>Scot</t>
  </si>
  <si>
    <t>Barrows</t>
  </si>
  <si>
    <t>Test6</t>
  </si>
  <si>
    <t>Eveline</t>
  </si>
  <si>
    <t>Lowe</t>
  </si>
  <si>
    <t>Auto 29987481</t>
  </si>
  <si>
    <t>Fixed Term (Fixed Term)</t>
  </si>
  <si>
    <t>5010128283357</t>
  </si>
  <si>
    <t>5020213174480</t>
  </si>
  <si>
    <t>1440313280117</t>
  </si>
  <si>
    <t>1690521469709</t>
  </si>
  <si>
    <t>1691208027829</t>
  </si>
  <si>
    <t>1921018144187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</si>
</sst>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4"/>
      <name val="Calibri"/>
      <family val="2"/>
      <scheme val="minor"/>
    </font>
    <font>
      <u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 applyAlignment="1">
      <alignment horizontal="left"/>
    </xf>
    <xf numFmtId="49" fontId="0" fillId="2" borderId="0" xfId="0" applyNumberFormat="1" applyFill="1" applyAlignment="1">
      <alignment horizontal="left"/>
    </xf>
    <xf numFmtId="0" fontId="0" fillId="2" borderId="0" xfId="0" applyFill="1"/>
    <xf numFmtId="49" fontId="0" fillId="3" borderId="0" xfId="0" applyNumberFormat="1" applyFill="1"/>
    <xf numFmtId="49" fontId="0" fillId="3" borderId="0" xfId="0" applyNumberFormat="1" applyFill="1" applyAlignment="1">
      <alignment horizontal="left"/>
    </xf>
    <xf numFmtId="49" fontId="1" fillId="3" borderId="1" xfId="0" applyNumberFormat="1" applyFont="1" applyFill="1" applyBorder="1" applyAlignment="1">
      <alignment horizontal="left" wrapText="1"/>
    </xf>
    <xf numFmtId="49" fontId="2" fillId="3" borderId="1" xfId="0" applyNumberFormat="1" applyFont="1" applyFill="1" applyBorder="1" applyAlignment="1">
      <alignment horizontal="left" wrapText="1"/>
    </xf>
    <xf numFmtId="49" fontId="3" fillId="3" borderId="1" xfId="0" applyNumberFormat="1" applyFont="1" applyFill="1" applyBorder="1" applyAlignment="1">
      <alignment horizontal="left" wrapText="1"/>
    </xf>
    <xf numFmtId="49" fontId="2" fillId="3" borderId="2" xfId="0" applyNumberFormat="1" applyFont="1" applyFill="1" applyBorder="1" applyAlignment="1">
      <alignment horizontal="left" wrapText="1"/>
    </xf>
    <xf numFmtId="0" fontId="0" fillId="3" borderId="0" xfId="0" applyFill="1"/>
    <xf numFmtId="0" fontId="0" fillId="4" borderId="0" xfId="0" applyFill="1" applyAlignment="1">
      <alignment horizontal="left"/>
    </xf>
    <xf numFmtId="49" fontId="0" fillId="0" borderId="0" xfId="0" applyNumberFormat="1" applyAlignment="1">
      <alignment horizontal="left" wrapText="1"/>
    </xf>
    <xf numFmtId="49" fontId="1" fillId="0" borderId="3" xfId="0" applyNumberFormat="1" applyFont="1" applyBorder="1"/>
    <xf numFmtId="0" fontId="2" fillId="0" borderId="3" xfId="0" applyFont="1" applyBorder="1" applyAlignment="1">
      <alignment horizontal="left" wrapText="1"/>
    </xf>
    <xf numFmtId="0" fontId="0" fillId="0" borderId="0" xfId="0" applyAlignment="1">
      <alignment wrapText="1"/>
    </xf>
    <xf numFmtId="0" fontId="2" fillId="0" borderId="3" xfId="0" applyFont="1" applyBorder="1" applyAlignment="1" applyProtection="1">
      <alignment horizontal="left" wrapText="1"/>
      <protection locked="0"/>
    </xf>
    <xf numFmtId="14" fontId="1" fillId="0" borderId="3" xfId="0" applyNumberFormat="1" applyFont="1" applyBorder="1" applyAlignment="1">
      <alignment horizontal="left" wrapText="1"/>
    </xf>
    <xf numFmtId="0" fontId="2" fillId="0" borderId="3" xfId="0" applyFont="1" applyBorder="1" applyAlignment="1" applyProtection="1">
      <alignment wrapText="1"/>
      <protection locked="0"/>
    </xf>
    <xf numFmtId="14" fontId="2" fillId="0" borderId="3" xfId="0" applyNumberFormat="1" applyFont="1" applyBorder="1" applyAlignment="1">
      <alignment horizontal="left" wrapText="1"/>
    </xf>
    <xf numFmtId="0" fontId="4" fillId="0" borderId="3" xfId="0" applyFont="1" applyBorder="1" applyAlignment="1" applyProtection="1">
      <alignment wrapText="1"/>
      <protection locked="0"/>
    </xf>
    <xf numFmtId="49" fontId="2" fillId="0" borderId="3" xfId="0" applyNumberFormat="1" applyFont="1" applyBorder="1" applyAlignment="1">
      <alignment horizontal="left"/>
    </xf>
    <xf numFmtId="49" fontId="2" fillId="0" borderId="3" xfId="0" applyNumberFormat="1" applyFont="1" applyBorder="1"/>
    <xf numFmtId="14" fontId="2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/>
    </xf>
    <xf numFmtId="49" fontId="2" fillId="0" borderId="3" xfId="0" applyNumberFormat="1" applyFont="1" applyBorder="1" applyAlignment="1">
      <alignment vertical="center"/>
    </xf>
    <xf numFmtId="1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3" xfId="0" applyNumberFormat="1" applyFont="1" applyBorder="1" applyAlignment="1" applyProtection="1">
      <alignment horizontal="left" wrapText="1"/>
      <protection locked="0"/>
    </xf>
    <xf numFmtId="164" fontId="2" fillId="0" borderId="3" xfId="0" applyNumberFormat="1" applyFont="1" applyBorder="1" applyAlignment="1" applyProtection="1">
      <alignment horizontal="left" wrapText="1"/>
      <protection locked="0"/>
    </xf>
    <xf numFmtId="49" fontId="2" fillId="0" borderId="1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1" fillId="0" borderId="3" xfId="0" applyNumberFormat="1" applyFont="1" applyBorder="1" applyAlignment="1">
      <alignment horizontal="left" wrapText="1"/>
    </xf>
    <xf numFmtId="49" fontId="4" fillId="0" borderId="3" xfId="0" applyNumberFormat="1" applyFont="1" applyBorder="1" applyAlignment="1" applyProtection="1">
      <alignment horizontal="left" wrapText="1"/>
      <protection locked="0"/>
    </xf>
    <xf numFmtId="0" fontId="2" fillId="0" borderId="3" xfId="0" applyFont="1" applyBorder="1"/>
    <xf numFmtId="49" fontId="1" fillId="0" borderId="3" xfId="0" applyNumberFormat="1" applyFont="1" applyBorder="1" applyAlignment="1">
      <alignment horizontal="left"/>
    </xf>
    <xf numFmtId="49" fontId="5" fillId="0" borderId="0" xfId="0" applyNumberFormat="1" applyFont="1"/>
    <xf numFmtId="49" fontId="2" fillId="0" borderId="3" xfId="0" applyNumberFormat="1" applyFont="1" applyBorder="1" applyAlignment="1">
      <alignment horizontal="left" vertical="center"/>
    </xf>
    <xf numFmtId="0" fontId="0" fillId="4" borderId="0" xfId="0" applyFill="1" applyAlignment="1">
      <alignment horizontal="left" wrapText="1"/>
    </xf>
    <xf numFmtId="14" fontId="1" fillId="0" borderId="3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D7"/>
  <sheetViews>
    <sheetView tabSelected="1" topLeftCell="AW1" zoomScaleNormal="100" workbookViewId="0">
      <selection activeCell="BD7" sqref="BD7"/>
    </sheetView>
  </sheetViews>
  <sheetFormatPr defaultRowHeight="15.65" customHeight="1" outlineLevelRow="1" x14ac:dyDescent="0.35"/>
  <cols>
    <col min="1" max="1" width="10.81640625" style="1" customWidth="1"/>
    <col min="2" max="2" width="63.54296875" style="1" customWidth="1"/>
    <col min="3" max="3" width="9.36328125" style="1" customWidth="1"/>
    <col min="4" max="4" width="31" style="1" customWidth="1"/>
    <col min="5" max="5" width="8.1796875" style="1" customWidth="1"/>
    <col min="6" max="6" width="18.1796875" style="1" customWidth="1"/>
    <col min="7" max="7" width="12.3632812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2" customWidth="1"/>
    <col min="12" max="12" width="8.1796875" style="1" customWidth="1"/>
    <col min="13" max="13" width="21.7265625" style="1" customWidth="1"/>
    <col min="14" max="14" width="14.36328125" style="1" customWidth="1"/>
    <col min="15" max="15" width="12.54296875" style="1" customWidth="1"/>
    <col min="16" max="16" width="10.08984375" style="1" customWidth="1"/>
    <col min="17" max="18" width="6.72656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0.453125" style="2" customWidth="1"/>
    <col min="24" max="24" width="8.453125" style="1" customWidth="1"/>
    <col min="25" max="25" width="19.90625" style="1" customWidth="1"/>
    <col min="26" max="26" width="13.08984375" style="1" customWidth="1"/>
    <col min="27" max="27" width="31.1796875" style="1" customWidth="1"/>
    <col min="28" max="28" width="8.90625" style="1" customWidth="1"/>
    <col min="29" max="29" width="7.81640625" style="1" customWidth="1"/>
    <col min="30" max="30" width="11.453125" style="1" customWidth="1"/>
    <col min="31" max="31" width="20.6328125" style="1" customWidth="1"/>
    <col min="32" max="32" width="119.81640625" style="1" customWidth="1"/>
    <col min="33" max="33" width="9.08984375" style="1" customWidth="1"/>
    <col min="34" max="34" width="18.6328125" style="1" customWidth="1"/>
    <col min="35" max="35" width="26.7265625" style="1" customWidth="1"/>
    <col min="36" max="36" width="20.08984375" style="1" customWidth="1"/>
    <col min="37" max="37" width="24.6328125" style="1" customWidth="1"/>
    <col min="38" max="38" width="30.08984375" style="1" customWidth="1"/>
    <col min="39" max="39" width="21.08984375" style="1" customWidth="1"/>
    <col min="40" max="40" width="11.90625" style="1" customWidth="1"/>
    <col min="41" max="41" width="15.6328125" style="1" customWidth="1"/>
    <col min="42" max="42" width="11.54296875" style="1" customWidth="1"/>
    <col min="43" max="43" width="12.1796875" style="1" customWidth="1"/>
    <col min="44" max="44" width="12.453125" style="1" customWidth="1"/>
    <col min="45" max="45" width="14.7265625" style="1" customWidth="1"/>
    <col min="46" max="46" width="19" style="1" customWidth="1"/>
    <col min="47" max="47" width="6.90625" style="1" customWidth="1"/>
    <col min="48" max="48" width="9.7265625" style="1" customWidth="1"/>
    <col min="49" max="49" width="13" style="1" customWidth="1"/>
    <col min="50" max="50" width="5.90625" style="1" customWidth="1"/>
    <col min="51" max="51" width="18.54296875" style="2" customWidth="1"/>
    <col min="52" max="52" width="18.26953125" style="2" customWidth="1"/>
    <col min="53" max="53" width="15.08984375" style="2" customWidth="1"/>
    <col min="54" max="54" width="8.453125" style="1" customWidth="1"/>
    <col min="55" max="55" width="25.6328125" style="1" customWidth="1"/>
    <col min="56" max="56" width="17.36328125" style="1" customWidth="1"/>
    <col min="57" max="57" width="11.08984375" style="1" customWidth="1"/>
    <col min="58" max="58" width="14.26953125" style="1" customWidth="1"/>
    <col min="59" max="59" width="8.453125" style="1" customWidth="1"/>
    <col min="60" max="61" width="19" style="1" customWidth="1"/>
    <col min="62" max="62" width="11.08984375" style="1" customWidth="1"/>
    <col min="63" max="63" width="14.26953125" style="1" customWidth="1"/>
    <col min="64" max="64" width="9.1796875" style="1" customWidth="1"/>
    <col min="65" max="65" width="6.7265625" style="1" customWidth="1"/>
    <col min="66" max="66" width="9" style="1" customWidth="1"/>
    <col min="67" max="67" width="7" style="1" customWidth="1"/>
    <col min="68" max="68" width="10.7265625" style="1" customWidth="1"/>
    <col min="69" max="69" width="9.90625" style="1" customWidth="1"/>
    <col min="70" max="70" width="11.90625" style="1" customWidth="1"/>
    <col min="71" max="71" width="15.90625" style="1" customWidth="1"/>
    <col min="72" max="72" width="15" style="1" customWidth="1"/>
    <col min="73" max="73" width="16.36328125" style="1" customWidth="1"/>
    <col min="74" max="74" width="24.26953125" style="1" customWidth="1"/>
    <col min="75" max="75" width="9.1796875" style="1" customWidth="1"/>
    <col min="76" max="76" width="11.54296875" style="1" customWidth="1"/>
    <col min="77" max="77" width="17.08984375" style="1" customWidth="1"/>
    <col min="78" max="78" width="28.26953125" style="1" customWidth="1"/>
    <col min="79" max="79" width="12.90625" style="1" customWidth="1"/>
    <col min="80" max="80" width="8.1796875" style="1" customWidth="1"/>
    <col min="81" max="81" width="11.453125" style="1" customWidth="1"/>
    <col min="82" max="82" width="12.08984375" style="1" customWidth="1"/>
    <col min="83" max="83" width="8.7265625" style="3" customWidth="1"/>
    <col min="84" max="16384" width="8.7265625" style="3"/>
  </cols>
  <sheetData>
    <row r="1" spans="1:82" s="4" customFormat="1" ht="14.5" customHeight="1" outlineLevel="1" collapsed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4</v>
      </c>
      <c r="M1" s="7" t="s">
        <v>11</v>
      </c>
      <c r="N1" s="7" t="s">
        <v>12</v>
      </c>
      <c r="O1" s="7" t="s">
        <v>13</v>
      </c>
      <c r="P1" s="7" t="s">
        <v>14</v>
      </c>
      <c r="Q1" s="7" t="s">
        <v>15</v>
      </c>
      <c r="R1" s="7" t="s">
        <v>16</v>
      </c>
      <c r="S1" s="7" t="s">
        <v>9</v>
      </c>
      <c r="T1" s="7" t="s">
        <v>17</v>
      </c>
      <c r="U1" s="7" t="s">
        <v>18</v>
      </c>
      <c r="V1" s="7" t="s">
        <v>9</v>
      </c>
      <c r="W1" s="6" t="s">
        <v>19</v>
      </c>
      <c r="X1" s="7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7" t="s">
        <v>25</v>
      </c>
      <c r="AD1" s="7" t="s">
        <v>26</v>
      </c>
      <c r="AE1" s="7" t="s">
        <v>27</v>
      </c>
      <c r="AF1" s="7" t="s">
        <v>28</v>
      </c>
      <c r="AG1" s="7" t="s">
        <v>29</v>
      </c>
      <c r="AH1" s="6" t="s">
        <v>30</v>
      </c>
      <c r="AI1" s="7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8" t="s">
        <v>36</v>
      </c>
      <c r="AO1" s="7" t="s">
        <v>37</v>
      </c>
      <c r="AP1" s="7" t="s">
        <v>38</v>
      </c>
      <c r="AQ1" s="7" t="s">
        <v>39</v>
      </c>
      <c r="AR1" s="7" t="s">
        <v>40</v>
      </c>
      <c r="AS1" s="7" t="s">
        <v>41</v>
      </c>
      <c r="AT1" s="7" t="s">
        <v>42</v>
      </c>
      <c r="AU1" s="7" t="s">
        <v>20</v>
      </c>
      <c r="AV1" s="7" t="s">
        <v>43</v>
      </c>
      <c r="AW1" s="7" t="s">
        <v>44</v>
      </c>
      <c r="AX1" s="7" t="s">
        <v>45</v>
      </c>
      <c r="AY1" s="7" t="s">
        <v>46</v>
      </c>
      <c r="AZ1" s="7" t="s">
        <v>47</v>
      </c>
      <c r="BA1" s="6" t="s">
        <v>48</v>
      </c>
      <c r="BB1" s="7" t="s">
        <v>49</v>
      </c>
      <c r="BC1" s="7" t="s">
        <v>50</v>
      </c>
      <c r="BD1" s="7" t="s">
        <v>51</v>
      </c>
      <c r="BE1" s="7" t="s">
        <v>52</v>
      </c>
      <c r="BF1" s="7" t="s">
        <v>53</v>
      </c>
      <c r="BG1" s="7" t="s">
        <v>54</v>
      </c>
      <c r="BH1" s="7" t="s">
        <v>55</v>
      </c>
      <c r="BI1" s="7" t="s">
        <v>56</v>
      </c>
      <c r="BJ1" s="7" t="s">
        <v>57</v>
      </c>
      <c r="BK1" s="7" t="s">
        <v>58</v>
      </c>
      <c r="BL1" s="7" t="s">
        <v>59</v>
      </c>
      <c r="BM1" s="7" t="s">
        <v>60</v>
      </c>
      <c r="BN1" s="7" t="s">
        <v>61</v>
      </c>
      <c r="BO1" s="7" t="s">
        <v>62</v>
      </c>
      <c r="BP1" s="7" t="s">
        <v>63</v>
      </c>
      <c r="BQ1" s="7" t="s">
        <v>64</v>
      </c>
      <c r="BR1" s="7" t="s">
        <v>65</v>
      </c>
      <c r="BS1" s="7" t="s">
        <v>66</v>
      </c>
      <c r="BT1" s="7" t="s">
        <v>67</v>
      </c>
      <c r="BU1" s="7" t="s">
        <v>68</v>
      </c>
      <c r="BV1" s="7" t="s">
        <v>69</v>
      </c>
      <c r="BW1" s="7" t="s">
        <v>70</v>
      </c>
      <c r="BX1" s="7" t="s">
        <v>71</v>
      </c>
      <c r="BY1" s="7" t="s">
        <v>72</v>
      </c>
      <c r="BZ1" s="7" t="s">
        <v>73</v>
      </c>
      <c r="CA1" s="7" t="s">
        <v>74</v>
      </c>
      <c r="CB1" s="7" t="s">
        <v>4</v>
      </c>
      <c r="CC1" s="7" t="s">
        <v>75</v>
      </c>
      <c r="CD1" s="9" t="s">
        <v>76</v>
      </c>
    </row>
    <row r="2" spans="1:82" s="10" customFormat="1" ht="15.65" customHeight="1" x14ac:dyDescent="0.35">
      <c r="A2" s="11" t="s">
        <v>77</v>
      </c>
      <c r="B2" s="12"/>
      <c r="C2" s="11"/>
      <c r="D2" s="13" t="s">
        <v>78</v>
      </c>
      <c r="E2" s="14" t="s">
        <v>79</v>
      </c>
      <c r="F2" s="15" t="s">
        <v>80</v>
      </c>
      <c r="G2" s="15" t="s">
        <v>81</v>
      </c>
      <c r="H2" s="16">
        <v>720527700</v>
      </c>
      <c r="I2" s="16" t="s">
        <v>82</v>
      </c>
      <c r="J2" s="16" t="s">
        <v>83</v>
      </c>
      <c r="K2" s="17">
        <f ca="1">TODAY()-100</f>
        <v>45738</v>
      </c>
      <c r="L2" s="14" t="s">
        <v>79</v>
      </c>
      <c r="M2" s="18" t="s">
        <v>84</v>
      </c>
      <c r="N2" s="16">
        <v>1</v>
      </c>
      <c r="O2" s="16" t="s">
        <v>85</v>
      </c>
      <c r="P2" s="16">
        <v>515100</v>
      </c>
      <c r="Q2" s="16" t="s">
        <v>86</v>
      </c>
      <c r="R2" s="16" t="s">
        <v>87</v>
      </c>
      <c r="S2" s="16" t="s">
        <v>83</v>
      </c>
      <c r="T2" s="19" t="s">
        <v>88</v>
      </c>
      <c r="U2" s="20" t="s">
        <v>89</v>
      </c>
      <c r="V2" s="16" t="s">
        <v>83</v>
      </c>
      <c r="W2" s="17">
        <f ca="1">TODAY()-100</f>
        <v>45738</v>
      </c>
      <c r="X2" s="16" t="s">
        <v>90</v>
      </c>
      <c r="Y2" s="19" t="s">
        <v>91</v>
      </c>
      <c r="Z2" s="21" t="s">
        <v>92</v>
      </c>
      <c r="AA2" s="22" t="s">
        <v>93</v>
      </c>
      <c r="AB2" s="23" t="s">
        <v>94</v>
      </c>
      <c r="AC2" s="21">
        <v>880</v>
      </c>
      <c r="AD2" s="24" t="s">
        <v>61</v>
      </c>
      <c r="AE2" s="24" t="s">
        <v>95</v>
      </c>
      <c r="AF2" s="25" t="s">
        <v>96</v>
      </c>
      <c r="AG2" s="14" t="s">
        <v>97</v>
      </c>
      <c r="AH2" s="26" t="s">
        <v>98</v>
      </c>
      <c r="AI2" s="16" t="s">
        <v>99</v>
      </c>
      <c r="AJ2" s="27" t="s">
        <v>100</v>
      </c>
      <c r="AK2" s="21" t="s">
        <v>101</v>
      </c>
      <c r="AL2" s="16" t="s">
        <v>102</v>
      </c>
      <c r="AM2" s="16" t="s">
        <v>103</v>
      </c>
      <c r="AN2" s="14" t="s">
        <v>104</v>
      </c>
      <c r="AO2" s="28" t="s">
        <v>105</v>
      </c>
      <c r="AP2" s="29" t="s">
        <v>106</v>
      </c>
      <c r="AQ2" s="14" t="s">
        <v>107</v>
      </c>
      <c r="AR2" s="14" t="s">
        <v>104</v>
      </c>
      <c r="AS2" s="16">
        <v>1</v>
      </c>
      <c r="AT2" s="17" t="str">
        <f t="shared" ref="AT2:AT7" ca="1" si="0">TEXT(TODAY()-100,"DD/MM/YYYY")</f>
        <v>22/03/2025</v>
      </c>
      <c r="AU2" s="14" t="s">
        <v>98</v>
      </c>
      <c r="AV2" s="14" t="s">
        <v>98</v>
      </c>
      <c r="AW2" s="14" t="s">
        <v>108</v>
      </c>
      <c r="AX2" s="18" t="s">
        <v>109</v>
      </c>
      <c r="AY2" s="17">
        <f ca="1">TODAY()-100</f>
        <v>45738</v>
      </c>
      <c r="AZ2" s="17">
        <f ca="1">TODAY()-100</f>
        <v>45738</v>
      </c>
      <c r="BA2" s="26" t="s">
        <v>98</v>
      </c>
      <c r="BB2" s="30" t="s">
        <v>79</v>
      </c>
      <c r="BC2" s="30" t="s">
        <v>110</v>
      </c>
      <c r="BD2" s="31" t="s">
        <v>151</v>
      </c>
      <c r="BE2" s="19" t="s">
        <v>111</v>
      </c>
      <c r="BF2" s="19" t="s">
        <v>112</v>
      </c>
      <c r="BG2" s="30" t="s">
        <v>79</v>
      </c>
      <c r="BH2" s="30" t="s">
        <v>113</v>
      </c>
      <c r="BI2" s="16">
        <f t="array" aca="1" ref="BI2:BI3" ca="1">_xlfn.RANDARRAY(2,1,123456,999999,TRUE)</f>
        <v>634719</v>
      </c>
      <c r="BJ2" s="19" t="s">
        <v>111</v>
      </c>
      <c r="BK2" s="19" t="s">
        <v>112</v>
      </c>
      <c r="BL2" s="32" t="s">
        <v>85</v>
      </c>
      <c r="BM2" s="32" t="s">
        <v>85</v>
      </c>
      <c r="BN2" s="32" t="s">
        <v>114</v>
      </c>
      <c r="BO2" s="32" t="s">
        <v>115</v>
      </c>
      <c r="BP2" s="32" t="s">
        <v>116</v>
      </c>
      <c r="BQ2" s="32" t="s">
        <v>87</v>
      </c>
      <c r="BR2" s="32" t="s">
        <v>117</v>
      </c>
      <c r="BS2" s="32" t="s">
        <v>98</v>
      </c>
      <c r="BT2" s="29" t="s">
        <v>118</v>
      </c>
      <c r="BU2" s="29" t="s">
        <v>79</v>
      </c>
      <c r="BV2" s="33" t="s">
        <v>119</v>
      </c>
      <c r="BW2" s="33" t="s">
        <v>120</v>
      </c>
      <c r="BX2" s="29" t="s">
        <v>121</v>
      </c>
      <c r="BY2" s="29" t="s">
        <v>122</v>
      </c>
      <c r="BZ2" s="29" t="s">
        <v>123</v>
      </c>
      <c r="CA2" s="29" t="s">
        <v>124</v>
      </c>
      <c r="CB2" s="29" t="s">
        <v>79</v>
      </c>
      <c r="CC2" s="29" t="s">
        <v>125</v>
      </c>
      <c r="CD2" s="29" t="s">
        <v>126</v>
      </c>
    </row>
    <row r="3" spans="1:82" ht="15.65" customHeight="1" x14ac:dyDescent="0.35">
      <c r="A3" s="11" t="s">
        <v>127</v>
      </c>
      <c r="B3" s="11"/>
      <c r="C3" s="11"/>
      <c r="D3" s="13" t="s">
        <v>128</v>
      </c>
      <c r="E3" s="14" t="s">
        <v>79</v>
      </c>
      <c r="F3" s="15" t="s">
        <v>129</v>
      </c>
      <c r="G3" s="15" t="s">
        <v>130</v>
      </c>
      <c r="H3" s="16">
        <v>720527700</v>
      </c>
      <c r="I3" s="16" t="s">
        <v>82</v>
      </c>
      <c r="J3" s="16" t="s">
        <v>83</v>
      </c>
      <c r="K3" s="34" t="str">
        <f t="shared" ref="K3:K7" ca="1" si="1">TEXT(TODAY()-100,"DD/MM/YYYY")</f>
        <v>22/03/2025</v>
      </c>
      <c r="L3" s="32" t="s">
        <v>79</v>
      </c>
      <c r="M3" s="29" t="s">
        <v>84</v>
      </c>
      <c r="N3" s="29">
        <v>1</v>
      </c>
      <c r="O3" s="29" t="s">
        <v>85</v>
      </c>
      <c r="P3" s="29">
        <v>515100</v>
      </c>
      <c r="Q3" s="29" t="s">
        <v>86</v>
      </c>
      <c r="R3" s="29" t="s">
        <v>87</v>
      </c>
      <c r="S3" s="29" t="s">
        <v>83</v>
      </c>
      <c r="T3" s="32" t="s">
        <v>88</v>
      </c>
      <c r="U3" s="35" t="s">
        <v>89</v>
      </c>
      <c r="V3" s="29" t="s">
        <v>83</v>
      </c>
      <c r="W3" s="34" t="str">
        <f t="shared" ref="W3:W7" ca="1" si="2">TEXT(TODAY()-100,"DD/MM/YYYY")</f>
        <v>22/03/2025</v>
      </c>
      <c r="X3" s="16" t="s">
        <v>90</v>
      </c>
      <c r="Y3" s="19" t="s">
        <v>131</v>
      </c>
      <c r="Z3" s="23" t="s">
        <v>92</v>
      </c>
      <c r="AA3" s="23" t="s">
        <v>132</v>
      </c>
      <c r="AB3" s="36" t="s">
        <v>133</v>
      </c>
      <c r="AC3" s="21">
        <v>880</v>
      </c>
      <c r="AD3" s="24" t="s">
        <v>61</v>
      </c>
      <c r="AE3" s="24">
        <v>35</v>
      </c>
      <c r="AF3" s="25" t="s">
        <v>96</v>
      </c>
      <c r="AG3" s="14" t="s">
        <v>97</v>
      </c>
      <c r="AH3" s="37" t="s">
        <v>98</v>
      </c>
      <c r="AI3" s="16" t="s">
        <v>99</v>
      </c>
      <c r="AJ3" s="38" t="s">
        <v>134</v>
      </c>
      <c r="AK3" s="39" t="s">
        <v>135</v>
      </c>
      <c r="AL3" s="16" t="s">
        <v>102</v>
      </c>
      <c r="AM3" s="16" t="s">
        <v>103</v>
      </c>
      <c r="AN3" s="14" t="s">
        <v>104</v>
      </c>
      <c r="AO3" s="28" t="s">
        <v>105</v>
      </c>
      <c r="AP3" s="28" t="s">
        <v>106</v>
      </c>
      <c r="AQ3" s="14" t="s">
        <v>107</v>
      </c>
      <c r="AR3" s="14" t="s">
        <v>104</v>
      </c>
      <c r="AS3" s="16">
        <v>2</v>
      </c>
      <c r="AT3" s="17" t="str">
        <f t="shared" ca="1" si="0"/>
        <v>22/03/2025</v>
      </c>
      <c r="AU3" s="14" t="s">
        <v>98</v>
      </c>
      <c r="AV3" s="14" t="s">
        <v>98</v>
      </c>
      <c r="AW3" s="32" t="s">
        <v>108</v>
      </c>
      <c r="AX3" s="29" t="s">
        <v>109</v>
      </c>
      <c r="AY3" s="34" t="str">
        <f t="shared" ref="AY3:AZ7" ca="1" si="3">TEXT(TODAY()-100,"DD/MM/YYYY")</f>
        <v>22/03/2025</v>
      </c>
      <c r="AZ3" s="34" t="str">
        <f t="shared" ca="1" si="3"/>
        <v>22/03/2025</v>
      </c>
      <c r="BA3" s="37" t="str">
        <f>AH3</f>
        <v>N/A</v>
      </c>
      <c r="BB3" s="30" t="s">
        <v>79</v>
      </c>
      <c r="BC3" s="30" t="s">
        <v>110</v>
      </c>
      <c r="BD3" s="31" t="s">
        <v>152</v>
      </c>
      <c r="BE3" s="19" t="s">
        <v>111</v>
      </c>
      <c r="BF3" s="19" t="s">
        <v>112</v>
      </c>
      <c r="BG3" s="30" t="s">
        <v>79</v>
      </c>
      <c r="BH3" s="30" t="s">
        <v>113</v>
      </c>
      <c r="BI3" s="16">
        <f ca="1"/>
        <v>239894</v>
      </c>
      <c r="BJ3" s="19" t="s">
        <v>111</v>
      </c>
      <c r="BK3" s="19" t="s">
        <v>112</v>
      </c>
      <c r="BL3" s="32" t="s">
        <v>85</v>
      </c>
      <c r="BM3" s="32" t="s">
        <v>85</v>
      </c>
      <c r="BN3" s="32" t="s">
        <v>114</v>
      </c>
      <c r="BO3" s="32" t="s">
        <v>115</v>
      </c>
      <c r="BP3" s="19" t="s">
        <v>116</v>
      </c>
      <c r="BQ3" s="32" t="s">
        <v>87</v>
      </c>
      <c r="BR3" s="32" t="s">
        <v>117</v>
      </c>
      <c r="BS3" s="32" t="s">
        <v>98</v>
      </c>
      <c r="BT3" s="29" t="s">
        <v>118</v>
      </c>
      <c r="BU3" s="29" t="s">
        <v>79</v>
      </c>
      <c r="BV3" s="32" t="s">
        <v>119</v>
      </c>
      <c r="BW3" s="32" t="s">
        <v>120</v>
      </c>
      <c r="BX3" s="29" t="s">
        <v>121</v>
      </c>
      <c r="BY3" s="29" t="s">
        <v>122</v>
      </c>
      <c r="BZ3" s="29" t="s">
        <v>123</v>
      </c>
      <c r="CA3" s="29" t="s">
        <v>124</v>
      </c>
      <c r="CB3" s="29" t="s">
        <v>79</v>
      </c>
      <c r="CC3" s="29" t="s">
        <v>125</v>
      </c>
      <c r="CD3" s="29" t="s">
        <v>126</v>
      </c>
    </row>
    <row r="4" spans="1:82" s="10" customFormat="1" ht="15.65" customHeight="1" x14ac:dyDescent="0.35">
      <c r="A4" s="11" t="s">
        <v>136</v>
      </c>
      <c r="B4" s="12"/>
      <c r="C4" s="11"/>
      <c r="D4" s="13" t="s">
        <v>78</v>
      </c>
      <c r="E4" s="14" t="s">
        <v>79</v>
      </c>
      <c r="F4" s="15" t="s">
        <v>137</v>
      </c>
      <c r="G4" s="15" t="s">
        <v>138</v>
      </c>
      <c r="H4" s="16">
        <v>720527700</v>
      </c>
      <c r="I4" s="16" t="s">
        <v>82</v>
      </c>
      <c r="J4" s="16" t="s">
        <v>83</v>
      </c>
      <c r="K4" s="17">
        <f ca="1">TODAY()-100</f>
        <v>45738</v>
      </c>
      <c r="L4" s="14" t="s">
        <v>79</v>
      </c>
      <c r="M4" s="18" t="s">
        <v>84</v>
      </c>
      <c r="N4" s="16">
        <v>1</v>
      </c>
      <c r="O4" s="16" t="s">
        <v>85</v>
      </c>
      <c r="P4" s="16">
        <v>515100</v>
      </c>
      <c r="Q4" s="16" t="s">
        <v>86</v>
      </c>
      <c r="R4" s="16" t="s">
        <v>87</v>
      </c>
      <c r="S4" s="16" t="s">
        <v>83</v>
      </c>
      <c r="T4" s="19" t="s">
        <v>88</v>
      </c>
      <c r="U4" s="20" t="s">
        <v>89</v>
      </c>
      <c r="V4" s="16" t="s">
        <v>83</v>
      </c>
      <c r="W4" s="17">
        <f ca="1">TODAY()-100</f>
        <v>45738</v>
      </c>
      <c r="X4" s="16" t="s">
        <v>90</v>
      </c>
      <c r="Y4" s="19" t="s">
        <v>91</v>
      </c>
      <c r="Z4" s="21" t="s">
        <v>92</v>
      </c>
      <c r="AA4" s="22" t="s">
        <v>93</v>
      </c>
      <c r="AB4" s="23" t="s">
        <v>94</v>
      </c>
      <c r="AC4" s="21">
        <v>880</v>
      </c>
      <c r="AD4" s="24" t="s">
        <v>61</v>
      </c>
      <c r="AE4" s="24" t="s">
        <v>95</v>
      </c>
      <c r="AF4" s="25" t="s">
        <v>96</v>
      </c>
      <c r="AG4" s="14" t="s">
        <v>97</v>
      </c>
      <c r="AH4" s="26" t="s">
        <v>98</v>
      </c>
      <c r="AI4" s="16" t="s">
        <v>99</v>
      </c>
      <c r="AJ4" s="27" t="s">
        <v>100</v>
      </c>
      <c r="AK4" s="21" t="s">
        <v>101</v>
      </c>
      <c r="AL4" s="16" t="s">
        <v>102</v>
      </c>
      <c r="AM4" s="16" t="s">
        <v>103</v>
      </c>
      <c r="AN4" s="14" t="s">
        <v>104</v>
      </c>
      <c r="AO4" s="28" t="s">
        <v>105</v>
      </c>
      <c r="AP4" s="29" t="s">
        <v>106</v>
      </c>
      <c r="AQ4" s="14" t="s">
        <v>107</v>
      </c>
      <c r="AR4" s="14" t="s">
        <v>104</v>
      </c>
      <c r="AS4" s="16">
        <v>1</v>
      </c>
      <c r="AT4" s="17" t="str">
        <f t="shared" ca="1" si="0"/>
        <v>22/03/2025</v>
      </c>
      <c r="AU4" s="14" t="s">
        <v>98</v>
      </c>
      <c r="AV4" s="14" t="s">
        <v>98</v>
      </c>
      <c r="AW4" s="14" t="s">
        <v>108</v>
      </c>
      <c r="AX4" s="18" t="s">
        <v>109</v>
      </c>
      <c r="AY4" s="17">
        <f ca="1">TODAY()-100</f>
        <v>45738</v>
      </c>
      <c r="AZ4" s="17">
        <f ca="1">TODAY()-100</f>
        <v>45738</v>
      </c>
      <c r="BA4" s="26" t="s">
        <v>98</v>
      </c>
      <c r="BB4" s="30" t="s">
        <v>79</v>
      </c>
      <c r="BC4" s="30" t="s">
        <v>110</v>
      </c>
      <c r="BD4" s="31" t="s">
        <v>153</v>
      </c>
      <c r="BE4" s="19" t="s">
        <v>111</v>
      </c>
      <c r="BF4" s="19" t="s">
        <v>112</v>
      </c>
      <c r="BG4" s="30" t="s">
        <v>79</v>
      </c>
      <c r="BH4" s="30" t="s">
        <v>113</v>
      </c>
      <c r="BI4" s="16">
        <f t="array" aca="1" ref="BI4:BI5" ca="1">_xlfn.RANDARRAY(2,1,123456,999999,TRUE)</f>
        <v>186148</v>
      </c>
      <c r="BJ4" s="19" t="s">
        <v>111</v>
      </c>
      <c r="BK4" s="19" t="s">
        <v>112</v>
      </c>
      <c r="BL4" s="32" t="s">
        <v>85</v>
      </c>
      <c r="BM4" s="32" t="s">
        <v>85</v>
      </c>
      <c r="BN4" s="32" t="s">
        <v>114</v>
      </c>
      <c r="BO4" s="32" t="s">
        <v>115</v>
      </c>
      <c r="BP4" s="32" t="s">
        <v>116</v>
      </c>
      <c r="BQ4" s="32" t="s">
        <v>87</v>
      </c>
      <c r="BR4" s="32" t="s">
        <v>117</v>
      </c>
      <c r="BS4" s="32" t="s">
        <v>98</v>
      </c>
      <c r="BT4" s="29" t="s">
        <v>118</v>
      </c>
      <c r="BU4" s="29" t="s">
        <v>79</v>
      </c>
      <c r="BV4" s="33" t="s">
        <v>119</v>
      </c>
      <c r="BW4" s="33" t="s">
        <v>120</v>
      </c>
      <c r="BX4" s="29" t="s">
        <v>121</v>
      </c>
      <c r="BY4" s="29" t="s">
        <v>122</v>
      </c>
      <c r="BZ4" s="29" t="s">
        <v>123</v>
      </c>
      <c r="CA4" s="29" t="s">
        <v>124</v>
      </c>
      <c r="CB4" s="29" t="s">
        <v>79</v>
      </c>
      <c r="CC4" s="29" t="s">
        <v>125</v>
      </c>
      <c r="CD4" s="29" t="s">
        <v>126</v>
      </c>
    </row>
    <row r="5" spans="1:82" ht="15.65" customHeight="1" x14ac:dyDescent="0.35">
      <c r="A5" s="11" t="s">
        <v>139</v>
      </c>
      <c r="B5" s="40"/>
      <c r="C5" s="11"/>
      <c r="D5" s="13" t="s">
        <v>128</v>
      </c>
      <c r="E5" s="14" t="s">
        <v>79</v>
      </c>
      <c r="F5" s="15" t="s">
        <v>140</v>
      </c>
      <c r="G5" s="15" t="s">
        <v>141</v>
      </c>
      <c r="H5" s="16">
        <v>720527700</v>
      </c>
      <c r="I5" s="16" t="s">
        <v>82</v>
      </c>
      <c r="J5" s="16" t="s">
        <v>83</v>
      </c>
      <c r="K5" s="34" t="str">
        <f t="shared" ca="1" si="1"/>
        <v>22/03/2025</v>
      </c>
      <c r="L5" s="32" t="s">
        <v>79</v>
      </c>
      <c r="M5" s="29" t="s">
        <v>84</v>
      </c>
      <c r="N5" s="29">
        <v>1</v>
      </c>
      <c r="O5" s="29" t="s">
        <v>85</v>
      </c>
      <c r="P5" s="29">
        <v>515100</v>
      </c>
      <c r="Q5" s="29" t="s">
        <v>86</v>
      </c>
      <c r="R5" s="29" t="s">
        <v>87</v>
      </c>
      <c r="S5" s="29" t="s">
        <v>83</v>
      </c>
      <c r="T5" s="32" t="s">
        <v>88</v>
      </c>
      <c r="U5" s="35" t="s">
        <v>89</v>
      </c>
      <c r="V5" s="29" t="s">
        <v>83</v>
      </c>
      <c r="W5" s="34" t="str">
        <f t="shared" ca="1" si="2"/>
        <v>22/03/2025</v>
      </c>
      <c r="X5" s="16" t="s">
        <v>90</v>
      </c>
      <c r="Y5" s="19" t="s">
        <v>142</v>
      </c>
      <c r="Z5" s="23" t="s">
        <v>92</v>
      </c>
      <c r="AA5" s="23" t="s">
        <v>132</v>
      </c>
      <c r="AB5" s="36" t="s">
        <v>133</v>
      </c>
      <c r="AC5" s="21">
        <v>880</v>
      </c>
      <c r="AD5" s="24" t="s">
        <v>61</v>
      </c>
      <c r="AE5" s="24">
        <v>35</v>
      </c>
      <c r="AF5" s="25" t="s">
        <v>96</v>
      </c>
      <c r="AG5" s="14" t="s">
        <v>97</v>
      </c>
      <c r="AH5" s="37" t="s">
        <v>98</v>
      </c>
      <c r="AI5" s="16" t="s">
        <v>99</v>
      </c>
      <c r="AJ5" s="38" t="s">
        <v>134</v>
      </c>
      <c r="AK5" s="39" t="s">
        <v>135</v>
      </c>
      <c r="AL5" s="16" t="s">
        <v>102</v>
      </c>
      <c r="AM5" s="16" t="s">
        <v>103</v>
      </c>
      <c r="AN5" s="14" t="s">
        <v>104</v>
      </c>
      <c r="AO5" s="28" t="s">
        <v>105</v>
      </c>
      <c r="AP5" s="28" t="s">
        <v>106</v>
      </c>
      <c r="AQ5" s="14" t="s">
        <v>107</v>
      </c>
      <c r="AR5" s="14" t="s">
        <v>104</v>
      </c>
      <c r="AS5" s="16">
        <v>2</v>
      </c>
      <c r="AT5" s="17" t="str">
        <f t="shared" ca="1" si="0"/>
        <v>22/03/2025</v>
      </c>
      <c r="AU5" s="14" t="s">
        <v>98</v>
      </c>
      <c r="AV5" s="14" t="s">
        <v>98</v>
      </c>
      <c r="AW5" s="32" t="s">
        <v>108</v>
      </c>
      <c r="AX5" s="29" t="s">
        <v>109</v>
      </c>
      <c r="AY5" s="34" t="str">
        <f t="shared" ca="1" si="3"/>
        <v>22/03/2025</v>
      </c>
      <c r="AZ5" s="34" t="str">
        <f t="shared" ca="1" si="3"/>
        <v>22/03/2025</v>
      </c>
      <c r="BA5" s="37" t="str">
        <f>AH5</f>
        <v>N/A</v>
      </c>
      <c r="BB5" s="30" t="s">
        <v>79</v>
      </c>
      <c r="BC5" s="30" t="s">
        <v>110</v>
      </c>
      <c r="BD5" s="31" t="s">
        <v>154</v>
      </c>
      <c r="BE5" s="19" t="s">
        <v>111</v>
      </c>
      <c r="BF5" s="19" t="s">
        <v>112</v>
      </c>
      <c r="BG5" s="30" t="s">
        <v>79</v>
      </c>
      <c r="BH5" s="30" t="s">
        <v>113</v>
      </c>
      <c r="BI5" s="16">
        <f ca="1"/>
        <v>528332</v>
      </c>
      <c r="BJ5" s="19" t="s">
        <v>111</v>
      </c>
      <c r="BK5" s="19" t="s">
        <v>112</v>
      </c>
      <c r="BL5" s="32" t="s">
        <v>85</v>
      </c>
      <c r="BM5" s="32" t="s">
        <v>85</v>
      </c>
      <c r="BN5" s="32" t="s">
        <v>114</v>
      </c>
      <c r="BO5" s="32" t="s">
        <v>115</v>
      </c>
      <c r="BP5" s="19" t="s">
        <v>116</v>
      </c>
      <c r="BQ5" s="32" t="s">
        <v>87</v>
      </c>
      <c r="BR5" s="32" t="s">
        <v>117</v>
      </c>
      <c r="BS5" s="32" t="s">
        <v>98</v>
      </c>
      <c r="BT5" s="29" t="s">
        <v>118</v>
      </c>
      <c r="BU5" s="29" t="s">
        <v>79</v>
      </c>
      <c r="BV5" s="32" t="s">
        <v>119</v>
      </c>
      <c r="BW5" s="32" t="s">
        <v>120</v>
      </c>
      <c r="BX5" s="29" t="s">
        <v>121</v>
      </c>
      <c r="BY5" s="29" t="s">
        <v>122</v>
      </c>
      <c r="BZ5" s="29" t="s">
        <v>123</v>
      </c>
      <c r="CA5" s="29" t="s">
        <v>124</v>
      </c>
      <c r="CB5" s="29" t="s">
        <v>79</v>
      </c>
      <c r="CC5" s="29" t="s">
        <v>125</v>
      </c>
      <c r="CD5" s="29" t="s">
        <v>126</v>
      </c>
    </row>
    <row r="6" spans="1:82" s="10" customFormat="1" ht="15.65" customHeight="1" x14ac:dyDescent="0.35">
      <c r="A6" s="11" t="s">
        <v>143</v>
      </c>
      <c r="B6" s="12"/>
      <c r="C6" s="11"/>
      <c r="D6" s="13" t="s">
        <v>78</v>
      </c>
      <c r="E6" s="14" t="s">
        <v>79</v>
      </c>
      <c r="F6" s="15" t="s">
        <v>144</v>
      </c>
      <c r="G6" s="15" t="s">
        <v>145</v>
      </c>
      <c r="H6" s="16">
        <v>720527700</v>
      </c>
      <c r="I6" s="16" t="s">
        <v>82</v>
      </c>
      <c r="J6" s="16" t="s">
        <v>83</v>
      </c>
      <c r="K6" s="17">
        <f ca="1">TODAY()-100</f>
        <v>45738</v>
      </c>
      <c r="L6" s="14" t="s">
        <v>79</v>
      </c>
      <c r="M6" s="18" t="s">
        <v>84</v>
      </c>
      <c r="N6" s="16">
        <v>1</v>
      </c>
      <c r="O6" s="16" t="s">
        <v>85</v>
      </c>
      <c r="P6" s="16">
        <v>515100</v>
      </c>
      <c r="Q6" s="16" t="s">
        <v>86</v>
      </c>
      <c r="R6" s="16" t="s">
        <v>87</v>
      </c>
      <c r="S6" s="16" t="s">
        <v>83</v>
      </c>
      <c r="T6" s="19" t="s">
        <v>88</v>
      </c>
      <c r="U6" s="20" t="s">
        <v>89</v>
      </c>
      <c r="V6" s="16" t="s">
        <v>83</v>
      </c>
      <c r="W6" s="17">
        <f ca="1">TODAY()-100</f>
        <v>45738</v>
      </c>
      <c r="X6" s="16" t="s">
        <v>90</v>
      </c>
      <c r="Y6" s="19" t="s">
        <v>91</v>
      </c>
      <c r="Z6" s="21" t="s">
        <v>92</v>
      </c>
      <c r="AA6" s="22" t="s">
        <v>93</v>
      </c>
      <c r="AB6" s="23" t="s">
        <v>94</v>
      </c>
      <c r="AC6" s="21">
        <v>880</v>
      </c>
      <c r="AD6" s="24" t="s">
        <v>61</v>
      </c>
      <c r="AE6" s="24" t="s">
        <v>95</v>
      </c>
      <c r="AF6" s="25" t="s">
        <v>96</v>
      </c>
      <c r="AG6" s="14" t="s">
        <v>97</v>
      </c>
      <c r="AH6" s="26" t="s">
        <v>98</v>
      </c>
      <c r="AI6" s="16" t="s">
        <v>99</v>
      </c>
      <c r="AJ6" s="27" t="s">
        <v>100</v>
      </c>
      <c r="AK6" s="21" t="s">
        <v>101</v>
      </c>
      <c r="AL6" s="16" t="s">
        <v>102</v>
      </c>
      <c r="AM6" s="16" t="s">
        <v>103</v>
      </c>
      <c r="AN6" s="14" t="s">
        <v>104</v>
      </c>
      <c r="AO6" s="28" t="s">
        <v>105</v>
      </c>
      <c r="AP6" s="29" t="s">
        <v>106</v>
      </c>
      <c r="AQ6" s="14" t="s">
        <v>107</v>
      </c>
      <c r="AR6" s="14" t="s">
        <v>104</v>
      </c>
      <c r="AS6" s="16">
        <v>1</v>
      </c>
      <c r="AT6" s="17" t="str">
        <f t="shared" ca="1" si="0"/>
        <v>22/03/2025</v>
      </c>
      <c r="AU6" s="14" t="s">
        <v>98</v>
      </c>
      <c r="AV6" s="14" t="s">
        <v>98</v>
      </c>
      <c r="AW6" s="14" t="s">
        <v>108</v>
      </c>
      <c r="AX6" s="18" t="s">
        <v>109</v>
      </c>
      <c r="AY6" s="17">
        <f ca="1">TODAY()-100</f>
        <v>45738</v>
      </c>
      <c r="AZ6" s="17">
        <f ca="1">TODAY()-100</f>
        <v>45738</v>
      </c>
      <c r="BA6" s="26" t="s">
        <v>98</v>
      </c>
      <c r="BB6" s="30" t="s">
        <v>79</v>
      </c>
      <c r="BC6" s="30" t="s">
        <v>110</v>
      </c>
      <c r="BD6" s="31" t="s">
        <v>155</v>
      </c>
      <c r="BE6" s="19" t="s">
        <v>111</v>
      </c>
      <c r="BF6" s="19" t="s">
        <v>112</v>
      </c>
      <c r="BG6" s="30" t="s">
        <v>79</v>
      </c>
      <c r="BH6" s="30" t="s">
        <v>113</v>
      </c>
      <c r="BI6" s="16">
        <f t="array" aca="1" ref="BI6:BI7" ca="1">_xlfn.RANDARRAY(2,1,123456,999999,TRUE)</f>
        <v>337557</v>
      </c>
      <c r="BJ6" s="19" t="s">
        <v>111</v>
      </c>
      <c r="BK6" s="19" t="s">
        <v>112</v>
      </c>
      <c r="BL6" s="32" t="s">
        <v>85</v>
      </c>
      <c r="BM6" s="32" t="s">
        <v>85</v>
      </c>
      <c r="BN6" s="32" t="s">
        <v>114</v>
      </c>
      <c r="BO6" s="32" t="s">
        <v>115</v>
      </c>
      <c r="BP6" s="32" t="s">
        <v>116</v>
      </c>
      <c r="BQ6" s="32" t="s">
        <v>87</v>
      </c>
      <c r="BR6" s="32" t="s">
        <v>117</v>
      </c>
      <c r="BS6" s="32" t="s">
        <v>98</v>
      </c>
      <c r="BT6" s="29" t="s">
        <v>118</v>
      </c>
      <c r="BU6" s="29" t="s">
        <v>79</v>
      </c>
      <c r="BV6" s="33" t="s">
        <v>119</v>
      </c>
      <c r="BW6" s="33" t="s">
        <v>120</v>
      </c>
      <c r="BX6" s="29" t="s">
        <v>121</v>
      </c>
      <c r="BY6" s="29" t="s">
        <v>122</v>
      </c>
      <c r="BZ6" s="29" t="s">
        <v>123</v>
      </c>
      <c r="CA6" s="29" t="s">
        <v>124</v>
      </c>
      <c r="CB6" s="29" t="s">
        <v>79</v>
      </c>
      <c r="CC6" s="29" t="s">
        <v>125</v>
      </c>
      <c r="CD6" s="29" t="s">
        <v>126</v>
      </c>
    </row>
    <row r="7" spans="1:82" ht="15.65" customHeight="1" x14ac:dyDescent="0.35">
      <c r="A7" s="11" t="s">
        <v>146</v>
      </c>
      <c r="B7" s="11"/>
      <c r="C7" s="11"/>
      <c r="D7" s="13" t="s">
        <v>128</v>
      </c>
      <c r="E7" s="14" t="s">
        <v>79</v>
      </c>
      <c r="F7" s="15" t="s">
        <v>147</v>
      </c>
      <c r="G7" s="15" t="s">
        <v>148</v>
      </c>
      <c r="H7" s="16">
        <v>720527700</v>
      </c>
      <c r="I7" s="16" t="s">
        <v>82</v>
      </c>
      <c r="J7" s="16" t="s">
        <v>83</v>
      </c>
      <c r="K7" s="34" t="str">
        <f t="shared" ca="1" si="1"/>
        <v>22/03/2025</v>
      </c>
      <c r="L7" s="32" t="s">
        <v>79</v>
      </c>
      <c r="M7" s="29" t="s">
        <v>84</v>
      </c>
      <c r="N7" s="29">
        <v>1</v>
      </c>
      <c r="O7" s="29" t="s">
        <v>85</v>
      </c>
      <c r="P7" s="29">
        <v>515100</v>
      </c>
      <c r="Q7" s="29" t="s">
        <v>86</v>
      </c>
      <c r="R7" s="29" t="s">
        <v>87</v>
      </c>
      <c r="S7" s="29" t="s">
        <v>83</v>
      </c>
      <c r="T7" s="32" t="s">
        <v>88</v>
      </c>
      <c r="U7" s="35" t="s">
        <v>89</v>
      </c>
      <c r="V7" s="29" t="s">
        <v>83</v>
      </c>
      <c r="W7" s="34" t="str">
        <f t="shared" ca="1" si="2"/>
        <v>22/03/2025</v>
      </c>
      <c r="X7" s="16" t="s">
        <v>90</v>
      </c>
      <c r="Y7" s="19" t="s">
        <v>149</v>
      </c>
      <c r="Z7" s="23" t="s">
        <v>150</v>
      </c>
      <c r="AA7" s="23" t="s">
        <v>132</v>
      </c>
      <c r="AB7" s="36" t="s">
        <v>133</v>
      </c>
      <c r="AC7" s="21">
        <v>880</v>
      </c>
      <c r="AD7" s="24" t="s">
        <v>61</v>
      </c>
      <c r="AE7" s="24">
        <v>35</v>
      </c>
      <c r="AF7" s="25" t="s">
        <v>96</v>
      </c>
      <c r="AG7" s="14" t="s">
        <v>97</v>
      </c>
      <c r="AH7" s="41">
        <f ca="1">W7+364</f>
        <v>46102</v>
      </c>
      <c r="AI7" s="16" t="s">
        <v>99</v>
      </c>
      <c r="AJ7" s="38" t="s">
        <v>134</v>
      </c>
      <c r="AK7" s="39" t="s">
        <v>135</v>
      </c>
      <c r="AL7" s="16" t="s">
        <v>102</v>
      </c>
      <c r="AM7" s="16" t="s">
        <v>103</v>
      </c>
      <c r="AN7" s="14" t="s">
        <v>104</v>
      </c>
      <c r="AO7" s="28" t="s">
        <v>105</v>
      </c>
      <c r="AP7" s="28" t="s">
        <v>106</v>
      </c>
      <c r="AQ7" s="14" t="s">
        <v>107</v>
      </c>
      <c r="AR7" s="14" t="s">
        <v>104</v>
      </c>
      <c r="AS7" s="16">
        <v>2</v>
      </c>
      <c r="AT7" s="17" t="str">
        <f t="shared" ca="1" si="0"/>
        <v>22/03/2025</v>
      </c>
      <c r="AU7" s="14" t="s">
        <v>98</v>
      </c>
      <c r="AV7" s="14" t="s">
        <v>98</v>
      </c>
      <c r="AW7" s="32" t="s">
        <v>108</v>
      </c>
      <c r="AX7" s="29" t="s">
        <v>109</v>
      </c>
      <c r="AY7" s="34" t="str">
        <f t="shared" ca="1" si="3"/>
        <v>22/03/2025</v>
      </c>
      <c r="AZ7" s="34" t="str">
        <f t="shared" ca="1" si="3"/>
        <v>22/03/2025</v>
      </c>
      <c r="BA7" s="41">
        <f ca="1">AH7</f>
        <v>46102</v>
      </c>
      <c r="BB7" s="30" t="s">
        <v>79</v>
      </c>
      <c r="BC7" s="30" t="s">
        <v>110</v>
      </c>
      <c r="BD7" s="31" t="s">
        <v>156</v>
      </c>
      <c r="BE7" s="19" t="s">
        <v>111</v>
      </c>
      <c r="BF7" s="19" t="s">
        <v>112</v>
      </c>
      <c r="BG7" s="30" t="s">
        <v>79</v>
      </c>
      <c r="BH7" s="30" t="s">
        <v>113</v>
      </c>
      <c r="BI7" s="16">
        <f ca="1"/>
        <v>911961</v>
      </c>
      <c r="BJ7" s="19" t="s">
        <v>111</v>
      </c>
      <c r="BK7" s="19" t="s">
        <v>112</v>
      </c>
      <c r="BL7" s="32" t="s">
        <v>85</v>
      </c>
      <c r="BM7" s="32" t="s">
        <v>85</v>
      </c>
      <c r="BN7" s="32" t="s">
        <v>114</v>
      </c>
      <c r="BO7" s="32" t="s">
        <v>115</v>
      </c>
      <c r="BP7" s="19" t="s">
        <v>116</v>
      </c>
      <c r="BQ7" s="32" t="s">
        <v>87</v>
      </c>
      <c r="BR7" s="32" t="s">
        <v>117</v>
      </c>
      <c r="BS7" s="32" t="s">
        <v>98</v>
      </c>
      <c r="BT7" s="29" t="s">
        <v>118</v>
      </c>
      <c r="BU7" s="29" t="s">
        <v>79</v>
      </c>
      <c r="BV7" s="32" t="s">
        <v>119</v>
      </c>
      <c r="BW7" s="32" t="s">
        <v>120</v>
      </c>
      <c r="BX7" s="29" t="s">
        <v>121</v>
      </c>
      <c r="BY7" s="29" t="s">
        <v>122</v>
      </c>
      <c r="BZ7" s="29" t="s">
        <v>123</v>
      </c>
      <c r="CA7" s="29" t="s">
        <v>124</v>
      </c>
      <c r="CB7" s="29" t="s">
        <v>79</v>
      </c>
      <c r="CC7" s="29" t="s">
        <v>125</v>
      </c>
      <c r="CD7" s="29" t="s">
        <v>126</v>
      </c>
    </row>
  </sheetData>
  <dataValidations count="2">
    <dataValidation type="list" allowBlank="1" showInputMessage="1" showErrorMessage="1" sqref="AX2:AX7 X2:X7 V2:V7 S2:S7 BX2:BX7" xr:uid="{00000000-0002-0000-0000-000000000000}">
      <formula1>INDIRECT($E2)</formula1>
    </dataValidation>
    <dataValidation type="list" allowBlank="1" showInputMessage="1" showErrorMessage="1" sqref="I3:J3 J2:J7 I7:J7 I5:J5" xr:uid="{00000000-0002-0000-0000-000002000000}">
      <formula1>INDIRECT(#REF!)</formula1>
    </dataValidation>
  </dataValidations>
  <hyperlinks>
    <hyperlink ref="U2" r:id="rId1" xr:uid="{00000000-0004-0000-0000-000000000000}"/>
    <hyperlink ref="U3" r:id="rId2" xr:uid="{00000000-0004-0000-0000-000001000000}"/>
    <hyperlink ref="U4" r:id="rId3" xr:uid="{00000000-0004-0000-0000-000002000000}"/>
    <hyperlink ref="U5" r:id="rId4" xr:uid="{00000000-0004-0000-0000-000003000000}"/>
    <hyperlink ref="U6" r:id="rId5" xr:uid="{00000000-0004-0000-0000-000004000000}"/>
    <hyperlink ref="U7" r:id="rId6" xr:uid="{00000000-0004-0000-0000-000005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2025-06-30T05:40:39Z</dcterms:modified>
</cp:coreProperties>
</file>