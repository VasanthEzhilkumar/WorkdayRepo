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4C3D2DCB-307B-433D-BED6-6C689651D9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3" i="1" l="1"/>
  <c r="AL3" i="1"/>
  <c r="L3" i="1"/>
  <c r="U3" i="1" s="1"/>
  <c r="AM3" i="1" s="1"/>
  <c r="BL2" i="1" a="1"/>
  <c r="BL3" i="1" s="1"/>
  <c r="BI2" i="1" a="1"/>
  <c r="BI3" i="1" s="1"/>
  <c r="BF2" i="1" a="1"/>
  <c r="BF2" i="1" s="1"/>
  <c r="AQ2" i="1"/>
  <c r="AL2" i="1"/>
  <c r="L2" i="1"/>
  <c r="U2" i="1" s="1"/>
  <c r="AM2" i="1" s="1"/>
  <c r="BI2" i="1" l="1"/>
  <c r="BF3" i="1"/>
  <c r="BL2" i="1"/>
</calcChain>
</file>

<file path=xl/sharedStrings.xml><?xml version="1.0" encoding="utf-8"?>
<sst xmlns="http://schemas.openxmlformats.org/spreadsheetml/2006/main" count="174" uniqueCount="120">
  <si>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</si>
  <si>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</si>
  <si>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</si>
  <si>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</si>
  <si>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</si>
  <si>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</si>
  <si>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</si>
  <si>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Prefix</t>
  </si>
  <si>
    <t>PhoneNumber</t>
  </si>
  <si>
    <t>PhoneDevice</t>
  </si>
  <si>
    <t>Type</t>
  </si>
  <si>
    <t>EffectiveDate</t>
  </si>
  <si>
    <t>AddressLine1</t>
  </si>
  <si>
    <t>PostalCode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</si>
  <si>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</si>
  <si>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</si>
  <si>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</si>
  <si>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</si>
  <si>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</si>
  <si>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</si>
  <si>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</si>
  <si>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</si>
  <si>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</si>
  <si>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</si>
  <si>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</si>
  <si>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</si>
  <si>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</si>
  <si>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</si>
  <si>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CostCenter</t>
  </si>
  <si>
    <t>DepartmentSection</t>
  </si>
  <si>
    <t>ProposedPayGroupFinal</t>
  </si>
  <si>
    <t>TaxadeIRS</t>
  </si>
  <si>
    <t>AreadeEstudo</t>
  </si>
  <si>
    <t>PortugalSocialSecurityCode</t>
  </si>
  <si>
    <t>ProbationEndDate</t>
  </si>
  <si>
    <t>ContractStartDate</t>
  </si>
  <si>
    <t>ContractReason</t>
  </si>
  <si>
    <t>Status</t>
  </si>
  <si>
    <t>ContractType</t>
  </si>
  <si>
    <t>ContractEndDate</t>
  </si>
  <si>
    <t>SeniorityDate</t>
  </si>
  <si>
    <t>GradeProfile</t>
  </si>
  <si>
    <t>Step</t>
  </si>
  <si>
    <t>Salary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</si>
  <si>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</si>
  <si>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</si>
  <si>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</si>
  <si>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</si>
  <si>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</si>
  <si>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</si>
  <si>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</si>
  <si>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</si>
  <si>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</si>
  <si>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</si>
  <si>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</si>
  <si>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</si>
  <si>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</si>
  <si>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</si>
  <si>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</si>
  <si>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</si>
  <si>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</si>
  <si>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BankIdentificationNumber</t>
  </si>
  <si>
    <t>AccountType</t>
  </si>
  <si>
    <t>IBAN</t>
  </si>
  <si>
    <t>Test_1</t>
  </si>
  <si>
    <t>420 Recruitment (Andreia Maldonado (4206015))</t>
  </si>
  <si>
    <t>Portugal</t>
  </si>
  <si>
    <t>SloveniaHiresA</t>
  </si>
  <si>
    <t>JonesO</t>
  </si>
  <si>
    <t>Sr.</t>
  </si>
  <si>
    <t>Landline</t>
  </si>
  <si>
    <t>Home</t>
  </si>
  <si>
    <t>Automation Street Name</t>
  </si>
  <si>
    <t>4000-087</t>
  </si>
  <si>
    <t>Porto</t>
  </si>
  <si>
    <t>Street Address</t>
  </si>
  <si>
    <t>automation@qe.com</t>
  </si>
  <si>
    <t>New Hire</t>
  </si>
  <si>
    <t>No</t>
  </si>
  <si>
    <t>Permanent</t>
  </si>
  <si>
    <t>Retail Assistant</t>
  </si>
  <si>
    <t>Full Time</t>
  </si>
  <si>
    <t>420 Lisbon - UBBO</t>
  </si>
  <si>
    <t>1.A.1 - Cto 6 Meses- Abertura Loja- RA/SUP-FT (Contratos RA &amp; Supervisores Portugal-Portugal) (Contratos RA &amp; Supervisores Portugal-Portugal)@401</t>
  </si>
  <si>
    <t>5 Dias</t>
  </si>
  <si>
    <t>N/A</t>
  </si>
  <si>
    <t>94 Retail Operatives</t>
  </si>
  <si>
    <t>01 Accessories</t>
  </si>
  <si>
    <t>PT Monthly</t>
  </si>
  <si>
    <t>Pensões-Casado-Dois Tit.-Deficiente</t>
  </si>
  <si>
    <t>312-ENSINO SECUNDARIO TECNICO COMPLEMENTAR</t>
  </si>
  <si>
    <t>Acréscimo excepcional de actividade da empresa</t>
  </si>
  <si>
    <t>Active</t>
  </si>
  <si>
    <t>Sem Termo (FT) - Permanente</t>
  </si>
  <si>
    <t>Defaulted</t>
  </si>
  <si>
    <t>Portugal Retail Assistant</t>
  </si>
  <si>
    <t>Operador de supermercado de 1</t>
  </si>
  <si>
    <t>Male</t>
  </si>
  <si>
    <t>01/01/1999</t>
  </si>
  <si>
    <t>Guarda</t>
  </si>
  <si>
    <t>Married</t>
  </si>
  <si>
    <t>26/01/2019</t>
  </si>
  <si>
    <t>Social Security Identification Number (NISS)</t>
  </si>
  <si>
    <t>Taxpayer ID Number (NIF)</t>
  </si>
  <si>
    <t>ID Number (Numero de</t>
  </si>
  <si>
    <t>BBVAESMM128</t>
  </si>
  <si>
    <t>Checking</t>
  </si>
  <si>
    <t>PT50000201231234567890154</t>
  </si>
  <si>
    <t>Test_2</t>
  </si>
  <si>
    <t>420 Store Management (Andreia Maldonado (4206015))</t>
  </si>
  <si>
    <t>SloveniaHiresB</t>
  </si>
  <si>
    <t>SmithJk</t>
  </si>
  <si>
    <t>Sra.</t>
  </si>
  <si>
    <t>New</t>
  </si>
  <si>
    <t>Auto 96123479</t>
  </si>
  <si>
    <t>Store Manager</t>
  </si>
  <si>
    <t>92 Retail Management</t>
  </si>
  <si>
    <t>Actividade sazonal ou outra cujo ciclo anual de produção apresente irregularidades decorrentes da natureza estrutural do respectivo mercado, incluindo o abastecimento de matéria-prima</t>
  </si>
  <si>
    <t>Female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</si>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</sst>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Arial"/>
      <family val="2"/>
    </font>
    <font>
      <sz val="11"/>
      <color rgb="FFFF0000"/>
      <name val="Calibri"/>
      <family val="2"/>
    </font>
    <font>
      <u/>
      <sz val="11"/>
      <color indexed="12"/>
      <name val="Calibri"/>
      <family val="2"/>
    </font>
    <font>
      <u/>
      <sz val="11"/>
      <color theme="10"/>
      <name val="Calibri"/>
      <family val="2"/>
      <scheme val="minor"/>
    </font>
    <font>
      <sz val="7"/>
      <color rgb="FF1F1F1F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vertical="top"/>
    </xf>
    <xf numFmtId="0" fontId="3" fillId="0" borderId="3" xfId="0" applyFont="1" applyBorder="1" applyAlignment="1">
      <alignment horizontal="left" vertical="top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0" fontId="6" fillId="3" borderId="3" xfId="0" applyFont="1" applyFill="1" applyBorder="1"/>
    <xf numFmtId="0" fontId="5" fillId="0" borderId="0" xfId="0" applyFont="1"/>
    <xf numFmtId="0" fontId="5" fillId="0" borderId="3" xfId="0" applyFont="1" applyBorder="1" applyAlignment="1" applyProtection="1">
      <alignment horizontal="left"/>
      <protection locked="0"/>
    </xf>
    <xf numFmtId="14" fontId="7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5" fillId="0" borderId="3" xfId="0" applyNumberFormat="1" applyFont="1" applyBorder="1" applyAlignment="1">
      <alignment horizontal="left"/>
    </xf>
    <xf numFmtId="0" fontId="8" fillId="0" borderId="3" xfId="0" applyFont="1" applyBorder="1" applyProtection="1">
      <protection locked="0"/>
    </xf>
    <xf numFmtId="0" fontId="5" fillId="6" borderId="3" xfId="0" applyFont="1" applyFill="1" applyBorder="1" applyAlignment="1" applyProtection="1">
      <alignment horizontal="left"/>
      <protection locked="0"/>
    </xf>
    <xf numFmtId="0" fontId="5" fillId="0" borderId="3" xfId="0" applyFont="1" applyBorder="1"/>
    <xf numFmtId="0" fontId="0" fillId="0" borderId="3" xfId="0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/>
      <protection locked="0"/>
    </xf>
    <xf numFmtId="0" fontId="10" fillId="0" borderId="0" xfId="0" applyFont="1"/>
    <xf numFmtId="164" fontId="5" fillId="0" borderId="1" xfId="0" applyNumberFormat="1" applyFont="1" applyBorder="1" applyAlignment="1" applyProtection="1">
      <alignment horizontal="left"/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" fontId="0" fillId="3" borderId="0" xfId="0" applyNumberFormat="1" applyFill="1"/>
    <xf numFmtId="164" fontId="5" fillId="0" borderId="3" xfId="0" applyNumberFormat="1" applyFont="1" applyBorder="1" applyAlignment="1" applyProtection="1">
      <alignment horizontal="left"/>
      <protection locked="0"/>
    </xf>
    <xf numFmtId="0" fontId="3" fillId="0" borderId="3" xfId="0" applyFont="1" applyBorder="1" applyAlignment="1">
      <alignment vertical="top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zoomScaleNormal="100" workbookViewId="0">
      <selection activeCell="B2" sqref="B2:C3"/>
    </sheetView>
  </sheetViews>
  <sheetFormatPr defaultRowHeight="14.4" customHeight="1" x14ac:dyDescent="0.35"/>
  <cols>
    <col min="1" max="1" width="11.36328125" customWidth="1"/>
    <col min="2" max="2" width="72.6328125" customWidth="1"/>
    <col min="3" max="3" width="10.1796875" customWidth="1"/>
    <col min="4" max="4" width="42" customWidth="1"/>
    <col min="5" max="5" width="7.81640625" customWidth="1"/>
    <col min="6" max="6" width="15.1796875" customWidth="1"/>
    <col min="7" max="7" width="41" customWidth="1"/>
    <col min="8" max="8" width="5.6328125" customWidth="1"/>
    <col min="9" max="9" width="12.6328125" customWidth="1"/>
    <col min="10" max="10" width="11.54296875" customWidth="1"/>
    <col min="11" max="11" width="5.90625" customWidth="1"/>
    <col min="12" max="12" width="12.08984375" customWidth="1"/>
    <col min="13" max="13" width="7.81640625" customWidth="1"/>
    <col min="14" max="14" width="21.6328125" customWidth="1"/>
    <col min="15" max="15" width="10.1796875" customWidth="1"/>
    <col min="16" max="16" width="6.81640625" customWidth="1"/>
    <col min="17" max="17" width="5.90625" customWidth="1"/>
    <col min="18" max="18" width="12.6328125" customWidth="1"/>
    <col min="19" max="19" width="18.6328125" customWidth="1"/>
    <col min="20" max="20" width="5.90625" customWidth="1"/>
    <col min="21" max="21" width="10.54296875" customWidth="1"/>
    <col min="22" max="22" width="8.54296875" customWidth="1"/>
    <col min="23" max="23" width="23.36328125" customWidth="1"/>
    <col min="24" max="24" width="14.453125" customWidth="1"/>
    <col min="25" max="25" width="24.36328125" customWidth="1"/>
    <col min="26" max="26" width="8.90625" customWidth="1"/>
    <col min="27" max="27" width="16.1796875" style="1" customWidth="1"/>
    <col min="28" max="28" width="20.1796875" customWidth="1"/>
    <col min="29" max="29" width="23.90625" style="1" customWidth="1"/>
    <col min="30" max="30" width="9.08984375" customWidth="1"/>
    <col min="31" max="31" width="18.36328125" customWidth="1"/>
    <col min="32" max="32" width="19.54296875" customWidth="1"/>
    <col min="33" max="33" width="16.90625" customWidth="1"/>
    <col min="34" max="34" width="20.54296875" customWidth="1"/>
    <col min="35" max="35" width="31.1796875" customWidth="1"/>
    <col min="36" max="36" width="46.08984375" customWidth="1"/>
    <col min="37" max="37" width="23.54296875" customWidth="1"/>
    <col min="38" max="38" width="16" style="1" customWidth="1"/>
    <col min="39" max="39" width="16" customWidth="1"/>
    <col min="40" max="40" width="44.1796875" customWidth="1"/>
    <col min="41" max="41" width="6" customWidth="1"/>
    <col min="42" max="42" width="28.453125" customWidth="1"/>
    <col min="43" max="43" width="15.08984375" customWidth="1"/>
    <col min="44" max="44" width="12" customWidth="1"/>
    <col min="45" max="45" width="20.81640625" customWidth="1"/>
    <col min="46" max="46" width="27.6328125" customWidth="1"/>
    <col min="48" max="48" width="6.90625" customWidth="1"/>
    <col min="49" max="49" width="10.81640625" customWidth="1"/>
    <col min="50" max="50" width="13.453125" customWidth="1"/>
    <col min="51" max="51" width="12.453125" customWidth="1"/>
    <col min="52" max="52" width="10" customWidth="1"/>
    <col min="53" max="53" width="11.90625" customWidth="1"/>
    <col min="54" max="54" width="15.90625" customWidth="1"/>
    <col min="55" max="55" width="16.36328125" customWidth="1"/>
    <col min="56" max="56" width="8.453125" customWidth="1"/>
    <col min="57" max="57" width="36.90625" customWidth="1"/>
    <col min="58" max="58" width="12" customWidth="1"/>
    <col min="59" max="59" width="8.453125" customWidth="1"/>
    <col min="60" max="60" width="39.90625" customWidth="1"/>
    <col min="61" max="61" width="10" customWidth="1"/>
    <col min="62" max="62" width="8.453125" customWidth="1"/>
    <col min="63" max="63" width="20.08984375" customWidth="1"/>
    <col min="64" max="64" width="15" customWidth="1"/>
    <col min="65" max="65" width="13.81640625" customWidth="1"/>
    <col min="66" max="66" width="11.54296875" customWidth="1"/>
    <col min="67" max="67" width="26.453125" customWidth="1"/>
    <col min="68" max="68" width="17" customWidth="1"/>
    <col min="69" max="69" width="16.36328125" customWidth="1"/>
    <col min="70" max="70" width="10.08984375" customWidth="1"/>
    <col min="71" max="71" width="21.6328125" customWidth="1"/>
    <col min="72" max="72" width="12.1796875" customWidth="1"/>
    <col min="73" max="73" width="15.08984375" customWidth="1"/>
    <col min="74" max="74" width="5.1796875" customWidth="1"/>
    <col min="75" max="75" width="6.36328125" customWidth="1"/>
    <col min="76" max="76" width="23.1796875" customWidth="1"/>
    <col min="77" max="77" width="22.36328125" customWidth="1"/>
  </cols>
  <sheetData>
    <row r="1" spans="1:77" s="2" customFormat="1" ht="17.399999999999999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4</v>
      </c>
      <c r="N1" s="5" t="s">
        <v>12</v>
      </c>
      <c r="O1" s="7" t="s">
        <v>13</v>
      </c>
      <c r="P1" s="5" t="s">
        <v>14</v>
      </c>
      <c r="Q1" s="5" t="s">
        <v>10</v>
      </c>
      <c r="R1" s="5" t="s">
        <v>15</v>
      </c>
      <c r="S1" s="5" t="s">
        <v>16</v>
      </c>
      <c r="T1" s="5" t="s">
        <v>10</v>
      </c>
      <c r="U1" s="5" t="s">
        <v>17</v>
      </c>
      <c r="V1" s="5" t="s">
        <v>18</v>
      </c>
      <c r="W1" s="5" t="s">
        <v>19</v>
      </c>
      <c r="X1" s="8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8" t="s">
        <v>27</v>
      </c>
      <c r="AF1" s="5" t="s">
        <v>28</v>
      </c>
      <c r="AG1" s="5" t="s">
        <v>29</v>
      </c>
      <c r="AH1" s="5" t="s">
        <v>30</v>
      </c>
      <c r="AI1" s="8" t="s">
        <v>31</v>
      </c>
      <c r="AJ1" s="8" t="s">
        <v>32</v>
      </c>
      <c r="AK1" s="8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9" t="s">
        <v>40</v>
      </c>
      <c r="AS1" s="5" t="s">
        <v>41</v>
      </c>
      <c r="AT1" s="5" t="s">
        <v>42</v>
      </c>
      <c r="AU1" s="9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6" t="s">
        <v>54</v>
      </c>
      <c r="BG1" s="5" t="s">
        <v>55</v>
      </c>
      <c r="BH1" s="5" t="s">
        <v>56</v>
      </c>
      <c r="BI1" s="6" t="s">
        <v>57</v>
      </c>
      <c r="BJ1" s="5" t="s">
        <v>58</v>
      </c>
      <c r="BK1" s="5" t="s">
        <v>59</v>
      </c>
      <c r="BL1" s="6" t="s">
        <v>60</v>
      </c>
      <c r="BM1" s="5" t="s">
        <v>61</v>
      </c>
      <c r="BN1" s="5" t="s">
        <v>62</v>
      </c>
      <c r="BO1" s="5" t="s">
        <v>63</v>
      </c>
    </row>
    <row r="2" spans="1:77" s="10" customFormat="1" ht="17.399999999999999" customHeight="1" x14ac:dyDescent="0.35">
      <c r="A2" s="11" t="s">
        <v>64</v>
      </c>
      <c r="B2" s="12"/>
      <c r="C2" s="13"/>
      <c r="D2" s="14" t="s">
        <v>65</v>
      </c>
      <c r="E2" s="15" t="s">
        <v>66</v>
      </c>
      <c r="F2" s="16" t="s">
        <v>67</v>
      </c>
      <c r="G2" s="17" t="s">
        <v>68</v>
      </c>
      <c r="H2" s="18" t="s">
        <v>69</v>
      </c>
      <c r="I2" s="19">
        <v>234456532</v>
      </c>
      <c r="J2" s="19" t="s">
        <v>70</v>
      </c>
      <c r="K2" s="19" t="s">
        <v>71</v>
      </c>
      <c r="L2" s="20">
        <f t="shared" ref="L2:L3" ca="1" si="0">TODAY()-31</f>
        <v>45829</v>
      </c>
      <c r="M2" s="15" t="s">
        <v>66</v>
      </c>
      <c r="N2" s="21" t="s">
        <v>72</v>
      </c>
      <c r="O2" s="18" t="s">
        <v>73</v>
      </c>
      <c r="P2" s="21" t="s">
        <v>74</v>
      </c>
      <c r="Q2" s="19" t="s">
        <v>71</v>
      </c>
      <c r="R2" s="22" t="s">
        <v>75</v>
      </c>
      <c r="S2" s="23" t="s">
        <v>76</v>
      </c>
      <c r="T2" s="19" t="s">
        <v>71</v>
      </c>
      <c r="U2" s="20">
        <f t="shared" ref="U2:U3" ca="1" si="1">L2</f>
        <v>45829</v>
      </c>
      <c r="V2" s="19" t="s">
        <v>77</v>
      </c>
      <c r="W2" s="24" t="s">
        <v>78</v>
      </c>
      <c r="X2" s="22" t="s">
        <v>79</v>
      </c>
      <c r="Y2" s="25" t="s">
        <v>80</v>
      </c>
      <c r="Z2" s="22" t="s">
        <v>81</v>
      </c>
      <c r="AA2" s="26" t="s">
        <v>82</v>
      </c>
      <c r="AB2" s="15">
        <v>40</v>
      </c>
      <c r="AC2" s="27" t="s">
        <v>83</v>
      </c>
      <c r="AD2" s="15" t="s">
        <v>84</v>
      </c>
      <c r="AE2" s="20" t="s">
        <v>85</v>
      </c>
      <c r="AF2" s="19" t="s">
        <v>86</v>
      </c>
      <c r="AG2" s="28" t="s">
        <v>87</v>
      </c>
      <c r="AH2" s="19" t="s">
        <v>88</v>
      </c>
      <c r="AI2" s="29" t="s">
        <v>89</v>
      </c>
      <c r="AJ2" s="29" t="s">
        <v>90</v>
      </c>
      <c r="AK2" s="19">
        <v>99</v>
      </c>
      <c r="AL2" s="22">
        <f t="shared" ref="AL2:AL3" ca="1" si="2">TODAY()+60</f>
        <v>45920</v>
      </c>
      <c r="AM2" s="22">
        <f t="shared" ref="AM2:AM3" ca="1" si="3">U2</f>
        <v>45829</v>
      </c>
      <c r="AN2" s="30" t="s">
        <v>91</v>
      </c>
      <c r="AO2" s="21" t="s">
        <v>92</v>
      </c>
      <c r="AP2" s="22" t="s">
        <v>93</v>
      </c>
      <c r="AQ2" s="20" t="str">
        <f t="shared" ref="AQ2:AQ3" si="4">AE2</f>
        <v>N/A</v>
      </c>
      <c r="AR2" s="15" t="s">
        <v>94</v>
      </c>
      <c r="AS2" s="15" t="s">
        <v>95</v>
      </c>
      <c r="AT2" s="15" t="s">
        <v>96</v>
      </c>
      <c r="AU2" s="15" t="s">
        <v>94</v>
      </c>
      <c r="AV2" s="31" t="s">
        <v>97</v>
      </c>
      <c r="AW2" s="22" t="s">
        <v>98</v>
      </c>
      <c r="AX2" s="31" t="s">
        <v>66</v>
      </c>
      <c r="AY2" s="31" t="s">
        <v>99</v>
      </c>
      <c r="AZ2" s="31" t="s">
        <v>74</v>
      </c>
      <c r="BA2" s="32" t="s">
        <v>100</v>
      </c>
      <c r="BB2" s="22" t="s">
        <v>101</v>
      </c>
      <c r="BC2" s="32" t="s">
        <v>66</v>
      </c>
      <c r="BD2" s="33" t="s">
        <v>66</v>
      </c>
      <c r="BE2" s="33" t="s">
        <v>102</v>
      </c>
      <c r="BF2" s="34">
        <f t="array" aca="1" ref="BF2:BF3" ca="1">_xlfn.RANDARRAY(2,1,12345678901,99999999999,TRUE)</f>
        <v>15246897747</v>
      </c>
      <c r="BG2" s="33" t="s">
        <v>66</v>
      </c>
      <c r="BH2" s="33" t="s">
        <v>103</v>
      </c>
      <c r="BI2" s="34">
        <f t="array" aca="1" ref="BI2:BI3" ca="1">_xlfn.RANDARRAY(2,1,123456789,999999999,TRUE)</f>
        <v>440585174</v>
      </c>
      <c r="BJ2" s="33" t="s">
        <v>66</v>
      </c>
      <c r="BK2" s="35" t="s">
        <v>104</v>
      </c>
      <c r="BL2" s="34" t="str">
        <f t="array" aca="1" ref="BL2:BL3" ca="1">_xlfn.RANDARRAY(2,1,12345678,99999999,TRUE)&amp;" 2AP"&amp;_xlfn.RANDARRAY(2,1,12,99,TRUE)</f>
        <v>26576171 2AP19</v>
      </c>
      <c r="BM2" s="33" t="s">
        <v>105</v>
      </c>
      <c r="BN2" s="33" t="s">
        <v>106</v>
      </c>
      <c r="BO2" s="33" t="s">
        <v>107</v>
      </c>
      <c r="BP2" s="13"/>
      <c r="BQ2" s="13"/>
      <c r="BR2" s="13"/>
      <c r="BS2" s="13"/>
      <c r="BT2" s="13"/>
      <c r="BU2" s="13"/>
      <c r="BV2" s="13"/>
      <c r="BW2" s="13"/>
      <c r="BX2" s="13"/>
      <c r="BY2" s="13"/>
    </row>
    <row r="3" spans="1:77" s="10" customFormat="1" ht="17.399999999999999" customHeight="1" x14ac:dyDescent="0.35">
      <c r="A3" s="36" t="s">
        <v>108</v>
      </c>
      <c r="B3" s="13"/>
      <c r="C3" s="13"/>
      <c r="D3" s="14" t="s">
        <v>109</v>
      </c>
      <c r="E3" s="15" t="s">
        <v>66</v>
      </c>
      <c r="F3" s="16" t="s">
        <v>110</v>
      </c>
      <c r="G3" s="17" t="s">
        <v>111</v>
      </c>
      <c r="H3" s="18" t="s">
        <v>112</v>
      </c>
      <c r="I3" s="19">
        <v>234456532</v>
      </c>
      <c r="J3" s="19" t="s">
        <v>70</v>
      </c>
      <c r="K3" s="19" t="s">
        <v>71</v>
      </c>
      <c r="L3" s="20">
        <f t="shared" ca="1" si="0"/>
        <v>45829</v>
      </c>
      <c r="M3" s="15" t="s">
        <v>66</v>
      </c>
      <c r="N3" s="21" t="s">
        <v>72</v>
      </c>
      <c r="O3" s="18" t="s">
        <v>73</v>
      </c>
      <c r="P3" s="21" t="s">
        <v>74</v>
      </c>
      <c r="Q3" s="19" t="s">
        <v>71</v>
      </c>
      <c r="R3" s="22" t="s">
        <v>75</v>
      </c>
      <c r="S3" s="23" t="s">
        <v>76</v>
      </c>
      <c r="T3" s="19" t="s">
        <v>71</v>
      </c>
      <c r="U3" s="20">
        <f t="shared" ca="1" si="1"/>
        <v>45829</v>
      </c>
      <c r="V3" s="19" t="s">
        <v>113</v>
      </c>
      <c r="W3" s="24" t="s">
        <v>114</v>
      </c>
      <c r="X3" s="22" t="s">
        <v>79</v>
      </c>
      <c r="Y3" s="25" t="s">
        <v>115</v>
      </c>
      <c r="Z3" s="22" t="s">
        <v>81</v>
      </c>
      <c r="AA3" s="26" t="s">
        <v>82</v>
      </c>
      <c r="AB3" s="15">
        <v>40</v>
      </c>
      <c r="AC3" s="27" t="s">
        <v>83</v>
      </c>
      <c r="AD3" s="15" t="s">
        <v>84</v>
      </c>
      <c r="AE3" s="20" t="s">
        <v>85</v>
      </c>
      <c r="AF3" s="19" t="s">
        <v>116</v>
      </c>
      <c r="AG3" s="37">
        <v>251</v>
      </c>
      <c r="AH3" s="19" t="s">
        <v>88</v>
      </c>
      <c r="AI3" s="29" t="s">
        <v>89</v>
      </c>
      <c r="AJ3" s="29" t="s">
        <v>90</v>
      </c>
      <c r="AK3" s="19">
        <v>99</v>
      </c>
      <c r="AL3" s="22">
        <f t="shared" ca="1" si="2"/>
        <v>45920</v>
      </c>
      <c r="AM3" s="22">
        <f t="shared" ca="1" si="3"/>
        <v>45829</v>
      </c>
      <c r="AN3" s="30" t="s">
        <v>117</v>
      </c>
      <c r="AO3" s="21" t="s">
        <v>92</v>
      </c>
      <c r="AP3" s="22" t="s">
        <v>93</v>
      </c>
      <c r="AQ3" s="20" t="str">
        <f t="shared" si="4"/>
        <v>N/A</v>
      </c>
      <c r="AR3" s="15" t="s">
        <v>94</v>
      </c>
      <c r="AS3" s="15" t="s">
        <v>85</v>
      </c>
      <c r="AT3" s="15" t="s">
        <v>85</v>
      </c>
      <c r="AU3" s="15" t="s">
        <v>94</v>
      </c>
      <c r="AV3" s="31" t="s">
        <v>118</v>
      </c>
      <c r="AW3" s="22" t="s">
        <v>98</v>
      </c>
      <c r="AX3" s="31" t="s">
        <v>66</v>
      </c>
      <c r="AY3" s="31" t="s">
        <v>99</v>
      </c>
      <c r="AZ3" s="31" t="s">
        <v>74</v>
      </c>
      <c r="BA3" s="32" t="s">
        <v>119</v>
      </c>
      <c r="BB3" s="22" t="s">
        <v>85</v>
      </c>
      <c r="BC3" s="32" t="s">
        <v>66</v>
      </c>
      <c r="BD3" s="33" t="s">
        <v>66</v>
      </c>
      <c r="BE3" s="33" t="s">
        <v>102</v>
      </c>
      <c r="BF3" s="34">
        <f ca="1"/>
        <v>68296724144</v>
      </c>
      <c r="BG3" s="33" t="s">
        <v>66</v>
      </c>
      <c r="BH3" s="33" t="s">
        <v>103</v>
      </c>
      <c r="BI3" s="34">
        <f ca="1"/>
        <v>819055315</v>
      </c>
      <c r="BJ3" s="33" t="s">
        <v>66</v>
      </c>
      <c r="BK3" s="35" t="s">
        <v>104</v>
      </c>
      <c r="BL3" s="34" t="str">
        <f ca="1"/>
        <v>29879228 2AP13</v>
      </c>
      <c r="BM3" s="33" t="s">
        <v>105</v>
      </c>
      <c r="BN3" s="33" t="s">
        <v>106</v>
      </c>
      <c r="BO3" s="33" t="s">
        <v>107</v>
      </c>
      <c r="BP3" s="13"/>
      <c r="BQ3" s="13"/>
      <c r="BR3" s="13"/>
      <c r="BS3" s="13"/>
      <c r="BT3" s="13"/>
      <c r="BU3" s="13"/>
      <c r="BV3" s="13"/>
      <c r="BW3" s="13"/>
      <c r="BX3" s="13"/>
      <c r="BY3" s="13"/>
    </row>
  </sheetData>
  <hyperlinks>
    <hyperlink ref="S2" r:id="rId1" xr:uid="{00000000-0004-0000-0000-000000000000}"/>
    <hyperlink ref="S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2025-07-22T17:26:55Z</dcterms:modified>
</cp:coreProperties>
</file>