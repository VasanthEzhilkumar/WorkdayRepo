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4_{0A4A3FDA-3E1F-48EE-B063-38BBD513C0E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L16" i="1"/>
  <c r="W16" i="1" s="1"/>
  <c r="AR15" i="1"/>
  <c r="AH15" i="1"/>
  <c r="L15" i="1"/>
  <c r="W15" i="1" s="1"/>
  <c r="AR14" i="1"/>
  <c r="L14" i="1"/>
  <c r="W14" i="1" s="1"/>
  <c r="AH13" i="1"/>
  <c r="AR13" i="1" s="1"/>
  <c r="L13" i="1"/>
  <c r="W13" i="1" s="1"/>
  <c r="AR12" i="1"/>
  <c r="W12" i="1"/>
  <c r="L12" i="1"/>
  <c r="AR11" i="1"/>
  <c r="L11" i="1"/>
  <c r="W11" i="1" s="1"/>
  <c r="AH10" i="1"/>
  <c r="AR10" i="1" s="1"/>
  <c r="L10" i="1"/>
  <c r="W10" i="1" s="1"/>
  <c r="AR9" i="1"/>
  <c r="L9" i="1"/>
  <c r="W9" i="1" s="1"/>
  <c r="AR8" i="1"/>
  <c r="AH8" i="1"/>
  <c r="L8" i="1"/>
  <c r="W8" i="1" s="1"/>
  <c r="AR7" i="1"/>
  <c r="L7" i="1"/>
  <c r="W7" i="1" s="1"/>
  <c r="AH6" i="1"/>
  <c r="AR6" i="1" s="1"/>
  <c r="L6" i="1"/>
  <c r="W6" i="1" s="1"/>
  <c r="AR5" i="1"/>
  <c r="W5" i="1"/>
  <c r="L5" i="1"/>
  <c r="AR4" i="1"/>
  <c r="L4" i="1"/>
  <c r="W4" i="1" s="1"/>
  <c r="AH3" i="1"/>
  <c r="AR3" i="1" s="1"/>
  <c r="L3" i="1"/>
  <c r="W3" i="1" s="1"/>
  <c r="AR2" i="1"/>
  <c r="AN2" i="1" a="1"/>
  <c r="AN13" i="1" s="1"/>
  <c r="L2" i="1"/>
  <c r="W2" i="1" s="1"/>
  <c r="AN10" i="1" l="1"/>
  <c r="AN3" i="1"/>
  <c r="AN7" i="1"/>
  <c r="AN11" i="1"/>
  <c r="AN15" i="1"/>
  <c r="AN16" i="1"/>
  <c r="AN6" i="1"/>
  <c r="AN14" i="1"/>
  <c r="AN4" i="1"/>
  <c r="AN8" i="1"/>
  <c r="AN12" i="1"/>
  <c r="AN2" i="1"/>
  <c r="AN5" i="1"/>
  <c r="AN9" i="1"/>
</calcChain>
</file>

<file path=xl/sharedStrings.xml><?xml version="1.0" encoding="utf-8"?>
<sst xmlns="http://schemas.openxmlformats.org/spreadsheetml/2006/main" count="923" uniqueCount="221">
  <si>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</si>
  <si>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</si>
  <si>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</si>
  <si>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</si>
  <si>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</si>
  <si>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</si>
  <si>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</si>
  <si>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</si>
  <si>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</si>
  <si>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</si>
  <si>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</si>
  <si>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</si>
  <si>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</si>
  <si>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</si>
  <si>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</si>
  <si>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</si>
  <si>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</si>
  <si>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</si>
  <si>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</si>
  <si>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</si>
  <si>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</si>
  <si>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</si>
  <si>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</si>
  <si>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</si>
  <si>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</si>
  <si>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</si>
  <si>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</si>
  <si>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</si>
  <si>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</si>
  <si>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</si>
  <si>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</si>
  <si>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</si>
  <si>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</si>
  <si>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</si>
  <si>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</si>
  <si>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</si>
  <si>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</si>
  <si>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</si>
  <si>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</si>
  <si>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</si>
  <si>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</si>
  <si>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</si>
  <si>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</si>
  <si>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</si>
  <si>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</si>
  <si>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</si>
  <si>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</si>
  <si>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</si>
  <si>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</si>
  <si>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</si>
  <si>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</si>
  <si>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</si>
  <si>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</si>
  <si>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</si>
  <si>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</si>
  <si>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</si>
  <si>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</si>
  <si>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</si>
  <si>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</si>
  <si>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</si>
  <si>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</si>
  <si>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</si>
  <si>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</si>
  <si>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</si>
  <si>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</si>
  <si>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</si>
  <si>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 xml:space="preserve">Test failed for 'Carter Smith' Employee:{undefined}TimeoutError: locator.click: Timeout 30000ms exceeded.
Call log:
  [2m- waiting for getByLabel('My Tasks Items').first()[22m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</si>
  <si>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Failed</t>
  </si>
  <si>
    <t>751 Retail Team 1 (Rykec Puvyjo (10528834) (Inherited))</t>
  </si>
  <si>
    <t>Belgium</t>
  </si>
  <si>
    <t>Mr</t>
  </si>
  <si>
    <t>Carter</t>
  </si>
  <si>
    <t>Farrell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</si>
  <si>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</si>
  <si>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</si>
  <si>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</si>
  <si>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</si>
  <si>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</si>
  <si>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</si>
  <si>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</si>
  <si>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</si>
  <si>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</si>
  <si>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</si>
  <si>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</si>
  <si>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</si>
  <si>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</si>
  <si>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</si>
  <si>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</si>
  <si>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</si>
  <si>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</si>
  <si>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</si>
  <si>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</si>
  <si>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</si>
  <si>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</si>
  <si>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</si>
  <si>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</si>
  <si>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</si>
  <si>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</si>
  <si>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</si>
  <si>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</si>
  <si>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</si>
  <si>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</si>
  <si>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</si>
  <si>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</si>
  <si>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</si>
  <si>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</si>
  <si>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</si>
  <si>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</si>
  <si>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</si>
  <si>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</si>
  <si>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</si>
  <si>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</si>
  <si>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</si>
  <si>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</si>
  <si>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</si>
  <si>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</si>
  <si>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'Sammie Bechtelar' Employee:{10697707}Error: locator.focus: Target page, context or browser has been closed
Call log:
  [2m- waiting for locator('[aria-label="Search Workday "]')[22m
</t>
  </si>
  <si>
    <t>751 Store Management (Rykec Puvyjo (10528834))</t>
  </si>
  <si>
    <t>Mme</t>
  </si>
  <si>
    <t>Sammie</t>
  </si>
  <si>
    <t>Bechtelar</t>
  </si>
  <si>
    <t>Auto 14268463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</si>
  <si>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</si>
  <si>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</si>
  <si>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</si>
  <si>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</si>
  <si>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</si>
  <si>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</si>
  <si>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</si>
  <si>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</si>
  <si>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</si>
  <si>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Test3</t>
  </si>
  <si>
    <t>Julian</t>
  </si>
  <si>
    <t>McLaughlin</t>
  </si>
  <si>
    <t>In-Store P&amp;C Assistant_NEW</t>
  </si>
  <si>
    <t>Part time</t>
  </si>
  <si>
    <t>250 Human Resources Retail</t>
  </si>
  <si>
    <t>Variable | 20 | A20</t>
  </si>
  <si>
    <t>Test4</t>
  </si>
  <si>
    <t>10697920</t>
  </si>
  <si>
    <t>Passed</t>
  </si>
  <si>
    <t>Louvenia</t>
  </si>
  <si>
    <t>Bernhard</t>
  </si>
  <si>
    <t>Auto 62715805</t>
  </si>
  <si>
    <t>Team Manager - Retail_NEW</t>
  </si>
  <si>
    <t>Belgium Retail - Team Manager</t>
  </si>
  <si>
    <t>Team Manager</t>
  </si>
  <si>
    <t>Test5</t>
  </si>
  <si>
    <t>Test failed for 'Violette Medhurst' Employee: undefined&amp; find failed Screenshot Path:-&gt;H:\WorkdaySuite_Playwright_latestcode/WorkdayFailedScreenshot/2025-03-18T14-47-49-019Z.png</t>
  </si>
  <si>
    <t>Violette</t>
  </si>
  <si>
    <t>Medhurst</t>
  </si>
  <si>
    <t>Intern</t>
  </si>
  <si>
    <t>06 Menswear</t>
  </si>
  <si>
    <t>Variable | 30 | A30</t>
  </si>
  <si>
    <t>Test6</t>
  </si>
  <si>
    <t xml:space="preserve">Test failed for 'Angelita Grimes' Employee:{10697923}TimeoutError: locator.click: Timeout 30000ms exceeded.
Call log:
  [2m- waiting for getByRole('button', { name: 'Approve' })[22m
</t>
  </si>
  <si>
    <t>Angelita</t>
  </si>
  <si>
    <t>Grimes</t>
  </si>
  <si>
    <t>Auto 3800979</t>
  </si>
  <si>
    <t>Department Manager_NEW</t>
  </si>
  <si>
    <t>Belgium Retail - Dpt. Manager</t>
  </si>
  <si>
    <t>Department Manager</t>
  </si>
  <si>
    <t>Test7</t>
  </si>
  <si>
    <t>Melissa</t>
  </si>
  <si>
    <t>Yundt</t>
  </si>
  <si>
    <t>Auto 51742445</t>
  </si>
  <si>
    <t>Assistant Store Manager_NEW</t>
  </si>
  <si>
    <t>Belgium Retail - Assistant Manager</t>
  </si>
  <si>
    <t>Assistant Manager</t>
  </si>
  <si>
    <t>Test8</t>
  </si>
  <si>
    <t xml:space="preserve">Test failed for 'Elinor Cruickshank' Employee:{10697931}TimeoutError: locator.click: Timeout 30000ms exceeded.
Call log:
  [2m- waiting for locator('xpath=(//*[@data-automation-id=\'pex-search-result-header\']//a[contains(text(),\'10697931\')])[1]')[22m
[2m  -   locator resolved to &lt;a data-uxi-rank="0" class="pexsearch-11mf54b" data…&gt;Elinor Cruickshank (10697931)&lt;/a&gt;[22m
[2m  - attempting click action[22m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#58[22m
[2m  -   waiting 500ms[22m
</t>
  </si>
  <si>
    <t>Elinor</t>
  </si>
  <si>
    <t>Cruickshank</t>
  </si>
  <si>
    <t>Auto 23053516</t>
  </si>
  <si>
    <t>Visual Merchandising Manager_NEW</t>
  </si>
  <si>
    <t>Belgium Retail - VM (entry / junior (after 3 months) / experienced)</t>
  </si>
  <si>
    <t>VM (Entry)</t>
  </si>
  <si>
    <t>Test9</t>
  </si>
  <si>
    <t>Eliane</t>
  </si>
  <si>
    <t>Osinski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</si>
  <si>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</si>
  <si>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</si>
  <si>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</si>
  <si>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</si>
  <si>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</si>
  <si>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</si>
  <si>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Avery</t>
  </si>
  <si>
    <t>Stracke</t>
  </si>
  <si>
    <t>Retail Assistant Cash Office_NEW</t>
  </si>
  <si>
    <t>258 Cash Office</t>
  </si>
  <si>
    <t>Belgium Category III - Experience 10</t>
  </si>
  <si>
    <t>CAT III 3 Year Seniority</t>
  </si>
  <si>
    <t>Test11</t>
  </si>
  <si>
    <t>Adolf</t>
  </si>
  <si>
    <t>Beer</t>
  </si>
  <si>
    <t>Supervisor_NEW</t>
  </si>
  <si>
    <t>253 Supervisors</t>
  </si>
  <si>
    <t>Variable | 28 | A28</t>
  </si>
  <si>
    <t>Test12</t>
  </si>
  <si>
    <t>Otilia</t>
  </si>
  <si>
    <t>Stroman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</si>
  <si>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</si>
  <si>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</si>
  <si>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</si>
  <si>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</si>
  <si>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</si>
  <si>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Pearl</t>
  </si>
  <si>
    <t>Bailey</t>
  </si>
  <si>
    <t>Supervisor Stockroom_NEW</t>
  </si>
  <si>
    <t>255 Stockroom</t>
  </si>
  <si>
    <t>Variable | 20 | A20/4</t>
  </si>
  <si>
    <t>Test14</t>
  </si>
  <si>
    <t>Leon</t>
  </si>
  <si>
    <t>Bashirian</t>
  </si>
  <si>
    <t>Belgium Retail - P&amp;C Assistant (entry, 1st increase, good experience)</t>
  </si>
  <si>
    <t>P&amp;C Assistant (entry)</t>
  </si>
  <si>
    <t>Test15</t>
  </si>
  <si>
    <t>Lukas</t>
  </si>
  <si>
    <t>Crist</t>
  </si>
  <si>
    <t>Auto 78002665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</si>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</sst>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4" borderId="5" xfId="0" applyFill="1" applyBorder="1" applyAlignment="1" applyProtection="1">
      <alignment horizontal="left"/>
      <protection locked="0"/>
    </xf>
    <xf numFmtId="0" fontId="0" fillId="0" borderId="7" xfId="0" applyBorder="1"/>
    <xf numFmtId="0" fontId="0" fillId="0" borderId="8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6"/>
  <sheetViews>
    <sheetView tabSelected="1" zoomScale="115" zoomScaleNormal="115" workbookViewId="0">
      <selection activeCell="D9" sqref="D9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39" width="22.453125" style="1" customWidth="1"/>
    <col min="40" max="40" width="24.6328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spans="1:68" ht="15.65" customHeight="1" x14ac:dyDescent="0.3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ca="1" si="0">TODAY()-31</f>
        <v>45704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ca="1" si="1">L2</f>
        <v>45704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29">
        <f t="array" aca="1" ref="AN2:AN16" ca="1">_xlfn.RANDARRAY(15,1,12345678901,99999999999,TRUE)</f>
        <v>74415766585</v>
      </c>
      <c r="AO2" s="14" t="s">
        <v>93</v>
      </c>
      <c r="AP2" s="20" t="s">
        <v>94</v>
      </c>
      <c r="AQ2" s="20" t="s">
        <v>95</v>
      </c>
      <c r="AR2" s="19" t="str">
        <f>AH2</f>
        <v>N/A</v>
      </c>
      <c r="AS2" t="s">
        <v>96</v>
      </c>
      <c r="AT2" s="30">
        <v>35591</v>
      </c>
      <c r="AU2" s="31" t="s">
        <v>69</v>
      </c>
      <c r="AV2" s="28" t="s">
        <v>77</v>
      </c>
      <c r="AW2" s="31" t="s">
        <v>76</v>
      </c>
      <c r="AX2" s="31" t="s">
        <v>97</v>
      </c>
      <c r="AY2" s="32" t="s">
        <v>98</v>
      </c>
      <c r="AZ2" s="31" t="s">
        <v>99</v>
      </c>
      <c r="BA2" s="31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29" t="s">
        <v>104</v>
      </c>
      <c r="BG2" s="28" t="s">
        <v>105</v>
      </c>
      <c r="BH2" s="28" t="s">
        <v>106</v>
      </c>
      <c r="BI2" s="28" t="s">
        <v>107</v>
      </c>
      <c r="BJ2" s="31" t="s">
        <v>108</v>
      </c>
      <c r="BK2" s="31" t="s">
        <v>109</v>
      </c>
      <c r="BL2" s="31" t="s">
        <v>110</v>
      </c>
      <c r="BM2" s="31" t="s">
        <v>111</v>
      </c>
      <c r="BN2" s="31" t="s">
        <v>112</v>
      </c>
      <c r="BO2" s="18" t="s">
        <v>113</v>
      </c>
      <c r="BP2" s="33" t="s">
        <v>114</v>
      </c>
    </row>
    <row r="3" spans="1:68" ht="15.65" customHeight="1" x14ac:dyDescent="0.3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:L16" ca="1" si="2">TODAY()-31</f>
        <v>45704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:W16" ca="1" si="3">L3</f>
        <v>45704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 ca="1">TODAY()+365</f>
        <v>46100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29">
        <f ca="1"/>
        <v>64966629264</v>
      </c>
      <c r="AO3" s="14" t="s">
        <v>93</v>
      </c>
      <c r="AP3" s="20" t="s">
        <v>122</v>
      </c>
      <c r="AQ3" s="20" t="s">
        <v>95</v>
      </c>
      <c r="AR3" s="19">
        <f t="shared" ref="AR3:AR16" ca="1" si="4">AH3</f>
        <v>46100</v>
      </c>
      <c r="AS3" t="s">
        <v>126</v>
      </c>
      <c r="AT3" s="30">
        <v>35591</v>
      </c>
      <c r="AU3" s="31" t="s">
        <v>69</v>
      </c>
      <c r="AV3" s="28" t="s">
        <v>77</v>
      </c>
      <c r="AW3" s="31" t="s">
        <v>76</v>
      </c>
      <c r="AX3" s="31" t="s">
        <v>97</v>
      </c>
      <c r="AY3" s="32" t="s">
        <v>98</v>
      </c>
      <c r="AZ3" s="31" t="s">
        <v>99</v>
      </c>
      <c r="BA3" s="31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29" t="s">
        <v>104</v>
      </c>
      <c r="BG3" s="28" t="s">
        <v>105</v>
      </c>
      <c r="BH3" s="28" t="s">
        <v>106</v>
      </c>
      <c r="BI3" s="28" t="s">
        <v>107</v>
      </c>
      <c r="BJ3" s="31" t="s">
        <v>129</v>
      </c>
      <c r="BK3" s="31" t="s">
        <v>130</v>
      </c>
      <c r="BL3" s="31" t="s">
        <v>110</v>
      </c>
      <c r="BM3" s="31" t="s">
        <v>111</v>
      </c>
      <c r="BN3" s="31" t="s">
        <v>112</v>
      </c>
      <c r="BO3" s="18" t="s">
        <v>113</v>
      </c>
      <c r="BP3" s="33" t="s">
        <v>114</v>
      </c>
    </row>
    <row r="4" spans="1:68" ht="15.65" customHeight="1" x14ac:dyDescent="0.35">
      <c r="A4" s="1" t="s">
        <v>131</v>
      </c>
      <c r="C4" s="12"/>
      <c r="D4" s="13" t="s">
        <v>68</v>
      </c>
      <c r="E4" s="14" t="s">
        <v>69</v>
      </c>
      <c r="F4" s="15" t="s">
        <v>70</v>
      </c>
      <c r="G4" s="16" t="s">
        <v>132</v>
      </c>
      <c r="H4" s="17" t="s">
        <v>133</v>
      </c>
      <c r="I4" s="18">
        <v>25041111</v>
      </c>
      <c r="J4" s="18" t="s">
        <v>73</v>
      </c>
      <c r="K4" s="18" t="s">
        <v>74</v>
      </c>
      <c r="L4" s="19">
        <f t="shared" ca="1" si="2"/>
        <v>45704</v>
      </c>
      <c r="M4" s="14" t="s">
        <v>69</v>
      </c>
      <c r="N4" s="20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1" t="s">
        <v>78</v>
      </c>
      <c r="U4" s="22" t="s">
        <v>79</v>
      </c>
      <c r="V4" s="18" t="s">
        <v>74</v>
      </c>
      <c r="W4" s="23">
        <f t="shared" ca="1" si="3"/>
        <v>45704</v>
      </c>
      <c r="X4" s="18" t="s">
        <v>80</v>
      </c>
      <c r="Y4" s="24" t="s">
        <v>81</v>
      </c>
      <c r="Z4" t="s">
        <v>82</v>
      </c>
      <c r="AA4" s="25" t="s">
        <v>134</v>
      </c>
      <c r="AB4" t="s">
        <v>135</v>
      </c>
      <c r="AC4" s="1" t="s">
        <v>85</v>
      </c>
      <c r="AD4" s="1" t="s">
        <v>52</v>
      </c>
      <c r="AE4" s="26">
        <v>20</v>
      </c>
      <c r="AF4" s="14" t="s">
        <v>86</v>
      </c>
      <c r="AG4" t="s">
        <v>87</v>
      </c>
      <c r="AH4" s="19" t="s">
        <v>88</v>
      </c>
      <c r="AI4" s="18" t="s">
        <v>89</v>
      </c>
      <c r="AJ4" s="18" t="s">
        <v>90</v>
      </c>
      <c r="AK4" t="s">
        <v>136</v>
      </c>
      <c r="AL4" s="28" t="s">
        <v>69</v>
      </c>
      <c r="AM4" s="28" t="s">
        <v>92</v>
      </c>
      <c r="AN4" s="29">
        <f ca="1"/>
        <v>95182528772</v>
      </c>
      <c r="AO4" s="14" t="s">
        <v>93</v>
      </c>
      <c r="AP4" s="20" t="s">
        <v>94</v>
      </c>
      <c r="AQ4" s="20" t="s">
        <v>95</v>
      </c>
      <c r="AR4" s="19" t="str">
        <f t="shared" si="4"/>
        <v>N/A</v>
      </c>
      <c r="AS4" t="s">
        <v>96</v>
      </c>
      <c r="AT4" s="30">
        <v>35591</v>
      </c>
      <c r="AU4" s="31" t="s">
        <v>69</v>
      </c>
      <c r="AV4" s="28" t="s">
        <v>77</v>
      </c>
      <c r="AW4" s="31" t="s">
        <v>76</v>
      </c>
      <c r="AX4" s="31" t="s">
        <v>97</v>
      </c>
      <c r="AY4" s="32" t="s">
        <v>98</v>
      </c>
      <c r="AZ4" s="31" t="s">
        <v>99</v>
      </c>
      <c r="BA4" s="31" t="s">
        <v>69</v>
      </c>
      <c r="BB4" t="s">
        <v>88</v>
      </c>
      <c r="BC4" t="s">
        <v>88</v>
      </c>
      <c r="BD4" s="14" t="s">
        <v>102</v>
      </c>
      <c r="BE4" s="28" t="s">
        <v>103</v>
      </c>
      <c r="BF4" s="29" t="s">
        <v>104</v>
      </c>
      <c r="BG4" s="28" t="s">
        <v>105</v>
      </c>
      <c r="BH4" s="28" t="s">
        <v>106</v>
      </c>
      <c r="BI4" s="28" t="s">
        <v>107</v>
      </c>
      <c r="BJ4" s="31" t="s">
        <v>129</v>
      </c>
      <c r="BK4" s="31" t="s">
        <v>130</v>
      </c>
      <c r="BL4" s="31" t="s">
        <v>110</v>
      </c>
      <c r="BM4" s="31" t="s">
        <v>111</v>
      </c>
      <c r="BN4" s="31" t="s">
        <v>112</v>
      </c>
      <c r="BO4" s="18" t="s">
        <v>113</v>
      </c>
      <c r="BP4" s="33" t="s">
        <v>137</v>
      </c>
    </row>
    <row r="5" spans="1:68" ht="15.65" customHeight="1" x14ac:dyDescent="0.35">
      <c r="A5" s="1" t="s">
        <v>138</v>
      </c>
      <c r="B5" s="1" t="s">
        <v>139</v>
      </c>
      <c r="C5" s="12" t="s">
        <v>140</v>
      </c>
      <c r="D5" s="13" t="s">
        <v>117</v>
      </c>
      <c r="E5" s="14" t="s">
        <v>69</v>
      </c>
      <c r="F5" s="15" t="s">
        <v>118</v>
      </c>
      <c r="G5" s="16" t="s">
        <v>141</v>
      </c>
      <c r="H5" s="17" t="s">
        <v>142</v>
      </c>
      <c r="I5" s="18">
        <v>25041111</v>
      </c>
      <c r="J5" s="18" t="s">
        <v>73</v>
      </c>
      <c r="K5" s="18" t="s">
        <v>74</v>
      </c>
      <c r="L5" s="19">
        <f t="shared" ca="1" si="2"/>
        <v>45704</v>
      </c>
      <c r="M5" s="14" t="s">
        <v>69</v>
      </c>
      <c r="N5" s="20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1" t="s">
        <v>78</v>
      </c>
      <c r="U5" s="22" t="s">
        <v>79</v>
      </c>
      <c r="V5" s="18" t="s">
        <v>74</v>
      </c>
      <c r="W5" s="23">
        <f t="shared" ca="1" si="3"/>
        <v>45704</v>
      </c>
      <c r="X5" s="18" t="s">
        <v>80</v>
      </c>
      <c r="Y5" s="24" t="s">
        <v>143</v>
      </c>
      <c r="Z5" t="s">
        <v>82</v>
      </c>
      <c r="AA5" s="25" t="s">
        <v>144</v>
      </c>
      <c r="AB5" t="s">
        <v>84</v>
      </c>
      <c r="AC5" s="1" t="s">
        <v>85</v>
      </c>
      <c r="AD5" s="1" t="s">
        <v>52</v>
      </c>
      <c r="AE5" s="26">
        <v>35</v>
      </c>
      <c r="AF5" s="14" t="s">
        <v>124</v>
      </c>
      <c r="AG5" t="s">
        <v>87</v>
      </c>
      <c r="AH5" s="19" t="s">
        <v>88</v>
      </c>
      <c r="AI5" s="18" t="s">
        <v>89</v>
      </c>
      <c r="AJ5" s="18" t="s">
        <v>125</v>
      </c>
      <c r="AK5" s="1">
        <v>251</v>
      </c>
      <c r="AL5" s="28" t="s">
        <v>69</v>
      </c>
      <c r="AM5" s="28" t="s">
        <v>92</v>
      </c>
      <c r="AN5" s="29">
        <f ca="1"/>
        <v>28666154230</v>
      </c>
      <c r="AO5" s="14" t="s">
        <v>93</v>
      </c>
      <c r="AP5" s="20" t="s">
        <v>94</v>
      </c>
      <c r="AQ5" s="20" t="s">
        <v>95</v>
      </c>
      <c r="AR5" s="19" t="str">
        <f t="shared" si="4"/>
        <v>N/A</v>
      </c>
      <c r="AS5" t="s">
        <v>126</v>
      </c>
      <c r="AT5" s="30">
        <v>35591</v>
      </c>
      <c r="AU5" s="31" t="s">
        <v>69</v>
      </c>
      <c r="AV5" s="28" t="s">
        <v>77</v>
      </c>
      <c r="AW5" s="31" t="s">
        <v>76</v>
      </c>
      <c r="AX5" s="31" t="s">
        <v>97</v>
      </c>
      <c r="AY5" s="32" t="s">
        <v>98</v>
      </c>
      <c r="AZ5" s="31" t="s">
        <v>99</v>
      </c>
      <c r="BA5" s="31" t="s">
        <v>69</v>
      </c>
      <c r="BB5" s="34" t="s">
        <v>145</v>
      </c>
      <c r="BC5" t="s">
        <v>146</v>
      </c>
      <c r="BD5" s="14" t="s">
        <v>102</v>
      </c>
      <c r="BE5" s="28" t="s">
        <v>103</v>
      </c>
      <c r="BF5" s="29" t="s">
        <v>104</v>
      </c>
      <c r="BG5" s="28" t="s">
        <v>105</v>
      </c>
      <c r="BH5" s="28" t="s">
        <v>106</v>
      </c>
      <c r="BI5" s="28" t="s">
        <v>107</v>
      </c>
      <c r="BJ5" s="31" t="s">
        <v>129</v>
      </c>
      <c r="BK5" s="31" t="s">
        <v>130</v>
      </c>
      <c r="BL5" s="31" t="s">
        <v>110</v>
      </c>
      <c r="BM5" s="31" t="s">
        <v>111</v>
      </c>
      <c r="BN5" s="31" t="s">
        <v>112</v>
      </c>
      <c r="BO5" s="18" t="s">
        <v>113</v>
      </c>
      <c r="BP5" s="33" t="s">
        <v>114</v>
      </c>
    </row>
    <row r="6" spans="1:68" ht="15.65" customHeight="1" x14ac:dyDescent="0.35">
      <c r="A6" s="1" t="s">
        <v>147</v>
      </c>
      <c r="B6" s="1" t="s">
        <v>148</v>
      </c>
      <c r="C6" s="12" t="s">
        <v>67</v>
      </c>
      <c r="D6" s="13" t="s">
        <v>68</v>
      </c>
      <c r="E6" s="14" t="s">
        <v>69</v>
      </c>
      <c r="F6" s="15" t="s">
        <v>70</v>
      </c>
      <c r="G6" s="16" t="s">
        <v>149</v>
      </c>
      <c r="H6" s="17" t="s">
        <v>150</v>
      </c>
      <c r="I6" s="18">
        <v>25041111</v>
      </c>
      <c r="J6" s="18" t="s">
        <v>73</v>
      </c>
      <c r="K6" s="18" t="s">
        <v>74</v>
      </c>
      <c r="L6" s="19">
        <f t="shared" ca="1" si="2"/>
        <v>45704</v>
      </c>
      <c r="M6" s="14" t="s">
        <v>69</v>
      </c>
      <c r="N6" s="20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1" t="s">
        <v>78</v>
      </c>
      <c r="U6" s="22" t="s">
        <v>79</v>
      </c>
      <c r="V6" s="18" t="s">
        <v>74</v>
      </c>
      <c r="W6" s="23">
        <f t="shared" ca="1" si="3"/>
        <v>45704</v>
      </c>
      <c r="X6" s="18" t="s">
        <v>80</v>
      </c>
      <c r="Y6" s="35" t="s">
        <v>81</v>
      </c>
      <c r="Z6" t="s">
        <v>151</v>
      </c>
      <c r="AA6" s="25" t="s">
        <v>83</v>
      </c>
      <c r="AB6" t="s">
        <v>135</v>
      </c>
      <c r="AC6" s="1" t="s">
        <v>85</v>
      </c>
      <c r="AD6" s="1" t="s">
        <v>52</v>
      </c>
      <c r="AE6" s="26">
        <v>30</v>
      </c>
      <c r="AF6" s="14" t="s">
        <v>86</v>
      </c>
      <c r="AG6" t="s">
        <v>87</v>
      </c>
      <c r="AH6" s="19">
        <f ca="1">TODAY()+365</f>
        <v>46100</v>
      </c>
      <c r="AI6" s="18" t="s">
        <v>89</v>
      </c>
      <c r="AJ6" s="18" t="s">
        <v>90</v>
      </c>
      <c r="AK6" t="s">
        <v>152</v>
      </c>
      <c r="AL6" s="28" t="s">
        <v>69</v>
      </c>
      <c r="AM6" s="28" t="s">
        <v>92</v>
      </c>
      <c r="AN6" s="29">
        <f ca="1"/>
        <v>27176082664</v>
      </c>
      <c r="AO6" s="14" t="s">
        <v>93</v>
      </c>
      <c r="AP6" s="20" t="s">
        <v>122</v>
      </c>
      <c r="AQ6" s="20" t="s">
        <v>95</v>
      </c>
      <c r="AR6" s="19">
        <f t="shared" ca="1" si="4"/>
        <v>46100</v>
      </c>
      <c r="AS6" t="s">
        <v>96</v>
      </c>
      <c r="AT6" s="30">
        <v>35591</v>
      </c>
      <c r="AU6" s="31" t="s">
        <v>69</v>
      </c>
      <c r="AV6" s="28" t="s">
        <v>77</v>
      </c>
      <c r="AW6" s="31" t="s">
        <v>76</v>
      </c>
      <c r="AX6" s="31" t="s">
        <v>97</v>
      </c>
      <c r="AY6" s="32" t="s">
        <v>98</v>
      </c>
      <c r="AZ6" s="31" t="s">
        <v>99</v>
      </c>
      <c r="BA6" s="31" t="s">
        <v>69</v>
      </c>
      <c r="BB6" t="s">
        <v>100</v>
      </c>
      <c r="BC6" t="s">
        <v>101</v>
      </c>
      <c r="BD6" s="14" t="s">
        <v>102</v>
      </c>
      <c r="BE6" s="28" t="s">
        <v>103</v>
      </c>
      <c r="BF6" s="29" t="s">
        <v>104</v>
      </c>
      <c r="BG6" s="28" t="s">
        <v>105</v>
      </c>
      <c r="BH6" s="28" t="s">
        <v>106</v>
      </c>
      <c r="BI6" s="28" t="s">
        <v>107</v>
      </c>
      <c r="BJ6" s="31" t="s">
        <v>129</v>
      </c>
      <c r="BK6" s="31" t="s">
        <v>130</v>
      </c>
      <c r="BL6" s="31" t="s">
        <v>110</v>
      </c>
      <c r="BM6" s="31" t="s">
        <v>111</v>
      </c>
      <c r="BN6" s="31" t="s">
        <v>112</v>
      </c>
      <c r="BO6" s="18" t="s">
        <v>113</v>
      </c>
      <c r="BP6" s="33" t="s">
        <v>153</v>
      </c>
    </row>
    <row r="7" spans="1:68" ht="15.65" customHeight="1" x14ac:dyDescent="0.35">
      <c r="A7" s="1" t="s">
        <v>154</v>
      </c>
      <c r="B7" s="1" t="s">
        <v>155</v>
      </c>
      <c r="C7" s="12" t="s">
        <v>67</v>
      </c>
      <c r="D7" s="13" t="s">
        <v>117</v>
      </c>
      <c r="E7" s="14" t="s">
        <v>69</v>
      </c>
      <c r="F7" s="15" t="s">
        <v>70</v>
      </c>
      <c r="G7" s="16" t="s">
        <v>156</v>
      </c>
      <c r="H7" s="17" t="s">
        <v>157</v>
      </c>
      <c r="I7" s="18">
        <v>25041111</v>
      </c>
      <c r="J7" s="18" t="s">
        <v>73</v>
      </c>
      <c r="K7" s="18" t="s">
        <v>74</v>
      </c>
      <c r="L7" s="19">
        <f t="shared" ca="1" si="2"/>
        <v>45704</v>
      </c>
      <c r="M7" s="14" t="s">
        <v>69</v>
      </c>
      <c r="N7" s="20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1" t="s">
        <v>78</v>
      </c>
      <c r="U7" s="22" t="s">
        <v>79</v>
      </c>
      <c r="V7" s="18" t="s">
        <v>74</v>
      </c>
      <c r="W7" s="23">
        <f t="shared" ca="1" si="3"/>
        <v>45704</v>
      </c>
      <c r="X7" s="18" t="s">
        <v>80</v>
      </c>
      <c r="Y7" s="24" t="s">
        <v>158</v>
      </c>
      <c r="Z7" s="36" t="s">
        <v>82</v>
      </c>
      <c r="AA7" s="25" t="s">
        <v>159</v>
      </c>
      <c r="AB7" s="37" t="s">
        <v>135</v>
      </c>
      <c r="AC7" s="1" t="s">
        <v>85</v>
      </c>
      <c r="AD7" s="1" t="s">
        <v>52</v>
      </c>
      <c r="AE7" s="26">
        <v>30</v>
      </c>
      <c r="AF7" s="14" t="s">
        <v>86</v>
      </c>
      <c r="AG7" t="s">
        <v>87</v>
      </c>
      <c r="AH7" s="19" t="s">
        <v>88</v>
      </c>
      <c r="AI7" s="18" t="s">
        <v>89</v>
      </c>
      <c r="AJ7" s="18" t="s">
        <v>125</v>
      </c>
      <c r="AK7" s="1">
        <v>251</v>
      </c>
      <c r="AL7" s="28" t="s">
        <v>69</v>
      </c>
      <c r="AM7" s="28" t="s">
        <v>92</v>
      </c>
      <c r="AN7" s="29">
        <f ca="1"/>
        <v>60539593966</v>
      </c>
      <c r="AO7" s="14" t="s">
        <v>93</v>
      </c>
      <c r="AP7" s="20" t="s">
        <v>94</v>
      </c>
      <c r="AQ7" s="20" t="s">
        <v>95</v>
      </c>
      <c r="AR7" s="19" t="str">
        <f t="shared" si="4"/>
        <v>N/A</v>
      </c>
      <c r="AS7" t="s">
        <v>96</v>
      </c>
      <c r="AT7" s="30">
        <v>35591</v>
      </c>
      <c r="AU7" s="31" t="s">
        <v>69</v>
      </c>
      <c r="AV7" s="28" t="s">
        <v>77</v>
      </c>
      <c r="AW7" s="31" t="s">
        <v>76</v>
      </c>
      <c r="AX7" s="31" t="s">
        <v>97</v>
      </c>
      <c r="AY7" s="32" t="s">
        <v>98</v>
      </c>
      <c r="AZ7" s="31" t="s">
        <v>99</v>
      </c>
      <c r="BA7" s="31" t="s">
        <v>69</v>
      </c>
      <c r="BB7" t="s">
        <v>160</v>
      </c>
      <c r="BC7" t="s">
        <v>161</v>
      </c>
      <c r="BD7" s="14" t="s">
        <v>102</v>
      </c>
      <c r="BE7" s="28" t="s">
        <v>103</v>
      </c>
      <c r="BF7" s="29" t="s">
        <v>104</v>
      </c>
      <c r="BG7" s="28" t="s">
        <v>105</v>
      </c>
      <c r="BH7" s="28" t="s">
        <v>106</v>
      </c>
      <c r="BI7" s="28" t="s">
        <v>107</v>
      </c>
      <c r="BJ7" s="31" t="s">
        <v>129</v>
      </c>
      <c r="BK7" s="31" t="s">
        <v>130</v>
      </c>
      <c r="BL7" s="31" t="s">
        <v>110</v>
      </c>
      <c r="BM7" s="31" t="s">
        <v>111</v>
      </c>
      <c r="BN7" s="31" t="s">
        <v>112</v>
      </c>
      <c r="BO7" s="18" t="s">
        <v>113</v>
      </c>
      <c r="BP7" s="33" t="s">
        <v>153</v>
      </c>
    </row>
    <row r="8" spans="1:68" ht="15.65" customHeight="1" x14ac:dyDescent="0.35">
      <c r="A8" s="1" t="s">
        <v>162</v>
      </c>
      <c r="C8" s="12"/>
      <c r="D8" s="13" t="s">
        <v>117</v>
      </c>
      <c r="E8" s="14" t="s">
        <v>69</v>
      </c>
      <c r="F8" s="15" t="s">
        <v>70</v>
      </c>
      <c r="G8" s="16" t="s">
        <v>163</v>
      </c>
      <c r="H8" s="17" t="s">
        <v>164</v>
      </c>
      <c r="I8" s="18">
        <v>25041111</v>
      </c>
      <c r="J8" s="18" t="s">
        <v>73</v>
      </c>
      <c r="K8" s="18" t="s">
        <v>74</v>
      </c>
      <c r="L8" s="19">
        <f t="shared" ca="1" si="2"/>
        <v>45704</v>
      </c>
      <c r="M8" s="14" t="s">
        <v>69</v>
      </c>
      <c r="N8" s="20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1" t="s">
        <v>78</v>
      </c>
      <c r="U8" s="22" t="s">
        <v>79</v>
      </c>
      <c r="V8" s="18" t="s">
        <v>74</v>
      </c>
      <c r="W8" s="23">
        <f t="shared" ca="1" si="3"/>
        <v>45704</v>
      </c>
      <c r="X8" s="18" t="s">
        <v>80</v>
      </c>
      <c r="Y8" s="24" t="s">
        <v>165</v>
      </c>
      <c r="Z8" s="36" t="s">
        <v>122</v>
      </c>
      <c r="AA8" s="25" t="s">
        <v>166</v>
      </c>
      <c r="AB8" s="37" t="s">
        <v>84</v>
      </c>
      <c r="AC8" s="1" t="s">
        <v>85</v>
      </c>
      <c r="AD8" s="1" t="s">
        <v>52</v>
      </c>
      <c r="AE8" s="26">
        <v>35</v>
      </c>
      <c r="AF8" s="14" t="s">
        <v>86</v>
      </c>
      <c r="AG8" t="s">
        <v>87</v>
      </c>
      <c r="AH8" s="19">
        <f ca="1">TODAY()+365</f>
        <v>46100</v>
      </c>
      <c r="AI8" s="18" t="s">
        <v>89</v>
      </c>
      <c r="AJ8" s="18" t="s">
        <v>125</v>
      </c>
      <c r="AK8" s="1">
        <v>251</v>
      </c>
      <c r="AL8" s="28" t="s">
        <v>69</v>
      </c>
      <c r="AM8" s="28" t="s">
        <v>92</v>
      </c>
      <c r="AN8" s="29">
        <f ca="1"/>
        <v>58481955591</v>
      </c>
      <c r="AO8" s="14" t="s">
        <v>93</v>
      </c>
      <c r="AP8" s="20" t="s">
        <v>122</v>
      </c>
      <c r="AQ8" s="20" t="s">
        <v>95</v>
      </c>
      <c r="AR8" s="19">
        <f t="shared" ca="1" si="4"/>
        <v>46100</v>
      </c>
      <c r="AS8" t="s">
        <v>96</v>
      </c>
      <c r="AT8" s="30">
        <v>35591</v>
      </c>
      <c r="AU8" s="31" t="s">
        <v>69</v>
      </c>
      <c r="AV8" s="28" t="s">
        <v>77</v>
      </c>
      <c r="AW8" s="31" t="s">
        <v>76</v>
      </c>
      <c r="AX8" s="31" t="s">
        <v>97</v>
      </c>
      <c r="AY8" s="32" t="s">
        <v>98</v>
      </c>
      <c r="AZ8" s="31" t="s">
        <v>99</v>
      </c>
      <c r="BA8" s="31" t="s">
        <v>69</v>
      </c>
      <c r="BB8" t="s">
        <v>167</v>
      </c>
      <c r="BC8" t="s">
        <v>168</v>
      </c>
      <c r="BD8" s="14" t="s">
        <v>102</v>
      </c>
      <c r="BE8" s="28" t="s">
        <v>103</v>
      </c>
      <c r="BF8" s="29" t="s">
        <v>104</v>
      </c>
      <c r="BG8" s="28" t="s">
        <v>105</v>
      </c>
      <c r="BH8" s="28" t="s">
        <v>106</v>
      </c>
      <c r="BI8" s="28" t="s">
        <v>107</v>
      </c>
      <c r="BJ8" s="31" t="s">
        <v>129</v>
      </c>
      <c r="BK8" s="31" t="s">
        <v>130</v>
      </c>
      <c r="BL8" s="31" t="s">
        <v>110</v>
      </c>
      <c r="BM8" s="31" t="s">
        <v>111</v>
      </c>
      <c r="BN8" s="31" t="s">
        <v>112</v>
      </c>
      <c r="BO8" s="18" t="s">
        <v>113</v>
      </c>
      <c r="BP8" s="33" t="s">
        <v>114</v>
      </c>
    </row>
    <row r="9" spans="1:68" ht="15.65" customHeight="1" x14ac:dyDescent="0.35">
      <c r="A9" s="1" t="s">
        <v>169</v>
      </c>
      <c r="B9" s="1" t="s">
        <v>170</v>
      </c>
      <c r="C9" s="12" t="s">
        <v>67</v>
      </c>
      <c r="D9" s="13" t="s">
        <v>117</v>
      </c>
      <c r="E9" s="14" t="s">
        <v>69</v>
      </c>
      <c r="F9" s="15" t="s">
        <v>70</v>
      </c>
      <c r="G9" s="16" t="s">
        <v>171</v>
      </c>
      <c r="H9" s="17" t="s">
        <v>172</v>
      </c>
      <c r="I9" s="18">
        <v>25041111</v>
      </c>
      <c r="J9" s="18" t="s">
        <v>73</v>
      </c>
      <c r="K9" s="18" t="s">
        <v>74</v>
      </c>
      <c r="L9" s="19">
        <f t="shared" ca="1" si="2"/>
        <v>45704</v>
      </c>
      <c r="M9" s="14" t="s">
        <v>69</v>
      </c>
      <c r="N9" s="20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1" t="s">
        <v>78</v>
      </c>
      <c r="U9" s="22" t="s">
        <v>79</v>
      </c>
      <c r="V9" s="18" t="s">
        <v>74</v>
      </c>
      <c r="W9" s="23">
        <f t="shared" ca="1" si="3"/>
        <v>45704</v>
      </c>
      <c r="X9" s="18" t="s">
        <v>80</v>
      </c>
      <c r="Y9" s="24" t="s">
        <v>173</v>
      </c>
      <c r="Z9" s="36" t="s">
        <v>82</v>
      </c>
      <c r="AA9" s="25" t="s">
        <v>174</v>
      </c>
      <c r="AB9" s="37" t="s">
        <v>135</v>
      </c>
      <c r="AC9" s="1" t="s">
        <v>85</v>
      </c>
      <c r="AD9" s="1" t="s">
        <v>52</v>
      </c>
      <c r="AE9" s="26">
        <v>20</v>
      </c>
      <c r="AF9" s="14" t="s">
        <v>86</v>
      </c>
      <c r="AG9" t="s">
        <v>87</v>
      </c>
      <c r="AH9" s="19" t="s">
        <v>88</v>
      </c>
      <c r="AI9" s="18" t="s">
        <v>89</v>
      </c>
      <c r="AJ9" s="18" t="s">
        <v>125</v>
      </c>
      <c r="AK9" s="1">
        <v>251</v>
      </c>
      <c r="AL9" s="28" t="s">
        <v>69</v>
      </c>
      <c r="AM9" s="28" t="s">
        <v>92</v>
      </c>
      <c r="AN9" s="29">
        <f ca="1"/>
        <v>59981468405</v>
      </c>
      <c r="AO9" s="14" t="s">
        <v>93</v>
      </c>
      <c r="AP9" s="20" t="s">
        <v>94</v>
      </c>
      <c r="AQ9" s="20" t="s">
        <v>95</v>
      </c>
      <c r="AR9" s="19" t="str">
        <f t="shared" si="4"/>
        <v>N/A</v>
      </c>
      <c r="AS9" t="s">
        <v>96</v>
      </c>
      <c r="AT9" s="30">
        <v>35591</v>
      </c>
      <c r="AU9" s="31" t="s">
        <v>69</v>
      </c>
      <c r="AV9" s="28" t="s">
        <v>77</v>
      </c>
      <c r="AW9" s="31" t="s">
        <v>76</v>
      </c>
      <c r="AX9" s="31" t="s">
        <v>97</v>
      </c>
      <c r="AY9" s="32" t="s">
        <v>98</v>
      </c>
      <c r="AZ9" s="31" t="s">
        <v>99</v>
      </c>
      <c r="BA9" s="31" t="s">
        <v>69</v>
      </c>
      <c r="BB9" t="s">
        <v>175</v>
      </c>
      <c r="BC9" t="s">
        <v>176</v>
      </c>
      <c r="BD9" s="14" t="s">
        <v>102</v>
      </c>
      <c r="BE9" s="28" t="s">
        <v>103</v>
      </c>
      <c r="BF9" s="29" t="s">
        <v>104</v>
      </c>
      <c r="BG9" s="28" t="s">
        <v>105</v>
      </c>
      <c r="BH9" s="28" t="s">
        <v>106</v>
      </c>
      <c r="BI9" s="28" t="s">
        <v>107</v>
      </c>
      <c r="BJ9" s="31" t="s">
        <v>129</v>
      </c>
      <c r="BK9" s="31" t="s">
        <v>130</v>
      </c>
      <c r="BL9" s="31" t="s">
        <v>110</v>
      </c>
      <c r="BM9" s="31" t="s">
        <v>111</v>
      </c>
      <c r="BN9" s="31" t="s">
        <v>112</v>
      </c>
      <c r="BO9" s="18" t="s">
        <v>113</v>
      </c>
      <c r="BP9" s="33" t="s">
        <v>137</v>
      </c>
    </row>
    <row r="10" spans="1:68" ht="15.65" customHeight="1" x14ac:dyDescent="0.35">
      <c r="A10" s="1" t="s">
        <v>177</v>
      </c>
      <c r="C10" s="12"/>
      <c r="D10" s="13" t="s">
        <v>68</v>
      </c>
      <c r="E10" s="14" t="s">
        <v>69</v>
      </c>
      <c r="F10" s="15" t="s">
        <v>70</v>
      </c>
      <c r="G10" s="16" t="s">
        <v>178</v>
      </c>
      <c r="H10" s="17" t="s">
        <v>179</v>
      </c>
      <c r="I10" s="18">
        <v>25041111</v>
      </c>
      <c r="J10" s="18" t="s">
        <v>73</v>
      </c>
      <c r="K10" s="18" t="s">
        <v>74</v>
      </c>
      <c r="L10" s="19">
        <f t="shared" ca="1" si="2"/>
        <v>45704</v>
      </c>
      <c r="M10" s="14" t="s">
        <v>69</v>
      </c>
      <c r="N10" s="20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1" t="s">
        <v>78</v>
      </c>
      <c r="U10" s="22" t="s">
        <v>79</v>
      </c>
      <c r="V10" s="18" t="s">
        <v>74</v>
      </c>
      <c r="W10" s="23">
        <f t="shared" ca="1" si="3"/>
        <v>45704</v>
      </c>
      <c r="X10" s="18" t="s">
        <v>80</v>
      </c>
      <c r="Y10" s="24" t="s">
        <v>81</v>
      </c>
      <c r="Z10" s="36" t="s">
        <v>180</v>
      </c>
      <c r="AA10" s="25" t="s">
        <v>181</v>
      </c>
      <c r="AB10" s="37" t="s">
        <v>135</v>
      </c>
      <c r="AC10" s="1" t="s">
        <v>85</v>
      </c>
      <c r="AD10" s="1" t="s">
        <v>182</v>
      </c>
      <c r="AE10" s="26">
        <v>10</v>
      </c>
      <c r="AF10" s="14" t="s">
        <v>86</v>
      </c>
      <c r="AG10" t="s">
        <v>87</v>
      </c>
      <c r="AH10" s="19">
        <f ca="1">TODAY()+365</f>
        <v>46100</v>
      </c>
      <c r="AI10" s="18" t="s">
        <v>89</v>
      </c>
      <c r="AJ10" s="18" t="s">
        <v>90</v>
      </c>
      <c r="AK10" t="s">
        <v>183</v>
      </c>
      <c r="AL10" s="28" t="s">
        <v>69</v>
      </c>
      <c r="AM10" s="28" t="s">
        <v>92</v>
      </c>
      <c r="AN10" s="29">
        <f ca="1"/>
        <v>77615119087</v>
      </c>
      <c r="AO10" s="14" t="s">
        <v>93</v>
      </c>
      <c r="AP10" s="20" t="s">
        <v>180</v>
      </c>
      <c r="AQ10" s="20" t="s">
        <v>95</v>
      </c>
      <c r="AR10" s="19">
        <f t="shared" ca="1" si="4"/>
        <v>46100</v>
      </c>
      <c r="AS10" t="s">
        <v>96</v>
      </c>
      <c r="AT10" s="30">
        <v>35591</v>
      </c>
      <c r="AU10" s="31" t="s">
        <v>69</v>
      </c>
      <c r="AV10" s="28" t="s">
        <v>77</v>
      </c>
      <c r="AW10" s="31" t="s">
        <v>76</v>
      </c>
      <c r="AX10" s="31" t="s">
        <v>97</v>
      </c>
      <c r="AY10" s="32" t="s">
        <v>98</v>
      </c>
      <c r="AZ10" s="31" t="s">
        <v>99</v>
      </c>
      <c r="BA10" s="31" t="s">
        <v>69</v>
      </c>
      <c r="BB10" t="s">
        <v>88</v>
      </c>
      <c r="BC10" t="s">
        <v>88</v>
      </c>
      <c r="BD10" s="14" t="s">
        <v>102</v>
      </c>
      <c r="BE10" s="28" t="s">
        <v>103</v>
      </c>
      <c r="BF10" s="29" t="s">
        <v>104</v>
      </c>
      <c r="BG10" s="28" t="s">
        <v>105</v>
      </c>
      <c r="BH10" s="28" t="s">
        <v>106</v>
      </c>
      <c r="BI10" s="28" t="s">
        <v>107</v>
      </c>
      <c r="BJ10" s="31" t="s">
        <v>129</v>
      </c>
      <c r="BK10" s="31" t="s">
        <v>130</v>
      </c>
      <c r="BL10" s="31" t="s">
        <v>110</v>
      </c>
      <c r="BM10" s="31" t="s">
        <v>111</v>
      </c>
      <c r="BN10" s="31" t="s">
        <v>112</v>
      </c>
      <c r="BO10" s="18" t="s">
        <v>113</v>
      </c>
      <c r="BP10" s="38" t="s">
        <v>184</v>
      </c>
    </row>
    <row r="11" spans="1:68" ht="15.65" customHeight="1" x14ac:dyDescent="0.35">
      <c r="A11" s="1" t="s">
        <v>185</v>
      </c>
      <c r="C11" s="12"/>
      <c r="D11" s="13" t="s">
        <v>68</v>
      </c>
      <c r="E11" s="14" t="s">
        <v>69</v>
      </c>
      <c r="F11" s="15" t="s">
        <v>70</v>
      </c>
      <c r="G11" s="16" t="s">
        <v>186</v>
      </c>
      <c r="H11" s="17" t="s">
        <v>187</v>
      </c>
      <c r="I11" s="18">
        <v>25041111</v>
      </c>
      <c r="J11" s="18" t="s">
        <v>73</v>
      </c>
      <c r="K11" s="18" t="s">
        <v>74</v>
      </c>
      <c r="L11" s="19">
        <f t="shared" ca="1" si="2"/>
        <v>45704</v>
      </c>
      <c r="M11" s="14" t="s">
        <v>69</v>
      </c>
      <c r="N11" s="20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1" t="s">
        <v>78</v>
      </c>
      <c r="U11" s="22" t="s">
        <v>79</v>
      </c>
      <c r="V11" s="18" t="s">
        <v>74</v>
      </c>
      <c r="W11" s="23">
        <f t="shared" ca="1" si="3"/>
        <v>45704</v>
      </c>
      <c r="X11" s="18" t="s">
        <v>80</v>
      </c>
      <c r="Y11" s="24" t="s">
        <v>81</v>
      </c>
      <c r="Z11" s="36" t="s">
        <v>82</v>
      </c>
      <c r="AA11" s="25" t="s">
        <v>188</v>
      </c>
      <c r="AB11" s="38" t="s">
        <v>84</v>
      </c>
      <c r="AC11" s="1" t="s">
        <v>85</v>
      </c>
      <c r="AD11" s="1" t="s">
        <v>52</v>
      </c>
      <c r="AE11" s="26">
        <v>35</v>
      </c>
      <c r="AF11" s="14" t="s">
        <v>86</v>
      </c>
      <c r="AG11" t="s">
        <v>87</v>
      </c>
      <c r="AH11" s="19" t="s">
        <v>88</v>
      </c>
      <c r="AI11" s="18" t="s">
        <v>89</v>
      </c>
      <c r="AJ11" s="18" t="s">
        <v>90</v>
      </c>
      <c r="AK11" t="s">
        <v>189</v>
      </c>
      <c r="AL11" s="28" t="s">
        <v>69</v>
      </c>
      <c r="AM11" s="28" t="s">
        <v>92</v>
      </c>
      <c r="AN11" s="29">
        <f ca="1"/>
        <v>65017546092</v>
      </c>
      <c r="AO11" s="14" t="s">
        <v>93</v>
      </c>
      <c r="AP11" s="20" t="s">
        <v>94</v>
      </c>
      <c r="AQ11" s="20" t="s">
        <v>95</v>
      </c>
      <c r="AR11" s="19" t="str">
        <f t="shared" si="4"/>
        <v>N/A</v>
      </c>
      <c r="AS11" t="s">
        <v>96</v>
      </c>
      <c r="AT11" s="30">
        <v>35591</v>
      </c>
      <c r="AU11" s="31" t="s">
        <v>69</v>
      </c>
      <c r="AV11" s="28" t="s">
        <v>77</v>
      </c>
      <c r="AW11" s="31" t="s">
        <v>76</v>
      </c>
      <c r="AX11" s="31" t="s">
        <v>97</v>
      </c>
      <c r="AY11" s="32" t="s">
        <v>98</v>
      </c>
      <c r="AZ11" s="31" t="s">
        <v>99</v>
      </c>
      <c r="BA11" s="31" t="s">
        <v>69</v>
      </c>
      <c r="BB11" t="s">
        <v>190</v>
      </c>
      <c r="BC11" t="s">
        <v>191</v>
      </c>
      <c r="BD11" s="14" t="s">
        <v>102</v>
      </c>
      <c r="BE11" s="28" t="s">
        <v>103</v>
      </c>
      <c r="BF11" s="29" t="s">
        <v>104</v>
      </c>
      <c r="BG11" s="28" t="s">
        <v>105</v>
      </c>
      <c r="BH11" s="28" t="s">
        <v>106</v>
      </c>
      <c r="BI11" s="28" t="s">
        <v>107</v>
      </c>
      <c r="BJ11" s="31" t="s">
        <v>129</v>
      </c>
      <c r="BK11" s="31" t="s">
        <v>130</v>
      </c>
      <c r="BL11" s="31" t="s">
        <v>110</v>
      </c>
      <c r="BM11" s="31" t="s">
        <v>111</v>
      </c>
      <c r="BN11" s="31" t="s">
        <v>112</v>
      </c>
      <c r="BO11" s="18" t="s">
        <v>113</v>
      </c>
      <c r="BP11" s="33" t="s">
        <v>114</v>
      </c>
    </row>
    <row r="12" spans="1:68" ht="15.65" customHeight="1" x14ac:dyDescent="0.35">
      <c r="A12" s="1" t="s">
        <v>192</v>
      </c>
      <c r="C12" s="12"/>
      <c r="D12" s="13" t="s">
        <v>68</v>
      </c>
      <c r="E12" s="14" t="s">
        <v>69</v>
      </c>
      <c r="F12" s="15" t="s">
        <v>70</v>
      </c>
      <c r="G12" s="16" t="s">
        <v>193</v>
      </c>
      <c r="H12" s="17" t="s">
        <v>194</v>
      </c>
      <c r="I12" s="18">
        <v>25041111</v>
      </c>
      <c r="J12" s="18" t="s">
        <v>73</v>
      </c>
      <c r="K12" s="18" t="s">
        <v>74</v>
      </c>
      <c r="L12" s="19">
        <f t="shared" ca="1" si="2"/>
        <v>45704</v>
      </c>
      <c r="M12" s="14" t="s">
        <v>69</v>
      </c>
      <c r="N12" s="20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1" t="s">
        <v>78</v>
      </c>
      <c r="U12" s="22" t="s">
        <v>79</v>
      </c>
      <c r="V12" s="18" t="s">
        <v>74</v>
      </c>
      <c r="W12" s="23">
        <f t="shared" ca="1" si="3"/>
        <v>45704</v>
      </c>
      <c r="X12" s="18" t="s">
        <v>80</v>
      </c>
      <c r="Y12" s="24" t="s">
        <v>81</v>
      </c>
      <c r="Z12" s="36" t="s">
        <v>82</v>
      </c>
      <c r="AA12" s="25" t="s">
        <v>195</v>
      </c>
      <c r="AB12" s="37" t="s">
        <v>135</v>
      </c>
      <c r="AC12" s="1" t="s">
        <v>85</v>
      </c>
      <c r="AD12" s="1" t="s">
        <v>52</v>
      </c>
      <c r="AE12" s="26">
        <v>28</v>
      </c>
      <c r="AF12" s="14" t="s">
        <v>86</v>
      </c>
      <c r="AG12" t="s">
        <v>87</v>
      </c>
      <c r="AH12" s="19" t="s">
        <v>88</v>
      </c>
      <c r="AI12" s="18" t="s">
        <v>89</v>
      </c>
      <c r="AJ12" s="18" t="s">
        <v>90</v>
      </c>
      <c r="AK12" t="s">
        <v>196</v>
      </c>
      <c r="AL12" s="28" t="s">
        <v>69</v>
      </c>
      <c r="AM12" s="28" t="s">
        <v>92</v>
      </c>
      <c r="AN12" s="29">
        <f ca="1"/>
        <v>69463381017</v>
      </c>
      <c r="AO12" s="14" t="s">
        <v>93</v>
      </c>
      <c r="AP12" s="20" t="s">
        <v>94</v>
      </c>
      <c r="AQ12" s="20" t="s">
        <v>95</v>
      </c>
      <c r="AR12" s="19" t="str">
        <f t="shared" si="4"/>
        <v>N/A</v>
      </c>
      <c r="AS12" t="s">
        <v>96</v>
      </c>
      <c r="AT12" s="30">
        <v>35591</v>
      </c>
      <c r="AU12" s="31" t="s">
        <v>69</v>
      </c>
      <c r="AV12" s="28" t="s">
        <v>77</v>
      </c>
      <c r="AW12" s="31" t="s">
        <v>76</v>
      </c>
      <c r="AX12" s="31" t="s">
        <v>97</v>
      </c>
      <c r="AY12" s="32" t="s">
        <v>98</v>
      </c>
      <c r="AZ12" s="31" t="s">
        <v>99</v>
      </c>
      <c r="BA12" s="31" t="s">
        <v>69</v>
      </c>
      <c r="BB12" t="s">
        <v>88</v>
      </c>
      <c r="BC12" t="s">
        <v>88</v>
      </c>
      <c r="BD12" s="14" t="s">
        <v>102</v>
      </c>
      <c r="BE12" s="28" t="s">
        <v>103</v>
      </c>
      <c r="BF12" s="29" t="s">
        <v>104</v>
      </c>
      <c r="BG12" s="28" t="s">
        <v>105</v>
      </c>
      <c r="BH12" s="28" t="s">
        <v>106</v>
      </c>
      <c r="BI12" s="28" t="s">
        <v>107</v>
      </c>
      <c r="BJ12" s="31" t="s">
        <v>129</v>
      </c>
      <c r="BK12" s="31" t="s">
        <v>130</v>
      </c>
      <c r="BL12" s="31" t="s">
        <v>110</v>
      </c>
      <c r="BM12" s="31" t="s">
        <v>111</v>
      </c>
      <c r="BN12" s="31" t="s">
        <v>112</v>
      </c>
      <c r="BO12" s="18" t="s">
        <v>113</v>
      </c>
      <c r="BP12" s="38" t="s">
        <v>197</v>
      </c>
    </row>
    <row r="13" spans="1:68" ht="15.65" customHeight="1" x14ac:dyDescent="0.35">
      <c r="A13" s="1" t="s">
        <v>198</v>
      </c>
      <c r="C13" s="12"/>
      <c r="D13" s="13" t="s">
        <v>68</v>
      </c>
      <c r="E13" s="14" t="s">
        <v>69</v>
      </c>
      <c r="F13" s="15" t="s">
        <v>70</v>
      </c>
      <c r="G13" s="16" t="s">
        <v>199</v>
      </c>
      <c r="H13" s="17" t="s">
        <v>200</v>
      </c>
      <c r="I13" s="18">
        <v>25041111</v>
      </c>
      <c r="J13" s="18" t="s">
        <v>73</v>
      </c>
      <c r="K13" s="18" t="s">
        <v>74</v>
      </c>
      <c r="L13" s="19">
        <f t="shared" ca="1" si="2"/>
        <v>45704</v>
      </c>
      <c r="M13" s="14" t="s">
        <v>69</v>
      </c>
      <c r="N13" s="20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1" t="s">
        <v>78</v>
      </c>
      <c r="U13" s="22" t="s">
        <v>79</v>
      </c>
      <c r="V13" s="18" t="s">
        <v>74</v>
      </c>
      <c r="W13" s="23">
        <f t="shared" ca="1" si="3"/>
        <v>45704</v>
      </c>
      <c r="X13" s="18" t="s">
        <v>80</v>
      </c>
      <c r="Y13" s="24" t="s">
        <v>81</v>
      </c>
      <c r="Z13" s="36" t="s">
        <v>122</v>
      </c>
      <c r="AA13" s="25" t="s">
        <v>201</v>
      </c>
      <c r="AB13" s="37" t="s">
        <v>84</v>
      </c>
      <c r="AC13" s="1" t="s">
        <v>85</v>
      </c>
      <c r="AD13" s="1" t="s">
        <v>52</v>
      </c>
      <c r="AE13" s="26">
        <v>35</v>
      </c>
      <c r="AF13" s="14" t="s">
        <v>86</v>
      </c>
      <c r="AG13" t="s">
        <v>87</v>
      </c>
      <c r="AH13" s="19">
        <f ca="1">TODAY()+365</f>
        <v>46100</v>
      </c>
      <c r="AI13" s="18" t="s">
        <v>89</v>
      </c>
      <c r="AJ13" s="18" t="s">
        <v>90</v>
      </c>
      <c r="AK13" t="s">
        <v>202</v>
      </c>
      <c r="AL13" s="28" t="s">
        <v>69</v>
      </c>
      <c r="AM13" s="28" t="s">
        <v>92</v>
      </c>
      <c r="AN13" s="29">
        <f ca="1"/>
        <v>68204494491</v>
      </c>
      <c r="AO13" s="14" t="s">
        <v>93</v>
      </c>
      <c r="AP13" s="20" t="s">
        <v>122</v>
      </c>
      <c r="AQ13" s="20" t="s">
        <v>95</v>
      </c>
      <c r="AR13" s="19">
        <f t="shared" ca="1" si="4"/>
        <v>46100</v>
      </c>
      <c r="AS13" t="s">
        <v>96</v>
      </c>
      <c r="AT13" s="30">
        <v>35591</v>
      </c>
      <c r="AU13" s="31" t="s">
        <v>69</v>
      </c>
      <c r="AV13" s="28" t="s">
        <v>77</v>
      </c>
      <c r="AW13" s="31" t="s">
        <v>76</v>
      </c>
      <c r="AX13" s="31" t="s">
        <v>97</v>
      </c>
      <c r="AY13" s="32" t="s">
        <v>98</v>
      </c>
      <c r="AZ13" s="31" t="s">
        <v>99</v>
      </c>
      <c r="BA13" s="31" t="s">
        <v>69</v>
      </c>
      <c r="BB13" t="s">
        <v>203</v>
      </c>
      <c r="BC13" s="34" t="s">
        <v>204</v>
      </c>
      <c r="BD13" s="14" t="s">
        <v>102</v>
      </c>
      <c r="BE13" s="28" t="s">
        <v>103</v>
      </c>
      <c r="BF13" s="29" t="s">
        <v>104</v>
      </c>
      <c r="BG13" s="28" t="s">
        <v>105</v>
      </c>
      <c r="BH13" s="28" t="s">
        <v>106</v>
      </c>
      <c r="BI13" s="28" t="s">
        <v>107</v>
      </c>
      <c r="BJ13" s="31" t="s">
        <v>129</v>
      </c>
      <c r="BK13" s="31" t="s">
        <v>130</v>
      </c>
      <c r="BL13" s="31" t="s">
        <v>110</v>
      </c>
      <c r="BM13" s="31" t="s">
        <v>111</v>
      </c>
      <c r="BN13" s="31" t="s">
        <v>112</v>
      </c>
      <c r="BO13" s="18" t="s">
        <v>113</v>
      </c>
      <c r="BP13" s="33" t="s">
        <v>114</v>
      </c>
    </row>
    <row r="14" spans="1:68" ht="15.65" customHeight="1" x14ac:dyDescent="0.35">
      <c r="A14" s="1" t="s">
        <v>205</v>
      </c>
      <c r="C14" s="12"/>
      <c r="D14" s="13" t="s">
        <v>68</v>
      </c>
      <c r="E14" s="14" t="s">
        <v>69</v>
      </c>
      <c r="F14" s="15" t="s">
        <v>70</v>
      </c>
      <c r="G14" s="16" t="s">
        <v>206</v>
      </c>
      <c r="H14" s="17" t="s">
        <v>207</v>
      </c>
      <c r="I14" s="18">
        <v>25041111</v>
      </c>
      <c r="J14" s="18" t="s">
        <v>73</v>
      </c>
      <c r="K14" s="18" t="s">
        <v>74</v>
      </c>
      <c r="L14" s="19">
        <f t="shared" ca="1" si="2"/>
        <v>45704</v>
      </c>
      <c r="M14" s="14" t="s">
        <v>69</v>
      </c>
      <c r="N14" s="20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1" t="s">
        <v>78</v>
      </c>
      <c r="U14" s="22" t="s">
        <v>79</v>
      </c>
      <c r="V14" s="18" t="s">
        <v>74</v>
      </c>
      <c r="W14" s="23">
        <f t="shared" ca="1" si="3"/>
        <v>45704</v>
      </c>
      <c r="X14" s="18" t="s">
        <v>80</v>
      </c>
      <c r="Y14" s="24" t="s">
        <v>81</v>
      </c>
      <c r="Z14" s="36" t="s">
        <v>82</v>
      </c>
      <c r="AA14" s="25" t="s">
        <v>208</v>
      </c>
      <c r="AB14" s="37" t="s">
        <v>135</v>
      </c>
      <c r="AC14" s="1" t="s">
        <v>85</v>
      </c>
      <c r="AD14" s="1" t="s">
        <v>52</v>
      </c>
      <c r="AE14" s="26">
        <v>20</v>
      </c>
      <c r="AF14" s="14" t="s">
        <v>86</v>
      </c>
      <c r="AG14" t="s">
        <v>87</v>
      </c>
      <c r="AH14" s="19" t="s">
        <v>88</v>
      </c>
      <c r="AI14" s="18" t="s">
        <v>89</v>
      </c>
      <c r="AJ14" s="18" t="s">
        <v>90</v>
      </c>
      <c r="AK14" s="38" t="s">
        <v>209</v>
      </c>
      <c r="AL14" s="28" t="s">
        <v>69</v>
      </c>
      <c r="AM14" s="28" t="s">
        <v>92</v>
      </c>
      <c r="AN14" s="29">
        <f ca="1"/>
        <v>24226361657</v>
      </c>
      <c r="AO14" s="14" t="s">
        <v>93</v>
      </c>
      <c r="AP14" s="20" t="s">
        <v>94</v>
      </c>
      <c r="AQ14" s="20" t="s">
        <v>95</v>
      </c>
      <c r="AR14" s="19" t="str">
        <f t="shared" si="4"/>
        <v>N/A</v>
      </c>
      <c r="AS14" t="s">
        <v>96</v>
      </c>
      <c r="AT14" s="30">
        <v>35591</v>
      </c>
      <c r="AU14" s="31" t="s">
        <v>69</v>
      </c>
      <c r="AV14" s="28" t="s">
        <v>77</v>
      </c>
      <c r="AW14" s="31" t="s">
        <v>76</v>
      </c>
      <c r="AX14" s="31" t="s">
        <v>97</v>
      </c>
      <c r="AY14" s="32" t="s">
        <v>98</v>
      </c>
      <c r="AZ14" s="31" t="s">
        <v>99</v>
      </c>
      <c r="BA14" s="31" t="s">
        <v>69</v>
      </c>
      <c r="BB14" t="s">
        <v>88</v>
      </c>
      <c r="BC14" t="s">
        <v>88</v>
      </c>
      <c r="BD14" s="14" t="s">
        <v>102</v>
      </c>
      <c r="BE14" s="28" t="s">
        <v>103</v>
      </c>
      <c r="BF14" s="29" t="s">
        <v>104</v>
      </c>
      <c r="BG14" s="28" t="s">
        <v>105</v>
      </c>
      <c r="BH14" s="28" t="s">
        <v>106</v>
      </c>
      <c r="BI14" s="28" t="s">
        <v>107</v>
      </c>
      <c r="BJ14" s="31" t="s">
        <v>129</v>
      </c>
      <c r="BK14" s="31" t="s">
        <v>130</v>
      </c>
      <c r="BL14" s="31" t="s">
        <v>110</v>
      </c>
      <c r="BM14" s="31" t="s">
        <v>111</v>
      </c>
      <c r="BN14" s="31" t="s">
        <v>112</v>
      </c>
      <c r="BO14" s="18" t="s">
        <v>113</v>
      </c>
      <c r="BP14" s="38" t="s">
        <v>210</v>
      </c>
    </row>
    <row r="15" spans="1:68" ht="15.65" customHeight="1" x14ac:dyDescent="0.35">
      <c r="A15" s="1" t="s">
        <v>211</v>
      </c>
      <c r="C15" s="12"/>
      <c r="D15" s="13" t="s">
        <v>68</v>
      </c>
      <c r="E15" s="14" t="s">
        <v>69</v>
      </c>
      <c r="F15" s="15" t="s">
        <v>70</v>
      </c>
      <c r="G15" s="16" t="s">
        <v>212</v>
      </c>
      <c r="H15" s="17" t="s">
        <v>213</v>
      </c>
      <c r="I15" s="18">
        <v>25041111</v>
      </c>
      <c r="J15" s="18" t="s">
        <v>73</v>
      </c>
      <c r="K15" s="18" t="s">
        <v>74</v>
      </c>
      <c r="L15" s="19">
        <f t="shared" ca="1" si="2"/>
        <v>45704</v>
      </c>
      <c r="M15" s="14" t="s">
        <v>69</v>
      </c>
      <c r="N15" s="20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1" t="s">
        <v>78</v>
      </c>
      <c r="U15" s="22" t="s">
        <v>79</v>
      </c>
      <c r="V15" s="18" t="s">
        <v>74</v>
      </c>
      <c r="W15" s="23">
        <f t="shared" ca="1" si="3"/>
        <v>45704</v>
      </c>
      <c r="X15" s="18" t="s">
        <v>80</v>
      </c>
      <c r="Y15" s="24" t="s">
        <v>81</v>
      </c>
      <c r="Z15" s="36" t="s">
        <v>122</v>
      </c>
      <c r="AA15" s="25" t="s">
        <v>134</v>
      </c>
      <c r="AB15" s="37" t="s">
        <v>135</v>
      </c>
      <c r="AC15" s="1" t="s">
        <v>85</v>
      </c>
      <c r="AD15" s="1" t="s">
        <v>52</v>
      </c>
      <c r="AE15" s="26">
        <v>30</v>
      </c>
      <c r="AF15" s="14" t="s">
        <v>86</v>
      </c>
      <c r="AG15" t="s">
        <v>87</v>
      </c>
      <c r="AH15" s="19">
        <f ca="1">TODAY()+365</f>
        <v>46100</v>
      </c>
      <c r="AI15" s="18" t="s">
        <v>89</v>
      </c>
      <c r="AJ15" s="18" t="s">
        <v>90</v>
      </c>
      <c r="AK15" t="s">
        <v>136</v>
      </c>
      <c r="AL15" s="28" t="s">
        <v>69</v>
      </c>
      <c r="AM15" s="28" t="s">
        <v>92</v>
      </c>
      <c r="AN15" s="29">
        <f ca="1"/>
        <v>75635122197</v>
      </c>
      <c r="AO15" s="14" t="s">
        <v>93</v>
      </c>
      <c r="AP15" s="20" t="s">
        <v>122</v>
      </c>
      <c r="AQ15" s="20" t="s">
        <v>95</v>
      </c>
      <c r="AR15" s="19">
        <f t="shared" ca="1" si="4"/>
        <v>46100</v>
      </c>
      <c r="AS15" t="s">
        <v>96</v>
      </c>
      <c r="AT15" s="30">
        <v>35591</v>
      </c>
      <c r="AU15" s="31" t="s">
        <v>69</v>
      </c>
      <c r="AV15" s="28" t="s">
        <v>77</v>
      </c>
      <c r="AW15" s="31" t="s">
        <v>76</v>
      </c>
      <c r="AX15" s="31" t="s">
        <v>97</v>
      </c>
      <c r="AY15" s="32" t="s">
        <v>98</v>
      </c>
      <c r="AZ15" s="31" t="s">
        <v>99</v>
      </c>
      <c r="BA15" s="31" t="s">
        <v>69</v>
      </c>
      <c r="BB15" t="s">
        <v>214</v>
      </c>
      <c r="BC15" t="s">
        <v>215</v>
      </c>
      <c r="BD15" s="14" t="s">
        <v>102</v>
      </c>
      <c r="BE15" s="28" t="s">
        <v>103</v>
      </c>
      <c r="BF15" s="29" t="s">
        <v>104</v>
      </c>
      <c r="BG15" s="28" t="s">
        <v>105</v>
      </c>
      <c r="BH15" s="28" t="s">
        <v>106</v>
      </c>
      <c r="BI15" s="28" t="s">
        <v>107</v>
      </c>
      <c r="BJ15" s="31" t="s">
        <v>129</v>
      </c>
      <c r="BK15" s="31" t="s">
        <v>130</v>
      </c>
      <c r="BL15" s="31" t="s">
        <v>110</v>
      </c>
      <c r="BM15" s="31" t="s">
        <v>111</v>
      </c>
      <c r="BN15" s="31" t="s">
        <v>112</v>
      </c>
      <c r="BO15" s="18" t="s">
        <v>113</v>
      </c>
      <c r="BP15" s="33" t="s">
        <v>153</v>
      </c>
    </row>
    <row r="16" spans="1:68" ht="15.65" customHeight="1" x14ac:dyDescent="0.35">
      <c r="A16" s="1" t="s">
        <v>216</v>
      </c>
      <c r="C16" s="12"/>
      <c r="D16" s="13" t="s">
        <v>117</v>
      </c>
      <c r="E16" s="14" t="s">
        <v>69</v>
      </c>
      <c r="F16" s="15" t="s">
        <v>70</v>
      </c>
      <c r="G16" s="16" t="s">
        <v>217</v>
      </c>
      <c r="H16" s="17" t="s">
        <v>218</v>
      </c>
      <c r="I16" s="18">
        <v>25041111</v>
      </c>
      <c r="J16" s="18" t="s">
        <v>73</v>
      </c>
      <c r="K16" s="18" t="s">
        <v>74</v>
      </c>
      <c r="L16" s="19">
        <f t="shared" ca="1" si="2"/>
        <v>45704</v>
      </c>
      <c r="M16" s="14" t="s">
        <v>69</v>
      </c>
      <c r="N16" s="20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1" t="s">
        <v>78</v>
      </c>
      <c r="U16" s="22" t="s">
        <v>79</v>
      </c>
      <c r="V16" s="18" t="s">
        <v>74</v>
      </c>
      <c r="W16" s="23">
        <f t="shared" ca="1" si="3"/>
        <v>45704</v>
      </c>
      <c r="X16" s="18" t="s">
        <v>80</v>
      </c>
      <c r="Y16" s="24" t="s">
        <v>219</v>
      </c>
      <c r="Z16" s="38" t="s">
        <v>82</v>
      </c>
      <c r="AA16" s="25" t="s">
        <v>220</v>
      </c>
      <c r="AB16" s="37" t="s">
        <v>84</v>
      </c>
      <c r="AC16" s="1" t="s">
        <v>85</v>
      </c>
      <c r="AD16" s="1" t="s">
        <v>52</v>
      </c>
      <c r="AE16" s="26">
        <v>35</v>
      </c>
      <c r="AF16" s="14" t="s">
        <v>86</v>
      </c>
      <c r="AG16" t="s">
        <v>87</v>
      </c>
      <c r="AH16" s="19" t="s">
        <v>88</v>
      </c>
      <c r="AI16" s="18" t="s">
        <v>89</v>
      </c>
      <c r="AJ16" s="18" t="s">
        <v>125</v>
      </c>
      <c r="AK16" s="1">
        <v>251</v>
      </c>
      <c r="AL16" s="28" t="s">
        <v>69</v>
      </c>
      <c r="AM16" s="28" t="s">
        <v>92</v>
      </c>
      <c r="AN16" s="29">
        <f ca="1"/>
        <v>21045840423</v>
      </c>
      <c r="AO16" s="14" t="s">
        <v>93</v>
      </c>
      <c r="AP16" s="20" t="s">
        <v>94</v>
      </c>
      <c r="AQ16" s="20" t="s">
        <v>95</v>
      </c>
      <c r="AR16" s="19" t="str">
        <f t="shared" si="4"/>
        <v>N/A</v>
      </c>
      <c r="AS16" t="s">
        <v>96</v>
      </c>
      <c r="AT16" s="30">
        <v>35591</v>
      </c>
      <c r="AU16" s="31" t="s">
        <v>69</v>
      </c>
      <c r="AV16" s="28" t="s">
        <v>77</v>
      </c>
      <c r="AW16" s="31" t="s">
        <v>76</v>
      </c>
      <c r="AX16" s="31" t="s">
        <v>97</v>
      </c>
      <c r="AY16" s="32" t="s">
        <v>98</v>
      </c>
      <c r="AZ16" s="31" t="s">
        <v>99</v>
      </c>
      <c r="BA16" s="31" t="s">
        <v>69</v>
      </c>
      <c r="BB16" t="s">
        <v>88</v>
      </c>
      <c r="BC16" t="s">
        <v>88</v>
      </c>
      <c r="BD16" s="14" t="s">
        <v>102</v>
      </c>
      <c r="BE16" s="28" t="s">
        <v>103</v>
      </c>
      <c r="BF16" s="29" t="s">
        <v>104</v>
      </c>
      <c r="BG16" s="28" t="s">
        <v>105</v>
      </c>
      <c r="BH16" s="28" t="s">
        <v>106</v>
      </c>
      <c r="BI16" s="28" t="s">
        <v>107</v>
      </c>
      <c r="BJ16" s="31" t="s">
        <v>129</v>
      </c>
      <c r="BK16" s="31" t="s">
        <v>130</v>
      </c>
      <c r="BL16" s="31" t="s">
        <v>110</v>
      </c>
      <c r="BM16" s="31" t="s">
        <v>111</v>
      </c>
      <c r="BN16" s="31" t="s">
        <v>112</v>
      </c>
      <c r="BO16" s="18" t="s">
        <v>113</v>
      </c>
      <c r="BP16" s="38" t="s">
        <v>114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2025-03-19T06:01:07Z</dcterms:modified>
</cp:coreProperties>
</file>