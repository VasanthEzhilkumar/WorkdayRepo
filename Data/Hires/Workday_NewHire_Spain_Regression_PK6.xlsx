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2E853D2B-058A-4CCA-BE58-E14ACB6C4AF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" l="1" a="1"/>
  <c r="BG3" i="1" s="1"/>
  <c r="BD2" i="1" a="1"/>
  <c r="BD3" i="1" s="1"/>
  <c r="AR2" i="1"/>
  <c r="AN2" i="1"/>
  <c r="AG2" i="1"/>
  <c r="W2" i="1"/>
  <c r="L2" i="1"/>
  <c r="BD2" i="1" l="1"/>
  <c r="BG2" i="1"/>
</calcChain>
</file>

<file path=xl/sharedStrings.xml><?xml version="1.0" encoding="utf-8"?>
<sst xmlns="http://schemas.openxmlformats.org/spreadsheetml/2006/main" count="168" uniqueCount="120">
  <si>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</si>
  <si>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</si>
  <si>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</si>
  <si>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</si>
  <si>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</si>
  <si>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</si>
  <si>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</si>
  <si>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</si>
  <si>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</si>
  <si>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</si>
  <si>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</si>
  <si>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</si>
  <si>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</si>
  <si>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</si>
  <si>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</si>
  <si>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</si>
  <si>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</si>
  <si>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</si>
  <si>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</si>
  <si>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</si>
  <si>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</si>
  <si>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</si>
  <si>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</si>
  <si>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</si>
  <si>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</si>
  <si>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</si>
  <si>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</si>
  <si>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</si>
  <si>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</si>
  <si>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</si>
  <si>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</si>
  <si>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</si>
  <si>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</si>
  <si>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</si>
  <si>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</si>
  <si>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</si>
  <si>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</si>
  <si>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</si>
  <si>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</si>
  <si>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</si>
  <si>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</si>
  <si>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</si>
  <si>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</si>
  <si>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</si>
  <si>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</si>
  <si>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</si>
  <si>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</si>
  <si>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</si>
  <si>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</si>
  <si>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</si>
  <si>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</si>
  <si>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</si>
  <si>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</si>
  <si>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</si>
  <si>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</si>
  <si>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</si>
  <si>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</si>
  <si>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</si>
  <si>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</si>
  <si>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</si>
  <si>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</si>
  <si>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</si>
  <si>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</si>
  <si>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Failed</t>
  </si>
  <si>
    <t>356 Recruitment (Ivan Lopez Angulo (2577) (Inherited))</t>
  </si>
  <si>
    <t>TwentyJune</t>
  </si>
  <si>
    <t>GSK</t>
  </si>
  <si>
    <t>NewOne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</si>
  <si>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</si>
  <si>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</si>
  <si>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</si>
  <si>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</si>
  <si>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</si>
  <si>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</si>
  <si>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</si>
  <si>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</si>
  <si>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</si>
  <si>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</si>
  <si>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</si>
  <si>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</si>
  <si>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</si>
  <si>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</si>
  <si>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</si>
  <si>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</si>
  <si>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</si>
  <si>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</si>
  <si>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</si>
  <si>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</si>
  <si>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</si>
  <si>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</si>
  <si>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</si>
  <si>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</si>
  <si>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</si>
  <si>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</si>
  <si>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</si>
  <si>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</si>
  <si>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</si>
  <si>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</si>
  <si>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</si>
  <si>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</si>
  <si>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</si>
  <si>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</si>
  <si>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</si>
  <si>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</si>
  <si>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</si>
  <si>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 xml:space="preserve">Test failed for 'EighteenJune SchirRR' Employee:{}Error: locator.scrollIntoViewIfNeeded: Error: strict mode violation: getByLabel('Country', { exact: true }) resolved to 2 elements:
    1) &lt;input value="" dir="ltr" tabindex="0" autocomplete="off" placeholder="Search" aria-invalid="false" aria-required="true" enterkeyhint="search" aria-disabled="false" id="selectInputId-56$63401" data-uxi-widget-type="selectinput" data-uxi-multiselect-id="56$63401" data-uxi-element-id="selectinput-56$63401" class="css-17p91te-InputContainer-1 edt0qdt14" aria-describedby="7e8119c2-852f-4fbc-af7d-2fcb8d6f619e" aria-labelledby="wd-81b1b6b9-e37c-4f0c-a711-cefcb800b90f"/&gt; aka getByRole('row', { name: 'Remove Row Country Mara Perez' }).getByLabel('Country')
    2) &lt;input value="" dir="ltr" tabindex="0" autocomplete="off" placeholder="Search" aria-invalid="false" aria-required="true" enterkeyhint="search" aria-disabled="false" id="selectInputId-56$63401" data-uxi-widget-type="selectinput" data-uxi-multiselect-id="56$63401" data-uxi-element-id="selectinput-56$63401" class="css-1s7v9a4-InputContainer-1 edt0qdt14" aria-describedby="a94a859c-f298-42e0-8221-70c117b9602e" aria-labelledby="wd-81b1b6b9-e37c-4f0c-a711-cefcb800b90f"/&gt; aka getByRole('row', { name: 'Remove Row Country 367153495958 22/07/2025 Mara Perez Bernal Related Actions' }).getByPlaceholder('Search')
Call log:
[2m  - waiting for getByLabel('Country', { exact: true })[22m
</t>
  </si>
  <si>
    <t>365 Store Management (José Manuel Carrasquilla Gavilán (10274587))</t>
  </si>
  <si>
    <t>EighteenJune</t>
  </si>
  <si>
    <t>SchirRR</t>
  </si>
  <si>
    <t>SLNameTwoo</t>
  </si>
  <si>
    <t>Auto 83312469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</si>
  <si>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</si>
  <si>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</si>
  <si>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</si>
  <si>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</si>
  <si>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</si>
  <si>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</si>
  <si>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</si>
  <si>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54 - ENSEÑANZAS UNIVERSITARIAS DE PRIMER CICLO Y EQUIVALENTES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</si>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</sst>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sz val="14"/>
      <color rgb="FFFF0000"/>
      <name val="Arial"/>
      <family val="2"/>
    </font>
    <font>
      <u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5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5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6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14" fontId="0" fillId="0" borderId="1" xfId="0" applyNumberFormat="1" applyBorder="1" applyAlignment="1">
      <alignment horizontal="left" wrapText="1"/>
    </xf>
    <xf numFmtId="0" fontId="0" fillId="3" borderId="1" xfId="0" applyFill="1" applyBorder="1"/>
    <xf numFmtId="0" fontId="0" fillId="3" borderId="0" xfId="0" applyFill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5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5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6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>
      <selection activeCell="C3" sqref="C3"/>
    </sheetView>
  </sheetViews>
  <sheetFormatPr defaultRowHeight="14.4" customHeight="1" x14ac:dyDescent="0.35"/>
  <cols>
    <col min="1" max="1" width="11.36328125" customWidth="1"/>
    <col min="2" max="2" width="51.3632812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21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12.1796875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9.1796875" customWidth="1"/>
    <col min="29" max="29" width="9.1796875" style="1" customWidth="1"/>
    <col min="30" max="30" width="8.453125" customWidth="1"/>
    <col min="31" max="31" width="12.08984375" customWidth="1"/>
    <col min="32" max="32" width="9.453125" customWidth="1"/>
    <col min="33" max="33" width="11.179687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13.08984375" customWidth="1"/>
    <col min="57" max="57" width="15.54296875" customWidth="1"/>
    <col min="58" max="58" width="18.90625" customWidth="1"/>
    <col min="59" max="59" width="10.8164062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9.816406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</cols>
  <sheetData>
    <row r="1" spans="1:65" s="2" customFormat="1" ht="14.5" customHeigh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spans="1:65" s="2" customFormat="1" ht="17.399999999999999" customHeight="1" x14ac:dyDescent="0.35">
      <c r="A2" s="6" t="s">
        <v>62</v>
      </c>
      <c r="B2" s="7">
        <v>10713608</v>
      </c>
      <c r="C2" s="8" t="s">
        <v>119</v>
      </c>
      <c r="D2" s="9" t="s">
        <v>64</v>
      </c>
      <c r="E2" s="10" t="s">
        <v>65</v>
      </c>
      <c r="F2" s="10" t="s">
        <v>66</v>
      </c>
      <c r="G2" s="10" t="s">
        <v>67</v>
      </c>
      <c r="H2" s="11" t="s">
        <v>68</v>
      </c>
      <c r="I2" s="12">
        <v>919193394</v>
      </c>
      <c r="J2" s="12" t="s">
        <v>69</v>
      </c>
      <c r="K2" s="12" t="s">
        <v>70</v>
      </c>
      <c r="L2" s="13">
        <f t="shared" ref="L2" ca="1" si="0">TODAY()-7</f>
        <v>45854</v>
      </c>
      <c r="M2" s="14" t="s">
        <v>68</v>
      </c>
      <c r="N2" s="15" t="s">
        <v>71</v>
      </c>
      <c r="O2" s="12">
        <v>44</v>
      </c>
      <c r="P2" s="12" t="s">
        <v>72</v>
      </c>
      <c r="Q2" s="15" t="s">
        <v>73</v>
      </c>
      <c r="R2" s="12" t="s">
        <v>73</v>
      </c>
      <c r="S2" s="12" t="s">
        <v>70</v>
      </c>
      <c r="T2" s="16" t="s">
        <v>74</v>
      </c>
      <c r="U2" s="17" t="s">
        <v>75</v>
      </c>
      <c r="V2" s="12" t="s">
        <v>70</v>
      </c>
      <c r="W2" s="18">
        <f t="shared" ref="W2" ca="1" si="1">TODAY()-7</f>
        <v>45854</v>
      </c>
      <c r="X2" s="12" t="s">
        <v>76</v>
      </c>
      <c r="Y2" s="19" t="s">
        <v>77</v>
      </c>
      <c r="Z2" s="20" t="s">
        <v>78</v>
      </c>
      <c r="AA2" s="21" t="s">
        <v>79</v>
      </c>
      <c r="AB2" t="s">
        <v>80</v>
      </c>
      <c r="AC2" s="22">
        <v>356</v>
      </c>
      <c r="AD2" s="23" t="s">
        <v>81</v>
      </c>
      <c r="AE2" s="14" t="s">
        <v>82</v>
      </c>
      <c r="AF2" t="s">
        <v>83</v>
      </c>
      <c r="AG2" s="24">
        <f ca="1">TODAY()+365</f>
        <v>46226</v>
      </c>
      <c r="AH2" s="12" t="s">
        <v>84</v>
      </c>
      <c r="AI2" s="25" t="s">
        <v>85</v>
      </c>
      <c r="AJ2" t="s">
        <v>86</v>
      </c>
      <c r="AK2" s="12" t="s">
        <v>87</v>
      </c>
      <c r="AL2" s="16" t="s">
        <v>88</v>
      </c>
      <c r="AM2" s="26" t="s">
        <v>89</v>
      </c>
      <c r="AN2" s="26">
        <f t="shared" ref="AN2" ca="1" si="2">TODAY()+7</f>
        <v>45868</v>
      </c>
      <c r="AO2" s="14" t="s">
        <v>90</v>
      </c>
      <c r="AP2" s="15" t="s">
        <v>91</v>
      </c>
      <c r="AQ2" s="16" t="s">
        <v>92</v>
      </c>
      <c r="AR2" s="24">
        <f t="shared" ref="AR2" ca="1" si="3">TODAY()+365</f>
        <v>46226</v>
      </c>
      <c r="AS2" s="27" t="s">
        <v>90</v>
      </c>
      <c r="AT2" t="s">
        <v>93</v>
      </c>
      <c r="AU2" s="13">
        <v>29221</v>
      </c>
      <c r="AV2" s="28" t="s">
        <v>68</v>
      </c>
      <c r="AW2" s="28" t="s">
        <v>94</v>
      </c>
      <c r="AX2" s="28" t="s">
        <v>73</v>
      </c>
      <c r="AY2" s="28" t="s">
        <v>95</v>
      </c>
      <c r="AZ2" s="29" t="s">
        <v>96</v>
      </c>
      <c r="BA2" s="28" t="s">
        <v>68</v>
      </c>
      <c r="BB2" s="30" t="s">
        <v>68</v>
      </c>
      <c r="BC2" s="30" t="s">
        <v>97</v>
      </c>
      <c r="BD2" s="31">
        <f t="array" aca="1" ref="BD2:BD3" ca="1">_xlfn.RANDARRAY(2,1,123456789012,999999999999,TRUE)</f>
        <v>825050090370</v>
      </c>
      <c r="BE2" s="30" t="s">
        <v>68</v>
      </c>
      <c r="BF2" s="30" t="s">
        <v>98</v>
      </c>
      <c r="BG2" s="31" t="str">
        <f t="array" aca="1" ref="BG2:BG3" ca="1">_xlfn.RANDARRAY(2,1,12345678,99999999,TRUE)&amp;"A"</f>
        <v>51212892A</v>
      </c>
      <c r="BH2" s="30" t="s">
        <v>99</v>
      </c>
      <c r="BI2" s="30" t="s">
        <v>100</v>
      </c>
      <c r="BJ2" s="30" t="s">
        <v>101</v>
      </c>
      <c r="BK2" s="30" t="s">
        <v>102</v>
      </c>
      <c r="BL2" s="30">
        <v>36526</v>
      </c>
      <c r="BM2" s="30" t="s">
        <v>103</v>
      </c>
    </row>
    <row r="3" spans="1:65" s="2" customFormat="1" ht="17.399999999999999" customHeight="1" x14ac:dyDescent="0.35">
      <c r="A3" s="32" t="s">
        <v>104</v>
      </c>
      <c r="B3" s="33" t="s">
        <v>105</v>
      </c>
      <c r="C3" s="8" t="s">
        <v>63</v>
      </c>
      <c r="D3" s="9" t="s">
        <v>106</v>
      </c>
      <c r="E3" s="10" t="s">
        <v>107</v>
      </c>
      <c r="F3" s="10" t="s">
        <v>108</v>
      </c>
      <c r="G3" s="10" t="s">
        <v>109</v>
      </c>
      <c r="H3" s="11" t="s">
        <v>68</v>
      </c>
      <c r="I3" s="12">
        <v>919193436</v>
      </c>
      <c r="J3" s="12" t="s">
        <v>69</v>
      </c>
      <c r="K3" s="12" t="s">
        <v>70</v>
      </c>
      <c r="L3" s="13">
        <v>45800</v>
      </c>
      <c r="M3" s="14" t="s">
        <v>68</v>
      </c>
      <c r="N3" s="15" t="s">
        <v>71</v>
      </c>
      <c r="O3" s="12">
        <v>44</v>
      </c>
      <c r="P3" s="12">
        <v>28013</v>
      </c>
      <c r="Q3" s="15" t="s">
        <v>73</v>
      </c>
      <c r="R3" s="12" t="s">
        <v>73</v>
      </c>
      <c r="S3" s="12" t="s">
        <v>70</v>
      </c>
      <c r="T3" s="16" t="s">
        <v>74</v>
      </c>
      <c r="U3" s="15" t="s">
        <v>75</v>
      </c>
      <c r="V3" s="12" t="s">
        <v>70</v>
      </c>
      <c r="W3" s="18">
        <v>45800</v>
      </c>
      <c r="X3" s="12" t="s">
        <v>76</v>
      </c>
      <c r="Y3" s="19" t="s">
        <v>110</v>
      </c>
      <c r="Z3" t="s">
        <v>111</v>
      </c>
      <c r="AA3" s="21" t="s">
        <v>112</v>
      </c>
      <c r="AB3" t="s">
        <v>113</v>
      </c>
      <c r="AC3" s="22">
        <v>365</v>
      </c>
      <c r="AD3">
        <v>100</v>
      </c>
      <c r="AE3" s="14" t="s">
        <v>82</v>
      </c>
      <c r="AF3" t="s">
        <v>114</v>
      </c>
      <c r="AG3" s="34" t="s">
        <v>77</v>
      </c>
      <c r="AH3" s="12" t="s">
        <v>84</v>
      </c>
      <c r="AI3" s="25" t="s">
        <v>115</v>
      </c>
      <c r="AJ3" t="s">
        <v>116</v>
      </c>
      <c r="AK3" s="12" t="s">
        <v>87</v>
      </c>
      <c r="AL3" s="35" t="s">
        <v>117</v>
      </c>
      <c r="AM3" s="26" t="s">
        <v>89</v>
      </c>
      <c r="AN3" s="26">
        <v>45814</v>
      </c>
      <c r="AO3" s="14" t="s">
        <v>90</v>
      </c>
      <c r="AP3" s="15" t="s">
        <v>91</v>
      </c>
      <c r="AQ3" s="16" t="s">
        <v>92</v>
      </c>
      <c r="AR3" s="24">
        <v>46172</v>
      </c>
      <c r="AS3" s="27" t="s">
        <v>90</v>
      </c>
      <c r="AT3" t="s">
        <v>93</v>
      </c>
      <c r="AU3" s="13">
        <v>29221</v>
      </c>
      <c r="AV3" s="28" t="s">
        <v>68</v>
      </c>
      <c r="AW3" s="28" t="s">
        <v>94</v>
      </c>
      <c r="AX3" s="28" t="s">
        <v>73</v>
      </c>
      <c r="AY3" s="28" t="s">
        <v>95</v>
      </c>
      <c r="AZ3" s="29">
        <v>40844</v>
      </c>
      <c r="BA3" s="28" t="s">
        <v>68</v>
      </c>
      <c r="BB3" s="30" t="s">
        <v>68</v>
      </c>
      <c r="BC3" s="30" t="s">
        <v>97</v>
      </c>
      <c r="BD3" s="31">
        <f ca="1"/>
        <v>612882680505</v>
      </c>
      <c r="BE3" s="30" t="s">
        <v>68</v>
      </c>
      <c r="BF3" s="30" t="s">
        <v>98</v>
      </c>
      <c r="BG3" s="31" t="str">
        <f ca="1"/>
        <v>73110699A</v>
      </c>
      <c r="BH3" s="30" t="s">
        <v>99</v>
      </c>
      <c r="BI3" s="30" t="s">
        <v>100</v>
      </c>
      <c r="BJ3" s="30" t="s">
        <v>101</v>
      </c>
      <c r="BK3" s="30" t="s">
        <v>118</v>
      </c>
      <c r="BL3" s="30">
        <v>36526</v>
      </c>
      <c r="BM3" s="30" t="s">
        <v>103</v>
      </c>
    </row>
    <row r="4" spans="1:65" s="2" customFormat="1" ht="17.399999999999999" customHeight="1" x14ac:dyDescent="0.25">
      <c r="A4" s="32"/>
      <c r="B4" s="6"/>
      <c r="C4" s="8"/>
      <c r="D4" s="9"/>
      <c r="E4" s="10"/>
      <c r="F4" s="36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4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7"/>
      <c r="BH4" s="30"/>
      <c r="BI4" s="30"/>
      <c r="BJ4" s="30"/>
      <c r="BK4" s="30"/>
      <c r="BL4" s="30"/>
      <c r="BM4" s="30"/>
    </row>
    <row r="5" spans="1:65" s="2" customFormat="1" ht="17.399999999999999" customHeight="1" x14ac:dyDescent="0.25">
      <c r="A5" s="32"/>
      <c r="B5" s="32"/>
      <c r="C5" s="8"/>
      <c r="D5" s="9"/>
      <c r="E5" s="10"/>
      <c r="F5" s="36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4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7"/>
      <c r="BH5" s="30"/>
      <c r="BI5" s="30"/>
      <c r="BJ5" s="30"/>
      <c r="BK5" s="30"/>
      <c r="BL5" s="30"/>
      <c r="BM5" s="30"/>
    </row>
    <row r="6" spans="1:65" s="2" customFormat="1" ht="17.399999999999999" customHeight="1" x14ac:dyDescent="0.25">
      <c r="A6" s="32"/>
      <c r="B6" s="32"/>
      <c r="C6" s="8"/>
      <c r="D6" s="9"/>
      <c r="E6" s="10"/>
      <c r="F6" s="36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7"/>
      <c r="BH6" s="30"/>
      <c r="BI6" s="30"/>
      <c r="BJ6" s="30"/>
      <c r="BK6" s="30"/>
      <c r="BL6" s="30"/>
      <c r="BM6" s="30"/>
    </row>
    <row r="7" spans="1:65" s="2" customFormat="1" ht="17.399999999999999" customHeight="1" x14ac:dyDescent="0.25">
      <c r="A7" s="32"/>
      <c r="B7" s="32"/>
      <c r="C7" s="8"/>
      <c r="D7" s="9"/>
      <c r="E7" s="10"/>
      <c r="F7" s="36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4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7"/>
      <c r="BH7" s="30"/>
      <c r="BI7" s="30"/>
      <c r="BJ7" s="30"/>
      <c r="BK7" s="30"/>
      <c r="BL7" s="30"/>
      <c r="BM7" s="30"/>
    </row>
    <row r="8" spans="1:65" s="2" customFormat="1" ht="17.399999999999999" customHeight="1" x14ac:dyDescent="0.25">
      <c r="A8" s="32"/>
      <c r="B8" s="32"/>
      <c r="C8" s="8"/>
      <c r="D8" s="9"/>
      <c r="E8" s="10"/>
      <c r="F8" s="36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4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1"/>
      <c r="BG8" s="37"/>
      <c r="BH8" s="30"/>
      <c r="BI8" s="30"/>
      <c r="BJ8" s="30"/>
      <c r="BK8" s="30"/>
      <c r="BL8" s="30"/>
      <c r="BM8" s="30"/>
    </row>
    <row r="9" spans="1:65" s="2" customFormat="1" ht="17.399999999999999" customHeight="1" x14ac:dyDescent="0.25">
      <c r="A9" s="32"/>
      <c r="B9" s="32"/>
      <c r="C9" s="8"/>
      <c r="D9" s="9"/>
      <c r="E9" s="10"/>
      <c r="F9" s="36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1"/>
      <c r="BG9" s="37"/>
      <c r="BH9" s="30"/>
      <c r="BI9" s="30"/>
      <c r="BJ9" s="30"/>
      <c r="BK9" s="30"/>
      <c r="BL9" s="30"/>
      <c r="BM9" s="30"/>
    </row>
    <row r="10" spans="1:65" s="2" customFormat="1" ht="17.399999999999999" customHeight="1" x14ac:dyDescent="0.25">
      <c r="A10" s="32"/>
      <c r="B10" s="32"/>
      <c r="C10" s="8"/>
      <c r="D10" s="9"/>
      <c r="E10" s="10"/>
      <c r="F10" s="36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8"/>
      <c r="AC10" s="22"/>
      <c r="AE10" s="14"/>
      <c r="AG10" s="34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7"/>
      <c r="BH10" s="30"/>
      <c r="BI10" s="30"/>
      <c r="BJ10" s="30"/>
      <c r="BK10" s="30"/>
      <c r="BL10" s="30"/>
      <c r="BM10" s="30"/>
    </row>
    <row r="11" spans="1:65" s="2" customFormat="1" ht="17.399999999999999" customHeight="1" x14ac:dyDescent="0.25">
      <c r="A11" s="32"/>
      <c r="B11" s="32"/>
      <c r="C11" s="8"/>
      <c r="D11" s="9"/>
      <c r="E11" s="10"/>
      <c r="F11" s="36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4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7"/>
      <c r="BH11" s="30"/>
      <c r="BI11" s="30"/>
      <c r="BJ11" s="30"/>
      <c r="BK11" s="30"/>
      <c r="BL11" s="30"/>
      <c r="BM11" s="30"/>
    </row>
    <row r="12" spans="1:65" s="2" customFormat="1" ht="17.399999999999999" customHeight="1" x14ac:dyDescent="0.25">
      <c r="A12" s="32"/>
      <c r="B12" s="32"/>
      <c r="C12" s="8"/>
      <c r="D12" s="9"/>
      <c r="E12" s="10"/>
      <c r="F12" s="36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39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7"/>
      <c r="BH12" s="30"/>
      <c r="BI12" s="30"/>
      <c r="BJ12" s="30"/>
      <c r="BK12" s="30"/>
      <c r="BL12" s="30"/>
      <c r="BM12" s="30"/>
    </row>
    <row r="13" spans="1:65" s="2" customFormat="1" ht="17.399999999999999" customHeight="1" x14ac:dyDescent="0.25">
      <c r="A13" s="32"/>
      <c r="B13" s="32"/>
      <c r="C13" s="8"/>
      <c r="D13" s="9"/>
      <c r="E13" s="10"/>
      <c r="F13" s="36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39"/>
      <c r="AA13" s="21"/>
      <c r="AB13" s="39"/>
      <c r="AC13" s="22"/>
      <c r="AE13" s="14"/>
      <c r="AG13" s="34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7"/>
      <c r="BH13" s="30"/>
      <c r="BI13" s="30"/>
      <c r="BJ13" s="30"/>
      <c r="BK13" s="30"/>
      <c r="BL13" s="30"/>
      <c r="BM13" s="30"/>
    </row>
    <row r="14" spans="1:65" s="2" customFormat="1" ht="17.399999999999999" customHeight="1" x14ac:dyDescent="0.25">
      <c r="A14" s="32"/>
      <c r="B14" s="32"/>
      <c r="C14" s="8"/>
      <c r="D14" s="9"/>
      <c r="E14" s="40"/>
      <c r="F14" s="36"/>
      <c r="G14" s="10"/>
      <c r="H14" s="41"/>
      <c r="I14" s="42"/>
      <c r="J14" s="42"/>
      <c r="K14" s="42"/>
      <c r="L14" s="18"/>
      <c r="M14" s="43"/>
      <c r="N14" s="44"/>
      <c r="O14" s="42"/>
      <c r="P14" s="12"/>
      <c r="Q14" s="44"/>
      <c r="R14" s="42"/>
      <c r="S14" s="42"/>
      <c r="T14" s="45"/>
      <c r="U14" s="46"/>
      <c r="V14" s="42"/>
      <c r="W14" s="18"/>
      <c r="X14" s="42"/>
      <c r="Y14" s="47"/>
      <c r="Z14" s="34"/>
      <c r="AA14" s="48"/>
      <c r="AB14" s="34"/>
      <c r="AC14" s="49"/>
      <c r="AD14" s="34"/>
      <c r="AE14" s="43"/>
      <c r="AF14" s="34"/>
      <c r="AG14" s="34"/>
      <c r="AH14" s="42"/>
      <c r="AI14" s="25"/>
      <c r="AJ14" s="50"/>
      <c r="AK14" s="42"/>
      <c r="AL14" s="45"/>
      <c r="AM14" s="51"/>
      <c r="AN14" s="51"/>
      <c r="AO14" s="14"/>
      <c r="AP14" s="15"/>
      <c r="AQ14" s="16"/>
      <c r="AR14" s="24"/>
      <c r="AS14" s="52"/>
      <c r="AT14" s="34"/>
      <c r="AU14" s="18"/>
      <c r="AV14" s="53"/>
      <c r="AW14" s="53"/>
      <c r="AX14" s="53"/>
      <c r="AY14" s="53"/>
      <c r="AZ14" s="54"/>
      <c r="BA14" s="53"/>
      <c r="BB14" s="55"/>
      <c r="BC14" s="55"/>
      <c r="BD14" s="31"/>
      <c r="BE14" s="55"/>
      <c r="BF14" s="55"/>
      <c r="BG14" s="37"/>
      <c r="BH14" s="55"/>
      <c r="BI14" s="55"/>
      <c r="BJ14" s="55"/>
      <c r="BK14" s="30"/>
      <c r="BL14" s="30"/>
      <c r="BM14" s="30"/>
    </row>
    <row r="15" spans="1:65" s="2" customFormat="1" ht="17.399999999999999" customHeight="1" x14ac:dyDescent="0.25">
      <c r="A15" s="32"/>
      <c r="B15" s="32"/>
      <c r="C15" s="8"/>
      <c r="D15" s="9"/>
      <c r="E15" s="10"/>
      <c r="F15" s="36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7"/>
      <c r="BH15" s="30"/>
      <c r="BI15" s="30"/>
      <c r="BJ15" s="30"/>
      <c r="BK15" s="30"/>
      <c r="BL15" s="30"/>
      <c r="BM15" s="30"/>
    </row>
    <row r="16" spans="1:65" s="2" customFormat="1" ht="17.399999999999999" customHeight="1" x14ac:dyDescent="0.25">
      <c r="A16" s="32"/>
      <c r="B16" s="32"/>
      <c r="C16" s="8"/>
      <c r="D16" s="9"/>
      <c r="E16" s="10"/>
      <c r="F16" s="36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39"/>
      <c r="AA16" s="21"/>
      <c r="AC16" s="22"/>
      <c r="AE16" s="14"/>
      <c r="AG16" s="34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7"/>
      <c r="BH16" s="30"/>
      <c r="BI16" s="30"/>
      <c r="BJ16" s="30"/>
      <c r="BK16" s="30"/>
      <c r="BL16" s="30"/>
      <c r="BM16" s="30"/>
    </row>
    <row r="17" spans="1:78" s="2" customFormat="1" ht="13.75" customHeight="1" x14ac:dyDescent="0.25"/>
    <row r="18" spans="1:78" s="2" customFormat="1" ht="13.75" customHeight="1" x14ac:dyDescent="0.35"/>
    <row r="19" spans="1:78" s="39" customFormat="1" ht="14.5" customHeight="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spans="1:78" s="39" customFormat="1" ht="14.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spans="1:78" s="39" customFormat="1" ht="14.5" customHeight="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spans="1:78" s="39" customFormat="1" ht="14.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spans="1:78" s="39" customFormat="1" ht="14.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spans="1:78" s="39" customFormat="1" ht="14.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spans="1:78" s="39" customFormat="1" ht="14.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spans="1:78" s="39" customFormat="1" ht="14.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spans="1:78" s="39" customFormat="1" ht="14.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spans="1:78" s="39" customFormat="1" ht="14.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spans="1:78" s="39" customFormat="1" ht="14.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spans="1:78" s="39" customFormat="1" ht="14.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spans="1:78" s="39" customFormat="1" ht="14.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spans="1:78" s="39" customFormat="1" ht="14.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spans="1:78" s="39" customFormat="1" ht="14.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spans="1:78" s="39" customFormat="1" ht="14.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spans="1:78" s="39" customFormat="1" ht="14.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spans="1:78" s="39" customFormat="1" ht="14.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spans="1:78" s="39" customFormat="1" ht="14.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spans="1:78" s="39" customFormat="1" ht="14.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spans="1:78" s="39" customFormat="1" ht="14.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spans="1:78" s="39" customFormat="1" ht="14.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spans="1:78" s="39" customFormat="1" ht="14.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spans="1:78" s="39" customFormat="1" ht="14.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spans="1:78" s="39" customFormat="1" ht="14.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spans="1:78" s="39" customFormat="1" ht="14.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spans="1:78" s="39" customFormat="1" ht="14.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spans="1:78" s="39" customFormat="1" ht="14.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spans="1:78" s="39" customFormat="1" ht="14.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spans="1:78" s="39" customFormat="1" ht="14.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spans="1:78" s="39" customFormat="1" ht="14.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spans="1:78" s="39" customFormat="1" ht="14.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spans="1:78" s="39" customFormat="1" ht="14.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spans="1:78" s="39" customFormat="1" ht="14.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spans="1:78" s="39" customFormat="1" ht="14.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spans="1:78" ht="14.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2">
    <dataValidation type="list" allowBlank="1" showInputMessage="1" showErrorMessage="1" sqref="AM10:AM16 X10:X16 V10:V16 R10:S16 J10:K16 BI10:BI16 BC10:BC16 AY10:AY16 AP10:AP16" xr:uid="{00000000-0002-0000-0000-000000000000}">
      <formula1>INDIRECT($E2)</formula1>
    </dataValidation>
    <dataValidation type="list" allowBlank="1" showInputMessage="1" showErrorMessage="1" sqref="AM2:AM16 X2:X16 V2:V16 R2:S16 J2:K16 BI2:BI16 BC2:BC16 AY2:AY16 AP2:AP16" xr:uid="{00000000-0002-0000-0000-000001000000}">
      <formula1>INDIRECT($E2)</formula1>
    </dataValidation>
  </dataValidations>
  <hyperlinks>
    <hyperlink ref="U2" r:id="rId1" xr:uid="{00000000-0004-0000-0000-000000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2025-07-23T08:10:06Z</dcterms:modified>
</cp:coreProperties>
</file>