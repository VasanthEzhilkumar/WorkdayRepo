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<sst xmlns="http://schemas.openxmlformats.org/spreadsheetml/2006/main" count="560" uniqueCount="126">
  <si>
    <t>TestCaseIDs</t>
  </si>
  <si>
    <t>EmployeeID</t>
  </si>
  <si>
    <t>TestStatus</t>
  </si>
  <si>
    <t>Supervisory Organisation</t>
  </si>
  <si>
    <t>Given Name</t>
  </si>
  <si>
    <t>First Last Name</t>
  </si>
  <si>
    <t>Second Last Name</t>
  </si>
  <si>
    <t>Country</t>
  </si>
  <si>
    <t>Phone Number</t>
  </si>
  <si>
    <t>Phone Device</t>
  </si>
  <si>
    <t>Type</t>
  </si>
  <si>
    <t>Effective Date</t>
  </si>
  <si>
    <t>Name Of Street</t>
  </si>
  <si>
    <t>House Number</t>
  </si>
  <si>
    <t>Postal Code</t>
  </si>
  <si>
    <t>City</t>
  </si>
  <si>
    <t>Province</t>
  </si>
  <si>
    <t>Use For</t>
  </si>
  <si>
    <t>Email Address</t>
  </si>
  <si>
    <t>Hire Date</t>
  </si>
  <si>
    <t>Reason</t>
  </si>
  <si>
    <t>Position</t>
  </si>
  <si>
    <t>Employee Type</t>
  </si>
  <si>
    <t>Job Profile</t>
  </si>
  <si>
    <t>Time Type</t>
  </si>
  <si>
    <t>Location</t>
  </si>
  <si>
    <t>Scheduled Weekly Hours</t>
  </si>
  <si>
    <t>Additional Job Classifications</t>
  </si>
  <si>
    <t>Work Shift</t>
  </si>
  <si>
    <t>End Employment Date</t>
  </si>
  <si>
    <t>Comments</t>
  </si>
  <si>
    <t>Cost Center</t>
  </si>
  <si>
    <t>Department Section</t>
  </si>
  <si>
    <t>Proposed Pay Group</t>
  </si>
  <si>
    <t>Estadol IRPF</t>
  </si>
  <si>
    <t>Minusvalia RH</t>
  </si>
  <si>
    <t>Probation End Date</t>
  </si>
  <si>
    <t>Salary</t>
  </si>
  <si>
    <t>Gender</t>
  </si>
  <si>
    <t>Date Of Birth</t>
  </si>
  <si>
    <t>Country Territory Of Birth</t>
  </si>
  <si>
    <t>Region Of Birth</t>
  </si>
  <si>
    <t>City Of Birth</t>
  </si>
  <si>
    <t>Marital Status</t>
  </si>
  <si>
    <t>Marital Status Date</t>
  </si>
  <si>
    <t>Primary Nationality</t>
  </si>
  <si>
    <t>Country1</t>
  </si>
  <si>
    <t>National ID Type1</t>
  </si>
  <si>
    <t>Add Edit ID1</t>
  </si>
  <si>
    <t>Country2</t>
  </si>
  <si>
    <t>National ID Type2</t>
  </si>
  <si>
    <t>Add Edit ID2</t>
  </si>
  <si>
    <t>Bank Code</t>
  </si>
  <si>
    <t>Account Type</t>
  </si>
  <si>
    <t>IBAN</t>
  </si>
  <si>
    <t>Test failed for 'Jalon Fisher' Employee:{undefined}TypeError: Cannot read properties of undefined (reading 'toString')</t>
  </si>
  <si>
    <t>Failed</t>
  </si>
  <si>
    <t>356 Recruitment (Tyzuc Dycyvo Cabuve (2577) (Inherited))</t>
  </si>
  <si>
    <t>Demo</t>
  </si>
  <si>
    <t>Spain</t>
  </si>
  <si>
    <t>Landline</t>
  </si>
  <si>
    <t>Home</t>
  </si>
  <si>
    <t>Automation Street Name</t>
  </si>
  <si>
    <t>Madrid</t>
  </si>
  <si>
    <t>Street Address</t>
  </si>
  <si>
    <t>automation@qe.com</t>
  </si>
  <si>
    <t>New Hire</t>
  </si>
  <si>
    <t>N/A</t>
  </si>
  <si>
    <t>Permanent</t>
  </si>
  <si>
    <t>Retail Assistant</t>
  </si>
  <si>
    <t>Full time</t>
  </si>
  <si>
    <t>508 - Tiempo Completo 40 Hrs (Category Spain-Spain)@AP.TP.NOC - Temporal TP Apertura Nocturno (Clausula Adicional (Additional Contract Clauses)-Spain)@001 - ETT (Employee Internal Contract-Spain)</t>
  </si>
  <si>
    <t>5 Days</t>
  </si>
  <si>
    <t>Automation Comments here….</t>
  </si>
  <si>
    <t>15 Childrens Accessories</t>
  </si>
  <si>
    <t>ES Monthly - 12 payments</t>
  </si>
  <si>
    <t xml:space="preserve">Soltero/a
</t>
  </si>
  <si>
    <t>Del 33% hasta el 65%</t>
  </si>
  <si>
    <t>Defaulted</t>
  </si>
  <si>
    <t>Female</t>
  </si>
  <si>
    <t>Baleares</t>
  </si>
  <si>
    <t>Married</t>
  </si>
  <si>
    <t>28/10/2011</t>
  </si>
  <si>
    <t>Social Security Number (NSS)</t>
  </si>
  <si>
    <t>ID Card (DNI) Number</t>
  </si>
  <si>
    <t>10003453V</t>
  </si>
  <si>
    <t>BBVAESMM111</t>
  </si>
  <si>
    <t>Checking</t>
  </si>
  <si>
    <t>ES91 2100 0418 4502 0005 1332</t>
  </si>
  <si>
    <t>Mkaa</t>
  </si>
  <si>
    <t>Fixed Term</t>
  </si>
  <si>
    <t>Part time</t>
  </si>
  <si>
    <t>50</t>
  </si>
  <si>
    <t>3 Days</t>
  </si>
  <si>
    <t>16 Mens Accessories</t>
  </si>
  <si>
    <t>Soltero</t>
  </si>
  <si>
    <t>10003454H</t>
  </si>
  <si>
    <t>365 Store Management (Zadeb Razohe Gykywi (10274587))</t>
  </si>
  <si>
    <t>RPOneNEWYEar</t>
  </si>
  <si>
    <t>Auto 15102024 045735</t>
  </si>
  <si>
    <t>Department Manager</t>
  </si>
  <si>
    <t>251 Management Retail</t>
  </si>
  <si>
    <t>10003455L</t>
  </si>
  <si>
    <t>RPOne</t>
  </si>
  <si>
    <t>Auto 15102024 052519</t>
  </si>
  <si>
    <t>Trainee Manager</t>
  </si>
  <si>
    <t>10003457K</t>
  </si>
  <si>
    <t>Auto 15102024 054343</t>
  </si>
  <si>
    <t>Assistant Manager</t>
  </si>
  <si>
    <t>10003458E</t>
  </si>
  <si>
    <t>Auto 15102024 060209</t>
  </si>
  <si>
    <t>Team Manager - Retail</t>
  </si>
  <si>
    <t>10003459T</t>
  </si>
  <si>
    <t>Auto 15102024 062030</t>
  </si>
  <si>
    <t>Store Manager</t>
  </si>
  <si>
    <t>10003460R</t>
  </si>
  <si>
    <t>Auto 15102024 063905</t>
  </si>
  <si>
    <t>P&amp;C Manager Stores</t>
  </si>
  <si>
    <t>10003461W</t>
  </si>
  <si>
    <t>Temporary (Fixed Purpose)</t>
  </si>
  <si>
    <t>10003464M</t>
  </si>
  <si>
    <t>Visual Merchandiser</t>
  </si>
  <si>
    <t>10003465Y</t>
  </si>
  <si>
    <t>Operational Support</t>
  </si>
  <si>
    <t>10003466F</t>
  </si>
  <si>
    <t>10003467P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</si>
</sst>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indexed="8"/>
      <family val="2"/>
      <sz val="11"/>
      <name val="Calibri"/>
    </font>
    <font>
      <color theme="1"/>
      <family val="2"/>
      <sz val="11"/>
      <name val="Segoe UI"/>
    </font>
    <font>
      <color rgb="FFFF0000"/>
      <family val="2"/>
      <sz val="14"/>
      <name val="Arial"/>
    </font>
    <font>
      <u/>
      <color rgb="FFFF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>
        <color indexed="64"/>
      </right>
      <top style="thin"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4" fillId="6" borderId="6" xfId="0" applyFont="1" applyFill="1" applyBorder="1"/>
    <xf numFmtId="0" fontId="4" fillId="6" borderId="7" xfId="0" applyFont="1" applyFill="1" applyBorder="1" applyAlignment="1">
      <alignment horizontal="left"/>
    </xf>
    <xf numFmtId="0" fontId="0" fillId="7" borderId="0" xfId="0" applyFill="1"/>
    <xf numFmtId="0" fontId="2" fillId="0" borderId="0" xfId="0" applyFont="1" applyAlignment="1">
      <alignment vertical="center"/>
    </xf>
    <xf numFmtId="0" fontId="0" fillId="3" borderId="2" xfId="0" applyFill="1" applyBorder="1"/>
    <xf numFmtId="0" fontId="3" fillId="0" borderId="2" xfId="0" applyFon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Protection="1">
      <protection locked="0"/>
    </xf>
    <xf numFmtId="14" fontId="0" fillId="0" borderId="2" xfId="0" applyNumberFormat="1" applyBorder="1" applyAlignment="1">
      <alignment horizontal="left"/>
    </xf>
    <xf numFmtId="0" fontId="5" fillId="0" borderId="2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4" fontId="2" fillId="0" borderId="0" xfId="0" applyNumberFormat="1" applyFont="1"/>
    <xf numFmtId="14" fontId="0" fillId="0" borderId="2" xfId="0" applyNumberFormat="1" applyBorder="1" applyAlignment="1" applyProtection="1">
      <alignment horizontal="left" wrapText="1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0" fontId="4" fillId="4" borderId="2" xfId="0" applyFont="1" applyFill="1" applyBorder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14" fontId="0" fillId="0" borderId="4" xfId="0" applyNumberFormat="1" applyBorder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left"/>
      <protection locked="0"/>
    </xf>
    <xf numFmtId="1" fontId="0" fillId="5" borderId="0" xfId="0" applyNumberFormat="1" applyFill="1"/>
    <xf numFmtId="164" fontId="0" fillId="0" borderId="2" xfId="0" applyNumberFormat="1" applyBorder="1" applyAlignment="1" applyProtection="1">
      <alignment horizontal="left" wrapText="1"/>
      <protection locked="0"/>
    </xf>
    <xf numFmtId="0" fontId="0" fillId="5" borderId="0" xfId="0" applyFill="1"/>
    <xf numFmtId="0" fontId="6" fillId="5" borderId="0" xfId="0" applyFont="1" applyFill="1"/>
    <xf numFmtId="14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2" xfId="0" applyFont="1" applyBorder="1"/>
    <xf numFmtId="14" fontId="6" fillId="0" borderId="2" xfId="0" applyNumberFormat="1" applyFont="1" applyBorder="1"/>
    <xf numFmtId="0" fontId="7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/>
    <xf numFmtId="15" fontId="4" fillId="0" borderId="2" xfId="0" applyNumberFormat="1" applyFont="1" applyBorder="1"/>
    <xf numFmtId="0" fontId="6" fillId="0" borderId="0" xfId="0" applyFont="1"/>
    <xf numFmtId="0" fontId="4" fillId="0" borderId="2" xfId="0" applyFont="1" applyBorder="1" applyAlignment="1" applyProtection="1">
      <alignment horizontal="left"/>
      <protection locked="0"/>
    </xf>
    <xf numFmtId="1" fontId="4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 applyProtection="1">
      <alignment horizontal="left" wrapText="1"/>
      <protection locked="0"/>
    </xf>
    <xf numFmtId="2" fontId="8" fillId="0" borderId="0" xfId="0" applyNumberFormat="1" applyFont="1" applyAlignment="1">
      <alignment vertical="center"/>
    </xf>
    <xf numFmtId="14" fontId="0" fillId="0" borderId="2" xfId="0" applyNumberFormat="1" applyBorder="1" applyAlignment="1">
      <alignment horizontal="left" wrapText="1"/>
    </xf>
    <xf numFmtId="0" fontId="2" fillId="0" borderId="0" xfId="0" applyFont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2" xfId="0" applyFont="1" applyFill="1" applyBorder="1"/>
    <xf numFmtId="0" fontId="9" fillId="0" borderId="2" xfId="0" applyFont="1" applyBorder="1" applyAlignment="1">
      <alignment horizontal="left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>
      <alignment horizontal="left"/>
    </xf>
    <xf numFmtId="0" fontId="2" fillId="0" borderId="2" xfId="0" applyFont="1" applyBorder="1" applyProtection="1">
      <protection locked="0"/>
    </xf>
    <xf numFmtId="14" fontId="2" fillId="0" borderId="2" xfId="0" applyNumberFormat="1" applyFont="1" applyBorder="1" applyAlignment="1">
      <alignment horizontal="left"/>
    </xf>
    <xf numFmtId="0" fontId="10" fillId="0" borderId="2" xfId="0" applyFont="1" applyBorder="1" applyProtection="1"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 applyProtection="1">
      <alignment horizontal="left" wrapText="1"/>
      <protection locked="0"/>
    </xf>
    <xf numFmtId="14" fontId="2" fillId="0" borderId="2" xfId="0" applyNumberFormat="1" applyFont="1" applyBorder="1" applyAlignment="1" applyProtection="1">
      <alignment horizontal="left"/>
      <protection locked="0"/>
    </xf>
    <xf numFmtId="0" fontId="2" fillId="4" borderId="2" xfId="0" applyFont="1" applyFill="1" applyBorder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 applyProtection="1">
      <alignment horizontal="left"/>
      <protection locked="0"/>
    </xf>
    <xf numFmtId="164" fontId="2" fillId="0" borderId="2" xfId="0" applyNumberFormat="1" applyFont="1" applyBorder="1" applyAlignment="1" applyProtection="1">
      <alignment horizontal="left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3"/>
  <sheetViews>
    <sheetView workbookViewId="0" zoomScale="90" zoomScaleNormal="90">
      <selection activeCell="F2" sqref="F2"/>
    </sheetView>
  </sheetViews>
  <sheetFormatPr defaultRowHeight="14.5" outlineLevelRow="0" outlineLevelCol="0" x14ac:dyDescent="0.35" customHeight="1"/>
  <cols>
    <col min="4" max="4" width="58.36328125" customWidth="1"/>
    <col min="5" max="5" width="37" customWidth="1"/>
    <col min="6" max="6" width="25.26953125" customWidth="1"/>
    <col min="7" max="7" width="30.90625" customWidth="1"/>
    <col min="9" max="9" width="31.26953125" customWidth="1"/>
    <col min="11" max="11" width="21.54296875" customWidth="1"/>
    <col min="12" max="12" width="20.26953125" customWidth="1"/>
    <col min="13" max="17" width="26.7265625" customWidth="1"/>
    <col min="31" max="31" width="56.54296875" customWidth="1"/>
    <col min="50" max="50" width="33.6328125" customWidth="1"/>
    <col min="52" max="52" width="38.453125" customWidth="1"/>
    <col min="54" max="54" width="44.1796875" customWidth="1"/>
    <col min="55" max="55" width="42.453125" customWidth="1"/>
    <col min="56" max="56" width="38" customWidth="1"/>
    <col min="57" max="57" width="33.1796875" customWidth="1"/>
    <col min="58" max="58" width="30.1796875" customWidth="1"/>
    <col min="94" max="94" width="40.54296875" customWidth="1"/>
    <col min="95" max="95" width="48.1796875" customWidth="1"/>
    <col min="96" max="96" width="40.6328125" customWidth="1"/>
    <col min="98" max="98" width="23" customWidth="1"/>
    <col min="99" max="99" width="30.81640625" customWidth="1"/>
    <col min="100" max="100" width="30.1796875" customWidth="1"/>
    <col min="101" max="101" width="21.1796875" customWidth="1"/>
  </cols>
  <sheetData>
    <row r="1" ht="51" customHeight="1" spans="1:10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7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10</v>
      </c>
      <c r="T1" s="6" t="s">
        <v>17</v>
      </c>
      <c r="U1" s="6" t="s">
        <v>18</v>
      </c>
      <c r="V1" s="6" t="s">
        <v>10</v>
      </c>
      <c r="W1" s="7" t="s">
        <v>19</v>
      </c>
      <c r="X1" s="6" t="s">
        <v>20</v>
      </c>
      <c r="Y1" s="8" t="s">
        <v>21</v>
      </c>
      <c r="Z1" s="9" t="s">
        <v>22</v>
      </c>
      <c r="AA1" s="10" t="s">
        <v>23</v>
      </c>
      <c r="AB1" s="4" t="s">
        <v>24</v>
      </c>
      <c r="AC1" s="6" t="s">
        <v>25</v>
      </c>
      <c r="AD1" s="6" t="s">
        <v>26</v>
      </c>
      <c r="AE1" s="11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12" t="s">
        <v>34</v>
      </c>
      <c r="AM1" s="12" t="s">
        <v>35</v>
      </c>
      <c r="AN1" s="6" t="s">
        <v>36</v>
      </c>
      <c r="AO1" s="13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14" t="s">
        <v>48</v>
      </c>
      <c r="BA1" s="6" t="s">
        <v>49</v>
      </c>
      <c r="BB1" s="6" t="s">
        <v>50</v>
      </c>
      <c r="BC1" s="14" t="s">
        <v>51</v>
      </c>
      <c r="BD1" s="6" t="s">
        <v>52</v>
      </c>
      <c r="BE1" s="6" t="s">
        <v>53</v>
      </c>
      <c r="BF1" s="6" t="s">
        <v>54</v>
      </c>
      <c r="BG1" s="6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6"/>
      <c r="BT1" s="16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7"/>
      <c r="CP1" s="15"/>
      <c r="CQ1" s="15"/>
      <c r="CR1" s="15"/>
      <c r="CS1" s="15"/>
      <c r="CT1" s="15"/>
      <c r="CU1" s="15"/>
      <c r="CV1" s="15"/>
    </row>
    <row r="2" ht="87.5" customHeight="1" spans="2:100" x14ac:dyDescent="0.25">
      <c r="B2" t="s">
        <v>55</v>
      </c>
      <c r="C2" s="18" t="s">
        <v>56</v>
      </c>
      <c r="D2" s="19" t="s">
        <v>57</v>
      </c>
      <c r="E2" s="20"/>
      <c r="F2" s="20"/>
      <c r="G2" t="s">
        <v>58</v>
      </c>
      <c r="H2" s="21" t="s">
        <v>59</v>
      </c>
      <c r="I2" s="22">
        <v>919193393</v>
      </c>
      <c r="J2" s="22" t="s">
        <v>60</v>
      </c>
      <c r="K2" s="22" t="s">
        <v>61</v>
      </c>
      <c r="L2" s="23">
        <f t="shared" ref="L2:L13" si="0">TODAY()-7</f>
        <v>45750</v>
      </c>
      <c r="M2" s="24" t="s">
        <v>59</v>
      </c>
      <c r="N2" s="25" t="s">
        <v>62</v>
      </c>
      <c r="O2" s="22">
        <v>44</v>
      </c>
      <c r="P2" s="22">
        <v>28013</v>
      </c>
      <c r="Q2" s="25" t="s">
        <v>63</v>
      </c>
      <c r="R2" s="22" t="s">
        <v>63</v>
      </c>
      <c r="S2" s="22" t="s">
        <v>61</v>
      </c>
      <c r="T2" s="26" t="s">
        <v>64</v>
      </c>
      <c r="U2" s="27" t="s">
        <v>65</v>
      </c>
      <c r="V2" s="22" t="s">
        <v>61</v>
      </c>
      <c r="W2" s="28">
        <f t="shared" ref="W2:W13" si="1">TODAY()-7</f>
        <v>45750</v>
      </c>
      <c r="X2" s="22" t="s">
        <v>66</v>
      </c>
      <c r="Y2" s="29" t="s">
        <v>67</v>
      </c>
      <c r="Z2" t="s">
        <v>68</v>
      </c>
      <c r="AA2" s="30" t="s">
        <v>69</v>
      </c>
      <c r="AB2" t="s">
        <v>70</v>
      </c>
      <c r="AC2" s="31">
        <v>356</v>
      </c>
      <c r="AD2">
        <v>100</v>
      </c>
      <c r="AE2" s="32" t="s">
        <v>71</v>
      </c>
      <c r="AF2" t="s">
        <v>72</v>
      </c>
      <c r="AG2" s="33" t="s">
        <v>67</v>
      </c>
      <c r="AH2" s="22" t="s">
        <v>73</v>
      </c>
      <c r="AI2" s="22">
        <v>94</v>
      </c>
      <c r="AJ2" t="s">
        <v>74</v>
      </c>
      <c r="AK2" s="22" t="s">
        <v>75</v>
      </c>
      <c r="AL2" s="26" t="s">
        <v>76</v>
      </c>
      <c r="AM2" s="34" t="s">
        <v>77</v>
      </c>
      <c r="AN2" s="35">
        <f t="shared" ref="AN2:AN13" si="2">TODAY()+7</f>
        <v>45764</v>
      </c>
      <c r="AO2" s="36" t="s">
        <v>78</v>
      </c>
      <c r="AP2" t="s">
        <v>79</v>
      </c>
      <c r="AQ2" s="23">
        <v>29221</v>
      </c>
      <c r="AR2" s="37" t="s">
        <v>59</v>
      </c>
      <c r="AS2" s="37" t="s">
        <v>80</v>
      </c>
      <c r="AT2" s="37" t="s">
        <v>63</v>
      </c>
      <c r="AU2" s="37" t="s">
        <v>81</v>
      </c>
      <c r="AV2" s="38" t="s">
        <v>82</v>
      </c>
      <c r="AW2" s="37" t="s">
        <v>59</v>
      </c>
      <c r="AX2" s="39" t="s">
        <v>59</v>
      </c>
      <c r="AY2" s="39" t="s">
        <v>83</v>
      </c>
      <c r="AZ2" s="40">
        <v>281000345374</v>
      </c>
      <c r="BA2" s="41" t="s">
        <v>59</v>
      </c>
      <c r="BB2" s="39" t="s">
        <v>84</v>
      </c>
      <c r="BC2" s="42" t="s">
        <v>85</v>
      </c>
      <c r="BD2" s="39" t="s">
        <v>86</v>
      </c>
      <c r="BE2" s="39" t="s">
        <v>87</v>
      </c>
      <c r="BF2" s="39" t="s">
        <v>88</v>
      </c>
      <c r="BG2" s="43"/>
      <c r="BH2" s="44"/>
      <c r="BI2" s="44"/>
      <c r="BJ2" s="45"/>
      <c r="BK2" s="46"/>
      <c r="BL2" s="47"/>
      <c r="BM2" s="48"/>
      <c r="BN2" s="49"/>
      <c r="BO2" s="50"/>
      <c r="BP2" s="51"/>
      <c r="BQ2" s="49"/>
      <c r="BR2" s="49"/>
      <c r="BS2" s="46"/>
      <c r="BT2" s="52"/>
      <c r="BU2" s="50"/>
      <c r="BV2" s="50"/>
      <c r="BW2" s="49"/>
      <c r="BX2" s="53"/>
      <c r="BY2" s="49"/>
      <c r="BZ2" s="49"/>
      <c r="CA2" s="49"/>
      <c r="CB2" s="49"/>
      <c r="CC2" s="49"/>
      <c r="CD2" s="53"/>
      <c r="CE2" s="49"/>
      <c r="CF2" s="49"/>
      <c r="CG2" s="49"/>
      <c r="CH2" s="49"/>
      <c r="CI2" s="54"/>
      <c r="CJ2" s="49"/>
      <c r="CK2" s="49"/>
      <c r="CL2" s="49"/>
      <c r="CM2" s="49"/>
      <c r="CN2" s="49"/>
      <c r="CO2" s="55"/>
      <c r="CP2" s="46"/>
      <c r="CQ2" s="52"/>
      <c r="CR2" s="56"/>
      <c r="CS2" s="47"/>
      <c r="CT2" s="52"/>
      <c r="CU2" s="54"/>
      <c r="CV2" s="54"/>
    </row>
    <row r="3" ht="14.5" customHeight="1" spans="4:58" x14ac:dyDescent="0.25">
      <c r="D3" s="19" t="s">
        <v>57</v>
      </c>
      <c r="E3" s="20"/>
      <c r="F3" s="20"/>
      <c r="G3" t="s">
        <v>89</v>
      </c>
      <c r="H3" s="21" t="s">
        <v>59</v>
      </c>
      <c r="I3" s="22">
        <v>919193394</v>
      </c>
      <c r="J3" s="22" t="s">
        <v>60</v>
      </c>
      <c r="K3" s="22" t="s">
        <v>61</v>
      </c>
      <c r="L3" s="23">
        <f t="shared" si="0"/>
        <v>45750</v>
      </c>
      <c r="M3" s="24" t="s">
        <v>59</v>
      </c>
      <c r="N3" s="25" t="s">
        <v>62</v>
      </c>
      <c r="O3" s="22">
        <v>44</v>
      </c>
      <c r="P3" s="22">
        <v>28013</v>
      </c>
      <c r="Q3" s="25" t="s">
        <v>63</v>
      </c>
      <c r="R3" s="22" t="s">
        <v>63</v>
      </c>
      <c r="S3" s="22" t="s">
        <v>61</v>
      </c>
      <c r="T3" s="26" t="s">
        <v>64</v>
      </c>
      <c r="U3" s="27" t="s">
        <v>65</v>
      </c>
      <c r="V3" s="22" t="s">
        <v>61</v>
      </c>
      <c r="W3" s="28">
        <f t="shared" si="1"/>
        <v>45750</v>
      </c>
      <c r="X3" s="22" t="s">
        <v>66</v>
      </c>
      <c r="Y3" s="29" t="s">
        <v>67</v>
      </c>
      <c r="Z3" t="s">
        <v>90</v>
      </c>
      <c r="AA3" s="30" t="s">
        <v>69</v>
      </c>
      <c r="AB3" t="s">
        <v>91</v>
      </c>
      <c r="AC3" s="31">
        <v>356</v>
      </c>
      <c r="AD3" s="57" t="s">
        <v>92</v>
      </c>
      <c r="AE3" s="32" t="s">
        <v>71</v>
      </c>
      <c r="AF3" t="s">
        <v>93</v>
      </c>
      <c r="AG3" s="33">
        <f>TODAY()+365</f>
        <v>46122</v>
      </c>
      <c r="AH3" s="22" t="s">
        <v>73</v>
      </c>
      <c r="AI3" s="22">
        <v>94</v>
      </c>
      <c r="AJ3" t="s">
        <v>94</v>
      </c>
      <c r="AK3" s="22" t="s">
        <v>75</v>
      </c>
      <c r="AL3" s="58" t="s">
        <v>95</v>
      </c>
      <c r="AM3" s="34" t="s">
        <v>77</v>
      </c>
      <c r="AN3" s="35">
        <f t="shared" si="2"/>
        <v>45764</v>
      </c>
      <c r="AO3" s="36" t="s">
        <v>78</v>
      </c>
      <c r="AP3" t="s">
        <v>79</v>
      </c>
      <c r="AQ3" s="23">
        <v>29221</v>
      </c>
      <c r="AR3" s="37" t="s">
        <v>59</v>
      </c>
      <c r="AS3" s="37" t="s">
        <v>80</v>
      </c>
      <c r="AT3" s="37" t="s">
        <v>63</v>
      </c>
      <c r="AU3" s="37" t="s">
        <v>81</v>
      </c>
      <c r="AV3" s="38" t="s">
        <v>82</v>
      </c>
      <c r="AW3" s="37" t="s">
        <v>59</v>
      </c>
      <c r="AX3" s="39" t="s">
        <v>59</v>
      </c>
      <c r="AY3" s="39" t="s">
        <v>83</v>
      </c>
      <c r="AZ3" s="40">
        <v>281000345475</v>
      </c>
      <c r="BA3" s="41" t="s">
        <v>59</v>
      </c>
      <c r="BB3" s="39" t="s">
        <v>84</v>
      </c>
      <c r="BC3" s="42" t="s">
        <v>96</v>
      </c>
      <c r="BD3" s="39" t="s">
        <v>86</v>
      </c>
      <c r="BE3" s="39" t="s">
        <v>87</v>
      </c>
      <c r="BF3" s="39" t="s">
        <v>88</v>
      </c>
    </row>
    <row r="4" ht="14.5" customHeight="1" spans="4:58" x14ac:dyDescent="0.25">
      <c r="D4" s="19" t="s">
        <v>97</v>
      </c>
      <c r="E4" s="20"/>
      <c r="F4" s="20"/>
      <c r="G4" t="s">
        <v>98</v>
      </c>
      <c r="H4" s="21" t="s">
        <v>59</v>
      </c>
      <c r="I4" s="22">
        <v>919193436</v>
      </c>
      <c r="J4" s="22" t="s">
        <v>60</v>
      </c>
      <c r="K4" s="22" t="s">
        <v>61</v>
      </c>
      <c r="L4" s="23">
        <f t="shared" si="0"/>
        <v>45750</v>
      </c>
      <c r="M4" s="24" t="s">
        <v>59</v>
      </c>
      <c r="N4" s="25" t="s">
        <v>62</v>
      </c>
      <c r="O4" s="22">
        <v>44</v>
      </c>
      <c r="P4" s="22">
        <v>28013</v>
      </c>
      <c r="Q4" s="25" t="s">
        <v>63</v>
      </c>
      <c r="R4" s="22" t="s">
        <v>63</v>
      </c>
      <c r="S4" s="22" t="s">
        <v>61</v>
      </c>
      <c r="T4" s="26" t="s">
        <v>64</v>
      </c>
      <c r="U4" s="25" t="s">
        <v>65</v>
      </c>
      <c r="V4" s="22" t="s">
        <v>61</v>
      </c>
      <c r="W4" s="28">
        <f t="shared" si="1"/>
        <v>45750</v>
      </c>
      <c r="X4" s="22" t="s">
        <v>66</v>
      </c>
      <c r="Y4" s="29" t="s">
        <v>99</v>
      </c>
      <c r="Z4" t="s">
        <v>68</v>
      </c>
      <c r="AA4" s="30" t="s">
        <v>100</v>
      </c>
      <c r="AB4" t="s">
        <v>70</v>
      </c>
      <c r="AC4" s="31">
        <v>365</v>
      </c>
      <c r="AD4">
        <v>100</v>
      </c>
      <c r="AE4" s="32" t="s">
        <v>71</v>
      </c>
      <c r="AF4" t="s">
        <v>72</v>
      </c>
      <c r="AG4" s="59" t="s">
        <v>67</v>
      </c>
      <c r="AH4" s="22" t="s">
        <v>73</v>
      </c>
      <c r="AI4" s="22">
        <v>92</v>
      </c>
      <c r="AJ4" t="s">
        <v>101</v>
      </c>
      <c r="AK4" s="22" t="s">
        <v>75</v>
      </c>
      <c r="AL4" s="26" t="s">
        <v>76</v>
      </c>
      <c r="AM4" s="34" t="s">
        <v>77</v>
      </c>
      <c r="AN4" s="35">
        <f t="shared" si="2"/>
        <v>45764</v>
      </c>
      <c r="AO4" s="36" t="s">
        <v>78</v>
      </c>
      <c r="AP4" t="s">
        <v>79</v>
      </c>
      <c r="AQ4" s="23">
        <v>29221</v>
      </c>
      <c r="AR4" s="37" t="s">
        <v>59</v>
      </c>
      <c r="AS4" s="37" t="s">
        <v>80</v>
      </c>
      <c r="AT4" s="37" t="s">
        <v>63</v>
      </c>
      <c r="AU4" s="37" t="s">
        <v>81</v>
      </c>
      <c r="AV4" s="38" t="s">
        <v>82</v>
      </c>
      <c r="AW4" s="37" t="s">
        <v>59</v>
      </c>
      <c r="AX4" s="39" t="s">
        <v>59</v>
      </c>
      <c r="AY4" s="39" t="s">
        <v>83</v>
      </c>
      <c r="AZ4" s="40">
        <v>281000345576</v>
      </c>
      <c r="BA4" s="41" t="s">
        <v>59</v>
      </c>
      <c r="BB4" s="39" t="s">
        <v>84</v>
      </c>
      <c r="BC4" s="42" t="s">
        <v>102</v>
      </c>
      <c r="BD4" s="39" t="s">
        <v>86</v>
      </c>
      <c r="BE4" s="39" t="s">
        <v>87</v>
      </c>
      <c r="BF4" s="39" t="s">
        <v>88</v>
      </c>
    </row>
    <row r="5" ht="14.5" customHeight="1" spans="4:58" x14ac:dyDescent="0.25">
      <c r="D5" s="19" t="s">
        <v>97</v>
      </c>
      <c r="E5" s="20"/>
      <c r="F5" s="20"/>
      <c r="G5" t="s">
        <v>103</v>
      </c>
      <c r="H5" s="21" t="s">
        <v>59</v>
      </c>
      <c r="I5" s="22">
        <v>919193397</v>
      </c>
      <c r="J5" s="22" t="s">
        <v>60</v>
      </c>
      <c r="K5" s="22" t="s">
        <v>61</v>
      </c>
      <c r="L5" s="23">
        <f t="shared" si="0"/>
        <v>45750</v>
      </c>
      <c r="M5" s="24" t="s">
        <v>59</v>
      </c>
      <c r="N5" s="25" t="s">
        <v>62</v>
      </c>
      <c r="O5" s="22">
        <v>44</v>
      </c>
      <c r="P5" s="22">
        <v>28013</v>
      </c>
      <c r="Q5" s="25" t="s">
        <v>63</v>
      </c>
      <c r="R5" s="22" t="s">
        <v>63</v>
      </c>
      <c r="S5" s="22" t="s">
        <v>61</v>
      </c>
      <c r="T5" s="26" t="s">
        <v>64</v>
      </c>
      <c r="U5" s="27" t="s">
        <v>65</v>
      </c>
      <c r="V5" s="22" t="s">
        <v>61</v>
      </c>
      <c r="W5" s="28">
        <f t="shared" si="1"/>
        <v>45750</v>
      </c>
      <c r="X5" s="22" t="s">
        <v>66</v>
      </c>
      <c r="Y5" s="29" t="s">
        <v>104</v>
      </c>
      <c r="Z5" t="s">
        <v>90</v>
      </c>
      <c r="AA5" s="30" t="s">
        <v>105</v>
      </c>
      <c r="AB5" t="s">
        <v>91</v>
      </c>
      <c r="AC5" s="31">
        <v>365</v>
      </c>
      <c r="AD5">
        <v>50</v>
      </c>
      <c r="AE5" s="32" t="s">
        <v>71</v>
      </c>
      <c r="AF5" t="s">
        <v>72</v>
      </c>
      <c r="AG5" s="33">
        <f>TODAY()+365</f>
        <v>46122</v>
      </c>
      <c r="AH5" s="22" t="s">
        <v>73</v>
      </c>
      <c r="AI5" s="22">
        <v>92</v>
      </c>
      <c r="AJ5" t="s">
        <v>101</v>
      </c>
      <c r="AK5" s="22" t="s">
        <v>75</v>
      </c>
      <c r="AL5" s="26" t="s">
        <v>76</v>
      </c>
      <c r="AM5" s="34" t="s">
        <v>77</v>
      </c>
      <c r="AN5" s="35">
        <f t="shared" si="2"/>
        <v>45764</v>
      </c>
      <c r="AO5" s="36" t="s">
        <v>78</v>
      </c>
      <c r="AP5" t="s">
        <v>79</v>
      </c>
      <c r="AQ5" s="23">
        <v>29221</v>
      </c>
      <c r="AR5" s="37" t="s">
        <v>59</v>
      </c>
      <c r="AS5" s="37" t="s">
        <v>80</v>
      </c>
      <c r="AT5" s="37" t="s">
        <v>63</v>
      </c>
      <c r="AU5" s="37" t="s">
        <v>81</v>
      </c>
      <c r="AV5" s="38" t="s">
        <v>82</v>
      </c>
      <c r="AW5" s="37" t="s">
        <v>59</v>
      </c>
      <c r="AX5" s="39" t="s">
        <v>59</v>
      </c>
      <c r="AY5" s="39" t="s">
        <v>83</v>
      </c>
      <c r="AZ5" s="40">
        <v>281000345778</v>
      </c>
      <c r="BA5" s="41" t="s">
        <v>59</v>
      </c>
      <c r="BB5" s="39" t="s">
        <v>84</v>
      </c>
      <c r="BC5" s="42" t="s">
        <v>106</v>
      </c>
      <c r="BD5" s="39" t="s">
        <v>86</v>
      </c>
      <c r="BE5" s="39" t="s">
        <v>87</v>
      </c>
      <c r="BF5" s="39" t="s">
        <v>88</v>
      </c>
    </row>
    <row r="6" ht="14.5" customHeight="1" spans="4:58" x14ac:dyDescent="0.25">
      <c r="D6" s="19" t="s">
        <v>97</v>
      </c>
      <c r="E6" s="20"/>
      <c r="F6" s="20"/>
      <c r="G6" t="s">
        <v>103</v>
      </c>
      <c r="H6" s="21" t="s">
        <v>59</v>
      </c>
      <c r="I6" s="22">
        <v>919193397</v>
      </c>
      <c r="J6" s="22" t="s">
        <v>60</v>
      </c>
      <c r="K6" s="22" t="s">
        <v>61</v>
      </c>
      <c r="L6" s="23">
        <f t="shared" si="0"/>
        <v>45750</v>
      </c>
      <c r="M6" s="24" t="s">
        <v>59</v>
      </c>
      <c r="N6" s="25" t="s">
        <v>62</v>
      </c>
      <c r="O6" s="22">
        <v>44</v>
      </c>
      <c r="P6" s="22">
        <v>28013</v>
      </c>
      <c r="Q6" s="25" t="s">
        <v>63</v>
      </c>
      <c r="R6" s="22" t="s">
        <v>63</v>
      </c>
      <c r="S6" s="22" t="s">
        <v>61</v>
      </c>
      <c r="T6" s="26" t="s">
        <v>64</v>
      </c>
      <c r="U6" s="27" t="s">
        <v>65</v>
      </c>
      <c r="V6" s="22" t="s">
        <v>61</v>
      </c>
      <c r="W6" s="28">
        <f t="shared" si="1"/>
        <v>45750</v>
      </c>
      <c r="X6" s="22" t="s">
        <v>66</v>
      </c>
      <c r="Y6" s="29" t="s">
        <v>107</v>
      </c>
      <c r="Z6" t="s">
        <v>68</v>
      </c>
      <c r="AA6" s="30" t="s">
        <v>108</v>
      </c>
      <c r="AB6" t="s">
        <v>70</v>
      </c>
      <c r="AC6" s="31">
        <v>365</v>
      </c>
      <c r="AD6">
        <v>100</v>
      </c>
      <c r="AE6" s="32" t="s">
        <v>71</v>
      </c>
      <c r="AF6" t="s">
        <v>72</v>
      </c>
      <c r="AG6" s="59" t="s">
        <v>67</v>
      </c>
      <c r="AH6" s="22" t="s">
        <v>73</v>
      </c>
      <c r="AI6" s="22">
        <v>92</v>
      </c>
      <c r="AJ6" t="s">
        <v>101</v>
      </c>
      <c r="AK6" s="22" t="s">
        <v>75</v>
      </c>
      <c r="AL6" s="26" t="s">
        <v>76</v>
      </c>
      <c r="AM6" s="34" t="s">
        <v>77</v>
      </c>
      <c r="AN6" s="35">
        <f t="shared" si="2"/>
        <v>45764</v>
      </c>
      <c r="AO6" s="36" t="s">
        <v>78</v>
      </c>
      <c r="AP6" t="s">
        <v>79</v>
      </c>
      <c r="AQ6" s="23">
        <v>29221</v>
      </c>
      <c r="AR6" s="37" t="s">
        <v>59</v>
      </c>
      <c r="AS6" s="37" t="s">
        <v>80</v>
      </c>
      <c r="AT6" s="37" t="s">
        <v>63</v>
      </c>
      <c r="AU6" s="37" t="s">
        <v>81</v>
      </c>
      <c r="AV6" s="38" t="s">
        <v>82</v>
      </c>
      <c r="AW6" s="37" t="s">
        <v>59</v>
      </c>
      <c r="AX6" s="39" t="s">
        <v>59</v>
      </c>
      <c r="AY6" s="39" t="s">
        <v>83</v>
      </c>
      <c r="AZ6" s="40">
        <v>281000345879</v>
      </c>
      <c r="BA6" s="41" t="s">
        <v>59</v>
      </c>
      <c r="BB6" s="39" t="s">
        <v>84</v>
      </c>
      <c r="BC6" s="42" t="s">
        <v>109</v>
      </c>
      <c r="BD6" s="39" t="s">
        <v>86</v>
      </c>
      <c r="BE6" s="39" t="s">
        <v>87</v>
      </c>
      <c r="BF6" s="39" t="s">
        <v>88</v>
      </c>
    </row>
    <row r="7" ht="14.5" customHeight="1" spans="4:58" x14ac:dyDescent="0.25">
      <c r="D7" s="19" t="s">
        <v>97</v>
      </c>
      <c r="E7" s="20"/>
      <c r="F7" s="20"/>
      <c r="G7" t="s">
        <v>103</v>
      </c>
      <c r="H7" s="21" t="s">
        <v>59</v>
      </c>
      <c r="I7" s="22">
        <v>919193397</v>
      </c>
      <c r="J7" s="22" t="s">
        <v>60</v>
      </c>
      <c r="K7" s="22" t="s">
        <v>61</v>
      </c>
      <c r="L7" s="23">
        <f t="shared" si="0"/>
        <v>45750</v>
      </c>
      <c r="M7" s="24" t="s">
        <v>59</v>
      </c>
      <c r="N7" s="25" t="s">
        <v>62</v>
      </c>
      <c r="O7" s="22">
        <v>44</v>
      </c>
      <c r="P7" s="22">
        <v>28013</v>
      </c>
      <c r="Q7" s="25" t="s">
        <v>63</v>
      </c>
      <c r="R7" s="22" t="s">
        <v>63</v>
      </c>
      <c r="S7" s="22" t="s">
        <v>61</v>
      </c>
      <c r="T7" s="26" t="s">
        <v>64</v>
      </c>
      <c r="U7" s="27" t="s">
        <v>65</v>
      </c>
      <c r="V7" s="22" t="s">
        <v>61</v>
      </c>
      <c r="W7" s="28">
        <f t="shared" si="1"/>
        <v>45750</v>
      </c>
      <c r="X7" s="22" t="s">
        <v>66</v>
      </c>
      <c r="Y7" s="29" t="s">
        <v>110</v>
      </c>
      <c r="Z7" t="s">
        <v>68</v>
      </c>
      <c r="AA7" s="30" t="s">
        <v>111</v>
      </c>
      <c r="AB7" t="s">
        <v>91</v>
      </c>
      <c r="AC7" s="31">
        <v>365</v>
      </c>
      <c r="AD7">
        <v>50</v>
      </c>
      <c r="AE7" s="32" t="s">
        <v>71</v>
      </c>
      <c r="AF7" t="s">
        <v>72</v>
      </c>
      <c r="AG7" s="59" t="s">
        <v>67</v>
      </c>
      <c r="AH7" s="22" t="s">
        <v>73</v>
      </c>
      <c r="AI7" s="22">
        <v>92</v>
      </c>
      <c r="AJ7" t="s">
        <v>101</v>
      </c>
      <c r="AK7" s="22" t="s">
        <v>75</v>
      </c>
      <c r="AL7" s="26" t="s">
        <v>76</v>
      </c>
      <c r="AM7" s="34" t="s">
        <v>77</v>
      </c>
      <c r="AN7" s="35">
        <f t="shared" si="2"/>
        <v>45764</v>
      </c>
      <c r="AO7" s="36" t="s">
        <v>78</v>
      </c>
      <c r="AP7" t="s">
        <v>79</v>
      </c>
      <c r="AQ7" s="23">
        <v>29221</v>
      </c>
      <c r="AR7" s="37" t="s">
        <v>59</v>
      </c>
      <c r="AS7" s="37" t="s">
        <v>80</v>
      </c>
      <c r="AT7" s="37" t="s">
        <v>63</v>
      </c>
      <c r="AU7" s="37" t="s">
        <v>81</v>
      </c>
      <c r="AV7" s="38" t="s">
        <v>82</v>
      </c>
      <c r="AW7" s="37" t="s">
        <v>59</v>
      </c>
      <c r="AX7" s="39" t="s">
        <v>59</v>
      </c>
      <c r="AY7" s="39" t="s">
        <v>83</v>
      </c>
      <c r="AZ7" s="40">
        <v>281000345980</v>
      </c>
      <c r="BA7" s="41" t="s">
        <v>59</v>
      </c>
      <c r="BB7" s="39" t="s">
        <v>84</v>
      </c>
      <c r="BC7" s="42" t="s">
        <v>112</v>
      </c>
      <c r="BD7" s="39" t="s">
        <v>86</v>
      </c>
      <c r="BE7" s="39" t="s">
        <v>87</v>
      </c>
      <c r="BF7" s="39" t="s">
        <v>88</v>
      </c>
    </row>
    <row r="8" ht="14.5" customHeight="1" spans="4:58" x14ac:dyDescent="0.25">
      <c r="D8" s="19" t="s">
        <v>97</v>
      </c>
      <c r="E8" s="20"/>
      <c r="F8" s="20"/>
      <c r="G8" t="s">
        <v>103</v>
      </c>
      <c r="H8" s="21" t="s">
        <v>59</v>
      </c>
      <c r="I8" s="22">
        <v>919193397</v>
      </c>
      <c r="J8" s="22" t="s">
        <v>60</v>
      </c>
      <c r="K8" s="22" t="s">
        <v>61</v>
      </c>
      <c r="L8" s="23">
        <f t="shared" si="0"/>
        <v>45750</v>
      </c>
      <c r="M8" s="24" t="s">
        <v>59</v>
      </c>
      <c r="N8" s="25" t="s">
        <v>62</v>
      </c>
      <c r="O8" s="22">
        <v>44</v>
      </c>
      <c r="P8" s="22">
        <v>28013</v>
      </c>
      <c r="Q8" s="25" t="s">
        <v>63</v>
      </c>
      <c r="R8" s="22" t="s">
        <v>63</v>
      </c>
      <c r="S8" s="22" t="s">
        <v>61</v>
      </c>
      <c r="T8" s="26" t="s">
        <v>64</v>
      </c>
      <c r="U8" s="27" t="s">
        <v>65</v>
      </c>
      <c r="V8" s="22" t="s">
        <v>61</v>
      </c>
      <c r="W8" s="28">
        <f t="shared" si="1"/>
        <v>45750</v>
      </c>
      <c r="X8" s="22" t="s">
        <v>66</v>
      </c>
      <c r="Y8" s="29" t="s">
        <v>113</v>
      </c>
      <c r="Z8" t="s">
        <v>90</v>
      </c>
      <c r="AA8" s="30" t="s">
        <v>114</v>
      </c>
      <c r="AB8" t="s">
        <v>70</v>
      </c>
      <c r="AC8" s="31">
        <v>365</v>
      </c>
      <c r="AD8">
        <v>100</v>
      </c>
      <c r="AE8" s="32" t="s">
        <v>71</v>
      </c>
      <c r="AF8" t="s">
        <v>72</v>
      </c>
      <c r="AG8" s="33">
        <f>TODAY()+365</f>
        <v>46122</v>
      </c>
      <c r="AH8" s="22" t="s">
        <v>73</v>
      </c>
      <c r="AI8" s="22">
        <v>92</v>
      </c>
      <c r="AJ8" t="s">
        <v>101</v>
      </c>
      <c r="AK8" s="22" t="s">
        <v>75</v>
      </c>
      <c r="AL8" s="26" t="s">
        <v>76</v>
      </c>
      <c r="AM8" s="34" t="s">
        <v>77</v>
      </c>
      <c r="AN8" s="35">
        <f t="shared" si="2"/>
        <v>45764</v>
      </c>
      <c r="AO8" s="36" t="s">
        <v>78</v>
      </c>
      <c r="AP8" t="s">
        <v>79</v>
      </c>
      <c r="AQ8" s="23">
        <v>29221</v>
      </c>
      <c r="AR8" s="37" t="s">
        <v>59</v>
      </c>
      <c r="AS8" s="37" t="s">
        <v>80</v>
      </c>
      <c r="AT8" s="37" t="s">
        <v>63</v>
      </c>
      <c r="AU8" s="37" t="s">
        <v>81</v>
      </c>
      <c r="AV8" s="38" t="s">
        <v>82</v>
      </c>
      <c r="AW8" s="37" t="s">
        <v>59</v>
      </c>
      <c r="AX8" s="39" t="s">
        <v>59</v>
      </c>
      <c r="AY8" s="39" t="s">
        <v>83</v>
      </c>
      <c r="AZ8" s="40">
        <v>281000346081</v>
      </c>
      <c r="BA8" s="41" t="s">
        <v>59</v>
      </c>
      <c r="BB8" s="39" t="s">
        <v>84</v>
      </c>
      <c r="BC8" s="42" t="s">
        <v>115</v>
      </c>
      <c r="BD8" s="39" t="s">
        <v>86</v>
      </c>
      <c r="BE8" s="39" t="s">
        <v>87</v>
      </c>
      <c r="BF8" s="39" t="s">
        <v>88</v>
      </c>
    </row>
    <row r="9" ht="14.5" customHeight="1" spans="4:58" x14ac:dyDescent="0.25">
      <c r="D9" s="19" t="s">
        <v>97</v>
      </c>
      <c r="E9" s="20"/>
      <c r="F9" s="20"/>
      <c r="G9" t="s">
        <v>103</v>
      </c>
      <c r="H9" s="21" t="s">
        <v>59</v>
      </c>
      <c r="I9" s="22">
        <v>919193397</v>
      </c>
      <c r="J9" s="22" t="s">
        <v>60</v>
      </c>
      <c r="K9" s="22" t="s">
        <v>61</v>
      </c>
      <c r="L9" s="23">
        <f t="shared" si="0"/>
        <v>45750</v>
      </c>
      <c r="M9" s="24" t="s">
        <v>59</v>
      </c>
      <c r="N9" s="25" t="s">
        <v>62</v>
      </c>
      <c r="O9" s="22">
        <v>44</v>
      </c>
      <c r="P9" s="22">
        <v>28013</v>
      </c>
      <c r="Q9" s="25" t="s">
        <v>63</v>
      </c>
      <c r="R9" s="22" t="s">
        <v>63</v>
      </c>
      <c r="S9" s="22" t="s">
        <v>61</v>
      </c>
      <c r="T9" s="26" t="s">
        <v>64</v>
      </c>
      <c r="U9" s="27" t="s">
        <v>65</v>
      </c>
      <c r="V9" s="22" t="s">
        <v>61</v>
      </c>
      <c r="W9" s="28">
        <f t="shared" si="1"/>
        <v>45750</v>
      </c>
      <c r="X9" s="22" t="s">
        <v>66</v>
      </c>
      <c r="Y9" s="29" t="s">
        <v>116</v>
      </c>
      <c r="Z9" t="s">
        <v>68</v>
      </c>
      <c r="AA9" s="60" t="s">
        <v>117</v>
      </c>
      <c r="AB9" t="s">
        <v>70</v>
      </c>
      <c r="AC9" s="31">
        <v>365</v>
      </c>
      <c r="AD9">
        <v>100</v>
      </c>
      <c r="AE9" s="32" t="s">
        <v>71</v>
      </c>
      <c r="AF9" t="s">
        <v>72</v>
      </c>
      <c r="AG9" s="59" t="s">
        <v>67</v>
      </c>
      <c r="AH9" s="22" t="s">
        <v>73</v>
      </c>
      <c r="AI9" s="22">
        <v>92</v>
      </c>
      <c r="AJ9" t="s">
        <v>101</v>
      </c>
      <c r="AK9" s="22" t="s">
        <v>75</v>
      </c>
      <c r="AL9" s="26" t="s">
        <v>76</v>
      </c>
      <c r="AM9" s="34" t="s">
        <v>77</v>
      </c>
      <c r="AN9" s="35">
        <f t="shared" si="2"/>
        <v>45764</v>
      </c>
      <c r="AO9" s="36" t="s">
        <v>78</v>
      </c>
      <c r="AP9" t="s">
        <v>79</v>
      </c>
      <c r="AQ9" s="23">
        <v>29221</v>
      </c>
      <c r="AR9" s="37" t="s">
        <v>59</v>
      </c>
      <c r="AS9" s="37" t="s">
        <v>80</v>
      </c>
      <c r="AT9" s="37" t="s">
        <v>63</v>
      </c>
      <c r="AU9" s="37" t="s">
        <v>81</v>
      </c>
      <c r="AV9" s="38" t="s">
        <v>82</v>
      </c>
      <c r="AW9" s="37" t="s">
        <v>59</v>
      </c>
      <c r="AX9" s="39" t="s">
        <v>59</v>
      </c>
      <c r="AY9" s="39" t="s">
        <v>83</v>
      </c>
      <c r="AZ9" s="40">
        <v>281000346182</v>
      </c>
      <c r="BA9" s="41" t="s">
        <v>59</v>
      </c>
      <c r="BB9" s="39" t="s">
        <v>84</v>
      </c>
      <c r="BC9" s="42" t="s">
        <v>118</v>
      </c>
      <c r="BD9" s="39" t="s">
        <v>86</v>
      </c>
      <c r="BE9" s="39" t="s">
        <v>87</v>
      </c>
      <c r="BF9" s="39" t="s">
        <v>88</v>
      </c>
    </row>
    <row r="10" ht="14.5" customHeight="1" spans="4:58" x14ac:dyDescent="0.25">
      <c r="D10" s="19" t="s">
        <v>57</v>
      </c>
      <c r="E10" s="20"/>
      <c r="F10" s="20"/>
      <c r="G10" t="s">
        <v>103</v>
      </c>
      <c r="H10" s="21" t="s">
        <v>59</v>
      </c>
      <c r="I10" s="22">
        <v>919193397</v>
      </c>
      <c r="J10" s="22" t="s">
        <v>60</v>
      </c>
      <c r="K10" s="22" t="s">
        <v>61</v>
      </c>
      <c r="L10" s="23">
        <f t="shared" si="0"/>
        <v>45750</v>
      </c>
      <c r="M10" s="24" t="s">
        <v>59</v>
      </c>
      <c r="N10" s="25" t="s">
        <v>62</v>
      </c>
      <c r="O10" s="22">
        <v>44</v>
      </c>
      <c r="P10" s="22">
        <v>28013</v>
      </c>
      <c r="Q10" s="25" t="s">
        <v>63</v>
      </c>
      <c r="R10" s="22" t="s">
        <v>63</v>
      </c>
      <c r="S10" s="22" t="s">
        <v>61</v>
      </c>
      <c r="T10" s="26" t="s">
        <v>64</v>
      </c>
      <c r="U10" s="27" t="s">
        <v>65</v>
      </c>
      <c r="V10" s="22" t="s">
        <v>61</v>
      </c>
      <c r="W10" s="28">
        <f t="shared" si="1"/>
        <v>45750</v>
      </c>
      <c r="X10" s="22" t="s">
        <v>66</v>
      </c>
      <c r="Y10" s="29" t="s">
        <v>67</v>
      </c>
      <c r="Z10" s="61" t="s">
        <v>119</v>
      </c>
      <c r="AA10" s="30" t="s">
        <v>69</v>
      </c>
      <c r="AB10" s="61" t="s">
        <v>91</v>
      </c>
      <c r="AC10" s="31">
        <v>356</v>
      </c>
      <c r="AD10">
        <v>20</v>
      </c>
      <c r="AE10" s="32" t="s">
        <v>71</v>
      </c>
      <c r="AF10" t="s">
        <v>72</v>
      </c>
      <c r="AG10" s="59" t="s">
        <v>67</v>
      </c>
      <c r="AH10" s="22" t="s">
        <v>73</v>
      </c>
      <c r="AI10" s="22">
        <v>94</v>
      </c>
      <c r="AJ10" t="s">
        <v>94</v>
      </c>
      <c r="AK10" s="22" t="s">
        <v>75</v>
      </c>
      <c r="AL10" s="26" t="s">
        <v>76</v>
      </c>
      <c r="AM10" s="34" t="s">
        <v>77</v>
      </c>
      <c r="AN10" s="35">
        <f t="shared" si="2"/>
        <v>45764</v>
      </c>
      <c r="AO10" s="36" t="s">
        <v>78</v>
      </c>
      <c r="AP10" t="s">
        <v>79</v>
      </c>
      <c r="AQ10" s="23">
        <v>29221</v>
      </c>
      <c r="AR10" s="37" t="s">
        <v>59</v>
      </c>
      <c r="AS10" s="37" t="s">
        <v>80</v>
      </c>
      <c r="AT10" s="37" t="s">
        <v>63</v>
      </c>
      <c r="AU10" s="37" t="s">
        <v>81</v>
      </c>
      <c r="AV10" s="38" t="s">
        <v>82</v>
      </c>
      <c r="AW10" s="37" t="s">
        <v>59</v>
      </c>
      <c r="AX10" s="39" t="s">
        <v>59</v>
      </c>
      <c r="AY10" s="39" t="s">
        <v>83</v>
      </c>
      <c r="AZ10" s="40">
        <v>281000346485</v>
      </c>
      <c r="BA10" s="41" t="s">
        <v>59</v>
      </c>
      <c r="BB10" s="39" t="s">
        <v>84</v>
      </c>
      <c r="BC10" s="42" t="s">
        <v>120</v>
      </c>
      <c r="BD10" s="39" t="s">
        <v>86</v>
      </c>
      <c r="BE10" s="39" t="s">
        <v>87</v>
      </c>
      <c r="BF10" s="39" t="s">
        <v>88</v>
      </c>
    </row>
    <row r="11" ht="14.5" customHeight="1" spans="4:58" x14ac:dyDescent="0.25">
      <c r="D11" s="19" t="s">
        <v>57</v>
      </c>
      <c r="E11" s="62"/>
      <c r="F11" s="20"/>
      <c r="G11" s="59" t="s">
        <v>103</v>
      </c>
      <c r="H11" s="63" t="s">
        <v>59</v>
      </c>
      <c r="I11" s="64">
        <v>919193397</v>
      </c>
      <c r="J11" s="64" t="s">
        <v>60</v>
      </c>
      <c r="K11" s="64" t="s">
        <v>61</v>
      </c>
      <c r="L11" s="28">
        <f t="shared" si="0"/>
        <v>45750</v>
      </c>
      <c r="M11" s="65" t="s">
        <v>59</v>
      </c>
      <c r="N11" s="66" t="s">
        <v>62</v>
      </c>
      <c r="O11" s="64">
        <v>44</v>
      </c>
      <c r="P11" s="64">
        <v>28013</v>
      </c>
      <c r="Q11" s="66" t="s">
        <v>63</v>
      </c>
      <c r="R11" s="64" t="s">
        <v>63</v>
      </c>
      <c r="S11" s="64" t="s">
        <v>61</v>
      </c>
      <c r="T11" s="67" t="s">
        <v>64</v>
      </c>
      <c r="U11" s="68" t="s">
        <v>65</v>
      </c>
      <c r="V11" s="64" t="s">
        <v>61</v>
      </c>
      <c r="W11" s="28">
        <f t="shared" si="1"/>
        <v>45750</v>
      </c>
      <c r="X11" s="64" t="s">
        <v>66</v>
      </c>
      <c r="Y11" s="69" t="s">
        <v>67</v>
      </c>
      <c r="Z11" s="59" t="s">
        <v>68</v>
      </c>
      <c r="AA11" s="70" t="s">
        <v>121</v>
      </c>
      <c r="AB11" s="59" t="s">
        <v>70</v>
      </c>
      <c r="AC11" s="71">
        <v>356</v>
      </c>
      <c r="AD11" s="59">
        <v>100</v>
      </c>
      <c r="AE11" s="72" t="s">
        <v>71</v>
      </c>
      <c r="AF11" s="59" t="s">
        <v>72</v>
      </c>
      <c r="AG11" s="59" t="s">
        <v>67</v>
      </c>
      <c r="AH11" s="64" t="s">
        <v>73</v>
      </c>
      <c r="AI11" s="64">
        <v>94</v>
      </c>
      <c r="AJ11" s="59">
        <v>256</v>
      </c>
      <c r="AK11" s="64" t="s">
        <v>75</v>
      </c>
      <c r="AL11" s="67" t="s">
        <v>76</v>
      </c>
      <c r="AM11" s="73" t="s">
        <v>77</v>
      </c>
      <c r="AN11" s="74">
        <f t="shared" si="2"/>
        <v>45764</v>
      </c>
      <c r="AO11" s="75" t="s">
        <v>78</v>
      </c>
      <c r="AP11" s="59" t="s">
        <v>79</v>
      </c>
      <c r="AQ11" s="28">
        <v>29221</v>
      </c>
      <c r="AR11" s="76" t="s">
        <v>59</v>
      </c>
      <c r="AS11" s="76" t="s">
        <v>80</v>
      </c>
      <c r="AT11" s="76" t="s">
        <v>63</v>
      </c>
      <c r="AU11" s="76" t="s">
        <v>81</v>
      </c>
      <c r="AV11" s="77" t="s">
        <v>82</v>
      </c>
      <c r="AW11" s="76" t="s">
        <v>59</v>
      </c>
      <c r="AX11" s="78" t="s">
        <v>59</v>
      </c>
      <c r="AY11" s="78" t="s">
        <v>83</v>
      </c>
      <c r="AZ11" s="40">
        <v>281000346586</v>
      </c>
      <c r="BA11" s="79" t="s">
        <v>59</v>
      </c>
      <c r="BB11" s="78" t="s">
        <v>84</v>
      </c>
      <c r="BC11" s="42" t="s">
        <v>122</v>
      </c>
      <c r="BD11" s="78" t="s">
        <v>86</v>
      </c>
      <c r="BE11" s="78" t="s">
        <v>87</v>
      </c>
      <c r="BF11" s="78" t="s">
        <v>88</v>
      </c>
    </row>
    <row r="12" ht="14.5" customHeight="1" spans="4:58" x14ac:dyDescent="0.25">
      <c r="D12" s="19" t="s">
        <v>57</v>
      </c>
      <c r="E12" s="20"/>
      <c r="F12" s="20"/>
      <c r="G12" t="s">
        <v>103</v>
      </c>
      <c r="H12" s="21" t="s">
        <v>59</v>
      </c>
      <c r="I12" s="22">
        <v>919193397</v>
      </c>
      <c r="J12" s="22" t="s">
        <v>60</v>
      </c>
      <c r="K12" s="22" t="s">
        <v>61</v>
      </c>
      <c r="L12" s="23">
        <f t="shared" si="0"/>
        <v>45750</v>
      </c>
      <c r="M12" s="24" t="s">
        <v>59</v>
      </c>
      <c r="N12" s="25" t="s">
        <v>62</v>
      </c>
      <c r="O12" s="22">
        <v>44</v>
      </c>
      <c r="P12" s="22">
        <v>28013</v>
      </c>
      <c r="Q12" s="25" t="s">
        <v>63</v>
      </c>
      <c r="R12" s="22" t="s">
        <v>63</v>
      </c>
      <c r="S12" s="22" t="s">
        <v>61</v>
      </c>
      <c r="T12" s="26" t="s">
        <v>64</v>
      </c>
      <c r="U12" s="27" t="s">
        <v>65</v>
      </c>
      <c r="V12" s="22" t="s">
        <v>61</v>
      </c>
      <c r="W12" s="28">
        <f t="shared" si="1"/>
        <v>45750</v>
      </c>
      <c r="X12" s="22" t="s">
        <v>66</v>
      </c>
      <c r="Y12" s="29" t="s">
        <v>67</v>
      </c>
      <c r="Z12" t="s">
        <v>90</v>
      </c>
      <c r="AA12" s="30" t="s">
        <v>123</v>
      </c>
      <c r="AB12" t="s">
        <v>70</v>
      </c>
      <c r="AC12" s="31">
        <v>356</v>
      </c>
      <c r="AD12">
        <v>100</v>
      </c>
      <c r="AE12" s="32" t="s">
        <v>71</v>
      </c>
      <c r="AF12" t="s">
        <v>72</v>
      </c>
      <c r="AG12" s="33">
        <f>TODAY()+365</f>
        <v>46122</v>
      </c>
      <c r="AH12" s="22" t="s">
        <v>73</v>
      </c>
      <c r="AI12" s="22">
        <v>94</v>
      </c>
      <c r="AJ12" t="s">
        <v>94</v>
      </c>
      <c r="AK12" s="22" t="s">
        <v>75</v>
      </c>
      <c r="AL12" s="26" t="s">
        <v>76</v>
      </c>
      <c r="AM12" s="34" t="s">
        <v>77</v>
      </c>
      <c r="AN12" s="35">
        <f t="shared" si="2"/>
        <v>45764</v>
      </c>
      <c r="AO12" s="36" t="s">
        <v>78</v>
      </c>
      <c r="AP12" t="s">
        <v>79</v>
      </c>
      <c r="AQ12" s="23">
        <v>29221</v>
      </c>
      <c r="AR12" s="37" t="s">
        <v>59</v>
      </c>
      <c r="AS12" s="37" t="s">
        <v>80</v>
      </c>
      <c r="AT12" s="37" t="s">
        <v>63</v>
      </c>
      <c r="AU12" s="37" t="s">
        <v>81</v>
      </c>
      <c r="AV12" s="38" t="s">
        <v>82</v>
      </c>
      <c r="AW12" s="37" t="s">
        <v>59</v>
      </c>
      <c r="AX12" s="39" t="s">
        <v>59</v>
      </c>
      <c r="AY12" s="39" t="s">
        <v>83</v>
      </c>
      <c r="AZ12" s="40">
        <v>281000346687</v>
      </c>
      <c r="BA12" s="41" t="s">
        <v>59</v>
      </c>
      <c r="BB12" s="39" t="s">
        <v>84</v>
      </c>
      <c r="BC12" s="42" t="s">
        <v>124</v>
      </c>
      <c r="BD12" s="39" t="s">
        <v>86</v>
      </c>
      <c r="BE12" s="39" t="s">
        <v>87</v>
      </c>
      <c r="BF12" s="39" t="s">
        <v>88</v>
      </c>
    </row>
    <row r="13" ht="14.5" customHeight="1" spans="4:58" x14ac:dyDescent="0.25">
      <c r="D13" s="19" t="s">
        <v>57</v>
      </c>
      <c r="E13" s="20"/>
      <c r="F13" s="20"/>
      <c r="G13" t="s">
        <v>103</v>
      </c>
      <c r="H13" s="21" t="s">
        <v>59</v>
      </c>
      <c r="I13" s="22">
        <v>919193397</v>
      </c>
      <c r="J13" s="22" t="s">
        <v>60</v>
      </c>
      <c r="K13" s="22" t="s">
        <v>61</v>
      </c>
      <c r="L13" s="23">
        <f t="shared" si="0"/>
        <v>45750</v>
      </c>
      <c r="M13" s="24" t="s">
        <v>59</v>
      </c>
      <c r="N13" s="25" t="s">
        <v>62</v>
      </c>
      <c r="O13" s="22">
        <v>44</v>
      </c>
      <c r="P13" s="22">
        <v>28013</v>
      </c>
      <c r="Q13" s="25" t="s">
        <v>63</v>
      </c>
      <c r="R13" s="22" t="s">
        <v>63</v>
      </c>
      <c r="S13" s="22" t="s">
        <v>61</v>
      </c>
      <c r="T13" s="26" t="s">
        <v>64</v>
      </c>
      <c r="U13" s="27" t="s">
        <v>65</v>
      </c>
      <c r="V13" s="22" t="s">
        <v>61</v>
      </c>
      <c r="W13" s="28">
        <f t="shared" si="1"/>
        <v>45750</v>
      </c>
      <c r="X13" s="22" t="s">
        <v>66</v>
      </c>
      <c r="Y13" s="29" t="s">
        <v>67</v>
      </c>
      <c r="Z13" s="61" t="s">
        <v>119</v>
      </c>
      <c r="AA13" s="30" t="s">
        <v>69</v>
      </c>
      <c r="AB13" t="s">
        <v>70</v>
      </c>
      <c r="AC13" s="31">
        <v>356</v>
      </c>
      <c r="AD13">
        <v>100</v>
      </c>
      <c r="AE13" s="32" t="s">
        <v>71</v>
      </c>
      <c r="AF13" t="s">
        <v>72</v>
      </c>
      <c r="AG13" s="59" t="s">
        <v>67</v>
      </c>
      <c r="AH13" s="22" t="s">
        <v>73</v>
      </c>
      <c r="AI13" s="22">
        <v>94</v>
      </c>
      <c r="AJ13" t="s">
        <v>74</v>
      </c>
      <c r="AK13" s="22" t="s">
        <v>75</v>
      </c>
      <c r="AL13" s="26" t="s">
        <v>76</v>
      </c>
      <c r="AM13" s="34" t="s">
        <v>77</v>
      </c>
      <c r="AN13" s="35">
        <f t="shared" si="2"/>
        <v>45764</v>
      </c>
      <c r="AO13" s="36" t="s">
        <v>78</v>
      </c>
      <c r="AP13" t="s">
        <v>79</v>
      </c>
      <c r="AQ13" s="23">
        <v>29221</v>
      </c>
      <c r="AR13" s="37" t="s">
        <v>59</v>
      </c>
      <c r="AS13" s="37" t="s">
        <v>80</v>
      </c>
      <c r="AT13" s="37" t="s">
        <v>63</v>
      </c>
      <c r="AU13" s="37" t="s">
        <v>81</v>
      </c>
      <c r="AV13" s="38" t="s">
        <v>82</v>
      </c>
      <c r="AW13" s="37" t="s">
        <v>59</v>
      </c>
      <c r="AX13" s="39" t="s">
        <v>59</v>
      </c>
      <c r="AY13" s="39" t="s">
        <v>83</v>
      </c>
      <c r="AZ13" s="40">
        <v>281000346788</v>
      </c>
      <c r="BA13" s="41" t="s">
        <v>59</v>
      </c>
      <c r="BB13" s="39" t="s">
        <v>84</v>
      </c>
      <c r="BC13" s="42" t="s">
        <v>125</v>
      </c>
      <c r="BD13" s="39" t="s">
        <v>86</v>
      </c>
      <c r="BE13" s="39" t="s">
        <v>87</v>
      </c>
      <c r="BF13" s="39" t="s">
        <v>88</v>
      </c>
    </row>
  </sheetData>
  <dataValidations count="18">
    <dataValidation type="list" allowBlank="1" showInputMessage="1" showErrorMessage="1" sqref="AM10:AM13">
      <formula1>INDIRECT($E2)</formula1>
    </dataValidation>
    <dataValidation type="list" allowBlank="1" showInputMessage="1" showErrorMessage="1" sqref="AM2:AM13">
      <formula1>INDIRECT($E2)</formula1>
    </dataValidation>
    <dataValidation type="list" allowBlank="1" showInputMessage="1" showErrorMessage="1" sqref="AU10:AU13">
      <formula1>INDIRECT($E2)</formula1>
    </dataValidation>
    <dataValidation type="list" allowBlank="1" showInputMessage="1" showErrorMessage="1" sqref="AU2:AU13">
      <formula1>INDIRECT($E2)</formula1>
    </dataValidation>
    <dataValidation type="list" allowBlank="1" showInputMessage="1" showErrorMessage="1" sqref="AY10:AY13">
      <formula1>INDIRECT($E2)</formula1>
    </dataValidation>
    <dataValidation type="list" allowBlank="1" showInputMessage="1" showErrorMessage="1" sqref="AY2:AY13">
      <formula1>INDIRECT($E2)</formula1>
    </dataValidation>
    <dataValidation type="list" allowBlank="1" showInputMessage="1" showErrorMessage="1" sqref="BE10:BE13">
      <formula1>INDIRECT($E2)</formula1>
    </dataValidation>
    <dataValidation type="list" allowBlank="1" showInputMessage="1" showErrorMessage="1" sqref="BE2:BE13">
      <formula1>INDIRECT($E2)</formula1>
    </dataValidation>
    <dataValidation type="list" allowBlank="1" showInputMessage="1" showErrorMessage="1" sqref="BW2">
      <formula1>INDIRECT($C2)</formula1>
    </dataValidation>
    <dataValidation type="list" allowBlank="1" showInputMessage="1" showErrorMessage="1" sqref="CC2">
      <formula1>INDIRECT($C2)</formula1>
    </dataValidation>
    <dataValidation type="list" allowBlank="1" showInputMessage="1" showErrorMessage="1" sqref="J10:K13">
      <formula1>INDIRECT($E2)</formula1>
    </dataValidation>
    <dataValidation type="list" allowBlank="1" showInputMessage="1" showErrorMessage="1" sqref="J2:K13">
      <formula1>INDIRECT($E2)</formula1>
    </dataValidation>
    <dataValidation type="list" allowBlank="1" showInputMessage="1" showErrorMessage="1" sqref="R10:S13">
      <formula1>INDIRECT($E2)</formula1>
    </dataValidation>
    <dataValidation type="list" allowBlank="1" showInputMessage="1" showErrorMessage="1" sqref="R2:S13">
      <formula1>INDIRECT($E2)</formula1>
    </dataValidation>
    <dataValidation type="list" allowBlank="1" showInputMessage="1" showErrorMessage="1" sqref="V10:V13">
      <formula1>INDIRECT($E2)</formula1>
    </dataValidation>
    <dataValidation type="list" allowBlank="1" showInputMessage="1" showErrorMessage="1" sqref="V2:V13">
      <formula1>INDIRECT($E2)</formula1>
    </dataValidation>
    <dataValidation type="list" allowBlank="1" showInputMessage="1" showErrorMessage="1" sqref="X10:X13">
      <formula1>INDIRECT($E2)</formula1>
    </dataValidation>
    <dataValidation type="list" allowBlank="1" showInputMessage="1" showErrorMessage="1" sqref="X2:X13">
      <formula1>INDIRECT($E2)</formula1>
    </dataValidation>
  </dataValidations>
  <hyperlinks>
    <hyperlink ref="U2" r:id="rId1"/>
    <hyperlink ref="U3" r:id="rId2"/>
    <hyperlink ref="U5" r:id="rId3"/>
    <hyperlink ref="U6" r:id="rId4"/>
    <hyperlink ref="U7" r:id="rId5"/>
    <hyperlink ref="U8" r:id="rId6"/>
    <hyperlink ref="U9" r:id="rId7"/>
    <hyperlink ref="U10" r:id="rId8"/>
    <hyperlink ref="U11" r:id="rId9"/>
    <hyperlink ref="U12" r:id="rId10"/>
    <hyperlink ref="U13" r:id="rId1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2025-04-10T06:26:25Z</dcterms:modified>
</cp:coreProperties>
</file>