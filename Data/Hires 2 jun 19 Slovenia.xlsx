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E08AA164-D5D0-477E-BA0A-5C3A8028E9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1" i="1" l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K4" i="1"/>
  <c r="BU3" i="1"/>
  <c r="BQ3" i="1" a="1"/>
  <c r="BQ3" i="1" s="1"/>
  <c r="BC3" i="1" a="1"/>
  <c r="BC3" i="1" s="1"/>
  <c r="AX3" i="1" a="1"/>
  <c r="AX3" i="1" s="1"/>
  <c r="AU3" i="1"/>
  <c r="AM3" i="1"/>
  <c r="AL3" i="1"/>
  <c r="AK3" i="1"/>
  <c r="AJ3" i="1"/>
  <c r="K3" i="1"/>
  <c r="BU2" i="1"/>
  <c r="BQ2" i="1" a="1"/>
  <c r="BQ2" i="1" s="1"/>
  <c r="BC2" i="1" a="1"/>
  <c r="BC2" i="1" s="1"/>
  <c r="AX2" i="1" a="1"/>
  <c r="AX2" i="1" s="1"/>
  <c r="AU2" i="1"/>
  <c r="AM2" i="1"/>
  <c r="AL2" i="1"/>
  <c r="AK2" i="1"/>
  <c r="AJ2" i="1"/>
  <c r="K2" i="1"/>
</calcChain>
</file>

<file path=xl/sharedStrings.xml><?xml version="1.0" encoding="utf-8"?>
<sst xmlns="http://schemas.openxmlformats.org/spreadsheetml/2006/main" count="634" uniqueCount="147">
  <si>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</si>
  <si>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</si>
  <si>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</si>
  <si>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</si>
  <si>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</si>
  <si>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</si>
  <si>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</si>
  <si>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</si>
  <si>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</si>
  <si>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</si>
  <si>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</si>
  <si>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</si>
  <si>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</si>
  <si>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</si>
  <si>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</si>
  <si>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</si>
  <si>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</si>
  <si>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</si>
  <si>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</si>
  <si>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</si>
  <si>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</si>
  <si>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</si>
  <si>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</si>
  <si>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</si>
  <si>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</si>
  <si>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</si>
  <si>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</si>
  <si>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</si>
  <si>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</si>
  <si>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</si>
  <si>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</si>
  <si>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</si>
  <si>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</si>
  <si>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</si>
  <si>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</si>
  <si>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</si>
  <si>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</si>
  <si>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</si>
  <si>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</si>
  <si>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</si>
  <si>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</si>
  <si>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</si>
  <si>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</si>
  <si>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</si>
  <si>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</si>
  <si>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</si>
  <si>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</si>
  <si>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</si>
  <si>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</si>
  <si>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</si>
  <si>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</si>
  <si>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</si>
  <si>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</si>
  <si>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</si>
  <si>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</si>
  <si>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</si>
  <si>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</si>
  <si>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</si>
  <si>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</si>
  <si>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</si>
  <si>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</si>
  <si>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</si>
  <si>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</si>
  <si>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</si>
  <si>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</si>
  <si>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</si>
  <si>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</si>
  <si>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</si>
  <si>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</si>
  <si>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</si>
  <si>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SL-TIM-019</t>
  </si>
  <si>
    <t>10699795</t>
  </si>
  <si>
    <t>Passed</t>
  </si>
  <si>
    <t>795 Recruitment (Zosig Depazi (10280602))</t>
  </si>
  <si>
    <t>Slovenia</t>
  </si>
  <si>
    <t>Oda</t>
  </si>
  <si>
    <t>Bartoletti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</si>
  <si>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</si>
  <si>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</si>
  <si>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</si>
  <si>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</si>
  <si>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</si>
  <si>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</si>
  <si>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</si>
  <si>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</si>
  <si>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No</t>
  </si>
  <si>
    <t>Permanent</t>
  </si>
  <si>
    <t>Retail Assistant_NEW</t>
  </si>
  <si>
    <t>Part Time</t>
  </si>
  <si>
    <t>Salary</t>
  </si>
  <si>
    <t>N/A</t>
  </si>
  <si>
    <t>2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</si>
  <si>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</si>
  <si>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</si>
  <si>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</si>
  <si>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</si>
  <si>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</si>
  <si>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</si>
  <si>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</si>
  <si>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</si>
  <si>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</si>
  <si>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</si>
  <si>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</si>
  <si>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</si>
  <si>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</si>
  <si>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</si>
  <si>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</si>
  <si>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</si>
  <si>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</si>
  <si>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</si>
  <si>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</si>
  <si>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</si>
  <si>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10699796</t>
  </si>
  <si>
    <t>Jaycee</t>
  </si>
  <si>
    <t>Stoltenberg</t>
  </si>
  <si>
    <t>070-417-627</t>
  </si>
  <si>
    <t>10699797</t>
  </si>
  <si>
    <t>Vesta</t>
  </si>
  <si>
    <t>Hilll</t>
  </si>
  <si>
    <t>070-417-628</t>
  </si>
  <si>
    <t>10699798</t>
  </si>
  <si>
    <t>Richmond</t>
  </si>
  <si>
    <t>Rolfson</t>
  </si>
  <si>
    <t>070-417-629</t>
  </si>
  <si>
    <t>3 Days (Slovenia)</t>
  </si>
  <si>
    <t>10699799</t>
  </si>
  <si>
    <t>Dean</t>
  </si>
  <si>
    <t>Purdy</t>
  </si>
  <si>
    <t>070-417-630</t>
  </si>
  <si>
    <t>Maribel</t>
  </si>
  <si>
    <t>Dare</t>
  </si>
  <si>
    <t>070-417-631</t>
  </si>
  <si>
    <t>Ernesto</t>
  </si>
  <si>
    <t>Cormier</t>
  </si>
  <si>
    <t>070-417-632</t>
  </si>
  <si>
    <t>4 Days (Slovenia)</t>
  </si>
  <si>
    <t>Era</t>
  </si>
  <si>
    <t>McKenzie</t>
  </si>
  <si>
    <t>070-417-633</t>
  </si>
  <si>
    <t>Bruce</t>
  </si>
  <si>
    <t>Bergstrom</t>
  </si>
  <si>
    <t>070-417-634</t>
  </si>
  <si>
    <t>Tressa</t>
  </si>
  <si>
    <t>Schiller</t>
  </si>
  <si>
    <t>070-417-635</t>
  </si>
  <si>
    <t>Enter a Probation Period End Date that is not before the Start Date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</si>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</sst>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left" wrapText="1"/>
    </xf>
    <xf numFmtId="0" fontId="1" fillId="6" borderId="0" xfId="0" applyFont="1" applyFill="1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left"/>
    </xf>
    <xf numFmtId="0" fontId="1" fillId="4" borderId="2" xfId="0" applyFont="1" applyFill="1" applyBorder="1"/>
    <xf numFmtId="0" fontId="4" fillId="0" borderId="0" xfId="0" applyFont="1"/>
    <xf numFmtId="0" fontId="3" fillId="0" borderId="2" xfId="0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>
      <alignment horizontal="left"/>
    </xf>
    <xf numFmtId="0" fontId="3" fillId="0" borderId="2" xfId="0" applyFont="1" applyBorder="1" applyProtection="1">
      <protection locked="0"/>
    </xf>
    <xf numFmtId="0" fontId="3" fillId="0" borderId="0" xfId="0" applyFont="1"/>
    <xf numFmtId="14" fontId="3" fillId="0" borderId="2" xfId="0" applyNumberFormat="1" applyFont="1" applyBorder="1" applyAlignment="1">
      <alignment horizontal="left"/>
    </xf>
    <xf numFmtId="0" fontId="6" fillId="0" borderId="2" xfId="0" applyFont="1" applyBorder="1" applyProtection="1">
      <protection locked="0"/>
    </xf>
    <xf numFmtId="14" fontId="7" fillId="0" borderId="2" xfId="0" applyNumberFormat="1" applyFont="1" applyBorder="1" applyAlignment="1">
      <alignment horizontal="left"/>
    </xf>
    <xf numFmtId="0" fontId="3" fillId="4" borderId="2" xfId="0" applyFont="1" applyFill="1" applyBorder="1" applyAlignment="1" applyProtection="1">
      <alignment horizontal="left"/>
      <protection locked="0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8" fillId="0" borderId="2" xfId="0" applyFont="1" applyBorder="1" applyAlignment="1" applyProtection="1">
      <alignment horizontal="left" wrapText="1"/>
      <protection locked="0"/>
    </xf>
    <xf numFmtId="0" fontId="6" fillId="0" borderId="0" xfId="0" applyFont="1"/>
    <xf numFmtId="0" fontId="8" fillId="0" borderId="0" xfId="0" applyFont="1"/>
    <xf numFmtId="14" fontId="2" fillId="0" borderId="0" xfId="0" applyNumberFormat="1" applyFont="1" applyAlignment="1">
      <alignment horizontal="left"/>
    </xf>
    <xf numFmtId="0" fontId="8" fillId="0" borderId="2" xfId="0" applyFont="1" applyBorder="1"/>
    <xf numFmtId="164" fontId="3" fillId="0" borderId="2" xfId="0" applyNumberFormat="1" applyFont="1" applyBorder="1" applyAlignment="1" applyProtection="1">
      <alignment horizontal="left"/>
      <protection locked="0"/>
    </xf>
    <xf numFmtId="1" fontId="3" fillId="0" borderId="2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1"/>
  <sheetViews>
    <sheetView tabSelected="1" zoomScale="62" zoomScaleNormal="100" workbookViewId="0">
      <selection activeCell="K22" sqref="K22"/>
    </sheetView>
  </sheetViews>
  <sheetFormatPr defaultRowHeight="14.5" customHeight="1" outlineLevelRow="1" x14ac:dyDescent="0.35"/>
  <cols>
    <col min="1" max="1" width="17.90625" customWidth="1"/>
    <col min="2" max="2" width="55.81640625" customWidth="1"/>
    <col min="11" max="11" width="30.26953125" customWidth="1"/>
    <col min="21" max="21" width="50.54296875" customWidth="1"/>
    <col min="36" max="36" width="44.08984375" customWidth="1"/>
    <col min="37" max="37" width="39.36328125" customWidth="1"/>
    <col min="38" max="38" width="59.26953125" customWidth="1"/>
    <col min="47" max="47" width="29.36328125" customWidth="1"/>
    <col min="50" max="50" width="63.08984375" customWidth="1"/>
    <col min="51" max="51" width="35.54296875" customWidth="1"/>
    <col min="55" max="55" width="49.36328125" customWidth="1"/>
    <col min="59" max="59" width="81.6328125" customWidth="1"/>
    <col min="70" max="70" width="56.36328125" customWidth="1"/>
    <col min="71" max="71" width="35.54296875" customWidth="1"/>
    <col min="72" max="72" width="33.08984375" customWidth="1"/>
    <col min="73" max="73" width="31.7265625" customWidth="1"/>
  </cols>
  <sheetData>
    <row r="1" spans="1:74" s="1" customFormat="1" ht="14.5" customHeight="1" outlineLevel="1" collapsed="1" x14ac:dyDescent="0.3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9</v>
      </c>
      <c r="R1" s="4" t="s">
        <v>15</v>
      </c>
      <c r="S1" s="4" t="s">
        <v>16</v>
      </c>
      <c r="T1" s="4" t="s">
        <v>9</v>
      </c>
      <c r="U1" s="3" t="s">
        <v>17</v>
      </c>
      <c r="V1" s="4" t="s">
        <v>18</v>
      </c>
      <c r="W1" s="7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3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3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8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8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4</v>
      </c>
      <c r="BP1" s="4" t="s">
        <v>63</v>
      </c>
      <c r="BQ1" s="8" t="s">
        <v>64</v>
      </c>
      <c r="BR1" s="4" t="s">
        <v>65</v>
      </c>
      <c r="BS1" s="4" t="s">
        <v>66</v>
      </c>
      <c r="BT1" s="3" t="s">
        <v>67</v>
      </c>
      <c r="BU1" s="3" t="s">
        <v>68</v>
      </c>
      <c r="BV1" s="8" t="s">
        <v>69</v>
      </c>
    </row>
    <row r="2" spans="1:74" ht="15.65" customHeight="1" x14ac:dyDescent="0.35">
      <c r="A2" s="9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11" ca="1" si="0">TODAY()-7</f>
        <v>45820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v>45672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16</v>
      </c>
      <c r="AD2" s="27" t="s">
        <v>90</v>
      </c>
      <c r="AE2" s="28" t="s">
        <v>91</v>
      </c>
      <c r="AF2" s="29" t="s">
        <v>90</v>
      </c>
      <c r="AG2" s="16" t="s">
        <v>92</v>
      </c>
      <c r="AH2" s="16" t="s">
        <v>93</v>
      </c>
      <c r="AI2" s="16" t="s">
        <v>90</v>
      </c>
      <c r="AJ2" s="17">
        <f ca="1">TODAY()-100</f>
        <v>45727</v>
      </c>
      <c r="AK2" s="17">
        <f t="shared" ref="AK2:AL2" ca="1" si="1">TODAY()-100</f>
        <v>45727</v>
      </c>
      <c r="AL2" s="17">
        <f t="shared" ca="1" si="1"/>
        <v>45727</v>
      </c>
      <c r="AM2" s="22" t="str">
        <f t="shared" ref="AM2:AM11" si="2">AF2</f>
        <v>N/A</v>
      </c>
      <c r="AN2" s="16" t="s">
        <v>94</v>
      </c>
      <c r="AO2" s="30" t="s">
        <v>95</v>
      </c>
      <c r="AP2" s="24" t="s">
        <v>96</v>
      </c>
      <c r="AQ2" s="24" t="s">
        <v>97</v>
      </c>
      <c r="AR2" s="19" t="s">
        <v>98</v>
      </c>
      <c r="AS2" s="13" t="s">
        <v>90</v>
      </c>
      <c r="AT2" s="13" t="s">
        <v>90</v>
      </c>
      <c r="AU2" s="17">
        <f t="shared" ref="AU2:AU11" ca="1" si="3">TODAY()+7</f>
        <v>45834</v>
      </c>
      <c r="AV2" s="13" t="s">
        <v>74</v>
      </c>
      <c r="AW2" s="31" t="s">
        <v>99</v>
      </c>
      <c r="AX2" s="32">
        <f t="array" aca="1" ref="AX2" ca="1">_xlfn.RANDARRAY(2,1,1023456789000,9999999999999,TRUE)</f>
        <v>8612285573063</v>
      </c>
      <c r="AY2" s="17" t="s">
        <v>100</v>
      </c>
      <c r="AZ2" s="17" t="s">
        <v>101</v>
      </c>
      <c r="BA2" s="13" t="s">
        <v>74</v>
      </c>
      <c r="BB2" s="31" t="s">
        <v>102</v>
      </c>
      <c r="BC2" s="32">
        <f t="array" aca="1" ref="BC2" ca="1">_xlfn.RANDARRAY(2,1,12345678,99999999,TRUE)</f>
        <v>43813115</v>
      </c>
      <c r="BD2" s="17" t="s">
        <v>100</v>
      </c>
      <c r="BE2" s="17" t="s">
        <v>103</v>
      </c>
      <c r="BF2" s="19" t="s">
        <v>104</v>
      </c>
      <c r="BG2" s="17">
        <v>31777</v>
      </c>
      <c r="BH2" s="13" t="s">
        <v>105</v>
      </c>
      <c r="BI2" s="13" t="s">
        <v>74</v>
      </c>
      <c r="BJ2" s="13" t="s">
        <v>106</v>
      </c>
      <c r="BK2" s="33" t="s">
        <v>90</v>
      </c>
      <c r="BL2" s="13" t="s">
        <v>107</v>
      </c>
      <c r="BM2" s="34" t="s">
        <v>108</v>
      </c>
      <c r="BN2" s="13" t="s">
        <v>109</v>
      </c>
      <c r="BO2" s="13" t="s">
        <v>74</v>
      </c>
      <c r="BP2" s="13" t="s">
        <v>110</v>
      </c>
      <c r="BQ2" s="13">
        <f t="array" aca="1" ref="BQ2" ca="1">_xlfn.RANDARRAY(2,1,12345,99999,TRUE)</f>
        <v>98860</v>
      </c>
      <c r="BR2" s="17">
        <v>44562</v>
      </c>
      <c r="BS2" s="17">
        <v>47119</v>
      </c>
      <c r="BT2" s="22">
        <v>44562</v>
      </c>
      <c r="BU2" s="22">
        <f t="shared" ref="BU2:BU11" ca="1" si="4">TODAY()+365</f>
        <v>46192</v>
      </c>
      <c r="BV2" s="16" t="s">
        <v>111</v>
      </c>
    </row>
    <row r="3" spans="1:74" ht="15.65" customHeight="1" x14ac:dyDescent="0.35">
      <c r="A3" s="9" t="s">
        <v>70</v>
      </c>
      <c r="B3" s="10" t="s">
        <v>112</v>
      </c>
      <c r="C3" s="11" t="s">
        <v>72</v>
      </c>
      <c r="D3" s="12" t="s">
        <v>73</v>
      </c>
      <c r="E3" s="13" t="s">
        <v>74</v>
      </c>
      <c r="F3" s="14" t="s">
        <v>113</v>
      </c>
      <c r="G3" s="14" t="s">
        <v>114</v>
      </c>
      <c r="H3" s="15" t="s">
        <v>115</v>
      </c>
      <c r="I3" s="16" t="s">
        <v>78</v>
      </c>
      <c r="J3" s="16" t="s">
        <v>79</v>
      </c>
      <c r="K3" s="17">
        <f t="shared" ca="1" si="0"/>
        <v>45820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v>45673</v>
      </c>
      <c r="V3" s="16" t="s">
        <v>84</v>
      </c>
      <c r="W3" s="23" t="s">
        <v>85</v>
      </c>
      <c r="X3" s="24" t="s">
        <v>86</v>
      </c>
      <c r="Y3" s="24" t="s">
        <v>87</v>
      </c>
      <c r="Z3" s="24" t="s">
        <v>88</v>
      </c>
      <c r="AA3" s="25">
        <v>795</v>
      </c>
      <c r="AB3" s="25" t="s">
        <v>89</v>
      </c>
      <c r="AC3" s="26">
        <v>16</v>
      </c>
      <c r="AD3" s="27" t="s">
        <v>90</v>
      </c>
      <c r="AE3" s="28" t="s">
        <v>91</v>
      </c>
      <c r="AF3" s="29" t="s">
        <v>90</v>
      </c>
      <c r="AG3" s="16" t="s">
        <v>92</v>
      </c>
      <c r="AH3" s="16" t="s">
        <v>93</v>
      </c>
      <c r="AI3" s="16" t="s">
        <v>90</v>
      </c>
      <c r="AJ3" s="17">
        <f t="shared" ref="AJ3:AL11" ca="1" si="5">TODAY()-100</f>
        <v>45727</v>
      </c>
      <c r="AK3" s="17">
        <f t="shared" ca="1" si="5"/>
        <v>45727</v>
      </c>
      <c r="AL3" s="17">
        <f t="shared" ca="1" si="5"/>
        <v>45727</v>
      </c>
      <c r="AM3" s="22" t="str">
        <f t="shared" si="2"/>
        <v>N/A</v>
      </c>
      <c r="AN3" s="16" t="s">
        <v>94</v>
      </c>
      <c r="AO3" s="30" t="s">
        <v>95</v>
      </c>
      <c r="AP3" s="24" t="s">
        <v>96</v>
      </c>
      <c r="AQ3" s="24" t="s">
        <v>97</v>
      </c>
      <c r="AR3" s="19" t="s">
        <v>98</v>
      </c>
      <c r="AS3" s="13" t="s">
        <v>90</v>
      </c>
      <c r="AT3" s="13" t="s">
        <v>90</v>
      </c>
      <c r="AU3" s="17">
        <f t="shared" ca="1" si="3"/>
        <v>45834</v>
      </c>
      <c r="AV3" s="13" t="s">
        <v>74</v>
      </c>
      <c r="AW3" s="31" t="s">
        <v>99</v>
      </c>
      <c r="AX3" s="32">
        <f t="array" aca="1" ref="AX3" ca="1">_xlfn.RANDARRAY(2,1,1023456789000,9999999999999,TRUE)</f>
        <v>4687817357839</v>
      </c>
      <c r="AY3" s="17" t="s">
        <v>100</v>
      </c>
      <c r="AZ3" s="17" t="s">
        <v>101</v>
      </c>
      <c r="BA3" s="13" t="s">
        <v>74</v>
      </c>
      <c r="BB3" s="31" t="s">
        <v>102</v>
      </c>
      <c r="BC3" s="32">
        <f t="array" aca="1" ref="BC3" ca="1">_xlfn.RANDARRAY(2,1,12345678,99999999,TRUE)</f>
        <v>32516814</v>
      </c>
      <c r="BD3" s="17" t="s">
        <v>100</v>
      </c>
      <c r="BE3" s="17" t="s">
        <v>103</v>
      </c>
      <c r="BF3" s="19" t="s">
        <v>104</v>
      </c>
      <c r="BG3" s="17">
        <v>31778</v>
      </c>
      <c r="BH3" s="13" t="s">
        <v>105</v>
      </c>
      <c r="BI3" s="13" t="s">
        <v>74</v>
      </c>
      <c r="BJ3" s="13" t="s">
        <v>106</v>
      </c>
      <c r="BK3" s="33" t="s">
        <v>90</v>
      </c>
      <c r="BL3" s="13" t="s">
        <v>107</v>
      </c>
      <c r="BM3" s="34" t="s">
        <v>108</v>
      </c>
      <c r="BN3" s="13" t="s">
        <v>109</v>
      </c>
      <c r="BO3" s="13" t="s">
        <v>74</v>
      </c>
      <c r="BP3" s="13" t="s">
        <v>110</v>
      </c>
      <c r="BQ3" s="13">
        <f t="array" aca="1" ref="BQ3" ca="1">_xlfn.RANDARRAY(2,1,12345,99999,TRUE)</f>
        <v>86342</v>
      </c>
      <c r="BR3" s="17">
        <v>44562</v>
      </c>
      <c r="BS3" s="17">
        <v>47119</v>
      </c>
      <c r="BT3" s="22">
        <v>44562</v>
      </c>
      <c r="BU3" s="22">
        <f t="shared" ca="1" si="4"/>
        <v>46192</v>
      </c>
      <c r="BV3" s="16" t="s">
        <v>111</v>
      </c>
    </row>
    <row r="4" spans="1:74" ht="15.65" customHeight="1" x14ac:dyDescent="0.35">
      <c r="A4" s="9" t="s">
        <v>70</v>
      </c>
      <c r="B4" s="10" t="s">
        <v>116</v>
      </c>
      <c r="C4" s="11" t="s">
        <v>72</v>
      </c>
      <c r="D4" s="12" t="s">
        <v>73</v>
      </c>
      <c r="E4" s="13" t="s">
        <v>74</v>
      </c>
      <c r="F4" s="14" t="s">
        <v>117</v>
      </c>
      <c r="G4" s="14" t="s">
        <v>118</v>
      </c>
      <c r="H4" s="15" t="s">
        <v>119</v>
      </c>
      <c r="I4" s="16" t="s">
        <v>78</v>
      </c>
      <c r="J4" s="16" t="s">
        <v>79</v>
      </c>
      <c r="K4" s="17">
        <f t="shared" ca="1" si="0"/>
        <v>45820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v>45769</v>
      </c>
      <c r="V4" s="16" t="s">
        <v>84</v>
      </c>
      <c r="W4" s="23" t="s">
        <v>85</v>
      </c>
      <c r="X4" s="24" t="s">
        <v>86</v>
      </c>
      <c r="Y4" s="24" t="s">
        <v>87</v>
      </c>
      <c r="Z4" s="24" t="s">
        <v>88</v>
      </c>
      <c r="AA4" s="25">
        <v>795</v>
      </c>
      <c r="AB4" s="25" t="s">
        <v>89</v>
      </c>
      <c r="AC4" s="26">
        <v>16</v>
      </c>
      <c r="AD4" s="27" t="s">
        <v>90</v>
      </c>
      <c r="AE4" s="28" t="s">
        <v>91</v>
      </c>
      <c r="AF4" s="29" t="s">
        <v>90</v>
      </c>
      <c r="AG4" s="16" t="s">
        <v>92</v>
      </c>
      <c r="AH4" s="16" t="s">
        <v>93</v>
      </c>
      <c r="AI4" s="16" t="s">
        <v>90</v>
      </c>
      <c r="AJ4" s="17">
        <f t="shared" ca="1" si="5"/>
        <v>45727</v>
      </c>
      <c r="AK4" s="17">
        <f t="shared" ca="1" si="5"/>
        <v>45727</v>
      </c>
      <c r="AL4" s="17">
        <f t="shared" ca="1" si="5"/>
        <v>45727</v>
      </c>
      <c r="AM4" s="22" t="str">
        <f t="shared" si="2"/>
        <v>N/A</v>
      </c>
      <c r="AN4" s="16" t="s">
        <v>94</v>
      </c>
      <c r="AO4" s="30" t="s">
        <v>95</v>
      </c>
      <c r="AP4" s="24" t="s">
        <v>96</v>
      </c>
      <c r="AQ4" s="24" t="s">
        <v>97</v>
      </c>
      <c r="AR4" s="19" t="s">
        <v>98</v>
      </c>
      <c r="AS4" s="13" t="s">
        <v>90</v>
      </c>
      <c r="AT4" s="13" t="s">
        <v>90</v>
      </c>
      <c r="AU4" s="17">
        <f t="shared" ca="1" si="3"/>
        <v>45834</v>
      </c>
      <c r="AV4" s="13" t="s">
        <v>74</v>
      </c>
      <c r="AW4" s="31" t="s">
        <v>99</v>
      </c>
      <c r="AX4" s="32">
        <f t="array" aca="1" ref="AX4" ca="1">_xlfn.RANDARRAY(2,1,1023456789000,9999999999999,TRUE)</f>
        <v>6959090297232</v>
      </c>
      <c r="AY4" s="17" t="s">
        <v>100</v>
      </c>
      <c r="AZ4" s="17" t="s">
        <v>101</v>
      </c>
      <c r="BA4" s="13" t="s">
        <v>74</v>
      </c>
      <c r="BB4" s="31" t="s">
        <v>102</v>
      </c>
      <c r="BC4" s="32">
        <f t="array" aca="1" ref="BC4" ca="1">_xlfn.RANDARRAY(2,1,12345678,99999999,TRUE)</f>
        <v>41841977</v>
      </c>
      <c r="BD4" s="17" t="s">
        <v>100</v>
      </c>
      <c r="BE4" s="17" t="s">
        <v>103</v>
      </c>
      <c r="BF4" s="19" t="s">
        <v>104</v>
      </c>
      <c r="BG4" s="17">
        <v>31779</v>
      </c>
      <c r="BH4" s="13" t="s">
        <v>105</v>
      </c>
      <c r="BI4" s="13" t="s">
        <v>74</v>
      </c>
      <c r="BJ4" s="13" t="s">
        <v>106</v>
      </c>
      <c r="BK4" s="33" t="s">
        <v>90</v>
      </c>
      <c r="BL4" s="13" t="s">
        <v>107</v>
      </c>
      <c r="BM4" s="34" t="s">
        <v>108</v>
      </c>
      <c r="BN4" s="13" t="s">
        <v>109</v>
      </c>
      <c r="BO4" s="13" t="s">
        <v>74</v>
      </c>
      <c r="BP4" s="13" t="s">
        <v>110</v>
      </c>
      <c r="BQ4" s="13">
        <f t="array" aca="1" ref="BQ4" ca="1">_xlfn.RANDARRAY(2,1,12345,99999,TRUE)</f>
        <v>60000</v>
      </c>
      <c r="BR4" s="17">
        <v>44562</v>
      </c>
      <c r="BS4" s="17">
        <v>47119</v>
      </c>
      <c r="BT4" s="22">
        <v>44562</v>
      </c>
      <c r="BU4" s="22">
        <f t="shared" ca="1" si="4"/>
        <v>46192</v>
      </c>
      <c r="BV4" s="16" t="s">
        <v>111</v>
      </c>
    </row>
    <row r="5" spans="1:74" ht="15.65" customHeight="1" x14ac:dyDescent="0.35">
      <c r="A5" s="9" t="s">
        <v>70</v>
      </c>
      <c r="B5" s="10" t="s">
        <v>120</v>
      </c>
      <c r="C5" s="11" t="s">
        <v>72</v>
      </c>
      <c r="D5" s="12" t="s">
        <v>73</v>
      </c>
      <c r="E5" s="13" t="s">
        <v>74</v>
      </c>
      <c r="F5" s="14" t="s">
        <v>121</v>
      </c>
      <c r="G5" s="14" t="s">
        <v>122</v>
      </c>
      <c r="H5" s="15" t="s">
        <v>123</v>
      </c>
      <c r="I5" s="16" t="s">
        <v>78</v>
      </c>
      <c r="J5" s="16" t="s">
        <v>79</v>
      </c>
      <c r="K5" s="17">
        <f t="shared" ca="1" si="0"/>
        <v>45820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v>45823</v>
      </c>
      <c r="V5" s="16" t="s">
        <v>84</v>
      </c>
      <c r="W5" s="23" t="s">
        <v>85</v>
      </c>
      <c r="X5" s="24" t="s">
        <v>86</v>
      </c>
      <c r="Y5" s="24" t="s">
        <v>87</v>
      </c>
      <c r="Z5" s="24" t="s">
        <v>88</v>
      </c>
      <c r="AA5" s="25">
        <v>795</v>
      </c>
      <c r="AB5" s="25" t="s">
        <v>89</v>
      </c>
      <c r="AC5" s="26">
        <v>20</v>
      </c>
      <c r="AD5" s="27" t="s">
        <v>90</v>
      </c>
      <c r="AE5" s="28" t="s">
        <v>124</v>
      </c>
      <c r="AF5" s="29" t="s">
        <v>90</v>
      </c>
      <c r="AG5" s="16" t="s">
        <v>92</v>
      </c>
      <c r="AH5" s="16" t="s">
        <v>93</v>
      </c>
      <c r="AI5" s="16" t="s">
        <v>90</v>
      </c>
      <c r="AJ5" s="17">
        <f t="shared" ca="1" si="5"/>
        <v>45727</v>
      </c>
      <c r="AK5" s="17">
        <f t="shared" ca="1" si="5"/>
        <v>45727</v>
      </c>
      <c r="AL5" s="17">
        <f t="shared" ca="1" si="5"/>
        <v>45727</v>
      </c>
      <c r="AM5" s="22" t="str">
        <f t="shared" si="2"/>
        <v>N/A</v>
      </c>
      <c r="AN5" s="16" t="s">
        <v>94</v>
      </c>
      <c r="AO5" s="30" t="s">
        <v>95</v>
      </c>
      <c r="AP5" s="24" t="s">
        <v>96</v>
      </c>
      <c r="AQ5" s="24" t="s">
        <v>97</v>
      </c>
      <c r="AR5" s="19" t="s">
        <v>98</v>
      </c>
      <c r="AS5" s="13" t="s">
        <v>90</v>
      </c>
      <c r="AT5" s="13" t="s">
        <v>90</v>
      </c>
      <c r="AU5" s="17">
        <f t="shared" ca="1" si="3"/>
        <v>45834</v>
      </c>
      <c r="AV5" s="13" t="s">
        <v>74</v>
      </c>
      <c r="AW5" s="31" t="s">
        <v>99</v>
      </c>
      <c r="AX5" s="32">
        <f t="array" aca="1" ref="AX5" ca="1">_xlfn.RANDARRAY(2,1,1023456789000,9999999999999,TRUE)</f>
        <v>9373897879037</v>
      </c>
      <c r="AY5" s="17" t="s">
        <v>100</v>
      </c>
      <c r="AZ5" s="17" t="s">
        <v>101</v>
      </c>
      <c r="BA5" s="13" t="s">
        <v>74</v>
      </c>
      <c r="BB5" s="31" t="s">
        <v>102</v>
      </c>
      <c r="BC5" s="32">
        <f t="array" aca="1" ref="BC5" ca="1">_xlfn.RANDARRAY(2,1,12345678,99999999,TRUE)</f>
        <v>47637963</v>
      </c>
      <c r="BD5" s="17" t="s">
        <v>100</v>
      </c>
      <c r="BE5" s="17" t="s">
        <v>103</v>
      </c>
      <c r="BF5" s="19" t="s">
        <v>104</v>
      </c>
      <c r="BG5" s="17">
        <v>31780</v>
      </c>
      <c r="BH5" s="13" t="s">
        <v>105</v>
      </c>
      <c r="BI5" s="13" t="s">
        <v>74</v>
      </c>
      <c r="BJ5" s="13" t="s">
        <v>106</v>
      </c>
      <c r="BK5" s="33" t="s">
        <v>90</v>
      </c>
      <c r="BL5" s="13" t="s">
        <v>107</v>
      </c>
      <c r="BM5" s="34" t="s">
        <v>108</v>
      </c>
      <c r="BN5" s="13" t="s">
        <v>109</v>
      </c>
      <c r="BO5" s="13" t="s">
        <v>74</v>
      </c>
      <c r="BP5" s="13" t="s">
        <v>110</v>
      </c>
      <c r="BQ5" s="13">
        <f t="array" aca="1" ref="BQ5" ca="1">_xlfn.RANDARRAY(2,1,12345,99999,TRUE)</f>
        <v>22701</v>
      </c>
      <c r="BR5" s="17">
        <v>44562</v>
      </c>
      <c r="BS5" s="17">
        <v>47119</v>
      </c>
      <c r="BT5" s="22">
        <v>44562</v>
      </c>
      <c r="BU5" s="22">
        <f t="shared" ca="1" si="4"/>
        <v>46192</v>
      </c>
      <c r="BV5" s="16" t="s">
        <v>111</v>
      </c>
    </row>
    <row r="6" spans="1:74" ht="15.65" customHeight="1" x14ac:dyDescent="0.35">
      <c r="A6" s="9" t="s">
        <v>70</v>
      </c>
      <c r="B6" s="10" t="s">
        <v>125</v>
      </c>
      <c r="C6" s="11" t="s">
        <v>72</v>
      </c>
      <c r="D6" s="12" t="s">
        <v>73</v>
      </c>
      <c r="E6" s="13" t="s">
        <v>74</v>
      </c>
      <c r="F6" s="14" t="s">
        <v>126</v>
      </c>
      <c r="G6" s="14" t="s">
        <v>127</v>
      </c>
      <c r="H6" s="15" t="s">
        <v>128</v>
      </c>
      <c r="I6" s="16" t="s">
        <v>78</v>
      </c>
      <c r="J6" s="16" t="s">
        <v>79</v>
      </c>
      <c r="K6" s="17">
        <f t="shared" ca="1" si="0"/>
        <v>45820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v>45824</v>
      </c>
      <c r="V6" s="16" t="s">
        <v>84</v>
      </c>
      <c r="W6" s="23" t="s">
        <v>85</v>
      </c>
      <c r="X6" s="24" t="s">
        <v>86</v>
      </c>
      <c r="Y6" s="24" t="s">
        <v>87</v>
      </c>
      <c r="Z6" s="24" t="s">
        <v>88</v>
      </c>
      <c r="AA6" s="25">
        <v>795</v>
      </c>
      <c r="AB6" s="25" t="s">
        <v>89</v>
      </c>
      <c r="AC6" s="26">
        <v>20</v>
      </c>
      <c r="AD6" s="27" t="s">
        <v>90</v>
      </c>
      <c r="AE6" s="28" t="s">
        <v>124</v>
      </c>
      <c r="AF6" s="29" t="s">
        <v>90</v>
      </c>
      <c r="AG6" s="16" t="s">
        <v>92</v>
      </c>
      <c r="AH6" s="16" t="s">
        <v>93</v>
      </c>
      <c r="AI6" s="16" t="s">
        <v>90</v>
      </c>
      <c r="AJ6" s="17">
        <f t="shared" ca="1" si="5"/>
        <v>45727</v>
      </c>
      <c r="AK6" s="17">
        <f t="shared" ca="1" si="5"/>
        <v>45727</v>
      </c>
      <c r="AL6" s="17">
        <f t="shared" ca="1" si="5"/>
        <v>45727</v>
      </c>
      <c r="AM6" s="22" t="str">
        <f t="shared" si="2"/>
        <v>N/A</v>
      </c>
      <c r="AN6" s="16" t="s">
        <v>94</v>
      </c>
      <c r="AO6" s="30" t="s">
        <v>95</v>
      </c>
      <c r="AP6" s="24" t="s">
        <v>96</v>
      </c>
      <c r="AQ6" s="24" t="s">
        <v>97</v>
      </c>
      <c r="AR6" s="19" t="s">
        <v>98</v>
      </c>
      <c r="AS6" s="13" t="s">
        <v>90</v>
      </c>
      <c r="AT6" s="13" t="s">
        <v>90</v>
      </c>
      <c r="AU6" s="17">
        <f t="shared" ca="1" si="3"/>
        <v>45834</v>
      </c>
      <c r="AV6" s="13" t="s">
        <v>74</v>
      </c>
      <c r="AW6" s="31" t="s">
        <v>99</v>
      </c>
      <c r="AX6" s="32">
        <f t="array" aca="1" ref="AX6" ca="1">_xlfn.RANDARRAY(2,1,1023456789000,9999999999999,TRUE)</f>
        <v>8578906237497</v>
      </c>
      <c r="AY6" s="17" t="s">
        <v>100</v>
      </c>
      <c r="AZ6" s="17" t="s">
        <v>101</v>
      </c>
      <c r="BA6" s="13" t="s">
        <v>74</v>
      </c>
      <c r="BB6" s="31" t="s">
        <v>102</v>
      </c>
      <c r="BC6" s="32">
        <f t="array" aca="1" ref="BC6" ca="1">_xlfn.RANDARRAY(2,1,12345678,99999999,TRUE)</f>
        <v>30648673</v>
      </c>
      <c r="BD6" s="17" t="s">
        <v>100</v>
      </c>
      <c r="BE6" s="17" t="s">
        <v>103</v>
      </c>
      <c r="BF6" s="19" t="s">
        <v>104</v>
      </c>
      <c r="BG6" s="17">
        <v>31781</v>
      </c>
      <c r="BH6" s="13" t="s">
        <v>105</v>
      </c>
      <c r="BI6" s="13" t="s">
        <v>74</v>
      </c>
      <c r="BJ6" s="13" t="s">
        <v>106</v>
      </c>
      <c r="BK6" s="33" t="s">
        <v>90</v>
      </c>
      <c r="BL6" s="13" t="s">
        <v>107</v>
      </c>
      <c r="BM6" s="34" t="s">
        <v>108</v>
      </c>
      <c r="BN6" s="13" t="s">
        <v>109</v>
      </c>
      <c r="BO6" s="13" t="s">
        <v>74</v>
      </c>
      <c r="BP6" s="13" t="s">
        <v>110</v>
      </c>
      <c r="BQ6" s="13">
        <f t="array" aca="1" ref="BQ6" ca="1">_xlfn.RANDARRAY(2,1,12345,99999,TRUE)</f>
        <v>69048</v>
      </c>
      <c r="BR6" s="17">
        <v>44562</v>
      </c>
      <c r="BS6" s="17">
        <v>47119</v>
      </c>
      <c r="BT6" s="22">
        <v>44562</v>
      </c>
      <c r="BU6" s="22">
        <f t="shared" ca="1" si="4"/>
        <v>46192</v>
      </c>
      <c r="BV6" s="16" t="s">
        <v>111</v>
      </c>
    </row>
    <row r="7" spans="1:74" ht="15.65" customHeight="1" x14ac:dyDescent="0.35">
      <c r="A7" s="9" t="s">
        <v>70</v>
      </c>
      <c r="B7" t="s">
        <v>145</v>
      </c>
      <c r="C7" s="11" t="s">
        <v>146</v>
      </c>
      <c r="D7" s="12" t="s">
        <v>73</v>
      </c>
      <c r="E7" s="13" t="s">
        <v>74</v>
      </c>
      <c r="F7" s="14" t="s">
        <v>129</v>
      </c>
      <c r="G7" s="14" t="s">
        <v>130</v>
      </c>
      <c r="H7" s="15" t="s">
        <v>131</v>
      </c>
      <c r="I7" s="16" t="s">
        <v>78</v>
      </c>
      <c r="J7" s="16" t="s">
        <v>79</v>
      </c>
      <c r="K7" s="17">
        <f t="shared" ca="1" si="0"/>
        <v>45820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v>45901</v>
      </c>
      <c r="V7" s="16" t="s">
        <v>84</v>
      </c>
      <c r="W7" s="23" t="s">
        <v>85</v>
      </c>
      <c r="X7" s="24" t="s">
        <v>86</v>
      </c>
      <c r="Y7" s="24" t="s">
        <v>87</v>
      </c>
      <c r="Z7" s="24" t="s">
        <v>88</v>
      </c>
      <c r="AA7" s="25">
        <v>795</v>
      </c>
      <c r="AB7" s="25" t="s">
        <v>89</v>
      </c>
      <c r="AC7" s="26">
        <v>16</v>
      </c>
      <c r="AD7" s="27" t="s">
        <v>90</v>
      </c>
      <c r="AE7" s="28" t="s">
        <v>124</v>
      </c>
      <c r="AF7" s="29" t="s">
        <v>90</v>
      </c>
      <c r="AG7" s="16" t="s">
        <v>92</v>
      </c>
      <c r="AH7" s="16" t="s">
        <v>93</v>
      </c>
      <c r="AI7" s="16" t="s">
        <v>90</v>
      </c>
      <c r="AJ7" s="17">
        <f t="shared" ca="1" si="5"/>
        <v>45727</v>
      </c>
      <c r="AK7" s="17">
        <f t="shared" ca="1" si="5"/>
        <v>45727</v>
      </c>
      <c r="AL7" s="17">
        <f t="shared" ca="1" si="5"/>
        <v>45727</v>
      </c>
      <c r="AM7" s="22" t="str">
        <f t="shared" si="2"/>
        <v>N/A</v>
      </c>
      <c r="AN7" s="16" t="s">
        <v>94</v>
      </c>
      <c r="AO7" s="30" t="s">
        <v>95</v>
      </c>
      <c r="AP7" s="24" t="s">
        <v>96</v>
      </c>
      <c r="AQ7" s="24" t="s">
        <v>97</v>
      </c>
      <c r="AR7" s="19" t="s">
        <v>98</v>
      </c>
      <c r="AS7" s="13" t="s">
        <v>90</v>
      </c>
      <c r="AT7" s="13" t="s">
        <v>90</v>
      </c>
      <c r="AU7" s="17">
        <f t="shared" ca="1" si="3"/>
        <v>45834</v>
      </c>
      <c r="AV7" s="13" t="s">
        <v>74</v>
      </c>
      <c r="AW7" s="31" t="s">
        <v>99</v>
      </c>
      <c r="AX7" s="32">
        <f t="array" aca="1" ref="AX7" ca="1">_xlfn.RANDARRAY(2,1,1023456789000,9999999999999,TRUE)</f>
        <v>5942782440791</v>
      </c>
      <c r="AY7" s="17" t="s">
        <v>100</v>
      </c>
      <c r="AZ7" s="17" t="s">
        <v>101</v>
      </c>
      <c r="BA7" s="13" t="s">
        <v>74</v>
      </c>
      <c r="BB7" s="31" t="s">
        <v>102</v>
      </c>
      <c r="BC7" s="32">
        <f t="array" aca="1" ref="BC7" ca="1">_xlfn.RANDARRAY(2,1,12345678,99999999,TRUE)</f>
        <v>51953810</v>
      </c>
      <c r="BD7" s="17" t="s">
        <v>100</v>
      </c>
      <c r="BE7" s="17" t="s">
        <v>103</v>
      </c>
      <c r="BF7" s="19" t="s">
        <v>104</v>
      </c>
      <c r="BG7" s="17">
        <v>31782</v>
      </c>
      <c r="BH7" s="13" t="s">
        <v>105</v>
      </c>
      <c r="BI7" s="13" t="s">
        <v>74</v>
      </c>
      <c r="BJ7" s="13" t="s">
        <v>106</v>
      </c>
      <c r="BK7" s="33" t="s">
        <v>90</v>
      </c>
      <c r="BL7" s="13" t="s">
        <v>107</v>
      </c>
      <c r="BM7" s="34" t="s">
        <v>108</v>
      </c>
      <c r="BN7" s="13" t="s">
        <v>109</v>
      </c>
      <c r="BO7" s="13" t="s">
        <v>74</v>
      </c>
      <c r="BP7" s="13" t="s">
        <v>110</v>
      </c>
      <c r="BQ7" s="13">
        <f t="array" aca="1" ref="BQ7" ca="1">_xlfn.RANDARRAY(2,1,12345,99999,TRUE)</f>
        <v>80042</v>
      </c>
      <c r="BR7" s="17">
        <v>44562</v>
      </c>
      <c r="BS7" s="17">
        <v>47119</v>
      </c>
      <c r="BT7" s="22">
        <v>44562</v>
      </c>
      <c r="BU7" s="22">
        <f t="shared" ca="1" si="4"/>
        <v>46192</v>
      </c>
      <c r="BV7" s="16" t="s">
        <v>111</v>
      </c>
    </row>
    <row r="8" spans="1:74" ht="15.65" customHeight="1" x14ac:dyDescent="0.35">
      <c r="A8" s="9" t="s">
        <v>70</v>
      </c>
      <c r="B8" t="s">
        <v>145</v>
      </c>
      <c r="C8" s="11" t="s">
        <v>146</v>
      </c>
      <c r="D8" s="12" t="s">
        <v>73</v>
      </c>
      <c r="E8" s="13" t="s">
        <v>74</v>
      </c>
      <c r="F8" s="14" t="s">
        <v>132</v>
      </c>
      <c r="G8" s="14" t="s">
        <v>133</v>
      </c>
      <c r="H8" s="15" t="s">
        <v>134</v>
      </c>
      <c r="I8" s="16" t="s">
        <v>78</v>
      </c>
      <c r="J8" s="16" t="s">
        <v>79</v>
      </c>
      <c r="K8" s="17">
        <f t="shared" ca="1" si="0"/>
        <v>45820</v>
      </c>
      <c r="L8" s="13" t="s">
        <v>74</v>
      </c>
      <c r="M8" s="18" t="s">
        <v>80</v>
      </c>
      <c r="N8" s="18" t="s">
        <v>81</v>
      </c>
      <c r="O8" s="19" t="s">
        <v>81</v>
      </c>
      <c r="P8" s="16">
        <v>1542</v>
      </c>
      <c r="Q8" s="16" t="s">
        <v>79</v>
      </c>
      <c r="R8" s="20" t="s">
        <v>82</v>
      </c>
      <c r="S8" s="21" t="s">
        <v>83</v>
      </c>
      <c r="T8" s="16" t="s">
        <v>79</v>
      </c>
      <c r="U8" s="22">
        <v>46006</v>
      </c>
      <c r="V8" s="16" t="s">
        <v>84</v>
      </c>
      <c r="W8" s="23" t="s">
        <v>85</v>
      </c>
      <c r="X8" s="24" t="s">
        <v>86</v>
      </c>
      <c r="Y8" s="24" t="s">
        <v>87</v>
      </c>
      <c r="Z8" s="24" t="s">
        <v>88</v>
      </c>
      <c r="AA8" s="25">
        <v>795</v>
      </c>
      <c r="AB8" s="25" t="s">
        <v>89</v>
      </c>
      <c r="AC8" s="26">
        <v>20</v>
      </c>
      <c r="AD8" s="27" t="s">
        <v>90</v>
      </c>
      <c r="AE8" s="28" t="s">
        <v>135</v>
      </c>
      <c r="AF8" s="29" t="s">
        <v>90</v>
      </c>
      <c r="AG8" s="16" t="s">
        <v>92</v>
      </c>
      <c r="AH8" s="16" t="s">
        <v>93</v>
      </c>
      <c r="AI8" s="16" t="s">
        <v>90</v>
      </c>
      <c r="AJ8" s="17">
        <f t="shared" ca="1" si="5"/>
        <v>45727</v>
      </c>
      <c r="AK8" s="17">
        <f t="shared" ca="1" si="5"/>
        <v>45727</v>
      </c>
      <c r="AL8" s="17">
        <f t="shared" ca="1" si="5"/>
        <v>45727</v>
      </c>
      <c r="AM8" s="22" t="str">
        <f t="shared" si="2"/>
        <v>N/A</v>
      </c>
      <c r="AN8" s="16" t="s">
        <v>94</v>
      </c>
      <c r="AO8" s="30" t="s">
        <v>95</v>
      </c>
      <c r="AP8" s="24" t="s">
        <v>96</v>
      </c>
      <c r="AQ8" s="24" t="s">
        <v>97</v>
      </c>
      <c r="AR8" s="19" t="s">
        <v>98</v>
      </c>
      <c r="AS8" s="13" t="s">
        <v>90</v>
      </c>
      <c r="AT8" s="13" t="s">
        <v>90</v>
      </c>
      <c r="AU8" s="17">
        <f t="shared" ca="1" si="3"/>
        <v>45834</v>
      </c>
      <c r="AV8" s="13" t="s">
        <v>74</v>
      </c>
      <c r="AW8" s="31" t="s">
        <v>99</v>
      </c>
      <c r="AX8" s="32">
        <f t="array" aca="1" ref="AX8" ca="1">_xlfn.RANDARRAY(2,1,1023456789000,9999999999999,TRUE)</f>
        <v>9227808073273</v>
      </c>
      <c r="AY8" s="17" t="s">
        <v>100</v>
      </c>
      <c r="AZ8" s="17" t="s">
        <v>101</v>
      </c>
      <c r="BA8" s="13" t="s">
        <v>74</v>
      </c>
      <c r="BB8" s="31" t="s">
        <v>102</v>
      </c>
      <c r="BC8" s="32">
        <f t="array" aca="1" ref="BC8" ca="1">_xlfn.RANDARRAY(2,1,12345678,99999999,TRUE)</f>
        <v>49463239</v>
      </c>
      <c r="BD8" s="17" t="s">
        <v>100</v>
      </c>
      <c r="BE8" s="17" t="s">
        <v>103</v>
      </c>
      <c r="BF8" s="19" t="s">
        <v>104</v>
      </c>
      <c r="BG8" s="17">
        <v>31783</v>
      </c>
      <c r="BH8" s="13" t="s">
        <v>105</v>
      </c>
      <c r="BI8" s="13" t="s">
        <v>74</v>
      </c>
      <c r="BJ8" s="13" t="s">
        <v>106</v>
      </c>
      <c r="BK8" s="33" t="s">
        <v>90</v>
      </c>
      <c r="BL8" s="13" t="s">
        <v>107</v>
      </c>
      <c r="BM8" s="34" t="s">
        <v>108</v>
      </c>
      <c r="BN8" s="13" t="s">
        <v>109</v>
      </c>
      <c r="BO8" s="13" t="s">
        <v>74</v>
      </c>
      <c r="BP8" s="13" t="s">
        <v>110</v>
      </c>
      <c r="BQ8" s="13">
        <f t="array" aca="1" ref="BQ8" ca="1">_xlfn.RANDARRAY(2,1,12345,99999,TRUE)</f>
        <v>40133</v>
      </c>
      <c r="BR8" s="17">
        <v>44562</v>
      </c>
      <c r="BS8" s="17">
        <v>47119</v>
      </c>
      <c r="BT8" s="22">
        <v>44562</v>
      </c>
      <c r="BU8" s="22">
        <f t="shared" ca="1" si="4"/>
        <v>46192</v>
      </c>
      <c r="BV8" s="16" t="s">
        <v>111</v>
      </c>
    </row>
    <row r="9" spans="1:74" ht="15.65" customHeight="1" x14ac:dyDescent="0.35">
      <c r="A9" s="9" t="s">
        <v>70</v>
      </c>
      <c r="B9" t="s">
        <v>145</v>
      </c>
      <c r="C9" s="11" t="s">
        <v>146</v>
      </c>
      <c r="D9" s="12" t="s">
        <v>73</v>
      </c>
      <c r="E9" s="13" t="s">
        <v>74</v>
      </c>
      <c r="F9" s="14" t="s">
        <v>136</v>
      </c>
      <c r="G9" s="14" t="s">
        <v>137</v>
      </c>
      <c r="H9" s="15" t="s">
        <v>138</v>
      </c>
      <c r="I9" s="16" t="s">
        <v>78</v>
      </c>
      <c r="J9" s="16" t="s">
        <v>79</v>
      </c>
      <c r="K9" s="17">
        <f t="shared" ca="1" si="0"/>
        <v>45820</v>
      </c>
      <c r="L9" s="13" t="s">
        <v>74</v>
      </c>
      <c r="M9" s="18" t="s">
        <v>80</v>
      </c>
      <c r="N9" s="18" t="s">
        <v>81</v>
      </c>
      <c r="O9" s="19" t="s">
        <v>81</v>
      </c>
      <c r="P9" s="16">
        <v>1542</v>
      </c>
      <c r="Q9" s="16" t="s">
        <v>79</v>
      </c>
      <c r="R9" s="20" t="s">
        <v>82</v>
      </c>
      <c r="S9" s="21" t="s">
        <v>83</v>
      </c>
      <c r="T9" s="16" t="s">
        <v>79</v>
      </c>
      <c r="U9" s="22">
        <v>45854</v>
      </c>
      <c r="V9" s="16" t="s">
        <v>84</v>
      </c>
      <c r="W9" s="23" t="s">
        <v>85</v>
      </c>
      <c r="X9" s="24" t="s">
        <v>86</v>
      </c>
      <c r="Y9" s="24" t="s">
        <v>87</v>
      </c>
      <c r="Z9" s="24" t="s">
        <v>88</v>
      </c>
      <c r="AA9" s="25">
        <v>795</v>
      </c>
      <c r="AB9" s="25" t="s">
        <v>89</v>
      </c>
      <c r="AC9" s="26">
        <v>20</v>
      </c>
      <c r="AD9" s="27" t="s">
        <v>90</v>
      </c>
      <c r="AE9" s="28" t="s">
        <v>135</v>
      </c>
      <c r="AF9" s="29" t="s">
        <v>90</v>
      </c>
      <c r="AG9" s="16" t="s">
        <v>92</v>
      </c>
      <c r="AH9" s="16" t="s">
        <v>93</v>
      </c>
      <c r="AI9" s="16" t="s">
        <v>90</v>
      </c>
      <c r="AJ9" s="17">
        <f t="shared" ca="1" si="5"/>
        <v>45727</v>
      </c>
      <c r="AK9" s="17">
        <f t="shared" ca="1" si="5"/>
        <v>45727</v>
      </c>
      <c r="AL9" s="17">
        <f t="shared" ca="1" si="5"/>
        <v>45727</v>
      </c>
      <c r="AM9" s="22" t="str">
        <f t="shared" si="2"/>
        <v>N/A</v>
      </c>
      <c r="AN9" s="16" t="s">
        <v>94</v>
      </c>
      <c r="AO9" s="30" t="s">
        <v>95</v>
      </c>
      <c r="AP9" s="24" t="s">
        <v>96</v>
      </c>
      <c r="AQ9" s="24" t="s">
        <v>97</v>
      </c>
      <c r="AR9" s="19" t="s">
        <v>98</v>
      </c>
      <c r="AS9" s="13" t="s">
        <v>90</v>
      </c>
      <c r="AT9" s="13" t="s">
        <v>90</v>
      </c>
      <c r="AU9" s="17">
        <f t="shared" ca="1" si="3"/>
        <v>45834</v>
      </c>
      <c r="AV9" s="13" t="s">
        <v>74</v>
      </c>
      <c r="AW9" s="31" t="s">
        <v>99</v>
      </c>
      <c r="AX9" s="32">
        <f t="array" aca="1" ref="AX9" ca="1">_xlfn.RANDARRAY(2,1,1023456789000,9999999999999,TRUE)</f>
        <v>3832827252263</v>
      </c>
      <c r="AY9" s="17" t="s">
        <v>100</v>
      </c>
      <c r="AZ9" s="17" t="s">
        <v>101</v>
      </c>
      <c r="BA9" s="13" t="s">
        <v>74</v>
      </c>
      <c r="BB9" s="31" t="s">
        <v>102</v>
      </c>
      <c r="BC9" s="32">
        <f t="array" aca="1" ref="BC9" ca="1">_xlfn.RANDARRAY(2,1,12345678,99999999,TRUE)</f>
        <v>70425670</v>
      </c>
      <c r="BD9" s="17" t="s">
        <v>100</v>
      </c>
      <c r="BE9" s="17" t="s">
        <v>103</v>
      </c>
      <c r="BF9" s="19" t="s">
        <v>104</v>
      </c>
      <c r="BG9" s="17">
        <v>31784</v>
      </c>
      <c r="BH9" s="13" t="s">
        <v>105</v>
      </c>
      <c r="BI9" s="13" t="s">
        <v>74</v>
      </c>
      <c r="BJ9" s="13" t="s">
        <v>106</v>
      </c>
      <c r="BK9" s="33" t="s">
        <v>90</v>
      </c>
      <c r="BL9" s="13" t="s">
        <v>107</v>
      </c>
      <c r="BM9" s="34" t="s">
        <v>108</v>
      </c>
      <c r="BN9" s="13" t="s">
        <v>109</v>
      </c>
      <c r="BO9" s="13" t="s">
        <v>74</v>
      </c>
      <c r="BP9" s="13" t="s">
        <v>110</v>
      </c>
      <c r="BQ9" s="13">
        <f t="array" aca="1" ref="BQ9" ca="1">_xlfn.RANDARRAY(2,1,12345,99999,TRUE)</f>
        <v>29109</v>
      </c>
      <c r="BR9" s="17">
        <v>44562</v>
      </c>
      <c r="BS9" s="17">
        <v>47119</v>
      </c>
      <c r="BT9" s="22">
        <v>44562</v>
      </c>
      <c r="BU9" s="22">
        <f t="shared" ca="1" si="4"/>
        <v>46192</v>
      </c>
      <c r="BV9" s="16" t="s">
        <v>111</v>
      </c>
    </row>
    <row r="10" spans="1:74" ht="15.65" customHeight="1" x14ac:dyDescent="0.35">
      <c r="A10" s="9" t="s">
        <v>70</v>
      </c>
      <c r="B10" t="s">
        <v>145</v>
      </c>
      <c r="C10" s="11" t="s">
        <v>146</v>
      </c>
      <c r="D10" s="12" t="s">
        <v>73</v>
      </c>
      <c r="E10" s="13" t="s">
        <v>74</v>
      </c>
      <c r="F10" s="14" t="s">
        <v>139</v>
      </c>
      <c r="G10" s="14" t="s">
        <v>140</v>
      </c>
      <c r="H10" s="15" t="s">
        <v>141</v>
      </c>
      <c r="I10" s="16" t="s">
        <v>78</v>
      </c>
      <c r="J10" s="16" t="s">
        <v>79</v>
      </c>
      <c r="K10" s="17">
        <f t="shared" ca="1" si="0"/>
        <v>45820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v>45793</v>
      </c>
      <c r="V10" s="16" t="s">
        <v>84</v>
      </c>
      <c r="W10" s="23" t="s">
        <v>85</v>
      </c>
      <c r="X10" s="24" t="s">
        <v>86</v>
      </c>
      <c r="Y10" s="24" t="s">
        <v>87</v>
      </c>
      <c r="Z10" s="24" t="s">
        <v>88</v>
      </c>
      <c r="AA10" s="25">
        <v>795</v>
      </c>
      <c r="AB10" s="25" t="s">
        <v>89</v>
      </c>
      <c r="AC10" s="26">
        <v>20</v>
      </c>
      <c r="AD10" s="27" t="s">
        <v>90</v>
      </c>
      <c r="AE10" s="28" t="s">
        <v>135</v>
      </c>
      <c r="AF10" s="29" t="s">
        <v>90</v>
      </c>
      <c r="AG10" s="16" t="s">
        <v>92</v>
      </c>
      <c r="AH10" s="16" t="s">
        <v>93</v>
      </c>
      <c r="AI10" s="16" t="s">
        <v>90</v>
      </c>
      <c r="AJ10" s="17">
        <f t="shared" ca="1" si="5"/>
        <v>45727</v>
      </c>
      <c r="AK10" s="17">
        <f t="shared" ca="1" si="5"/>
        <v>45727</v>
      </c>
      <c r="AL10" s="17">
        <f t="shared" ca="1" si="5"/>
        <v>45727</v>
      </c>
      <c r="AM10" s="22" t="str">
        <f t="shared" si="2"/>
        <v>N/A</v>
      </c>
      <c r="AN10" s="16" t="s">
        <v>94</v>
      </c>
      <c r="AO10" s="30" t="s">
        <v>95</v>
      </c>
      <c r="AP10" s="24" t="s">
        <v>96</v>
      </c>
      <c r="AQ10" s="24" t="s">
        <v>97</v>
      </c>
      <c r="AR10" s="19" t="s">
        <v>98</v>
      </c>
      <c r="AS10" s="13" t="s">
        <v>90</v>
      </c>
      <c r="AT10" s="13" t="s">
        <v>90</v>
      </c>
      <c r="AU10" s="17">
        <f t="shared" ca="1" si="3"/>
        <v>45834</v>
      </c>
      <c r="AV10" s="13" t="s">
        <v>74</v>
      </c>
      <c r="AW10" s="31" t="s">
        <v>99</v>
      </c>
      <c r="AX10" s="32">
        <f t="array" aca="1" ref="AX10" ca="1">_xlfn.RANDARRAY(2,1,1023456789000,9999999999999,TRUE)</f>
        <v>8352532390678</v>
      </c>
      <c r="AY10" s="17" t="s">
        <v>100</v>
      </c>
      <c r="AZ10" s="17" t="s">
        <v>101</v>
      </c>
      <c r="BA10" s="13" t="s">
        <v>74</v>
      </c>
      <c r="BB10" s="31" t="s">
        <v>102</v>
      </c>
      <c r="BC10" s="32">
        <f t="array" aca="1" ref="BC10" ca="1">_xlfn.RANDARRAY(2,1,12345678,99999999,TRUE)</f>
        <v>19847454</v>
      </c>
      <c r="BD10" s="17" t="s">
        <v>100</v>
      </c>
      <c r="BE10" s="17" t="s">
        <v>103</v>
      </c>
      <c r="BF10" s="19" t="s">
        <v>104</v>
      </c>
      <c r="BG10" s="17">
        <v>31785</v>
      </c>
      <c r="BH10" s="13" t="s">
        <v>105</v>
      </c>
      <c r="BI10" s="13" t="s">
        <v>74</v>
      </c>
      <c r="BJ10" s="13" t="s">
        <v>106</v>
      </c>
      <c r="BK10" s="33" t="s">
        <v>90</v>
      </c>
      <c r="BL10" s="13" t="s">
        <v>107</v>
      </c>
      <c r="BM10" s="34" t="s">
        <v>108</v>
      </c>
      <c r="BN10" s="13" t="s">
        <v>109</v>
      </c>
      <c r="BO10" s="13" t="s">
        <v>74</v>
      </c>
      <c r="BP10" s="13" t="s">
        <v>110</v>
      </c>
      <c r="BQ10" s="13">
        <f t="array" aca="1" ref="BQ10" ca="1">_xlfn.RANDARRAY(2,1,12345,99999,TRUE)</f>
        <v>24175</v>
      </c>
      <c r="BR10" s="17">
        <v>44562</v>
      </c>
      <c r="BS10" s="17">
        <v>47119</v>
      </c>
      <c r="BT10" s="22">
        <v>44562</v>
      </c>
      <c r="BU10" s="22">
        <f t="shared" ca="1" si="4"/>
        <v>46192</v>
      </c>
      <c r="BV10" s="16" t="s">
        <v>111</v>
      </c>
    </row>
    <row r="11" spans="1:74" ht="15.65" customHeight="1" x14ac:dyDescent="0.35">
      <c r="A11" s="9" t="s">
        <v>70</v>
      </c>
      <c r="B11" t="s">
        <v>145</v>
      </c>
      <c r="C11" s="11" t="s">
        <v>146</v>
      </c>
      <c r="D11" s="12" t="s">
        <v>73</v>
      </c>
      <c r="E11" s="13" t="s">
        <v>74</v>
      </c>
      <c r="F11" s="14" t="s">
        <v>142</v>
      </c>
      <c r="G11" s="14" t="s">
        <v>143</v>
      </c>
      <c r="H11" s="15" t="s">
        <v>144</v>
      </c>
      <c r="I11" s="16" t="s">
        <v>78</v>
      </c>
      <c r="J11" s="16" t="s">
        <v>79</v>
      </c>
      <c r="K11" s="17">
        <f t="shared" ca="1" si="0"/>
        <v>45820</v>
      </c>
      <c r="L11" s="13" t="s">
        <v>74</v>
      </c>
      <c r="M11" s="18" t="s">
        <v>80</v>
      </c>
      <c r="N11" s="18" t="s">
        <v>81</v>
      </c>
      <c r="O11" s="19" t="s">
        <v>81</v>
      </c>
      <c r="P11" s="16">
        <v>1542</v>
      </c>
      <c r="Q11" s="16" t="s">
        <v>79</v>
      </c>
      <c r="R11" s="20" t="s">
        <v>82</v>
      </c>
      <c r="S11" s="21" t="s">
        <v>83</v>
      </c>
      <c r="T11" s="16" t="s">
        <v>79</v>
      </c>
      <c r="U11" s="22">
        <v>46007</v>
      </c>
      <c r="V11" s="16" t="s">
        <v>84</v>
      </c>
      <c r="W11" s="23" t="s">
        <v>85</v>
      </c>
      <c r="X11" s="24" t="s">
        <v>86</v>
      </c>
      <c r="Y11" s="24" t="s">
        <v>87</v>
      </c>
      <c r="Z11" s="24" t="s">
        <v>88</v>
      </c>
      <c r="AA11" s="25">
        <v>795</v>
      </c>
      <c r="AB11" s="25" t="s">
        <v>89</v>
      </c>
      <c r="AC11" s="26">
        <v>20</v>
      </c>
      <c r="AD11" s="27" t="s">
        <v>90</v>
      </c>
      <c r="AE11" s="28" t="s">
        <v>135</v>
      </c>
      <c r="AF11" s="29" t="s">
        <v>90</v>
      </c>
      <c r="AG11" s="16" t="s">
        <v>92</v>
      </c>
      <c r="AH11" s="16" t="s">
        <v>93</v>
      </c>
      <c r="AI11" s="16" t="s">
        <v>90</v>
      </c>
      <c r="AJ11" s="17">
        <f t="shared" ca="1" si="5"/>
        <v>45727</v>
      </c>
      <c r="AK11" s="17">
        <f t="shared" ca="1" si="5"/>
        <v>45727</v>
      </c>
      <c r="AL11" s="17">
        <f t="shared" ca="1" si="5"/>
        <v>45727</v>
      </c>
      <c r="AM11" s="22" t="str">
        <f t="shared" si="2"/>
        <v>N/A</v>
      </c>
      <c r="AN11" s="16" t="s">
        <v>94</v>
      </c>
      <c r="AO11" s="30" t="s">
        <v>95</v>
      </c>
      <c r="AP11" s="24" t="s">
        <v>96</v>
      </c>
      <c r="AQ11" s="24" t="s">
        <v>97</v>
      </c>
      <c r="AR11" s="19" t="s">
        <v>98</v>
      </c>
      <c r="AS11" s="13" t="s">
        <v>90</v>
      </c>
      <c r="AT11" s="13" t="s">
        <v>90</v>
      </c>
      <c r="AU11" s="17">
        <f t="shared" ca="1" si="3"/>
        <v>45834</v>
      </c>
      <c r="AV11" s="13" t="s">
        <v>74</v>
      </c>
      <c r="AW11" s="31" t="s">
        <v>99</v>
      </c>
      <c r="AX11" s="32">
        <f t="array" aca="1" ref="AX11" ca="1">_xlfn.RANDARRAY(2,1,1023456789000,9999999999999,TRUE)</f>
        <v>9702172911153</v>
      </c>
      <c r="AY11" s="17" t="s">
        <v>100</v>
      </c>
      <c r="AZ11" s="17" t="s">
        <v>101</v>
      </c>
      <c r="BA11" s="13" t="s">
        <v>74</v>
      </c>
      <c r="BB11" s="31" t="s">
        <v>102</v>
      </c>
      <c r="BC11" s="32">
        <f t="array" aca="1" ref="BC11" ca="1">_xlfn.RANDARRAY(2,1,12345678,99999999,TRUE)</f>
        <v>74670340</v>
      </c>
      <c r="BD11" s="17" t="s">
        <v>100</v>
      </c>
      <c r="BE11" s="17" t="s">
        <v>103</v>
      </c>
      <c r="BF11" s="19" t="s">
        <v>104</v>
      </c>
      <c r="BG11" s="17">
        <v>31786</v>
      </c>
      <c r="BH11" s="13" t="s">
        <v>105</v>
      </c>
      <c r="BI11" s="13" t="s">
        <v>74</v>
      </c>
      <c r="BJ11" s="13" t="s">
        <v>106</v>
      </c>
      <c r="BK11" s="33" t="s">
        <v>90</v>
      </c>
      <c r="BL11" s="13" t="s">
        <v>107</v>
      </c>
      <c r="BM11" s="34" t="s">
        <v>108</v>
      </c>
      <c r="BN11" s="13" t="s">
        <v>109</v>
      </c>
      <c r="BO11" s="13" t="s">
        <v>74</v>
      </c>
      <c r="BP11" s="13" t="s">
        <v>110</v>
      </c>
      <c r="BQ11" s="13">
        <f t="array" aca="1" ref="BQ11" ca="1">_xlfn.RANDARRAY(2,1,12345,99999,TRUE)</f>
        <v>68907</v>
      </c>
      <c r="BR11" s="17">
        <v>44562</v>
      </c>
      <c r="BS11" s="17">
        <v>47119</v>
      </c>
      <c r="BT11" s="22">
        <v>44562</v>
      </c>
      <c r="BU11" s="22">
        <f t="shared" ca="1" si="4"/>
        <v>46192</v>
      </c>
      <c r="BV11" s="16" t="s">
        <v>111</v>
      </c>
    </row>
  </sheetData>
  <dataValidations count="3">
    <dataValidation type="list" allowBlank="1" showInputMessage="1" showErrorMessage="1" sqref="AH10:AH11 V10:V11 T10:T11 Q10:Q11 J10:J11 BL10:BL11" xr:uid="{00000000-0002-0000-0000-000000000000}">
      <formula1>INDIRECT($E1)</formula1>
    </dataValidation>
    <dataValidation type="list" allowBlank="1" showInputMessage="1" showErrorMessage="1" sqref="AH2:AH8 V2:V8 T2:T8 Q2:Q8 J2:J8 BL2:BL8" xr:uid="{00000000-0002-0000-0000-000001000000}">
      <formula1>INDIRECT($E2)</formula1>
    </dataValidation>
    <dataValidation type="list" allowBlank="1" showInputMessage="1" showErrorMessage="1" sqref="AH9:AH11 V9:V11 T9:T11 Q9:Q11 J9:J11 BL9:BL11" xr:uid="{00000000-0002-0000-0000-000002000000}">
      <formula1>INDIRECT($E1)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2025-06-19T12:20:58Z</dcterms:created>
  <dcterms:modified xsi:type="dcterms:W3CDTF">2025-06-19T14:10:07Z</dcterms:modified>
</cp:coreProperties>
</file>