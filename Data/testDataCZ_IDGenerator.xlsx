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/>
  <xr:revisionPtr revIDLastSave="0" documentId="13_ncr:1_{6BD38892-1FA1-4BF2-82FF-10D32E6D17EC}" xr6:coauthVersionLast="47" xr6:coauthVersionMax="47" xr10:uidLastSave="{00000000-0000-0000-0000-000000000000}"/>
  <bookViews>
    <workbookView xWindow="1068" yWindow="-108" windowWidth="22080" windowHeight="13176" activeTab="1" xr2:uid="{00000000-000D-0000-FFFF-FFFF00000000}"/>
  </bookViews>
  <sheets>
    <sheet name="Sheet1" sheetId="2" r:id="rId1"/>
    <sheet name="Citizen ID Generator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6" i="2" l="1"/>
  <c r="AM16" i="2"/>
  <c r="AL16" i="2"/>
  <c r="AK16" i="2"/>
  <c r="X16" i="2"/>
  <c r="AQ15" i="2"/>
  <c r="AM15" i="2"/>
  <c r="AL15" i="2"/>
  <c r="AK15" i="2"/>
  <c r="AH15" i="2"/>
  <c r="X15" i="2"/>
  <c r="AQ14" i="2"/>
  <c r="AM14" i="2"/>
  <c r="AL14" i="2"/>
  <c r="AK14" i="2"/>
  <c r="X14" i="2"/>
  <c r="AQ13" i="2"/>
  <c r="AM13" i="2"/>
  <c r="AL13" i="2"/>
  <c r="AK13" i="2"/>
  <c r="AH13" i="2"/>
  <c r="X13" i="2"/>
  <c r="AQ12" i="2"/>
  <c r="AM12" i="2"/>
  <c r="AL12" i="2"/>
  <c r="AH12" i="2"/>
  <c r="AK12" i="2" s="1"/>
  <c r="X12" i="2"/>
  <c r="AQ11" i="2"/>
  <c r="AM11" i="2"/>
  <c r="AL11" i="2"/>
  <c r="AK11" i="2"/>
  <c r="X11" i="2"/>
  <c r="AQ10" i="2"/>
  <c r="AM10" i="2"/>
  <c r="AL10" i="2"/>
  <c r="AK10" i="2"/>
  <c r="X10" i="2"/>
  <c r="AQ9" i="2"/>
  <c r="AM9" i="2"/>
  <c r="AL9" i="2"/>
  <c r="AH9" i="2"/>
  <c r="AK9" i="2" s="1"/>
  <c r="X9" i="2"/>
  <c r="AQ8" i="2"/>
  <c r="AM8" i="2"/>
  <c r="AL8" i="2"/>
  <c r="AK8" i="2"/>
  <c r="AH8" i="2"/>
  <c r="X8" i="2"/>
  <c r="AQ7" i="2"/>
  <c r="AM7" i="2"/>
  <c r="AL7" i="2"/>
  <c r="AK7" i="2"/>
  <c r="X7" i="2"/>
  <c r="AQ6" i="2"/>
  <c r="AM6" i="2"/>
  <c r="AL6" i="2"/>
  <c r="AH6" i="2"/>
  <c r="AK6" i="2" s="1"/>
  <c r="X6" i="2"/>
  <c r="AQ5" i="2"/>
  <c r="AM5" i="2"/>
  <c r="AL5" i="2"/>
  <c r="AH5" i="2"/>
  <c r="AK5" i="2" s="1"/>
  <c r="X5" i="2"/>
  <c r="AQ4" i="2"/>
  <c r="AM4" i="2"/>
  <c r="AL4" i="2"/>
  <c r="AH4" i="2"/>
  <c r="AK4" i="2" s="1"/>
  <c r="X4" i="2"/>
  <c r="AQ3" i="2"/>
  <c r="AM3" i="2"/>
  <c r="AL3" i="2"/>
  <c r="AK3" i="2"/>
  <c r="X3" i="2"/>
  <c r="AQ2" i="2"/>
  <c r="AM2" i="2"/>
  <c r="AL2" i="2"/>
  <c r="AK2" i="2"/>
  <c r="X2" i="2"/>
</calcChain>
</file>

<file path=xl/sharedStrings.xml><?xml version="1.0" encoding="utf-8"?>
<sst xmlns="http://schemas.openxmlformats.org/spreadsheetml/2006/main" count="1016" uniqueCount="249">
  <si>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</si>
  <si>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</si>
  <si>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</si>
  <si>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</si>
  <si>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</si>
  <si>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</si>
  <si>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</si>
  <si>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</si>
  <si>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</si>
  <si>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</si>
  <si>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</si>
  <si>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StreetName</t>
  </si>
  <si>
    <t>HouseNumber</t>
  </si>
  <si>
    <t>ReferenceNumber</t>
  </si>
  <si>
    <t>Locality</t>
  </si>
  <si>
    <t>PostalCode</t>
  </si>
  <si>
    <t>City</t>
  </si>
  <si>
    <t>Region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</si>
  <si>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</si>
  <si>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</si>
  <si>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</si>
  <si>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</si>
  <si>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</si>
  <si>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</si>
  <si>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</si>
  <si>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</si>
  <si>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</si>
  <si>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</si>
  <si>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WorkShift</t>
  </si>
  <si>
    <t>ScheduledWeeklyHours</t>
  </si>
  <si>
    <t>EndEmploymentDate</t>
  </si>
  <si>
    <t>ContractType</t>
  </si>
  <si>
    <t>Status</t>
  </si>
  <si>
    <t>ContractEndDate</t>
  </si>
  <si>
    <t>DateEmployeeSigned</t>
  </si>
  <si>
    <t>DateEmployerSigned</t>
  </si>
  <si>
    <t>CostCenter</t>
  </si>
  <si>
    <t>DepartmentSection</t>
  </si>
  <si>
    <t>AllowanceAmount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</si>
  <si>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</si>
  <si>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</si>
  <si>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</si>
  <si>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</si>
  <si>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</si>
  <si>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</si>
  <si>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</si>
  <si>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NationalIDType2</t>
  </si>
  <si>
    <t>AddEditID2</t>
  </si>
  <si>
    <t>IssuedDate2</t>
  </si>
  <si>
    <t>ExpirationDate2</t>
  </si>
  <si>
    <t>Gender</t>
  </si>
  <si>
    <t>DateOfBirth</t>
  </si>
  <si>
    <t>CityofBirth</t>
  </si>
  <si>
    <t>MaritalStatus</t>
  </si>
  <si>
    <t>CitizenshipStatus</t>
  </si>
  <si>
    <t>BankName</t>
  </si>
  <si>
    <t>AccountType</t>
  </si>
  <si>
    <t>BankIdentificationCode</t>
  </si>
  <si>
    <t>IBAN</t>
  </si>
  <si>
    <t>School</t>
  </si>
  <si>
    <t>Degree</t>
  </si>
  <si>
    <t>DegreeReceived</t>
  </si>
  <si>
    <t>YearDegreeReceived</t>
  </si>
  <si>
    <t>FieldOfStudy</t>
  </si>
  <si>
    <t>FirstYearAttended</t>
  </si>
  <si>
    <t>LastYearAttended</t>
  </si>
  <si>
    <t>GradeAverage</t>
  </si>
  <si>
    <t>AdditionalNameType</t>
  </si>
  <si>
    <t>AdditionalNameCountry</t>
  </si>
  <si>
    <t>AdditionalNameGivenName</t>
  </si>
  <si>
    <t>AdditionalNameFamilyName</t>
  </si>
  <si>
    <t>HealthInsuranceCompany</t>
  </si>
  <si>
    <t>MealVoucher</t>
  </si>
  <si>
    <t>ProposedPayGroupInitial</t>
  </si>
  <si>
    <t>ProposedPayGroupFinal</t>
  </si>
  <si>
    <t>Test1</t>
  </si>
  <si>
    <t>10697370</t>
  </si>
  <si>
    <t>Passed</t>
  </si>
  <si>
    <t>895 Retail Team 1 (Jaziz Wezupa (10573442) (Inherited))</t>
  </si>
  <si>
    <t>Czechia</t>
  </si>
  <si>
    <t>CzOne</t>
  </si>
  <si>
    <t>TwentyFiveMarchThreeD</t>
  </si>
  <si>
    <t>770 272 784</t>
  </si>
  <si>
    <t>Mobile</t>
  </si>
  <si>
    <t>Home</t>
  </si>
  <si>
    <t>Test</t>
  </si>
  <si>
    <t>Prague</t>
  </si>
  <si>
    <t>26401</t>
  </si>
  <si>
    <t>Pardubic</t>
  </si>
  <si>
    <t>Street Address</t>
  </si>
  <si>
    <t>Test@primark.com</t>
  </si>
  <si>
    <t>New Hire</t>
  </si>
  <si>
    <t>No</t>
  </si>
  <si>
    <t>Permanent</t>
  </si>
  <si>
    <t>Retail Assistant_NEW</t>
  </si>
  <si>
    <t>Full time</t>
  </si>
  <si>
    <t>895 Prague Wenceslas SQ</t>
  </si>
  <si>
    <t>Salary</t>
  </si>
  <si>
    <t>5 Days</t>
  </si>
  <si>
    <t>N/A</t>
  </si>
  <si>
    <t>Employment Agreement</t>
  </si>
  <si>
    <t>Active</t>
  </si>
  <si>
    <t>94 Retail Operatives</t>
  </si>
  <si>
    <t>07 Footwear</t>
  </si>
  <si>
    <t>Personal Number</t>
  </si>
  <si>
    <t>11/11/1998</t>
  </si>
  <si>
    <t>11/11/2055</t>
  </si>
  <si>
    <t>Citizen ID Number</t>
  </si>
  <si>
    <t>Female</t>
  </si>
  <si>
    <t>11/11/1996</t>
  </si>
  <si>
    <t>Single (Czechia)</t>
  </si>
  <si>
    <t>Citizen (Czechia)</t>
  </si>
  <si>
    <t>Air Bank</t>
  </si>
  <si>
    <t>Checking</t>
  </si>
  <si>
    <t>AIRACZPPXXX</t>
  </si>
  <si>
    <t>CZ6508000000192000145399</t>
  </si>
  <si>
    <t>Bc</t>
  </si>
  <si>
    <t>bakal</t>
  </si>
  <si>
    <t>Yes</t>
  </si>
  <si>
    <t>Economics</t>
  </si>
  <si>
    <t>2000.31130.00000000.6208R.2636</t>
  </si>
  <si>
    <t>Maiden</t>
  </si>
  <si>
    <t>Francis</t>
  </si>
  <si>
    <t>Uzoho</t>
  </si>
  <si>
    <t>Ne</t>
  </si>
  <si>
    <t>Please select a Czech Republic Pay Group</t>
  </si>
  <si>
    <t>CZ Monthly</t>
  </si>
  <si>
    <t>Test2</t>
  </si>
  <si>
    <t>10697371</t>
  </si>
  <si>
    <t>895 Store Management (Jaziz Wezupa (10573442))</t>
  </si>
  <si>
    <t>CzTwo</t>
  </si>
  <si>
    <t>TwentyFiveMarchThree</t>
  </si>
  <si>
    <t>Auto 27432012</t>
  </si>
  <si>
    <t>Department Manager_NEW</t>
  </si>
  <si>
    <t>92 Retail Management</t>
  </si>
  <si>
    <t>251 Management Retail</t>
  </si>
  <si>
    <t>Temitayo</t>
  </si>
  <si>
    <t>Aina</t>
  </si>
  <si>
    <t>Test3</t>
  </si>
  <si>
    <t>10697372</t>
  </si>
  <si>
    <t>CzThree</t>
  </si>
  <si>
    <t>Fixed Term (Fixed Term)</t>
  </si>
  <si>
    <t>Part time</t>
  </si>
  <si>
    <t>4 Days</t>
  </si>
  <si>
    <t>11 Household</t>
  </si>
  <si>
    <t>Ing</t>
  </si>
  <si>
    <t>magisters</t>
  </si>
  <si>
    <t>1991.31150.62018000.00000.2636</t>
  </si>
  <si>
    <t>Evans</t>
  </si>
  <si>
    <t>Ogbonda</t>
  </si>
  <si>
    <t>Test4</t>
  </si>
  <si>
    <t>10697374</t>
  </si>
  <si>
    <t>CzFour</t>
  </si>
  <si>
    <t>Auto 21070719</t>
  </si>
  <si>
    <t>Assistant Store Manager_NEW</t>
  </si>
  <si>
    <t>PhDr</t>
  </si>
  <si>
    <t>doktor</t>
  </si>
  <si>
    <t>2024.26510.6208V097.P6208.4942</t>
  </si>
  <si>
    <t>Imo</t>
  </si>
  <si>
    <t>Obot</t>
  </si>
  <si>
    <t>Test5</t>
  </si>
  <si>
    <t>Test failed for 'CzFive TwentyFiveMarchThree' Employee: Errors and AlertsErrorPage Error- You have not entered an amount within the Compensation Guidelines.     (Employee Compensation Event For Hire Employee)AlertPage Alert- "Warning: You have entered an amount that is outside of the range or more than 10% higher than the current salary.  Please re-enter an amount inside the range, below 10% or continue and it will be sent for approval."     (Employee Compensation Event For Hire Employee) &amp; find failed Screenshot Path:-&gt;H:\Latest_Workday_Playwright/WorkdayFailedScreenshot/2025-03-02T20-46-46-860Z.png</t>
  </si>
  <si>
    <t>Failed</t>
  </si>
  <si>
    <t>CzFive</t>
  </si>
  <si>
    <t>Students</t>
  </si>
  <si>
    <t>Retail Assistant Special Contracts_NEW</t>
  </si>
  <si>
    <t>Hourly</t>
  </si>
  <si>
    <t>DPP/DPC</t>
  </si>
  <si>
    <t>Agreement to complete a job</t>
  </si>
  <si>
    <t>08 Ladieswear</t>
  </si>
  <si>
    <t>Alhassan</t>
  </si>
  <si>
    <t>Yusuf</t>
  </si>
  <si>
    <t>Test6</t>
  </si>
  <si>
    <t>10697375</t>
  </si>
  <si>
    <t>CzSix</t>
  </si>
  <si>
    <t>771 272 784</t>
  </si>
  <si>
    <t>Auto 17265039</t>
  </si>
  <si>
    <t>In-Store Visual Merchandising Manager_NEW</t>
  </si>
  <si>
    <t>DiS</t>
  </si>
  <si>
    <t>konzervat</t>
  </si>
  <si>
    <t>2000.00000.621VOS00.00000.0000</t>
  </si>
  <si>
    <t>Jordan</t>
  </si>
  <si>
    <t>Torunarigha</t>
  </si>
  <si>
    <t>Test7</t>
  </si>
  <si>
    <t>10697376</t>
  </si>
  <si>
    <t>CzSeven</t>
  </si>
  <si>
    <t>772 272 784</t>
  </si>
  <si>
    <t>In-Store P&amp;C Supervisor_NEW</t>
  </si>
  <si>
    <t>250 Human Resources Retail</t>
  </si>
  <si>
    <t>William Troost</t>
  </si>
  <si>
    <t>Ekong</t>
  </si>
  <si>
    <t>Test8</t>
  </si>
  <si>
    <t>10697377</t>
  </si>
  <si>
    <t>CzEight</t>
  </si>
  <si>
    <t>773 272 784</t>
  </si>
  <si>
    <t>Auto 11621679</t>
  </si>
  <si>
    <t>Store Manager_NEW</t>
  </si>
  <si>
    <t>Zaidu</t>
  </si>
  <si>
    <t>Sanusi</t>
  </si>
  <si>
    <t>Test9</t>
  </si>
  <si>
    <t>10697378</t>
  </si>
  <si>
    <t>CzNine</t>
  </si>
  <si>
    <t>774 272 784</t>
  </si>
  <si>
    <t>In-Store P&amp;C Assistant_NEW</t>
  </si>
  <si>
    <t>Semi</t>
  </si>
  <si>
    <t>Ajayi</t>
  </si>
  <si>
    <t>Test10</t>
  </si>
  <si>
    <t>10697379</t>
  </si>
  <si>
    <t>CzTen</t>
  </si>
  <si>
    <t>775 272 784</t>
  </si>
  <si>
    <t>Auto 47236566</t>
  </si>
  <si>
    <t>Team Manager - Retail_NEW</t>
  </si>
  <si>
    <t>Chidozie</t>
  </si>
  <si>
    <t>Awaziem</t>
  </si>
  <si>
    <t>Test11</t>
  </si>
  <si>
    <t>10697380</t>
  </si>
  <si>
    <t>CzEleven</t>
  </si>
  <si>
    <t>776 272 784</t>
  </si>
  <si>
    <t>Supervisor_NEW</t>
  </si>
  <si>
    <t>253 Supervisors</t>
  </si>
  <si>
    <t>Calvin</t>
  </si>
  <si>
    <t>Ughelumba</t>
  </si>
  <si>
    <t>Test12</t>
  </si>
  <si>
    <t>10697381</t>
  </si>
  <si>
    <t>CzTweve</t>
  </si>
  <si>
    <t>777 272 784</t>
  </si>
  <si>
    <t>Auto 81940803</t>
  </si>
  <si>
    <t>In-Store P&amp;C Manager_NEW</t>
  </si>
  <si>
    <t>Tyronne</t>
  </si>
  <si>
    <t>Ebuehi</t>
  </si>
  <si>
    <t>Test13</t>
  </si>
  <si>
    <t>10697382</t>
  </si>
  <si>
    <t>CzThirteen</t>
  </si>
  <si>
    <t>778 272 784</t>
  </si>
  <si>
    <t>258 Cash Office</t>
  </si>
  <si>
    <t>Kenneth</t>
  </si>
  <si>
    <t>Omeruo</t>
  </si>
  <si>
    <t>Test14</t>
  </si>
  <si>
    <t>Test failed for 'CzFourteen TwentyFiveMarchThree' Employee: Errors and AlertsAlertNational IDs (Row 2)This national identifier you entered is already in use. Verify that the information is accurate. &amp; find failed Screenshot Path:-&gt;H:\Latest_Workday_Playwright/WorkdayFailedScreenshot/2025-03-02T22-16-16-664Z.png</t>
  </si>
  <si>
    <t>CzFourteen</t>
  </si>
  <si>
    <t>779 272 784</t>
  </si>
  <si>
    <t>Fisayo</t>
  </si>
  <si>
    <t>Dele Bashiru</t>
  </si>
  <si>
    <t>Test15</t>
  </si>
  <si>
    <t>10697384</t>
  </si>
  <si>
    <t>CzFifteen</t>
  </si>
  <si>
    <t>255 Stockroom</t>
  </si>
  <si>
    <t>Vincent</t>
  </si>
  <si>
    <t>Onovo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</si>
</sst>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10"/>
      <color theme="1"/>
      <name val="Times New Roman"/>
      <family val="1"/>
    </font>
    <font>
      <u/>
      <sz val="10"/>
      <color theme="1"/>
      <name val="Times New Roman"/>
      <family val="1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FF00"/>
      </patternFill>
    </fill>
    <fill>
      <patternFill patternType="solid">
        <fgColor theme="0"/>
        <bgColor rgb="FF000000"/>
      </patternFill>
    </fill>
  </fills>
  <borders count="3">
    <border>
      <left/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2" fillId="2" borderId="0" xfId="0" applyNumberFormat="1" applyFont="1" applyFill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4" borderId="0" xfId="0" applyFont="1" applyFill="1"/>
    <xf numFmtId="0" fontId="4" fillId="5" borderId="2" xfId="0" applyFont="1" applyFill="1" applyBorder="1"/>
    <xf numFmtId="0" fontId="4" fillId="4" borderId="2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horizontal="left"/>
    </xf>
    <xf numFmtId="0" fontId="4" fillId="4" borderId="2" xfId="0" applyFont="1" applyFill="1" applyBorder="1" applyAlignment="1" applyProtection="1">
      <alignment horizontal="left"/>
      <protection locked="0"/>
    </xf>
    <xf numFmtId="14" fontId="4" fillId="4" borderId="2" xfId="0" applyNumberFormat="1" applyFont="1" applyFill="1" applyBorder="1" applyAlignment="1">
      <alignment horizontal="left"/>
    </xf>
    <xf numFmtId="0" fontId="4" fillId="6" borderId="2" xfId="0" applyFont="1" applyFill="1" applyBorder="1" applyAlignment="1">
      <alignment horizontal="left" vertical="top"/>
    </xf>
    <xf numFmtId="0" fontId="5" fillId="4" borderId="2" xfId="0" applyFont="1" applyFill="1" applyBorder="1" applyProtection="1">
      <protection locked="0"/>
    </xf>
    <xf numFmtId="0" fontId="4" fillId="4" borderId="2" xfId="0" applyFont="1" applyFill="1" applyBorder="1" applyAlignment="1" applyProtection="1">
      <alignment horizontal="left" wrapText="1"/>
      <protection locked="0"/>
    </xf>
    <xf numFmtId="164" fontId="4" fillId="4" borderId="2" xfId="0" applyNumberFormat="1" applyFont="1" applyFill="1" applyBorder="1" applyAlignment="1" applyProtection="1">
      <alignment horizontal="left"/>
      <protection locked="0"/>
    </xf>
    <xf numFmtId="0" fontId="6" fillId="4" borderId="2" xfId="0" applyFont="1" applyFill="1" applyBorder="1" applyAlignment="1">
      <alignment horizontal="left"/>
    </xf>
    <xf numFmtId="0" fontId="4" fillId="4" borderId="2" xfId="0" applyFont="1" applyFill="1" applyBorder="1" applyAlignment="1">
      <alignment horizontal="left" vertical="top"/>
    </xf>
    <xf numFmtId="0" fontId="6" fillId="3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primark.com" TargetMode="External"/><Relationship Id="rId1" Type="http://schemas.openxmlformats.org/officeDocument/2006/relationships/hyperlink" Target="mailto:Test@primark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N17"/>
  <sheetViews>
    <sheetView zoomScaleNormal="100" workbookViewId="0">
      <selection activeCell="D20" sqref="D20"/>
    </sheetView>
  </sheetViews>
  <sheetFormatPr defaultRowHeight="15.6" customHeight="1" x14ac:dyDescent="0.3"/>
  <cols>
    <col min="1" max="1" width="12.21875" style="1" customWidth="1"/>
    <col min="2" max="2" width="9" style="1" customWidth="1"/>
    <col min="3" max="3" width="10" style="1" customWidth="1"/>
    <col min="4" max="4" width="46.88671875" style="1" customWidth="1"/>
    <col min="5" max="5" width="7.88671875" style="1" customWidth="1"/>
    <col min="6" max="6" width="13.88671875" style="1" customWidth="1"/>
    <col min="7" max="7" width="27.109375" style="1" customWidth="1"/>
    <col min="8" max="8" width="16.109375" style="1" customWidth="1"/>
    <col min="9" max="9" width="14.77734375" style="1" customWidth="1"/>
    <col min="10" max="10" width="6.21875" style="1" customWidth="1"/>
    <col min="11" max="11" width="15" style="1" customWidth="1"/>
    <col min="12" max="12" width="9.44140625" style="1" customWidth="1"/>
    <col min="13" max="13" width="12.88671875" style="1" customWidth="1"/>
    <col min="14" max="14" width="16" style="1" customWidth="1"/>
    <col min="15" max="15" width="20" style="1" customWidth="1"/>
    <col min="16" max="16" width="9.21875" style="1" customWidth="1"/>
    <col min="17" max="17" width="12.6640625" style="1" customWidth="1"/>
    <col min="18" max="18" width="6.21875" style="1" customWidth="1"/>
    <col min="19" max="19" width="8.33203125" style="1" customWidth="1"/>
    <col min="20" max="20" width="6.21875" style="1" customWidth="1"/>
    <col min="21" max="21" width="12.109375" style="1" customWidth="1"/>
    <col min="22" max="22" width="15.6640625" style="1" customWidth="1"/>
    <col min="23" max="23" width="6.21875" style="1" customWidth="1"/>
    <col min="24" max="24" width="10.109375" style="1" customWidth="1"/>
    <col min="25" max="25" width="8.5546875" style="1" customWidth="1"/>
    <col min="26" max="26" width="22.21875" style="1" customWidth="1"/>
    <col min="27" max="27" width="16.5546875" style="1" customWidth="1"/>
    <col min="28" max="28" width="37" style="1" customWidth="1"/>
    <col min="29" max="29" width="11.5546875" style="1" customWidth="1"/>
    <col min="30" max="30" width="21.44140625" style="1" customWidth="1"/>
    <col min="31" max="31" width="14.6640625" style="1" customWidth="1"/>
    <col min="32" max="32" width="11.88671875" style="1" customWidth="1"/>
    <col min="33" max="33" width="26.21875" style="1" customWidth="1"/>
    <col min="34" max="34" width="23.21875" style="1" customWidth="1"/>
    <col min="35" max="35" width="23.33203125" style="1" customWidth="1"/>
    <col min="36" max="36" width="7.21875" style="1" customWidth="1"/>
    <col min="37" max="37" width="18.77734375" style="1" customWidth="1"/>
    <col min="38" max="38" width="23.33203125" style="1" customWidth="1"/>
    <col min="39" max="39" width="23.109375" style="1" customWidth="1"/>
    <col min="40" max="40" width="18.33203125" style="1" customWidth="1"/>
    <col min="41" max="41" width="23.5546875" style="1" customWidth="1"/>
    <col min="42" max="42" width="20.6640625" style="1" customWidth="1"/>
    <col min="43" max="43" width="20.109375" style="1" customWidth="1"/>
    <col min="44" max="44" width="10.6640625" style="1" customWidth="1"/>
    <col min="45" max="45" width="19" style="1" customWidth="1"/>
    <col min="46" max="46" width="15.77734375" style="1" customWidth="1"/>
    <col min="47" max="47" width="13.6640625" style="1" customWidth="1"/>
    <col min="48" max="48" width="17.77734375" style="1" customWidth="1"/>
    <col min="49" max="49" width="10.6640625" style="1" customWidth="1"/>
    <col min="50" max="50" width="19" style="1" customWidth="1"/>
    <col min="51" max="51" width="14.33203125" style="1" customWidth="1"/>
    <col min="52" max="52" width="13.6640625" style="1" customWidth="1"/>
    <col min="53" max="53" width="17.77734375" style="1" customWidth="1"/>
    <col min="54" max="54" width="8.5546875" style="1" customWidth="1"/>
    <col min="55" max="55" width="13.6640625" style="1" customWidth="1"/>
    <col min="56" max="56" width="12.5546875" style="1" customWidth="1"/>
    <col min="57" max="57" width="14.5546875" style="1" customWidth="1"/>
    <col min="58" max="58" width="18.88671875" style="1" customWidth="1"/>
    <col min="59" max="59" width="12.33203125" style="1" customWidth="1"/>
    <col min="60" max="60" width="15" style="1" customWidth="1"/>
    <col min="61" max="61" width="26" style="1" customWidth="1"/>
    <col min="62" max="62" width="25.77734375" style="1" customWidth="1"/>
    <col min="63" max="63" width="9.44140625" style="1" customWidth="1"/>
    <col min="64" max="64" width="8.21875" style="1" customWidth="1"/>
    <col min="65" max="65" width="8.33203125" style="1" customWidth="1"/>
    <col min="66" max="66" width="17.88671875" style="1" customWidth="1"/>
    <col min="67" max="67" width="22.88671875" style="1" customWidth="1"/>
    <col min="68" max="68" width="15.109375" style="1" customWidth="1"/>
    <col min="69" max="69" width="20.109375" style="1" customWidth="1"/>
    <col min="70" max="70" width="19.6640625" style="1" customWidth="1"/>
    <col min="71" max="71" width="29.88671875" style="1" customWidth="1"/>
    <col min="72" max="72" width="23.44140625" style="1" customWidth="1"/>
    <col min="73" max="73" width="26.77734375" style="1" customWidth="1"/>
    <col min="74" max="74" width="30.6640625" style="1" customWidth="1"/>
    <col min="75" max="75" width="31.5546875" style="1" customWidth="1"/>
    <col min="76" max="76" width="28.109375" style="1" customWidth="1"/>
    <col min="77" max="77" width="15" style="1" customWidth="1"/>
    <col min="78" max="78" width="33.6640625" style="1" customWidth="1"/>
    <col min="79" max="79" width="26.88671875" style="1" customWidth="1"/>
    <col min="80" max="80" width="8.88671875" style="1" customWidth="1"/>
    <col min="81" max="16384" width="8.88671875" style="1"/>
  </cols>
  <sheetData>
    <row r="1" spans="1:92" s="2" customFormat="1" ht="18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9</v>
      </c>
      <c r="U1" s="5" t="s">
        <v>18</v>
      </c>
      <c r="V1" s="5" t="s">
        <v>19</v>
      </c>
      <c r="W1" s="5" t="s">
        <v>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6" t="s">
        <v>42</v>
      </c>
      <c r="AU1" s="5" t="s">
        <v>43</v>
      </c>
      <c r="AV1" s="5" t="s">
        <v>44</v>
      </c>
      <c r="AW1" s="5" t="s">
        <v>45</v>
      </c>
      <c r="AX1" s="5" t="s">
        <v>46</v>
      </c>
      <c r="AY1" s="6" t="s">
        <v>47</v>
      </c>
      <c r="AZ1" s="5" t="s">
        <v>48</v>
      </c>
      <c r="BA1" s="5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4</v>
      </c>
      <c r="BL1" s="5" t="s">
        <v>59</v>
      </c>
      <c r="BM1" s="5" t="s">
        <v>60</v>
      </c>
      <c r="BN1" s="5" t="s">
        <v>61</v>
      </c>
      <c r="BO1" s="5" t="s">
        <v>62</v>
      </c>
      <c r="BP1" s="5" t="s">
        <v>63</v>
      </c>
      <c r="BQ1" s="5" t="s">
        <v>64</v>
      </c>
      <c r="BR1" s="5" t="s">
        <v>65</v>
      </c>
      <c r="BS1" s="5" t="s">
        <v>66</v>
      </c>
      <c r="BT1" s="5" t="s">
        <v>67</v>
      </c>
      <c r="BU1" s="5" t="s">
        <v>68</v>
      </c>
      <c r="BV1" s="5" t="s">
        <v>69</v>
      </c>
      <c r="BW1" s="5" t="s">
        <v>70</v>
      </c>
      <c r="BX1" s="5" t="s">
        <v>71</v>
      </c>
      <c r="BY1" s="5" t="s">
        <v>72</v>
      </c>
      <c r="BZ1" s="5" t="s">
        <v>73</v>
      </c>
      <c r="CA1" s="5" t="s">
        <v>74</v>
      </c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s="7" customFormat="1" ht="15" customHeight="1" x14ac:dyDescent="0.25">
      <c r="A2" s="8" t="s">
        <v>75</v>
      </c>
      <c r="B2" s="8" t="s">
        <v>76</v>
      </c>
      <c r="C2" s="8" t="s">
        <v>77</v>
      </c>
      <c r="D2" s="9" t="s">
        <v>78</v>
      </c>
      <c r="E2" s="10" t="s">
        <v>79</v>
      </c>
      <c r="F2" s="8" t="s">
        <v>80</v>
      </c>
      <c r="G2" s="11" t="s">
        <v>81</v>
      </c>
      <c r="H2" s="11" t="s">
        <v>82</v>
      </c>
      <c r="I2" s="11" t="s">
        <v>83</v>
      </c>
      <c r="J2" s="11" t="s">
        <v>84</v>
      </c>
      <c r="K2" s="12">
        <v>45597</v>
      </c>
      <c r="L2" s="10" t="s">
        <v>79</v>
      </c>
      <c r="M2" s="10" t="s">
        <v>85</v>
      </c>
      <c r="N2" s="10">
        <v>1</v>
      </c>
      <c r="O2" s="13">
        <v>213111231</v>
      </c>
      <c r="P2" s="11" t="s">
        <v>86</v>
      </c>
      <c r="Q2" s="11" t="s">
        <v>87</v>
      </c>
      <c r="R2" s="11" t="s">
        <v>86</v>
      </c>
      <c r="S2" s="11" t="s">
        <v>88</v>
      </c>
      <c r="T2" s="11" t="s">
        <v>84</v>
      </c>
      <c r="U2" s="12" t="s">
        <v>89</v>
      </c>
      <c r="V2" s="14" t="s">
        <v>90</v>
      </c>
      <c r="W2" s="11" t="s">
        <v>84</v>
      </c>
      <c r="X2" s="12">
        <f t="shared" ref="X2:X16" si="0">K2</f>
        <v>45597</v>
      </c>
      <c r="Y2" s="11" t="s">
        <v>91</v>
      </c>
      <c r="Z2" s="11" t="s">
        <v>92</v>
      </c>
      <c r="AA2" s="8" t="s">
        <v>93</v>
      </c>
      <c r="AB2" s="8" t="s">
        <v>94</v>
      </c>
      <c r="AC2" s="8" t="s">
        <v>95</v>
      </c>
      <c r="AD2" s="10" t="s">
        <v>96</v>
      </c>
      <c r="AE2" s="10" t="s">
        <v>97</v>
      </c>
      <c r="AF2" s="8" t="s">
        <v>98</v>
      </c>
      <c r="AG2" s="15">
        <v>40</v>
      </c>
      <c r="AH2" s="12" t="s">
        <v>99</v>
      </c>
      <c r="AI2" s="11" t="s">
        <v>100</v>
      </c>
      <c r="AJ2" s="11" t="s">
        <v>101</v>
      </c>
      <c r="AK2" s="12" t="str">
        <f t="shared" ref="AK2:AK16" si="1">AH2</f>
        <v>N/A</v>
      </c>
      <c r="AL2" s="12">
        <f t="shared" ref="AL2:AL16" si="2">K2</f>
        <v>45597</v>
      </c>
      <c r="AM2" s="12">
        <f t="shared" ref="AM2:AM16" si="3">K2</f>
        <v>45597</v>
      </c>
      <c r="AN2" s="11" t="s">
        <v>102</v>
      </c>
      <c r="AO2" s="8" t="s">
        <v>103</v>
      </c>
      <c r="AP2" s="10">
        <v>100</v>
      </c>
      <c r="AQ2" s="12">
        <f t="shared" ref="AQ2:AQ16" si="4">K2+90</f>
        <v>45687</v>
      </c>
      <c r="AR2" s="10" t="s">
        <v>79</v>
      </c>
      <c r="AS2" s="16" t="s">
        <v>104</v>
      </c>
      <c r="AT2" s="17">
        <v>9661119061</v>
      </c>
      <c r="AU2" s="12" t="s">
        <v>105</v>
      </c>
      <c r="AV2" s="12" t="s">
        <v>106</v>
      </c>
      <c r="AW2" s="10" t="s">
        <v>79</v>
      </c>
      <c r="AX2" s="16" t="s">
        <v>107</v>
      </c>
      <c r="AY2" s="17">
        <v>144042793</v>
      </c>
      <c r="AZ2" s="12" t="s">
        <v>105</v>
      </c>
      <c r="BA2" s="12" t="s">
        <v>106</v>
      </c>
      <c r="BB2" s="8" t="s">
        <v>108</v>
      </c>
      <c r="BC2" s="12" t="s">
        <v>109</v>
      </c>
      <c r="BD2" s="16" t="s">
        <v>86</v>
      </c>
      <c r="BE2" s="16" t="s">
        <v>110</v>
      </c>
      <c r="BF2" s="16" t="s">
        <v>111</v>
      </c>
      <c r="BG2" s="10" t="s">
        <v>112</v>
      </c>
      <c r="BH2" s="10" t="s">
        <v>113</v>
      </c>
      <c r="BI2" s="8" t="s">
        <v>114</v>
      </c>
      <c r="BJ2" s="16" t="s">
        <v>115</v>
      </c>
      <c r="BK2" s="13" t="s">
        <v>79</v>
      </c>
      <c r="BL2" s="13" t="s">
        <v>116</v>
      </c>
      <c r="BM2" s="13" t="s">
        <v>117</v>
      </c>
      <c r="BN2" s="13" t="s">
        <v>118</v>
      </c>
      <c r="BO2" s="13">
        <v>2000</v>
      </c>
      <c r="BP2" s="13" t="s">
        <v>119</v>
      </c>
      <c r="BQ2" s="13">
        <v>1995</v>
      </c>
      <c r="BR2" s="13">
        <v>2000</v>
      </c>
      <c r="BS2" s="13" t="s">
        <v>120</v>
      </c>
      <c r="BT2" s="13" t="s">
        <v>121</v>
      </c>
      <c r="BU2" s="13" t="s">
        <v>79</v>
      </c>
      <c r="BV2" s="18" t="s">
        <v>122</v>
      </c>
      <c r="BW2" s="18" t="s">
        <v>123</v>
      </c>
      <c r="BX2" s="18">
        <v>111</v>
      </c>
      <c r="BY2" s="18" t="s">
        <v>124</v>
      </c>
      <c r="BZ2" s="18" t="s">
        <v>125</v>
      </c>
      <c r="CA2" s="18" t="s">
        <v>126</v>
      </c>
    </row>
    <row r="3" spans="1:92" s="7" customFormat="1" ht="15" customHeight="1" x14ac:dyDescent="0.25">
      <c r="A3" s="8" t="s">
        <v>127</v>
      </c>
      <c r="B3" s="8" t="s">
        <v>128</v>
      </c>
      <c r="C3" s="8" t="s">
        <v>77</v>
      </c>
      <c r="D3" s="9" t="s">
        <v>129</v>
      </c>
      <c r="E3" s="10" t="s">
        <v>79</v>
      </c>
      <c r="F3" s="8" t="s">
        <v>130</v>
      </c>
      <c r="G3" s="11" t="s">
        <v>131</v>
      </c>
      <c r="H3" s="11" t="s">
        <v>82</v>
      </c>
      <c r="I3" s="11" t="s">
        <v>83</v>
      </c>
      <c r="J3" s="11" t="s">
        <v>84</v>
      </c>
      <c r="K3" s="12">
        <v>45597</v>
      </c>
      <c r="L3" s="10" t="s">
        <v>79</v>
      </c>
      <c r="M3" s="10" t="s">
        <v>85</v>
      </c>
      <c r="N3" s="10">
        <v>1</v>
      </c>
      <c r="O3" s="13">
        <v>213111231</v>
      </c>
      <c r="P3" s="11" t="s">
        <v>86</v>
      </c>
      <c r="Q3" s="11" t="s">
        <v>87</v>
      </c>
      <c r="R3" s="11" t="s">
        <v>86</v>
      </c>
      <c r="S3" s="11" t="s">
        <v>88</v>
      </c>
      <c r="T3" s="11" t="s">
        <v>84</v>
      </c>
      <c r="U3" s="12" t="s">
        <v>89</v>
      </c>
      <c r="V3" s="14" t="s">
        <v>90</v>
      </c>
      <c r="W3" s="11" t="s">
        <v>84</v>
      </c>
      <c r="X3" s="12">
        <f t="shared" si="0"/>
        <v>45597</v>
      </c>
      <c r="Y3" s="11" t="s">
        <v>91</v>
      </c>
      <c r="Z3" s="11" t="s">
        <v>132</v>
      </c>
      <c r="AA3" s="8" t="s">
        <v>93</v>
      </c>
      <c r="AB3" s="8" t="s">
        <v>133</v>
      </c>
      <c r="AC3" s="8" t="s">
        <v>95</v>
      </c>
      <c r="AD3" s="10" t="s">
        <v>96</v>
      </c>
      <c r="AE3" s="10" t="s">
        <v>97</v>
      </c>
      <c r="AF3" s="8" t="s">
        <v>98</v>
      </c>
      <c r="AG3" s="15">
        <v>40</v>
      </c>
      <c r="AH3" s="12" t="s">
        <v>99</v>
      </c>
      <c r="AI3" s="11" t="s">
        <v>100</v>
      </c>
      <c r="AJ3" s="11" t="s">
        <v>101</v>
      </c>
      <c r="AK3" s="12" t="str">
        <f t="shared" si="1"/>
        <v>N/A</v>
      </c>
      <c r="AL3" s="12">
        <f t="shared" si="2"/>
        <v>45597</v>
      </c>
      <c r="AM3" s="12">
        <f t="shared" si="3"/>
        <v>45597</v>
      </c>
      <c r="AN3" s="11" t="s">
        <v>134</v>
      </c>
      <c r="AO3" s="8" t="s">
        <v>135</v>
      </c>
      <c r="AP3" s="10">
        <v>100</v>
      </c>
      <c r="AQ3" s="12">
        <f t="shared" si="4"/>
        <v>45687</v>
      </c>
      <c r="AR3" s="10" t="s">
        <v>79</v>
      </c>
      <c r="AS3" s="16" t="s">
        <v>104</v>
      </c>
      <c r="AT3" s="17">
        <v>9661117455</v>
      </c>
      <c r="AU3" s="12" t="s">
        <v>105</v>
      </c>
      <c r="AV3" s="12" t="s">
        <v>106</v>
      </c>
      <c r="AW3" s="10" t="s">
        <v>79</v>
      </c>
      <c r="AX3" s="16" t="s">
        <v>107</v>
      </c>
      <c r="AY3" s="17">
        <v>144032794</v>
      </c>
      <c r="AZ3" s="12" t="s">
        <v>105</v>
      </c>
      <c r="BA3" s="12" t="s">
        <v>106</v>
      </c>
      <c r="BB3" s="8" t="s">
        <v>108</v>
      </c>
      <c r="BC3" s="12" t="s">
        <v>109</v>
      </c>
      <c r="BD3" s="16" t="s">
        <v>86</v>
      </c>
      <c r="BE3" s="16" t="s">
        <v>110</v>
      </c>
      <c r="BF3" s="16" t="s">
        <v>111</v>
      </c>
      <c r="BG3" s="10" t="s">
        <v>112</v>
      </c>
      <c r="BH3" s="10" t="s">
        <v>113</v>
      </c>
      <c r="BI3" s="8" t="s">
        <v>114</v>
      </c>
      <c r="BJ3" s="16" t="s">
        <v>115</v>
      </c>
      <c r="BK3" s="13" t="s">
        <v>79</v>
      </c>
      <c r="BL3" s="13" t="s">
        <v>116</v>
      </c>
      <c r="BM3" s="13" t="s">
        <v>117</v>
      </c>
      <c r="BN3" s="13" t="s">
        <v>118</v>
      </c>
      <c r="BO3" s="13">
        <v>2000</v>
      </c>
      <c r="BP3" s="13" t="s">
        <v>119</v>
      </c>
      <c r="BQ3" s="13">
        <v>1995</v>
      </c>
      <c r="BR3" s="13">
        <v>2000</v>
      </c>
      <c r="BS3" s="13" t="s">
        <v>120</v>
      </c>
      <c r="BT3" s="13" t="s">
        <v>121</v>
      </c>
      <c r="BU3" s="13" t="s">
        <v>79</v>
      </c>
      <c r="BV3" s="18" t="s">
        <v>136</v>
      </c>
      <c r="BW3" s="18" t="s">
        <v>137</v>
      </c>
      <c r="BX3" s="18">
        <v>201</v>
      </c>
      <c r="BY3" s="18" t="s">
        <v>124</v>
      </c>
      <c r="BZ3" s="18" t="s">
        <v>125</v>
      </c>
      <c r="CA3" s="18" t="s">
        <v>126</v>
      </c>
    </row>
    <row r="4" spans="1:92" s="7" customFormat="1" ht="15" customHeight="1" x14ac:dyDescent="0.25">
      <c r="A4" s="8" t="s">
        <v>138</v>
      </c>
      <c r="B4" s="8" t="s">
        <v>139</v>
      </c>
      <c r="C4" s="8" t="s">
        <v>77</v>
      </c>
      <c r="D4" s="9" t="s">
        <v>78</v>
      </c>
      <c r="E4" s="10" t="s">
        <v>79</v>
      </c>
      <c r="F4" s="8" t="s">
        <v>140</v>
      </c>
      <c r="G4" s="11" t="s">
        <v>131</v>
      </c>
      <c r="H4" s="11" t="s">
        <v>82</v>
      </c>
      <c r="I4" s="11" t="s">
        <v>83</v>
      </c>
      <c r="J4" s="11" t="s">
        <v>84</v>
      </c>
      <c r="K4" s="12">
        <v>45597</v>
      </c>
      <c r="L4" s="10" t="s">
        <v>79</v>
      </c>
      <c r="M4" s="10" t="s">
        <v>85</v>
      </c>
      <c r="N4" s="10">
        <v>1</v>
      </c>
      <c r="O4" s="13">
        <v>213111231</v>
      </c>
      <c r="P4" s="11" t="s">
        <v>86</v>
      </c>
      <c r="Q4" s="11" t="s">
        <v>87</v>
      </c>
      <c r="R4" s="11" t="s">
        <v>86</v>
      </c>
      <c r="S4" s="11" t="s">
        <v>88</v>
      </c>
      <c r="T4" s="11" t="s">
        <v>84</v>
      </c>
      <c r="U4" s="12" t="s">
        <v>89</v>
      </c>
      <c r="V4" s="14" t="s">
        <v>90</v>
      </c>
      <c r="W4" s="11" t="s">
        <v>84</v>
      </c>
      <c r="X4" s="12">
        <f t="shared" si="0"/>
        <v>45597</v>
      </c>
      <c r="Y4" s="11" t="s">
        <v>91</v>
      </c>
      <c r="Z4" s="11" t="s">
        <v>92</v>
      </c>
      <c r="AA4" s="8" t="s">
        <v>141</v>
      </c>
      <c r="AB4" s="8" t="s">
        <v>94</v>
      </c>
      <c r="AC4" s="8" t="s">
        <v>142</v>
      </c>
      <c r="AD4" s="10" t="s">
        <v>96</v>
      </c>
      <c r="AE4" s="10" t="s">
        <v>97</v>
      </c>
      <c r="AF4" s="8" t="s">
        <v>143</v>
      </c>
      <c r="AG4" s="15">
        <v>20</v>
      </c>
      <c r="AH4" s="12">
        <f>K4+365</f>
        <v>45962</v>
      </c>
      <c r="AI4" s="11" t="s">
        <v>100</v>
      </c>
      <c r="AJ4" s="11" t="s">
        <v>101</v>
      </c>
      <c r="AK4" s="12">
        <f t="shared" si="1"/>
        <v>45962</v>
      </c>
      <c r="AL4" s="12">
        <f t="shared" si="2"/>
        <v>45597</v>
      </c>
      <c r="AM4" s="12">
        <f t="shared" si="3"/>
        <v>45597</v>
      </c>
      <c r="AN4" s="11" t="s">
        <v>102</v>
      </c>
      <c r="AO4" s="8" t="s">
        <v>144</v>
      </c>
      <c r="AP4" s="10">
        <v>100</v>
      </c>
      <c r="AQ4" s="12">
        <f t="shared" si="4"/>
        <v>45687</v>
      </c>
      <c r="AR4" s="10" t="s">
        <v>79</v>
      </c>
      <c r="AS4" s="16" t="s">
        <v>104</v>
      </c>
      <c r="AT4" s="17">
        <v>9661111966</v>
      </c>
      <c r="AU4" s="12" t="s">
        <v>105</v>
      </c>
      <c r="AV4" s="12" t="s">
        <v>106</v>
      </c>
      <c r="AW4" s="10" t="s">
        <v>79</v>
      </c>
      <c r="AX4" s="16" t="s">
        <v>107</v>
      </c>
      <c r="AY4" s="17">
        <v>144022795</v>
      </c>
      <c r="AZ4" s="12" t="s">
        <v>105</v>
      </c>
      <c r="BA4" s="12" t="s">
        <v>106</v>
      </c>
      <c r="BB4" s="8" t="s">
        <v>108</v>
      </c>
      <c r="BC4" s="12" t="s">
        <v>109</v>
      </c>
      <c r="BD4" s="16" t="s">
        <v>86</v>
      </c>
      <c r="BE4" s="16" t="s">
        <v>110</v>
      </c>
      <c r="BF4" s="16" t="s">
        <v>111</v>
      </c>
      <c r="BG4" s="10" t="s">
        <v>112</v>
      </c>
      <c r="BH4" s="10" t="s">
        <v>113</v>
      </c>
      <c r="BI4" s="8" t="s">
        <v>114</v>
      </c>
      <c r="BJ4" s="16" t="s">
        <v>115</v>
      </c>
      <c r="BK4" s="13" t="s">
        <v>79</v>
      </c>
      <c r="BL4" s="13" t="s">
        <v>145</v>
      </c>
      <c r="BM4" s="13" t="s">
        <v>146</v>
      </c>
      <c r="BN4" s="13" t="s">
        <v>118</v>
      </c>
      <c r="BO4" s="13">
        <v>1991</v>
      </c>
      <c r="BP4" s="13" t="s">
        <v>119</v>
      </c>
      <c r="BQ4" s="13">
        <v>1989</v>
      </c>
      <c r="BR4" s="13">
        <v>1991</v>
      </c>
      <c r="BS4" s="13" t="s">
        <v>147</v>
      </c>
      <c r="BT4" s="13" t="s">
        <v>121</v>
      </c>
      <c r="BU4" s="13" t="s">
        <v>79</v>
      </c>
      <c r="BV4" s="18" t="s">
        <v>148</v>
      </c>
      <c r="BW4" s="18" t="s">
        <v>149</v>
      </c>
      <c r="BX4" s="18">
        <v>213</v>
      </c>
      <c r="BY4" s="18" t="s">
        <v>124</v>
      </c>
      <c r="BZ4" s="18" t="s">
        <v>125</v>
      </c>
      <c r="CA4" s="18" t="s">
        <v>126</v>
      </c>
    </row>
    <row r="5" spans="1:92" s="7" customFormat="1" ht="15.6" customHeight="1" x14ac:dyDescent="0.25">
      <c r="A5" s="8" t="s">
        <v>150</v>
      </c>
      <c r="B5" s="8" t="s">
        <v>151</v>
      </c>
      <c r="C5" s="8" t="s">
        <v>77</v>
      </c>
      <c r="D5" s="9" t="s">
        <v>129</v>
      </c>
      <c r="E5" s="10" t="s">
        <v>79</v>
      </c>
      <c r="F5" s="8" t="s">
        <v>152</v>
      </c>
      <c r="G5" s="11" t="s">
        <v>131</v>
      </c>
      <c r="H5" s="11" t="s">
        <v>82</v>
      </c>
      <c r="I5" s="11" t="s">
        <v>83</v>
      </c>
      <c r="J5" s="11" t="s">
        <v>84</v>
      </c>
      <c r="K5" s="12">
        <v>45597</v>
      </c>
      <c r="L5" s="10" t="s">
        <v>79</v>
      </c>
      <c r="M5" s="10" t="s">
        <v>85</v>
      </c>
      <c r="N5" s="10">
        <v>1</v>
      </c>
      <c r="O5" s="13">
        <v>213111231</v>
      </c>
      <c r="P5" s="11" t="s">
        <v>86</v>
      </c>
      <c r="Q5" s="11" t="s">
        <v>87</v>
      </c>
      <c r="R5" s="11" t="s">
        <v>86</v>
      </c>
      <c r="S5" s="11" t="s">
        <v>88</v>
      </c>
      <c r="T5" s="11" t="s">
        <v>84</v>
      </c>
      <c r="U5" s="12" t="s">
        <v>89</v>
      </c>
      <c r="V5" s="14" t="s">
        <v>90</v>
      </c>
      <c r="W5" s="11" t="s">
        <v>84</v>
      </c>
      <c r="X5" s="12">
        <f t="shared" si="0"/>
        <v>45597</v>
      </c>
      <c r="Y5" s="11" t="s">
        <v>91</v>
      </c>
      <c r="Z5" s="11" t="s">
        <v>153</v>
      </c>
      <c r="AA5" s="8" t="s">
        <v>141</v>
      </c>
      <c r="AB5" s="8" t="s">
        <v>154</v>
      </c>
      <c r="AC5" s="8" t="s">
        <v>95</v>
      </c>
      <c r="AD5" s="10" t="s">
        <v>96</v>
      </c>
      <c r="AE5" s="10" t="s">
        <v>97</v>
      </c>
      <c r="AF5" s="8" t="s">
        <v>98</v>
      </c>
      <c r="AG5" s="15">
        <v>40</v>
      </c>
      <c r="AH5" s="12">
        <f>K5+365</f>
        <v>45962</v>
      </c>
      <c r="AI5" s="11" t="s">
        <v>100</v>
      </c>
      <c r="AJ5" s="11" t="s">
        <v>101</v>
      </c>
      <c r="AK5" s="12">
        <f t="shared" si="1"/>
        <v>45962</v>
      </c>
      <c r="AL5" s="12">
        <f t="shared" si="2"/>
        <v>45597</v>
      </c>
      <c r="AM5" s="12">
        <f t="shared" si="3"/>
        <v>45597</v>
      </c>
      <c r="AN5" s="11" t="s">
        <v>134</v>
      </c>
      <c r="AO5" s="8" t="s">
        <v>135</v>
      </c>
      <c r="AP5" s="10">
        <v>100</v>
      </c>
      <c r="AQ5" s="12">
        <f t="shared" si="4"/>
        <v>45687</v>
      </c>
      <c r="AR5" s="10" t="s">
        <v>79</v>
      </c>
      <c r="AS5" s="16" t="s">
        <v>104</v>
      </c>
      <c r="AT5" s="17">
        <v>9661118016</v>
      </c>
      <c r="AU5" s="12" t="s">
        <v>105</v>
      </c>
      <c r="AV5" s="12" t="s">
        <v>106</v>
      </c>
      <c r="AW5" s="10" t="s">
        <v>79</v>
      </c>
      <c r="AX5" s="16" t="s">
        <v>107</v>
      </c>
      <c r="AY5" s="17">
        <v>144012796</v>
      </c>
      <c r="AZ5" s="12" t="s">
        <v>105</v>
      </c>
      <c r="BA5" s="12" t="s">
        <v>106</v>
      </c>
      <c r="BB5" s="8" t="s">
        <v>108</v>
      </c>
      <c r="BC5" s="12" t="s">
        <v>109</v>
      </c>
      <c r="BD5" s="16" t="s">
        <v>86</v>
      </c>
      <c r="BE5" s="16" t="s">
        <v>110</v>
      </c>
      <c r="BF5" s="16" t="s">
        <v>111</v>
      </c>
      <c r="BG5" s="10" t="s">
        <v>112</v>
      </c>
      <c r="BH5" s="10" t="s">
        <v>113</v>
      </c>
      <c r="BI5" s="8" t="s">
        <v>114</v>
      </c>
      <c r="BJ5" s="16" t="s">
        <v>115</v>
      </c>
      <c r="BK5" s="13" t="s">
        <v>79</v>
      </c>
      <c r="BL5" s="13" t="s">
        <v>155</v>
      </c>
      <c r="BM5" s="13" t="s">
        <v>156</v>
      </c>
      <c r="BN5" s="13" t="s">
        <v>118</v>
      </c>
      <c r="BO5" s="13">
        <v>2024</v>
      </c>
      <c r="BP5" s="13" t="s">
        <v>119</v>
      </c>
      <c r="BQ5" s="13">
        <v>2021</v>
      </c>
      <c r="BR5" s="13">
        <v>2024</v>
      </c>
      <c r="BS5" s="13" t="s">
        <v>157</v>
      </c>
      <c r="BT5" s="13" t="s">
        <v>121</v>
      </c>
      <c r="BU5" s="13" t="s">
        <v>79</v>
      </c>
      <c r="BV5" s="18" t="s">
        <v>158</v>
      </c>
      <c r="BW5" s="18" t="s">
        <v>159</v>
      </c>
      <c r="BX5" s="18">
        <v>207</v>
      </c>
      <c r="BY5" s="18" t="s">
        <v>124</v>
      </c>
      <c r="BZ5" s="18" t="s">
        <v>125</v>
      </c>
      <c r="CA5" s="18" t="s">
        <v>126</v>
      </c>
    </row>
    <row r="6" spans="1:92" s="7" customFormat="1" ht="15.6" customHeight="1" x14ac:dyDescent="0.25">
      <c r="A6" s="8" t="s">
        <v>160</v>
      </c>
      <c r="B6" s="8" t="s">
        <v>161</v>
      </c>
      <c r="C6" s="8" t="s">
        <v>162</v>
      </c>
      <c r="D6" s="9" t="s">
        <v>78</v>
      </c>
      <c r="E6" s="10" t="s">
        <v>79</v>
      </c>
      <c r="F6" s="8" t="s">
        <v>163</v>
      </c>
      <c r="G6" s="11" t="s">
        <v>131</v>
      </c>
      <c r="H6" s="11" t="s">
        <v>82</v>
      </c>
      <c r="I6" s="11" t="s">
        <v>83</v>
      </c>
      <c r="J6" s="11" t="s">
        <v>84</v>
      </c>
      <c r="K6" s="12">
        <v>45597</v>
      </c>
      <c r="L6" s="10" t="s">
        <v>79</v>
      </c>
      <c r="M6" s="10" t="s">
        <v>85</v>
      </c>
      <c r="N6" s="10">
        <v>1</v>
      </c>
      <c r="O6" s="13">
        <v>213111231</v>
      </c>
      <c r="P6" s="11" t="s">
        <v>86</v>
      </c>
      <c r="Q6" s="11" t="s">
        <v>87</v>
      </c>
      <c r="R6" s="11" t="s">
        <v>86</v>
      </c>
      <c r="S6" s="11" t="s">
        <v>88</v>
      </c>
      <c r="T6" s="11" t="s">
        <v>84</v>
      </c>
      <c r="U6" s="12" t="s">
        <v>89</v>
      </c>
      <c r="V6" s="14" t="s">
        <v>90</v>
      </c>
      <c r="W6" s="11" t="s">
        <v>84</v>
      </c>
      <c r="X6" s="12">
        <f t="shared" si="0"/>
        <v>45597</v>
      </c>
      <c r="Y6" s="11" t="s">
        <v>91</v>
      </c>
      <c r="Z6" s="11" t="s">
        <v>92</v>
      </c>
      <c r="AA6" s="8" t="s">
        <v>164</v>
      </c>
      <c r="AB6" s="8" t="s">
        <v>165</v>
      </c>
      <c r="AC6" s="8" t="s">
        <v>142</v>
      </c>
      <c r="AD6" s="10" t="s">
        <v>96</v>
      </c>
      <c r="AE6" s="10" t="s">
        <v>166</v>
      </c>
      <c r="AF6" s="8" t="s">
        <v>167</v>
      </c>
      <c r="AG6" s="15">
        <v>16</v>
      </c>
      <c r="AH6" s="12">
        <f>K6+365</f>
        <v>45962</v>
      </c>
      <c r="AI6" s="11" t="s">
        <v>168</v>
      </c>
      <c r="AJ6" s="11" t="s">
        <v>101</v>
      </c>
      <c r="AK6" s="12">
        <f t="shared" si="1"/>
        <v>45962</v>
      </c>
      <c r="AL6" s="12">
        <f t="shared" si="2"/>
        <v>45597</v>
      </c>
      <c r="AM6" s="12">
        <f t="shared" si="3"/>
        <v>45597</v>
      </c>
      <c r="AN6" s="11" t="s">
        <v>102</v>
      </c>
      <c r="AO6" s="8" t="s">
        <v>169</v>
      </c>
      <c r="AP6" s="10">
        <v>100</v>
      </c>
      <c r="AQ6" s="12">
        <f t="shared" si="4"/>
        <v>45687</v>
      </c>
      <c r="AR6" s="10" t="s">
        <v>79</v>
      </c>
      <c r="AS6" s="16" t="s">
        <v>104</v>
      </c>
      <c r="AT6" s="17">
        <v>9661117114</v>
      </c>
      <c r="AU6" s="12" t="s">
        <v>105</v>
      </c>
      <c r="AV6" s="12" t="s">
        <v>106</v>
      </c>
      <c r="AW6" s="10" t="s">
        <v>79</v>
      </c>
      <c r="AX6" s="16" t="s">
        <v>107</v>
      </c>
      <c r="AY6" s="17">
        <v>144002797</v>
      </c>
      <c r="AZ6" s="12" t="s">
        <v>105</v>
      </c>
      <c r="BA6" s="12" t="s">
        <v>106</v>
      </c>
      <c r="BB6" s="8" t="s">
        <v>108</v>
      </c>
      <c r="BC6" s="12" t="s">
        <v>109</v>
      </c>
      <c r="BD6" s="16" t="s">
        <v>86</v>
      </c>
      <c r="BE6" s="16" t="s">
        <v>110</v>
      </c>
      <c r="BF6" s="16" t="s">
        <v>111</v>
      </c>
      <c r="BG6" s="10" t="s">
        <v>112</v>
      </c>
      <c r="BH6" s="10" t="s">
        <v>113</v>
      </c>
      <c r="BI6" s="8" t="s">
        <v>114</v>
      </c>
      <c r="BJ6" s="16" t="s">
        <v>115</v>
      </c>
      <c r="BK6" s="13" t="s">
        <v>79</v>
      </c>
      <c r="BL6" s="13" t="s">
        <v>116</v>
      </c>
      <c r="BM6" s="13" t="s">
        <v>117</v>
      </c>
      <c r="BN6" s="13" t="s">
        <v>118</v>
      </c>
      <c r="BO6" s="13">
        <v>2000</v>
      </c>
      <c r="BP6" s="13" t="s">
        <v>119</v>
      </c>
      <c r="BQ6" s="13">
        <v>1995</v>
      </c>
      <c r="BR6" s="13">
        <v>2000</v>
      </c>
      <c r="BS6" s="13" t="s">
        <v>120</v>
      </c>
      <c r="BT6" s="13" t="s">
        <v>121</v>
      </c>
      <c r="BU6" s="13" t="s">
        <v>79</v>
      </c>
      <c r="BV6" s="18" t="s">
        <v>170</v>
      </c>
      <c r="BW6" s="18" t="s">
        <v>171</v>
      </c>
      <c r="BX6" s="18">
        <v>211</v>
      </c>
      <c r="BY6" s="18" t="s">
        <v>124</v>
      </c>
      <c r="BZ6" s="18" t="s">
        <v>125</v>
      </c>
      <c r="CA6" s="18" t="s">
        <v>126</v>
      </c>
    </row>
    <row r="7" spans="1:92" s="7" customFormat="1" ht="15.6" customHeight="1" x14ac:dyDescent="0.25">
      <c r="A7" s="8" t="s">
        <v>172</v>
      </c>
      <c r="B7" s="8" t="s">
        <v>173</v>
      </c>
      <c r="C7" s="8" t="s">
        <v>77</v>
      </c>
      <c r="D7" s="9" t="s">
        <v>129</v>
      </c>
      <c r="E7" s="10" t="s">
        <v>79</v>
      </c>
      <c r="F7" s="8" t="s">
        <v>174</v>
      </c>
      <c r="G7" s="11" t="s">
        <v>131</v>
      </c>
      <c r="H7" s="11" t="s">
        <v>175</v>
      </c>
      <c r="I7" s="11" t="s">
        <v>83</v>
      </c>
      <c r="J7" s="11" t="s">
        <v>84</v>
      </c>
      <c r="K7" s="12">
        <v>45597</v>
      </c>
      <c r="L7" s="10" t="s">
        <v>79</v>
      </c>
      <c r="M7" s="10" t="s">
        <v>85</v>
      </c>
      <c r="N7" s="10">
        <v>1</v>
      </c>
      <c r="O7" s="13">
        <v>213111231</v>
      </c>
      <c r="P7" s="11" t="s">
        <v>86</v>
      </c>
      <c r="Q7" s="11" t="s">
        <v>87</v>
      </c>
      <c r="R7" s="11" t="s">
        <v>86</v>
      </c>
      <c r="S7" s="11" t="s">
        <v>88</v>
      </c>
      <c r="T7" s="11" t="s">
        <v>84</v>
      </c>
      <c r="U7" s="12" t="s">
        <v>89</v>
      </c>
      <c r="V7" s="14" t="s">
        <v>90</v>
      </c>
      <c r="W7" s="11" t="s">
        <v>84</v>
      </c>
      <c r="X7" s="12">
        <f t="shared" si="0"/>
        <v>45597</v>
      </c>
      <c r="Y7" s="11" t="s">
        <v>91</v>
      </c>
      <c r="Z7" s="11" t="s">
        <v>176</v>
      </c>
      <c r="AA7" s="8" t="s">
        <v>93</v>
      </c>
      <c r="AB7" s="8" t="s">
        <v>177</v>
      </c>
      <c r="AC7" s="8" t="s">
        <v>142</v>
      </c>
      <c r="AD7" s="10" t="s">
        <v>96</v>
      </c>
      <c r="AE7" s="10" t="s">
        <v>97</v>
      </c>
      <c r="AF7" s="8" t="s">
        <v>98</v>
      </c>
      <c r="AG7" s="15">
        <v>25</v>
      </c>
      <c r="AH7" s="12" t="s">
        <v>99</v>
      </c>
      <c r="AI7" s="11" t="s">
        <v>100</v>
      </c>
      <c r="AJ7" s="11" t="s">
        <v>101</v>
      </c>
      <c r="AK7" s="12" t="str">
        <f t="shared" si="1"/>
        <v>N/A</v>
      </c>
      <c r="AL7" s="12">
        <f t="shared" si="2"/>
        <v>45597</v>
      </c>
      <c r="AM7" s="12">
        <f t="shared" si="3"/>
        <v>45597</v>
      </c>
      <c r="AN7" s="11" t="s">
        <v>134</v>
      </c>
      <c r="AO7" s="8" t="s">
        <v>135</v>
      </c>
      <c r="AP7" s="10">
        <v>100</v>
      </c>
      <c r="AQ7" s="12">
        <f t="shared" si="4"/>
        <v>45687</v>
      </c>
      <c r="AR7" s="10" t="s">
        <v>79</v>
      </c>
      <c r="AS7" s="16" t="s">
        <v>104</v>
      </c>
      <c r="AT7" s="17">
        <v>9661119545</v>
      </c>
      <c r="AU7" s="12" t="s">
        <v>105</v>
      </c>
      <c r="AV7" s="12" t="s">
        <v>106</v>
      </c>
      <c r="AW7" s="10" t="s">
        <v>79</v>
      </c>
      <c r="AX7" s="16" t="s">
        <v>107</v>
      </c>
      <c r="AY7" s="17">
        <v>143992798</v>
      </c>
      <c r="AZ7" s="12" t="s">
        <v>105</v>
      </c>
      <c r="BA7" s="12" t="s">
        <v>106</v>
      </c>
      <c r="BB7" s="8" t="s">
        <v>108</v>
      </c>
      <c r="BC7" s="12" t="s">
        <v>109</v>
      </c>
      <c r="BD7" s="16" t="s">
        <v>86</v>
      </c>
      <c r="BE7" s="16" t="s">
        <v>110</v>
      </c>
      <c r="BF7" s="16" t="s">
        <v>111</v>
      </c>
      <c r="BG7" s="10" t="s">
        <v>112</v>
      </c>
      <c r="BH7" s="10" t="s">
        <v>113</v>
      </c>
      <c r="BI7" s="8" t="s">
        <v>114</v>
      </c>
      <c r="BJ7" s="16" t="s">
        <v>115</v>
      </c>
      <c r="BK7" s="13" t="s">
        <v>79</v>
      </c>
      <c r="BL7" s="13" t="s">
        <v>178</v>
      </c>
      <c r="BM7" s="13" t="s">
        <v>179</v>
      </c>
      <c r="BN7" s="13" t="s">
        <v>118</v>
      </c>
      <c r="BO7" s="13">
        <v>2000</v>
      </c>
      <c r="BP7" s="13" t="s">
        <v>119</v>
      </c>
      <c r="BQ7" s="13">
        <v>1995</v>
      </c>
      <c r="BR7" s="13">
        <v>2000</v>
      </c>
      <c r="BS7" s="13" t="s">
        <v>180</v>
      </c>
      <c r="BT7" s="13" t="s">
        <v>121</v>
      </c>
      <c r="BU7" s="13" t="s">
        <v>79</v>
      </c>
      <c r="BV7" s="18" t="s">
        <v>181</v>
      </c>
      <c r="BW7" s="18" t="s">
        <v>182</v>
      </c>
      <c r="BX7" s="18">
        <v>211</v>
      </c>
      <c r="BY7" s="18" t="s">
        <v>124</v>
      </c>
      <c r="BZ7" s="18" t="s">
        <v>125</v>
      </c>
      <c r="CA7" s="18" t="s">
        <v>126</v>
      </c>
    </row>
    <row r="8" spans="1:92" s="7" customFormat="1" ht="15.6" customHeight="1" x14ac:dyDescent="0.25">
      <c r="A8" s="8" t="s">
        <v>183</v>
      </c>
      <c r="B8" s="8" t="s">
        <v>184</v>
      </c>
      <c r="C8" s="8" t="s">
        <v>77</v>
      </c>
      <c r="D8" s="9" t="s">
        <v>78</v>
      </c>
      <c r="E8" s="10" t="s">
        <v>79</v>
      </c>
      <c r="F8" s="8" t="s">
        <v>185</v>
      </c>
      <c r="G8" s="11" t="s">
        <v>131</v>
      </c>
      <c r="H8" s="11" t="s">
        <v>186</v>
      </c>
      <c r="I8" s="11" t="s">
        <v>83</v>
      </c>
      <c r="J8" s="11" t="s">
        <v>84</v>
      </c>
      <c r="K8" s="12">
        <v>45597</v>
      </c>
      <c r="L8" s="10" t="s">
        <v>79</v>
      </c>
      <c r="M8" s="10" t="s">
        <v>85</v>
      </c>
      <c r="N8" s="10">
        <v>1</v>
      </c>
      <c r="O8" s="13">
        <v>213111231</v>
      </c>
      <c r="P8" s="11" t="s">
        <v>86</v>
      </c>
      <c r="Q8" s="11" t="s">
        <v>87</v>
      </c>
      <c r="R8" s="11" t="s">
        <v>86</v>
      </c>
      <c r="S8" s="11" t="s">
        <v>88</v>
      </c>
      <c r="T8" s="11" t="s">
        <v>84</v>
      </c>
      <c r="U8" s="12" t="s">
        <v>89</v>
      </c>
      <c r="V8" s="14" t="s">
        <v>90</v>
      </c>
      <c r="W8" s="11" t="s">
        <v>84</v>
      </c>
      <c r="X8" s="12">
        <f t="shared" si="0"/>
        <v>45597</v>
      </c>
      <c r="Y8" s="11" t="s">
        <v>91</v>
      </c>
      <c r="Z8" s="11" t="s">
        <v>92</v>
      </c>
      <c r="AA8" s="8" t="s">
        <v>141</v>
      </c>
      <c r="AB8" s="8" t="s">
        <v>187</v>
      </c>
      <c r="AC8" s="8" t="s">
        <v>142</v>
      </c>
      <c r="AD8" s="10" t="s">
        <v>96</v>
      </c>
      <c r="AE8" s="10" t="s">
        <v>97</v>
      </c>
      <c r="AF8" s="8" t="s">
        <v>98</v>
      </c>
      <c r="AG8" s="15">
        <v>30</v>
      </c>
      <c r="AH8" s="12">
        <f>K8+365</f>
        <v>45962</v>
      </c>
      <c r="AI8" s="11" t="s">
        <v>100</v>
      </c>
      <c r="AJ8" s="11" t="s">
        <v>101</v>
      </c>
      <c r="AK8" s="12">
        <f t="shared" si="1"/>
        <v>45962</v>
      </c>
      <c r="AL8" s="12">
        <f t="shared" si="2"/>
        <v>45597</v>
      </c>
      <c r="AM8" s="12">
        <f t="shared" si="3"/>
        <v>45597</v>
      </c>
      <c r="AN8" s="11" t="s">
        <v>102</v>
      </c>
      <c r="AO8" s="8" t="s">
        <v>188</v>
      </c>
      <c r="AP8" s="10">
        <v>100</v>
      </c>
      <c r="AQ8" s="12">
        <f t="shared" si="4"/>
        <v>45687</v>
      </c>
      <c r="AR8" s="10" t="s">
        <v>79</v>
      </c>
      <c r="AS8" s="16" t="s">
        <v>104</v>
      </c>
      <c r="AT8" s="17">
        <v>9661111867</v>
      </c>
      <c r="AU8" s="12" t="s">
        <v>105</v>
      </c>
      <c r="AV8" s="12" t="s">
        <v>106</v>
      </c>
      <c r="AW8" s="10" t="s">
        <v>79</v>
      </c>
      <c r="AX8" s="16" t="s">
        <v>107</v>
      </c>
      <c r="AY8" s="17">
        <v>143982799</v>
      </c>
      <c r="AZ8" s="12" t="s">
        <v>105</v>
      </c>
      <c r="BA8" s="12" t="s">
        <v>106</v>
      </c>
      <c r="BB8" s="8" t="s">
        <v>108</v>
      </c>
      <c r="BC8" s="12" t="s">
        <v>109</v>
      </c>
      <c r="BD8" s="16" t="s">
        <v>86</v>
      </c>
      <c r="BE8" s="16" t="s">
        <v>110</v>
      </c>
      <c r="BF8" s="16" t="s">
        <v>111</v>
      </c>
      <c r="BG8" s="10" t="s">
        <v>112</v>
      </c>
      <c r="BH8" s="10" t="s">
        <v>113</v>
      </c>
      <c r="BI8" s="8" t="s">
        <v>114</v>
      </c>
      <c r="BJ8" s="16" t="s">
        <v>115</v>
      </c>
      <c r="BK8" s="13" t="s">
        <v>79</v>
      </c>
      <c r="BL8" s="13" t="s">
        <v>116</v>
      </c>
      <c r="BM8" s="13" t="s">
        <v>117</v>
      </c>
      <c r="BN8" s="13" t="s">
        <v>118</v>
      </c>
      <c r="BO8" s="13">
        <v>2000</v>
      </c>
      <c r="BP8" s="13" t="s">
        <v>119</v>
      </c>
      <c r="BQ8" s="13">
        <v>1995</v>
      </c>
      <c r="BR8" s="13">
        <v>2000</v>
      </c>
      <c r="BS8" s="13" t="s">
        <v>120</v>
      </c>
      <c r="BT8" s="13" t="s">
        <v>121</v>
      </c>
      <c r="BU8" s="13" t="s">
        <v>79</v>
      </c>
      <c r="BV8" s="18" t="s">
        <v>189</v>
      </c>
      <c r="BW8" s="18" t="s">
        <v>190</v>
      </c>
      <c r="BX8" s="18">
        <v>213</v>
      </c>
      <c r="BY8" s="18" t="s">
        <v>124</v>
      </c>
      <c r="BZ8" s="18" t="s">
        <v>125</v>
      </c>
      <c r="CA8" s="18" t="s">
        <v>126</v>
      </c>
    </row>
    <row r="9" spans="1:92" s="7" customFormat="1" ht="15.6" customHeight="1" x14ac:dyDescent="0.25">
      <c r="A9" s="8" t="s">
        <v>191</v>
      </c>
      <c r="B9" s="8" t="s">
        <v>192</v>
      </c>
      <c r="C9" s="8" t="s">
        <v>77</v>
      </c>
      <c r="D9" s="9" t="s">
        <v>129</v>
      </c>
      <c r="E9" s="10" t="s">
        <v>79</v>
      </c>
      <c r="F9" s="8" t="s">
        <v>193</v>
      </c>
      <c r="G9" s="11" t="s">
        <v>131</v>
      </c>
      <c r="H9" s="11" t="s">
        <v>194</v>
      </c>
      <c r="I9" s="11" t="s">
        <v>83</v>
      </c>
      <c r="J9" s="11" t="s">
        <v>84</v>
      </c>
      <c r="K9" s="12">
        <v>45597</v>
      </c>
      <c r="L9" s="10" t="s">
        <v>79</v>
      </c>
      <c r="M9" s="10" t="s">
        <v>85</v>
      </c>
      <c r="N9" s="10">
        <v>1</v>
      </c>
      <c r="O9" s="13">
        <v>213111231</v>
      </c>
      <c r="P9" s="11" t="s">
        <v>86</v>
      </c>
      <c r="Q9" s="11" t="s">
        <v>87</v>
      </c>
      <c r="R9" s="11" t="s">
        <v>86</v>
      </c>
      <c r="S9" s="11" t="s">
        <v>88</v>
      </c>
      <c r="T9" s="11" t="s">
        <v>84</v>
      </c>
      <c r="U9" s="12" t="s">
        <v>89</v>
      </c>
      <c r="V9" s="14" t="s">
        <v>90</v>
      </c>
      <c r="W9" s="11" t="s">
        <v>84</v>
      </c>
      <c r="X9" s="12">
        <f t="shared" si="0"/>
        <v>45597</v>
      </c>
      <c r="Y9" s="11" t="s">
        <v>91</v>
      </c>
      <c r="Z9" s="11" t="s">
        <v>195</v>
      </c>
      <c r="AA9" s="8" t="s">
        <v>141</v>
      </c>
      <c r="AB9" s="8" t="s">
        <v>196</v>
      </c>
      <c r="AC9" s="8" t="s">
        <v>95</v>
      </c>
      <c r="AD9" s="10" t="s">
        <v>96</v>
      </c>
      <c r="AE9" s="10" t="s">
        <v>97</v>
      </c>
      <c r="AF9" s="8" t="s">
        <v>98</v>
      </c>
      <c r="AG9" s="15">
        <v>40</v>
      </c>
      <c r="AH9" s="12">
        <f>K9+365</f>
        <v>45962</v>
      </c>
      <c r="AI9" s="11" t="s">
        <v>100</v>
      </c>
      <c r="AJ9" s="11" t="s">
        <v>101</v>
      </c>
      <c r="AK9" s="12">
        <f t="shared" si="1"/>
        <v>45962</v>
      </c>
      <c r="AL9" s="12">
        <f t="shared" si="2"/>
        <v>45597</v>
      </c>
      <c r="AM9" s="12">
        <f t="shared" si="3"/>
        <v>45597</v>
      </c>
      <c r="AN9" s="11" t="s">
        <v>134</v>
      </c>
      <c r="AO9" s="8" t="s">
        <v>135</v>
      </c>
      <c r="AP9" s="10">
        <v>100</v>
      </c>
      <c r="AQ9" s="12">
        <f t="shared" si="4"/>
        <v>45687</v>
      </c>
      <c r="AR9" s="10" t="s">
        <v>79</v>
      </c>
      <c r="AS9" s="16" t="s">
        <v>104</v>
      </c>
      <c r="AT9" s="17">
        <v>9661116828</v>
      </c>
      <c r="AU9" s="12" t="s">
        <v>105</v>
      </c>
      <c r="AV9" s="12" t="s">
        <v>106</v>
      </c>
      <c r="AW9" s="10" t="s">
        <v>79</v>
      </c>
      <c r="AX9" s="16" t="s">
        <v>107</v>
      </c>
      <c r="AY9" s="17">
        <v>143972800</v>
      </c>
      <c r="AZ9" s="12" t="s">
        <v>105</v>
      </c>
      <c r="BA9" s="12" t="s">
        <v>106</v>
      </c>
      <c r="BB9" s="8" t="s">
        <v>108</v>
      </c>
      <c r="BC9" s="12" t="s">
        <v>109</v>
      </c>
      <c r="BD9" s="16" t="s">
        <v>86</v>
      </c>
      <c r="BE9" s="16" t="s">
        <v>110</v>
      </c>
      <c r="BF9" s="16" t="s">
        <v>111</v>
      </c>
      <c r="BG9" s="10" t="s">
        <v>112</v>
      </c>
      <c r="BH9" s="10" t="s">
        <v>113</v>
      </c>
      <c r="BI9" s="8" t="s">
        <v>114</v>
      </c>
      <c r="BJ9" s="16" t="s">
        <v>115</v>
      </c>
      <c r="BK9" s="13" t="s">
        <v>79</v>
      </c>
      <c r="BL9" s="13" t="s">
        <v>145</v>
      </c>
      <c r="BM9" s="13" t="s">
        <v>146</v>
      </c>
      <c r="BN9" s="13" t="s">
        <v>118</v>
      </c>
      <c r="BO9" s="13">
        <v>1991</v>
      </c>
      <c r="BP9" s="13" t="s">
        <v>119</v>
      </c>
      <c r="BQ9" s="13">
        <v>1989</v>
      </c>
      <c r="BR9" s="13">
        <v>1991</v>
      </c>
      <c r="BS9" s="13" t="s">
        <v>147</v>
      </c>
      <c r="BT9" s="13" t="s">
        <v>121</v>
      </c>
      <c r="BU9" s="13" t="s">
        <v>79</v>
      </c>
      <c r="BV9" s="18" t="s">
        <v>197</v>
      </c>
      <c r="BW9" s="18" t="s">
        <v>198</v>
      </c>
      <c r="BX9" s="18">
        <v>211</v>
      </c>
      <c r="BY9" s="18" t="s">
        <v>124</v>
      </c>
      <c r="BZ9" s="18" t="s">
        <v>125</v>
      </c>
      <c r="CA9" s="18" t="s">
        <v>126</v>
      </c>
    </row>
    <row r="10" spans="1:92" s="7" customFormat="1" ht="15.6" customHeight="1" x14ac:dyDescent="0.25">
      <c r="A10" s="8" t="s">
        <v>199</v>
      </c>
      <c r="B10" s="8" t="s">
        <v>200</v>
      </c>
      <c r="C10" s="8" t="s">
        <v>77</v>
      </c>
      <c r="D10" s="9" t="s">
        <v>78</v>
      </c>
      <c r="E10" s="10" t="s">
        <v>79</v>
      </c>
      <c r="F10" s="8" t="s">
        <v>201</v>
      </c>
      <c r="G10" s="11" t="s">
        <v>131</v>
      </c>
      <c r="H10" s="11" t="s">
        <v>202</v>
      </c>
      <c r="I10" s="11" t="s">
        <v>83</v>
      </c>
      <c r="J10" s="11" t="s">
        <v>84</v>
      </c>
      <c r="K10" s="12">
        <v>45597</v>
      </c>
      <c r="L10" s="10" t="s">
        <v>79</v>
      </c>
      <c r="M10" s="10" t="s">
        <v>85</v>
      </c>
      <c r="N10" s="10">
        <v>1</v>
      </c>
      <c r="O10" s="13">
        <v>213111231</v>
      </c>
      <c r="P10" s="11" t="s">
        <v>86</v>
      </c>
      <c r="Q10" s="11" t="s">
        <v>87</v>
      </c>
      <c r="R10" s="11" t="s">
        <v>86</v>
      </c>
      <c r="S10" s="11" t="s">
        <v>88</v>
      </c>
      <c r="T10" s="11" t="s">
        <v>84</v>
      </c>
      <c r="U10" s="12" t="s">
        <v>89</v>
      </c>
      <c r="V10" s="14" t="s">
        <v>90</v>
      </c>
      <c r="W10" s="11" t="s">
        <v>84</v>
      </c>
      <c r="X10" s="12">
        <f t="shared" si="0"/>
        <v>45597</v>
      </c>
      <c r="Y10" s="11" t="s">
        <v>91</v>
      </c>
      <c r="Z10" s="11" t="s">
        <v>92</v>
      </c>
      <c r="AA10" s="8" t="s">
        <v>93</v>
      </c>
      <c r="AB10" s="8" t="s">
        <v>203</v>
      </c>
      <c r="AC10" s="8" t="s">
        <v>142</v>
      </c>
      <c r="AD10" s="10" t="s">
        <v>96</v>
      </c>
      <c r="AE10" s="10" t="s">
        <v>97</v>
      </c>
      <c r="AF10" s="8" t="s">
        <v>143</v>
      </c>
      <c r="AG10" s="15">
        <v>20</v>
      </c>
      <c r="AH10" s="12" t="s">
        <v>99</v>
      </c>
      <c r="AI10" s="11" t="s">
        <v>100</v>
      </c>
      <c r="AJ10" s="11" t="s">
        <v>101</v>
      </c>
      <c r="AK10" s="12" t="str">
        <f t="shared" si="1"/>
        <v>N/A</v>
      </c>
      <c r="AL10" s="12">
        <f t="shared" si="2"/>
        <v>45597</v>
      </c>
      <c r="AM10" s="12">
        <f t="shared" si="3"/>
        <v>45597</v>
      </c>
      <c r="AN10" s="11" t="s">
        <v>102</v>
      </c>
      <c r="AO10" s="8" t="s">
        <v>188</v>
      </c>
      <c r="AP10" s="10">
        <v>100</v>
      </c>
      <c r="AQ10" s="12">
        <f t="shared" si="4"/>
        <v>45687</v>
      </c>
      <c r="AR10" s="10" t="s">
        <v>79</v>
      </c>
      <c r="AS10" s="16" t="s">
        <v>104</v>
      </c>
      <c r="AT10" s="17">
        <v>9661115607</v>
      </c>
      <c r="AU10" s="12" t="s">
        <v>105</v>
      </c>
      <c r="AV10" s="12" t="s">
        <v>106</v>
      </c>
      <c r="AW10" s="10" t="s">
        <v>79</v>
      </c>
      <c r="AX10" s="16" t="s">
        <v>107</v>
      </c>
      <c r="AY10" s="17">
        <v>143962801</v>
      </c>
      <c r="AZ10" s="12" t="s">
        <v>105</v>
      </c>
      <c r="BA10" s="12" t="s">
        <v>106</v>
      </c>
      <c r="BB10" s="8" t="s">
        <v>108</v>
      </c>
      <c r="BC10" s="12" t="s">
        <v>109</v>
      </c>
      <c r="BD10" s="16" t="s">
        <v>86</v>
      </c>
      <c r="BE10" s="16" t="s">
        <v>110</v>
      </c>
      <c r="BF10" s="16" t="s">
        <v>111</v>
      </c>
      <c r="BG10" s="10" t="s">
        <v>112</v>
      </c>
      <c r="BH10" s="10" t="s">
        <v>113</v>
      </c>
      <c r="BI10" s="8" t="s">
        <v>114</v>
      </c>
      <c r="BJ10" s="16" t="s">
        <v>115</v>
      </c>
      <c r="BK10" s="13" t="s">
        <v>79</v>
      </c>
      <c r="BL10" s="13" t="s">
        <v>155</v>
      </c>
      <c r="BM10" s="13" t="s">
        <v>156</v>
      </c>
      <c r="BN10" s="13" t="s">
        <v>118</v>
      </c>
      <c r="BO10" s="13">
        <v>2024</v>
      </c>
      <c r="BP10" s="13" t="s">
        <v>119</v>
      </c>
      <c r="BQ10" s="13">
        <v>2021</v>
      </c>
      <c r="BR10" s="13">
        <v>2024</v>
      </c>
      <c r="BS10" s="13" t="s">
        <v>157</v>
      </c>
      <c r="BT10" s="13" t="s">
        <v>121</v>
      </c>
      <c r="BU10" s="13" t="s">
        <v>79</v>
      </c>
      <c r="BV10" s="18" t="s">
        <v>204</v>
      </c>
      <c r="BW10" s="18" t="s">
        <v>205</v>
      </c>
      <c r="BX10" s="18">
        <v>213</v>
      </c>
      <c r="BY10" s="18" t="s">
        <v>124</v>
      </c>
      <c r="BZ10" s="18" t="s">
        <v>125</v>
      </c>
      <c r="CA10" s="18" t="s">
        <v>126</v>
      </c>
    </row>
    <row r="11" spans="1:92" s="7" customFormat="1" ht="15.6" customHeight="1" x14ac:dyDescent="0.25">
      <c r="A11" s="8" t="s">
        <v>206</v>
      </c>
      <c r="B11" s="8" t="s">
        <v>207</v>
      </c>
      <c r="C11" s="8" t="s">
        <v>77</v>
      </c>
      <c r="D11" s="9" t="s">
        <v>129</v>
      </c>
      <c r="E11" s="10" t="s">
        <v>79</v>
      </c>
      <c r="F11" s="8" t="s">
        <v>208</v>
      </c>
      <c r="G11" s="11" t="s">
        <v>131</v>
      </c>
      <c r="H11" s="11" t="s">
        <v>209</v>
      </c>
      <c r="I11" s="11" t="s">
        <v>83</v>
      </c>
      <c r="J11" s="11" t="s">
        <v>84</v>
      </c>
      <c r="K11" s="12">
        <v>45597</v>
      </c>
      <c r="L11" s="10" t="s">
        <v>79</v>
      </c>
      <c r="M11" s="10" t="s">
        <v>85</v>
      </c>
      <c r="N11" s="10">
        <v>1</v>
      </c>
      <c r="O11" s="13">
        <v>213111231</v>
      </c>
      <c r="P11" s="11" t="s">
        <v>86</v>
      </c>
      <c r="Q11" s="11" t="s">
        <v>87</v>
      </c>
      <c r="R11" s="11" t="s">
        <v>86</v>
      </c>
      <c r="S11" s="11" t="s">
        <v>88</v>
      </c>
      <c r="T11" s="11" t="s">
        <v>84</v>
      </c>
      <c r="U11" s="12" t="s">
        <v>89</v>
      </c>
      <c r="V11" s="14" t="s">
        <v>90</v>
      </c>
      <c r="W11" s="11" t="s">
        <v>84</v>
      </c>
      <c r="X11" s="12">
        <f t="shared" si="0"/>
        <v>45597</v>
      </c>
      <c r="Y11" s="11" t="s">
        <v>91</v>
      </c>
      <c r="Z11" s="11" t="s">
        <v>210</v>
      </c>
      <c r="AA11" s="8" t="s">
        <v>93</v>
      </c>
      <c r="AB11" s="8" t="s">
        <v>211</v>
      </c>
      <c r="AC11" s="8" t="s">
        <v>95</v>
      </c>
      <c r="AD11" s="10" t="s">
        <v>96</v>
      </c>
      <c r="AE11" s="10" t="s">
        <v>97</v>
      </c>
      <c r="AF11" s="8" t="s">
        <v>98</v>
      </c>
      <c r="AG11" s="15">
        <v>40</v>
      </c>
      <c r="AH11" s="12" t="s">
        <v>99</v>
      </c>
      <c r="AI11" s="11" t="s">
        <v>100</v>
      </c>
      <c r="AJ11" s="11" t="s">
        <v>101</v>
      </c>
      <c r="AK11" s="12" t="str">
        <f t="shared" si="1"/>
        <v>N/A</v>
      </c>
      <c r="AL11" s="12">
        <f t="shared" si="2"/>
        <v>45597</v>
      </c>
      <c r="AM11" s="12">
        <f t="shared" si="3"/>
        <v>45597</v>
      </c>
      <c r="AN11" s="11" t="s">
        <v>134</v>
      </c>
      <c r="AO11" s="8" t="s">
        <v>135</v>
      </c>
      <c r="AP11" s="10">
        <v>100</v>
      </c>
      <c r="AQ11" s="12">
        <f t="shared" si="4"/>
        <v>45687</v>
      </c>
      <c r="AR11" s="10" t="s">
        <v>79</v>
      </c>
      <c r="AS11" s="16" t="s">
        <v>104</v>
      </c>
      <c r="AT11" s="17">
        <v>9661119831</v>
      </c>
      <c r="AU11" s="12" t="s">
        <v>105</v>
      </c>
      <c r="AV11" s="12" t="s">
        <v>106</v>
      </c>
      <c r="AW11" s="10" t="s">
        <v>79</v>
      </c>
      <c r="AX11" s="16" t="s">
        <v>107</v>
      </c>
      <c r="AY11" s="17">
        <v>143952802</v>
      </c>
      <c r="AZ11" s="12" t="s">
        <v>105</v>
      </c>
      <c r="BA11" s="12" t="s">
        <v>106</v>
      </c>
      <c r="BB11" s="8" t="s">
        <v>108</v>
      </c>
      <c r="BC11" s="12" t="s">
        <v>109</v>
      </c>
      <c r="BD11" s="16" t="s">
        <v>86</v>
      </c>
      <c r="BE11" s="16" t="s">
        <v>110</v>
      </c>
      <c r="BF11" s="16" t="s">
        <v>111</v>
      </c>
      <c r="BG11" s="10" t="s">
        <v>112</v>
      </c>
      <c r="BH11" s="10" t="s">
        <v>113</v>
      </c>
      <c r="BI11" s="8" t="s">
        <v>114</v>
      </c>
      <c r="BJ11" s="16" t="s">
        <v>115</v>
      </c>
      <c r="BK11" s="13" t="s">
        <v>79</v>
      </c>
      <c r="BL11" s="13" t="s">
        <v>116</v>
      </c>
      <c r="BM11" s="13" t="s">
        <v>117</v>
      </c>
      <c r="BN11" s="13" t="s">
        <v>118</v>
      </c>
      <c r="BO11" s="13">
        <v>2000</v>
      </c>
      <c r="BP11" s="13" t="s">
        <v>119</v>
      </c>
      <c r="BQ11" s="13">
        <v>1995</v>
      </c>
      <c r="BR11" s="13">
        <v>2000</v>
      </c>
      <c r="BS11" s="13" t="s">
        <v>120</v>
      </c>
      <c r="BT11" s="13" t="s">
        <v>121</v>
      </c>
      <c r="BU11" s="13" t="s">
        <v>79</v>
      </c>
      <c r="BV11" s="18" t="s">
        <v>212</v>
      </c>
      <c r="BW11" s="18" t="s">
        <v>213</v>
      </c>
      <c r="BX11" s="18">
        <v>201</v>
      </c>
      <c r="BY11" s="18" t="s">
        <v>124</v>
      </c>
      <c r="BZ11" s="18" t="s">
        <v>125</v>
      </c>
      <c r="CA11" s="18" t="s">
        <v>126</v>
      </c>
    </row>
    <row r="12" spans="1:92" s="7" customFormat="1" ht="15.6" customHeight="1" x14ac:dyDescent="0.25">
      <c r="A12" s="8" t="s">
        <v>214</v>
      </c>
      <c r="B12" s="8" t="s">
        <v>215</v>
      </c>
      <c r="C12" s="8" t="s">
        <v>77</v>
      </c>
      <c r="D12" s="9" t="s">
        <v>78</v>
      </c>
      <c r="E12" s="10" t="s">
        <v>79</v>
      </c>
      <c r="F12" s="8" t="s">
        <v>216</v>
      </c>
      <c r="G12" s="11" t="s">
        <v>131</v>
      </c>
      <c r="H12" s="11" t="s">
        <v>217</v>
      </c>
      <c r="I12" s="11" t="s">
        <v>83</v>
      </c>
      <c r="J12" s="11" t="s">
        <v>84</v>
      </c>
      <c r="K12" s="12">
        <v>45597</v>
      </c>
      <c r="L12" s="10" t="s">
        <v>79</v>
      </c>
      <c r="M12" s="10" t="s">
        <v>85</v>
      </c>
      <c r="N12" s="10">
        <v>1</v>
      </c>
      <c r="O12" s="13">
        <v>213111231</v>
      </c>
      <c r="P12" s="11" t="s">
        <v>86</v>
      </c>
      <c r="Q12" s="11" t="s">
        <v>87</v>
      </c>
      <c r="R12" s="11" t="s">
        <v>86</v>
      </c>
      <c r="S12" s="11" t="s">
        <v>88</v>
      </c>
      <c r="T12" s="11" t="s">
        <v>84</v>
      </c>
      <c r="U12" s="12" t="s">
        <v>89</v>
      </c>
      <c r="V12" s="14" t="s">
        <v>90</v>
      </c>
      <c r="W12" s="11" t="s">
        <v>84</v>
      </c>
      <c r="X12" s="12">
        <f t="shared" si="0"/>
        <v>45597</v>
      </c>
      <c r="Y12" s="11" t="s">
        <v>91</v>
      </c>
      <c r="Z12" s="11" t="s">
        <v>92</v>
      </c>
      <c r="AA12" s="8" t="s">
        <v>141</v>
      </c>
      <c r="AB12" s="8" t="s">
        <v>218</v>
      </c>
      <c r="AC12" s="8" t="s">
        <v>142</v>
      </c>
      <c r="AD12" s="10" t="s">
        <v>96</v>
      </c>
      <c r="AE12" s="10" t="s">
        <v>97</v>
      </c>
      <c r="AF12" s="8" t="s">
        <v>98</v>
      </c>
      <c r="AG12" s="15">
        <v>25</v>
      </c>
      <c r="AH12" s="12">
        <f>K12+365</f>
        <v>45962</v>
      </c>
      <c r="AI12" s="11" t="s">
        <v>100</v>
      </c>
      <c r="AJ12" s="11" t="s">
        <v>101</v>
      </c>
      <c r="AK12" s="12">
        <f t="shared" si="1"/>
        <v>45962</v>
      </c>
      <c r="AL12" s="12">
        <f t="shared" si="2"/>
        <v>45597</v>
      </c>
      <c r="AM12" s="12">
        <f t="shared" si="3"/>
        <v>45597</v>
      </c>
      <c r="AN12" s="11" t="s">
        <v>102</v>
      </c>
      <c r="AO12" s="8" t="s">
        <v>219</v>
      </c>
      <c r="AP12" s="10">
        <v>100</v>
      </c>
      <c r="AQ12" s="12">
        <f t="shared" si="4"/>
        <v>45687</v>
      </c>
      <c r="AR12" s="10" t="s">
        <v>79</v>
      </c>
      <c r="AS12" s="16" t="s">
        <v>104</v>
      </c>
      <c r="AT12" s="17">
        <v>9661114287</v>
      </c>
      <c r="AU12" s="12" t="s">
        <v>105</v>
      </c>
      <c r="AV12" s="12" t="s">
        <v>106</v>
      </c>
      <c r="AW12" s="10" t="s">
        <v>79</v>
      </c>
      <c r="AX12" s="16" t="s">
        <v>107</v>
      </c>
      <c r="AY12" s="17">
        <v>143942803</v>
      </c>
      <c r="AZ12" s="12" t="s">
        <v>105</v>
      </c>
      <c r="BA12" s="12" t="s">
        <v>106</v>
      </c>
      <c r="BB12" s="8" t="s">
        <v>108</v>
      </c>
      <c r="BC12" s="12" t="s">
        <v>109</v>
      </c>
      <c r="BD12" s="16" t="s">
        <v>86</v>
      </c>
      <c r="BE12" s="16" t="s">
        <v>110</v>
      </c>
      <c r="BF12" s="16" t="s">
        <v>111</v>
      </c>
      <c r="BG12" s="10" t="s">
        <v>112</v>
      </c>
      <c r="BH12" s="10" t="s">
        <v>113</v>
      </c>
      <c r="BI12" s="8" t="s">
        <v>114</v>
      </c>
      <c r="BJ12" s="16" t="s">
        <v>115</v>
      </c>
      <c r="BK12" s="13" t="s">
        <v>79</v>
      </c>
      <c r="BL12" s="13" t="s">
        <v>178</v>
      </c>
      <c r="BM12" s="13" t="s">
        <v>179</v>
      </c>
      <c r="BN12" s="13" t="s">
        <v>118</v>
      </c>
      <c r="BO12" s="13">
        <v>2000</v>
      </c>
      <c r="BP12" s="13" t="s">
        <v>119</v>
      </c>
      <c r="BQ12" s="13">
        <v>1995</v>
      </c>
      <c r="BR12" s="13">
        <v>2000</v>
      </c>
      <c r="BS12" s="13" t="s">
        <v>180</v>
      </c>
      <c r="BT12" s="13" t="s">
        <v>121</v>
      </c>
      <c r="BU12" s="13" t="s">
        <v>79</v>
      </c>
      <c r="BV12" s="18" t="s">
        <v>220</v>
      </c>
      <c r="BW12" s="18" t="s">
        <v>221</v>
      </c>
      <c r="BX12" s="18">
        <v>213</v>
      </c>
      <c r="BY12" s="18" t="s">
        <v>124</v>
      </c>
      <c r="BZ12" s="18" t="s">
        <v>125</v>
      </c>
      <c r="CA12" s="18" t="s">
        <v>126</v>
      </c>
    </row>
    <row r="13" spans="1:92" s="7" customFormat="1" ht="15.6" customHeight="1" x14ac:dyDescent="0.25">
      <c r="A13" s="8" t="s">
        <v>222</v>
      </c>
      <c r="B13" s="8" t="s">
        <v>223</v>
      </c>
      <c r="C13" s="8" t="s">
        <v>77</v>
      </c>
      <c r="D13" s="9" t="s">
        <v>129</v>
      </c>
      <c r="E13" s="10" t="s">
        <v>79</v>
      </c>
      <c r="F13" s="8" t="s">
        <v>224</v>
      </c>
      <c r="G13" s="11" t="s">
        <v>131</v>
      </c>
      <c r="H13" s="11" t="s">
        <v>225</v>
      </c>
      <c r="I13" s="11" t="s">
        <v>83</v>
      </c>
      <c r="J13" s="11" t="s">
        <v>84</v>
      </c>
      <c r="K13" s="12">
        <v>45597</v>
      </c>
      <c r="L13" s="10" t="s">
        <v>79</v>
      </c>
      <c r="M13" s="10" t="s">
        <v>85</v>
      </c>
      <c r="N13" s="10">
        <v>1</v>
      </c>
      <c r="O13" s="13">
        <v>213111231</v>
      </c>
      <c r="P13" s="11" t="s">
        <v>86</v>
      </c>
      <c r="Q13" s="11" t="s">
        <v>87</v>
      </c>
      <c r="R13" s="11" t="s">
        <v>86</v>
      </c>
      <c r="S13" s="11" t="s">
        <v>88</v>
      </c>
      <c r="T13" s="11" t="s">
        <v>84</v>
      </c>
      <c r="U13" s="12" t="s">
        <v>89</v>
      </c>
      <c r="V13" s="14" t="s">
        <v>90</v>
      </c>
      <c r="W13" s="11" t="s">
        <v>84</v>
      </c>
      <c r="X13" s="12">
        <f t="shared" si="0"/>
        <v>45597</v>
      </c>
      <c r="Y13" s="11" t="s">
        <v>91</v>
      </c>
      <c r="Z13" s="11" t="s">
        <v>226</v>
      </c>
      <c r="AA13" s="8" t="s">
        <v>141</v>
      </c>
      <c r="AB13" s="8" t="s">
        <v>227</v>
      </c>
      <c r="AC13" s="8" t="s">
        <v>95</v>
      </c>
      <c r="AD13" s="10" t="s">
        <v>96</v>
      </c>
      <c r="AE13" s="10" t="s">
        <v>97</v>
      </c>
      <c r="AF13" s="8" t="s">
        <v>98</v>
      </c>
      <c r="AG13" s="15">
        <v>40</v>
      </c>
      <c r="AH13" s="12">
        <f>K13+365</f>
        <v>45962</v>
      </c>
      <c r="AI13" s="11" t="s">
        <v>100</v>
      </c>
      <c r="AJ13" s="11" t="s">
        <v>101</v>
      </c>
      <c r="AK13" s="12">
        <f t="shared" si="1"/>
        <v>45962</v>
      </c>
      <c r="AL13" s="12">
        <f t="shared" si="2"/>
        <v>45597</v>
      </c>
      <c r="AM13" s="12">
        <f t="shared" si="3"/>
        <v>45597</v>
      </c>
      <c r="AN13" s="11" t="s">
        <v>134</v>
      </c>
      <c r="AO13" s="8" t="s">
        <v>135</v>
      </c>
      <c r="AP13" s="10">
        <v>100</v>
      </c>
      <c r="AQ13" s="12">
        <f t="shared" si="4"/>
        <v>45687</v>
      </c>
      <c r="AR13" s="10" t="s">
        <v>79</v>
      </c>
      <c r="AS13" s="16" t="s">
        <v>104</v>
      </c>
      <c r="AT13" s="17">
        <v>9661119556</v>
      </c>
      <c r="AU13" s="12" t="s">
        <v>105</v>
      </c>
      <c r="AV13" s="12" t="s">
        <v>106</v>
      </c>
      <c r="AW13" s="10" t="s">
        <v>79</v>
      </c>
      <c r="AX13" s="16" t="s">
        <v>107</v>
      </c>
      <c r="AY13" s="17">
        <v>143932804</v>
      </c>
      <c r="AZ13" s="12" t="s">
        <v>105</v>
      </c>
      <c r="BA13" s="12" t="s">
        <v>106</v>
      </c>
      <c r="BB13" s="8" t="s">
        <v>108</v>
      </c>
      <c r="BC13" s="12" t="s">
        <v>109</v>
      </c>
      <c r="BD13" s="16" t="s">
        <v>86</v>
      </c>
      <c r="BE13" s="16" t="s">
        <v>110</v>
      </c>
      <c r="BF13" s="16" t="s">
        <v>111</v>
      </c>
      <c r="BG13" s="10" t="s">
        <v>112</v>
      </c>
      <c r="BH13" s="10" t="s">
        <v>113</v>
      </c>
      <c r="BI13" s="8" t="s">
        <v>114</v>
      </c>
      <c r="BJ13" s="16" t="s">
        <v>115</v>
      </c>
      <c r="BK13" s="13" t="s">
        <v>79</v>
      </c>
      <c r="BL13" s="13" t="s">
        <v>116</v>
      </c>
      <c r="BM13" s="13" t="s">
        <v>117</v>
      </c>
      <c r="BN13" s="13" t="s">
        <v>118</v>
      </c>
      <c r="BO13" s="13">
        <v>2000</v>
      </c>
      <c r="BP13" s="13" t="s">
        <v>119</v>
      </c>
      <c r="BQ13" s="13">
        <v>1995</v>
      </c>
      <c r="BR13" s="13">
        <v>2000</v>
      </c>
      <c r="BS13" s="13" t="s">
        <v>120</v>
      </c>
      <c r="BT13" s="13" t="s">
        <v>121</v>
      </c>
      <c r="BU13" s="13" t="s">
        <v>79</v>
      </c>
      <c r="BV13" s="18" t="s">
        <v>228</v>
      </c>
      <c r="BW13" s="18" t="s">
        <v>229</v>
      </c>
      <c r="BX13" s="18">
        <v>209</v>
      </c>
      <c r="BY13" s="18" t="s">
        <v>124</v>
      </c>
      <c r="BZ13" s="18" t="s">
        <v>125</v>
      </c>
      <c r="CA13" s="18" t="s">
        <v>126</v>
      </c>
    </row>
    <row r="14" spans="1:92" s="7" customFormat="1" ht="15.6" customHeight="1" x14ac:dyDescent="0.25">
      <c r="A14" s="8" t="s">
        <v>230</v>
      </c>
      <c r="B14" s="8" t="s">
        <v>231</v>
      </c>
      <c r="C14" s="8" t="s">
        <v>77</v>
      </c>
      <c r="D14" s="9" t="s">
        <v>78</v>
      </c>
      <c r="E14" s="10" t="s">
        <v>79</v>
      </c>
      <c r="F14" s="8" t="s">
        <v>232</v>
      </c>
      <c r="G14" s="11" t="s">
        <v>131</v>
      </c>
      <c r="H14" s="11" t="s">
        <v>233</v>
      </c>
      <c r="I14" s="11" t="s">
        <v>83</v>
      </c>
      <c r="J14" s="11" t="s">
        <v>84</v>
      </c>
      <c r="K14" s="12">
        <v>45597</v>
      </c>
      <c r="L14" s="10" t="s">
        <v>79</v>
      </c>
      <c r="M14" s="10" t="s">
        <v>85</v>
      </c>
      <c r="N14" s="10">
        <v>1</v>
      </c>
      <c r="O14" s="13">
        <v>213111231</v>
      </c>
      <c r="P14" s="11" t="s">
        <v>86</v>
      </c>
      <c r="Q14" s="11" t="s">
        <v>87</v>
      </c>
      <c r="R14" s="11" t="s">
        <v>86</v>
      </c>
      <c r="S14" s="11" t="s">
        <v>88</v>
      </c>
      <c r="T14" s="11" t="s">
        <v>84</v>
      </c>
      <c r="U14" s="12" t="s">
        <v>89</v>
      </c>
      <c r="V14" s="14" t="s">
        <v>90</v>
      </c>
      <c r="W14" s="11" t="s">
        <v>84</v>
      </c>
      <c r="X14" s="12">
        <f t="shared" si="0"/>
        <v>45597</v>
      </c>
      <c r="Y14" s="11" t="s">
        <v>91</v>
      </c>
      <c r="Z14" s="11" t="s">
        <v>92</v>
      </c>
      <c r="AA14" s="8" t="s">
        <v>93</v>
      </c>
      <c r="AB14" s="8" t="s">
        <v>203</v>
      </c>
      <c r="AC14" s="8" t="s">
        <v>142</v>
      </c>
      <c r="AD14" s="10" t="s">
        <v>96</v>
      </c>
      <c r="AE14" s="10" t="s">
        <v>97</v>
      </c>
      <c r="AF14" s="8" t="s">
        <v>143</v>
      </c>
      <c r="AG14" s="15">
        <v>24</v>
      </c>
      <c r="AH14" s="12" t="s">
        <v>99</v>
      </c>
      <c r="AI14" s="11" t="s">
        <v>100</v>
      </c>
      <c r="AJ14" s="11" t="s">
        <v>101</v>
      </c>
      <c r="AK14" s="12" t="str">
        <f t="shared" si="1"/>
        <v>N/A</v>
      </c>
      <c r="AL14" s="12">
        <f t="shared" si="2"/>
        <v>45597</v>
      </c>
      <c r="AM14" s="12">
        <f t="shared" si="3"/>
        <v>45597</v>
      </c>
      <c r="AN14" s="11" t="s">
        <v>102</v>
      </c>
      <c r="AO14" s="8" t="s">
        <v>234</v>
      </c>
      <c r="AP14" s="10">
        <v>100</v>
      </c>
      <c r="AQ14" s="12">
        <f t="shared" si="4"/>
        <v>45687</v>
      </c>
      <c r="AR14" s="10" t="s">
        <v>79</v>
      </c>
      <c r="AS14" s="16" t="s">
        <v>104</v>
      </c>
      <c r="AT14" s="17">
        <v>9661115585</v>
      </c>
      <c r="AU14" s="12" t="s">
        <v>105</v>
      </c>
      <c r="AV14" s="12" t="s">
        <v>106</v>
      </c>
      <c r="AW14" s="10" t="s">
        <v>79</v>
      </c>
      <c r="AX14" s="16" t="s">
        <v>107</v>
      </c>
      <c r="AY14" s="17">
        <v>143922805</v>
      </c>
      <c r="AZ14" s="12" t="s">
        <v>105</v>
      </c>
      <c r="BA14" s="12" t="s">
        <v>106</v>
      </c>
      <c r="BB14" s="8" t="s">
        <v>108</v>
      </c>
      <c r="BC14" s="12" t="s">
        <v>109</v>
      </c>
      <c r="BD14" s="16" t="s">
        <v>86</v>
      </c>
      <c r="BE14" s="16" t="s">
        <v>110</v>
      </c>
      <c r="BF14" s="16" t="s">
        <v>111</v>
      </c>
      <c r="BG14" s="10" t="s">
        <v>112</v>
      </c>
      <c r="BH14" s="10" t="s">
        <v>113</v>
      </c>
      <c r="BI14" s="8" t="s">
        <v>114</v>
      </c>
      <c r="BJ14" s="16" t="s">
        <v>115</v>
      </c>
      <c r="BK14" s="13" t="s">
        <v>79</v>
      </c>
      <c r="BL14" s="13" t="s">
        <v>145</v>
      </c>
      <c r="BM14" s="13" t="s">
        <v>146</v>
      </c>
      <c r="BN14" s="13" t="s">
        <v>118</v>
      </c>
      <c r="BO14" s="13">
        <v>1991</v>
      </c>
      <c r="BP14" s="13" t="s">
        <v>119</v>
      </c>
      <c r="BQ14" s="13">
        <v>1989</v>
      </c>
      <c r="BR14" s="13">
        <v>1991</v>
      </c>
      <c r="BS14" s="13" t="s">
        <v>147</v>
      </c>
      <c r="BT14" s="13" t="s">
        <v>121</v>
      </c>
      <c r="BU14" s="13" t="s">
        <v>79</v>
      </c>
      <c r="BV14" s="18" t="s">
        <v>235</v>
      </c>
      <c r="BW14" s="18" t="s">
        <v>236</v>
      </c>
      <c r="BX14" s="18">
        <v>211</v>
      </c>
      <c r="BY14" s="18" t="s">
        <v>124</v>
      </c>
      <c r="BZ14" s="18" t="s">
        <v>125</v>
      </c>
      <c r="CA14" s="18" t="s">
        <v>126</v>
      </c>
    </row>
    <row r="15" spans="1:92" s="7" customFormat="1" ht="15.6" customHeight="1" x14ac:dyDescent="0.25">
      <c r="A15" s="8" t="s">
        <v>237</v>
      </c>
      <c r="B15" s="8" t="s">
        <v>238</v>
      </c>
      <c r="C15" s="8" t="s">
        <v>162</v>
      </c>
      <c r="D15" s="9" t="s">
        <v>78</v>
      </c>
      <c r="E15" s="10" t="s">
        <v>79</v>
      </c>
      <c r="F15" s="8" t="s">
        <v>239</v>
      </c>
      <c r="G15" s="11" t="s">
        <v>131</v>
      </c>
      <c r="H15" s="11" t="s">
        <v>240</v>
      </c>
      <c r="I15" s="11" t="s">
        <v>83</v>
      </c>
      <c r="J15" s="11" t="s">
        <v>84</v>
      </c>
      <c r="K15" s="12">
        <v>45597</v>
      </c>
      <c r="L15" s="10" t="s">
        <v>79</v>
      </c>
      <c r="M15" s="10" t="s">
        <v>85</v>
      </c>
      <c r="N15" s="10">
        <v>1</v>
      </c>
      <c r="O15" s="13">
        <v>213111231</v>
      </c>
      <c r="P15" s="11" t="s">
        <v>86</v>
      </c>
      <c r="Q15" s="11" t="s">
        <v>87</v>
      </c>
      <c r="R15" s="11" t="s">
        <v>86</v>
      </c>
      <c r="S15" s="11" t="s">
        <v>88</v>
      </c>
      <c r="T15" s="11" t="s">
        <v>84</v>
      </c>
      <c r="U15" s="12" t="s">
        <v>89</v>
      </c>
      <c r="V15" s="14" t="s">
        <v>90</v>
      </c>
      <c r="W15" s="11" t="s">
        <v>84</v>
      </c>
      <c r="X15" s="12">
        <f t="shared" si="0"/>
        <v>45597</v>
      </c>
      <c r="Y15" s="11" t="s">
        <v>91</v>
      </c>
      <c r="Z15" s="11" t="s">
        <v>92</v>
      </c>
      <c r="AA15" s="8" t="s">
        <v>141</v>
      </c>
      <c r="AB15" s="8" t="s">
        <v>203</v>
      </c>
      <c r="AC15" s="8" t="s">
        <v>95</v>
      </c>
      <c r="AD15" s="10" t="s">
        <v>96</v>
      </c>
      <c r="AE15" s="10" t="s">
        <v>97</v>
      </c>
      <c r="AF15" s="8" t="s">
        <v>98</v>
      </c>
      <c r="AG15" s="15">
        <v>40</v>
      </c>
      <c r="AH15" s="12">
        <f>K15+365</f>
        <v>45962</v>
      </c>
      <c r="AI15" s="11" t="s">
        <v>100</v>
      </c>
      <c r="AJ15" s="11" t="s">
        <v>101</v>
      </c>
      <c r="AK15" s="12">
        <f t="shared" si="1"/>
        <v>45962</v>
      </c>
      <c r="AL15" s="12">
        <f t="shared" si="2"/>
        <v>45597</v>
      </c>
      <c r="AM15" s="12">
        <f t="shared" si="3"/>
        <v>45597</v>
      </c>
      <c r="AN15" s="11" t="s">
        <v>102</v>
      </c>
      <c r="AO15" s="8" t="s">
        <v>188</v>
      </c>
      <c r="AP15" s="10">
        <v>100</v>
      </c>
      <c r="AQ15" s="12">
        <f t="shared" si="4"/>
        <v>45687</v>
      </c>
      <c r="AR15" s="10" t="s">
        <v>79</v>
      </c>
      <c r="AS15" s="16" t="s">
        <v>104</v>
      </c>
      <c r="AT15" s="17">
        <v>9661116652</v>
      </c>
      <c r="AU15" s="12" t="s">
        <v>105</v>
      </c>
      <c r="AV15" s="12" t="s">
        <v>106</v>
      </c>
      <c r="AW15" s="10" t="s">
        <v>79</v>
      </c>
      <c r="AX15" s="16" t="s">
        <v>107</v>
      </c>
      <c r="AY15" s="17">
        <v>143912806</v>
      </c>
      <c r="AZ15" s="12" t="s">
        <v>105</v>
      </c>
      <c r="BA15" s="12" t="s">
        <v>106</v>
      </c>
      <c r="BB15" s="8" t="s">
        <v>108</v>
      </c>
      <c r="BC15" s="12" t="s">
        <v>109</v>
      </c>
      <c r="BD15" s="16" t="s">
        <v>86</v>
      </c>
      <c r="BE15" s="16" t="s">
        <v>110</v>
      </c>
      <c r="BF15" s="16" t="s">
        <v>111</v>
      </c>
      <c r="BG15" s="10" t="s">
        <v>112</v>
      </c>
      <c r="BH15" s="10" t="s">
        <v>113</v>
      </c>
      <c r="BI15" s="8" t="s">
        <v>114</v>
      </c>
      <c r="BJ15" s="16" t="s">
        <v>115</v>
      </c>
      <c r="BK15" s="13" t="s">
        <v>79</v>
      </c>
      <c r="BL15" s="13" t="s">
        <v>155</v>
      </c>
      <c r="BM15" s="13" t="s">
        <v>156</v>
      </c>
      <c r="BN15" s="13" t="s">
        <v>118</v>
      </c>
      <c r="BO15" s="13">
        <v>2024</v>
      </c>
      <c r="BP15" s="13" t="s">
        <v>119</v>
      </c>
      <c r="BQ15" s="13">
        <v>2021</v>
      </c>
      <c r="BR15" s="13">
        <v>2024</v>
      </c>
      <c r="BS15" s="13" t="s">
        <v>157</v>
      </c>
      <c r="BT15" s="13" t="s">
        <v>121</v>
      </c>
      <c r="BU15" s="13" t="s">
        <v>79</v>
      </c>
      <c r="BV15" s="18" t="s">
        <v>241</v>
      </c>
      <c r="BW15" s="18" t="s">
        <v>242</v>
      </c>
      <c r="BX15" s="18">
        <v>213</v>
      </c>
      <c r="BY15" s="18" t="s">
        <v>124</v>
      </c>
      <c r="BZ15" s="18" t="s">
        <v>125</v>
      </c>
      <c r="CA15" s="18" t="s">
        <v>126</v>
      </c>
    </row>
    <row r="16" spans="1:92" s="7" customFormat="1" ht="15.6" customHeight="1" x14ac:dyDescent="0.25">
      <c r="A16" s="8" t="s">
        <v>243</v>
      </c>
      <c r="B16" s="8" t="s">
        <v>244</v>
      </c>
      <c r="C16" s="8" t="s">
        <v>77</v>
      </c>
      <c r="D16" s="9" t="s">
        <v>78</v>
      </c>
      <c r="E16" s="10" t="s">
        <v>79</v>
      </c>
      <c r="F16" s="8" t="s">
        <v>245</v>
      </c>
      <c r="G16" s="11" t="s">
        <v>131</v>
      </c>
      <c r="H16" s="11" t="s">
        <v>240</v>
      </c>
      <c r="I16" s="11" t="s">
        <v>83</v>
      </c>
      <c r="J16" s="11" t="s">
        <v>84</v>
      </c>
      <c r="K16" s="12">
        <v>45597</v>
      </c>
      <c r="L16" s="10" t="s">
        <v>79</v>
      </c>
      <c r="M16" s="10" t="s">
        <v>85</v>
      </c>
      <c r="N16" s="10">
        <v>1</v>
      </c>
      <c r="O16" s="13">
        <v>213111231</v>
      </c>
      <c r="P16" s="11" t="s">
        <v>86</v>
      </c>
      <c r="Q16" s="11" t="s">
        <v>87</v>
      </c>
      <c r="R16" s="11" t="s">
        <v>86</v>
      </c>
      <c r="S16" s="11" t="s">
        <v>88</v>
      </c>
      <c r="T16" s="11" t="s">
        <v>84</v>
      </c>
      <c r="U16" s="12" t="s">
        <v>89</v>
      </c>
      <c r="V16" s="14" t="s">
        <v>90</v>
      </c>
      <c r="W16" s="11" t="s">
        <v>84</v>
      </c>
      <c r="X16" s="12">
        <f t="shared" si="0"/>
        <v>45597</v>
      </c>
      <c r="Y16" s="11" t="s">
        <v>91</v>
      </c>
      <c r="Z16" s="11" t="s">
        <v>92</v>
      </c>
      <c r="AA16" s="8" t="s">
        <v>93</v>
      </c>
      <c r="AB16" s="8" t="s">
        <v>94</v>
      </c>
      <c r="AC16" s="8" t="s">
        <v>142</v>
      </c>
      <c r="AD16" s="10" t="s">
        <v>96</v>
      </c>
      <c r="AE16" s="10" t="s">
        <v>97</v>
      </c>
      <c r="AF16" s="8" t="s">
        <v>98</v>
      </c>
      <c r="AG16" s="15">
        <v>30</v>
      </c>
      <c r="AH16" s="12" t="s">
        <v>99</v>
      </c>
      <c r="AI16" s="11" t="s">
        <v>100</v>
      </c>
      <c r="AJ16" s="11" t="s">
        <v>101</v>
      </c>
      <c r="AK16" s="12" t="str">
        <f t="shared" si="1"/>
        <v>N/A</v>
      </c>
      <c r="AL16" s="12">
        <f t="shared" si="2"/>
        <v>45597</v>
      </c>
      <c r="AM16" s="12">
        <f t="shared" si="3"/>
        <v>45597</v>
      </c>
      <c r="AN16" s="11" t="s">
        <v>102</v>
      </c>
      <c r="AO16" s="8" t="s">
        <v>246</v>
      </c>
      <c r="AP16" s="10">
        <v>100</v>
      </c>
      <c r="AQ16" s="12">
        <f t="shared" si="4"/>
        <v>45687</v>
      </c>
      <c r="AR16" s="10" t="s">
        <v>79</v>
      </c>
      <c r="AS16" s="16" t="s">
        <v>104</v>
      </c>
      <c r="AT16" s="17">
        <v>9661111845</v>
      </c>
      <c r="AU16" s="12" t="s">
        <v>105</v>
      </c>
      <c r="AV16" s="12" t="s">
        <v>106</v>
      </c>
      <c r="AW16" s="10" t="s">
        <v>79</v>
      </c>
      <c r="AX16" s="16" t="s">
        <v>107</v>
      </c>
      <c r="AY16" s="17">
        <v>143902807</v>
      </c>
      <c r="AZ16" s="12" t="s">
        <v>105</v>
      </c>
      <c r="BA16" s="12" t="s">
        <v>106</v>
      </c>
      <c r="BB16" s="8" t="s">
        <v>108</v>
      </c>
      <c r="BC16" s="12" t="s">
        <v>109</v>
      </c>
      <c r="BD16" s="16" t="s">
        <v>86</v>
      </c>
      <c r="BE16" s="16" t="s">
        <v>110</v>
      </c>
      <c r="BF16" s="16" t="s">
        <v>111</v>
      </c>
      <c r="BG16" s="10" t="s">
        <v>112</v>
      </c>
      <c r="BH16" s="10" t="s">
        <v>113</v>
      </c>
      <c r="BI16" s="8" t="s">
        <v>114</v>
      </c>
      <c r="BJ16" s="16" t="s">
        <v>115</v>
      </c>
      <c r="BK16" s="13" t="s">
        <v>79</v>
      </c>
      <c r="BL16" s="13" t="s">
        <v>155</v>
      </c>
      <c r="BM16" s="13" t="s">
        <v>156</v>
      </c>
      <c r="BN16" s="13" t="s">
        <v>118</v>
      </c>
      <c r="BO16" s="13">
        <v>2024</v>
      </c>
      <c r="BP16" s="13" t="s">
        <v>119</v>
      </c>
      <c r="BQ16" s="13">
        <v>2021</v>
      </c>
      <c r="BR16" s="13">
        <v>2024</v>
      </c>
      <c r="BS16" s="13" t="s">
        <v>157</v>
      </c>
      <c r="BT16" s="13" t="s">
        <v>121</v>
      </c>
      <c r="BU16" s="13" t="s">
        <v>79</v>
      </c>
      <c r="BV16" s="18" t="s">
        <v>247</v>
      </c>
      <c r="BW16" s="18" t="s">
        <v>248</v>
      </c>
      <c r="BX16" s="18">
        <v>211</v>
      </c>
      <c r="BY16" s="18" t="s">
        <v>124</v>
      </c>
      <c r="BZ16" s="18" t="s">
        <v>125</v>
      </c>
      <c r="CA16" s="18" t="s">
        <v>126</v>
      </c>
    </row>
    <row r="17" spans="46:51" ht="15.6" customHeight="1" x14ac:dyDescent="0.25">
      <c r="AT17" s="19"/>
      <c r="AY17" s="19"/>
    </row>
  </sheetData>
  <dataValidations count="4">
    <dataValidation type="list" allowBlank="1" showInputMessage="1" showErrorMessage="1" sqref="AJ10:AJ16 Y10:Y16 W10:W16 T10:T16" xr:uid="{00000000-0002-0000-0000-000000000000}">
      <formula1>INDIRECT($D1)</formula1>
    </dataValidation>
    <dataValidation type="list" allowBlank="1" showInputMessage="1" showErrorMessage="1" sqref="AJ2:AJ16 Y2:Y16 W2:W16 T2:T16" xr:uid="{00000000-0002-0000-0000-000001000000}">
      <formula1>INDIRECT($D1)</formula1>
    </dataValidation>
    <dataValidation type="list" allowBlank="1" showInputMessage="1" showErrorMessage="1" sqref="BH10:BH16 J10:J16" xr:uid="{00000000-0002-0000-0000-000002000000}">
      <formula1>INDIRECT($D2)</formula1>
    </dataValidation>
    <dataValidation type="list" allowBlank="1" showInputMessage="1" showErrorMessage="1" sqref="BH2:BH16 J2:J16" xr:uid="{00000000-0002-0000-0000-000003000000}">
      <formula1>INDIRECT($D2)</formula1>
    </dataValidation>
  </dataValidations>
  <hyperlinks>
    <hyperlink ref="V2" r:id="rId1" xr:uid="{00000000-0004-0000-0000-000000000000}"/>
    <hyperlink ref="V3" r:id="rId2" xr:uid="{00000000-0004-0000-0000-000001000000}"/>
  </hyperlinks>
  <pageMargins left="0.7" right="0.7" top="0.75" bottom="0.75" header="0.3" footer="0.3"/>
  <pageSetup paperSize="9" orientation="portrait" useFirstPageNumber="1" horizontalDpi="4294967295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59E3-9686-4598-8355-985D37798D7D}">
  <dimension ref="A1:A82"/>
  <sheetViews>
    <sheetView tabSelected="1" topLeftCell="A80" workbookViewId="0">
      <selection activeCell="F99" sqref="F99"/>
    </sheetView>
  </sheetViews>
  <sheetFormatPr defaultRowHeight="14.4" x14ac:dyDescent="0.3"/>
  <cols>
    <col min="1" max="1" width="14.33203125" bestFit="1" customWidth="1"/>
  </cols>
  <sheetData>
    <row r="1" spans="1:1" ht="17.399999999999999" x14ac:dyDescent="0.3">
      <c r="A1" s="19">
        <v>143962801</v>
      </c>
    </row>
    <row r="2" spans="1:1" ht="17.399999999999999" x14ac:dyDescent="0.3">
      <c r="A2" s="19">
        <v>143952802</v>
      </c>
    </row>
    <row r="3" spans="1:1" ht="17.399999999999999" x14ac:dyDescent="0.3">
      <c r="A3" s="19">
        <v>143942803</v>
      </c>
    </row>
    <row r="4" spans="1:1" ht="17.399999999999999" x14ac:dyDescent="0.3">
      <c r="A4" s="19">
        <v>143932804</v>
      </c>
    </row>
    <row r="5" spans="1:1" ht="17.399999999999999" x14ac:dyDescent="0.3">
      <c r="A5" s="19">
        <v>143922805</v>
      </c>
    </row>
    <row r="6" spans="1:1" ht="17.399999999999999" x14ac:dyDescent="0.3">
      <c r="A6" s="19">
        <v>143912806</v>
      </c>
    </row>
    <row r="7" spans="1:1" ht="17.399999999999999" x14ac:dyDescent="0.3">
      <c r="A7" s="19">
        <v>143902807</v>
      </c>
    </row>
    <row r="8" spans="1:1" ht="17.399999999999999" x14ac:dyDescent="0.3">
      <c r="A8" s="19">
        <v>143892808</v>
      </c>
    </row>
    <row r="9" spans="1:1" ht="17.399999999999999" x14ac:dyDescent="0.3">
      <c r="A9" s="19">
        <v>143882809</v>
      </c>
    </row>
    <row r="10" spans="1:1" ht="17.399999999999999" x14ac:dyDescent="0.3">
      <c r="A10" s="19">
        <v>143872810</v>
      </c>
    </row>
    <row r="11" spans="1:1" ht="17.399999999999999" x14ac:dyDescent="0.3">
      <c r="A11" s="19">
        <v>143862811</v>
      </c>
    </row>
    <row r="12" spans="1:1" ht="17.399999999999999" x14ac:dyDescent="0.3">
      <c r="A12" s="19">
        <v>143852812</v>
      </c>
    </row>
    <row r="13" spans="1:1" ht="17.399999999999999" x14ac:dyDescent="0.3">
      <c r="A13" s="19">
        <v>143842813</v>
      </c>
    </row>
    <row r="14" spans="1:1" ht="17.399999999999999" x14ac:dyDescent="0.3">
      <c r="A14" s="19">
        <v>143832814</v>
      </c>
    </row>
    <row r="15" spans="1:1" ht="17.399999999999999" x14ac:dyDescent="0.3">
      <c r="A15" s="19">
        <v>143822815</v>
      </c>
    </row>
    <row r="16" spans="1:1" ht="17.399999999999999" x14ac:dyDescent="0.3">
      <c r="A16" s="19">
        <v>143812816</v>
      </c>
    </row>
    <row r="17" spans="1:1" ht="17.399999999999999" x14ac:dyDescent="0.3">
      <c r="A17" s="19">
        <v>143802817</v>
      </c>
    </row>
    <row r="18" spans="1:1" ht="17.399999999999999" x14ac:dyDescent="0.3">
      <c r="A18" s="19">
        <v>143792818</v>
      </c>
    </row>
    <row r="19" spans="1:1" ht="17.399999999999999" x14ac:dyDescent="0.3">
      <c r="A19" s="19">
        <v>143782819</v>
      </c>
    </row>
    <row r="20" spans="1:1" ht="17.399999999999999" x14ac:dyDescent="0.3">
      <c r="A20" s="19">
        <v>143772820</v>
      </c>
    </row>
    <row r="21" spans="1:1" ht="17.399999999999999" x14ac:dyDescent="0.3">
      <c r="A21" s="19">
        <v>143762821</v>
      </c>
    </row>
    <row r="22" spans="1:1" ht="17.399999999999999" x14ac:dyDescent="0.3">
      <c r="A22" s="19">
        <v>143752822</v>
      </c>
    </row>
    <row r="23" spans="1:1" ht="17.399999999999999" x14ac:dyDescent="0.3">
      <c r="A23" s="19">
        <v>143742823</v>
      </c>
    </row>
    <row r="24" spans="1:1" ht="17.399999999999999" x14ac:dyDescent="0.3">
      <c r="A24" s="19">
        <v>143732824</v>
      </c>
    </row>
    <row r="25" spans="1:1" ht="17.399999999999999" x14ac:dyDescent="0.3">
      <c r="A25" s="19">
        <v>143722825</v>
      </c>
    </row>
    <row r="26" spans="1:1" ht="17.399999999999999" x14ac:dyDescent="0.3">
      <c r="A26" s="19">
        <v>143712826</v>
      </c>
    </row>
    <row r="27" spans="1:1" ht="17.399999999999999" x14ac:dyDescent="0.3">
      <c r="A27" s="19">
        <v>143702827</v>
      </c>
    </row>
    <row r="28" spans="1:1" ht="17.399999999999999" x14ac:dyDescent="0.3">
      <c r="A28" s="19">
        <v>143692828</v>
      </c>
    </row>
    <row r="29" spans="1:1" ht="17.399999999999999" x14ac:dyDescent="0.3">
      <c r="A29" s="19">
        <v>143682829</v>
      </c>
    </row>
    <row r="30" spans="1:1" ht="17.399999999999999" x14ac:dyDescent="0.3">
      <c r="A30" s="19">
        <v>143672830</v>
      </c>
    </row>
    <row r="31" spans="1:1" ht="17.399999999999999" x14ac:dyDescent="0.3">
      <c r="A31" s="19">
        <v>143662831</v>
      </c>
    </row>
    <row r="32" spans="1:1" ht="17.399999999999999" x14ac:dyDescent="0.3">
      <c r="A32" s="19">
        <v>143652832</v>
      </c>
    </row>
    <row r="33" spans="1:1" ht="17.399999999999999" x14ac:dyDescent="0.3">
      <c r="A33" s="19">
        <v>143642833</v>
      </c>
    </row>
    <row r="34" spans="1:1" ht="17.399999999999999" x14ac:dyDescent="0.3">
      <c r="A34" s="19">
        <v>143632834</v>
      </c>
    </row>
    <row r="35" spans="1:1" ht="17.399999999999999" x14ac:dyDescent="0.3">
      <c r="A35" s="19">
        <v>143622835</v>
      </c>
    </row>
    <row r="36" spans="1:1" ht="17.399999999999999" x14ac:dyDescent="0.3">
      <c r="A36" s="19">
        <v>143612836</v>
      </c>
    </row>
    <row r="37" spans="1:1" ht="17.399999999999999" x14ac:dyDescent="0.3">
      <c r="A37" s="19">
        <v>143602837</v>
      </c>
    </row>
    <row r="38" spans="1:1" ht="17.399999999999999" x14ac:dyDescent="0.3">
      <c r="A38" s="19">
        <v>143592838</v>
      </c>
    </row>
    <row r="39" spans="1:1" ht="17.399999999999999" x14ac:dyDescent="0.3">
      <c r="A39" s="19">
        <v>143582839</v>
      </c>
    </row>
    <row r="40" spans="1:1" ht="17.399999999999999" x14ac:dyDescent="0.3">
      <c r="A40" s="19">
        <v>143572840</v>
      </c>
    </row>
    <row r="41" spans="1:1" ht="17.399999999999999" x14ac:dyDescent="0.3">
      <c r="A41" s="19">
        <v>143562841</v>
      </c>
    </row>
    <row r="42" spans="1:1" ht="17.399999999999999" x14ac:dyDescent="0.3">
      <c r="A42" s="19">
        <v>143552842</v>
      </c>
    </row>
    <row r="43" spans="1:1" ht="17.399999999999999" x14ac:dyDescent="0.3">
      <c r="A43" s="19">
        <v>143542843</v>
      </c>
    </row>
    <row r="44" spans="1:1" ht="17.399999999999999" x14ac:dyDescent="0.3">
      <c r="A44" s="19">
        <v>143532844</v>
      </c>
    </row>
    <row r="45" spans="1:1" ht="17.399999999999999" x14ac:dyDescent="0.3">
      <c r="A45" s="19">
        <v>143522845</v>
      </c>
    </row>
    <row r="46" spans="1:1" ht="17.399999999999999" x14ac:dyDescent="0.3">
      <c r="A46" s="19">
        <v>143512846</v>
      </c>
    </row>
    <row r="47" spans="1:1" ht="17.399999999999999" x14ac:dyDescent="0.3">
      <c r="A47" s="19">
        <v>143502847</v>
      </c>
    </row>
    <row r="48" spans="1:1" ht="17.399999999999999" x14ac:dyDescent="0.3">
      <c r="A48" s="19">
        <v>143492848</v>
      </c>
    </row>
    <row r="49" spans="1:1" ht="17.399999999999999" x14ac:dyDescent="0.3">
      <c r="A49" s="19">
        <v>143482849</v>
      </c>
    </row>
    <row r="50" spans="1:1" ht="17.399999999999999" x14ac:dyDescent="0.3">
      <c r="A50" s="19">
        <v>143472850</v>
      </c>
    </row>
    <row r="51" spans="1:1" ht="17.399999999999999" x14ac:dyDescent="0.3">
      <c r="A51" s="19">
        <v>143462851</v>
      </c>
    </row>
    <row r="52" spans="1:1" ht="17.399999999999999" x14ac:dyDescent="0.3">
      <c r="A52" s="19">
        <v>143452852</v>
      </c>
    </row>
    <row r="53" spans="1:1" ht="17.399999999999999" x14ac:dyDescent="0.3">
      <c r="A53" s="19">
        <v>143442853</v>
      </c>
    </row>
    <row r="54" spans="1:1" ht="17.399999999999999" x14ac:dyDescent="0.3">
      <c r="A54" s="19">
        <v>143432854</v>
      </c>
    </row>
    <row r="55" spans="1:1" ht="17.399999999999999" x14ac:dyDescent="0.3">
      <c r="A55" s="19">
        <v>143422855</v>
      </c>
    </row>
    <row r="56" spans="1:1" ht="17.399999999999999" x14ac:dyDescent="0.3">
      <c r="A56" s="19">
        <v>143412856</v>
      </c>
    </row>
    <row r="57" spans="1:1" ht="17.399999999999999" x14ac:dyDescent="0.3">
      <c r="A57" s="19">
        <v>143402857</v>
      </c>
    </row>
    <row r="58" spans="1:1" ht="17.399999999999999" x14ac:dyDescent="0.3">
      <c r="A58" s="19">
        <v>143392858</v>
      </c>
    </row>
    <row r="59" spans="1:1" ht="17.399999999999999" x14ac:dyDescent="0.3">
      <c r="A59" s="19">
        <v>143382859</v>
      </c>
    </row>
    <row r="60" spans="1:1" ht="17.399999999999999" x14ac:dyDescent="0.3">
      <c r="A60" s="19">
        <v>143372860</v>
      </c>
    </row>
    <row r="61" spans="1:1" ht="17.399999999999999" x14ac:dyDescent="0.3">
      <c r="A61" s="19">
        <v>143362861</v>
      </c>
    </row>
    <row r="62" spans="1:1" ht="17.399999999999999" x14ac:dyDescent="0.3">
      <c r="A62" s="19">
        <v>143352862</v>
      </c>
    </row>
    <row r="63" spans="1:1" ht="17.399999999999999" x14ac:dyDescent="0.3">
      <c r="A63" s="19">
        <v>143342863</v>
      </c>
    </row>
    <row r="64" spans="1:1" ht="17.399999999999999" x14ac:dyDescent="0.3">
      <c r="A64" s="19">
        <v>143332864</v>
      </c>
    </row>
    <row r="65" spans="1:1" ht="17.399999999999999" x14ac:dyDescent="0.3">
      <c r="A65" s="19">
        <v>143322865</v>
      </c>
    </row>
    <row r="66" spans="1:1" ht="17.399999999999999" x14ac:dyDescent="0.3">
      <c r="A66" s="19">
        <v>143312866</v>
      </c>
    </row>
    <row r="67" spans="1:1" ht="17.399999999999999" x14ac:dyDescent="0.3">
      <c r="A67" s="19">
        <v>143302867</v>
      </c>
    </row>
    <row r="68" spans="1:1" ht="17.399999999999999" x14ac:dyDescent="0.3">
      <c r="A68" s="19">
        <v>143292868</v>
      </c>
    </row>
    <row r="69" spans="1:1" ht="17.399999999999999" x14ac:dyDescent="0.3">
      <c r="A69" s="19">
        <v>143282869</v>
      </c>
    </row>
    <row r="70" spans="1:1" ht="17.399999999999999" x14ac:dyDescent="0.3">
      <c r="A70" s="19">
        <v>143272870</v>
      </c>
    </row>
    <row r="71" spans="1:1" ht="17.399999999999999" x14ac:dyDescent="0.3">
      <c r="A71" s="19">
        <v>143262871</v>
      </c>
    </row>
    <row r="72" spans="1:1" ht="17.399999999999999" x14ac:dyDescent="0.3">
      <c r="A72" s="19">
        <v>143252872</v>
      </c>
    </row>
    <row r="73" spans="1:1" ht="17.399999999999999" x14ac:dyDescent="0.3">
      <c r="A73" s="19">
        <v>143242873</v>
      </c>
    </row>
    <row r="74" spans="1:1" ht="17.399999999999999" x14ac:dyDescent="0.3">
      <c r="A74" s="19">
        <v>143232874</v>
      </c>
    </row>
    <row r="75" spans="1:1" ht="17.399999999999999" x14ac:dyDescent="0.3">
      <c r="A75" s="19">
        <v>143222875</v>
      </c>
    </row>
    <row r="76" spans="1:1" ht="17.399999999999999" x14ac:dyDescent="0.3">
      <c r="A76" s="19">
        <v>143212876</v>
      </c>
    </row>
    <row r="77" spans="1:1" ht="17.399999999999999" x14ac:dyDescent="0.3">
      <c r="A77" s="19">
        <v>143202877</v>
      </c>
    </row>
    <row r="78" spans="1:1" ht="17.399999999999999" x14ac:dyDescent="0.3">
      <c r="A78" s="19">
        <v>143192878</v>
      </c>
    </row>
    <row r="79" spans="1:1" ht="17.399999999999999" x14ac:dyDescent="0.3">
      <c r="A79" s="19">
        <v>143182879</v>
      </c>
    </row>
    <row r="80" spans="1:1" ht="17.399999999999999" x14ac:dyDescent="0.3">
      <c r="A80" s="19">
        <v>143172880</v>
      </c>
    </row>
    <row r="81" spans="1:1" ht="17.399999999999999" x14ac:dyDescent="0.3">
      <c r="A81" s="19">
        <v>143162881</v>
      </c>
    </row>
    <row r="82" spans="1:1" ht="17.399999999999999" x14ac:dyDescent="0.3">
      <c r="A82" s="19">
        <v>143152882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Citizen ID Generator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2025-03-26T06:08:43Z</dcterms:modified>
</cp:coreProperties>
</file>