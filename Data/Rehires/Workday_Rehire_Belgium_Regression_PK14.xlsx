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8_{F715AF27-AA0B-4FDE-89DF-31105BD250E0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Test_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AB6" i="1" s="1"/>
  <c r="I6" i="1"/>
  <c r="AF5" i="1"/>
  <c r="AB5" i="1"/>
  <c r="J5" i="1"/>
  <c r="Z5" i="1" s="1"/>
  <c r="I5" i="1"/>
  <c r="AF4" i="1"/>
  <c r="J4" i="1"/>
  <c r="AB4" i="1" s="1"/>
  <c r="I4" i="1"/>
  <c r="J3" i="1"/>
  <c r="T3" i="1" s="1"/>
  <c r="I3" i="1"/>
  <c r="AF2" i="1"/>
  <c r="J2" i="1"/>
  <c r="AB2" i="1" s="1"/>
  <c r="I2" i="1"/>
  <c r="Z3" i="1" l="1"/>
  <c r="T6" i="1"/>
  <c r="AF3" i="1"/>
  <c r="AA3" i="1"/>
  <c r="Z6" i="1"/>
  <c r="Z2" i="1"/>
  <c r="AB3" i="1"/>
  <c r="Z4" i="1"/>
  <c r="AA6" i="1" l="1"/>
  <c r="AF6" i="1"/>
</calcChain>
</file>

<file path=xl/sharedStrings.xml><?xml version="1.0" encoding="utf-8"?>
<sst xmlns="http://schemas.openxmlformats.org/spreadsheetml/2006/main" count="154" uniqueCount="83">
  <si>
    <t>TestCaseIDs</t>
  </si>
  <si>
    <t>Error</t>
  </si>
  <si>
    <t>TestStatus</t>
  </si>
  <si>
    <t>Country</t>
  </si>
  <si>
    <t>EmployeeID</t>
  </si>
  <si>
    <t>GivenName</t>
  </si>
  <si>
    <t>FamilyName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</si>
  <si>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</si>
  <si>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</si>
  <si>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</si>
  <si>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</si>
  <si>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</si>
  <si>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</si>
  <si>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</si>
  <si>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</si>
  <si>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</si>
  <si>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</si>
  <si>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</si>
  <si>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</si>
  <si>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</si>
  <si>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</si>
  <si>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</si>
  <si>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</si>
  <si>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</si>
  <si>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</si>
  <si>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ProbationEndDate</t>
  </si>
  <si>
    <t>ContractStartDate</t>
  </si>
  <si>
    <t>DateEmployeeSigned</t>
  </si>
  <si>
    <t>ContractReason</t>
  </si>
  <si>
    <t>Status</t>
  </si>
  <si>
    <t>ContractType</t>
  </si>
  <si>
    <t>ContractEndDate</t>
  </si>
  <si>
    <t>Salary</t>
  </si>
  <si>
    <t>AddendumNumber</t>
  </si>
  <si>
    <t>AddendumEffectiveDate</t>
  </si>
  <si>
    <t>AddendumEndDate</t>
  </si>
  <si>
    <t>AddendumCreationDate</t>
  </si>
  <si>
    <t>HourlyRegime</t>
  </si>
  <si>
    <t>Test1</t>
  </si>
  <si>
    <t>Belgium</t>
  </si>
  <si>
    <t>BelgiumOne</t>
  </si>
  <si>
    <t>TwentyFiveMayTwentyEight</t>
  </si>
  <si>
    <t>751 Retail Team 1 (Mupol Bypitu (10528834) (Inherited))</t>
  </si>
  <si>
    <t>ReHire</t>
  </si>
  <si>
    <t>N/A</t>
  </si>
  <si>
    <t>Permanent</t>
  </si>
  <si>
    <t>Retail Assistant_NEW</t>
  </si>
  <si>
    <t>Full time</t>
  </si>
  <si>
    <t>V2 BIS - (Job Qualifications-Belgium)</t>
  </si>
  <si>
    <t>Automation Comments here….</t>
  </si>
  <si>
    <t>94 Retail Operative</t>
  </si>
  <si>
    <t>01 Accessories</t>
  </si>
  <si>
    <t>Please select a Belgium Pay Group</t>
  </si>
  <si>
    <t>BE Monthly</t>
  </si>
  <si>
    <t>Active</t>
  </si>
  <si>
    <t>undefined</t>
  </si>
  <si>
    <t>Defaulted</t>
  </si>
  <si>
    <t xml:space="preserve">Variable | 35 | A35 </t>
  </si>
  <si>
    <t>Test2</t>
  </si>
  <si>
    <t>BelgiumTwo</t>
  </si>
  <si>
    <t>751 Store Management (Mupol Bypitu (10528834))</t>
  </si>
  <si>
    <t>Auto 72527049</t>
  </si>
  <si>
    <t>Fixed Term</t>
  </si>
  <si>
    <t>Store Manager_NEW</t>
  </si>
  <si>
    <t>V2 - (Job Qualifications-Belgium)</t>
  </si>
  <si>
    <t>92 Retail</t>
  </si>
  <si>
    <t>251</t>
  </si>
  <si>
    <t>Test3</t>
  </si>
  <si>
    <t xml:space="preserve">Test failed for 'BelgiumFour TwentyFiveMayTwentyEight' Employee:{10698329}TimeoutError: page.waitForSelector: Timeout 30000ms exceeded.
Call log:
  [2m- waiting for locator('button:has-text(\'Hire: BelgiumFour TwentyFiveMayTwentyEight\')') to be visible[22m
</t>
  </si>
  <si>
    <t>Failed</t>
  </si>
  <si>
    <t>BelgiumFour</t>
  </si>
  <si>
    <t>Auto 82547733</t>
  </si>
  <si>
    <t>Part time</t>
  </si>
  <si>
    <t>Variable | 20 | A20</t>
  </si>
  <si>
    <t>Test4</t>
  </si>
  <si>
    <t xml:space="preserve">Test failed for 'BelgiumThree TwentyFiveMayTwentyEight' Employee:{10698328}TimeoutError: locator.click: Timeout 30000ms exceeded.
Call log:
  [2m- waiting for locator('//label[contains(.,\'Hire Date\')]/parent::div/following-sibling::div/descendant::input[@data-automation-id=\'dateSectionDay-input\']')[22m
</t>
  </si>
  <si>
    <t>BelgiumThree</t>
  </si>
  <si>
    <t>Variable | 35 | A35</t>
  </si>
  <si>
    <t>Test5</t>
  </si>
  <si>
    <t>Test failed for 'BelgiumSeven TwentyFiveMayTwentyEight' Employee:{10698332}Error: locator.press: Target page, context or browser has been closed</t>
  </si>
  <si>
    <t>BelgiumSeven</t>
  </si>
  <si>
    <t>06 Menswear</t>
  </si>
  <si>
    <t>Variable | 30 | 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</si>
</sst>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4A4A4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2" xfId="0" applyBorder="1"/>
    <xf numFmtId="14" fontId="0" fillId="0" borderId="2" xfId="0" applyNumberFormat="1" applyBorder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0" fillId="3" borderId="2" xfId="0" applyFill="1" applyBorder="1" applyAlignment="1" applyProtection="1">
      <alignment horizontal="left"/>
      <protection locked="0"/>
    </xf>
    <xf numFmtId="0" fontId="0" fillId="0" borderId="0" xfId="0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2" xfId="0" applyBorder="1" applyAlignment="1" applyProtection="1">
      <alignment horizontal="left" vertical="top"/>
      <protection locked="0"/>
    </xf>
    <xf numFmtId="164" fontId="0" fillId="0" borderId="1" xfId="0" applyNumberFormat="1" applyBorder="1" applyAlignment="1" applyProtection="1">
      <alignment horizontal="left" vertical="top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164" fontId="0" fillId="0" borderId="2" xfId="0" applyNumberFormat="1" applyBorder="1" applyAlignment="1">
      <alignment horizontal="left"/>
    </xf>
    <xf numFmtId="0" fontId="0" fillId="7" borderId="2" xfId="0" applyFill="1" applyBorder="1"/>
    <xf numFmtId="0" fontId="0" fillId="0" borderId="0" xfId="0" applyAlignment="1">
      <alignment horizontal="left" wrapText="1"/>
    </xf>
    <xf numFmtId="0" fontId="1" fillId="2" borderId="3" xfId="0" applyFont="1" applyFill="1" applyBorder="1" applyAlignment="1" applyProtection="1">
      <alignment horizontal="center" vertical="center"/>
      <protection locked="0"/>
    </xf>
    <xf numFmtId="164" fontId="0" fillId="0" borderId="4" xfId="0" applyNumberForma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8"/>
  <sheetViews>
    <sheetView tabSelected="1" zoomScale="115" zoomScaleNormal="115" workbookViewId="0">
      <selection activeCell="B4" sqref="B4"/>
    </sheetView>
  </sheetViews>
  <sheetFormatPr defaultRowHeight="15.6" customHeight="1" outlineLevelRow="1" x14ac:dyDescent="0.3"/>
  <cols>
    <col min="1" max="1" width="10.88671875" style="1" customWidth="1"/>
    <col min="2" max="2" width="10.77734375" style="1" customWidth="1"/>
    <col min="3" max="3" width="9.44140625" style="1" customWidth="1"/>
    <col min="4" max="4" width="7.5546875" style="1" customWidth="1"/>
    <col min="5" max="5" width="10.77734375" style="1" customWidth="1"/>
    <col min="6" max="6" width="12.33203125" style="1" customWidth="1"/>
    <col min="7" max="7" width="24.44140625" style="1" customWidth="1"/>
    <col min="8" max="8" width="48.6640625" style="1" customWidth="1"/>
    <col min="9" max="9" width="36.77734375" style="1" customWidth="1"/>
    <col min="10" max="10" width="10.88671875" style="1" customWidth="1"/>
    <col min="11" max="11" width="7" style="1" customWidth="1"/>
    <col min="12" max="12" width="7.5546875" style="1" customWidth="1"/>
    <col min="13" max="13" width="13" style="1" customWidth="1"/>
    <col min="14" max="14" width="18.6640625" style="2" customWidth="1"/>
    <col min="15" max="15" width="8.88671875" style="1" customWidth="1"/>
    <col min="16" max="16" width="8.109375" style="1" customWidth="1"/>
    <col min="17" max="17" width="20.5546875" style="1" customWidth="1"/>
    <col min="18" max="18" width="31.109375" style="1" customWidth="1"/>
    <col min="19" max="19" width="9.21875" style="1" customWidth="1"/>
    <col min="20" max="20" width="18.5546875" style="1" customWidth="1"/>
    <col min="21" max="21" width="26.44140625" style="1" customWidth="1"/>
    <col min="22" max="22" width="16.77734375" style="1" customWidth="1"/>
    <col min="23" max="23" width="17" style="1" customWidth="1"/>
    <col min="24" max="24" width="29.33203125" style="1" customWidth="1"/>
    <col min="25" max="25" width="20.88671875" style="1" customWidth="1"/>
    <col min="26" max="26" width="16" style="2" customWidth="1"/>
    <col min="27" max="27" width="16" style="1" customWidth="1"/>
    <col min="28" max="28" width="18.5546875" style="1" customWidth="1"/>
    <col min="29" max="29" width="7" style="1" customWidth="1"/>
    <col min="30" max="30" width="6" style="1" customWidth="1"/>
    <col min="31" max="31" width="12.77734375" style="1" customWidth="1"/>
    <col min="32" max="32" width="15.109375" style="1" customWidth="1"/>
    <col min="33" max="33" width="9" style="1" customWidth="1"/>
    <col min="34" max="34" width="16.77734375" style="1" customWidth="1"/>
    <col min="35" max="35" width="21" style="1" customWidth="1"/>
    <col min="36" max="36" width="17" style="1" customWidth="1"/>
    <col min="37" max="37" width="21" style="1" customWidth="1"/>
    <col min="38" max="38" width="17.5546875" customWidth="1"/>
    <col min="39" max="40" width="22.44140625" style="1" customWidth="1"/>
    <col min="41" max="41" width="18.21875" style="1" customWidth="1"/>
    <col min="42" max="42" width="17.77734375" style="1" customWidth="1"/>
    <col min="43" max="43" width="5.88671875" style="1" customWidth="1"/>
    <col min="44" max="44" width="15.109375" style="1" customWidth="1"/>
    <col min="45" max="45" width="7" style="1" customWidth="1"/>
    <col min="46" max="46" width="10.77734375" style="1" customWidth="1"/>
    <col min="47" max="47" width="13.5546875" style="1" customWidth="1"/>
    <col min="48" max="48" width="20.21875" style="1" customWidth="1"/>
    <col min="49" max="49" width="9.88671875" style="1" customWidth="1"/>
    <col min="50" max="50" width="11.88671875" style="1" customWidth="1"/>
    <col min="51" max="51" width="15.88671875" style="1" customWidth="1"/>
    <col min="52" max="52" width="15" style="1" customWidth="1"/>
    <col min="53" max="53" width="16.33203125" style="2" customWidth="1"/>
    <col min="54" max="54" width="53.6640625" style="2" customWidth="1"/>
    <col min="55" max="55" width="23.77734375" style="2" customWidth="1"/>
    <col min="56" max="56" width="9" style="1" customWidth="1"/>
    <col min="57" max="57" width="30.109375" style="1" customWidth="1"/>
    <col min="58" max="58" width="20.33203125" style="1" customWidth="1"/>
    <col min="59" max="59" width="14.44140625" style="1" customWidth="1"/>
    <col min="60" max="60" width="17.109375" style="1" customWidth="1"/>
    <col min="61" max="61" width="11.5546875" style="1" customWidth="1"/>
    <col min="62" max="62" width="15.44140625" style="1" customWidth="1"/>
    <col min="63" max="64" width="11.109375" style="1" customWidth="1"/>
    <col min="65" max="65" width="16.6640625" style="1" customWidth="1"/>
    <col min="66" max="66" width="18.109375" style="1" customWidth="1"/>
    <col min="67" max="67" width="17.109375" style="1" customWidth="1"/>
    <col min="68" max="68" width="16.5546875" style="1" customWidth="1"/>
    <col min="69" max="69" width="16.109375" customWidth="1"/>
  </cols>
  <sheetData>
    <row r="1" spans="1:38" s="1" customFormat="1" ht="14.55" customHeight="1" outlineLevel="1" collapsed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 s="1" customFormat="1" ht="15.6" customHeight="1" x14ac:dyDescent="0.3">
      <c r="A2" s="1" t="s">
        <v>38</v>
      </c>
      <c r="C2" s="6"/>
      <c r="D2" s="7" t="s">
        <v>39</v>
      </c>
      <c r="E2" s="8">
        <v>10698325</v>
      </c>
      <c r="F2" s="9" t="s">
        <v>40</v>
      </c>
      <c r="G2" s="7" t="s">
        <v>41</v>
      </c>
      <c r="H2" s="10" t="s">
        <v>42</v>
      </c>
      <c r="I2" s="11" t="str">
        <f>F2 &amp; " " &amp; G2</f>
        <v>BelgiumOne TwentyFiveMayTwentyEight</v>
      </c>
      <c r="J2" s="12">
        <f ca="1">TODAY()-3</f>
        <v>45809</v>
      </c>
      <c r="K2" s="13" t="s">
        <v>43</v>
      </c>
      <c r="L2" s="14" t="s">
        <v>44</v>
      </c>
      <c r="M2" s="15" t="s">
        <v>45</v>
      </c>
      <c r="N2" s="16" t="s">
        <v>46</v>
      </c>
      <c r="O2" s="15" t="s">
        <v>47</v>
      </c>
      <c r="P2" s="13">
        <v>751</v>
      </c>
      <c r="Q2" s="17">
        <v>35</v>
      </c>
      <c r="R2" s="18" t="s">
        <v>48</v>
      </c>
      <c r="S2" s="19">
        <v>5</v>
      </c>
      <c r="T2" s="13" t="s">
        <v>44</v>
      </c>
      <c r="U2" s="13" t="s">
        <v>49</v>
      </c>
      <c r="V2" s="20" t="s">
        <v>50</v>
      </c>
      <c r="W2" s="15" t="s">
        <v>51</v>
      </c>
      <c r="X2" s="13" t="s">
        <v>52</v>
      </c>
      <c r="Y2" s="21" t="s">
        <v>53</v>
      </c>
      <c r="Z2" s="22">
        <f ca="1">J2+60</f>
        <v>45869</v>
      </c>
      <c r="AA2" s="19" t="s">
        <v>44</v>
      </c>
      <c r="AB2" s="12">
        <f ca="1">J2-1</f>
        <v>45808</v>
      </c>
      <c r="AC2" s="13" t="s">
        <v>43</v>
      </c>
      <c r="AD2" s="23" t="s">
        <v>54</v>
      </c>
      <c r="AE2" s="23" t="s">
        <v>55</v>
      </c>
      <c r="AF2" s="24" t="str">
        <f>T2</f>
        <v>N/A</v>
      </c>
      <c r="AG2" s="19" t="s">
        <v>56</v>
      </c>
      <c r="AH2" s="19">
        <v>1</v>
      </c>
      <c r="AI2" s="12">
        <v>44895</v>
      </c>
      <c r="AJ2" s="12">
        <v>44927</v>
      </c>
      <c r="AK2" s="12">
        <v>44895</v>
      </c>
      <c r="AL2" s="25" t="s">
        <v>57</v>
      </c>
    </row>
    <row r="3" spans="1:38" s="1" customFormat="1" ht="15.6" customHeight="1" x14ac:dyDescent="0.3">
      <c r="A3" s="1" t="s">
        <v>58</v>
      </c>
      <c r="C3" s="6"/>
      <c r="D3" s="7" t="s">
        <v>39</v>
      </c>
      <c r="E3" s="8">
        <v>10698326</v>
      </c>
      <c r="F3" s="9" t="s">
        <v>59</v>
      </c>
      <c r="G3" s="7" t="s">
        <v>41</v>
      </c>
      <c r="H3" s="10" t="s">
        <v>60</v>
      </c>
      <c r="I3" s="11" t="str">
        <f>F3 &amp; " " &amp; G3</f>
        <v>BelgiumTwo TwentyFiveMayTwentyEight</v>
      </c>
      <c r="J3" s="12">
        <f ca="1">TODAY()-3</f>
        <v>45809</v>
      </c>
      <c r="K3" s="13" t="s">
        <v>43</v>
      </c>
      <c r="L3" s="14" t="s">
        <v>61</v>
      </c>
      <c r="M3" s="15" t="s">
        <v>62</v>
      </c>
      <c r="N3" s="16" t="s">
        <v>63</v>
      </c>
      <c r="O3" s="15" t="s">
        <v>47</v>
      </c>
      <c r="P3" s="13">
        <v>751</v>
      </c>
      <c r="Q3" s="17">
        <v>35</v>
      </c>
      <c r="R3" s="18" t="s">
        <v>64</v>
      </c>
      <c r="S3" s="19">
        <v>5</v>
      </c>
      <c r="T3" s="22">
        <f ca="1">J3+180</f>
        <v>45989</v>
      </c>
      <c r="U3" s="13" t="s">
        <v>49</v>
      </c>
      <c r="V3" s="20" t="s">
        <v>65</v>
      </c>
      <c r="W3" s="15" t="s">
        <v>66</v>
      </c>
      <c r="X3" s="13" t="s">
        <v>52</v>
      </c>
      <c r="Y3" s="21" t="s">
        <v>53</v>
      </c>
      <c r="Z3" s="22">
        <f ca="1">J3+60</f>
        <v>45869</v>
      </c>
      <c r="AA3" s="12">
        <f ca="1">T3</f>
        <v>45989</v>
      </c>
      <c r="AB3" s="12">
        <f ca="1">J3-1</f>
        <v>45808</v>
      </c>
      <c r="AC3" s="13" t="s">
        <v>43</v>
      </c>
      <c r="AD3" s="23" t="s">
        <v>54</v>
      </c>
      <c r="AE3" s="23" t="s">
        <v>55</v>
      </c>
      <c r="AF3" s="24">
        <f ca="1">T3</f>
        <v>45989</v>
      </c>
      <c r="AG3" s="19" t="s">
        <v>56</v>
      </c>
      <c r="AH3" s="19">
        <v>1</v>
      </c>
      <c r="AI3" s="12">
        <v>44895</v>
      </c>
      <c r="AJ3" s="12">
        <v>44927</v>
      </c>
      <c r="AK3" s="12">
        <v>44895</v>
      </c>
      <c r="AL3" s="25" t="s">
        <v>57</v>
      </c>
    </row>
    <row r="4" spans="1:38" s="1" customFormat="1" ht="15.6" customHeight="1" x14ac:dyDescent="0.3">
      <c r="A4" s="1" t="s">
        <v>67</v>
      </c>
      <c r="B4" s="26" t="s">
        <v>68</v>
      </c>
      <c r="C4" s="6" t="s">
        <v>69</v>
      </c>
      <c r="D4" s="7" t="s">
        <v>39</v>
      </c>
      <c r="E4" s="27">
        <v>10698329</v>
      </c>
      <c r="F4" s="9" t="s">
        <v>70</v>
      </c>
      <c r="G4" s="7" t="s">
        <v>41</v>
      </c>
      <c r="H4" s="10" t="s">
        <v>60</v>
      </c>
      <c r="I4" s="11" t="str">
        <f>F4 &amp; " " &amp; G4</f>
        <v>BelgiumFour TwentyFiveMayTwentyEight</v>
      </c>
      <c r="J4" s="12">
        <f ca="1">TODAY()-3</f>
        <v>45809</v>
      </c>
      <c r="K4" s="13" t="s">
        <v>43</v>
      </c>
      <c r="L4" s="14" t="s">
        <v>71</v>
      </c>
      <c r="M4" s="15" t="s">
        <v>45</v>
      </c>
      <c r="N4" s="16" t="s">
        <v>63</v>
      </c>
      <c r="O4" s="15" t="s">
        <v>72</v>
      </c>
      <c r="P4" s="13">
        <v>751</v>
      </c>
      <c r="Q4" s="17">
        <v>20</v>
      </c>
      <c r="R4" s="18" t="s">
        <v>48</v>
      </c>
      <c r="S4" s="19">
        <v>5</v>
      </c>
      <c r="T4" s="13" t="s">
        <v>44</v>
      </c>
      <c r="U4" s="13" t="s">
        <v>49</v>
      </c>
      <c r="V4" s="20" t="s">
        <v>65</v>
      </c>
      <c r="W4" s="15">
        <v>251</v>
      </c>
      <c r="X4" s="13" t="s">
        <v>52</v>
      </c>
      <c r="Y4" s="21" t="s">
        <v>53</v>
      </c>
      <c r="Z4" s="22">
        <f ca="1">J4+60</f>
        <v>45869</v>
      </c>
      <c r="AA4" s="19" t="s">
        <v>44</v>
      </c>
      <c r="AB4" s="12">
        <f ca="1">J4-1</f>
        <v>45808</v>
      </c>
      <c r="AC4" s="13" t="s">
        <v>43</v>
      </c>
      <c r="AD4" s="23" t="s">
        <v>54</v>
      </c>
      <c r="AE4" s="23" t="s">
        <v>55</v>
      </c>
      <c r="AF4" s="24" t="str">
        <f>T4</f>
        <v>N/A</v>
      </c>
      <c r="AG4" s="19" t="s">
        <v>56</v>
      </c>
      <c r="AH4" s="19">
        <v>1</v>
      </c>
      <c r="AI4" s="12"/>
      <c r="AJ4" s="12"/>
      <c r="AK4" s="12"/>
      <c r="AL4" s="28" t="s">
        <v>73</v>
      </c>
    </row>
    <row r="5" spans="1:38" s="1" customFormat="1" ht="15.6" customHeight="1" x14ac:dyDescent="0.3">
      <c r="A5" s="1" t="s">
        <v>74</v>
      </c>
      <c r="B5" s="26" t="s">
        <v>75</v>
      </c>
      <c r="C5" s="6" t="s">
        <v>69</v>
      </c>
      <c r="D5" s="7" t="s">
        <v>39</v>
      </c>
      <c r="E5" s="27">
        <v>10698328</v>
      </c>
      <c r="F5" s="9" t="s">
        <v>76</v>
      </c>
      <c r="G5" s="7" t="s">
        <v>41</v>
      </c>
      <c r="H5" s="10" t="s">
        <v>42</v>
      </c>
      <c r="I5" s="11" t="str">
        <f>F5 &amp; " " &amp; G5</f>
        <v>BelgiumThree TwentyFiveMayTwentyEight</v>
      </c>
      <c r="J5" s="12">
        <f ca="1">TODAY()-3</f>
        <v>45809</v>
      </c>
      <c r="K5" s="13" t="s">
        <v>43</v>
      </c>
      <c r="L5" s="14" t="s">
        <v>44</v>
      </c>
      <c r="M5" s="15" t="s">
        <v>45</v>
      </c>
      <c r="N5" s="16" t="s">
        <v>46</v>
      </c>
      <c r="O5" s="15" t="s">
        <v>47</v>
      </c>
      <c r="P5" s="13">
        <v>751</v>
      </c>
      <c r="Q5" s="17">
        <v>35</v>
      </c>
      <c r="R5" s="18" t="s">
        <v>64</v>
      </c>
      <c r="S5" s="19">
        <v>5</v>
      </c>
      <c r="T5" s="13" t="s">
        <v>44</v>
      </c>
      <c r="U5" s="13" t="s">
        <v>49</v>
      </c>
      <c r="V5" s="20" t="s">
        <v>50</v>
      </c>
      <c r="W5" s="15" t="s">
        <v>51</v>
      </c>
      <c r="X5" s="13" t="s">
        <v>52</v>
      </c>
      <c r="Y5" s="21" t="s">
        <v>53</v>
      </c>
      <c r="Z5" s="22">
        <f ca="1">J5+60</f>
        <v>45869</v>
      </c>
      <c r="AA5" s="19" t="s">
        <v>44</v>
      </c>
      <c r="AB5" s="12">
        <f ca="1">J5-1</f>
        <v>45808</v>
      </c>
      <c r="AC5" s="13" t="s">
        <v>43</v>
      </c>
      <c r="AD5" s="23" t="s">
        <v>54</v>
      </c>
      <c r="AE5" s="23" t="s">
        <v>55</v>
      </c>
      <c r="AF5" s="24" t="str">
        <f>T5</f>
        <v>N/A</v>
      </c>
      <c r="AG5" s="19" t="s">
        <v>56</v>
      </c>
      <c r="AH5" s="19">
        <v>1</v>
      </c>
      <c r="AI5" s="12"/>
      <c r="AJ5" s="12"/>
      <c r="AK5" s="12"/>
      <c r="AL5" s="28" t="s">
        <v>77</v>
      </c>
    </row>
    <row r="6" spans="1:38" s="1" customFormat="1" ht="15.6" customHeight="1" x14ac:dyDescent="0.3">
      <c r="A6" s="1" t="s">
        <v>78</v>
      </c>
      <c r="B6" s="1" t="s">
        <v>79</v>
      </c>
      <c r="C6" s="6" t="s">
        <v>69</v>
      </c>
      <c r="D6" s="7" t="s">
        <v>39</v>
      </c>
      <c r="E6" s="27">
        <v>10698332</v>
      </c>
      <c r="F6" s="9" t="s">
        <v>80</v>
      </c>
      <c r="G6" s="7" t="s">
        <v>41</v>
      </c>
      <c r="H6" s="10" t="s">
        <v>42</v>
      </c>
      <c r="I6" s="11" t="str">
        <f>F6 &amp; " " &amp; G6</f>
        <v>BelgiumSeven TwentyFiveMayTwentyEight</v>
      </c>
      <c r="J6" s="12">
        <f ca="1">TODAY()-3</f>
        <v>45809</v>
      </c>
      <c r="K6" s="13" t="s">
        <v>43</v>
      </c>
      <c r="L6" s="14" t="s">
        <v>44</v>
      </c>
      <c r="M6" s="15" t="s">
        <v>62</v>
      </c>
      <c r="N6" s="16" t="s">
        <v>46</v>
      </c>
      <c r="O6" s="15" t="s">
        <v>72</v>
      </c>
      <c r="P6" s="13">
        <v>751</v>
      </c>
      <c r="Q6" s="17">
        <v>30</v>
      </c>
      <c r="R6" s="18" t="s">
        <v>48</v>
      </c>
      <c r="S6" s="19">
        <v>5</v>
      </c>
      <c r="T6" s="22">
        <f ca="1">J6+180</f>
        <v>45989</v>
      </c>
      <c r="U6" s="13" t="s">
        <v>49</v>
      </c>
      <c r="V6" s="20" t="s">
        <v>50</v>
      </c>
      <c r="W6" s="15" t="s">
        <v>81</v>
      </c>
      <c r="X6" s="13" t="s">
        <v>52</v>
      </c>
      <c r="Y6" s="21" t="s">
        <v>53</v>
      </c>
      <c r="Z6" s="22">
        <f ca="1">J6+60</f>
        <v>45869</v>
      </c>
      <c r="AA6" s="12">
        <f ca="1">T6</f>
        <v>45989</v>
      </c>
      <c r="AB6" s="12">
        <f ca="1">J6-1</f>
        <v>45808</v>
      </c>
      <c r="AC6" s="13" t="s">
        <v>43</v>
      </c>
      <c r="AD6" s="23" t="s">
        <v>54</v>
      </c>
      <c r="AE6" s="23" t="s">
        <v>55</v>
      </c>
      <c r="AF6" s="24">
        <f ca="1">T6</f>
        <v>45989</v>
      </c>
      <c r="AG6" s="19" t="s">
        <v>56</v>
      </c>
      <c r="AH6" s="19">
        <v>1</v>
      </c>
      <c r="AI6" s="12"/>
      <c r="AJ6" s="12"/>
      <c r="AK6" s="12"/>
      <c r="AL6" s="28" t="s">
        <v>82</v>
      </c>
    </row>
    <row r="7" spans="1:38" s="1" customFormat="1" ht="15.6" customHeight="1" x14ac:dyDescent="0.25"/>
    <row r="8" spans="1:38" s="1" customFormat="1" ht="15.6" customHeight="1" x14ac:dyDescent="0.25"/>
    <row r="9" spans="1:38" s="1" customFormat="1" ht="15.6" customHeight="1" x14ac:dyDescent="0.25"/>
    <row r="10" spans="1:38" s="1" customFormat="1" ht="15.6" customHeight="1" x14ac:dyDescent="0.25"/>
    <row r="11" spans="1:38" s="1" customFormat="1" ht="15.6" customHeight="1" x14ac:dyDescent="0.25"/>
    <row r="12" spans="1:38" s="1" customFormat="1" ht="15.6" customHeight="1" x14ac:dyDescent="0.25"/>
    <row r="13" spans="1:38" s="1" customFormat="1" ht="15.6" customHeight="1" x14ac:dyDescent="0.25"/>
    <row r="14" spans="1:38" s="1" customFormat="1" ht="15.6" customHeight="1" x14ac:dyDescent="0.25"/>
    <row r="15" spans="1:38" s="1" customFormat="1" ht="15.6" customHeight="1" x14ac:dyDescent="0.25"/>
    <row r="16" spans="1:38" s="1" customFormat="1" ht="15.6" customHeight="1" x14ac:dyDescent="0.25"/>
    <row r="17" s="1" customFormat="1" ht="15.6" customHeight="1" x14ac:dyDescent="0.25"/>
    <row r="18" s="1" customFormat="1" ht="15.6" customHeight="1" x14ac:dyDescent="0.25"/>
  </sheetData>
  <dataValidations count="1">
    <dataValidation type="list" allowBlank="1" showInputMessage="1" showErrorMessage="1" sqref="AC2:AD6 P2:P6 K2:K6" xr:uid="{00000000-0002-0000-0000-000000000000}">
      <formula1>INDIRECT($D2)</formula1>
    </dataValidation>
  </dataValidation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2025-06-04T14:07:14Z</dcterms:modified>
</cp:coreProperties>
</file>