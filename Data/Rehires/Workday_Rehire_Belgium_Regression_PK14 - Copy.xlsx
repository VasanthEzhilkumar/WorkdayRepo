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5EF71CE6-5C2F-454A-81DB-76A3E6FA823A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T9" i="1" s="1"/>
  <c r="I9" i="1"/>
  <c r="AF8" i="1"/>
  <c r="J8" i="1"/>
  <c r="AB8" i="1" s="1"/>
  <c r="I8" i="1"/>
  <c r="AF7" i="1"/>
  <c r="J7" i="1"/>
  <c r="AB7" i="1" s="1"/>
  <c r="I7" i="1"/>
  <c r="J6" i="1"/>
  <c r="Z6" i="1" s="1"/>
  <c r="I6" i="1"/>
  <c r="AF5" i="1"/>
  <c r="J5" i="1"/>
  <c r="AB5" i="1" s="1"/>
  <c r="I5" i="1"/>
  <c r="AF4" i="1"/>
  <c r="AB4" i="1"/>
  <c r="Z4" i="1"/>
  <c r="J4" i="1"/>
  <c r="I4" i="1"/>
  <c r="J3" i="1"/>
  <c r="Z3" i="1" s="1"/>
  <c r="I3" i="1"/>
  <c r="AF2" i="1"/>
  <c r="J2" i="1"/>
  <c r="Z2" i="1" s="1"/>
  <c r="I2" i="1"/>
  <c r="AB2" i="1" l="1"/>
  <c r="AB9" i="1"/>
  <c r="AF9" i="1"/>
  <c r="AA9" i="1"/>
  <c r="Z9" i="1"/>
  <c r="AB3" i="1"/>
  <c r="T3" i="1"/>
  <c r="Z5" i="1"/>
  <c r="AB6" i="1"/>
  <c r="Z7" i="1"/>
  <c r="T6" i="1"/>
  <c r="Z8" i="1"/>
  <c r="AF6" i="1" l="1"/>
  <c r="AA6" i="1"/>
  <c r="AA3" i="1"/>
  <c r="AF3" i="1"/>
</calcChain>
</file>

<file path=xl/sharedStrings.xml><?xml version="1.0" encoding="utf-8"?>
<sst xmlns="http://schemas.openxmlformats.org/spreadsheetml/2006/main" count="238" uniqueCount="105">
  <si>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</si>
  <si>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</si>
  <si>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</si>
  <si>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</si>
  <si>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</si>
  <si>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</si>
  <si>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</si>
  <si>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</si>
  <si>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</si>
  <si>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</si>
  <si>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</si>
  <si>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</si>
  <si>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</si>
  <si>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</si>
  <si>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</si>
  <si>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</si>
  <si>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</si>
  <si>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</si>
  <si>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</si>
  <si>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</si>
  <si>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</si>
  <si>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</si>
  <si>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</si>
  <si>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</si>
  <si>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</si>
  <si>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</si>
  <si>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</si>
  <si>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</si>
  <si>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</si>
  <si>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</si>
  <si>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</si>
  <si>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</si>
  <si>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</si>
  <si>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AddendumNumber</t>
  </si>
  <si>
    <t>AddendumEffectiveDate</t>
  </si>
  <si>
    <t>AddendumEndDate</t>
  </si>
  <si>
    <t>AddendumCreationDate</t>
  </si>
  <si>
    <t>HourlyRegime</t>
  </si>
  <si>
    <t>Test1</t>
  </si>
  <si>
    <t xml:space="preserve">N/A
</t>
  </si>
  <si>
    <t>Passed</t>
  </si>
  <si>
    <t>Belgium</t>
  </si>
  <si>
    <t>10698505</t>
  </si>
  <si>
    <t>BelgiumOne</t>
  </si>
  <si>
    <t>TwentyFiveTwelveA</t>
  </si>
  <si>
    <t>751 Retail Team 1 (Mupol Bypitu (10528834) (Inherited))</t>
  </si>
  <si>
    <t>ReHire</t>
  </si>
  <si>
    <t>N/A</t>
  </si>
  <si>
    <t>Permanent</t>
  </si>
  <si>
    <t>Retail Assistant_NEW</t>
  </si>
  <si>
    <t>Full time</t>
  </si>
  <si>
    <t>V2 BIS - (Job Qualifications-Belgium)</t>
  </si>
  <si>
    <t>Automation Comments here….</t>
  </si>
  <si>
    <t>94 Retail Operative</t>
  </si>
  <si>
    <t>01 Accessories</t>
  </si>
  <si>
    <t>Please select a Belgium Pay Group</t>
  </si>
  <si>
    <t>BE Monthly</t>
  </si>
  <si>
    <t>More than 3 Months</t>
  </si>
  <si>
    <t>Active</t>
  </si>
  <si>
    <t>Contract Permanent</t>
  </si>
  <si>
    <t>Defaulted</t>
  </si>
  <si>
    <t xml:space="preserve">Variable | 35 | A35 </t>
  </si>
  <si>
    <t>Test2</t>
  </si>
  <si>
    <t xml:space="preserve">Test failed for 'BelgiumThree TwentyFiveTwelve' Employee:{10698507}TimeoutError: page.waitForSelector: Timeout 30000ms exceeded.
Call log:
  [2m- waiting for locator('button:has-text(\'Hire: BelgiumThree TwentyFiveTwelve\')') to be visible[22m
</t>
  </si>
  <si>
    <t>Failed</t>
  </si>
  <si>
    <t>10698507</t>
  </si>
  <si>
    <t>BelgiumThree</t>
  </si>
  <si>
    <t>TwentyFiveTwelve</t>
  </si>
  <si>
    <t>751 Store Management (Mupol Bypitu (10528834))</t>
  </si>
  <si>
    <t>Auto 83293483</t>
  </si>
  <si>
    <t>Fixed Term</t>
  </si>
  <si>
    <t>Store Manager_NEW</t>
  </si>
  <si>
    <t>V2 - (Job Qualifications-Belgium)</t>
  </si>
  <si>
    <t>92 Retail</t>
  </si>
  <si>
    <t>251</t>
  </si>
  <si>
    <t>Test3</t>
  </si>
  <si>
    <t>Test failed for 'BelgiumFive TwentyFiveTwelve' Employee:{10698509}ReferenceError: Cannot access 'Title' before initialization</t>
  </si>
  <si>
    <t>10698509</t>
  </si>
  <si>
    <t>BelgiumFive</t>
  </si>
  <si>
    <t>Auto 11413784</t>
  </si>
  <si>
    <t>Part time</t>
  </si>
  <si>
    <t>Variable | 20 | A20</t>
  </si>
  <si>
    <t>Test4</t>
  </si>
  <si>
    <t xml:space="preserve">Test failed for 'BelgiumNine TwentyFiveTwelve' Employee:{10698514}TimeoutError: locator.click: Timeout 30000ms exceeded.
Call log:
  [2m- waiting for locator('text=Propose Compensation Hire:  BelgiumNine TwentyFiveTwelve')[22m
</t>
  </si>
  <si>
    <t>10698514</t>
  </si>
  <si>
    <t>BelgiumNine</t>
  </si>
  <si>
    <t>Variable | 35 | A35</t>
  </si>
  <si>
    <t>Test5</t>
  </si>
  <si>
    <t>10698515</t>
  </si>
  <si>
    <t>BelgiumTen</t>
  </si>
  <si>
    <t>06 Menswear</t>
  </si>
  <si>
    <t>Variable | 30 | A30</t>
  </si>
  <si>
    <t>Test6</t>
  </si>
  <si>
    <t xml:space="preserve">Test failed for 'BelgiumEleven TwentyFiveTwelve' Employee:{10698516}TimeoutError: locator.focus: Timeout 30000ms exceeded.
Call log:
  [2m- waiting for locator('[aria-label="Search Workday "]')[22m
[2m  -   locator resolved to &lt;input value="" aria-owns="" type="search" role="combob…/&gt;[22m
</t>
  </si>
  <si>
    <t>10698516</t>
  </si>
  <si>
    <t>BelgiumEleven</t>
  </si>
  <si>
    <t>Auto 58516565</t>
  </si>
  <si>
    <t>Test7</t>
  </si>
  <si>
    <t xml:space="preserve">Test failed for 'BelgiumTwelve TwentyFiveTwelve' Employee:{10698517}TimeoutError: locator.click: Timeout 30000ms exceeded.
Call log:
  [2m- waiting for locator('//label[contains(.,\'Hire Date\')]/parent::div/following-sibling::div/descendant::input[@data-automation-id=\'dateSectionDay-input\']')[22m
</t>
  </si>
  <si>
    <t>10698517</t>
  </si>
  <si>
    <t>BelgiumTwelve</t>
  </si>
  <si>
    <t>Test8</t>
  </si>
  <si>
    <t xml:space="preserve">Test failed for 'BelgiumThirteen TwentyFiveTwelve' Employee:{10698518}TimeoutError: locator.click: Timeout 30000ms exceeded.
Call log:
  [2m- waiting for locator('text=Onboarding Guide: Retail Assistant_NEW - BelgiumThirteen TwentyFiveTwelve')[22m
</t>
  </si>
  <si>
    <t>10698518</t>
  </si>
  <si>
    <t>BelgiumThirteen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</si>
</sst>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4A4A4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1" fillId="6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2" xfId="0" applyBorder="1"/>
    <xf numFmtId="14" fontId="0" fillId="0" borderId="2" xfId="0" applyNumberForma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0" fillId="3" borderId="2" xfId="0" applyFill="1" applyBorder="1" applyAlignment="1" applyProtection="1">
      <alignment horizontal="left"/>
      <protection locked="0"/>
    </xf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left" vertical="top"/>
      <protection locked="0"/>
    </xf>
    <xf numFmtId="164" fontId="0" fillId="0" borderId="1" xfId="0" applyNumberFormat="1" applyBorder="1" applyAlignment="1" applyProtection="1">
      <alignment horizontal="left" vertical="top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0" fillId="7" borderId="2" xfId="0" applyFill="1" applyBorder="1"/>
    <xf numFmtId="164" fontId="0" fillId="0" borderId="3" xfId="0" applyNumberFormat="1" applyBorder="1" applyAlignment="1" applyProtection="1">
      <alignment horizontal="left" vertical="top"/>
      <protection locked="0"/>
    </xf>
    <xf numFmtId="0" fontId="0" fillId="8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"/>
  <sheetViews>
    <sheetView tabSelected="1" zoomScale="115" zoomScaleNormal="115" workbookViewId="0">
      <selection activeCell="C16" sqref="C16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5" width="10.77734375" style="1" customWidth="1"/>
    <col min="6" max="6" width="12.33203125" style="1" customWidth="1"/>
    <col min="7" max="7" width="24.44140625" style="1" customWidth="1"/>
    <col min="8" max="8" width="48.6640625" style="1" customWidth="1"/>
    <col min="9" max="9" width="36.77734375" style="1" customWidth="1"/>
    <col min="10" max="10" width="10.88671875" style="1" customWidth="1"/>
    <col min="11" max="11" width="7" style="1" customWidth="1"/>
    <col min="12" max="12" width="7.5546875" style="1" customWidth="1"/>
    <col min="13" max="13" width="13" style="1" customWidth="1"/>
    <col min="14" max="14" width="18.6640625" style="2" customWidth="1"/>
    <col min="15" max="15" width="8.88671875" style="1" customWidth="1"/>
    <col min="16" max="16" width="8.109375" style="1" customWidth="1"/>
    <col min="17" max="17" width="20.5546875" style="1" customWidth="1"/>
    <col min="18" max="18" width="31.109375" style="1" customWidth="1"/>
    <col min="19" max="19" width="9.21875" style="1" customWidth="1"/>
    <col min="20" max="20" width="18.5546875" style="1" customWidth="1"/>
    <col min="21" max="21" width="26.44140625" style="1" customWidth="1"/>
    <col min="22" max="22" width="16.77734375" style="1" customWidth="1"/>
    <col min="23" max="23" width="17" style="1" customWidth="1"/>
    <col min="24" max="24" width="29.33203125" style="1" customWidth="1"/>
    <col min="25" max="25" width="20.88671875" style="1" customWidth="1"/>
    <col min="26" max="26" width="16" style="2" customWidth="1"/>
    <col min="27" max="27" width="16" style="1" customWidth="1"/>
    <col min="28" max="28" width="18.5546875" style="1" customWidth="1"/>
    <col min="29" max="29" width="18.21875" style="1" customWidth="1"/>
    <col min="30" max="30" width="6" style="1" customWidth="1"/>
    <col min="31" max="31" width="12.77734375" style="1" customWidth="1"/>
    <col min="32" max="32" width="15.109375" style="1" customWidth="1"/>
    <col min="33" max="33" width="9" style="1" customWidth="1"/>
    <col min="34" max="34" width="16.77734375" style="1" customWidth="1"/>
    <col min="35" max="35" width="21" style="1" customWidth="1"/>
    <col min="36" max="36" width="17" style="1" customWidth="1"/>
    <col min="37" max="37" width="21" style="1" customWidth="1"/>
    <col min="38" max="38" width="17.5546875" customWidth="1"/>
    <col min="39" max="40" width="22.44140625" style="1" customWidth="1"/>
    <col min="41" max="41" width="18.21875" style="1" customWidth="1"/>
    <col min="42" max="42" width="17.77734375" style="1" customWidth="1"/>
    <col min="43" max="43" width="5.88671875" style="1" customWidth="1"/>
    <col min="44" max="44" width="15.109375" style="1" customWidth="1"/>
    <col min="45" max="45" width="7" style="1" customWidth="1"/>
    <col min="46" max="46" width="10.77734375" style="1" customWidth="1"/>
    <col min="47" max="47" width="13.5546875" style="1" customWidth="1"/>
    <col min="48" max="48" width="20.21875" style="1" customWidth="1"/>
    <col min="49" max="49" width="9.88671875" style="1" customWidth="1"/>
    <col min="50" max="50" width="11.88671875" style="1" customWidth="1"/>
    <col min="51" max="51" width="15.88671875" style="1" customWidth="1"/>
    <col min="52" max="52" width="15" style="1" customWidth="1"/>
    <col min="53" max="53" width="16.33203125" style="2" customWidth="1"/>
    <col min="54" max="54" width="53.6640625" style="2" customWidth="1"/>
    <col min="55" max="55" width="23.77734375" style="2" customWidth="1"/>
    <col min="56" max="56" width="9" style="1" customWidth="1"/>
    <col min="57" max="57" width="30.109375" style="1" customWidth="1"/>
    <col min="58" max="58" width="20.33203125" style="1" customWidth="1"/>
    <col min="59" max="59" width="14.44140625" style="1" customWidth="1"/>
    <col min="60" max="60" width="17.109375" style="1" customWidth="1"/>
    <col min="61" max="61" width="11.5546875" style="1" customWidth="1"/>
    <col min="62" max="62" width="15.44140625" style="1" customWidth="1"/>
    <col min="63" max="64" width="11.109375" style="1" customWidth="1"/>
    <col min="65" max="65" width="16.6640625" style="1" customWidth="1"/>
    <col min="66" max="66" width="18.109375" style="1" customWidth="1"/>
    <col min="67" max="67" width="17.109375" style="1" customWidth="1"/>
    <col min="68" max="68" width="16.5546875" style="1" customWidth="1"/>
    <col min="69" max="69" width="16.109375" customWidth="1"/>
  </cols>
  <sheetData>
    <row r="1" spans="1:38" s="1" customFormat="1" ht="14.55" customHeight="1" outlineLevel="1" collapsed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 s="1" customFormat="1" ht="15.6" customHeight="1" x14ac:dyDescent="0.3">
      <c r="A2" s="1" t="s">
        <v>38</v>
      </c>
      <c r="B2" s="6" t="s">
        <v>39</v>
      </c>
      <c r="C2" s="6" t="s">
        <v>40</v>
      </c>
      <c r="D2" s="7" t="s">
        <v>41</v>
      </c>
      <c r="E2" s="8" t="s">
        <v>42</v>
      </c>
      <c r="F2" s="9" t="s">
        <v>43</v>
      </c>
      <c r="G2" s="7" t="s">
        <v>44</v>
      </c>
      <c r="H2" s="10" t="s">
        <v>45</v>
      </c>
      <c r="I2" s="11" t="str">
        <f t="shared" ref="I2:I9" si="0">F2 &amp; " " &amp; G2</f>
        <v>BelgiumOne TwentyFiveTwelveA</v>
      </c>
      <c r="J2" s="12">
        <f t="shared" ref="J2:J9" ca="1" si="1">TODAY()-3</f>
        <v>45818</v>
      </c>
      <c r="K2" s="13" t="s">
        <v>46</v>
      </c>
      <c r="L2" s="14" t="s">
        <v>47</v>
      </c>
      <c r="M2" s="15" t="s">
        <v>48</v>
      </c>
      <c r="N2" s="16" t="s">
        <v>49</v>
      </c>
      <c r="O2" s="15" t="s">
        <v>50</v>
      </c>
      <c r="P2" s="13">
        <v>751</v>
      </c>
      <c r="Q2" s="17">
        <v>35</v>
      </c>
      <c r="R2" s="18" t="s">
        <v>51</v>
      </c>
      <c r="S2" s="19">
        <v>5</v>
      </c>
      <c r="T2" s="13" t="s">
        <v>47</v>
      </c>
      <c r="U2" s="13" t="s">
        <v>52</v>
      </c>
      <c r="V2" s="20" t="s">
        <v>53</v>
      </c>
      <c r="W2" s="15" t="s">
        <v>54</v>
      </c>
      <c r="X2" s="13" t="s">
        <v>55</v>
      </c>
      <c r="Y2" s="21" t="s">
        <v>56</v>
      </c>
      <c r="Z2" s="22">
        <f t="shared" ref="Z2:Z9" ca="1" si="2">J2+60</f>
        <v>45878</v>
      </c>
      <c r="AA2" s="19" t="s">
        <v>47</v>
      </c>
      <c r="AB2" s="12">
        <f t="shared" ref="AB2:AB9" ca="1" si="3">J2-1</f>
        <v>45817</v>
      </c>
      <c r="AC2" s="18" t="s">
        <v>57</v>
      </c>
      <c r="AD2" s="23" t="s">
        <v>58</v>
      </c>
      <c r="AE2" s="20" t="s">
        <v>59</v>
      </c>
      <c r="AF2" s="24" t="str">
        <f t="shared" ref="AF2:AF9" si="4">T2</f>
        <v>N/A</v>
      </c>
      <c r="AG2" s="19" t="s">
        <v>60</v>
      </c>
      <c r="AH2" s="19">
        <v>1</v>
      </c>
      <c r="AI2" s="12">
        <v>44895</v>
      </c>
      <c r="AJ2" s="12">
        <v>44927</v>
      </c>
      <c r="AK2" s="12">
        <v>44895</v>
      </c>
      <c r="AL2" s="25" t="s">
        <v>61</v>
      </c>
    </row>
    <row r="3" spans="1:38" s="1" customFormat="1" ht="15.6" customHeight="1" x14ac:dyDescent="0.3">
      <c r="A3" s="1" t="s">
        <v>62</v>
      </c>
      <c r="B3" s="1" t="s">
        <v>63</v>
      </c>
      <c r="C3" s="6" t="s">
        <v>64</v>
      </c>
      <c r="D3" s="7" t="s">
        <v>41</v>
      </c>
      <c r="E3" s="8" t="s">
        <v>65</v>
      </c>
      <c r="F3" s="9" t="s">
        <v>66</v>
      </c>
      <c r="G3" s="7" t="s">
        <v>67</v>
      </c>
      <c r="H3" s="10" t="s">
        <v>68</v>
      </c>
      <c r="I3" s="11" t="str">
        <f t="shared" si="0"/>
        <v>BelgiumThree TwentyFiveTwelve</v>
      </c>
      <c r="J3" s="12">
        <f t="shared" ca="1" si="1"/>
        <v>45818</v>
      </c>
      <c r="K3" s="13" t="s">
        <v>46</v>
      </c>
      <c r="L3" s="14" t="s">
        <v>69</v>
      </c>
      <c r="M3" s="15" t="s">
        <v>70</v>
      </c>
      <c r="N3" s="16" t="s">
        <v>71</v>
      </c>
      <c r="O3" s="15" t="s">
        <v>50</v>
      </c>
      <c r="P3" s="13">
        <v>751</v>
      </c>
      <c r="Q3" s="17">
        <v>35</v>
      </c>
      <c r="R3" s="18" t="s">
        <v>72</v>
      </c>
      <c r="S3" s="19">
        <v>5</v>
      </c>
      <c r="T3" s="22">
        <f ca="1">J3+180</f>
        <v>45998</v>
      </c>
      <c r="U3" s="13" t="s">
        <v>52</v>
      </c>
      <c r="V3" s="20" t="s">
        <v>73</v>
      </c>
      <c r="W3" s="15" t="s">
        <v>74</v>
      </c>
      <c r="X3" s="13" t="s">
        <v>55</v>
      </c>
      <c r="Y3" s="21" t="s">
        <v>56</v>
      </c>
      <c r="Z3" s="22">
        <f t="shared" ca="1" si="2"/>
        <v>45878</v>
      </c>
      <c r="AA3" s="12">
        <f ca="1">T3</f>
        <v>45998</v>
      </c>
      <c r="AB3" s="12">
        <f t="shared" ca="1" si="3"/>
        <v>45817</v>
      </c>
      <c r="AC3" s="18" t="s">
        <v>57</v>
      </c>
      <c r="AD3" s="23" t="s">
        <v>58</v>
      </c>
      <c r="AE3" s="20" t="s">
        <v>70</v>
      </c>
      <c r="AF3" s="24">
        <f t="shared" ca="1" si="4"/>
        <v>45998</v>
      </c>
      <c r="AG3" s="19" t="s">
        <v>60</v>
      </c>
      <c r="AH3" s="19">
        <v>1</v>
      </c>
      <c r="AI3" s="12">
        <v>44895</v>
      </c>
      <c r="AJ3" s="12">
        <v>44927</v>
      </c>
      <c r="AK3" s="12">
        <v>44895</v>
      </c>
      <c r="AL3" s="25" t="s">
        <v>61</v>
      </c>
    </row>
    <row r="4" spans="1:38" s="1" customFormat="1" ht="15.6" customHeight="1" x14ac:dyDescent="0.3">
      <c r="A4" s="1" t="s">
        <v>75</v>
      </c>
      <c r="B4" s="1" t="s">
        <v>76</v>
      </c>
      <c r="C4" s="6" t="s">
        <v>64</v>
      </c>
      <c r="D4" s="7" t="s">
        <v>41</v>
      </c>
      <c r="E4" s="8" t="s">
        <v>77</v>
      </c>
      <c r="F4" s="9" t="s">
        <v>78</v>
      </c>
      <c r="G4" s="7" t="s">
        <v>67</v>
      </c>
      <c r="H4" s="10" t="s">
        <v>68</v>
      </c>
      <c r="I4" s="11" t="str">
        <f t="shared" si="0"/>
        <v>BelgiumFive TwentyFiveTwelve</v>
      </c>
      <c r="J4" s="12">
        <f t="shared" ca="1" si="1"/>
        <v>45818</v>
      </c>
      <c r="K4" s="13" t="s">
        <v>46</v>
      </c>
      <c r="L4" s="14" t="s">
        <v>79</v>
      </c>
      <c r="M4" s="15" t="s">
        <v>48</v>
      </c>
      <c r="N4" s="16" t="s">
        <v>71</v>
      </c>
      <c r="O4" s="15" t="s">
        <v>80</v>
      </c>
      <c r="P4" s="13">
        <v>751</v>
      </c>
      <c r="Q4" s="17">
        <v>20</v>
      </c>
      <c r="R4" s="18" t="s">
        <v>51</v>
      </c>
      <c r="S4" s="19">
        <v>5</v>
      </c>
      <c r="T4" s="13" t="s">
        <v>47</v>
      </c>
      <c r="U4" s="13" t="s">
        <v>52</v>
      </c>
      <c r="V4" s="20" t="s">
        <v>73</v>
      </c>
      <c r="W4" s="15">
        <v>251</v>
      </c>
      <c r="X4" s="13" t="s">
        <v>55</v>
      </c>
      <c r="Y4" s="21" t="s">
        <v>56</v>
      </c>
      <c r="Z4" s="22">
        <f t="shared" ca="1" si="2"/>
        <v>45878</v>
      </c>
      <c r="AA4" s="19" t="s">
        <v>47</v>
      </c>
      <c r="AB4" s="12">
        <f t="shared" ca="1" si="3"/>
        <v>45817</v>
      </c>
      <c r="AC4" s="18" t="s">
        <v>57</v>
      </c>
      <c r="AD4" s="23" t="s">
        <v>58</v>
      </c>
      <c r="AE4" s="20" t="s">
        <v>59</v>
      </c>
      <c r="AF4" s="24" t="str">
        <f t="shared" si="4"/>
        <v>N/A</v>
      </c>
      <c r="AG4" s="19" t="s">
        <v>60</v>
      </c>
      <c r="AH4" s="19">
        <v>1</v>
      </c>
      <c r="AI4" s="12"/>
      <c r="AJ4" s="12"/>
      <c r="AK4" s="12"/>
      <c r="AL4" s="26" t="s">
        <v>81</v>
      </c>
    </row>
    <row r="5" spans="1:38" s="1" customFormat="1" ht="15.6" customHeight="1" x14ac:dyDescent="0.3">
      <c r="A5" s="1" t="s">
        <v>82</v>
      </c>
      <c r="B5" s="1" t="s">
        <v>83</v>
      </c>
      <c r="C5" s="6" t="s">
        <v>64</v>
      </c>
      <c r="D5" s="7" t="s">
        <v>41</v>
      </c>
      <c r="E5" s="8" t="s">
        <v>84</v>
      </c>
      <c r="F5" s="9" t="s">
        <v>85</v>
      </c>
      <c r="G5" s="7" t="s">
        <v>67</v>
      </c>
      <c r="H5" s="10" t="s">
        <v>45</v>
      </c>
      <c r="I5" s="11" t="str">
        <f t="shared" si="0"/>
        <v>BelgiumNine TwentyFiveTwelve</v>
      </c>
      <c r="J5" s="12">
        <f t="shared" ca="1" si="1"/>
        <v>45818</v>
      </c>
      <c r="K5" s="13" t="s">
        <v>46</v>
      </c>
      <c r="L5" s="14" t="s">
        <v>47</v>
      </c>
      <c r="M5" s="15" t="s">
        <v>48</v>
      </c>
      <c r="N5" s="16" t="s">
        <v>49</v>
      </c>
      <c r="O5" s="15" t="s">
        <v>50</v>
      </c>
      <c r="P5" s="13">
        <v>751</v>
      </c>
      <c r="Q5" s="17">
        <v>35</v>
      </c>
      <c r="R5" s="18" t="s">
        <v>72</v>
      </c>
      <c r="S5" s="19">
        <v>5</v>
      </c>
      <c r="T5" s="13" t="s">
        <v>47</v>
      </c>
      <c r="U5" s="13" t="s">
        <v>52</v>
      </c>
      <c r="V5" s="20" t="s">
        <v>53</v>
      </c>
      <c r="W5" s="15" t="s">
        <v>54</v>
      </c>
      <c r="X5" s="13" t="s">
        <v>55</v>
      </c>
      <c r="Y5" s="21" t="s">
        <v>56</v>
      </c>
      <c r="Z5" s="22">
        <f t="shared" ca="1" si="2"/>
        <v>45878</v>
      </c>
      <c r="AA5" s="19" t="s">
        <v>47</v>
      </c>
      <c r="AB5" s="12">
        <f t="shared" ca="1" si="3"/>
        <v>45817</v>
      </c>
      <c r="AC5" s="18" t="s">
        <v>57</v>
      </c>
      <c r="AD5" s="23" t="s">
        <v>58</v>
      </c>
      <c r="AE5" s="20" t="s">
        <v>59</v>
      </c>
      <c r="AF5" s="24" t="str">
        <f t="shared" si="4"/>
        <v>N/A</v>
      </c>
      <c r="AG5" s="19" t="s">
        <v>60</v>
      </c>
      <c r="AH5" s="19">
        <v>1</v>
      </c>
      <c r="AI5" s="12"/>
      <c r="AJ5" s="12"/>
      <c r="AK5" s="12"/>
      <c r="AL5" s="26" t="s">
        <v>86</v>
      </c>
    </row>
    <row r="6" spans="1:38" s="1" customFormat="1" ht="15.6" customHeight="1" x14ac:dyDescent="0.3">
      <c r="A6" s="1" t="s">
        <v>87</v>
      </c>
      <c r="B6" s="1" t="s">
        <v>47</v>
      </c>
      <c r="C6" s="27" t="s">
        <v>40</v>
      </c>
      <c r="D6" s="7" t="s">
        <v>41</v>
      </c>
      <c r="E6" s="8" t="s">
        <v>88</v>
      </c>
      <c r="F6" s="9" t="s">
        <v>89</v>
      </c>
      <c r="G6" s="7" t="s">
        <v>67</v>
      </c>
      <c r="H6" s="10" t="s">
        <v>45</v>
      </c>
      <c r="I6" s="11" t="str">
        <f t="shared" si="0"/>
        <v>BelgiumTen TwentyFiveTwelve</v>
      </c>
      <c r="J6" s="12">
        <f t="shared" ca="1" si="1"/>
        <v>45818</v>
      </c>
      <c r="K6" s="13" t="s">
        <v>46</v>
      </c>
      <c r="L6" s="14" t="s">
        <v>47</v>
      </c>
      <c r="M6" s="15" t="s">
        <v>70</v>
      </c>
      <c r="N6" s="16" t="s">
        <v>49</v>
      </c>
      <c r="O6" s="15" t="s">
        <v>80</v>
      </c>
      <c r="P6" s="13">
        <v>751</v>
      </c>
      <c r="Q6" s="17">
        <v>30</v>
      </c>
      <c r="R6" s="18" t="s">
        <v>51</v>
      </c>
      <c r="S6" s="19">
        <v>5</v>
      </c>
      <c r="T6" s="22">
        <f ca="1">J6+180</f>
        <v>45998</v>
      </c>
      <c r="U6" s="13" t="s">
        <v>52</v>
      </c>
      <c r="V6" s="20" t="s">
        <v>53</v>
      </c>
      <c r="W6" s="15" t="s">
        <v>90</v>
      </c>
      <c r="X6" s="13" t="s">
        <v>55</v>
      </c>
      <c r="Y6" s="21" t="s">
        <v>56</v>
      </c>
      <c r="Z6" s="22">
        <f t="shared" ca="1" si="2"/>
        <v>45878</v>
      </c>
      <c r="AA6" s="12">
        <f ca="1">T6</f>
        <v>45998</v>
      </c>
      <c r="AB6" s="12">
        <f t="shared" ca="1" si="3"/>
        <v>45817</v>
      </c>
      <c r="AC6" s="18" t="s">
        <v>57</v>
      </c>
      <c r="AD6" s="23" t="s">
        <v>58</v>
      </c>
      <c r="AE6" s="20" t="s">
        <v>70</v>
      </c>
      <c r="AF6" s="24">
        <f t="shared" ca="1" si="4"/>
        <v>45998</v>
      </c>
      <c r="AG6" s="19" t="s">
        <v>60</v>
      </c>
      <c r="AH6" s="19">
        <v>1</v>
      </c>
      <c r="AI6" s="12"/>
      <c r="AJ6" s="12"/>
      <c r="AK6" s="12"/>
      <c r="AL6" s="26" t="s">
        <v>91</v>
      </c>
    </row>
    <row r="7" spans="1:38" s="1" customFormat="1" ht="15.6" customHeight="1" x14ac:dyDescent="0.3">
      <c r="A7" s="1" t="s">
        <v>92</v>
      </c>
      <c r="B7" s="1" t="s">
        <v>93</v>
      </c>
      <c r="C7" s="6" t="s">
        <v>64</v>
      </c>
      <c r="D7" s="7" t="s">
        <v>41</v>
      </c>
      <c r="E7" s="8" t="s">
        <v>94</v>
      </c>
      <c r="F7" s="9" t="s">
        <v>95</v>
      </c>
      <c r="G7" s="7" t="s">
        <v>67</v>
      </c>
      <c r="H7" s="10" t="s">
        <v>68</v>
      </c>
      <c r="I7" s="11" t="str">
        <f t="shared" si="0"/>
        <v>BelgiumEleven TwentyFiveTwelve</v>
      </c>
      <c r="J7" s="12">
        <f t="shared" ca="1" si="1"/>
        <v>45818</v>
      </c>
      <c r="K7" s="13" t="s">
        <v>46</v>
      </c>
      <c r="L7" s="14" t="s">
        <v>96</v>
      </c>
      <c r="M7" s="15" t="s">
        <v>48</v>
      </c>
      <c r="N7" s="16" t="s">
        <v>71</v>
      </c>
      <c r="O7" s="15" t="s">
        <v>80</v>
      </c>
      <c r="P7" s="13">
        <v>751</v>
      </c>
      <c r="Q7" s="17">
        <v>20</v>
      </c>
      <c r="R7" s="18" t="s">
        <v>51</v>
      </c>
      <c r="S7" s="19">
        <v>5</v>
      </c>
      <c r="T7" s="13" t="s">
        <v>47</v>
      </c>
      <c r="U7" s="13" t="s">
        <v>52</v>
      </c>
      <c r="V7" s="20" t="s">
        <v>73</v>
      </c>
      <c r="W7" s="15">
        <v>251</v>
      </c>
      <c r="X7" s="13" t="s">
        <v>55</v>
      </c>
      <c r="Y7" s="21" t="s">
        <v>56</v>
      </c>
      <c r="Z7" s="22">
        <f t="shared" ca="1" si="2"/>
        <v>45878</v>
      </c>
      <c r="AA7" s="19" t="s">
        <v>47</v>
      </c>
      <c r="AB7" s="12">
        <f t="shared" ca="1" si="3"/>
        <v>45817</v>
      </c>
      <c r="AC7" s="18" t="s">
        <v>57</v>
      </c>
      <c r="AD7" s="23" t="s">
        <v>58</v>
      </c>
      <c r="AE7" s="20" t="s">
        <v>59</v>
      </c>
      <c r="AF7" s="24" t="str">
        <f t="shared" si="4"/>
        <v>N/A</v>
      </c>
      <c r="AG7" s="19" t="s">
        <v>60</v>
      </c>
      <c r="AH7" s="19">
        <v>1</v>
      </c>
      <c r="AI7" s="12"/>
      <c r="AJ7" s="12"/>
      <c r="AK7" s="12"/>
      <c r="AL7" s="26" t="s">
        <v>81</v>
      </c>
    </row>
    <row r="8" spans="1:38" s="1" customFormat="1" ht="15.6" customHeight="1" x14ac:dyDescent="0.3">
      <c r="A8" s="1" t="s">
        <v>97</v>
      </c>
      <c r="B8" s="1" t="s">
        <v>98</v>
      </c>
      <c r="C8" s="6" t="s">
        <v>64</v>
      </c>
      <c r="D8" s="7" t="s">
        <v>41</v>
      </c>
      <c r="E8" s="8" t="s">
        <v>99</v>
      </c>
      <c r="F8" s="9" t="s">
        <v>100</v>
      </c>
      <c r="G8" s="7" t="s">
        <v>67</v>
      </c>
      <c r="H8" s="10" t="s">
        <v>45</v>
      </c>
      <c r="I8" s="11" t="str">
        <f t="shared" si="0"/>
        <v>BelgiumTwelve TwentyFiveTwelve</v>
      </c>
      <c r="J8" s="12">
        <f t="shared" ca="1" si="1"/>
        <v>45818</v>
      </c>
      <c r="K8" s="13" t="s">
        <v>46</v>
      </c>
      <c r="L8" s="14" t="s">
        <v>47</v>
      </c>
      <c r="M8" s="15" t="s">
        <v>48</v>
      </c>
      <c r="N8" s="16" t="s">
        <v>49</v>
      </c>
      <c r="O8" s="15" t="s">
        <v>50</v>
      </c>
      <c r="P8" s="13">
        <v>751</v>
      </c>
      <c r="Q8" s="17">
        <v>35</v>
      </c>
      <c r="R8" s="18" t="s">
        <v>72</v>
      </c>
      <c r="S8" s="19">
        <v>5</v>
      </c>
      <c r="T8" s="13" t="s">
        <v>47</v>
      </c>
      <c r="U8" s="13" t="s">
        <v>52</v>
      </c>
      <c r="V8" s="20" t="s">
        <v>53</v>
      </c>
      <c r="W8" s="15" t="s">
        <v>54</v>
      </c>
      <c r="X8" s="13" t="s">
        <v>55</v>
      </c>
      <c r="Y8" s="21" t="s">
        <v>56</v>
      </c>
      <c r="Z8" s="22">
        <f t="shared" ca="1" si="2"/>
        <v>45878</v>
      </c>
      <c r="AA8" s="19" t="s">
        <v>47</v>
      </c>
      <c r="AB8" s="12">
        <f t="shared" ca="1" si="3"/>
        <v>45817</v>
      </c>
      <c r="AC8" s="18" t="s">
        <v>57</v>
      </c>
      <c r="AD8" s="23" t="s">
        <v>58</v>
      </c>
      <c r="AE8" s="20" t="s">
        <v>59</v>
      </c>
      <c r="AF8" s="24" t="str">
        <f t="shared" si="4"/>
        <v>N/A</v>
      </c>
      <c r="AG8" s="19" t="s">
        <v>60</v>
      </c>
      <c r="AH8" s="19">
        <v>1</v>
      </c>
      <c r="AI8" s="12"/>
      <c r="AJ8" s="12"/>
      <c r="AK8" s="12"/>
      <c r="AL8" s="26" t="s">
        <v>86</v>
      </c>
    </row>
    <row r="9" spans="1:38" s="1" customFormat="1" ht="15.6" customHeight="1" x14ac:dyDescent="0.3">
      <c r="A9" s="1" t="s">
        <v>101</v>
      </c>
      <c r="B9" s="8" t="s">
        <v>102</v>
      </c>
      <c r="C9" s="6" t="s">
        <v>64</v>
      </c>
      <c r="D9" s="7" t="s">
        <v>41</v>
      </c>
      <c r="E9" s="8" t="s">
        <v>103</v>
      </c>
      <c r="F9" s="9" t="s">
        <v>104</v>
      </c>
      <c r="G9" s="7" t="s">
        <v>67</v>
      </c>
      <c r="H9" s="10" t="s">
        <v>45</v>
      </c>
      <c r="I9" s="11" t="str">
        <f t="shared" si="0"/>
        <v>BelgiumThirteen TwentyFiveTwelve</v>
      </c>
      <c r="J9" s="12">
        <f t="shared" ca="1" si="1"/>
        <v>45818</v>
      </c>
      <c r="K9" s="13" t="s">
        <v>46</v>
      </c>
      <c r="L9" s="14" t="s">
        <v>47</v>
      </c>
      <c r="M9" s="15" t="s">
        <v>70</v>
      </c>
      <c r="N9" s="16" t="s">
        <v>49</v>
      </c>
      <c r="O9" s="15" t="s">
        <v>80</v>
      </c>
      <c r="P9" s="13">
        <v>751</v>
      </c>
      <c r="Q9" s="17">
        <v>30</v>
      </c>
      <c r="R9" s="18" t="s">
        <v>51</v>
      </c>
      <c r="S9" s="19">
        <v>5</v>
      </c>
      <c r="T9" s="22">
        <f ca="1">J9+180</f>
        <v>45998</v>
      </c>
      <c r="U9" s="13" t="s">
        <v>52</v>
      </c>
      <c r="V9" s="20" t="s">
        <v>53</v>
      </c>
      <c r="W9" s="15" t="s">
        <v>90</v>
      </c>
      <c r="X9" s="13" t="s">
        <v>55</v>
      </c>
      <c r="Y9" s="21" t="s">
        <v>56</v>
      </c>
      <c r="Z9" s="22">
        <f t="shared" ca="1" si="2"/>
        <v>45878</v>
      </c>
      <c r="AA9" s="12">
        <f ca="1">T9</f>
        <v>45998</v>
      </c>
      <c r="AB9" s="12">
        <f t="shared" ca="1" si="3"/>
        <v>45817</v>
      </c>
      <c r="AC9" s="18" t="s">
        <v>57</v>
      </c>
      <c r="AD9" s="23" t="s">
        <v>58</v>
      </c>
      <c r="AE9" s="20" t="s">
        <v>70</v>
      </c>
      <c r="AF9" s="24">
        <f t="shared" ca="1" si="4"/>
        <v>45998</v>
      </c>
      <c r="AG9" s="19" t="s">
        <v>60</v>
      </c>
      <c r="AH9" s="19">
        <v>1</v>
      </c>
      <c r="AI9" s="12"/>
      <c r="AJ9" s="12"/>
      <c r="AK9" s="12"/>
      <c r="AL9" s="26" t="s">
        <v>91</v>
      </c>
    </row>
    <row r="10" spans="1:38" s="1" customFormat="1" ht="15.6" customHeight="1" x14ac:dyDescent="0.25"/>
    <row r="11" spans="1:38" s="1" customFormat="1" ht="15.6" customHeight="1" x14ac:dyDescent="0.25"/>
    <row r="12" spans="1:38" s="1" customFormat="1" ht="15.6" customHeight="1" x14ac:dyDescent="0.25"/>
    <row r="13" spans="1:38" s="1" customFormat="1" ht="15.6" customHeight="1" x14ac:dyDescent="0.25"/>
    <row r="14" spans="1:38" s="1" customFormat="1" ht="15.6" customHeight="1" x14ac:dyDescent="0.25"/>
    <row r="15" spans="1:38" s="1" customFormat="1" ht="15.6" customHeight="1" x14ac:dyDescent="0.25"/>
    <row r="16" spans="1:38" s="1" customFormat="1" ht="15.6" customHeight="1" x14ac:dyDescent="0.25"/>
    <row r="17" s="1" customFormat="1" ht="15.6" customHeight="1" x14ac:dyDescent="0.25"/>
    <row r="18" s="1" customFormat="1" ht="15.6" customHeight="1" x14ac:dyDescent="0.25"/>
  </sheetData>
  <dataValidations count="1">
    <dataValidation type="list" allowBlank="1" showInputMessage="1" showErrorMessage="1" sqref="AD2:AD9 P2:P9 K2:K9" xr:uid="{00000000-0002-0000-0000-000000000000}">
      <formula1>INDIRECT($D2)</formula1>
    </dataValidation>
  </dataValidation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2025-06-13T11:07:48Z</dcterms:modified>
</cp:coreProperties>
</file>