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<sst xmlns="http://schemas.openxmlformats.org/spreadsheetml/2006/main" count="148" uniqueCount="76">
  <si>
    <t>TestCaseIDs</t>
  </si>
  <si>
    <t>Error</t>
  </si>
  <si>
    <t>TestStatus</t>
  </si>
  <si>
    <t>Country</t>
  </si>
  <si>
    <t>EmployeeID</t>
  </si>
  <si>
    <t>GivenName</t>
  </si>
  <si>
    <t>FamilyName</t>
  </si>
  <si>
    <t>PostalCode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</si>
  <si>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</si>
  <si>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</si>
  <si>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</si>
  <si>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</si>
  <si>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</si>
  <si>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</si>
  <si>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</si>
  <si>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</si>
  <si>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</si>
  <si>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</si>
  <si>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</si>
  <si>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</si>
  <si>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</si>
  <si>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</si>
  <si>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</si>
  <si>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</si>
  <si>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</si>
  <si>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</si>
  <si>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</si>
  <si>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AllowanceAmount</t>
  </si>
  <si>
    <t>ProbationEndDate</t>
  </si>
  <si>
    <t>ContractStartDate</t>
  </si>
  <si>
    <t>DateEmployeeSigned</t>
  </si>
  <si>
    <t>Status</t>
  </si>
  <si>
    <t>ContractType</t>
  </si>
  <si>
    <t>ContractEndDate</t>
  </si>
  <si>
    <t>Salary</t>
  </si>
  <si>
    <t>Test_1</t>
  </si>
  <si>
    <t>N/A</t>
  </si>
  <si>
    <t>Passed</t>
  </si>
  <si>
    <t>Czechia</t>
  </si>
  <si>
    <t>10699518</t>
  </si>
  <si>
    <t>Virgil</t>
  </si>
  <si>
    <t>Walker</t>
  </si>
  <si>
    <t>00001</t>
  </si>
  <si>
    <t>895 Retail Team 1 (Sepap Pusube (10573442) (Inherited))</t>
  </si>
  <si>
    <t>ReHire</t>
  </si>
  <si>
    <t>No</t>
  </si>
  <si>
    <t>Permanent</t>
  </si>
  <si>
    <t>Retail Assistant_NEW</t>
  </si>
  <si>
    <t>Full time</t>
  </si>
  <si>
    <t>895 Prague Wenceslas SQ</t>
  </si>
  <si>
    <t>Defaulted</t>
  </si>
  <si>
    <t>5 Days</t>
  </si>
  <si>
    <t>Automation Comments here….</t>
  </si>
  <si>
    <t>94 Retail Operative</t>
  </si>
  <si>
    <t>07 Footwear</t>
  </si>
  <si>
    <t>Please select a Czech Republic Pay Group</t>
  </si>
  <si>
    <t>CZ Monthly</t>
  </si>
  <si>
    <t>Active</t>
  </si>
  <si>
    <t>Employee Agreement</t>
  </si>
  <si>
    <t>Test_2</t>
  </si>
  <si>
    <t>10699387</t>
  </si>
  <si>
    <t>Margie</t>
  </si>
  <si>
    <t>Schaefer</t>
  </si>
  <si>
    <t>895 Store Management (Sepap Pusube (10573442))</t>
  </si>
  <si>
    <t>Auto 48025675</t>
  </si>
  <si>
    <t>Department Manager_NEW</t>
  </si>
  <si>
    <t>92 Retail Management</t>
  </si>
  <si>
    <t>251 Management Retail</t>
  </si>
  <si>
    <t>Test_3</t>
  </si>
  <si>
    <t>N/a</t>
  </si>
  <si>
    <t>Rudolph</t>
  </si>
  <si>
    <t>Ziemann</t>
  </si>
  <si>
    <t>Test_4</t>
  </si>
  <si>
    <t>Wade</t>
  </si>
  <si>
    <t>Hessel</t>
  </si>
  <si>
    <t>Auto 82186124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</si>
</sst>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9" x14ac:knownFonts="1">
    <font>
      <color theme="1"/>
      <family val="2"/>
      <scheme val="minor"/>
      <sz val="11"/>
      <name val="Calibri"/>
    </font>
    <font>
      <color indexed="8"/>
      <family val="2"/>
      <sz val="11"/>
      <name val="Calibri"/>
    </font>
    <font>
      <color theme="1"/>
      <family val="2"/>
      <sz val="14"/>
      <name val="Arial"/>
    </font>
    <font>
      <family val="2"/>
      <scheme val="minor"/>
      <sz val="11"/>
      <name val="Calibri"/>
    </font>
    <font>
      <color rgb="FF040C28"/>
      <family val="2"/>
      <sz val="14"/>
      <name val="Arial"/>
    </font>
    <font>
      <color theme="1"/>
      <family val="1"/>
      <sz val="10"/>
      <name val="Times New Roman"/>
    </font>
    <font>
      <color rgb="FF4A4A4A"/>
      <family val="2"/>
      <sz val="14"/>
      <name val="Arial"/>
    </font>
    <font>
      <color rgb="FFFF0000"/>
      <family val="2"/>
      <sz val="14"/>
      <name val="Arial"/>
    </font>
    <font>
      <color indexed="8"/>
      <family val="2"/>
      <sz val="14"/>
      <name val="Arial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2" fillId="0" borderId="2" xfId="0" applyFont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2" fillId="6" borderId="2" xfId="0" applyFont="1" applyFill="1" applyBorder="1"/>
    <xf numFmtId="0" fontId="4" fillId="0" borderId="0" xfId="0" applyFont="1" applyAlignment="1">
      <alignment horizontal="left"/>
    </xf>
    <xf numFmtId="0" fontId="5" fillId="7" borderId="2" xfId="0" applyFont="1" applyFill="1" applyBorder="1" applyAlignment="1">
      <alignment vertical="center" wrapText="1"/>
    </xf>
    <xf numFmtId="0" fontId="0" fillId="0" borderId="2" xfId="0" applyBorder="1"/>
    <xf numFmtId="14" fontId="2" fillId="4" borderId="0" xfId="0" applyNumberFormat="1" applyFont="1" applyFill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14" fontId="7" fillId="4" borderId="0" xfId="0" applyNumberFormat="1" applyFont="1" applyFill="1" applyAlignment="1">
      <alignment horizontal="left"/>
    </xf>
    <xf numFmtId="0" fontId="8" fillId="8" borderId="2" xfId="0" applyFont="1" applyFill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2" fillId="7" borderId="2" xfId="0" applyFont="1" applyFill="1" applyBorder="1" applyAlignment="1" applyProtection="1">
      <alignment horizontal="left"/>
      <protection locked="0"/>
    </xf>
    <xf numFmtId="0" fontId="2" fillId="7" borderId="2" xfId="0" applyFont="1" applyFill="1" applyBorder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workbookViewId="0" zoomScale="85" zoomScaleNormal="85">
      <selection activeCell="C4" sqref="C4"/>
    </sheetView>
  </sheetViews>
  <sheetFormatPr defaultRowHeight="15.65" outlineLevelRow="1" outlineLevelCol="0" x14ac:dyDescent="0.35" customHeight="1"/>
  <cols>
    <col min="1" max="1" width="10.90625" style="1" customWidth="1"/>
    <col min="2" max="2" width="10.81640625" style="1" customWidth="1"/>
    <col min="3" max="3" width="40.1796875" style="1" customWidth="1"/>
    <col min="4" max="4" width="29.81640625" style="1" customWidth="1"/>
    <col min="5" max="5" width="21" style="1" customWidth="1"/>
    <col min="6" max="6" width="32.453125" style="1" customWidth="1"/>
    <col min="7" max="8" width="24.453125" style="1" customWidth="1"/>
    <col min="9" max="9" width="48.6328125" style="1" customWidth="1"/>
    <col min="10" max="10" width="36.81640625" style="1" customWidth="1"/>
    <col min="11" max="11" width="10.90625" style="1" customWidth="1"/>
    <col min="12" max="12" width="7" style="1" customWidth="1"/>
    <col min="13" max="13" width="7.54296875" style="1" customWidth="1"/>
    <col min="14" max="14" width="13" style="1" customWidth="1"/>
    <col min="15" max="15" width="74" style="2" customWidth="1"/>
    <col min="16" max="16" width="8.90625" style="1" customWidth="1"/>
    <col min="17" max="17" width="8.08984375" style="1" customWidth="1"/>
    <col min="18" max="18" width="20.54296875" style="1" customWidth="1"/>
    <col min="19" max="19" width="31.08984375" style="1" customWidth="1"/>
    <col min="20" max="20" width="9.1796875" style="1" customWidth="1"/>
    <col min="21" max="21" width="18.54296875" style="1" customWidth="1"/>
    <col min="22" max="22" width="26.453125" style="1" customWidth="1"/>
    <col min="23" max="23" width="16.81640625" style="1" customWidth="1"/>
    <col min="24" max="24" width="17" style="1" customWidth="1"/>
    <col min="25" max="25" width="29.36328125" style="1" customWidth="1"/>
    <col min="26" max="26" width="20.90625" style="1" customWidth="1"/>
    <col min="27" max="27" width="16" style="2" customWidth="1"/>
    <col min="28" max="28" width="16" style="1" customWidth="1"/>
    <col min="29" max="29" width="18.54296875" style="1" customWidth="1"/>
    <col min="30" max="30" width="19" style="1" customWidth="1"/>
    <col min="31" max="31" width="6" style="1" customWidth="1"/>
    <col min="32" max="32" width="12.81640625" style="1" customWidth="1"/>
    <col min="33" max="33" width="15.08984375" style="1" customWidth="1"/>
    <col min="34" max="34" width="9" style="1" customWidth="1"/>
    <col min="35" max="35" width="17.54296875" customWidth="1"/>
    <col min="36" max="36" width="22.453125" style="1" customWidth="1"/>
    <col min="37" max="37" width="17.81640625" style="1" customWidth="1"/>
    <col min="38" max="38" width="5.90625" style="1" customWidth="1"/>
    <col min="39" max="39" width="15.08984375" style="1" customWidth="1"/>
    <col min="40" max="40" width="7" style="1" customWidth="1"/>
    <col min="41" max="41" width="10.81640625" style="1" customWidth="1"/>
    <col min="42" max="42" width="13.54296875" style="1" customWidth="1"/>
    <col min="43" max="43" width="20.1796875" style="1" customWidth="1"/>
    <col min="44" max="44" width="9.90625" style="1" customWidth="1"/>
    <col min="45" max="45" width="11.90625" style="1" customWidth="1"/>
    <col min="46" max="46" width="15.90625" style="1" customWidth="1"/>
    <col min="47" max="47" width="15" style="1" customWidth="1"/>
    <col min="48" max="48" width="16.36328125" style="2" customWidth="1"/>
    <col min="49" max="49" width="53.6328125" style="2" customWidth="1"/>
    <col min="50" max="50" width="23.81640625" style="2" customWidth="1"/>
    <col min="51" max="51" width="9" style="1" customWidth="1"/>
    <col min="52" max="52" width="30.08984375" style="1" customWidth="1"/>
    <col min="53" max="53" width="20.36328125" style="1" customWidth="1"/>
    <col min="54" max="54" width="14.453125" style="1" customWidth="1"/>
    <col min="55" max="55" width="17.08984375" style="1" customWidth="1"/>
    <col min="56" max="56" width="11.54296875" style="1" customWidth="1"/>
    <col min="57" max="57" width="15.453125" style="1" customWidth="1"/>
    <col min="58" max="59" width="11.08984375" style="1" customWidth="1"/>
    <col min="60" max="60" width="16.6328125" style="1" customWidth="1"/>
    <col min="61" max="61" width="18.08984375" style="1" customWidth="1"/>
    <col min="62" max="62" width="17.08984375" style="1" customWidth="1"/>
    <col min="63" max="63" width="16.54296875" style="1" customWidth="1"/>
    <col min="64" max="64" width="16.08984375" customWidth="1"/>
  </cols>
  <sheetData>
    <row r="1" ht="14.5" customHeight="1" spans="1:36" s="1" customFormat="1" x14ac:dyDescent="0.25" outlineLevel="1" collapsed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3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3" t="s">
        <v>11</v>
      </c>
      <c r="AG1" s="3" t="s">
        <v>31</v>
      </c>
      <c r="AH1" s="3" t="s">
        <v>32</v>
      </c>
      <c r="AI1" s="3" t="s">
        <v>33</v>
      </c>
      <c r="AJ1" s="3" t="s">
        <v>34</v>
      </c>
    </row>
    <row r="2" ht="15.65" customHeight="1" spans="1:36" s="1" customFormat="1" x14ac:dyDescent="0.25">
      <c r="A2" s="1" t="s">
        <v>35</v>
      </c>
      <c r="B2" s="1" t="s">
        <v>36</v>
      </c>
      <c r="C2" s="7" t="s">
        <v>37</v>
      </c>
      <c r="D2" s="8" t="s">
        <v>38</v>
      </c>
      <c r="E2" s="7" t="s">
        <v>39</v>
      </c>
      <c r="F2" s="9" t="s">
        <v>40</v>
      </c>
      <c r="G2" s="10" t="s">
        <v>41</v>
      </c>
      <c r="H2" s="11" t="s">
        <v>42</v>
      </c>
      <c r="I2" s="12" t="s">
        <v>43</v>
      </c>
      <c r="J2" s="13" t="str">
        <f>F2&amp;" "&amp;G2</f>
        <v>Virgil Walker</v>
      </c>
      <c r="K2" s="14">
        <f>TODAY()-1</f>
        <v>45852</v>
      </c>
      <c r="L2" s="15" t="s">
        <v>44</v>
      </c>
      <c r="M2" s="16" t="s">
        <v>45</v>
      </c>
      <c r="N2" s="17" t="s">
        <v>46</v>
      </c>
      <c r="O2" s="18" t="s">
        <v>47</v>
      </c>
      <c r="P2" s="17" t="s">
        <v>48</v>
      </c>
      <c r="Q2" s="19" t="s">
        <v>49</v>
      </c>
      <c r="R2" s="20" t="s">
        <v>34</v>
      </c>
      <c r="S2" s="21">
        <v>40</v>
      </c>
      <c r="T2" s="17" t="s">
        <v>50</v>
      </c>
      <c r="U2" s="17" t="s">
        <v>51</v>
      </c>
      <c r="V2" s="22" t="s">
        <v>36</v>
      </c>
      <c r="W2" s="15" t="s">
        <v>52</v>
      </c>
      <c r="X2" s="15" t="s">
        <v>53</v>
      </c>
      <c r="Y2" t="s">
        <v>54</v>
      </c>
      <c r="Z2" s="23" t="s">
        <v>55</v>
      </c>
      <c r="AA2" s="23" t="s">
        <v>56</v>
      </c>
      <c r="AB2" s="20">
        <v>100</v>
      </c>
      <c r="AC2" s="14">
        <f>K2+90</f>
        <v>45942</v>
      </c>
      <c r="AD2" s="14">
        <f>K2</f>
        <v>45852</v>
      </c>
      <c r="AE2" s="16">
        <f>K2-5</f>
        <v>45847</v>
      </c>
      <c r="AF2" s="16" t="s">
        <v>36</v>
      </c>
      <c r="AG2" s="24" t="s">
        <v>57</v>
      </c>
      <c r="AH2" s="16" t="s">
        <v>58</v>
      </c>
      <c r="AI2" s="25" t="s">
        <v>36</v>
      </c>
      <c r="AJ2" s="26" t="s">
        <v>50</v>
      </c>
    </row>
    <row r="3" ht="15.65" customHeight="1" spans="1:36" s="1" customFormat="1" x14ac:dyDescent="0.25">
      <c r="A3" s="1" t="s">
        <v>59</v>
      </c>
      <c r="B3" s="1" t="s">
        <v>36</v>
      </c>
      <c r="C3" s="7" t="s">
        <v>37</v>
      </c>
      <c r="D3" s="8" t="s">
        <v>38</v>
      </c>
      <c r="E3" s="7" t="s">
        <v>60</v>
      </c>
      <c r="F3" s="1" t="s">
        <v>61</v>
      </c>
      <c r="G3" s="1" t="s">
        <v>62</v>
      </c>
      <c r="H3" s="11" t="s">
        <v>42</v>
      </c>
      <c r="I3" s="12" t="s">
        <v>63</v>
      </c>
      <c r="J3" s="13" t="str">
        <f>F3&amp;" "&amp;G3</f>
        <v>Margie Schaefer</v>
      </c>
      <c r="K3" s="14">
        <f>TODAY()-1</f>
        <v>45852</v>
      </c>
      <c r="L3" s="15" t="s">
        <v>44</v>
      </c>
      <c r="M3" s="16" t="s">
        <v>64</v>
      </c>
      <c r="N3" s="17" t="s">
        <v>46</v>
      </c>
      <c r="O3" s="18" t="s">
        <v>65</v>
      </c>
      <c r="P3" s="17" t="s">
        <v>48</v>
      </c>
      <c r="Q3" s="19" t="s">
        <v>49</v>
      </c>
      <c r="R3" s="20" t="s">
        <v>34</v>
      </c>
      <c r="S3" s="21">
        <v>40</v>
      </c>
      <c r="T3" s="17" t="s">
        <v>50</v>
      </c>
      <c r="U3" s="17" t="s">
        <v>51</v>
      </c>
      <c r="V3" s="22" t="s">
        <v>36</v>
      </c>
      <c r="W3" s="15" t="s">
        <v>52</v>
      </c>
      <c r="X3" s="27" t="s">
        <v>66</v>
      </c>
      <c r="Y3" s="28" t="s">
        <v>67</v>
      </c>
      <c r="Z3" s="23" t="s">
        <v>55</v>
      </c>
      <c r="AA3" s="23" t="s">
        <v>56</v>
      </c>
      <c r="AB3" s="20">
        <v>100</v>
      </c>
      <c r="AC3" s="14">
        <f>K3+90</f>
        <v>45942</v>
      </c>
      <c r="AD3" s="14">
        <f>K3</f>
        <v>45852</v>
      </c>
      <c r="AE3" s="16">
        <f>K3-5</f>
        <v>45847</v>
      </c>
      <c r="AF3" s="16" t="s">
        <v>36</v>
      </c>
      <c r="AG3" s="24" t="s">
        <v>57</v>
      </c>
      <c r="AH3" s="16" t="s">
        <v>58</v>
      </c>
      <c r="AI3" s="25" t="s">
        <v>36</v>
      </c>
      <c r="AJ3" s="26" t="s">
        <v>50</v>
      </c>
    </row>
    <row r="4" ht="15.65" customHeight="1" spans="1:36" s="1" customFormat="1" x14ac:dyDescent="0.25">
      <c r="A4" s="1" t="s">
        <v>68</v>
      </c>
      <c r="B4" s="29" t="s">
        <v>69</v>
      </c>
      <c r="C4" s="7" t="s">
        <v>37</v>
      </c>
      <c r="D4" s="8" t="s">
        <v>38</v>
      </c>
      <c r="E4" s="7">
        <v>10700186</v>
      </c>
      <c r="F4" s="9" t="s">
        <v>70</v>
      </c>
      <c r="G4" s="10" t="s">
        <v>71</v>
      </c>
      <c r="H4" s="11" t="s">
        <v>42</v>
      </c>
      <c r="I4" s="12" t="s">
        <v>43</v>
      </c>
      <c r="J4" s="13" t="str">
        <f>F4&amp;" "&amp;G4</f>
        <v>Rudolph Ziemann</v>
      </c>
      <c r="K4" s="14">
        <f>TODAY()-1</f>
        <v>45852</v>
      </c>
      <c r="L4" s="15" t="s">
        <v>44</v>
      </c>
      <c r="M4" s="16" t="s">
        <v>45</v>
      </c>
      <c r="N4" s="17" t="s">
        <v>46</v>
      </c>
      <c r="O4" s="18" t="s">
        <v>47</v>
      </c>
      <c r="P4" s="17" t="s">
        <v>48</v>
      </c>
      <c r="Q4" s="19" t="s">
        <v>49</v>
      </c>
      <c r="R4" s="20" t="s">
        <v>34</v>
      </c>
      <c r="S4" s="21">
        <v>40</v>
      </c>
      <c r="T4" s="17" t="s">
        <v>50</v>
      </c>
      <c r="U4" s="17" t="s">
        <v>51</v>
      </c>
      <c r="V4" s="22" t="s">
        <v>36</v>
      </c>
      <c r="W4" s="15" t="s">
        <v>52</v>
      </c>
      <c r="X4" s="15" t="s">
        <v>53</v>
      </c>
      <c r="Y4" t="s">
        <v>54</v>
      </c>
      <c r="Z4" s="23" t="s">
        <v>55</v>
      </c>
      <c r="AA4" s="23" t="s">
        <v>56</v>
      </c>
      <c r="AB4" s="20">
        <v>100</v>
      </c>
      <c r="AC4" s="14">
        <f>K4+90</f>
        <v>45942</v>
      </c>
      <c r="AD4" s="14">
        <f>K4</f>
        <v>45852</v>
      </c>
      <c r="AE4" s="16">
        <f>K4-5</f>
        <v>45847</v>
      </c>
      <c r="AF4" s="16" t="s">
        <v>36</v>
      </c>
      <c r="AG4" s="24" t="s">
        <v>57</v>
      </c>
      <c r="AH4" s="16" t="s">
        <v>58</v>
      </c>
      <c r="AI4" s="25" t="s">
        <v>36</v>
      </c>
      <c r="AJ4" s="26" t="s">
        <v>50</v>
      </c>
    </row>
    <row r="5" ht="15.65" customHeight="1" spans="1:36" x14ac:dyDescent="0.25">
      <c r="A5" s="1" t="s">
        <v>72</v>
      </c>
      <c r="D5" s="8" t="s">
        <v>38</v>
      </c>
      <c r="E5" s="7">
        <v>10700187</v>
      </c>
      <c r="F5" s="1" t="s">
        <v>73</v>
      </c>
      <c r="G5" s="1" t="s">
        <v>74</v>
      </c>
      <c r="H5" s="11" t="s">
        <v>42</v>
      </c>
      <c r="I5" s="12" t="s">
        <v>63</v>
      </c>
      <c r="J5" s="13" t="str">
        <f>F5&amp;" "&amp;G5</f>
        <v> </v>
      </c>
      <c r="K5" s="14">
        <f>TODAY()-1</f>
        <v>45852</v>
      </c>
      <c r="L5" s="15" t="s">
        <v>44</v>
      </c>
      <c r="M5" s="16" t="s">
        <v>75</v>
      </c>
      <c r="N5" s="17" t="s">
        <v>46</v>
      </c>
      <c r="O5" s="18" t="s">
        <v>65</v>
      </c>
      <c r="P5" s="17" t="s">
        <v>48</v>
      </c>
      <c r="Q5" s="19" t="s">
        <v>49</v>
      </c>
      <c r="R5" s="20" t="s">
        <v>34</v>
      </c>
      <c r="S5" s="21">
        <v>40</v>
      </c>
      <c r="T5" s="17" t="s">
        <v>50</v>
      </c>
      <c r="U5" s="17" t="s">
        <v>51</v>
      </c>
      <c r="V5" s="22" t="s">
        <v>36</v>
      </c>
      <c r="W5" s="15" t="s">
        <v>52</v>
      </c>
      <c r="X5" s="27" t="s">
        <v>66</v>
      </c>
      <c r="Y5" s="28" t="s">
        <v>67</v>
      </c>
      <c r="Z5" s="23" t="s">
        <v>55</v>
      </c>
      <c r="AA5" s="23" t="s">
        <v>56</v>
      </c>
      <c r="AB5" s="20">
        <v>100</v>
      </c>
      <c r="AC5" s="14">
        <f>K5+90</f>
        <v>45942</v>
      </c>
      <c r="AD5" s="14">
        <f>K5</f>
        <v>45852</v>
      </c>
      <c r="AE5" s="16">
        <f>K5-5</f>
        <v>45847</v>
      </c>
      <c r="AF5" s="16" t="s">
        <v>36</v>
      </c>
      <c r="AG5" s="24" t="s">
        <v>57</v>
      </c>
      <c r="AH5" s="16" t="s">
        <v>58</v>
      </c>
      <c r="AI5" s="25" t="s">
        <v>36</v>
      </c>
      <c r="AJ5" s="26" t="s">
        <v>50</v>
      </c>
    </row>
    <row r="11" ht="15.65" customHeight="1" spans="10:10" x14ac:dyDescent="0.25">
      <c r="J11" s="5"/>
    </row>
  </sheetData>
  <dataValidations count="2">
    <dataValidation type="list" allowBlank="1" showInputMessage="1" showErrorMessage="1" sqref="AG2:AG5">
      <formula1>INDIRECT($E2)</formula1>
    </dataValidation>
    <dataValidation type="list" allowBlank="1" showInputMessage="1" showErrorMessage="1" sqref="L2:L5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2025-07-15T10:34:08Z</dcterms:modified>
</cp:coreProperties>
</file>