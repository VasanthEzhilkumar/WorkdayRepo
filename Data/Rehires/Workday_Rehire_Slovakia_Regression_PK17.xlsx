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Test_Data" state="visible" r:id="rId4"/>
  </sheets>
  <calcPr calcId="171027"/>
</workbook>
</file>

<file path=xl/sharedStrings.xml><?xml version="1.0" encoding="utf-8"?>
<sst xmlns="http://schemas.openxmlformats.org/spreadsheetml/2006/main" count="129" uniqueCount="76">
  <si>
    <t>TestCaseIDs</t>
  </si>
  <si>
    <t>Error</t>
  </si>
  <si>
    <t>TestStatus</t>
  </si>
  <si>
    <t>Country</t>
  </si>
  <si>
    <t>EmployeeID</t>
  </si>
  <si>
    <t>GivenName</t>
  </si>
  <si>
    <t>FamilyName</t>
  </si>
  <si>
    <t>SupervisoryOrganisation</t>
  </si>
  <si>
    <t>ExistingPreHire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</si>
  <si>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</si>
  <si>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</si>
  <si>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</si>
  <si>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</si>
  <si>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</si>
  <si>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</si>
  <si>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</si>
  <si>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</si>
  <si>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</si>
  <si>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</si>
  <si>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</si>
  <si>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</si>
  <si>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</si>
  <si>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</si>
  <si>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ProposedPayGroupInitial</t>
  </si>
  <si>
    <t>ProposedPayGroupFinal</t>
  </si>
  <si>
    <t>ProbationEndDate</t>
  </si>
  <si>
    <t>ContractStartDate</t>
  </si>
  <si>
    <t>DateEmployeeSigned</t>
  </si>
  <si>
    <t>ContractReason</t>
  </si>
  <si>
    <t>Status</t>
  </si>
  <si>
    <t>ContractType</t>
  </si>
  <si>
    <t>ContractEndDate</t>
  </si>
  <si>
    <t>Salary</t>
  </si>
  <si>
    <t>AddendumNumber</t>
  </si>
  <si>
    <t>AddendumEffectiveDate</t>
  </si>
  <si>
    <t>AddendumEndDate</t>
  </si>
  <si>
    <t>AddendumCreationDate</t>
  </si>
  <si>
    <t>GradeProfile</t>
  </si>
  <si>
    <t>Step</t>
  </si>
  <si>
    <t>DefaultWeeklyHours</t>
  </si>
  <si>
    <t>Test_1</t>
  </si>
  <si>
    <t>N/A</t>
  </si>
  <si>
    <t>Passed</t>
  </si>
  <si>
    <t>Slovakia</t>
  </si>
  <si>
    <t>10699805</t>
  </si>
  <si>
    <t>Angelita</t>
  </si>
  <si>
    <t>Fritsch</t>
  </si>
  <si>
    <t>870 Store Management (Wazup Zudimi (9581610))</t>
  </si>
  <si>
    <t>ReHire</t>
  </si>
  <si>
    <t>Auto 76295242</t>
  </si>
  <si>
    <t>Permanent</t>
  </si>
  <si>
    <t>Store Manager_NEW</t>
  </si>
  <si>
    <t>Full Time</t>
  </si>
  <si>
    <t>870 Bratislava Eurovea II</t>
  </si>
  <si>
    <t>2 - 2 (Slovakia Degree of Labour Difficulty-Slovakia)@5249999</t>
  </si>
  <si>
    <t>5 Days (Slovakia)</t>
  </si>
  <si>
    <t>Automation Comments here….</t>
  </si>
  <si>
    <t>251 Management Retail</t>
  </si>
  <si>
    <t>Please select a Slovakia Pay Group</t>
  </si>
  <si>
    <t>SK Monthly</t>
  </si>
  <si>
    <t>Defaulted</t>
  </si>
  <si>
    <t>Main</t>
  </si>
  <si>
    <t>Active</t>
  </si>
  <si>
    <t>Indefinite</t>
  </si>
  <si>
    <t>Test_2</t>
  </si>
  <si>
    <t xml:space="preserve">Test failed for 'Elfrieda Abshire' Employee:{10699807}TimeoutError: locator.click: Timeout 30000ms exceeded.
Call log:
  [2m- waiting for locator('text=Add Worker\'s Bank Details: Hire: Elfrieda Abshire')[22m
</t>
  </si>
  <si>
    <t>Failed</t>
  </si>
  <si>
    <t>10699807</t>
  </si>
  <si>
    <t>Elfrieda</t>
  </si>
  <si>
    <t>Abshire</t>
  </si>
  <si>
    <t>Auto 43240260</t>
  </si>
  <si>
    <t xml:space="preserve">Test failed for 'Kiel Krajcik' Employee:{10699808}TimeoutError: locator.click: Timeout 30000ms exceeded.
Call log:
  [2m- waiting for locator('//label[contains(.,\'Hire Date\')]/parent::div/following-sibling::div/descendant::input[@data-automation-id=\'dateSectionDay-input\']')[22m
</t>
  </si>
  <si>
    <t>10699808</t>
  </si>
  <si>
    <t>Kiel</t>
  </si>
  <si>
    <t>Krajcik</t>
  </si>
  <si>
    <t>Auto 54710167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</si>
</sst>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6" x14ac:knownFonts="1">
    <font>
      <color theme="1"/>
      <family val="2"/>
      <scheme val="minor"/>
      <sz val="11"/>
      <name val="Calibri"/>
    </font>
    <font>
      <color indexed="8"/>
      <family val="2"/>
      <sz val="11"/>
      <name val="Calibri"/>
    </font>
    <font>
      <family val="2"/>
      <scheme val="minor"/>
      <sz val="11"/>
      <name val="Calibri"/>
    </font>
    <font>
      <color theme="1"/>
      <family val="2"/>
      <sz val="14"/>
      <name val="Arial"/>
    </font>
    <font>
      <color rgb="FFFF0000"/>
      <family val="2"/>
      <scheme val="minor"/>
      <sz val="11"/>
      <name val="Calibri"/>
    </font>
    <font>
      <color rgb="FF444444"/>
      <family val="2"/>
      <scheme val="minor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0" borderId="2" xfId="0" applyBorder="1" applyAlignment="1">
      <alignment horizontal="left"/>
    </xf>
    <xf numFmtId="0" fontId="2" fillId="7" borderId="2" xfId="0" applyFont="1" applyFill="1" applyBorder="1" applyAlignment="1">
      <alignment horizontal="left"/>
    </xf>
    <xf numFmtId="0" fontId="3" fillId="7" borderId="2" xfId="0" applyFont="1" applyFill="1" applyBorder="1"/>
    <xf numFmtId="0" fontId="4" fillId="0" borderId="2" xfId="0" applyFont="1" applyBorder="1"/>
    <xf numFmtId="0" fontId="0" fillId="0" borderId="2" xfId="0" applyBorder="1"/>
    <xf numFmtId="14" fontId="0" fillId="0" borderId="2" xfId="0" applyNumberFormat="1" applyBorder="1" applyAlignment="1">
      <alignment horizontal="left"/>
    </xf>
    <xf numFmtId="0" fontId="0" fillId="0" borderId="2" xfId="0" applyBorder="1" applyAlignment="1" applyProtection="1">
      <alignment horizontal="left"/>
      <protection locked="0"/>
    </xf>
    <xf numFmtId="0" fontId="5" fillId="0" borderId="0" xfId="0" applyFont="1"/>
    <xf numFmtId="0" fontId="2" fillId="0" borderId="2" xfId="0" applyFont="1" applyBorder="1" applyAlignment="1">
      <alignment horizontal="left"/>
    </xf>
    <xf numFmtId="0" fontId="0" fillId="0" borderId="2" xfId="0" applyBorder="1" applyAlignment="1">
      <alignment vertical="center"/>
    </xf>
    <xf numFmtId="0" fontId="0" fillId="0" borderId="2" xfId="0" applyBorder="1" applyProtection="1">
      <protection locked="0"/>
    </xf>
    <xf numFmtId="164" fontId="0" fillId="0" borderId="2" xfId="0" applyNumberFormat="1" applyBorder="1" applyAlignment="1">
      <alignment horizontal="left"/>
    </xf>
    <xf numFmtId="0" fontId="0" fillId="8" borderId="2" xfId="0" applyFill="1" applyBorder="1" applyAlignment="1">
      <alignment horizontal="left"/>
    </xf>
    <xf numFmtId="14" fontId="0" fillId="8" borderId="2" xfId="0" applyNumberForma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"/>
  <sheetViews>
    <sheetView workbookViewId="0" zoomScale="115" zoomScaleNormal="115">
      <selection activeCell="F2" sqref="F2"/>
    </sheetView>
  </sheetViews>
  <sheetFormatPr defaultRowHeight="15.65" outlineLevelRow="1" outlineLevelCol="0" x14ac:dyDescent="0.35" customHeight="1"/>
  <cols>
    <col min="1" max="1" width="10.90625" style="1" customWidth="1"/>
    <col min="2" max="2" width="10.81640625" style="1" customWidth="1"/>
    <col min="3" max="3" width="9.453125" style="1" customWidth="1"/>
    <col min="4" max="4" width="7.54296875" style="1" customWidth="1"/>
    <col min="5" max="5" width="21" style="1" customWidth="1"/>
    <col min="6" max="6" width="32.453125" style="1" customWidth="1"/>
    <col min="7" max="7" width="24.453125" style="1" customWidth="1"/>
    <col min="8" max="8" width="48.6328125" style="1" customWidth="1"/>
    <col min="9" max="9" width="36.81640625" style="1" customWidth="1"/>
    <col min="10" max="10" width="10.90625" style="1" customWidth="1"/>
    <col min="11" max="11" width="7" style="1" customWidth="1"/>
    <col min="12" max="12" width="7.54296875" style="1" customWidth="1"/>
    <col min="13" max="13" width="13" style="1" customWidth="1"/>
    <col min="14" max="14" width="18.6328125" style="2" customWidth="1"/>
    <col min="15" max="15" width="8.90625" style="1" customWidth="1"/>
    <col min="16" max="16" width="8.08984375" style="1" customWidth="1"/>
    <col min="17" max="17" width="20.54296875" style="1" customWidth="1"/>
    <col min="18" max="18" width="31.08984375" style="1" customWidth="1"/>
    <col min="19" max="19" width="9.1796875" style="1" customWidth="1"/>
    <col min="20" max="20" width="18.54296875" style="1" customWidth="1"/>
    <col min="21" max="21" width="26.453125" style="1" customWidth="1"/>
    <col min="22" max="22" width="16.81640625" style="1" customWidth="1"/>
    <col min="23" max="23" width="17" style="1" customWidth="1"/>
    <col min="24" max="24" width="29.36328125" style="1" customWidth="1"/>
    <col min="25" max="25" width="20.90625" style="1" customWidth="1"/>
    <col min="26" max="26" width="16" style="2" customWidth="1"/>
    <col min="27" max="27" width="16" style="1" customWidth="1"/>
    <col min="28" max="28" width="18.54296875" style="1" customWidth="1"/>
    <col min="29" max="29" width="19" style="1" customWidth="1"/>
    <col min="30" max="30" width="6" style="1" customWidth="1"/>
    <col min="31" max="31" width="12.81640625" style="1" customWidth="1"/>
    <col min="32" max="32" width="15.08984375" style="1" customWidth="1"/>
    <col min="33" max="33" width="9" style="1" customWidth="1"/>
    <col min="34" max="34" width="16.81640625" style="1" customWidth="1"/>
    <col min="35" max="35" width="21" style="1" customWidth="1"/>
    <col min="36" max="36" width="17" style="1" customWidth="1"/>
    <col min="37" max="37" width="21" style="1" customWidth="1"/>
    <col min="38" max="38" width="17.54296875" customWidth="1"/>
    <col min="39" max="40" width="22.453125" style="1" customWidth="1"/>
    <col min="41" max="41" width="18.1796875" style="1" customWidth="1"/>
    <col min="42" max="42" width="17.81640625" style="1" customWidth="1"/>
    <col min="43" max="43" width="5.90625" style="1" customWidth="1"/>
    <col min="44" max="44" width="15.08984375" style="1" customWidth="1"/>
    <col min="45" max="45" width="7" style="1" customWidth="1"/>
    <col min="46" max="46" width="10.81640625" style="1" customWidth="1"/>
    <col min="47" max="47" width="13.54296875" style="1" customWidth="1"/>
    <col min="48" max="48" width="20.1796875" style="1" customWidth="1"/>
    <col min="49" max="49" width="9.90625" style="1" customWidth="1"/>
    <col min="50" max="50" width="11.90625" style="1" customWidth="1"/>
    <col min="51" max="51" width="15.90625" style="1" customWidth="1"/>
    <col min="52" max="52" width="15" style="1" customWidth="1"/>
    <col min="53" max="53" width="16.36328125" style="2" customWidth="1"/>
    <col min="54" max="54" width="53.6328125" style="2" customWidth="1"/>
    <col min="55" max="55" width="23.81640625" style="2" customWidth="1"/>
    <col min="56" max="56" width="9" style="1" customWidth="1"/>
    <col min="57" max="57" width="30.08984375" style="1" customWidth="1"/>
    <col min="58" max="58" width="20.36328125" style="1" customWidth="1"/>
    <col min="59" max="59" width="14.453125" style="1" customWidth="1"/>
    <col min="60" max="60" width="17.08984375" style="1" customWidth="1"/>
    <col min="61" max="61" width="11.54296875" style="1" customWidth="1"/>
    <col min="62" max="62" width="15.453125" style="1" customWidth="1"/>
    <col min="63" max="64" width="11.08984375" style="1" customWidth="1"/>
    <col min="65" max="65" width="16.6328125" style="1" customWidth="1"/>
    <col min="66" max="66" width="18.08984375" style="1" customWidth="1"/>
    <col min="67" max="67" width="17.08984375" style="1" customWidth="1"/>
    <col min="68" max="68" width="16.54296875" style="1" customWidth="1"/>
    <col min="69" max="69" width="16.08984375" customWidth="1"/>
  </cols>
  <sheetData>
    <row r="1" ht="14.5" customHeight="1" spans="1:40" s="1" customFormat="1" x14ac:dyDescent="0.25" outlineLevel="1" collapsed="1">
      <c r="A1" s="2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4" t="s">
        <v>6</v>
      </c>
      <c r="H1" s="3" t="s">
        <v>7</v>
      </c>
      <c r="I1" s="5" t="s">
        <v>8</v>
      </c>
      <c r="J1" s="5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5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6" t="s">
        <v>37</v>
      </c>
      <c r="AM1" s="6" t="s">
        <v>38</v>
      </c>
      <c r="AN1" s="6" t="s">
        <v>39</v>
      </c>
    </row>
    <row r="2" ht="15.65" customHeight="1" spans="1:40" s="1" customFormat="1" x14ac:dyDescent="0.25">
      <c r="A2" s="1" t="s">
        <v>40</v>
      </c>
      <c r="B2" s="1" t="s">
        <v>41</v>
      </c>
      <c r="C2" s="7" t="s">
        <v>42</v>
      </c>
      <c r="D2" s="8" t="s">
        <v>43</v>
      </c>
      <c r="E2" s="1" t="s">
        <v>44</v>
      </c>
      <c r="F2" s="9" t="s">
        <v>45</v>
      </c>
      <c r="G2" s="10" t="s">
        <v>46</v>
      </c>
      <c r="H2" s="11" t="s">
        <v>47</v>
      </c>
      <c r="I2" s="12" t="str">
        <f>F2&amp;" "&amp;G2</f>
        <v>Angelita Fritsch</v>
      </c>
      <c r="J2" s="13">
        <f>TODAY()-1</f>
        <v>45827</v>
      </c>
      <c r="K2" s="14" t="s">
        <v>48</v>
      </c>
      <c r="L2" s="13" t="s">
        <v>49</v>
      </c>
      <c r="M2" s="13" t="s">
        <v>50</v>
      </c>
      <c r="N2" s="15" t="s">
        <v>51</v>
      </c>
      <c r="O2" s="13" t="s">
        <v>52</v>
      </c>
      <c r="P2" s="16" t="s">
        <v>53</v>
      </c>
      <c r="Q2" s="8">
        <v>40</v>
      </c>
      <c r="R2" s="17" t="s">
        <v>54</v>
      </c>
      <c r="S2" s="8" t="s">
        <v>55</v>
      </c>
      <c r="T2" s="14" t="s">
        <v>41</v>
      </c>
      <c r="U2" s="14" t="s">
        <v>56</v>
      </c>
      <c r="V2" s="14">
        <v>92</v>
      </c>
      <c r="W2" s="13" t="s">
        <v>57</v>
      </c>
      <c r="X2" s="14" t="s">
        <v>58</v>
      </c>
      <c r="Y2" s="14" t="s">
        <v>59</v>
      </c>
      <c r="Z2" s="8" t="s">
        <v>60</v>
      </c>
      <c r="AA2" s="8" t="s">
        <v>60</v>
      </c>
      <c r="AB2" s="13">
        <f>J2</f>
        <v>45827</v>
      </c>
      <c r="AC2" s="12" t="s">
        <v>61</v>
      </c>
      <c r="AD2" s="18" t="s">
        <v>62</v>
      </c>
      <c r="AE2" s="13" t="s">
        <v>63</v>
      </c>
      <c r="AF2" s="19">
        <f>T2</f>
        <v>NaN</v>
      </c>
      <c r="AG2" s="8" t="s">
        <v>60</v>
      </c>
      <c r="AH2" s="20">
        <v>1</v>
      </c>
      <c r="AI2" s="21">
        <f>TODAY()-29</f>
        <v>45799</v>
      </c>
      <c r="AJ2" s="21" t="s">
        <v>41</v>
      </c>
      <c r="AK2" s="21">
        <f>TODAY()-30</f>
        <v>45798</v>
      </c>
      <c r="AL2" s="22" t="s">
        <v>41</v>
      </c>
      <c r="AM2" s="22" t="s">
        <v>41</v>
      </c>
      <c r="AN2" s="1">
        <v>40</v>
      </c>
    </row>
    <row r="3" ht="15.65" customHeight="1" spans="1:40" s="1" customFormat="1" x14ac:dyDescent="0.25">
      <c r="A3" s="1" t="s">
        <v>64</v>
      </c>
      <c r="B3" s="23" t="s">
        <v>65</v>
      </c>
      <c r="C3" s="7" t="s">
        <v>66</v>
      </c>
      <c r="D3" s="8" t="s">
        <v>43</v>
      </c>
      <c r="E3" s="1" t="s">
        <v>67</v>
      </c>
      <c r="F3" s="9" t="s">
        <v>68</v>
      </c>
      <c r="G3" s="10" t="s">
        <v>69</v>
      </c>
      <c r="H3" s="11" t="s">
        <v>47</v>
      </c>
      <c r="I3" s="12" t="str">
        <f>F3&amp;" "&amp;G3</f>
        <v>Elfrieda Abshire</v>
      </c>
      <c r="J3" s="13">
        <f>TODAY()-1</f>
        <v>45827</v>
      </c>
      <c r="K3" s="14" t="s">
        <v>48</v>
      </c>
      <c r="L3" s="13" t="s">
        <v>70</v>
      </c>
      <c r="M3" s="13" t="s">
        <v>50</v>
      </c>
      <c r="N3" s="15" t="s">
        <v>51</v>
      </c>
      <c r="O3" s="13" t="s">
        <v>52</v>
      </c>
      <c r="P3" s="16" t="s">
        <v>53</v>
      </c>
      <c r="Q3" s="8">
        <v>40</v>
      </c>
      <c r="R3" s="17" t="s">
        <v>54</v>
      </c>
      <c r="S3" s="8" t="s">
        <v>55</v>
      </c>
      <c r="T3" s="14" t="s">
        <v>41</v>
      </c>
      <c r="U3" s="14" t="s">
        <v>56</v>
      </c>
      <c r="V3" s="14">
        <v>92</v>
      </c>
      <c r="W3" s="13" t="s">
        <v>57</v>
      </c>
      <c r="X3" s="14" t="s">
        <v>58</v>
      </c>
      <c r="Y3" s="14" t="s">
        <v>59</v>
      </c>
      <c r="Z3" s="8" t="s">
        <v>60</v>
      </c>
      <c r="AA3" s="8" t="s">
        <v>60</v>
      </c>
      <c r="AB3" s="13">
        <f>J3</f>
        <v>45827</v>
      </c>
      <c r="AC3" s="12" t="s">
        <v>61</v>
      </c>
      <c r="AD3" s="18" t="s">
        <v>62</v>
      </c>
      <c r="AE3" s="13" t="s">
        <v>63</v>
      </c>
      <c r="AF3" s="19">
        <f>T3</f>
        <v>NaN</v>
      </c>
      <c r="AG3" s="8" t="s">
        <v>60</v>
      </c>
      <c r="AH3" s="20">
        <v>1</v>
      </c>
      <c r="AI3" s="21">
        <f>TODAY()-29</f>
        <v>45799</v>
      </c>
      <c r="AJ3" s="21" t="s">
        <v>41</v>
      </c>
      <c r="AK3" s="21">
        <f>TODAY()-30</f>
        <v>45798</v>
      </c>
      <c r="AL3" s="22" t="s">
        <v>41</v>
      </c>
      <c r="AM3" s="22" t="s">
        <v>41</v>
      </c>
      <c r="AN3" s="1">
        <v>40</v>
      </c>
    </row>
    <row r="4" ht="15.65" customHeight="1" spans="2:40" s="1" customFormat="1" x14ac:dyDescent="0.25">
      <c r="B4" s="1" t="s">
        <v>71</v>
      </c>
      <c r="C4" s="7" t="s">
        <v>66</v>
      </c>
      <c r="D4" s="8" t="s">
        <v>43</v>
      </c>
      <c r="E4" s="1" t="s">
        <v>72</v>
      </c>
      <c r="F4" s="9" t="s">
        <v>73</v>
      </c>
      <c r="G4" s="10" t="s">
        <v>74</v>
      </c>
      <c r="H4" s="11" t="s">
        <v>47</v>
      </c>
      <c r="I4" s="12" t="str">
        <f>F4&amp;" "&amp;G4</f>
        <v>Kiel Krajcik</v>
      </c>
      <c r="J4" s="13">
        <f>TODAY()-1</f>
        <v>45827</v>
      </c>
      <c r="K4" s="14" t="s">
        <v>48</v>
      </c>
      <c r="L4" s="13" t="s">
        <v>75</v>
      </c>
      <c r="M4" s="13" t="s">
        <v>50</v>
      </c>
      <c r="N4" s="15" t="s">
        <v>51</v>
      </c>
      <c r="O4" s="13" t="s">
        <v>52</v>
      </c>
      <c r="P4" s="16" t="s">
        <v>53</v>
      </c>
      <c r="Q4" s="8">
        <v>40</v>
      </c>
      <c r="R4" s="17" t="s">
        <v>54</v>
      </c>
      <c r="S4" s="8" t="s">
        <v>55</v>
      </c>
      <c r="T4" s="14" t="s">
        <v>41</v>
      </c>
      <c r="U4" s="14" t="s">
        <v>56</v>
      </c>
      <c r="V4" s="14">
        <v>92</v>
      </c>
      <c r="W4" s="13" t="s">
        <v>57</v>
      </c>
      <c r="X4" s="14" t="s">
        <v>58</v>
      </c>
      <c r="Y4" s="14" t="s">
        <v>59</v>
      </c>
      <c r="Z4" s="8" t="s">
        <v>60</v>
      </c>
      <c r="AA4" s="8" t="s">
        <v>60</v>
      </c>
      <c r="AB4" s="13">
        <f>J4</f>
        <v>45827</v>
      </c>
      <c r="AC4" s="12" t="s">
        <v>61</v>
      </c>
      <c r="AD4" s="18" t="s">
        <v>62</v>
      </c>
      <c r="AE4" s="13" t="s">
        <v>63</v>
      </c>
      <c r="AF4" s="19">
        <f>T4</f>
        <v>NaN</v>
      </c>
      <c r="AG4" s="8" t="s">
        <v>60</v>
      </c>
      <c r="AH4" s="20">
        <v>1</v>
      </c>
      <c r="AI4" s="21">
        <f>TODAY()-29</f>
        <v>45799</v>
      </c>
      <c r="AJ4" s="21" t="s">
        <v>41</v>
      </c>
      <c r="AK4" s="21">
        <f>TODAY()-30</f>
        <v>45798</v>
      </c>
      <c r="AL4" s="22" t="s">
        <v>41</v>
      </c>
      <c r="AM4" s="22" t="s">
        <v>41</v>
      </c>
      <c r="AN4" s="1">
        <v>40</v>
      </c>
    </row>
    <row r="5" ht="15.65" customHeight="1" spans="32:32" s="1" customFormat="1" x14ac:dyDescent="0.25">
      <c r="AF5" s="2"/>
    </row>
    <row r="6" ht="15.65" customHeight="1" spans="32:32" s="1" customFormat="1" x14ac:dyDescent="0.25">
      <c r="AF6" s="2"/>
    </row>
  </sheetData>
  <dataValidations count="3">
    <dataValidation type="list" allowBlank="1" showInputMessage="1" showErrorMessage="1" sqref="AD2:AD4">
      <formula1>INDIRECT($F2)</formula1>
    </dataValidation>
    <dataValidation type="list" allowBlank="1" showInputMessage="1" showErrorMessage="1" sqref="K2:K4">
      <formula1>INDIRECT($F2)</formula1>
    </dataValidation>
    <dataValidation type="list" allowBlank="1" showInputMessage="1" showErrorMessage="1" sqref="T2:T4">
      <formula1>INDIRECT($F2)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2025-06-20T09:07:45Z</dcterms:modified>
</cp:coreProperties>
</file>