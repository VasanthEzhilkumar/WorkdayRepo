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5FD46B6E-A355-4ABA-A118-A3A2D3C1EAC1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AA6" i="1" s="1"/>
  <c r="I6" i="1"/>
  <c r="J5" i="1"/>
  <c r="AA5" i="1" s="1"/>
  <c r="I5" i="1"/>
  <c r="J4" i="1"/>
  <c r="AA4" i="1" s="1"/>
  <c r="I4" i="1"/>
  <c r="J3" i="1"/>
  <c r="AA3" i="1" s="1"/>
  <c r="I3" i="1"/>
  <c r="J2" i="1"/>
  <c r="AA2" i="1" s="1"/>
  <c r="I2" i="1"/>
</calcChain>
</file>

<file path=xl/sharedStrings.xml><?xml version="1.0" encoding="utf-8"?>
<sst xmlns="http://schemas.openxmlformats.org/spreadsheetml/2006/main" count="173" uniqueCount="77">
  <si>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</si>
  <si>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</si>
  <si>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</si>
  <si>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</si>
  <si>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</si>
  <si>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</si>
  <si>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</si>
  <si>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</si>
  <si>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</si>
  <si>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</si>
  <si>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</si>
  <si>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</si>
  <si>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</si>
  <si>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</si>
  <si>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</si>
  <si>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</si>
  <si>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</si>
  <si>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</si>
  <si>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</si>
  <si>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</si>
  <si>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</si>
  <si>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</si>
  <si>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</si>
  <si>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</si>
  <si>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</si>
  <si>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</si>
  <si>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</si>
  <si>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</si>
  <si>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</si>
  <si>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</si>
  <si>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</si>
  <si>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</si>
  <si>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</si>
  <si>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Test1</t>
  </si>
  <si>
    <t>N/A</t>
  </si>
  <si>
    <t>Passed</t>
  </si>
  <si>
    <t>Poland</t>
  </si>
  <si>
    <t>10698560</t>
  </si>
  <si>
    <t>PolandOne</t>
  </si>
  <si>
    <t>TwentyFiveJuneSixteen</t>
  </si>
  <si>
    <t>765 Store Management (Jizur Buzese (10226524))</t>
  </si>
  <si>
    <t>ReHire</t>
  </si>
  <si>
    <t>Auto 45697559</t>
  </si>
  <si>
    <t>Permanent</t>
  </si>
  <si>
    <t>Store Manager_NEW</t>
  </si>
  <si>
    <t>Full time</t>
  </si>
  <si>
    <t>RE024_NEW</t>
  </si>
  <si>
    <t>5 Days (Poland)</t>
  </si>
  <si>
    <t>Automation Comments here….</t>
  </si>
  <si>
    <t xml:space="preserve">92 Retail Management </t>
  </si>
  <si>
    <t xml:space="preserve">251 Management Retail </t>
  </si>
  <si>
    <t>Please select a Poland Pay Group</t>
  </si>
  <si>
    <t>PL Monthly</t>
  </si>
  <si>
    <t>for the purposes of performing work during the term of office</t>
  </si>
  <si>
    <t>Active</t>
  </si>
  <si>
    <t>Open-ended</t>
  </si>
  <si>
    <t>Defaulted</t>
  </si>
  <si>
    <t>Test2</t>
  </si>
  <si>
    <t>10698561</t>
  </si>
  <si>
    <t>PolandTwo</t>
  </si>
  <si>
    <t>765 Retail Team 1 (Jizur Buzese (10226524) (Inherited))</t>
  </si>
  <si>
    <t>No</t>
  </si>
  <si>
    <t>Retail Assistant_NEW</t>
  </si>
  <si>
    <t xml:space="preserve">RE029_NEW2 </t>
  </si>
  <si>
    <t>94 Retail Operative</t>
  </si>
  <si>
    <t>16 Mens Accessories</t>
  </si>
  <si>
    <t>Test3</t>
  </si>
  <si>
    <t>PolandSix</t>
  </si>
  <si>
    <t>Auto 32755888</t>
  </si>
  <si>
    <t>Department Manager_NEW</t>
  </si>
  <si>
    <t>Test4</t>
  </si>
  <si>
    <t>PolandFive</t>
  </si>
  <si>
    <t>Test5</t>
  </si>
  <si>
    <t>10698571</t>
  </si>
  <si>
    <t>PolandFourteen</t>
  </si>
  <si>
    <t>10698564</t>
  </si>
  <si>
    <t>10698563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</si>
</sst>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color indexed="63"/>
      <name val="Arial"/>
      <family val="2"/>
    </font>
    <font>
      <sz val="14"/>
      <color rgb="FFFF0000"/>
      <name val="Arial"/>
      <family val="2"/>
    </font>
    <font>
      <sz val="14"/>
      <color rgb="FF4A4A4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1" fillId="4" borderId="2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2" xfId="0" applyBorder="1"/>
    <xf numFmtId="14" fontId="2" fillId="5" borderId="0" xfId="0" applyNumberFormat="1" applyFont="1" applyFill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14" fontId="5" fillId="5" borderId="0" xfId="0" applyNumberFormat="1" applyFont="1" applyFill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>
      <alignment horizontal="left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 applyProtection="1">
      <alignment horizontal="left" wrapText="1"/>
      <protection locked="0"/>
    </xf>
    <xf numFmtId="0" fontId="6" fillId="0" borderId="0" xfId="0" applyFont="1"/>
    <xf numFmtId="0" fontId="1" fillId="0" borderId="2" xfId="0" applyFont="1" applyBorder="1" applyAlignment="1">
      <alignment vertical="top"/>
    </xf>
    <xf numFmtId="0" fontId="1" fillId="0" borderId="2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"/>
  <sheetViews>
    <sheetView tabSelected="1" zoomScale="115" zoomScaleNormal="115" workbookViewId="0">
      <selection activeCell="C10" sqref="C10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4.10937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4.3320312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4" width="16.77734375" style="1" customWidth="1"/>
    <col min="35" max="35" width="21" style="1" customWidth="1"/>
    <col min="36" max="36" width="17" style="1" customWidth="1"/>
    <col min="37" max="37" width="21" style="1" customWidth="1"/>
    <col min="38" max="38" width="17.5546875" customWidth="1"/>
    <col min="39" max="40" width="22.44140625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</cols>
  <sheetData>
    <row r="1" spans="1:33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1" customFormat="1" ht="15.6" customHeight="1" x14ac:dyDescent="0.3">
      <c r="A2" s="1" t="s">
        <v>33</v>
      </c>
      <c r="B2" s="1" t="s">
        <v>34</v>
      </c>
      <c r="C2" s="4" t="s">
        <v>35</v>
      </c>
      <c r="D2" s="5" t="s">
        <v>36</v>
      </c>
      <c r="E2" s="6" t="s">
        <v>37</v>
      </c>
      <c r="F2" s="7" t="s">
        <v>38</v>
      </c>
      <c r="G2" s="7" t="s">
        <v>39</v>
      </c>
      <c r="H2" s="7" t="s">
        <v>40</v>
      </c>
      <c r="I2" s="8" t="str">
        <f>F2&amp;" "&amp;G2</f>
        <v>PolandOne TwentyFiveJuneSixteen</v>
      </c>
      <c r="J2" s="9">
        <f ca="1">TODAY()-1</f>
        <v>45826</v>
      </c>
      <c r="K2" s="10" t="s">
        <v>41</v>
      </c>
      <c r="L2" s="11" t="s">
        <v>42</v>
      </c>
      <c r="M2" s="12" t="s">
        <v>43</v>
      </c>
      <c r="N2" s="13" t="s">
        <v>44</v>
      </c>
      <c r="O2" s="14" t="s">
        <v>45</v>
      </c>
      <c r="P2" s="15">
        <v>765</v>
      </c>
      <c r="Q2" s="16">
        <v>40</v>
      </c>
      <c r="R2" s="12" t="s">
        <v>46</v>
      </c>
      <c r="S2" s="14" t="s">
        <v>47</v>
      </c>
      <c r="T2" s="17" t="s">
        <v>34</v>
      </c>
      <c r="U2" s="10" t="s">
        <v>48</v>
      </c>
      <c r="V2" s="18" t="s">
        <v>49</v>
      </c>
      <c r="W2" t="s">
        <v>50</v>
      </c>
      <c r="X2" s="19" t="s">
        <v>51</v>
      </c>
      <c r="Y2" s="19" t="s">
        <v>52</v>
      </c>
      <c r="Z2" s="9" t="s">
        <v>34</v>
      </c>
      <c r="AA2" s="9">
        <f ca="1">J2</f>
        <v>45826</v>
      </c>
      <c r="AB2" s="11" t="s">
        <v>34</v>
      </c>
      <c r="AC2" s="11" t="s">
        <v>53</v>
      </c>
      <c r="AD2" s="20" t="s">
        <v>54</v>
      </c>
      <c r="AE2" s="11" t="s">
        <v>55</v>
      </c>
      <c r="AF2" s="21" t="s">
        <v>34</v>
      </c>
      <c r="AG2" s="22" t="s">
        <v>56</v>
      </c>
    </row>
    <row r="3" spans="1:33" s="1" customFormat="1" ht="15.6" customHeight="1" x14ac:dyDescent="0.3">
      <c r="A3" s="1" t="s">
        <v>57</v>
      </c>
      <c r="B3" s="1" t="s">
        <v>34</v>
      </c>
      <c r="C3" s="4" t="s">
        <v>35</v>
      </c>
      <c r="D3" s="5" t="s">
        <v>36</v>
      </c>
      <c r="E3" s="6" t="s">
        <v>58</v>
      </c>
      <c r="F3" s="7" t="s">
        <v>59</v>
      </c>
      <c r="G3" s="7" t="s">
        <v>39</v>
      </c>
      <c r="H3" s="7" t="s">
        <v>60</v>
      </c>
      <c r="I3" s="8" t="str">
        <f t="shared" ref="I3:I6" si="0">F3&amp;" "&amp;G3</f>
        <v>PolandTwo TwentyFiveJuneSixteen</v>
      </c>
      <c r="J3" s="9">
        <f ca="1">TODAY()-1</f>
        <v>45826</v>
      </c>
      <c r="K3" s="10" t="s">
        <v>41</v>
      </c>
      <c r="L3" s="11" t="s">
        <v>61</v>
      </c>
      <c r="M3" s="12" t="s">
        <v>43</v>
      </c>
      <c r="N3" s="13" t="s">
        <v>62</v>
      </c>
      <c r="O3" s="12" t="s">
        <v>45</v>
      </c>
      <c r="P3" s="23">
        <v>765</v>
      </c>
      <c r="Q3" s="24">
        <v>40</v>
      </c>
      <c r="R3" s="12" t="s">
        <v>63</v>
      </c>
      <c r="S3" s="12" t="s">
        <v>47</v>
      </c>
      <c r="T3" s="17" t="s">
        <v>34</v>
      </c>
      <c r="U3" s="10" t="s">
        <v>48</v>
      </c>
      <c r="V3" s="18" t="s">
        <v>64</v>
      </c>
      <c r="W3" t="s">
        <v>65</v>
      </c>
      <c r="X3" s="19" t="s">
        <v>51</v>
      </c>
      <c r="Y3" s="19" t="s">
        <v>52</v>
      </c>
      <c r="Z3" s="9" t="s">
        <v>34</v>
      </c>
      <c r="AA3" s="9">
        <f ca="1">J3</f>
        <v>45826</v>
      </c>
      <c r="AB3" s="11" t="s">
        <v>34</v>
      </c>
      <c r="AC3" s="11" t="s">
        <v>53</v>
      </c>
      <c r="AD3" s="20" t="s">
        <v>54</v>
      </c>
      <c r="AE3" s="11" t="s">
        <v>55</v>
      </c>
      <c r="AF3" s="21" t="s">
        <v>34</v>
      </c>
      <c r="AG3" s="22" t="s">
        <v>56</v>
      </c>
    </row>
    <row r="4" spans="1:33" s="1" customFormat="1" ht="15.6" customHeight="1" x14ac:dyDescent="0.3">
      <c r="A4" s="1" t="s">
        <v>66</v>
      </c>
      <c r="B4" s="1" t="s">
        <v>34</v>
      </c>
      <c r="C4" s="4" t="s">
        <v>35</v>
      </c>
      <c r="D4" s="5" t="s">
        <v>36</v>
      </c>
      <c r="E4" s="27" t="s">
        <v>75</v>
      </c>
      <c r="F4" s="7" t="s">
        <v>67</v>
      </c>
      <c r="G4" s="7" t="s">
        <v>39</v>
      </c>
      <c r="H4" s="7" t="s">
        <v>40</v>
      </c>
      <c r="I4" s="8" t="str">
        <f t="shared" si="0"/>
        <v>PolandSix TwentyFiveJuneSixteen</v>
      </c>
      <c r="J4" s="9">
        <f ca="1">TODAY()-1</f>
        <v>45826</v>
      </c>
      <c r="K4" s="10" t="s">
        <v>41</v>
      </c>
      <c r="L4" s="11" t="s">
        <v>68</v>
      </c>
      <c r="M4" s="14" t="s">
        <v>43</v>
      </c>
      <c r="N4" s="25" t="s">
        <v>69</v>
      </c>
      <c r="O4" s="12" t="s">
        <v>45</v>
      </c>
      <c r="P4" s="23">
        <v>765</v>
      </c>
      <c r="Q4" s="24">
        <v>40</v>
      </c>
      <c r="R4" s="12" t="s">
        <v>63</v>
      </c>
      <c r="S4" s="12" t="s">
        <v>47</v>
      </c>
      <c r="T4" s="17" t="s">
        <v>34</v>
      </c>
      <c r="U4" s="10" t="s">
        <v>48</v>
      </c>
      <c r="V4" s="18" t="s">
        <v>49</v>
      </c>
      <c r="W4" t="s">
        <v>50</v>
      </c>
      <c r="X4" s="19" t="s">
        <v>51</v>
      </c>
      <c r="Y4" s="19" t="s">
        <v>52</v>
      </c>
      <c r="Z4" s="9" t="s">
        <v>34</v>
      </c>
      <c r="AA4" s="9">
        <f ca="1">J4</f>
        <v>45826</v>
      </c>
      <c r="AB4" s="11" t="s">
        <v>34</v>
      </c>
      <c r="AC4" s="11" t="s">
        <v>53</v>
      </c>
      <c r="AD4" s="20" t="s">
        <v>54</v>
      </c>
      <c r="AE4" s="11" t="s">
        <v>55</v>
      </c>
      <c r="AF4" s="21" t="s">
        <v>34</v>
      </c>
      <c r="AG4" s="22" t="s">
        <v>56</v>
      </c>
    </row>
    <row r="5" spans="1:33" s="1" customFormat="1" ht="15.6" customHeight="1" x14ac:dyDescent="0.3">
      <c r="A5" s="1" t="s">
        <v>70</v>
      </c>
      <c r="B5" s="1" t="s">
        <v>34</v>
      </c>
      <c r="C5" s="4" t="s">
        <v>35</v>
      </c>
      <c r="D5" s="5" t="s">
        <v>36</v>
      </c>
      <c r="E5" s="27" t="s">
        <v>76</v>
      </c>
      <c r="F5" s="7" t="s">
        <v>71</v>
      </c>
      <c r="G5" s="7" t="s">
        <v>39</v>
      </c>
      <c r="H5" s="7" t="s">
        <v>60</v>
      </c>
      <c r="I5" s="8" t="str">
        <f t="shared" si="0"/>
        <v>PolandFive TwentyFiveJuneSixteen</v>
      </c>
      <c r="J5" s="9">
        <f ca="1">TODAY()-1</f>
        <v>45826</v>
      </c>
      <c r="K5" s="10" t="s">
        <v>41</v>
      </c>
      <c r="L5" s="11" t="s">
        <v>61</v>
      </c>
      <c r="M5" s="12" t="s">
        <v>43</v>
      </c>
      <c r="N5" s="13" t="s">
        <v>62</v>
      </c>
      <c r="O5" s="12" t="s">
        <v>45</v>
      </c>
      <c r="P5" s="23">
        <v>765</v>
      </c>
      <c r="Q5" s="24">
        <v>40</v>
      </c>
      <c r="R5" s="12" t="s">
        <v>63</v>
      </c>
      <c r="S5" s="12" t="s">
        <v>47</v>
      </c>
      <c r="T5" s="17" t="s">
        <v>34</v>
      </c>
      <c r="U5" s="10" t="s">
        <v>48</v>
      </c>
      <c r="V5" s="18" t="s">
        <v>64</v>
      </c>
      <c r="W5" t="s">
        <v>65</v>
      </c>
      <c r="X5" s="19" t="s">
        <v>51</v>
      </c>
      <c r="Y5" s="19" t="s">
        <v>52</v>
      </c>
      <c r="Z5" s="9" t="s">
        <v>34</v>
      </c>
      <c r="AA5" s="9">
        <f ca="1">J5</f>
        <v>45826</v>
      </c>
      <c r="AB5" s="11" t="s">
        <v>34</v>
      </c>
      <c r="AC5" s="11" t="s">
        <v>53</v>
      </c>
      <c r="AD5" s="20" t="s">
        <v>54</v>
      </c>
      <c r="AE5" s="11" t="s">
        <v>55</v>
      </c>
      <c r="AF5" s="21" t="s">
        <v>34</v>
      </c>
      <c r="AG5" s="22" t="s">
        <v>56</v>
      </c>
    </row>
    <row r="6" spans="1:33" s="1" customFormat="1" ht="15.6" customHeight="1" x14ac:dyDescent="0.3">
      <c r="A6" s="1" t="s">
        <v>72</v>
      </c>
      <c r="B6" s="1" t="s">
        <v>34</v>
      </c>
      <c r="C6" s="4" t="s">
        <v>35</v>
      </c>
      <c r="D6" s="5" t="s">
        <v>36</v>
      </c>
      <c r="E6" s="26" t="s">
        <v>73</v>
      </c>
      <c r="F6" s="7" t="s">
        <v>74</v>
      </c>
      <c r="G6" s="7" t="s">
        <v>39</v>
      </c>
      <c r="H6" s="7" t="s">
        <v>60</v>
      </c>
      <c r="I6" s="8" t="str">
        <f t="shared" si="0"/>
        <v>PolandFourteen TwentyFiveJuneSixteen</v>
      </c>
      <c r="J6" s="9">
        <f ca="1">TODAY()-1</f>
        <v>45826</v>
      </c>
      <c r="K6" s="10" t="s">
        <v>41</v>
      </c>
      <c r="L6" s="11" t="s">
        <v>61</v>
      </c>
      <c r="M6" s="12" t="s">
        <v>43</v>
      </c>
      <c r="N6" s="13" t="s">
        <v>62</v>
      </c>
      <c r="O6" s="12" t="s">
        <v>45</v>
      </c>
      <c r="P6" s="23">
        <v>765</v>
      </c>
      <c r="Q6" s="24">
        <v>40</v>
      </c>
      <c r="R6" s="12" t="s">
        <v>63</v>
      </c>
      <c r="S6" s="12" t="s">
        <v>47</v>
      </c>
      <c r="T6" s="17" t="s">
        <v>34</v>
      </c>
      <c r="U6" s="10" t="s">
        <v>48</v>
      </c>
      <c r="V6" s="18" t="s">
        <v>64</v>
      </c>
      <c r="W6" t="s">
        <v>65</v>
      </c>
      <c r="X6" s="19" t="s">
        <v>51</v>
      </c>
      <c r="Y6" s="19" t="s">
        <v>52</v>
      </c>
      <c r="Z6" s="9" t="s">
        <v>34</v>
      </c>
      <c r="AA6" s="9">
        <f ca="1">J6</f>
        <v>45826</v>
      </c>
      <c r="AB6" s="11" t="s">
        <v>34</v>
      </c>
      <c r="AC6" s="11" t="s">
        <v>53</v>
      </c>
      <c r="AD6" s="20" t="s">
        <v>54</v>
      </c>
      <c r="AE6" s="11" t="s">
        <v>55</v>
      </c>
      <c r="AF6" s="21" t="s">
        <v>34</v>
      </c>
      <c r="AG6" s="22" t="s">
        <v>56</v>
      </c>
    </row>
    <row r="7" spans="1:33" s="1" customFormat="1" ht="15.6" customHeight="1" x14ac:dyDescent="0.25"/>
    <row r="8" spans="1:33" s="1" customFormat="1" ht="15.6" customHeight="1" x14ac:dyDescent="0.25"/>
    <row r="9" spans="1:33" s="1" customFormat="1" ht="15.6" customHeight="1" x14ac:dyDescent="0.25"/>
    <row r="10" spans="1:33" s="1" customFormat="1" ht="15.6" customHeight="1" x14ac:dyDescent="0.25"/>
    <row r="11" spans="1:33" s="1" customFormat="1" ht="15.6" customHeight="1" x14ac:dyDescent="0.25"/>
    <row r="12" spans="1:33" s="1" customFormat="1" ht="15.6" customHeight="1" x14ac:dyDescent="0.25"/>
    <row r="13" spans="1:33" s="1" customFormat="1" ht="15.6" customHeight="1" x14ac:dyDescent="0.25"/>
    <row r="14" spans="1:33" s="1" customFormat="1" ht="15.6" customHeight="1" x14ac:dyDescent="0.25"/>
    <row r="15" spans="1:33" s="1" customFormat="1" ht="15.6" customHeight="1" x14ac:dyDescent="0.25"/>
    <row r="16" spans="1:33" s="1" customFormat="1" ht="15.6" customHeight="1" x14ac:dyDescent="0.25"/>
    <row r="17" s="1" customFormat="1" ht="15.6" customHeight="1" x14ac:dyDescent="0.25"/>
    <row r="18" s="1" customFormat="1" ht="15.6" customHeight="1" x14ac:dyDescent="0.25"/>
  </sheetData>
  <dataValidations count="1">
    <dataValidation type="list" allowBlank="1" showInputMessage="1" showErrorMessage="1" sqref="AD2:AD6 K2:K6" xr:uid="{00000000-0002-0000-0000-000000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 r:id="rId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2025-06-19T07:40:55Z</dcterms:modified>
</cp:coreProperties>
</file>