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8_{24275DD9-C357-456B-B2CA-AD150C91239B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Test_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1" l="1"/>
  <c r="AB13" i="1"/>
  <c r="T13" i="1"/>
  <c r="J13" i="1"/>
  <c r="I13" i="1"/>
  <c r="AF12" i="1"/>
  <c r="AB12" i="1"/>
  <c r="T12" i="1"/>
  <c r="J12" i="1"/>
  <c r="I12" i="1"/>
  <c r="AF11" i="1"/>
  <c r="AB11" i="1"/>
  <c r="T11" i="1"/>
  <c r="J11" i="1"/>
  <c r="I11" i="1"/>
  <c r="AF10" i="1"/>
  <c r="AB10" i="1"/>
  <c r="T10" i="1"/>
  <c r="J10" i="1"/>
  <c r="I10" i="1"/>
  <c r="AF9" i="1"/>
  <c r="AB9" i="1"/>
  <c r="T9" i="1"/>
  <c r="J9" i="1"/>
  <c r="I9" i="1"/>
  <c r="AF8" i="1"/>
  <c r="AB8" i="1"/>
  <c r="T8" i="1"/>
  <c r="J8" i="1"/>
  <c r="I8" i="1"/>
  <c r="AF7" i="1"/>
  <c r="AB7" i="1"/>
  <c r="J7" i="1"/>
  <c r="I7" i="1"/>
  <c r="AF6" i="1"/>
  <c r="AB6" i="1"/>
  <c r="T6" i="1"/>
  <c r="J6" i="1"/>
  <c r="I6" i="1"/>
  <c r="AF5" i="1"/>
  <c r="AB5" i="1"/>
  <c r="T5" i="1"/>
  <c r="J5" i="1"/>
  <c r="I5" i="1"/>
  <c r="AF4" i="1"/>
  <c r="AB4" i="1"/>
  <c r="T4" i="1"/>
  <c r="J4" i="1"/>
  <c r="I4" i="1"/>
  <c r="AF3" i="1"/>
  <c r="AB3" i="1"/>
  <c r="T3" i="1"/>
  <c r="J3" i="1"/>
  <c r="I3" i="1"/>
  <c r="AF2" i="1"/>
  <c r="AB2" i="1"/>
  <c r="J2" i="1"/>
  <c r="I2" i="1"/>
</calcChain>
</file>

<file path=xl/sharedStrings.xml><?xml version="1.0" encoding="utf-8"?>
<sst xmlns="http://schemas.openxmlformats.org/spreadsheetml/2006/main" count="357" uniqueCount="105">
  <si>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</si>
  <si>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</si>
  <si>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</si>
  <si>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</si>
  <si>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</si>
  <si>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</si>
  <si>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</si>
  <si>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</si>
  <si>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</si>
  <si>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</si>
  <si>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</si>
  <si>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</si>
  <si>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</si>
  <si>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</si>
  <si>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</si>
  <si>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</si>
  <si>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</si>
  <si>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</si>
  <si>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</si>
  <si>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</si>
  <si>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</si>
  <si>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</si>
  <si>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</si>
  <si>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</si>
  <si>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</si>
  <si>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</si>
  <si>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</si>
  <si>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</si>
  <si>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Status</t>
  </si>
  <si>
    <t>ContractType</t>
  </si>
  <si>
    <t>ContractEndDate</t>
  </si>
  <si>
    <t>Salary</t>
  </si>
  <si>
    <t>CollectiveAgreement</t>
  </si>
  <si>
    <t>ProfessionalCategory</t>
  </si>
  <si>
    <t>Level</t>
  </si>
  <si>
    <t>Test1</t>
  </si>
  <si>
    <t>N/A</t>
  </si>
  <si>
    <t>Passed</t>
  </si>
  <si>
    <t>Italy</t>
  </si>
  <si>
    <t>Joanie</t>
  </si>
  <si>
    <t>Gerhold</t>
  </si>
  <si>
    <t>275 Recruitment (Zojez Vizyzi (10279378))</t>
  </si>
  <si>
    <t>ReHire</t>
  </si>
  <si>
    <t>No</t>
  </si>
  <si>
    <t>Permanent</t>
  </si>
  <si>
    <t>Retail Assistant</t>
  </si>
  <si>
    <t>Full Time</t>
  </si>
  <si>
    <t>1@661</t>
  </si>
  <si>
    <t>Default Work Shift (Italy)</t>
  </si>
  <si>
    <t>Automation Comments here….</t>
  </si>
  <si>
    <t>94 Retail Operative</t>
  </si>
  <si>
    <t>06 Menswear</t>
  </si>
  <si>
    <t>Please select a Italy Pay Group</t>
  </si>
  <si>
    <t>ITA Monthly</t>
  </si>
  <si>
    <t>Defaulted</t>
  </si>
  <si>
    <t>Main</t>
  </si>
  <si>
    <t>Active</t>
  </si>
  <si>
    <t>Collective Agreement</t>
  </si>
  <si>
    <t>Apprendistato</t>
  </si>
  <si>
    <t>Level 5</t>
  </si>
  <si>
    <t>Test2</t>
  </si>
  <si>
    <t>Test failed for 'Santos Terry' Employee:{10699970}Error: page.waitForTimeout: Target page, context or browser has been closed</t>
  </si>
  <si>
    <t>Failed</t>
  </si>
  <si>
    <t>Santos</t>
  </si>
  <si>
    <t>Terry</t>
  </si>
  <si>
    <t>275 Store Management (Gyzag Hopope (10144587))</t>
  </si>
  <si>
    <t>Auto 19939178</t>
  </si>
  <si>
    <t>Intern</t>
  </si>
  <si>
    <t>Assistant Manager</t>
  </si>
  <si>
    <t>251 Management Retail</t>
  </si>
  <si>
    <t>Test3</t>
  </si>
  <si>
    <t>Test failed for 'Blair Kling' Employee:{10699758}Error: page.waitForTimeout: Target page, context or browser has been closed</t>
  </si>
  <si>
    <t>Blair</t>
  </si>
  <si>
    <t>Kling</t>
  </si>
  <si>
    <t>Part Time</t>
  </si>
  <si>
    <t>Test4</t>
  </si>
  <si>
    <t xml:space="preserve">Test failed for 'Deontae Block' Employee:{10699742}TimeoutError: locator.click: Timeout 30000ms exceeded.
Call log:
  [2m- waiting for locator('[aria-label="Close"]').nth(2)[22m
</t>
  </si>
  <si>
    <t>Deontae</t>
  </si>
  <si>
    <t>Block</t>
  </si>
  <si>
    <t>Test5</t>
  </si>
  <si>
    <t>Lia</t>
  </si>
  <si>
    <t>Davis</t>
  </si>
  <si>
    <t>Auto 27314093</t>
  </si>
  <si>
    <t>Test6</t>
  </si>
  <si>
    <t>Mia</t>
  </si>
  <si>
    <t>Doyle</t>
  </si>
  <si>
    <t>Test7</t>
  </si>
  <si>
    <t>Benjamin</t>
  </si>
  <si>
    <t>Wyman</t>
  </si>
  <si>
    <t>Auto 12092023 172248</t>
  </si>
  <si>
    <t>Test8</t>
  </si>
  <si>
    <t>Jayme</t>
  </si>
  <si>
    <t>Runolfsdottir</t>
  </si>
  <si>
    <t>Test9</t>
  </si>
  <si>
    <t>Clay</t>
  </si>
  <si>
    <t>Kuhic</t>
  </si>
  <si>
    <t>Test10</t>
  </si>
  <si>
    <t>Max</t>
  </si>
  <si>
    <t>Quigley</t>
  </si>
  <si>
    <t>Test11</t>
  </si>
  <si>
    <t>Jessika</t>
  </si>
  <si>
    <t>Stoltenberg</t>
  </si>
  <si>
    <t>Test12</t>
  </si>
  <si>
    <t>Madelyn</t>
  </si>
  <si>
    <t>Wiza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</si>
</sst>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A4A4A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FF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2" xfId="0" applyBorder="1"/>
    <xf numFmtId="0" fontId="1" fillId="4" borderId="2" xfId="0" applyFont="1" applyFill="1" applyBorder="1" applyAlignment="1">
      <alignment horizontal="left" vertical="top"/>
    </xf>
    <xf numFmtId="0" fontId="0" fillId="4" borderId="2" xfId="0" applyFill="1" applyBorder="1"/>
    <xf numFmtId="14" fontId="0" fillId="4" borderId="2" xfId="0" applyNumberFormat="1" applyFill="1" applyBorder="1" applyAlignment="1">
      <alignment horizontal="left"/>
    </xf>
    <xf numFmtId="0" fontId="0" fillId="4" borderId="2" xfId="0" applyFill="1" applyBorder="1" applyAlignment="1" applyProtection="1">
      <alignment horizontal="left"/>
      <protection locked="0"/>
    </xf>
    <xf numFmtId="0" fontId="2" fillId="4" borderId="2" xfId="0" applyFont="1" applyFill="1" applyBorder="1"/>
    <xf numFmtId="0" fontId="0" fillId="4" borderId="2" xfId="0" applyFill="1" applyBorder="1" applyAlignment="1" applyProtection="1">
      <alignment horizontal="left" wrapText="1"/>
      <protection locked="0"/>
    </xf>
    <xf numFmtId="0" fontId="0" fillId="4" borderId="2" xfId="0" applyFill="1" applyBorder="1" applyProtection="1">
      <protection locked="0"/>
    </xf>
    <xf numFmtId="164" fontId="0" fillId="4" borderId="2" xfId="0" applyNumberForma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@661" TargetMode="External"/><Relationship Id="rId3" Type="http://schemas.openxmlformats.org/officeDocument/2006/relationships/hyperlink" Target="mailto:1@661" TargetMode="External"/><Relationship Id="rId7" Type="http://schemas.openxmlformats.org/officeDocument/2006/relationships/hyperlink" Target="mailto:1@661" TargetMode="External"/><Relationship Id="rId12" Type="http://schemas.openxmlformats.org/officeDocument/2006/relationships/hyperlink" Target="mailto:1@661" TargetMode="External"/><Relationship Id="rId2" Type="http://schemas.openxmlformats.org/officeDocument/2006/relationships/hyperlink" Target="mailto:1@661" TargetMode="External"/><Relationship Id="rId1" Type="http://schemas.openxmlformats.org/officeDocument/2006/relationships/hyperlink" Target="mailto:1@661" TargetMode="External"/><Relationship Id="rId6" Type="http://schemas.openxmlformats.org/officeDocument/2006/relationships/hyperlink" Target="mailto:1@661" TargetMode="External"/><Relationship Id="rId11" Type="http://schemas.openxmlformats.org/officeDocument/2006/relationships/hyperlink" Target="mailto:1@661" TargetMode="External"/><Relationship Id="rId5" Type="http://schemas.openxmlformats.org/officeDocument/2006/relationships/hyperlink" Target="mailto:1@661" TargetMode="External"/><Relationship Id="rId10" Type="http://schemas.openxmlformats.org/officeDocument/2006/relationships/hyperlink" Target="mailto:1@661" TargetMode="External"/><Relationship Id="rId4" Type="http://schemas.openxmlformats.org/officeDocument/2006/relationships/hyperlink" Target="mailto:1@661" TargetMode="External"/><Relationship Id="rId9" Type="http://schemas.openxmlformats.org/officeDocument/2006/relationships/hyperlink" Target="mailto:1@6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8"/>
  <sheetViews>
    <sheetView tabSelected="1" zoomScale="115" zoomScaleNormal="115" workbookViewId="0">
      <selection activeCell="Q6" sqref="Q6"/>
    </sheetView>
  </sheetViews>
  <sheetFormatPr defaultRowHeight="15.6" customHeight="1" outlineLevelRow="1" x14ac:dyDescent="0.3"/>
  <cols>
    <col min="1" max="1" width="10.88671875" style="1" customWidth="1"/>
    <col min="2" max="2" width="10.77734375" style="1" customWidth="1"/>
    <col min="3" max="3" width="9.44140625" style="1" customWidth="1"/>
    <col min="4" max="4" width="7.5546875" style="1" customWidth="1"/>
    <col min="5" max="5" width="10.77734375" style="1" customWidth="1"/>
    <col min="6" max="6" width="12.33203125" style="1" customWidth="1"/>
    <col min="7" max="7" width="24.44140625" style="1" customWidth="1"/>
    <col min="8" max="8" width="48.6640625" style="1" customWidth="1"/>
    <col min="9" max="9" width="36.77734375" style="1" customWidth="1"/>
    <col min="10" max="10" width="10.88671875" style="1" customWidth="1"/>
    <col min="11" max="11" width="7" style="1" customWidth="1"/>
    <col min="12" max="12" width="7.5546875" style="1" customWidth="1"/>
    <col min="13" max="13" width="13" style="1" customWidth="1"/>
    <col min="14" max="14" width="18.6640625" style="2" customWidth="1"/>
    <col min="15" max="15" width="8.88671875" style="1" customWidth="1"/>
    <col min="16" max="16" width="8.109375" style="1" customWidth="1"/>
    <col min="17" max="17" width="20.5546875" style="1" customWidth="1"/>
    <col min="18" max="18" width="31.109375" style="1" customWidth="1"/>
    <col min="19" max="19" width="9.21875" style="1" customWidth="1"/>
    <col min="20" max="20" width="18.5546875" style="1" customWidth="1"/>
    <col min="21" max="21" width="26.44140625" style="1" customWidth="1"/>
    <col min="22" max="22" width="16.77734375" style="1" customWidth="1"/>
    <col min="23" max="23" width="17" style="1" customWidth="1"/>
    <col min="24" max="24" width="29.33203125" style="1" customWidth="1"/>
    <col min="25" max="25" width="20.88671875" style="1" customWidth="1"/>
    <col min="26" max="26" width="16" style="2" customWidth="1"/>
    <col min="27" max="27" width="16" style="1" customWidth="1"/>
    <col min="28" max="28" width="18.5546875" style="1" customWidth="1"/>
    <col min="29" max="29" width="18.21875" style="1" customWidth="1"/>
    <col min="30" max="30" width="6" style="1" customWidth="1"/>
    <col min="31" max="31" width="12.77734375" style="1" customWidth="1"/>
    <col min="32" max="32" width="15.109375" style="1" customWidth="1"/>
    <col min="33" max="33" width="9" style="1" customWidth="1"/>
    <col min="34" max="35" width="22.44140625" style="1" customWidth="1"/>
    <col min="36" max="36" width="18.21875" style="1" customWidth="1"/>
    <col min="37" max="37" width="17.77734375" style="1" customWidth="1"/>
    <col min="38" max="38" width="5.88671875" style="1" customWidth="1"/>
    <col min="39" max="39" width="15.109375" style="1" customWidth="1"/>
    <col min="40" max="40" width="7" style="1" customWidth="1"/>
    <col min="41" max="41" width="10.77734375" style="1" customWidth="1"/>
    <col min="42" max="42" width="13.5546875" style="1" customWidth="1"/>
    <col min="43" max="43" width="20.21875" style="1" customWidth="1"/>
    <col min="44" max="44" width="9.88671875" style="1" customWidth="1"/>
    <col min="45" max="45" width="11.88671875" style="1" customWidth="1"/>
    <col min="46" max="46" width="15.88671875" style="1" customWidth="1"/>
    <col min="47" max="47" width="15" style="1" customWidth="1"/>
    <col min="48" max="48" width="16.33203125" style="2" customWidth="1"/>
    <col min="49" max="49" width="53.6640625" style="2" customWidth="1"/>
    <col min="50" max="50" width="23.77734375" style="2" customWidth="1"/>
    <col min="51" max="51" width="9" style="1" customWidth="1"/>
    <col min="52" max="52" width="30.109375" style="1" customWidth="1"/>
    <col min="53" max="53" width="20.33203125" style="1" customWidth="1"/>
    <col min="54" max="54" width="14.44140625" style="1" customWidth="1"/>
    <col min="55" max="55" width="17.109375" style="1" customWidth="1"/>
    <col min="56" max="56" width="11.5546875" style="1" customWidth="1"/>
    <col min="57" max="57" width="15.44140625" style="1" customWidth="1"/>
    <col min="58" max="59" width="11.109375" style="1" customWidth="1"/>
    <col min="60" max="60" width="16.6640625" style="1" customWidth="1"/>
    <col min="61" max="61" width="18.109375" style="1" customWidth="1"/>
    <col min="62" max="62" width="17.109375" style="1" customWidth="1"/>
    <col min="63" max="63" width="16.5546875" style="1" customWidth="1"/>
    <col min="64" max="64" width="16.109375" customWidth="1"/>
  </cols>
  <sheetData>
    <row r="1" spans="1:36" s="1" customFormat="1" ht="14.55" customHeight="1" outlineLevel="1" collapsed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10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</row>
    <row r="2" spans="1:36" s="1" customFormat="1" ht="15.6" customHeight="1" x14ac:dyDescent="0.3">
      <c r="A2" s="4" t="s">
        <v>35</v>
      </c>
      <c r="B2" s="4" t="s">
        <v>36</v>
      </c>
      <c r="C2" s="4" t="s">
        <v>37</v>
      </c>
      <c r="D2" s="4" t="s">
        <v>38</v>
      </c>
      <c r="E2" s="5">
        <v>10699968</v>
      </c>
      <c r="F2" s="6" t="s">
        <v>39</v>
      </c>
      <c r="G2" s="6" t="s">
        <v>40</v>
      </c>
      <c r="H2" s="7" t="s">
        <v>41</v>
      </c>
      <c r="I2" s="7" t="str">
        <f>F2&amp;" "&amp;G2</f>
        <v>Joanie Gerhold</v>
      </c>
      <c r="J2" s="8">
        <f t="shared" ref="J2:J13" ca="1" si="0">TODAY()</f>
        <v>45869</v>
      </c>
      <c r="K2" s="9" t="s">
        <v>42</v>
      </c>
      <c r="L2" s="8" t="s">
        <v>43</v>
      </c>
      <c r="M2" s="8" t="s">
        <v>44</v>
      </c>
      <c r="N2" s="10" t="s">
        <v>45</v>
      </c>
      <c r="O2" s="8" t="s">
        <v>46</v>
      </c>
      <c r="P2" s="4">
        <v>275</v>
      </c>
      <c r="Q2" s="4">
        <v>40</v>
      </c>
      <c r="R2" s="11" t="s">
        <v>47</v>
      </c>
      <c r="S2" s="7" t="s">
        <v>48</v>
      </c>
      <c r="T2" s="7" t="s">
        <v>36</v>
      </c>
      <c r="U2" s="9" t="s">
        <v>49</v>
      </c>
      <c r="V2" s="9" t="s">
        <v>50</v>
      </c>
      <c r="W2" s="7" t="s">
        <v>51</v>
      </c>
      <c r="X2" s="9" t="s">
        <v>52</v>
      </c>
      <c r="Y2" s="9" t="s">
        <v>53</v>
      </c>
      <c r="Z2" s="4" t="s">
        <v>54</v>
      </c>
      <c r="AA2" s="4" t="s">
        <v>54</v>
      </c>
      <c r="AB2" s="8">
        <f t="shared" ref="AB2:AB13" ca="1" si="1">TODAY()-1</f>
        <v>45868</v>
      </c>
      <c r="AC2" s="7" t="s">
        <v>55</v>
      </c>
      <c r="AD2" s="12" t="s">
        <v>56</v>
      </c>
      <c r="AE2" s="8" t="s">
        <v>36</v>
      </c>
      <c r="AF2" s="13" t="str">
        <f>T2</f>
        <v>N/A</v>
      </c>
      <c r="AG2" s="4" t="s">
        <v>54</v>
      </c>
      <c r="AH2" s="9" t="s">
        <v>57</v>
      </c>
      <c r="AI2" s="9" t="s">
        <v>58</v>
      </c>
      <c r="AJ2" s="9" t="s">
        <v>59</v>
      </c>
    </row>
    <row r="3" spans="1:36" s="1" customFormat="1" ht="15.6" customHeight="1" x14ac:dyDescent="0.3">
      <c r="A3" s="4" t="s">
        <v>60</v>
      </c>
      <c r="B3" s="4" t="s">
        <v>61</v>
      </c>
      <c r="C3" s="4" t="s">
        <v>62</v>
      </c>
      <c r="D3" s="4" t="s">
        <v>38</v>
      </c>
      <c r="E3" s="5">
        <v>10699970</v>
      </c>
      <c r="F3" s="6" t="s">
        <v>63</v>
      </c>
      <c r="G3" s="6" t="s">
        <v>64</v>
      </c>
      <c r="H3" s="7" t="s">
        <v>65</v>
      </c>
      <c r="I3" s="7" t="str">
        <f t="shared" ref="I3:I13" si="2">F3&amp;" "&amp;G3</f>
        <v>Santos Terry</v>
      </c>
      <c r="J3" s="8">
        <f t="shared" ca="1" si="0"/>
        <v>45869</v>
      </c>
      <c r="K3" s="9" t="s">
        <v>42</v>
      </c>
      <c r="L3" s="8" t="s">
        <v>66</v>
      </c>
      <c r="M3" s="8" t="s">
        <v>67</v>
      </c>
      <c r="N3" s="10" t="s">
        <v>68</v>
      </c>
      <c r="O3" s="8" t="s">
        <v>46</v>
      </c>
      <c r="P3" s="4">
        <v>275</v>
      </c>
      <c r="Q3" s="4">
        <v>40</v>
      </c>
      <c r="R3" s="11" t="s">
        <v>47</v>
      </c>
      <c r="S3" s="7" t="s">
        <v>48</v>
      </c>
      <c r="T3" s="13">
        <f ca="1">TODAY()+365</f>
        <v>46234</v>
      </c>
      <c r="U3" s="9" t="s">
        <v>49</v>
      </c>
      <c r="V3" s="9">
        <v>92</v>
      </c>
      <c r="W3" s="8" t="s">
        <v>69</v>
      </c>
      <c r="X3" s="9" t="s">
        <v>52</v>
      </c>
      <c r="Y3" s="9" t="s">
        <v>53</v>
      </c>
      <c r="Z3" s="4" t="s">
        <v>54</v>
      </c>
      <c r="AA3" s="4" t="s">
        <v>54</v>
      </c>
      <c r="AB3" s="8">
        <f t="shared" ca="1" si="1"/>
        <v>45868</v>
      </c>
      <c r="AC3" s="7" t="s">
        <v>55</v>
      </c>
      <c r="AD3" s="12" t="s">
        <v>56</v>
      </c>
      <c r="AE3" s="8" t="s">
        <v>67</v>
      </c>
      <c r="AF3" s="13">
        <f ca="1">TODAY()+365</f>
        <v>46234</v>
      </c>
      <c r="AG3" s="4" t="s">
        <v>54</v>
      </c>
      <c r="AH3" s="9" t="s">
        <v>57</v>
      </c>
      <c r="AI3" s="9" t="s">
        <v>58</v>
      </c>
      <c r="AJ3" s="9" t="s">
        <v>59</v>
      </c>
    </row>
    <row r="4" spans="1:36" s="1" customFormat="1" ht="15.6" customHeight="1" x14ac:dyDescent="0.3">
      <c r="A4" s="4" t="s">
        <v>70</v>
      </c>
      <c r="B4" s="4" t="s">
        <v>71</v>
      </c>
      <c r="C4" s="4" t="s">
        <v>62</v>
      </c>
      <c r="D4" s="4" t="s">
        <v>38</v>
      </c>
      <c r="E4" s="5">
        <v>10699758</v>
      </c>
      <c r="F4" s="6" t="s">
        <v>72</v>
      </c>
      <c r="G4" s="6" t="s">
        <v>73</v>
      </c>
      <c r="H4" s="7" t="s">
        <v>41</v>
      </c>
      <c r="I4" s="7" t="str">
        <f t="shared" si="2"/>
        <v>Blair Kling</v>
      </c>
      <c r="J4" s="8">
        <f t="shared" ca="1" si="0"/>
        <v>45869</v>
      </c>
      <c r="K4" s="9" t="s">
        <v>42</v>
      </c>
      <c r="L4" s="8" t="s">
        <v>43</v>
      </c>
      <c r="M4" s="8" t="s">
        <v>67</v>
      </c>
      <c r="N4" s="10" t="s">
        <v>45</v>
      </c>
      <c r="O4" s="8" t="s">
        <v>74</v>
      </c>
      <c r="P4" s="4">
        <v>275</v>
      </c>
      <c r="Q4" s="4">
        <v>25</v>
      </c>
      <c r="R4" s="11" t="s">
        <v>47</v>
      </c>
      <c r="S4" s="7" t="s">
        <v>48</v>
      </c>
      <c r="T4" s="13">
        <f ca="1">TODAY()+365</f>
        <v>46234</v>
      </c>
      <c r="U4" s="9" t="s">
        <v>49</v>
      </c>
      <c r="V4" s="9" t="s">
        <v>50</v>
      </c>
      <c r="W4" s="7" t="s">
        <v>51</v>
      </c>
      <c r="X4" s="9" t="s">
        <v>52</v>
      </c>
      <c r="Y4" s="9" t="s">
        <v>53</v>
      </c>
      <c r="Z4" s="4" t="s">
        <v>54</v>
      </c>
      <c r="AA4" s="4" t="s">
        <v>54</v>
      </c>
      <c r="AB4" s="8">
        <f t="shared" ca="1" si="1"/>
        <v>45868</v>
      </c>
      <c r="AC4" s="7" t="s">
        <v>55</v>
      </c>
      <c r="AD4" s="12" t="s">
        <v>56</v>
      </c>
      <c r="AE4" s="8" t="s">
        <v>67</v>
      </c>
      <c r="AF4" s="13">
        <f ca="1">TODAY()+365</f>
        <v>46234</v>
      </c>
      <c r="AG4" s="4" t="s">
        <v>54</v>
      </c>
      <c r="AH4" s="9" t="s">
        <v>57</v>
      </c>
      <c r="AI4" s="9" t="s">
        <v>58</v>
      </c>
      <c r="AJ4" s="9" t="s">
        <v>59</v>
      </c>
    </row>
    <row r="5" spans="1:36" s="1" customFormat="1" ht="15.6" customHeight="1" x14ac:dyDescent="0.3">
      <c r="A5" s="4" t="s">
        <v>75</v>
      </c>
      <c r="B5" s="4" t="s">
        <v>76</v>
      </c>
      <c r="C5" s="4" t="s">
        <v>62</v>
      </c>
      <c r="D5" s="4" t="s">
        <v>38</v>
      </c>
      <c r="E5" s="5">
        <v>10699742</v>
      </c>
      <c r="F5" s="6" t="s">
        <v>77</v>
      </c>
      <c r="G5" s="6" t="s">
        <v>78</v>
      </c>
      <c r="H5" s="7" t="s">
        <v>41</v>
      </c>
      <c r="I5" s="7" t="str">
        <f t="shared" si="2"/>
        <v>Deontae Block</v>
      </c>
      <c r="J5" s="8">
        <f t="shared" ca="1" si="0"/>
        <v>45869</v>
      </c>
      <c r="K5" s="9" t="s">
        <v>42</v>
      </c>
      <c r="L5" s="8" t="s">
        <v>43</v>
      </c>
      <c r="M5" s="8" t="s">
        <v>67</v>
      </c>
      <c r="N5" s="10" t="s">
        <v>45</v>
      </c>
      <c r="O5" s="8" t="s">
        <v>74</v>
      </c>
      <c r="P5" s="4">
        <v>275</v>
      </c>
      <c r="Q5" s="4">
        <v>25</v>
      </c>
      <c r="R5" s="11" t="s">
        <v>47</v>
      </c>
      <c r="S5" s="7" t="s">
        <v>48</v>
      </c>
      <c r="T5" s="13">
        <f ca="1">TODAY()+365</f>
        <v>46234</v>
      </c>
      <c r="U5" s="9" t="s">
        <v>49</v>
      </c>
      <c r="V5" s="9" t="s">
        <v>50</v>
      </c>
      <c r="W5" s="7" t="s">
        <v>51</v>
      </c>
      <c r="X5" s="9" t="s">
        <v>52</v>
      </c>
      <c r="Y5" s="9" t="s">
        <v>53</v>
      </c>
      <c r="Z5" s="4" t="s">
        <v>54</v>
      </c>
      <c r="AA5" s="4" t="s">
        <v>54</v>
      </c>
      <c r="AB5" s="8">
        <f t="shared" ca="1" si="1"/>
        <v>45868</v>
      </c>
      <c r="AC5" s="7" t="s">
        <v>55</v>
      </c>
      <c r="AD5" s="12" t="s">
        <v>56</v>
      </c>
      <c r="AE5" s="8" t="s">
        <v>67</v>
      </c>
      <c r="AF5" s="13">
        <f ca="1">TODAY()+365</f>
        <v>46234</v>
      </c>
      <c r="AG5" s="4" t="s">
        <v>54</v>
      </c>
      <c r="AH5" s="9" t="s">
        <v>57</v>
      </c>
      <c r="AI5" s="9" t="s">
        <v>58</v>
      </c>
      <c r="AJ5" s="9" t="s">
        <v>59</v>
      </c>
    </row>
    <row r="6" spans="1:36" s="1" customFormat="1" ht="15.6" customHeight="1" x14ac:dyDescent="0.3">
      <c r="A6" s="4" t="s">
        <v>79</v>
      </c>
      <c r="B6" s="4" t="s">
        <v>36</v>
      </c>
      <c r="C6" s="4" t="s">
        <v>37</v>
      </c>
      <c r="D6" s="4" t="s">
        <v>38</v>
      </c>
      <c r="E6" s="5">
        <v>10699680</v>
      </c>
      <c r="F6" s="6" t="s">
        <v>80</v>
      </c>
      <c r="G6" s="6" t="s">
        <v>81</v>
      </c>
      <c r="H6" s="7" t="s">
        <v>65</v>
      </c>
      <c r="I6" s="7" t="str">
        <f t="shared" si="2"/>
        <v>Lia Davis</v>
      </c>
      <c r="J6" s="8">
        <f t="shared" ca="1" si="0"/>
        <v>45869</v>
      </c>
      <c r="K6" s="9" t="s">
        <v>42</v>
      </c>
      <c r="L6" s="8" t="s">
        <v>82</v>
      </c>
      <c r="M6" s="8" t="s">
        <v>67</v>
      </c>
      <c r="N6" s="10" t="s">
        <v>68</v>
      </c>
      <c r="O6" s="8" t="s">
        <v>74</v>
      </c>
      <c r="P6" s="4">
        <v>275</v>
      </c>
      <c r="Q6" s="4">
        <v>25</v>
      </c>
      <c r="R6" s="11" t="s">
        <v>47</v>
      </c>
      <c r="S6" s="7" t="s">
        <v>48</v>
      </c>
      <c r="T6" s="13">
        <f ca="1">TODAY()+365</f>
        <v>46234</v>
      </c>
      <c r="U6" s="9" t="s">
        <v>49</v>
      </c>
      <c r="V6" s="9">
        <v>92</v>
      </c>
      <c r="W6" s="8" t="s">
        <v>69</v>
      </c>
      <c r="X6" s="9" t="s">
        <v>52</v>
      </c>
      <c r="Y6" s="9" t="s">
        <v>53</v>
      </c>
      <c r="Z6" s="4" t="s">
        <v>54</v>
      </c>
      <c r="AA6" s="4" t="s">
        <v>54</v>
      </c>
      <c r="AB6" s="8">
        <f t="shared" ca="1" si="1"/>
        <v>45868</v>
      </c>
      <c r="AC6" s="7" t="s">
        <v>55</v>
      </c>
      <c r="AD6" s="12" t="s">
        <v>56</v>
      </c>
      <c r="AE6" s="8" t="s">
        <v>67</v>
      </c>
      <c r="AF6" s="13">
        <f ca="1">TODAY()+365</f>
        <v>46234</v>
      </c>
      <c r="AG6" s="4" t="s">
        <v>54</v>
      </c>
      <c r="AH6" s="9" t="s">
        <v>57</v>
      </c>
      <c r="AI6" s="9" t="s">
        <v>58</v>
      </c>
      <c r="AJ6" s="9" t="s">
        <v>59</v>
      </c>
    </row>
    <row r="7" spans="1:36" s="1" customFormat="1" ht="15.6" customHeight="1" x14ac:dyDescent="0.3">
      <c r="A7" s="4" t="s">
        <v>83</v>
      </c>
      <c r="B7" s="4" t="s">
        <v>36</v>
      </c>
      <c r="C7" s="4" t="s">
        <v>37</v>
      </c>
      <c r="D7" s="4" t="s">
        <v>38</v>
      </c>
      <c r="E7" s="5">
        <v>10699677</v>
      </c>
      <c r="F7" s="6" t="s">
        <v>84</v>
      </c>
      <c r="G7" s="6" t="s">
        <v>85</v>
      </c>
      <c r="H7" s="7" t="s">
        <v>41</v>
      </c>
      <c r="I7" s="7" t="str">
        <f t="shared" si="2"/>
        <v>Mia Doyle</v>
      </c>
      <c r="J7" s="8">
        <f t="shared" ca="1" si="0"/>
        <v>45869</v>
      </c>
      <c r="K7" s="9" t="s">
        <v>42</v>
      </c>
      <c r="L7" s="8" t="s">
        <v>43</v>
      </c>
      <c r="M7" s="8" t="s">
        <v>44</v>
      </c>
      <c r="N7" s="10" t="s">
        <v>45</v>
      </c>
      <c r="O7" s="8" t="s">
        <v>46</v>
      </c>
      <c r="P7" s="4">
        <v>275</v>
      </c>
      <c r="Q7" s="4">
        <v>40</v>
      </c>
      <c r="R7" s="11" t="s">
        <v>47</v>
      </c>
      <c r="S7" s="7" t="s">
        <v>48</v>
      </c>
      <c r="T7" s="7" t="s">
        <v>36</v>
      </c>
      <c r="U7" s="9" t="s">
        <v>49</v>
      </c>
      <c r="V7" s="9" t="s">
        <v>50</v>
      </c>
      <c r="W7" s="7" t="s">
        <v>51</v>
      </c>
      <c r="X7" s="9" t="s">
        <v>52</v>
      </c>
      <c r="Y7" s="9" t="s">
        <v>53</v>
      </c>
      <c r="Z7" s="4" t="s">
        <v>54</v>
      </c>
      <c r="AA7" s="4" t="s">
        <v>54</v>
      </c>
      <c r="AB7" s="8">
        <f t="shared" ca="1" si="1"/>
        <v>45868</v>
      </c>
      <c r="AC7" s="7" t="s">
        <v>55</v>
      </c>
      <c r="AD7" s="12" t="s">
        <v>56</v>
      </c>
      <c r="AE7" s="8" t="s">
        <v>36</v>
      </c>
      <c r="AF7" s="13" t="str">
        <f>T7</f>
        <v>N/A</v>
      </c>
      <c r="AG7" s="4" t="s">
        <v>54</v>
      </c>
      <c r="AH7" s="9" t="s">
        <v>57</v>
      </c>
      <c r="AI7" s="9" t="s">
        <v>58</v>
      </c>
      <c r="AJ7" s="9" t="s">
        <v>59</v>
      </c>
    </row>
    <row r="8" spans="1:36" s="1" customFormat="1" ht="15.6" customHeight="1" x14ac:dyDescent="0.3">
      <c r="A8" s="4" t="s">
        <v>86</v>
      </c>
      <c r="B8" s="4"/>
      <c r="C8" s="4"/>
      <c r="D8" s="4" t="s">
        <v>38</v>
      </c>
      <c r="E8" s="5">
        <v>10699522</v>
      </c>
      <c r="F8" s="6" t="s">
        <v>87</v>
      </c>
      <c r="G8" s="6" t="s">
        <v>88</v>
      </c>
      <c r="H8" s="7" t="s">
        <v>65</v>
      </c>
      <c r="I8" s="7" t="str">
        <f t="shared" si="2"/>
        <v>Benjamin Wyman</v>
      </c>
      <c r="J8" s="8">
        <f t="shared" ca="1" si="0"/>
        <v>45869</v>
      </c>
      <c r="K8" s="9" t="s">
        <v>42</v>
      </c>
      <c r="L8" s="8" t="s">
        <v>89</v>
      </c>
      <c r="M8" s="8" t="s">
        <v>67</v>
      </c>
      <c r="N8" s="10" t="s">
        <v>68</v>
      </c>
      <c r="O8" s="8" t="s">
        <v>46</v>
      </c>
      <c r="P8" s="4">
        <v>275</v>
      </c>
      <c r="Q8" s="4">
        <v>40</v>
      </c>
      <c r="R8" s="11" t="s">
        <v>47</v>
      </c>
      <c r="S8" s="7" t="s">
        <v>48</v>
      </c>
      <c r="T8" s="13">
        <f t="shared" ref="T8:T13" ca="1" si="3">TODAY()+365</f>
        <v>46234</v>
      </c>
      <c r="U8" s="9" t="s">
        <v>49</v>
      </c>
      <c r="V8" s="9">
        <v>92</v>
      </c>
      <c r="W8" s="8" t="s">
        <v>69</v>
      </c>
      <c r="X8" s="9" t="s">
        <v>52</v>
      </c>
      <c r="Y8" s="9" t="s">
        <v>53</v>
      </c>
      <c r="Z8" s="4" t="s">
        <v>54</v>
      </c>
      <c r="AA8" s="4" t="s">
        <v>54</v>
      </c>
      <c r="AB8" s="8">
        <f t="shared" ca="1" si="1"/>
        <v>45868</v>
      </c>
      <c r="AC8" s="7" t="s">
        <v>55</v>
      </c>
      <c r="AD8" s="12" t="s">
        <v>56</v>
      </c>
      <c r="AE8" s="8" t="s">
        <v>67</v>
      </c>
      <c r="AF8" s="13">
        <f t="shared" ref="AF8:AF13" ca="1" si="4">TODAY()+365</f>
        <v>46234</v>
      </c>
      <c r="AG8" s="4" t="s">
        <v>54</v>
      </c>
      <c r="AH8" s="9" t="s">
        <v>57</v>
      </c>
      <c r="AI8" s="9" t="s">
        <v>58</v>
      </c>
      <c r="AJ8" s="9" t="s">
        <v>59</v>
      </c>
    </row>
    <row r="9" spans="1:36" s="1" customFormat="1" ht="15.6" customHeight="1" x14ac:dyDescent="0.3">
      <c r="A9" s="4" t="s">
        <v>90</v>
      </c>
      <c r="B9" s="4"/>
      <c r="C9" s="4"/>
      <c r="D9" s="4" t="s">
        <v>38</v>
      </c>
      <c r="E9" s="5">
        <v>10699523</v>
      </c>
      <c r="F9" s="6" t="s">
        <v>91</v>
      </c>
      <c r="G9" s="6" t="s">
        <v>92</v>
      </c>
      <c r="H9" s="7" t="s">
        <v>41</v>
      </c>
      <c r="I9" s="7" t="str">
        <f t="shared" si="2"/>
        <v>Jayme Runolfsdottir</v>
      </c>
      <c r="J9" s="8">
        <f t="shared" ca="1" si="0"/>
        <v>45869</v>
      </c>
      <c r="K9" s="9" t="s">
        <v>42</v>
      </c>
      <c r="L9" s="8" t="s">
        <v>43</v>
      </c>
      <c r="M9" s="8" t="s">
        <v>67</v>
      </c>
      <c r="N9" s="10" t="s">
        <v>45</v>
      </c>
      <c r="O9" s="8" t="s">
        <v>46</v>
      </c>
      <c r="P9" s="4">
        <v>275</v>
      </c>
      <c r="Q9" s="4">
        <v>40</v>
      </c>
      <c r="R9" s="11" t="s">
        <v>47</v>
      </c>
      <c r="S9" s="7" t="s">
        <v>48</v>
      </c>
      <c r="T9" s="13">
        <f t="shared" ca="1" si="3"/>
        <v>46234</v>
      </c>
      <c r="U9" s="9" t="s">
        <v>49</v>
      </c>
      <c r="V9" s="9" t="s">
        <v>50</v>
      </c>
      <c r="W9" s="7" t="s">
        <v>51</v>
      </c>
      <c r="X9" s="9" t="s">
        <v>52</v>
      </c>
      <c r="Y9" s="9" t="s">
        <v>53</v>
      </c>
      <c r="Z9" s="4" t="s">
        <v>54</v>
      </c>
      <c r="AA9" s="4" t="s">
        <v>54</v>
      </c>
      <c r="AB9" s="8">
        <f t="shared" ca="1" si="1"/>
        <v>45868</v>
      </c>
      <c r="AC9" s="7" t="s">
        <v>55</v>
      </c>
      <c r="AD9" s="12" t="s">
        <v>56</v>
      </c>
      <c r="AE9" s="8" t="s">
        <v>67</v>
      </c>
      <c r="AF9" s="13">
        <f t="shared" ca="1" si="4"/>
        <v>46234</v>
      </c>
      <c r="AG9" s="4" t="s">
        <v>54</v>
      </c>
      <c r="AH9" s="9" t="s">
        <v>57</v>
      </c>
      <c r="AI9" s="9" t="s">
        <v>58</v>
      </c>
      <c r="AJ9" s="9" t="s">
        <v>59</v>
      </c>
    </row>
    <row r="10" spans="1:36" s="1" customFormat="1" ht="15.6" customHeight="1" x14ac:dyDescent="0.3">
      <c r="A10" s="4" t="s">
        <v>93</v>
      </c>
      <c r="B10" s="4"/>
      <c r="C10" s="4"/>
      <c r="D10" s="4" t="s">
        <v>38</v>
      </c>
      <c r="E10" s="5">
        <v>10699424</v>
      </c>
      <c r="F10" s="6" t="s">
        <v>94</v>
      </c>
      <c r="G10" s="6" t="s">
        <v>95</v>
      </c>
      <c r="H10" s="7" t="s">
        <v>41</v>
      </c>
      <c r="I10" s="7" t="str">
        <f t="shared" si="2"/>
        <v>Clay Kuhic</v>
      </c>
      <c r="J10" s="8">
        <f t="shared" ca="1" si="0"/>
        <v>45869</v>
      </c>
      <c r="K10" s="9" t="s">
        <v>42</v>
      </c>
      <c r="L10" s="8" t="s">
        <v>43</v>
      </c>
      <c r="M10" s="8" t="s">
        <v>67</v>
      </c>
      <c r="N10" s="10" t="s">
        <v>45</v>
      </c>
      <c r="O10" s="8" t="s">
        <v>46</v>
      </c>
      <c r="P10" s="4">
        <v>275</v>
      </c>
      <c r="Q10" s="4">
        <v>40</v>
      </c>
      <c r="R10" s="11" t="s">
        <v>47</v>
      </c>
      <c r="S10" s="7" t="s">
        <v>48</v>
      </c>
      <c r="T10" s="13">
        <f t="shared" ca="1" si="3"/>
        <v>46234</v>
      </c>
      <c r="U10" s="9" t="s">
        <v>49</v>
      </c>
      <c r="V10" s="9" t="s">
        <v>50</v>
      </c>
      <c r="W10" s="7" t="s">
        <v>51</v>
      </c>
      <c r="X10" s="9" t="s">
        <v>52</v>
      </c>
      <c r="Y10" s="9" t="s">
        <v>53</v>
      </c>
      <c r="Z10" s="4" t="s">
        <v>54</v>
      </c>
      <c r="AA10" s="4" t="s">
        <v>54</v>
      </c>
      <c r="AB10" s="8">
        <f t="shared" ca="1" si="1"/>
        <v>45868</v>
      </c>
      <c r="AC10" s="7" t="s">
        <v>55</v>
      </c>
      <c r="AD10" s="12" t="s">
        <v>56</v>
      </c>
      <c r="AE10" s="8" t="s">
        <v>67</v>
      </c>
      <c r="AF10" s="13">
        <f t="shared" ca="1" si="4"/>
        <v>46234</v>
      </c>
      <c r="AG10" s="4" t="s">
        <v>54</v>
      </c>
      <c r="AH10" s="9" t="s">
        <v>57</v>
      </c>
      <c r="AI10" s="9" t="s">
        <v>58</v>
      </c>
      <c r="AJ10" s="9" t="s">
        <v>59</v>
      </c>
    </row>
    <row r="11" spans="1:36" s="1" customFormat="1" ht="15.6" customHeight="1" x14ac:dyDescent="0.3">
      <c r="A11" s="4" t="s">
        <v>96</v>
      </c>
      <c r="B11" s="4"/>
      <c r="C11" s="4"/>
      <c r="D11" s="4" t="s">
        <v>38</v>
      </c>
      <c r="E11" s="5">
        <v>10699425</v>
      </c>
      <c r="F11" s="6" t="s">
        <v>97</v>
      </c>
      <c r="G11" s="6" t="s">
        <v>98</v>
      </c>
      <c r="H11" s="7" t="s">
        <v>65</v>
      </c>
      <c r="I11" s="7" t="str">
        <f t="shared" si="2"/>
        <v>Max Quigley</v>
      </c>
      <c r="J11" s="8">
        <f t="shared" ca="1" si="0"/>
        <v>45869</v>
      </c>
      <c r="K11" s="9" t="s">
        <v>42</v>
      </c>
      <c r="L11" s="8" t="s">
        <v>89</v>
      </c>
      <c r="M11" s="8" t="s">
        <v>67</v>
      </c>
      <c r="N11" s="10" t="s">
        <v>68</v>
      </c>
      <c r="O11" s="8" t="s">
        <v>46</v>
      </c>
      <c r="P11" s="4">
        <v>275</v>
      </c>
      <c r="Q11" s="4">
        <v>40</v>
      </c>
      <c r="R11" s="11" t="s">
        <v>47</v>
      </c>
      <c r="S11" s="7" t="s">
        <v>48</v>
      </c>
      <c r="T11" s="13">
        <f t="shared" ca="1" si="3"/>
        <v>46234</v>
      </c>
      <c r="U11" s="9" t="s">
        <v>49</v>
      </c>
      <c r="V11" s="9">
        <v>92</v>
      </c>
      <c r="W11" s="8" t="s">
        <v>69</v>
      </c>
      <c r="X11" s="9" t="s">
        <v>52</v>
      </c>
      <c r="Y11" s="9" t="s">
        <v>53</v>
      </c>
      <c r="Z11" s="4" t="s">
        <v>54</v>
      </c>
      <c r="AA11" s="4" t="s">
        <v>54</v>
      </c>
      <c r="AB11" s="8">
        <f t="shared" ca="1" si="1"/>
        <v>45868</v>
      </c>
      <c r="AC11" s="7" t="s">
        <v>55</v>
      </c>
      <c r="AD11" s="12" t="s">
        <v>56</v>
      </c>
      <c r="AE11" s="8" t="s">
        <v>67</v>
      </c>
      <c r="AF11" s="13">
        <f t="shared" ca="1" si="4"/>
        <v>46234</v>
      </c>
      <c r="AG11" s="4" t="s">
        <v>54</v>
      </c>
      <c r="AH11" s="9" t="s">
        <v>57</v>
      </c>
      <c r="AI11" s="9" t="s">
        <v>58</v>
      </c>
      <c r="AJ11" s="9" t="s">
        <v>59</v>
      </c>
    </row>
    <row r="12" spans="1:36" s="1" customFormat="1" ht="15.6" customHeight="1" x14ac:dyDescent="0.3">
      <c r="A12" s="4" t="s">
        <v>99</v>
      </c>
      <c r="B12" s="4"/>
      <c r="C12" s="4"/>
      <c r="D12" s="4" t="s">
        <v>38</v>
      </c>
      <c r="E12" s="5">
        <v>10699100</v>
      </c>
      <c r="F12" s="6" t="s">
        <v>100</v>
      </c>
      <c r="G12" s="6" t="s">
        <v>101</v>
      </c>
      <c r="H12" s="7" t="s">
        <v>41</v>
      </c>
      <c r="I12" s="7" t="str">
        <f t="shared" si="2"/>
        <v>Jessika Stoltenberg</v>
      </c>
      <c r="J12" s="8">
        <f t="shared" ca="1" si="0"/>
        <v>45869</v>
      </c>
      <c r="K12" s="9" t="s">
        <v>42</v>
      </c>
      <c r="L12" s="8" t="s">
        <v>43</v>
      </c>
      <c r="M12" s="8" t="s">
        <v>67</v>
      </c>
      <c r="N12" s="10" t="s">
        <v>45</v>
      </c>
      <c r="O12" s="8" t="s">
        <v>46</v>
      </c>
      <c r="P12" s="4">
        <v>275</v>
      </c>
      <c r="Q12" s="4">
        <v>40</v>
      </c>
      <c r="R12" s="11" t="s">
        <v>47</v>
      </c>
      <c r="S12" s="7" t="s">
        <v>48</v>
      </c>
      <c r="T12" s="13">
        <f t="shared" ca="1" si="3"/>
        <v>46234</v>
      </c>
      <c r="U12" s="9" t="s">
        <v>49</v>
      </c>
      <c r="V12" s="9" t="s">
        <v>50</v>
      </c>
      <c r="W12" s="7" t="s">
        <v>51</v>
      </c>
      <c r="X12" s="9" t="s">
        <v>52</v>
      </c>
      <c r="Y12" s="9" t="s">
        <v>53</v>
      </c>
      <c r="Z12" s="4" t="s">
        <v>54</v>
      </c>
      <c r="AA12" s="4" t="s">
        <v>54</v>
      </c>
      <c r="AB12" s="8">
        <f t="shared" ca="1" si="1"/>
        <v>45868</v>
      </c>
      <c r="AC12" s="7" t="s">
        <v>55</v>
      </c>
      <c r="AD12" s="12" t="s">
        <v>56</v>
      </c>
      <c r="AE12" s="8" t="s">
        <v>67</v>
      </c>
      <c r="AF12" s="13">
        <f t="shared" ca="1" si="4"/>
        <v>46234</v>
      </c>
      <c r="AG12" s="4" t="s">
        <v>54</v>
      </c>
      <c r="AH12" s="9" t="s">
        <v>57</v>
      </c>
      <c r="AI12" s="9" t="s">
        <v>58</v>
      </c>
      <c r="AJ12" s="9" t="s">
        <v>59</v>
      </c>
    </row>
    <row r="13" spans="1:36" s="1" customFormat="1" ht="15.6" customHeight="1" x14ac:dyDescent="0.3">
      <c r="A13" s="4" t="s">
        <v>102</v>
      </c>
      <c r="B13" s="4"/>
      <c r="C13" s="4"/>
      <c r="D13" s="4" t="s">
        <v>38</v>
      </c>
      <c r="E13" s="5">
        <v>10699101</v>
      </c>
      <c r="F13" s="6" t="s">
        <v>103</v>
      </c>
      <c r="G13" s="6" t="s">
        <v>104</v>
      </c>
      <c r="H13" s="7" t="s">
        <v>65</v>
      </c>
      <c r="I13" s="7" t="str">
        <f t="shared" si="2"/>
        <v>Madelyn Wiza</v>
      </c>
      <c r="J13" s="8">
        <f t="shared" ca="1" si="0"/>
        <v>45869</v>
      </c>
      <c r="K13" s="9" t="s">
        <v>42</v>
      </c>
      <c r="L13" s="8" t="s">
        <v>89</v>
      </c>
      <c r="M13" s="8" t="s">
        <v>67</v>
      </c>
      <c r="N13" s="10" t="s">
        <v>68</v>
      </c>
      <c r="O13" s="8" t="s">
        <v>46</v>
      </c>
      <c r="P13" s="4">
        <v>275</v>
      </c>
      <c r="Q13" s="4">
        <v>40</v>
      </c>
      <c r="R13" s="11" t="s">
        <v>47</v>
      </c>
      <c r="S13" s="7" t="s">
        <v>48</v>
      </c>
      <c r="T13" s="13">
        <f t="shared" ca="1" si="3"/>
        <v>46234</v>
      </c>
      <c r="U13" s="9" t="s">
        <v>49</v>
      </c>
      <c r="V13" s="9">
        <v>92</v>
      </c>
      <c r="W13" s="8" t="s">
        <v>69</v>
      </c>
      <c r="X13" s="9" t="s">
        <v>52</v>
      </c>
      <c r="Y13" s="9" t="s">
        <v>53</v>
      </c>
      <c r="Z13" s="4" t="s">
        <v>54</v>
      </c>
      <c r="AA13" s="4" t="s">
        <v>54</v>
      </c>
      <c r="AB13" s="8">
        <f t="shared" ca="1" si="1"/>
        <v>45868</v>
      </c>
      <c r="AC13" s="7" t="s">
        <v>55</v>
      </c>
      <c r="AD13" s="12" t="s">
        <v>56</v>
      </c>
      <c r="AE13" s="8" t="s">
        <v>67</v>
      </c>
      <c r="AF13" s="13">
        <f t="shared" ca="1" si="4"/>
        <v>46234</v>
      </c>
      <c r="AG13" s="4" t="s">
        <v>54</v>
      </c>
      <c r="AH13" s="9" t="s">
        <v>57</v>
      </c>
      <c r="AI13" s="9" t="s">
        <v>58</v>
      </c>
      <c r="AJ13" s="9" t="s">
        <v>59</v>
      </c>
    </row>
    <row r="14" spans="1:36" s="1" customFormat="1" ht="15.6" customHeight="1" x14ac:dyDescent="0.25"/>
    <row r="15" spans="1:36" s="1" customFormat="1" ht="15.6" customHeight="1" x14ac:dyDescent="0.25"/>
    <row r="16" spans="1:36" s="1" customFormat="1" ht="15.6" customHeight="1" x14ac:dyDescent="0.25"/>
    <row r="17" s="1" customFormat="1" ht="15.6" customHeight="1" x14ac:dyDescent="0.25"/>
    <row r="18" s="1" customFormat="1" ht="15.6" customHeight="1" x14ac:dyDescent="0.25"/>
  </sheetData>
  <dataValidations count="2">
    <dataValidation type="list" allowBlank="1" showInputMessage="1" showErrorMessage="1" sqref="AD10:AD13 K10:K13" xr:uid="{00000000-0002-0000-0000-000000000000}">
      <formula1>INDIRECT($E2)</formula1>
    </dataValidation>
    <dataValidation type="list" allowBlank="1" showInputMessage="1" showErrorMessage="1" sqref="AD2:AD13 K2:K13" xr:uid="{00000000-0002-0000-0000-000001000000}">
      <formula1>INDIRECT($E2)</formula1>
    </dataValidation>
  </dataValidations>
  <hyperlinks>
    <hyperlink ref="R2" r:id="rId1" xr:uid="{00000000-0004-0000-0000-000000000000}"/>
    <hyperlink ref="R3" r:id="rId2" xr:uid="{00000000-0004-0000-0000-000001000000}"/>
    <hyperlink ref="R4" r:id="rId3" xr:uid="{00000000-0004-0000-0000-000002000000}"/>
    <hyperlink ref="R5" r:id="rId4" xr:uid="{00000000-0004-0000-0000-000003000000}"/>
    <hyperlink ref="R6" r:id="rId5" xr:uid="{00000000-0004-0000-0000-000004000000}"/>
    <hyperlink ref="R7" r:id="rId6" xr:uid="{00000000-0004-0000-0000-000005000000}"/>
    <hyperlink ref="R8" r:id="rId7" xr:uid="{00000000-0004-0000-0000-000006000000}"/>
    <hyperlink ref="R9" r:id="rId8" xr:uid="{00000000-0004-0000-0000-000007000000}"/>
    <hyperlink ref="R10" r:id="rId9" xr:uid="{00000000-0004-0000-0000-000008000000}"/>
    <hyperlink ref="R11" r:id="rId10" xr:uid="{00000000-0004-0000-0000-000009000000}"/>
    <hyperlink ref="R12" r:id="rId11" xr:uid="{00000000-0004-0000-0000-00000A000000}"/>
    <hyperlink ref="R13" r:id="rId12" xr:uid="{00000000-0004-0000-0000-00000B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2025-07-31T09:13:27Z</dcterms:modified>
</cp:coreProperties>
</file>