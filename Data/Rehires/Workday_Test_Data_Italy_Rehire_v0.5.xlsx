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updateLinks="never" defaultThemeVersion="124226"/>
  <mc:AlternateContent xmlns:mc="http://schemas.openxmlformats.org/markup-compatibility/2006">
    <mc:Choice Requires="x15">
      <x15ac:absPath xmlns:x15ac="http://schemas.microsoft.com/office/spreadsheetml/2010/11/ac" url="\\primark.local\hrz_dem_prd\DEMRedirect\mkirkan\Documents\Workday_UFT_Suite\TestData\ReHire\"/>
    </mc:Choice>
  </mc:AlternateContent>
  <xr:revisionPtr revIDLastSave="0" documentId="13_ncr:1_{6DFFCAF8-7A52-4062-BD04-807E7BD2F637}" xr6:coauthVersionLast="47" xr6:coauthVersionMax="47" xr10:uidLastSave="{00000000-0000-0000-0000-000000000000}"/>
  <bookViews>
    <workbookView xWindow="10" yWindow="10" windowWidth="19180" windowHeight="10180" tabRatio="569" firstSheet="1" activeTab="1" xr2:uid="{00000000-000D-0000-FFFF-FFFF00000000}"/>
  </bookViews>
  <sheets>
    <sheet name="Information" sheetId="42" state="hidden" r:id="rId1"/>
    <sheet name="Test_Data" sheetId="38" r:id="rId2"/>
    <sheet name="Defects" sheetId="43" state="hidden" r:id="rId3"/>
    <sheet name="Automation_Lookups" sheetId="39" state="hidden" r:id="rId4"/>
    <sheet name="RC. No" sheetId="44" state="hidden" r:id="rId5"/>
    <sheet name="Code_11122019_1000" sheetId="40" state="hidden" r:id="rId6"/>
    <sheet name="Names" sheetId="41" state="hidden" r:id="rId7"/>
    <sheet name="Sheet1" sheetId="45" state="hidden" r:id="rId8"/>
  </sheets>
  <externalReferences>
    <externalReference r:id="rId9"/>
  </externalReferences>
  <definedNames>
    <definedName name="AddDependent_DateOfBirth">Test_Data!#REF!</definedName>
    <definedName name="AddDependent_EffectiveDate">Test_Data!#REF!</definedName>
    <definedName name="AddDependent_Gender">Test_Data!#REF!</definedName>
    <definedName name="AddDependent_GivenName">Test_Data!#REF!</definedName>
    <definedName name="AddDependent_LastName">Test_Data!#REF!</definedName>
    <definedName name="AddDependent_LivesWithWorker">Test_Data!#REF!</definedName>
    <definedName name="AddDependent_LivingWithWorkerEffectiveDate">Test_Data!#REF!</definedName>
    <definedName name="AddDependent_NationalIDCountry">Test_Data!#REF!</definedName>
    <definedName name="AddDependent_NationalIDType">Test_Data!#REF!</definedName>
    <definedName name="AddDependent_Relationship">Test_Data!#REF!</definedName>
    <definedName name="AddProbationPeriod_ProbationEndDate">Test_Data!$E$38</definedName>
    <definedName name="AddProbationPeriod_ProbationEndDate2">Automation_Lookups!$AN$2:$AN$4</definedName>
    <definedName name="AssignCollectiveAgreement_CollectiveAgreement">Test_Data!$E$51</definedName>
    <definedName name="AssignCollectiveAgreement_Level">Test_Data!$E$53</definedName>
    <definedName name="AssignCollectiveAgreement_ProfessionalCategory">Test_Data!$E$52</definedName>
    <definedName name="AssignPayGroup_ProposedPayGroup" localSheetId="1">Test_Data!$E$36</definedName>
    <definedName name="AssignPayGroup_ProposedPayGroup">Automation_Lookups!$T$2:$T$20</definedName>
    <definedName name="AssignPayGroup_ProposedPayGroup2">Automation_Lookups!$T$2</definedName>
    <definedName name="AssignPayGroup_ProposedPayGroupFinal" localSheetId="1">Test_Data!$E$37</definedName>
    <definedName name="AssignPayGroup_ProposedPayGroupInitial">Test_Data!$E$36</definedName>
    <definedName name="Automation_Ref">Test_Data!$G$13:$H$13</definedName>
    <definedName name="AutomationComments">Test_Data!$E$10</definedName>
    <definedName name="ChangeMyEmergencyContacts_City">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Test_Data!#REF!</definedName>
    <definedName name="ChangeMyGovernmentIDs_NationalIDs_AddEditID2">Test_Data!#REF!</definedName>
    <definedName name="ChangeMyGovernmentIDs_NationalIDs_AddEditID3">Test_Data!#REF!</definedName>
    <definedName name="ChangeMyGovernmentIDs_NationalIDs_Country1">Test_Data!#REF!</definedName>
    <definedName name="ChangeMyGovernmentIDs_NationalIDs_Country2">Test_Data!#REF!</definedName>
    <definedName name="ChangeMyGovernmentIDs_NationalIDs_Country3">Test_Data!#REF!</definedName>
    <definedName name="ChangeMyGovernmentIDs_NationalIDs_NationalIDType1">Test_Data!#REF!</definedName>
    <definedName name="ChangeMyGovernmentIDs_NationalIDs_NationalIDType12">Automation_Lookups!$AT$2</definedName>
    <definedName name="ChangeMyGovernmentIDs_NationalIDs_NationalIDType2" localSheetId="1">Test_Data!#REF!</definedName>
    <definedName name="ChangeMyGovernmentIDs_NationalIDs_NationalIDType2">Automation_Lookups!$AK$2:$AK$4</definedName>
    <definedName name="ChangeMyGovernmentIDs_NationalIDs_NationalIDType22">Automation_Lookups!$AU$2</definedName>
    <definedName name="ChangeMyGovernmentIDs_NationalIDs_NationalIDType3">Test_Data!#REF!</definedName>
    <definedName name="ChangeMyPersonalInformation_CitizenshipStatus">Test_Data!#REF!</definedName>
    <definedName name="ChangeMyPersonalInformation_CityOfBirth">Test_Data!#REF!</definedName>
    <definedName name="ChangeMyPersonalInformation_CountryTerritoryOfBirth">Test_Data!#REF!</definedName>
    <definedName name="ChangeMyPersonalInformation_DateOfBirth">Test_Data!#REF!</definedName>
    <definedName name="ChangeMyPersonalInformation_Gender">Test_Data!#REF!</definedName>
    <definedName name="ChangeMyPersonalInformation_MaritalStatus">Test_Data!#REF!</definedName>
    <definedName name="ChangeMyPersonalInformation_MaritalStatus2">Automation_Lookups!$AH$2:$AH$4</definedName>
    <definedName name="ChangeMyPersonalInformation_MaritalStatusDate">Test_Data!#REF!</definedName>
    <definedName name="ChangeMyPersonalInformation_PrimaryNationality">Test_Data!#REF!</definedName>
    <definedName name="ChangeMyPersonalInformation_RegionOfBirth">Test_Data!#REF!</definedName>
    <definedName name="ChangeOrganizationAssignments_CostCenter">Test_Data!$E$34</definedName>
    <definedName name="ChangeOrganizationAssignments_DepartmentSection">Test_Data!$E$35</definedName>
    <definedName name="ChangeOrganizationAssignments_DepartmentSection2">Automation_Lookups!$S$2</definedName>
    <definedName name="ChangeOrganizationAssignments_Other_Organizations" localSheetId="1">Test_Data!$E$35</definedName>
    <definedName name="ChangeOrganizationAssignments_Other_Organizations">Automation_Lookups!$S$2:$S$20</definedName>
    <definedName name="ChangeOrganizationAssignments_Other_Organizations2">Automation_Lookups!$S$2</definedName>
    <definedName name="ContactInformation_Address_AddressLine1">Test_Data!#REF!</definedName>
    <definedName name="ContactInformation_Address_City">Test_Data!#REF!</definedName>
    <definedName name="ContactInformation_Address_Country">Test_Data!#REF!</definedName>
    <definedName name="ContactInformation_Address_District">Test_Data!#REF!</definedName>
    <definedName name="ContactInformation_Address_EffectiveDate">Test_Data!#REF!</definedName>
    <definedName name="ContactInformation_Address_HouseNumber">Test_Data!#REF!</definedName>
    <definedName name="ContactInformation_Address_NameOfStreet">Test_Data!#REF!</definedName>
    <definedName name="ContactInformation_Address_PostalCode">Test_Data!#REF!</definedName>
    <definedName name="ContactInformation_Address_Province">Test_Data!#REF!</definedName>
    <definedName name="ContactInformation_Address_Province2">Automation_Lookups!$AS$2</definedName>
    <definedName name="ContactInformation_Address_Type" localSheetId="1">Test_Data!#REF!</definedName>
    <definedName name="ContactInformation_Address_Type">Automation_Lookups!$H$2:$H$20</definedName>
    <definedName name="ContactInformation_Address_Type2">Automation_Lookups!$H$2:$H$3</definedName>
    <definedName name="ContactInformation_Address_UseFor">Test_Data!#REF!</definedName>
    <definedName name="ContactInformation_Email_EmailAddress">Test_Data!#REF!</definedName>
    <definedName name="ContactInformation_Email_Type" localSheetId="1">Test_Data!#REF!</definedName>
    <definedName name="ContactInformation_Email_Type">Automation_Lookups!$I$2:$I$20</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1">Test_Data!#REF!</definedName>
    <definedName name="ContactInformation_Phone_PhoneDevice">Automation_Lookups!$F$2:$F$20</definedName>
    <definedName name="ContactInformation_Phone_PhoneDevice2">Automation_Lookups!$F$2:$F$3</definedName>
    <definedName name="ContactInformation_Phone_PhoneNumber">Test_Data!#REF!</definedName>
    <definedName name="ContactInformation_Phone_Type" localSheetId="1">Test_Data!#REF!</definedName>
    <definedName name="ContactInformation_Phone_Type">Automation_Lookups!$G$2:$G$20</definedName>
    <definedName name="ContactInformation_Phone_Type2">Automation_Lookups!$G$2:$G$3</definedName>
    <definedName name="CountryName">Test_Data!$E$5</definedName>
    <definedName name="DefectDescription">Test_Data!$E$9</definedName>
    <definedName name="EditAdditionalData_AddendumCreationDate">Test_Data!$E$49</definedName>
    <definedName name="EditAdditionalData_AddendumEffectiveDate" localSheetId="1">Test_Data!$E$47</definedName>
    <definedName name="EditAdditionalData_AddendumEndDate">Test_Data!$E$48</definedName>
    <definedName name="EditAdditionalData_AddendumNumber">Test_Data!$E$46</definedName>
    <definedName name="EditAdditionalData_PayrollTaxDeduction">Automation_Lookups!$AO$2:$AO$20</definedName>
    <definedName name="EditAdditionalData_TaxadeIRS">Test_Data!#REF!</definedName>
    <definedName name="EditPassportsandVisas_Country">Test_Data!#REF!</definedName>
    <definedName name="EditPassportsandVisas_ExpirationDate">Test_Data!#REF!</definedName>
    <definedName name="EditPassportsandVisas_IdentificationNo">Test_Data!#REF!</definedName>
    <definedName name="EditPassportsandVisas_IssuedDate">Test_Data!#REF!</definedName>
    <definedName name="EditPassportsandVisas_PassportIDType">Test_Data!#REF!</definedName>
    <definedName name="EditServiceDates_SeniorityDate">Test_Data!#REF!</definedName>
    <definedName name="EmployeeNumber_EmployeeNumber">Test_Data!$E$50</definedName>
    <definedName name="Execution_Flag">Automation_Lookups!$B$2:$B$3</definedName>
    <definedName name="Execution_Status">Automation_Lookups!$A$2:$A$20</definedName>
    <definedName name="ExecutionFlag" localSheetId="1">Test_Data!$E$4</definedName>
    <definedName name="ExecutionFlag">Automation_Lookups!$B$2:$B$3</definedName>
    <definedName name="ExecutionFlag2">Automation_Lookups!$B$2:$B$3</definedName>
    <definedName name="HealthCareProvider_HealthInsuranceCompany">Test_Data!#REF!</definedName>
    <definedName name="HealthCareProvider_MealVoucher">Test_Data!#REF!</definedName>
    <definedName name="HealthCareProvider_MealVoucher2">Automation_Lookups!$AP$2:$AP$3</definedName>
    <definedName name="JobDetails_AdditionalInformation_AdditionalJobClassifications">Test_Data!$E$30</definedName>
    <definedName name="JobDetails_AdditionalInformation_Comments">Test_Data!$E$33</definedName>
    <definedName name="JobDetails_AdditionalInformation_EndEmploymentDate">Test_Data!$E$32</definedName>
    <definedName name="JobDetails_AdditionalInformation_EndEmploymentDate2">Automation_Lookups!$R$2:$R$5</definedName>
    <definedName name="JobDetails_AdditionalInformation_ScheduledWeeklyHours">Test_Data!$E$29</definedName>
    <definedName name="JobDetails_AdditionalInformation_WorkShift" localSheetId="1">Test_Data!$E$31</definedName>
    <definedName name="JobDetails_AdditionalInformation_WorkShift">Automation_Lookups!$Q$2:$Q$20</definedName>
    <definedName name="JobDetails_AdditionalInformation_WorkShift2">Automation_Lookups!$Q$2:$Q$6</definedName>
    <definedName name="JobDetails_EmployeeType" localSheetId="1">Test_Data!$E$25</definedName>
    <definedName name="JobDetails_EmployeeType">Automation_Lookups!$M$2:$M$20</definedName>
    <definedName name="JobDetails_EmployeeType2">Automation_Lookups!$M$2:$M$5</definedName>
    <definedName name="JobDetails_HireDate">Test_Data!$E$22</definedName>
    <definedName name="JobDetails_HireDate2">Automation_Lookups!$J$2:$J$4</definedName>
    <definedName name="JobDetails_JobProfile" localSheetId="1">Test_Data!$E$26</definedName>
    <definedName name="JobDetails_JobProfile">Automation_Lookups!$N$3:$N$21</definedName>
    <definedName name="JobDetails_JobProfile2">Automation_Lookups!$N$2:$N$15</definedName>
    <definedName name="JobDetails_Location">Test_Data!$E$28</definedName>
    <definedName name="JobDetails_Location2">Automation_Lookups!$P$2:$P$7</definedName>
    <definedName name="JobDetails_Position">Test_Data!$E$24</definedName>
    <definedName name="JobDetails_Position2">Automation_Lookups!$L$2:$L$7</definedName>
    <definedName name="JobDetails_Reason" localSheetId="1">Test_Data!$E$23</definedName>
    <definedName name="JobDetails_Reason">Automation_Lookups!$K$2:$K$20</definedName>
    <definedName name="JobDetails_Reason2">Automation_Lookups!$K$2</definedName>
    <definedName name="JobDetails_ScheduledWeeklyHours">Test_Data!$E$29</definedName>
    <definedName name="JobDetails_TimeType" localSheetId="1">Test_Data!$E$27</definedName>
    <definedName name="JobDetails_TimeType">Automation_Lookups!$O$2:$O$20</definedName>
    <definedName name="JobDetails_TimeType2">Automation_Lookups!$O$2:$O$3</definedName>
    <definedName name="LastRunEmployeeNo">Test_Data!$E$7</definedName>
    <definedName name="LastRunErrorMessage">Test_Data!$E$8</definedName>
    <definedName name="LastRunTimeandStatus">Test_Data!$E$6</definedName>
    <definedName name="LegalNameInformation_Country" localSheetId="1">Test_Data!$E$16</definedName>
    <definedName name="LegalNameInformation_Country">Automation_Lookups!$D$2:$D$3</definedName>
    <definedName name="LegalNameInformation_Country2">Automation_Lookups!$D$2:$D$3</definedName>
    <definedName name="LegalNameInformation_FamilyName">Test_Data!$E$19</definedName>
    <definedName name="LegalNameInformation_FirstLastName">Test_Data!$E$18</definedName>
    <definedName name="LegalNameInformation_GivenName">Test_Data!$E$17</definedName>
    <definedName name="Login_Password">Test_Data!$E$15</definedName>
    <definedName name="Login_Username">Test_Data!$E$14</definedName>
    <definedName name="MaintainEmployeeContract_ContractEndDate">Test_Data!$E$44</definedName>
    <definedName name="MaintainEmployeeContract_ContractEndDate2">Automation_Lookups!$Z$2:$Z$5</definedName>
    <definedName name="MaintainEmployeeContract_ContractStartDate">Test_Data!$E$39</definedName>
    <definedName name="MaintainEmployeeContract_ContractType" localSheetId="1">Test_Data!$E$43</definedName>
    <definedName name="MaintainEmployeeContract_ContractType">Automation_Lookups!$Y$2:$Y$21</definedName>
    <definedName name="MaintainEmployeeContract_ContractType2">Automation_Lookups!$Y$2:$Y$4</definedName>
    <definedName name="MaintainEmployeeContract_DateEmployeeSigned">Test_Data!$E$40</definedName>
    <definedName name="MaintainEmployeeContract_Reason" localSheetId="1">Test_Data!$E$41</definedName>
    <definedName name="MaintainEmployeeContract_Reason">Automation_Lookups!$W$2:$W$20</definedName>
    <definedName name="MaintainEmployeeContract_Reason2">Automation_Lookups!$W$2:$W$5</definedName>
    <definedName name="MaintainEmployeeContract_Status" localSheetId="1">Test_Data!$E$42</definedName>
    <definedName name="MaintainEmployeeContract_Status">Automation_Lookups!$X$2:$X$20</definedName>
    <definedName name="MaintainEmployeeContract_Status2">Automation_Lookups!$X$2:$X$6</definedName>
    <definedName name="Order_Buyer">Test_Data!$G$20:$H$20</definedName>
    <definedName name="Order_BuyingOfficeZone">Test_Data!$G$14:$H$14</definedName>
    <definedName name="Order_Department">Test_Data!$G$15:$H$15</definedName>
    <definedName name="Order_Vendor">Test_Data!#REF!</definedName>
    <definedName name="PaymentElectionOption_AccountType">Test_Data!#REF!</definedName>
    <definedName name="PaymentElectionOption_AccountType2">Automation_Lookups!$AL$2:$AL$3</definedName>
    <definedName name="PaymentElectionOption_AccountType22">Automation_Lookups!$AM$2:$AM$3</definedName>
    <definedName name="PaymentElectionOption_BankCode">Test_Data!#REF!</definedName>
    <definedName name="PaymentElectionOption_IBAN">Test_Data!#REF!</definedName>
    <definedName name="Please_select_a_Spanish_Pay_Group">Automation_Lookups!$T$3</definedName>
    <definedName name="PO_No">Test_Data!$G$3:$H$3</definedName>
    <definedName name="Poland">Automation_Lookups!$E$2</definedName>
    <definedName name="Prefix">Test_Data!#REF!</definedName>
    <definedName name="Process" localSheetId="1">Test_Data!$E$3</definedName>
    <definedName name="Process">Automation_Lookups!$A$2</definedName>
    <definedName name="Process2">Automation_Lookups!$A$2:$A$3</definedName>
    <definedName name="ProposeCompensationHire_GradeProfile" localSheetId="1">Test_Data!#REF!</definedName>
    <definedName name="ProposeCompensationHire_GradeProfile">Automation_Lookups!$AP$2:$AP$20</definedName>
    <definedName name="ProposeCompensationHire_GradeProfile2">Automation_Lookups!$AA$2</definedName>
    <definedName name="ProposeCompensationHire_Salary">Test_Data!$E$45</definedName>
    <definedName name="ProposeCompensationHire_Step" localSheetId="1">Test_Data!#REF!</definedName>
    <definedName name="ProposeCompensationHire_Step">Automation_Lookups!$AQ$2:$AQ$21</definedName>
    <definedName name="ProposeCompensationHire_Step2">Automation_Lookups!$AB$2</definedName>
    <definedName name="Proxy_OnBehalfOf" localSheetId="1">Test_Data!#REF!</definedName>
    <definedName name="Proxy_OnBehalfOf">Automation_Lookups!$V$2:$V$20</definedName>
    <definedName name="Proxy_OnBehalfOf2">Automation_Lookups!$V$2:$V$3</definedName>
    <definedName name="Proxy_ProxyNumber" localSheetId="1">Test_Data!#REF!</definedName>
    <definedName name="Proxy_ProxyNumber">Automation_Lookups!$U$2:$U$20</definedName>
    <definedName name="Proxy_ProxyNumber2">Automation_Lookups!$U$2:$U$3</definedName>
    <definedName name="QAComments">Test_Data!$E$11</definedName>
    <definedName name="SkillsAndExperience_AddEducation_School">Test_Data!#REF!</definedName>
    <definedName name="SkillsAndExperience_AddEducation_School2">Automation_Lookups!$AM$2:$AM$3</definedName>
    <definedName name="SupervisoryOrganisation_ExistingPreHire">Test_Data!$E$21</definedName>
    <definedName name="SupervisoryOrganisation_SupervisoryOrganisation" localSheetId="1">Test_Data!$E$20</definedName>
    <definedName name="SupervisoryOrganisation_SupervisoryOrganisation">Automation_Lookups!$C$2:$C$2</definedName>
    <definedName name="SupervisoryOrganisation_SupervisoryOrganisation2">Automation_Lookups!$C$2:$C$5</definedName>
    <definedName name="Test_1">Test_Data!$G$2:$G$1048576</definedName>
    <definedName name="Test_10">Test_Data!$P$2:$P$1048576</definedName>
    <definedName name="Test_11">Test_Data!$Q$2:$Q$1048576</definedName>
    <definedName name="Test_12">Test_Data!$R$2:$R$1048576</definedName>
    <definedName name="Test_13">Test_Data!$S$2:$S$1048576</definedName>
    <definedName name="Test_14">Test_Data!$T$2:$T$1048576</definedName>
    <definedName name="Test_2">Test_Data!$H$2:$H$1048576</definedName>
    <definedName name="Test_3">Test_Data!$I$2:$I$1048576</definedName>
    <definedName name="Test_4">Test_Data!$J$2:$J$1048576</definedName>
    <definedName name="Test_5">Test_Data!$K$2:$K$1048576</definedName>
    <definedName name="Test_6">Test_Data!$L$2:$L$1048576</definedName>
    <definedName name="Test_7">Test_Data!$M$2:$M$1048576</definedName>
    <definedName name="Test_8">Test_Data!$N$2:$N$1048576</definedName>
    <definedName name="Test_9">Test_Data!$O$2:$O$1048576</definedName>
    <definedName name="Test_ID">Test_Data!$E$1</definedName>
    <definedName name="Version_Number">Test_Data!$A$3</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32" i="38" l="1"/>
  <c r="L22" i="38"/>
  <c r="L21" i="38"/>
  <c r="J21" i="38"/>
  <c r="K21" i="38"/>
  <c r="M21" i="38"/>
  <c r="N21" i="38"/>
  <c r="O21" i="38"/>
  <c r="P21" i="38"/>
  <c r="Q21" i="38"/>
  <c r="R21" i="38"/>
  <c r="S21" i="38"/>
  <c r="T21" i="38"/>
  <c r="I21" i="38"/>
  <c r="O22" i="38"/>
  <c r="O40" i="38"/>
  <c r="O44" i="38"/>
  <c r="P22" i="38"/>
  <c r="P32" i="38"/>
  <c r="P40" i="38"/>
  <c r="P44" i="38"/>
  <c r="P45" i="38"/>
  <c r="N44" i="38"/>
  <c r="N40" i="38"/>
  <c r="N22" i="38"/>
  <c r="L45" i="38"/>
  <c r="L44" i="38"/>
  <c r="L40" i="38"/>
  <c r="K45" i="38"/>
  <c r="K44" i="38"/>
  <c r="K40" i="38"/>
  <c r="K22" i="38"/>
  <c r="J45" i="38"/>
  <c r="J44" i="38"/>
  <c r="J40" i="38"/>
  <c r="J22" i="38"/>
  <c r="I45" i="38"/>
  <c r="I44" i="38"/>
  <c r="I40" i="38"/>
  <c r="I32" i="38"/>
  <c r="I22" i="38"/>
  <c r="H18" i="38"/>
  <c r="G18" i="38"/>
  <c r="A102" i="40" l="1"/>
  <c r="A103" i="40"/>
  <c r="A101" i="40"/>
  <c r="F101" i="40" s="1"/>
  <c r="A100" i="40"/>
  <c r="H100" i="40" s="1"/>
  <c r="H21" i="38"/>
  <c r="G21" i="38"/>
  <c r="T32" i="38"/>
  <c r="R32" i="38"/>
  <c r="H32" i="38"/>
  <c r="D50" i="38"/>
  <c r="B100" i="40" l="1"/>
  <c r="F100" i="40"/>
  <c r="G101" i="40"/>
  <c r="G100" i="40"/>
  <c r="H101" i="40"/>
  <c r="B101" i="40"/>
  <c r="D100" i="40"/>
  <c r="D101" i="40"/>
  <c r="T44" i="38"/>
  <c r="R44" i="38"/>
  <c r="H44" i="38"/>
  <c r="T40" i="38"/>
  <c r="S40" i="38"/>
  <c r="R40" i="38"/>
  <c r="Q40" i="38"/>
  <c r="M40" i="38"/>
  <c r="H40" i="38"/>
  <c r="G40" i="38"/>
  <c r="T22" i="38"/>
  <c r="S22" i="38"/>
  <c r="R22" i="38"/>
  <c r="Q22" i="38"/>
  <c r="M22" i="38"/>
  <c r="H22" i="38"/>
  <c r="G22" i="38"/>
  <c r="S44" i="38" l="1"/>
  <c r="R45" i="38"/>
  <c r="Q44" i="38"/>
  <c r="M44" i="38"/>
  <c r="D37" i="38" l="1"/>
  <c r="E37" i="38" s="1"/>
  <c r="D36" i="38"/>
  <c r="E36" i="38" s="1"/>
  <c r="E50" i="38"/>
  <c r="D40" i="38"/>
  <c r="E40" i="38" s="1"/>
  <c r="D46" i="38"/>
  <c r="E46" i="38" s="1"/>
  <c r="D47" i="38"/>
  <c r="E47" i="38" s="1"/>
  <c r="D48" i="38"/>
  <c r="E48" i="38" s="1"/>
  <c r="D49" i="38"/>
  <c r="E49" i="38" s="1"/>
  <c r="D30" i="38"/>
  <c r="E30" i="38" s="1"/>
  <c r="D21" i="38"/>
  <c r="E21" i="38" s="1"/>
  <c r="D5" i="38" l="1"/>
  <c r="E5" i="38" s="1"/>
  <c r="D11" i="38" l="1"/>
  <c r="D39" i="38" l="1"/>
  <c r="E39" i="38" s="1"/>
  <c r="D41" i="38"/>
  <c r="E41" i="38" s="1"/>
  <c r="D1" i="38" l="1"/>
  <c r="E1" i="38" s="1"/>
  <c r="D14" i="38" l="1"/>
  <c r="E14" i="38" s="1"/>
  <c r="D15" i="38"/>
  <c r="E15" i="38" s="1"/>
  <c r="D20" i="38"/>
  <c r="E20" i="38" s="1"/>
  <c r="D22" i="38"/>
  <c r="E22" i="38" s="1"/>
  <c r="D23" i="38"/>
  <c r="E23" i="38" s="1"/>
  <c r="D24" i="38"/>
  <c r="E24" i="38" s="1"/>
  <c r="D25" i="38"/>
  <c r="E25" i="38" s="1"/>
  <c r="D26" i="38"/>
  <c r="E26" i="38" s="1"/>
  <c r="D27" i="38"/>
  <c r="E27" i="38" s="1"/>
  <c r="D28" i="38"/>
  <c r="E28" i="38" s="1"/>
  <c r="D29" i="38"/>
  <c r="E29" i="38" s="1"/>
  <c r="D31" i="38"/>
  <c r="E31" i="38" s="1"/>
  <c r="D32" i="38"/>
  <c r="E32" i="38" s="1"/>
  <c r="G44" i="38"/>
  <c r="D33" i="38"/>
  <c r="E33" i="38" s="1"/>
  <c r="D34" i="38"/>
  <c r="E34" i="38" s="1"/>
  <c r="D35" i="38"/>
  <c r="E35" i="38" s="1"/>
  <c r="D38" i="38"/>
  <c r="E38" i="38" s="1"/>
  <c r="D42" i="38"/>
  <c r="E42" i="38" s="1"/>
  <c r="D43" i="38"/>
  <c r="E43" i="38" s="1"/>
  <c r="D44" i="38"/>
  <c r="E44" i="38" s="1"/>
  <c r="D45" i="38"/>
  <c r="E45" i="38" s="1"/>
  <c r="H45" i="38"/>
  <c r="D10" i="38" l="1"/>
  <c r="X78" i="44" l="1"/>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I89" i="44" l="1"/>
  <c r="J89" i="44" s="1"/>
  <c r="K89" i="44" s="1"/>
  <c r="L89" i="44" s="1"/>
  <c r="M89" i="44" s="1"/>
  <c r="N89" i="44" s="1"/>
  <c r="O89" i="44" s="1"/>
  <c r="P89" i="44" s="1"/>
  <c r="Q89" i="44" s="1"/>
  <c r="R89" i="44" s="1"/>
  <c r="S89" i="44" s="1"/>
  <c r="T89" i="44" s="1"/>
  <c r="D87" i="44" l="1"/>
  <c r="D88" i="44" s="1"/>
  <c r="D89" i="44" s="1"/>
  <c r="D90" i="44" s="1"/>
  <c r="D91" i="44" s="1"/>
  <c r="D92" i="44" s="1"/>
  <c r="D93" i="44" s="1"/>
  <c r="D94" i="44" s="1"/>
  <c r="D95" i="44" s="1"/>
  <c r="D96" i="44" s="1"/>
  <c r="D97" i="44" s="1"/>
  <c r="D98" i="44" s="1"/>
  <c r="D99" i="44" s="1"/>
  <c r="B3" i="44" l="1"/>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F3" i="44" l="1"/>
  <c r="H3" i="44"/>
  <c r="G4" i="44"/>
  <c r="C5" i="44"/>
  <c r="H4" i="44"/>
  <c r="D5" i="44"/>
  <c r="G3" i="44"/>
  <c r="F4" i="44" l="1"/>
  <c r="H5" i="44"/>
  <c r="D6" i="44"/>
  <c r="C6" i="44"/>
  <c r="G5" i="44"/>
  <c r="D7" i="44" l="1"/>
  <c r="H6" i="44"/>
  <c r="F5" i="44"/>
  <c r="C7" i="44"/>
  <c r="G6" i="44"/>
  <c r="C8" i="44" l="1"/>
  <c r="G7" i="44"/>
  <c r="F6" i="44"/>
  <c r="D8" i="44"/>
  <c r="H7" i="44"/>
  <c r="F7" i="44" l="1"/>
  <c r="H8" i="44"/>
  <c r="D9" i="44"/>
  <c r="G8" i="44"/>
  <c r="C9" i="44"/>
  <c r="C10" i="44" l="1"/>
  <c r="G9" i="44"/>
  <c r="D10" i="44"/>
  <c r="H9" i="44"/>
  <c r="F8" i="44"/>
  <c r="C11" i="44" l="1"/>
  <c r="G10" i="44"/>
  <c r="F9" i="44"/>
  <c r="D11" i="44"/>
  <c r="H10" i="44"/>
  <c r="F10" i="44" l="1"/>
  <c r="D12" i="44"/>
  <c r="H11" i="44"/>
  <c r="C12" i="44"/>
  <c r="G11" i="44"/>
  <c r="C13" i="44" l="1"/>
  <c r="G12" i="44"/>
  <c r="H12" i="44"/>
  <c r="D13" i="44"/>
  <c r="F11" i="44"/>
  <c r="F12" i="44" l="1"/>
  <c r="H13" i="44"/>
  <c r="D14" i="44"/>
  <c r="C14" i="44"/>
  <c r="G13" i="44"/>
  <c r="C14" i="43"/>
  <c r="C15" i="44" l="1"/>
  <c r="G14" i="44"/>
  <c r="F13" i="44"/>
  <c r="H14" i="44"/>
  <c r="D15" i="44"/>
  <c r="D16" i="44" l="1"/>
  <c r="H15" i="44"/>
  <c r="F14" i="44"/>
  <c r="C16" i="44"/>
  <c r="G15" i="44"/>
  <c r="A2" i="38"/>
  <c r="G16" i="44" l="1"/>
  <c r="C17" i="44"/>
  <c r="F15" i="44"/>
  <c r="H16" i="44"/>
  <c r="D17" i="44"/>
  <c r="A10" i="40"/>
  <c r="A11" i="40"/>
  <c r="H17" i="44" l="1"/>
  <c r="D18" i="44"/>
  <c r="F16" i="44"/>
  <c r="C18" i="44"/>
  <c r="G17" i="44"/>
  <c r="A91" i="40"/>
  <c r="A90" i="40"/>
  <c r="A96" i="40"/>
  <c r="A88" i="40"/>
  <c r="A97" i="40"/>
  <c r="A95" i="40"/>
  <c r="A87" i="40"/>
  <c r="A89" i="40"/>
  <c r="A94" i="40"/>
  <c r="A93" i="40"/>
  <c r="A92" i="40"/>
  <c r="C19" i="44" l="1"/>
  <c r="G18" i="44"/>
  <c r="F17" i="44"/>
  <c r="D19" i="44"/>
  <c r="H18" i="44"/>
  <c r="D97" i="40"/>
  <c r="F97" i="40"/>
  <c r="B97" i="40"/>
  <c r="H97" i="40"/>
  <c r="G97" i="40"/>
  <c r="H88" i="40"/>
  <c r="G88" i="40"/>
  <c r="B88" i="40"/>
  <c r="D88" i="40"/>
  <c r="F88" i="40"/>
  <c r="B92" i="40"/>
  <c r="D92" i="40"/>
  <c r="F92" i="40"/>
  <c r="H92" i="40"/>
  <c r="G92" i="40"/>
  <c r="H96" i="40"/>
  <c r="B96" i="40"/>
  <c r="G96" i="40"/>
  <c r="D96" i="40"/>
  <c r="F96" i="40"/>
  <c r="D89" i="40"/>
  <c r="F89" i="40"/>
  <c r="B89" i="40"/>
  <c r="H89" i="40"/>
  <c r="G89" i="40"/>
  <c r="H93" i="40"/>
  <c r="B93" i="40"/>
  <c r="D93" i="40"/>
  <c r="F93" i="40"/>
  <c r="G93" i="40"/>
  <c r="D90" i="40"/>
  <c r="F90" i="40"/>
  <c r="H90" i="40"/>
  <c r="G90" i="40"/>
  <c r="B90" i="40"/>
  <c r="H87" i="40"/>
  <c r="G87" i="40"/>
  <c r="D87" i="40"/>
  <c r="F87" i="40"/>
  <c r="B87" i="40"/>
  <c r="H95" i="40"/>
  <c r="G95" i="40"/>
  <c r="F95" i="40"/>
  <c r="B95" i="40"/>
  <c r="D95" i="40"/>
  <c r="G94" i="40"/>
  <c r="D94" i="40"/>
  <c r="B94" i="40"/>
  <c r="F94" i="40"/>
  <c r="H94" i="40"/>
  <c r="B91" i="40"/>
  <c r="D91" i="40"/>
  <c r="F91" i="40"/>
  <c r="G91" i="40"/>
  <c r="H91" i="40"/>
  <c r="D20" i="44" l="1"/>
  <c r="H19" i="44"/>
  <c r="F18" i="44"/>
  <c r="C20" i="44"/>
  <c r="G19" i="44"/>
  <c r="A86" i="40"/>
  <c r="C21" i="44" l="1"/>
  <c r="G20" i="44"/>
  <c r="F19" i="44"/>
  <c r="H20" i="44"/>
  <c r="D21" i="44"/>
  <c r="A99" i="40"/>
  <c r="A98" i="40"/>
  <c r="C22" i="44" l="1"/>
  <c r="G21" i="44"/>
  <c r="H21" i="44"/>
  <c r="D22" i="44"/>
  <c r="F20" i="44"/>
  <c r="D98" i="40"/>
  <c r="F98" i="40"/>
  <c r="H98" i="40"/>
  <c r="G98" i="40"/>
  <c r="B98" i="40"/>
  <c r="B99" i="40"/>
  <c r="D99" i="40"/>
  <c r="F99" i="40"/>
  <c r="G99" i="40"/>
  <c r="H99" i="40"/>
  <c r="A67" i="40"/>
  <c r="C23" i="44" l="1"/>
  <c r="G22" i="44"/>
  <c r="F21" i="44"/>
  <c r="D23" i="44"/>
  <c r="H22" i="44"/>
  <c r="D86" i="40"/>
  <c r="G86" i="40"/>
  <c r="H86" i="40"/>
  <c r="B86" i="40"/>
  <c r="F86" i="40"/>
  <c r="A80" i="40"/>
  <c r="C24" i="44" l="1"/>
  <c r="G23" i="44"/>
  <c r="D24" i="44"/>
  <c r="H23" i="44"/>
  <c r="F22" i="44"/>
  <c r="A30" i="40"/>
  <c r="A26" i="40"/>
  <c r="F23" i="44" l="1"/>
  <c r="H24" i="44"/>
  <c r="D25" i="44"/>
  <c r="C25" i="44"/>
  <c r="G24" i="44"/>
  <c r="C26" i="44" l="1"/>
  <c r="G25" i="44"/>
  <c r="F24" i="44"/>
  <c r="D26" i="44"/>
  <c r="H25" i="44"/>
  <c r="L17" i="43"/>
  <c r="M16" i="43" s="1"/>
  <c r="L8" i="43"/>
  <c r="L7" i="43"/>
  <c r="L6" i="43"/>
  <c r="L5" i="43"/>
  <c r="L4" i="43"/>
  <c r="H26" i="44" l="1"/>
  <c r="D27" i="44"/>
  <c r="F25" i="44"/>
  <c r="C27" i="44"/>
  <c r="G26" i="44"/>
  <c r="M12" i="43"/>
  <c r="M13" i="43"/>
  <c r="M14" i="43"/>
  <c r="M15" i="43"/>
  <c r="M7" i="43"/>
  <c r="M6" i="43"/>
  <c r="M4" i="43"/>
  <c r="M5" i="43"/>
  <c r="C28" i="44" l="1"/>
  <c r="G28" i="44" s="1"/>
  <c r="G27" i="44"/>
  <c r="F26" i="44"/>
  <c r="D28" i="44"/>
  <c r="H28" i="44" s="1"/>
  <c r="H27" i="44"/>
  <c r="M17" i="43"/>
  <c r="M8" i="43"/>
  <c r="D9" i="38"/>
  <c r="F27" i="44" l="1"/>
  <c r="F28" i="44"/>
  <c r="E9" i="38"/>
  <c r="A7" i="40"/>
  <c r="E10" i="38"/>
  <c r="A8" i="40"/>
  <c r="E11" i="38"/>
  <c r="A9" i="40"/>
  <c r="A46" i="40"/>
  <c r="A56" i="40" l="1"/>
  <c r="A53" i="40"/>
  <c r="B53" i="40" s="1"/>
  <c r="A40" i="40" l="1"/>
  <c r="A84" i="40" l="1"/>
  <c r="A85" i="40"/>
  <c r="A83" i="40"/>
  <c r="A82" i="40"/>
  <c r="A81" i="40"/>
  <c r="A77" i="40" l="1"/>
  <c r="B77" i="40" s="1"/>
  <c r="A79" i="40"/>
  <c r="B79" i="40" s="1"/>
  <c r="H85" i="40"/>
  <c r="B85" i="40"/>
  <c r="F85" i="40"/>
  <c r="G85" i="40"/>
  <c r="D85" i="40"/>
  <c r="A78" i="40"/>
  <c r="B78" i="40" s="1"/>
  <c r="H81" i="40"/>
  <c r="G81" i="40"/>
  <c r="D81" i="40"/>
  <c r="B81" i="40"/>
  <c r="F81" i="40"/>
  <c r="D82" i="40"/>
  <c r="B82" i="40"/>
  <c r="F82" i="40"/>
  <c r="G82" i="40"/>
  <c r="H82" i="40"/>
  <c r="B84" i="40"/>
  <c r="H84" i="40"/>
  <c r="F84" i="40"/>
  <c r="G84" i="40"/>
  <c r="D84" i="40"/>
  <c r="G83" i="40"/>
  <c r="B83" i="40"/>
  <c r="D83" i="40"/>
  <c r="F83" i="40"/>
  <c r="H83" i="40"/>
  <c r="A69" i="40" l="1"/>
  <c r="B69" i="40" s="1"/>
  <c r="A76" i="40"/>
  <c r="B76" i="40" s="1"/>
  <c r="A74" i="40"/>
  <c r="B74" i="40" s="1"/>
  <c r="A72" i="40"/>
  <c r="B72" i="40" s="1"/>
  <c r="B67" i="40"/>
  <c r="A68" i="40"/>
  <c r="B68" i="40" s="1"/>
  <c r="A73" i="40"/>
  <c r="B73" i="40" s="1"/>
  <c r="A71" i="40"/>
  <c r="B71" i="40" s="1"/>
  <c r="A75" i="40"/>
  <c r="B75" i="40" s="1"/>
  <c r="A70" i="40"/>
  <c r="B70" i="40" s="1"/>
  <c r="A65" i="40"/>
  <c r="B65" i="40" s="1"/>
  <c r="A64" i="40"/>
  <c r="A63" i="40"/>
  <c r="B63" i="40" s="1"/>
  <c r="B64" i="40" l="1"/>
  <c r="A66" i="40"/>
  <c r="B66" i="40" s="1"/>
  <c r="A62" i="40"/>
  <c r="B62" i="40" s="1"/>
  <c r="A58" i="40" l="1"/>
  <c r="B58" i="40" s="1"/>
  <c r="A61" i="40"/>
  <c r="B61" i="40" s="1"/>
  <c r="A60" i="40"/>
  <c r="B60" i="40" s="1"/>
  <c r="A57" i="40"/>
  <c r="B57" i="40" s="1"/>
  <c r="B56" i="40"/>
  <c r="A59" i="40"/>
  <c r="B59" i="40" s="1"/>
  <c r="A55" i="40" l="1"/>
  <c r="B55" i="40" s="1"/>
  <c r="A54" i="40"/>
  <c r="B54" i="40" s="1"/>
  <c r="AN3" i="39" l="1"/>
  <c r="AN2" i="39"/>
  <c r="Z4" i="39"/>
  <c r="Z3" i="39"/>
  <c r="Z2" i="39"/>
  <c r="R4" i="39"/>
  <c r="R3" i="39"/>
  <c r="R2" i="39"/>
  <c r="J4" i="39"/>
  <c r="J3" i="39"/>
  <c r="J2" i="39"/>
  <c r="A39" i="40" l="1"/>
  <c r="A42" i="40" l="1"/>
  <c r="B42" i="40" s="1"/>
  <c r="A45" i="40"/>
  <c r="B40" i="40"/>
  <c r="A44" i="40"/>
  <c r="A35" i="40" l="1"/>
  <c r="B35" i="40" s="1"/>
  <c r="D4" i="38" l="1"/>
  <c r="A3" i="40" s="1"/>
  <c r="D6" i="38"/>
  <c r="A4" i="40" s="1"/>
  <c r="D7" i="38"/>
  <c r="A5" i="40" s="1"/>
  <c r="D8" i="38"/>
  <c r="A6" i="40" s="1"/>
  <c r="D3" i="38"/>
  <c r="D70" i="40"/>
  <c r="D76" i="40"/>
  <c r="D77" i="40"/>
  <c r="D78" i="40"/>
  <c r="D53" i="40"/>
  <c r="H54" i="40"/>
  <c r="D57" i="40"/>
  <c r="D59" i="40"/>
  <c r="D60" i="40"/>
  <c r="D61" i="40"/>
  <c r="D62" i="40"/>
  <c r="A2" i="40" l="1"/>
  <c r="B2" i="40" s="1"/>
  <c r="C2" i="40" s="1"/>
  <c r="E3" i="38"/>
  <c r="D6" i="40"/>
  <c r="E8" i="38"/>
  <c r="D5" i="40"/>
  <c r="E7" i="38"/>
  <c r="D4" i="40"/>
  <c r="E6" i="38"/>
  <c r="H3" i="40"/>
  <c r="E4" i="38"/>
  <c r="D69" i="40"/>
  <c r="G58" i="40"/>
  <c r="H58" i="40"/>
  <c r="F75" i="40"/>
  <c r="H75" i="40"/>
  <c r="D54" i="40"/>
  <c r="G56" i="40"/>
  <c r="H56" i="40"/>
  <c r="G63" i="40"/>
  <c r="H63" i="40"/>
  <c r="G55" i="40"/>
  <c r="H55" i="40"/>
  <c r="F80" i="40"/>
  <c r="H80" i="40"/>
  <c r="G72" i="40"/>
  <c r="H72" i="40"/>
  <c r="D75" i="40"/>
  <c r="F79" i="40"/>
  <c r="H79" i="40"/>
  <c r="F71" i="40"/>
  <c r="H71" i="40"/>
  <c r="B4" i="40"/>
  <c r="D58" i="40"/>
  <c r="G61" i="40"/>
  <c r="H61" i="40"/>
  <c r="F57" i="40"/>
  <c r="H57" i="40"/>
  <c r="F64" i="40"/>
  <c r="H64" i="40"/>
  <c r="F62" i="40"/>
  <c r="H62" i="40"/>
  <c r="G53" i="40"/>
  <c r="H53" i="40"/>
  <c r="G70" i="40"/>
  <c r="H70" i="40"/>
  <c r="F60" i="40"/>
  <c r="H60" i="40"/>
  <c r="G77" i="40"/>
  <c r="H77" i="40"/>
  <c r="G69" i="40"/>
  <c r="H69" i="40"/>
  <c r="D80" i="40"/>
  <c r="D72" i="40"/>
  <c r="D64" i="40"/>
  <c r="D56" i="40"/>
  <c r="F6" i="40"/>
  <c r="H6" i="40"/>
  <c r="G78" i="40"/>
  <c r="H78" i="40"/>
  <c r="G7" i="40"/>
  <c r="H7" i="40"/>
  <c r="F59" i="40"/>
  <c r="H59" i="40"/>
  <c r="F76" i="40"/>
  <c r="H76" i="40"/>
  <c r="D79" i="40"/>
  <c r="D71" i="40"/>
  <c r="D63" i="40"/>
  <c r="D55" i="40"/>
  <c r="D7" i="40"/>
  <c r="B6" i="40"/>
  <c r="B3" i="40"/>
  <c r="B80" i="40"/>
  <c r="B7" i="40"/>
  <c r="G75" i="40"/>
  <c r="G79" i="40"/>
  <c r="F7" i="40"/>
  <c r="F58" i="40"/>
  <c r="G62" i="40"/>
  <c r="F54" i="40"/>
  <c r="G54" i="40"/>
  <c r="G59" i="40"/>
  <c r="G71" i="40"/>
  <c r="G6" i="40"/>
  <c r="F72" i="40"/>
  <c r="F56" i="40"/>
  <c r="F63" i="40"/>
  <c r="F55" i="40"/>
  <c r="G76" i="40"/>
  <c r="G60" i="40"/>
  <c r="F77" i="40"/>
  <c r="F53" i="40"/>
  <c r="G57" i="40"/>
  <c r="F78" i="40"/>
  <c r="F70" i="40"/>
  <c r="F69" i="40"/>
  <c r="F61" i="40"/>
  <c r="G80" i="40"/>
  <c r="G64" i="40"/>
  <c r="F3" i="40"/>
  <c r="G4" i="40"/>
  <c r="F4" i="40"/>
  <c r="A13" i="40"/>
  <c r="A14" i="40"/>
  <c r="A15" i="40"/>
  <c r="A16" i="40"/>
  <c r="A17" i="40"/>
  <c r="A18" i="40"/>
  <c r="A19" i="40"/>
  <c r="A20" i="40"/>
  <c r="A21" i="40"/>
  <c r="A22" i="40"/>
  <c r="A23" i="40"/>
  <c r="A24" i="40"/>
  <c r="A25" i="40"/>
  <c r="A27" i="40"/>
  <c r="A28" i="40"/>
  <c r="A29" i="40"/>
  <c r="A31" i="40"/>
  <c r="B31" i="40" s="1"/>
  <c r="B46" i="40"/>
  <c r="A52" i="40"/>
  <c r="D67" i="40"/>
  <c r="A12" i="40"/>
  <c r="B30" i="40" l="1"/>
  <c r="A34" i="40"/>
  <c r="B34" i="40" s="1"/>
  <c r="B52" i="40"/>
  <c r="D52" i="40"/>
  <c r="A38" i="40"/>
  <c r="B38" i="40" s="1"/>
  <c r="B29" i="40"/>
  <c r="A33" i="40"/>
  <c r="B33" i="40" s="1"/>
  <c r="G52" i="40"/>
  <c r="H52" i="40"/>
  <c r="B44" i="40"/>
  <c r="A48" i="40"/>
  <c r="D48" i="40" s="1"/>
  <c r="A47" i="40"/>
  <c r="G47" i="40" s="1"/>
  <c r="B28" i="40"/>
  <c r="A32" i="40"/>
  <c r="B32" i="40" s="1"/>
  <c r="F52" i="40"/>
  <c r="A51" i="40"/>
  <c r="A37" i="40"/>
  <c r="B37" i="40" s="1"/>
  <c r="A50" i="40"/>
  <c r="B39" i="40"/>
  <c r="A43" i="40"/>
  <c r="B43" i="40" s="1"/>
  <c r="A36" i="40"/>
  <c r="B36" i="40" s="1"/>
  <c r="A41" i="40"/>
  <c r="B41" i="40" s="1"/>
  <c r="B45" i="40"/>
  <c r="A49" i="40"/>
  <c r="G2" i="40"/>
  <c r="H65" i="40"/>
  <c r="G66" i="40"/>
  <c r="H2" i="40"/>
  <c r="D2" i="40"/>
  <c r="E2" i="40" s="1"/>
  <c r="G67" i="40"/>
  <c r="D66" i="40"/>
  <c r="F65" i="40"/>
  <c r="H67" i="40"/>
  <c r="H66" i="40"/>
  <c r="H68" i="40"/>
  <c r="F67" i="40"/>
  <c r="F66" i="40"/>
  <c r="F68" i="40"/>
  <c r="G68" i="40"/>
  <c r="G65" i="40"/>
  <c r="D65" i="40"/>
  <c r="D68" i="40"/>
  <c r="F2" i="40"/>
  <c r="G3" i="40"/>
  <c r="H4" i="40"/>
  <c r="D3" i="40"/>
  <c r="B5" i="40"/>
  <c r="G5" i="40"/>
  <c r="H5" i="40"/>
  <c r="F5" i="40"/>
  <c r="C3" i="40"/>
  <c r="C4" i="40" s="1"/>
  <c r="H48" i="40" l="1"/>
  <c r="F47" i="40"/>
  <c r="H47" i="40"/>
  <c r="D47" i="40"/>
  <c r="G48" i="40"/>
  <c r="B47" i="40"/>
  <c r="F48" i="40"/>
  <c r="G36" i="40"/>
  <c r="F36" i="40"/>
  <c r="H36" i="40"/>
  <c r="D36" i="40"/>
  <c r="B50" i="40"/>
  <c r="G50" i="40"/>
  <c r="F50" i="40"/>
  <c r="H50" i="40"/>
  <c r="D50" i="40"/>
  <c r="B51" i="40"/>
  <c r="D51" i="40"/>
  <c r="F51" i="40"/>
  <c r="H51" i="40"/>
  <c r="G51" i="40"/>
  <c r="B48" i="40"/>
  <c r="B49" i="40"/>
  <c r="D49" i="40"/>
  <c r="H49" i="40"/>
  <c r="G49" i="40"/>
  <c r="F49" i="40"/>
  <c r="G37" i="40"/>
  <c r="H37" i="40"/>
  <c r="D37" i="40"/>
  <c r="F37" i="40"/>
  <c r="D74" i="40"/>
  <c r="G74" i="40"/>
  <c r="F74" i="40"/>
  <c r="H74" i="40"/>
  <c r="D73" i="40"/>
  <c r="F73" i="40"/>
  <c r="G73" i="40"/>
  <c r="H73" i="40"/>
  <c r="E3" i="40"/>
  <c r="E4" i="40" s="1"/>
  <c r="E5" i="40" s="1"/>
  <c r="E6" i="40" s="1"/>
  <c r="E7" i="40" s="1"/>
  <c r="C5" i="40"/>
  <c r="C6" i="40" s="1"/>
  <c r="C7" i="40" s="1"/>
  <c r="D40" i="40"/>
  <c r="H40" i="40"/>
  <c r="G40" i="40"/>
  <c r="F40" i="40"/>
  <c r="D43" i="40"/>
  <c r="G43" i="40"/>
  <c r="F43" i="40"/>
  <c r="H43" i="40"/>
  <c r="D17" i="40"/>
  <c r="B17" i="40"/>
  <c r="F17" i="40"/>
  <c r="H17" i="40"/>
  <c r="G17" i="40"/>
  <c r="G8" i="40"/>
  <c r="D8" i="40"/>
  <c r="F8" i="40"/>
  <c r="B8" i="40"/>
  <c r="H8" i="40"/>
  <c r="D26" i="40"/>
  <c r="G26" i="40"/>
  <c r="F26" i="40"/>
  <c r="H26" i="40"/>
  <c r="B26" i="40"/>
  <c r="D35" i="40"/>
  <c r="G35" i="40"/>
  <c r="F35" i="40"/>
  <c r="H35" i="40"/>
  <c r="G19" i="40"/>
  <c r="F19" i="40"/>
  <c r="H19" i="40"/>
  <c r="B19" i="40"/>
  <c r="D19" i="40"/>
  <c r="D18" i="40"/>
  <c r="B18" i="40"/>
  <c r="F18" i="40"/>
  <c r="G18" i="40"/>
  <c r="H18" i="40"/>
  <c r="G11" i="40"/>
  <c r="F11" i="40"/>
  <c r="H11" i="40"/>
  <c r="B11" i="40"/>
  <c r="D11" i="40"/>
  <c r="B21" i="40"/>
  <c r="F21" i="40"/>
  <c r="G21" i="40"/>
  <c r="H21" i="40"/>
  <c r="D21" i="40"/>
  <c r="D46" i="40"/>
  <c r="G46" i="40"/>
  <c r="H46" i="40"/>
  <c r="F46" i="40"/>
  <c r="G24" i="40"/>
  <c r="D24" i="40"/>
  <c r="F24" i="40"/>
  <c r="H24" i="40"/>
  <c r="B24" i="40"/>
  <c r="D42" i="40"/>
  <c r="F42" i="40"/>
  <c r="H42" i="40"/>
  <c r="G42" i="40"/>
  <c r="B22" i="40"/>
  <c r="G22" i="40"/>
  <c r="D22" i="40"/>
  <c r="F22" i="40"/>
  <c r="H22" i="40"/>
  <c r="D34" i="40"/>
  <c r="F34" i="40"/>
  <c r="G34" i="40"/>
  <c r="H34" i="40"/>
  <c r="G28" i="40"/>
  <c r="H28" i="40"/>
  <c r="F28" i="40"/>
  <c r="D28" i="40"/>
  <c r="D15" i="40"/>
  <c r="B15" i="40"/>
  <c r="H15" i="40"/>
  <c r="F15" i="40"/>
  <c r="G15" i="40"/>
  <c r="F30" i="40"/>
  <c r="G30" i="40"/>
  <c r="H30" i="40"/>
  <c r="D30" i="40"/>
  <c r="D44" i="40"/>
  <c r="G44" i="40"/>
  <c r="H44" i="40"/>
  <c r="F44" i="40"/>
  <c r="D25" i="40"/>
  <c r="B25" i="40"/>
  <c r="F25" i="40"/>
  <c r="G25" i="40"/>
  <c r="H25" i="40"/>
  <c r="F16" i="40"/>
  <c r="D16" i="40"/>
  <c r="G16" i="40"/>
  <c r="H16" i="40"/>
  <c r="B16" i="40"/>
  <c r="B20" i="40"/>
  <c r="D20" i="40"/>
  <c r="F20" i="40"/>
  <c r="G20" i="40"/>
  <c r="H20" i="40"/>
  <c r="G23" i="40"/>
  <c r="F23" i="40"/>
  <c r="H23" i="40"/>
  <c r="D23" i="40"/>
  <c r="B23" i="40"/>
  <c r="D45" i="40"/>
  <c r="F45" i="40"/>
  <c r="H45" i="40"/>
  <c r="G45" i="40"/>
  <c r="D38" i="40"/>
  <c r="F38" i="40"/>
  <c r="G38" i="40"/>
  <c r="H38" i="40"/>
  <c r="D27" i="40"/>
  <c r="G27" i="40"/>
  <c r="F27" i="40"/>
  <c r="H27" i="40"/>
  <c r="B27" i="40"/>
  <c r="D13" i="40"/>
  <c r="G13" i="40"/>
  <c r="F13" i="40"/>
  <c r="H13" i="40"/>
  <c r="B13" i="40"/>
  <c r="B12" i="40"/>
  <c r="F12" i="40"/>
  <c r="D12" i="40"/>
  <c r="H12" i="40"/>
  <c r="G12" i="40"/>
  <c r="F29" i="40"/>
  <c r="G29" i="40"/>
  <c r="H29" i="40"/>
  <c r="D29" i="40"/>
  <c r="H14" i="40"/>
  <c r="D14" i="40"/>
  <c r="G14" i="40"/>
  <c r="B14" i="40"/>
  <c r="F14" i="40"/>
  <c r="D32" i="40"/>
  <c r="F32" i="40"/>
  <c r="G32" i="40"/>
  <c r="H32" i="40"/>
  <c r="G9" i="40"/>
  <c r="D9" i="40"/>
  <c r="F9" i="40"/>
  <c r="B9" i="40"/>
  <c r="H9" i="40"/>
  <c r="G39" i="40"/>
  <c r="F39" i="40"/>
  <c r="H39" i="40"/>
  <c r="D39" i="40"/>
  <c r="H31" i="40"/>
  <c r="G31" i="40"/>
  <c r="F31" i="40"/>
  <c r="D31" i="40"/>
  <c r="D41" i="40"/>
  <c r="G41" i="40"/>
  <c r="H41" i="40"/>
  <c r="F41" i="40"/>
  <c r="D10" i="40"/>
  <c r="B10" i="40"/>
  <c r="F10" i="40"/>
  <c r="G10" i="40"/>
  <c r="H10" i="40"/>
  <c r="D33" i="40"/>
  <c r="G33" i="40"/>
  <c r="H33" i="40"/>
  <c r="F33" i="40"/>
  <c r="E8" i="40" l="1"/>
  <c r="E9" i="40" s="1"/>
  <c r="E10" i="40" s="1"/>
  <c r="E11" i="40" s="1"/>
  <c r="E12" i="40" s="1"/>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E49" i="40" s="1"/>
  <c r="E50" i="40" s="1"/>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77" i="40" s="1"/>
  <c r="E78" i="40" s="1"/>
  <c r="E79" i="40" s="1"/>
  <c r="E80" i="40" s="1"/>
  <c r="E81" i="40" s="1"/>
  <c r="E82" i="40" s="1"/>
  <c r="E83" i="40" s="1"/>
  <c r="E84" i="40" s="1"/>
  <c r="E85" i="40" s="1"/>
  <c r="E86" i="40" s="1"/>
  <c r="E87" i="40" s="1"/>
  <c r="E88" i="40" s="1"/>
  <c r="E89" i="40" s="1"/>
  <c r="E90" i="40" s="1"/>
  <c r="E91" i="40" s="1"/>
  <c r="E92" i="40" s="1"/>
  <c r="E93" i="40" s="1"/>
  <c r="E94" i="40" s="1"/>
  <c r="E95" i="40" s="1"/>
  <c r="E96" i="40" s="1"/>
  <c r="E97" i="40" s="1"/>
  <c r="E98" i="40" s="1"/>
  <c r="E99" i="40" s="1"/>
  <c r="E100" i="40" s="1"/>
  <c r="E101" i="40" s="1"/>
  <c r="C8" i="40"/>
  <c r="C9" i="40" s="1"/>
  <c r="C10" i="40" s="1"/>
  <c r="C11" i="40" s="1"/>
  <c r="C12" i="40" s="1"/>
  <c r="C13" i="40" s="1"/>
  <c r="C14" i="40" s="1"/>
  <c r="C15" i="40" s="1"/>
  <c r="C16" i="40" s="1"/>
  <c r="C17" i="40" s="1"/>
  <c r="C18" i="40" s="1"/>
  <c r="C19" i="40" s="1"/>
  <c r="C20" i="40" s="1"/>
  <c r="C21" i="40" s="1"/>
  <c r="C22" i="40" s="1"/>
  <c r="C23" i="40" s="1"/>
  <c r="C24" i="40" s="1"/>
  <c r="C25" i="40" s="1"/>
  <c r="C26" i="40" s="1"/>
  <c r="C27" i="40" s="1"/>
  <c r="C28" i="40" l="1"/>
  <c r="C29" i="40" s="1"/>
  <c r="C30" i="40" s="1"/>
  <c r="C31" i="40" s="1"/>
  <c r="C32" i="40" s="1"/>
  <c r="C33" i="40" s="1"/>
  <c r="C34" i="40" s="1"/>
  <c r="C35" i="40" s="1"/>
  <c r="C36" i="40" s="1"/>
  <c r="C37" i="40" s="1"/>
  <c r="C38" i="40" s="1"/>
  <c r="C39" i="40" s="1"/>
  <c r="C40" i="40" s="1"/>
  <c r="C41" i="40" s="1"/>
  <c r="C42" i="40" s="1"/>
  <c r="C43" i="40" s="1"/>
  <c r="C44" i="40" s="1"/>
  <c r="C45" i="40" s="1"/>
  <c r="C46" i="40" s="1"/>
  <c r="C47" i="40" s="1"/>
  <c r="C48" i="40" s="1"/>
  <c r="C49" i="40" s="1"/>
  <c r="C50" i="40" s="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77" i="40" s="1"/>
  <c r="C78" i="40" s="1"/>
  <c r="C79" i="40" s="1"/>
  <c r="C80" i="40" s="1"/>
  <c r="C81" i="40" s="1"/>
  <c r="C82" i="40" s="1"/>
  <c r="C83" i="40" s="1"/>
  <c r="C84" i="40" s="1"/>
  <c r="C85" i="40" s="1"/>
  <c r="C86" i="40" s="1"/>
  <c r="C87" i="40" s="1"/>
  <c r="C88" i="40" s="1"/>
  <c r="C89" i="40" s="1"/>
  <c r="C90" i="40" s="1"/>
  <c r="C91" i="40" s="1"/>
  <c r="C92" i="40" s="1"/>
  <c r="C93" i="40" s="1"/>
  <c r="C94" i="40" s="1"/>
  <c r="C95" i="40" s="1"/>
  <c r="C96" i="40" s="1"/>
  <c r="C97" i="40" s="1"/>
  <c r="C98" i="40" s="1"/>
  <c r="C99" i="40" s="1"/>
  <c r="C100" i="40" s="1"/>
  <c r="C101" i="40" s="1"/>
</calcChain>
</file>

<file path=xl/sharedStrings.xml><?xml version="1.0" encoding="utf-8"?>
<sst xmlns="http://schemas.openxmlformats.org/spreadsheetml/2006/main" count="1463" uniqueCount="879">
  <si>
    <t>Netherlands</t>
  </si>
  <si>
    <t>Home</t>
  </si>
  <si>
    <t>Test_1</t>
  </si>
  <si>
    <t>Test_2</t>
  </si>
  <si>
    <t>Screen</t>
  </si>
  <si>
    <t>Subscreen</t>
  </si>
  <si>
    <t>Field</t>
  </si>
  <si>
    <t>Automation Ref</t>
  </si>
  <si>
    <t>N/A</t>
  </si>
  <si>
    <t>Login</t>
  </si>
  <si>
    <t>Username</t>
  </si>
  <si>
    <t>Password</t>
  </si>
  <si>
    <t>Process</t>
  </si>
  <si>
    <t>701 Recruitment (Lisanne Kluinhaar (8701839))</t>
  </si>
  <si>
    <t>Supervisory Organisation</t>
  </si>
  <si>
    <t>Netherlands (+31)</t>
  </si>
  <si>
    <t>Mobile/Cell</t>
  </si>
  <si>
    <t>Work</t>
  </si>
  <si>
    <t>Reason</t>
  </si>
  <si>
    <t>New Hire</t>
  </si>
  <si>
    <t>Permanent</t>
  </si>
  <si>
    <t>Retail Assistant</t>
  </si>
  <si>
    <t>Yes</t>
  </si>
  <si>
    <t>No</t>
  </si>
  <si>
    <t>Comments</t>
  </si>
  <si>
    <t>Automation Comments here….</t>
  </si>
  <si>
    <t>Accessories</t>
  </si>
  <si>
    <t>Lisanne Kluinhaar (8701839)</t>
  </si>
  <si>
    <t>Status</t>
  </si>
  <si>
    <t>Defined contract end date (Determined)</t>
  </si>
  <si>
    <t>1st Fixed Term Contract</t>
  </si>
  <si>
    <t>Part-time( PT )</t>
  </si>
  <si>
    <t>Netherlands Retail Assistant</t>
  </si>
  <si>
    <t>Retail Assistant (22)</t>
  </si>
  <si>
    <t>Job Details</t>
  </si>
  <si>
    <t>Employee Type</t>
  </si>
  <si>
    <t>Job Profile</t>
  </si>
  <si>
    <t>Hire Date</t>
  </si>
  <si>
    <t>Additional Information</t>
  </si>
  <si>
    <t>Change Organization Assignments</t>
  </si>
  <si>
    <t>Assign Pay Group</t>
  </si>
  <si>
    <t>Maintain Employee Contract</t>
  </si>
  <si>
    <t>Contract Type</t>
  </si>
  <si>
    <t>Contract End Date</t>
  </si>
  <si>
    <t>Propose Compensation Hire</t>
  </si>
  <si>
    <t>Time Type</t>
  </si>
  <si>
    <t>EditAdditionalData_PayrollTaxDeduction</t>
  </si>
  <si>
    <t>Poland</t>
  </si>
  <si>
    <t>Poland (+48)</t>
  </si>
  <si>
    <t>Telephone - Landline</t>
  </si>
  <si>
    <t>Rehire</t>
  </si>
  <si>
    <t>Seasonal</t>
  </si>
  <si>
    <t>Fixed Term</t>
  </si>
  <si>
    <t>Intern</t>
  </si>
  <si>
    <t>Students</t>
  </si>
  <si>
    <t>Full time</t>
  </si>
  <si>
    <t>Part time</t>
  </si>
  <si>
    <t>Undefined contract end date (Undetermined)</t>
  </si>
  <si>
    <t>2nd Fixed Term Contract</t>
  </si>
  <si>
    <t>3rd Fixed Term Contract</t>
  </si>
  <si>
    <t>Active</t>
  </si>
  <si>
    <t>Inactive</t>
  </si>
  <si>
    <t>Full-time( FT. )</t>
  </si>
  <si>
    <t>Netherlands Retail Assistant Cash Office</t>
  </si>
  <si>
    <t>Retail Assistant (Under 18)</t>
  </si>
  <si>
    <t>Retail Assistant (23+)</t>
  </si>
  <si>
    <t>Retail Assistant (21)</t>
  </si>
  <si>
    <t>Retail Assistant (20)</t>
  </si>
  <si>
    <t>Retail Assistant (19)</t>
  </si>
  <si>
    <t>Retail Assistant (18)</t>
  </si>
  <si>
    <t>Execution Flag</t>
  </si>
  <si>
    <t>Last Run Time and Status</t>
  </si>
  <si>
    <t>Last Run Employee No</t>
  </si>
  <si>
    <t>Last Run Error Message</t>
  </si>
  <si>
    <t>Value Declaration
------------------------
strProcess = comExcelWorksheet.Cells(intRowProcess, intColTestColumn).Value</t>
  </si>
  <si>
    <t>Row Number Declaration
---------------------------------
intRowProcess = comExcelWorksheet.Range("Process").Row</t>
  </si>
  <si>
    <t>Variable Row</t>
  </si>
  <si>
    <t>Variable Value</t>
  </si>
  <si>
    <t>Variable Row Combined</t>
  </si>
  <si>
    <t>Variable Value Combined</t>
  </si>
  <si>
    <t>Department Manager</t>
  </si>
  <si>
    <t>Senior Department Manager</t>
  </si>
  <si>
    <t>Supervisor</t>
  </si>
  <si>
    <t>P&amp;C Supervisor</t>
  </si>
  <si>
    <t>P&amp;C Assistant</t>
  </si>
  <si>
    <t>Trainee Manager</t>
  </si>
  <si>
    <t>Assistant Manager</t>
  </si>
  <si>
    <t>P&amp;C Manager</t>
  </si>
  <si>
    <t>Store Manager</t>
  </si>
  <si>
    <t>Visual Merchandiser Manager</t>
  </si>
  <si>
    <t>Visual Merchandising Supervisor</t>
  </si>
  <si>
    <t>Visual Merchandising Assistant</t>
  </si>
  <si>
    <t>Retail - Central &amp; Eastern Europe (Stephen Regan (9910010) (Inherited)</t>
  </si>
  <si>
    <t>Retail Poland Area: Central Poland (Stephen Regan (9910010) (Inherited))</t>
  </si>
  <si>
    <t>Getters</t>
  </si>
  <si>
    <t>Lookups Ref</t>
  </si>
  <si>
    <t>SupervisoryOrganisation_SupervisoryOrganisation2</t>
  </si>
  <si>
    <t>ExecutionFlag2</t>
  </si>
  <si>
    <t>Process2</t>
  </si>
  <si>
    <t>LegalNameInformation_Country2</t>
  </si>
  <si>
    <t>ContactInformation_Phone_CountryPhoneCode2</t>
  </si>
  <si>
    <t>ContactInformation_Phone_PhoneDevice2</t>
  </si>
  <si>
    <t>ContactInformation_Phone_Type2</t>
  </si>
  <si>
    <t>ContactInformation_Address_Type2</t>
  </si>
  <si>
    <t>ContactInformation_Email_Type2</t>
  </si>
  <si>
    <t>JobDetails_Reason2</t>
  </si>
  <si>
    <t>JobDetails_EmployeeType2</t>
  </si>
  <si>
    <t>JobDetails_JobProfile2</t>
  </si>
  <si>
    <t>JobDetails_TimeType2</t>
  </si>
  <si>
    <t>JobDetails_AdditionalInformation_WorkShift2</t>
  </si>
  <si>
    <t>AssignPayGroup_ProposedPayGroup2</t>
  </si>
  <si>
    <t>Proxy_ProxyNumber2</t>
  </si>
  <si>
    <t>Proxy_OnBehalfOf2</t>
  </si>
  <si>
    <t>Position</t>
  </si>
  <si>
    <t>JobDetails_Position2</t>
  </si>
  <si>
    <t>Assistant Manager-2</t>
  </si>
  <si>
    <t>Assistant Manager-3</t>
  </si>
  <si>
    <t>Test Store Manager-2</t>
  </si>
  <si>
    <t>JobDetails_HireDate2</t>
  </si>
  <si>
    <t>End Employment Date</t>
  </si>
  <si>
    <t>JobDetails_AdditionalInformation_EndEmploymentDate2</t>
  </si>
  <si>
    <t>MaintainEmployeeContract_Reason2</t>
  </si>
  <si>
    <t>MaintainEmployeeContract_Status2</t>
  </si>
  <si>
    <t>MaintainEmployeeContract_ContractType2</t>
  </si>
  <si>
    <t>for the purposes of performing any work of casual or seasonal nature</t>
  </si>
  <si>
    <t>for the purposes of performing work during the term of office</t>
  </si>
  <si>
    <t>for the purposes of substituting an employee during his/her excused absence at work</t>
  </si>
  <si>
    <t>No reason necessary</t>
  </si>
  <si>
    <t>MaintainEmployeeContract_ContractEndDate2</t>
  </si>
  <si>
    <t>JobDetails_Location2</t>
  </si>
  <si>
    <t>Location</t>
  </si>
  <si>
    <t>1 Day</t>
  </si>
  <si>
    <t>2 Days</t>
  </si>
  <si>
    <t>3 Days</t>
  </si>
  <si>
    <t>4 Days</t>
  </si>
  <si>
    <t>5 Days</t>
  </si>
  <si>
    <t>AddProbationPeriod_ProbationEndDate2</t>
  </si>
  <si>
    <t>ProposeCompensationHire_GradeProfile2</t>
  </si>
  <si>
    <t>ProposeCompensationHire_Step2</t>
  </si>
  <si>
    <t>Defaulted</t>
  </si>
  <si>
    <t>EditPassportsandVisas_Country2</t>
  </si>
  <si>
    <t>EditPassportsandVisas_PassportIDType2</t>
  </si>
  <si>
    <t>EditPassportsandVisas_IdentificationNo2</t>
  </si>
  <si>
    <t>EditPassportsandVisas_IssuedDate2</t>
  </si>
  <si>
    <t>EditPassportsandVisas_ExpirationDate2</t>
  </si>
  <si>
    <t>Married</t>
  </si>
  <si>
    <t>ChangeMyPersonalInformation_MaritalStatus2</t>
  </si>
  <si>
    <t>Single</t>
  </si>
  <si>
    <t>Not Disclosed</t>
  </si>
  <si>
    <t>ChangeMyEmergencyContacts_Relationship2</t>
  </si>
  <si>
    <t>Father</t>
  </si>
  <si>
    <t>Mother</t>
  </si>
  <si>
    <t>Spouse</t>
  </si>
  <si>
    <t>Partner</t>
  </si>
  <si>
    <t>ChangeMyEmergencyContacts_PhoneDevice2</t>
  </si>
  <si>
    <t>ChangeMyGovernmentIDs_NationalIDs_NationalIDType2</t>
  </si>
  <si>
    <t>PaymentElectionOption_AccountType2</t>
  </si>
  <si>
    <t>Savings</t>
  </si>
  <si>
    <t>Version</t>
  </si>
  <si>
    <t>History</t>
  </si>
  <si>
    <t>Date</t>
  </si>
  <si>
    <t>Details</t>
  </si>
  <si>
    <t>Initial Release</t>
  </si>
  <si>
    <t>Version_Number</t>
  </si>
  <si>
    <t>First Names</t>
  </si>
  <si>
    <t>Abigail</t>
  </si>
  <si>
    <t>Alexandra</t>
  </si>
  <si>
    <t>Alison</t>
  </si>
  <si>
    <t>Amanda</t>
  </si>
  <si>
    <t>Amelia</t>
  </si>
  <si>
    <t>Amy</t>
  </si>
  <si>
    <t>Andrea</t>
  </si>
  <si>
    <t>Angela</t>
  </si>
  <si>
    <t>Anna</t>
  </si>
  <si>
    <t>Anne</t>
  </si>
  <si>
    <t>Audrey</t>
  </si>
  <si>
    <t>Ava</t>
  </si>
  <si>
    <t>Bella</t>
  </si>
  <si>
    <t>Bernadette</t>
  </si>
  <si>
    <t>Carol</t>
  </si>
  <si>
    <t>Caroline</t>
  </si>
  <si>
    <t>Carolyn</t>
  </si>
  <si>
    <t>Chloe</t>
  </si>
  <si>
    <t>Claire</t>
  </si>
  <si>
    <t>Deirdre</t>
  </si>
  <si>
    <t>Diana</t>
  </si>
  <si>
    <t>Diane</t>
  </si>
  <si>
    <t>Donna</t>
  </si>
  <si>
    <t>Dorothy</t>
  </si>
  <si>
    <t>Elizabeth</t>
  </si>
  <si>
    <t>Ella</t>
  </si>
  <si>
    <t>Emily</t>
  </si>
  <si>
    <t>Emma</t>
  </si>
  <si>
    <t>Faith</t>
  </si>
  <si>
    <t>Felicity</t>
  </si>
  <si>
    <t>Fiona</t>
  </si>
  <si>
    <t>Gabrielle</t>
  </si>
  <si>
    <t>Grace</t>
  </si>
  <si>
    <t>Hannah</t>
  </si>
  <si>
    <t>Heather</t>
  </si>
  <si>
    <t>Irene</t>
  </si>
  <si>
    <t>Jan</t>
  </si>
  <si>
    <t>Jane</t>
  </si>
  <si>
    <t>Jasmine</t>
  </si>
  <si>
    <t>Jennifer</t>
  </si>
  <si>
    <t>Jessica</t>
  </si>
  <si>
    <t>Joan</t>
  </si>
  <si>
    <t>Joanne</t>
  </si>
  <si>
    <t>Julia</t>
  </si>
  <si>
    <t>Karen</t>
  </si>
  <si>
    <t>Katherine</t>
  </si>
  <si>
    <t>Kimberly</t>
  </si>
  <si>
    <t>Kylie</t>
  </si>
  <si>
    <t>Lauren</t>
  </si>
  <si>
    <t>Leah</t>
  </si>
  <si>
    <t>Lillian</t>
  </si>
  <si>
    <t>Lily</t>
  </si>
  <si>
    <t>Lisa</t>
  </si>
  <si>
    <t>Madeleine</t>
  </si>
  <si>
    <t>Maria</t>
  </si>
  <si>
    <t>Mary</t>
  </si>
  <si>
    <t>Megan</t>
  </si>
  <si>
    <t>Melanie</t>
  </si>
  <si>
    <t>Michelle</t>
  </si>
  <si>
    <t>Molly</t>
  </si>
  <si>
    <t>Natalie</t>
  </si>
  <si>
    <t>Nicola</t>
  </si>
  <si>
    <t>Olivia</t>
  </si>
  <si>
    <t>Penelope</t>
  </si>
  <si>
    <t>Pippa</t>
  </si>
  <si>
    <t>Rachel</t>
  </si>
  <si>
    <t>Rebecca</t>
  </si>
  <si>
    <t>Rose</t>
  </si>
  <si>
    <t>Ruth</t>
  </si>
  <si>
    <t>Sally</t>
  </si>
  <si>
    <t>Samantha</t>
  </si>
  <si>
    <t>Sarah</t>
  </si>
  <si>
    <t>Sonia</t>
  </si>
  <si>
    <t>Sophie</t>
  </si>
  <si>
    <t>Stephanie</t>
  </si>
  <si>
    <t>Sue</t>
  </si>
  <si>
    <t>Theresa</t>
  </si>
  <si>
    <t>Tracey</t>
  </si>
  <si>
    <t>Una</t>
  </si>
  <si>
    <t>Vanessa</t>
  </si>
  <si>
    <t>Victoria</t>
  </si>
  <si>
    <t>Virginia</t>
  </si>
  <si>
    <t>Wanda</t>
  </si>
  <si>
    <t>Wendy</t>
  </si>
  <si>
    <t>Yvonne</t>
  </si>
  <si>
    <t>Zoe</t>
  </si>
  <si>
    <t>Adam</t>
  </si>
  <si>
    <t>Adrian</t>
  </si>
  <si>
    <t>Alan</t>
  </si>
  <si>
    <t>Alexander</t>
  </si>
  <si>
    <t>Andrew</t>
  </si>
  <si>
    <t>Anthony</t>
  </si>
  <si>
    <t>Austin</t>
  </si>
  <si>
    <t>Benjamin</t>
  </si>
  <si>
    <t>Blake</t>
  </si>
  <si>
    <t>Boris</t>
  </si>
  <si>
    <t>Brandon</t>
  </si>
  <si>
    <t>Brian</t>
  </si>
  <si>
    <t>Cameron</t>
  </si>
  <si>
    <t>Carl</t>
  </si>
  <si>
    <t>Charles</t>
  </si>
  <si>
    <t>Christian</t>
  </si>
  <si>
    <t>Christopher</t>
  </si>
  <si>
    <t>Colin</t>
  </si>
  <si>
    <t>Connor</t>
  </si>
  <si>
    <t>Dan</t>
  </si>
  <si>
    <t>David</t>
  </si>
  <si>
    <t>Dominic</t>
  </si>
  <si>
    <t>Dylan</t>
  </si>
  <si>
    <t>Edward</t>
  </si>
  <si>
    <t>Eric</t>
  </si>
  <si>
    <t>Evan</t>
  </si>
  <si>
    <t>Frank</t>
  </si>
  <si>
    <t>Gavin</t>
  </si>
  <si>
    <t>Gordon</t>
  </si>
  <si>
    <t>Harry</t>
  </si>
  <si>
    <t>Ian</t>
  </si>
  <si>
    <t>Isaac</t>
  </si>
  <si>
    <t>Jack</t>
  </si>
  <si>
    <t>Jacob</t>
  </si>
  <si>
    <t>Jake</t>
  </si>
  <si>
    <t>James</t>
  </si>
  <si>
    <t>Jason</t>
  </si>
  <si>
    <t>Joe</t>
  </si>
  <si>
    <t>John</t>
  </si>
  <si>
    <t>Jonathan</t>
  </si>
  <si>
    <t>Joseph</t>
  </si>
  <si>
    <t>Joshua</t>
  </si>
  <si>
    <t>Julian</t>
  </si>
  <si>
    <t>Justin</t>
  </si>
  <si>
    <t>Keith</t>
  </si>
  <si>
    <t>Kevin</t>
  </si>
  <si>
    <t>Leonard</t>
  </si>
  <si>
    <t>Liam</t>
  </si>
  <si>
    <t>Lucas</t>
  </si>
  <si>
    <t>Luke</t>
  </si>
  <si>
    <t>Matt</t>
  </si>
  <si>
    <t>Max</t>
  </si>
  <si>
    <t>Michael</t>
  </si>
  <si>
    <t>Nathan</t>
  </si>
  <si>
    <t>Neil</t>
  </si>
  <si>
    <t>Nicholas</t>
  </si>
  <si>
    <t>Oliver</t>
  </si>
  <si>
    <t>Owen</t>
  </si>
  <si>
    <t>Paul</t>
  </si>
  <si>
    <t>Peter</t>
  </si>
  <si>
    <t>Phil</t>
  </si>
  <si>
    <t>Piers</t>
  </si>
  <si>
    <t>Richard</t>
  </si>
  <si>
    <t>Robert</t>
  </si>
  <si>
    <t>Ryan</t>
  </si>
  <si>
    <t>Sam</t>
  </si>
  <si>
    <t>Sean</t>
  </si>
  <si>
    <t>Sebastian</t>
  </si>
  <si>
    <t>Simon</t>
  </si>
  <si>
    <t>Stephen</t>
  </si>
  <si>
    <t>Steven</t>
  </si>
  <si>
    <t>Stewart</t>
  </si>
  <si>
    <t>Thomas</t>
  </si>
  <si>
    <t>Tim</t>
  </si>
  <si>
    <t>Trevor</t>
  </si>
  <si>
    <t>Victor</t>
  </si>
  <si>
    <t>Warren</t>
  </si>
  <si>
    <t>William</t>
  </si>
  <si>
    <t>Abraham</t>
  </si>
  <si>
    <t>Allan</t>
  </si>
  <si>
    <t>Alsop</t>
  </si>
  <si>
    <t>Anderson</t>
  </si>
  <si>
    <t>Arnold</t>
  </si>
  <si>
    <t>Avery</t>
  </si>
  <si>
    <t>Bailey</t>
  </si>
  <si>
    <t>Baker</t>
  </si>
  <si>
    <t>Ball</t>
  </si>
  <si>
    <t>Bell</t>
  </si>
  <si>
    <t>Berry</t>
  </si>
  <si>
    <t>Black</t>
  </si>
  <si>
    <t>Bond</t>
  </si>
  <si>
    <t>Bower</t>
  </si>
  <si>
    <t>Brown</t>
  </si>
  <si>
    <t>Buckland</t>
  </si>
  <si>
    <t>Burgess</t>
  </si>
  <si>
    <t>Butler</t>
  </si>
  <si>
    <t>Campbell</t>
  </si>
  <si>
    <t>Carr</t>
  </si>
  <si>
    <t>Chapman</t>
  </si>
  <si>
    <t>Churchill</t>
  </si>
  <si>
    <t>Clark</t>
  </si>
  <si>
    <t>Clarkson</t>
  </si>
  <si>
    <t>Coleman</t>
  </si>
  <si>
    <t>Cornish</t>
  </si>
  <si>
    <t>Davidson</t>
  </si>
  <si>
    <t>Davies</t>
  </si>
  <si>
    <t>Dickens</t>
  </si>
  <si>
    <t>Dowd</t>
  </si>
  <si>
    <t>Duncan</t>
  </si>
  <si>
    <t>Dyer</t>
  </si>
  <si>
    <t>Edmunds</t>
  </si>
  <si>
    <t>Ellison</t>
  </si>
  <si>
    <t>Ferguson</t>
  </si>
  <si>
    <t>Fisher</t>
  </si>
  <si>
    <t>Forsyth</t>
  </si>
  <si>
    <t>Fraser</t>
  </si>
  <si>
    <t>Gibson</t>
  </si>
  <si>
    <t>Gill</t>
  </si>
  <si>
    <t>Glover</t>
  </si>
  <si>
    <t>Graham</t>
  </si>
  <si>
    <t>Grant</t>
  </si>
  <si>
    <t>Gray</t>
  </si>
  <si>
    <t>Greene</t>
  </si>
  <si>
    <t>Hamilton</t>
  </si>
  <si>
    <t>Hardacre</t>
  </si>
  <si>
    <t>Harris</t>
  </si>
  <si>
    <t>Hart</t>
  </si>
  <si>
    <t>Hemmings</t>
  </si>
  <si>
    <t>Henderson</t>
  </si>
  <si>
    <t>Hill</t>
  </si>
  <si>
    <t>Hodges</t>
  </si>
  <si>
    <t>Howard</t>
  </si>
  <si>
    <t>Hudson</t>
  </si>
  <si>
    <t>Hughes</t>
  </si>
  <si>
    <t>Hunter</t>
  </si>
  <si>
    <t>Ince</t>
  </si>
  <si>
    <t>Jackson</t>
  </si>
  <si>
    <t>Johnston</t>
  </si>
  <si>
    <t>Jones</t>
  </si>
  <si>
    <t>Kelly</t>
  </si>
  <si>
    <t>Kerr</t>
  </si>
  <si>
    <t>King</t>
  </si>
  <si>
    <t>Knox</t>
  </si>
  <si>
    <t>Lambert</t>
  </si>
  <si>
    <t>Langdon</t>
  </si>
  <si>
    <t>Lawrence</t>
  </si>
  <si>
    <t>Lee</t>
  </si>
  <si>
    <t>Lewis</t>
  </si>
  <si>
    <t>Lyman</t>
  </si>
  <si>
    <t>MacDonald</t>
  </si>
  <si>
    <t>Mackay</t>
  </si>
  <si>
    <t>Mackenzie</t>
  </si>
  <si>
    <t>MacLeod</t>
  </si>
  <si>
    <t>Manning</t>
  </si>
  <si>
    <t>Marshall</t>
  </si>
  <si>
    <t>Martin</t>
  </si>
  <si>
    <t>Mathis</t>
  </si>
  <si>
    <t>May</t>
  </si>
  <si>
    <t>McDonald</t>
  </si>
  <si>
    <t>McLean</t>
  </si>
  <si>
    <t>McGrath</t>
  </si>
  <si>
    <t>Metcalfe</t>
  </si>
  <si>
    <t>Miller</t>
  </si>
  <si>
    <t>Mills</t>
  </si>
  <si>
    <t>Mitchell</t>
  </si>
  <si>
    <t>Morgan</t>
  </si>
  <si>
    <t>Morrison</t>
  </si>
  <si>
    <t>Murray</t>
  </si>
  <si>
    <t>Nash</t>
  </si>
  <si>
    <t>Newman</t>
  </si>
  <si>
    <t>Nolan</t>
  </si>
  <si>
    <t>North</t>
  </si>
  <si>
    <t>Ogden</t>
  </si>
  <si>
    <t>Paige</t>
  </si>
  <si>
    <t>Parr</t>
  </si>
  <si>
    <t>Parsons</t>
  </si>
  <si>
    <t>Paterson</t>
  </si>
  <si>
    <t>Payne</t>
  </si>
  <si>
    <t>Peake</t>
  </si>
  <si>
    <t>Peters</t>
  </si>
  <si>
    <t>Piper</t>
  </si>
  <si>
    <t>Poole</t>
  </si>
  <si>
    <t>Powell</t>
  </si>
  <si>
    <t>Pullman</t>
  </si>
  <si>
    <t>Quinn</t>
  </si>
  <si>
    <t>Rampling</t>
  </si>
  <si>
    <t>Randall</t>
  </si>
  <si>
    <t>Rees</t>
  </si>
  <si>
    <t>Reid</t>
  </si>
  <si>
    <t>Roberts</t>
  </si>
  <si>
    <t>Robertson</t>
  </si>
  <si>
    <t>Ross</t>
  </si>
  <si>
    <t>Russell</t>
  </si>
  <si>
    <t>Rutherford</t>
  </si>
  <si>
    <t>Sanderson</t>
  </si>
  <si>
    <t>Scott</t>
  </si>
  <si>
    <t>Sharp</t>
  </si>
  <si>
    <t>Short</t>
  </si>
  <si>
    <t>Simpson</t>
  </si>
  <si>
    <t>Skinner</t>
  </si>
  <si>
    <t>Slater</t>
  </si>
  <si>
    <t>Smith</t>
  </si>
  <si>
    <t>Springer</t>
  </si>
  <si>
    <t>Sutherland</t>
  </si>
  <si>
    <t>Taylor</t>
  </si>
  <si>
    <t>Terry</t>
  </si>
  <si>
    <t>Thomson</t>
  </si>
  <si>
    <t>Tucker</t>
  </si>
  <si>
    <t>Turner</t>
  </si>
  <si>
    <t>Underwood</t>
  </si>
  <si>
    <t>Vance</t>
  </si>
  <si>
    <t>Vaughan</t>
  </si>
  <si>
    <t>Walker</t>
  </si>
  <si>
    <t>Wallace</t>
  </si>
  <si>
    <t>Walsh</t>
  </si>
  <si>
    <t>Watson</t>
  </si>
  <si>
    <t>Welch</t>
  </si>
  <si>
    <t>White</t>
  </si>
  <si>
    <t>Wilkins</t>
  </si>
  <si>
    <t>Wilson</t>
  </si>
  <si>
    <t>Wright</t>
  </si>
  <si>
    <t>Young</t>
  </si>
  <si>
    <t>NUL8H1001</t>
  </si>
  <si>
    <t>NUL8H1002</t>
  </si>
  <si>
    <t>NUL8H1003</t>
  </si>
  <si>
    <t>NUL8H1004</t>
  </si>
  <si>
    <t>NUL8H1005</t>
  </si>
  <si>
    <t>NUL8H1006</t>
  </si>
  <si>
    <t>NUL8H1007</t>
  </si>
  <si>
    <t>NUL8H1008</t>
  </si>
  <si>
    <t>NUL8H1009</t>
  </si>
  <si>
    <t>NUL8H1010</t>
  </si>
  <si>
    <t>NUL8H1011</t>
  </si>
  <si>
    <t>NUL8H1012</t>
  </si>
  <si>
    <t>NUL8H1013</t>
  </si>
  <si>
    <t>NUL8H1014</t>
  </si>
  <si>
    <t>NUL8H1015</t>
  </si>
  <si>
    <t>NUL8H1016</t>
  </si>
  <si>
    <t>NUL8H1017</t>
  </si>
  <si>
    <t>NUL8H1018</t>
  </si>
  <si>
    <t>NUL8H1019</t>
  </si>
  <si>
    <t>NUL8H1020</t>
  </si>
  <si>
    <t>NUL8H1021</t>
  </si>
  <si>
    <t>NUL8H1022</t>
  </si>
  <si>
    <t>NUL8H1023</t>
  </si>
  <si>
    <t>NUL8H1024</t>
  </si>
  <si>
    <t>NUL8H1025</t>
  </si>
  <si>
    <t>NUL8H1026</t>
  </si>
  <si>
    <t>NUL8H1027</t>
  </si>
  <si>
    <t>NUL8H1028</t>
  </si>
  <si>
    <t>NUL8H1029</t>
  </si>
  <si>
    <t>NUL8H1030</t>
  </si>
  <si>
    <t>NUL8H1031</t>
  </si>
  <si>
    <t>NUL8H1032</t>
  </si>
  <si>
    <t>NUL8H1033</t>
  </si>
  <si>
    <t>NUL8H1034</t>
  </si>
  <si>
    <t>NUL8H1035</t>
  </si>
  <si>
    <t>NUL8H1036</t>
  </si>
  <si>
    <t>NUL8H1037</t>
  </si>
  <si>
    <t>NUL8H1038</t>
  </si>
  <si>
    <t>NUL8H1039</t>
  </si>
  <si>
    <t>NUL8H1040</t>
  </si>
  <si>
    <t>NUL8H1041</t>
  </si>
  <si>
    <t>NUL8H1042</t>
  </si>
  <si>
    <t>NUL8H1043</t>
  </si>
  <si>
    <t>NUL8H1044</t>
  </si>
  <si>
    <t>NUL8H1045</t>
  </si>
  <si>
    <t>NUL8H1046</t>
  </si>
  <si>
    <t>NUL8H1047</t>
  </si>
  <si>
    <t>NUL8H1048</t>
  </si>
  <si>
    <t>NUL8H1049</t>
  </si>
  <si>
    <t>NUL8H1050</t>
  </si>
  <si>
    <t>NUL8H1051</t>
  </si>
  <si>
    <t>NUL8H1052</t>
  </si>
  <si>
    <t>NUL8H1053</t>
  </si>
  <si>
    <t>NUL8H1054</t>
  </si>
  <si>
    <t>NUL8H1055</t>
  </si>
  <si>
    <t>NUL8H1056</t>
  </si>
  <si>
    <t>NUL8H1057</t>
  </si>
  <si>
    <t>NUL8H1058</t>
  </si>
  <si>
    <t>NUL8H1059</t>
  </si>
  <si>
    <t>NUL8H1060</t>
  </si>
  <si>
    <t>NUL8H1061</t>
  </si>
  <si>
    <t>NUL8H1062</t>
  </si>
  <si>
    <t>NUL8H1063</t>
  </si>
  <si>
    <t>NUL8H1064</t>
  </si>
  <si>
    <t>NUL8H1065</t>
  </si>
  <si>
    <t>NUL8H1066</t>
  </si>
  <si>
    <t>NUL8H1067</t>
  </si>
  <si>
    <t>NUL8H1068</t>
  </si>
  <si>
    <t>NUL8H1069</t>
  </si>
  <si>
    <t>NUL8H1070</t>
  </si>
  <si>
    <t>NUL8H1071</t>
  </si>
  <si>
    <t>NUL8H1072</t>
  </si>
  <si>
    <t>NUL8H1073</t>
  </si>
  <si>
    <t>NUL8H1074</t>
  </si>
  <si>
    <t>NUL8H1075</t>
  </si>
  <si>
    <t>NUL8H1076</t>
  </si>
  <si>
    <t>NUL8H1077</t>
  </si>
  <si>
    <t>NUL8H1078</t>
  </si>
  <si>
    <t>NUL8H1079</t>
  </si>
  <si>
    <t>NUL8H1080</t>
  </si>
  <si>
    <t>NUL8H1081</t>
  </si>
  <si>
    <t>NUL8H1082</t>
  </si>
  <si>
    <t>NUL8H1083</t>
  </si>
  <si>
    <t>NUL8H1084</t>
  </si>
  <si>
    <t>NUL8H1085</t>
  </si>
  <si>
    <t>NUL8H1086</t>
  </si>
  <si>
    <t>NUL8H1087</t>
  </si>
  <si>
    <t>NUL8H1088</t>
  </si>
  <si>
    <t>NUL8H1089</t>
  </si>
  <si>
    <t>NUL8H1090</t>
  </si>
  <si>
    <t>NUL8H1091</t>
  </si>
  <si>
    <t>NUL8H1092</t>
  </si>
  <si>
    <t>NUL8H1093</t>
  </si>
  <si>
    <t>NUL8H1094</t>
  </si>
  <si>
    <t>NUL8H1095</t>
  </si>
  <si>
    <t>NUL8H1096</t>
  </si>
  <si>
    <t>NUL8H1097</t>
  </si>
  <si>
    <t>NUL8H1098</t>
  </si>
  <si>
    <t>NUL8H1099</t>
  </si>
  <si>
    <t>NUL8H1100</t>
  </si>
  <si>
    <t>NUL8H1101</t>
  </si>
  <si>
    <t>NUL8H1102</t>
  </si>
  <si>
    <t>NUL8H1103</t>
  </si>
  <si>
    <t>NUL8H1104</t>
  </si>
  <si>
    <t>NUL8H1105</t>
  </si>
  <si>
    <t>NUL8H1106</t>
  </si>
  <si>
    <t>NUL8H1107</t>
  </si>
  <si>
    <t>NUL8H1108</t>
  </si>
  <si>
    <t>NUL8H1109</t>
  </si>
  <si>
    <t>NUL8H1110</t>
  </si>
  <si>
    <t>NUL8H1111</t>
  </si>
  <si>
    <t>NUL8H1112</t>
  </si>
  <si>
    <t>NUL8H1113</t>
  </si>
  <si>
    <t>NUL8H1114</t>
  </si>
  <si>
    <t>NUL8H1115</t>
  </si>
  <si>
    <t>NUL8H1116</t>
  </si>
  <si>
    <t>NUL8H1117</t>
  </si>
  <si>
    <t>NUL8H1118</t>
  </si>
  <si>
    <t>NUL8H1119</t>
  </si>
  <si>
    <t>NUL8H1120</t>
  </si>
  <si>
    <t>NUL8H1121</t>
  </si>
  <si>
    <t>NUL8H1122</t>
  </si>
  <si>
    <t>NUL8H1123</t>
  </si>
  <si>
    <t>NUL8H1124</t>
  </si>
  <si>
    <t>NUL8H1125</t>
  </si>
  <si>
    <t>NUL8H1126</t>
  </si>
  <si>
    <t>NUL8H1127</t>
  </si>
  <si>
    <t>NUL8H1128</t>
  </si>
  <si>
    <t>NUL8H1129</t>
  </si>
  <si>
    <t>NUL8H1130</t>
  </si>
  <si>
    <t>NUL8H1131</t>
  </si>
  <si>
    <t>NUL8H1132</t>
  </si>
  <si>
    <t>NUL8H1133</t>
  </si>
  <si>
    <t>NUL8H1134</t>
  </si>
  <si>
    <t>NUL8H1135</t>
  </si>
  <si>
    <t>NUL8H1136</t>
  </si>
  <si>
    <t>NUL8H1137</t>
  </si>
  <si>
    <t>NUL8H1138</t>
  </si>
  <si>
    <t>NUL8H1139</t>
  </si>
  <si>
    <t>NUL8H1140</t>
  </si>
  <si>
    <t>NUL8H1141</t>
  </si>
  <si>
    <t>NUL8H1142</t>
  </si>
  <si>
    <t>NUL8H1143</t>
  </si>
  <si>
    <t>NUL8H1144</t>
  </si>
  <si>
    <t>NUL8H1145</t>
  </si>
  <si>
    <t>NUL8H1146</t>
  </si>
  <si>
    <t>NUL8H1147</t>
  </si>
  <si>
    <t>NUL8H1148</t>
  </si>
  <si>
    <t>NUL8H1149</t>
  </si>
  <si>
    <t>NUL8H1150</t>
  </si>
  <si>
    <t>NUL8H1151</t>
  </si>
  <si>
    <t>NUL8H1152</t>
  </si>
  <si>
    <t>NUL8H1153</t>
  </si>
  <si>
    <t>NUL8H1154</t>
  </si>
  <si>
    <t>NUL8H1155</t>
  </si>
  <si>
    <t>NUL8H1156</t>
  </si>
  <si>
    <t>NUL8H1157</t>
  </si>
  <si>
    <t>NUL8H1158</t>
  </si>
  <si>
    <t>NUL8H1159</t>
  </si>
  <si>
    <t>NUL8H1160</t>
  </si>
  <si>
    <t>NUL8H1161</t>
  </si>
  <si>
    <t>NUL8H1162</t>
  </si>
  <si>
    <t>NUL8H1163</t>
  </si>
  <si>
    <t>NUL8H1164</t>
  </si>
  <si>
    <t>NUL8H1165</t>
  </si>
  <si>
    <t>Info</t>
  </si>
  <si>
    <t>Dates</t>
  </si>
  <si>
    <t>Unhighlighted fields</t>
  </si>
  <si>
    <t xml:space="preserve">Only data in unhighlighted fields can be changed. </t>
  </si>
  <si>
    <t>Last Run Status / Last Run Error Message</t>
  </si>
  <si>
    <t>Red highlighted fields</t>
  </si>
  <si>
    <t>Grey highlighted fields</t>
  </si>
  <si>
    <t>Indicates fields that cannot be changed</t>
  </si>
  <si>
    <t>When automation has run for a particular test, we need to check the status is set to Passed and no error messages are present for each test before the automation run for that particular test is considered valid</t>
  </si>
  <si>
    <t>Indicates fields where unique data is required otherwise automation will throw errors</t>
  </si>
  <si>
    <t>Scheduled Weekly Hours</t>
  </si>
  <si>
    <t>Salary</t>
  </si>
  <si>
    <t>Department Section</t>
  </si>
  <si>
    <t>Cost Center</t>
  </si>
  <si>
    <t>ChangeOrganizationAssignments_DepartmentSection2</t>
  </si>
  <si>
    <t>Checking</t>
  </si>
  <si>
    <t>Defect Description</t>
  </si>
  <si>
    <t>Automation Comments</t>
  </si>
  <si>
    <t>QA Comments</t>
  </si>
  <si>
    <t>New Role &amp; New Hire</t>
  </si>
  <si>
    <t>Grade Profile not populated causing salary to remain blank</t>
  </si>
  <si>
    <t>Passed</t>
  </si>
  <si>
    <t>Total</t>
  </si>
  <si>
    <t>Description</t>
  </si>
  <si>
    <t>Failed</t>
  </si>
  <si>
    <t>Personal Information Change Approval Email missing after 2nd and final  proxy into HR Manager</t>
  </si>
  <si>
    <t>Open button not available to assign paygroup for payroll. Approval required by David Bradley...</t>
  </si>
  <si>
    <t>Not Run</t>
  </si>
  <si>
    <t>Failed Tests Description</t>
  </si>
  <si>
    <t>Batch 1 - Summary</t>
  </si>
  <si>
    <t>Batch 1 - Defects</t>
  </si>
  <si>
    <t>Batch 2 - Defects</t>
  </si>
  <si>
    <t>Batch 2 - Summary</t>
  </si>
  <si>
    <t>All E2E Cycle 1 - Summary</t>
  </si>
  <si>
    <t>All E2E Cycle 1 - Defects</t>
  </si>
  <si>
    <t>%</t>
  </si>
  <si>
    <t>Total No.</t>
  </si>
  <si>
    <t>Executed</t>
  </si>
  <si>
    <t>Batch 3 - Summary</t>
  </si>
  <si>
    <t>Batch 3 - Defects</t>
  </si>
  <si>
    <t>GC - Under Investigation</t>
  </si>
  <si>
    <t>Data issue - Rerun scheduled</t>
  </si>
  <si>
    <t>Notes</t>
  </si>
  <si>
    <t>If a manager hire and new role is required then select "New Role and New Hire" otherwise select "New Hire</t>
  </si>
  <si>
    <t>If set to No will not execute in next automation run</t>
  </si>
  <si>
    <t>Once test is executed the Execution Timestamp and Pass/Fail status will be recorded here</t>
  </si>
  <si>
    <t>The newly created employee number will be recorded here</t>
  </si>
  <si>
    <t>If Automation throws errors, the details will be placed here</t>
  </si>
  <si>
    <t>After error investigation by the automation team, the defect description will be completed here</t>
  </si>
  <si>
    <t>Automation team free text field</t>
  </si>
  <si>
    <t>QA team free text field</t>
  </si>
  <si>
    <t>QA user login</t>
  </si>
  <si>
    <t>QA user password</t>
  </si>
  <si>
    <t>If Process is set to "New Role and New Hire" (Row 2) this position name will be ignored and replaced with the newly created name.</t>
  </si>
  <si>
    <t>Set to N/A when field not present otherwise automation will throw error</t>
  </si>
  <si>
    <t>Czechia</t>
  </si>
  <si>
    <t>Czechia (+420)</t>
  </si>
  <si>
    <t>Employment Agreement</t>
  </si>
  <si>
    <t>Agreement to complete a job</t>
  </si>
  <si>
    <t>Agreement to perform work</t>
  </si>
  <si>
    <t>Mobile</t>
  </si>
  <si>
    <t>Landline</t>
  </si>
  <si>
    <t>Vseobecne stredni s maturitou</t>
  </si>
  <si>
    <t>Iwona Chrostowska (10223439)</t>
  </si>
  <si>
    <t>SkillsAndExperience_AddEducation_School2</t>
  </si>
  <si>
    <t>If Fixed Term ensure contract end date below is populated and not N/A</t>
  </si>
  <si>
    <t>HealthCareProvider_MealVoucher2</t>
  </si>
  <si>
    <t>DPP/DPC</t>
  </si>
  <si>
    <t>895 Store Management (Male Teststmanager (10224969))</t>
  </si>
  <si>
    <t>Reporting_ID</t>
  </si>
  <si>
    <t>0.3</t>
  </si>
  <si>
    <t>For Czech all dates to be entered in format of DD/MM/YYYY</t>
  </si>
  <si>
    <t>D.O.B</t>
  </si>
  <si>
    <t>stredni bez maturity ci vyucniho listu</t>
  </si>
  <si>
    <t>Střední odborné vzdělání s výučním listem</t>
  </si>
  <si>
    <t>stredni odborne vzdelani s vyucnim listem</t>
  </si>
  <si>
    <t>Střední bez maturity či výučního listu</t>
  </si>
  <si>
    <t>vseobecne stredni s maturitou</t>
  </si>
  <si>
    <t>Vysokoskolske Bc</t>
  </si>
  <si>
    <t>Všeobecné  střední s maturitou</t>
  </si>
  <si>
    <t>Vysokoškolské Bc.</t>
  </si>
  <si>
    <t>Automation issue with Maiden Name - Gary to discuss with Shane/Andre</t>
  </si>
  <si>
    <t>P&amp;C Salary Assistant/Supervisor Salary Configuration missing</t>
  </si>
  <si>
    <t>School1</t>
  </si>
  <si>
    <t>School2</t>
  </si>
  <si>
    <t>Vysokoškolské MUDr., JUDr., Mgr., MgA., Ing.</t>
  </si>
  <si>
    <t>vysokoskolske MUDR., JUDr., Mgr., MgA., Ing.</t>
  </si>
  <si>
    <t>Vysokoškolské PhDr, PhD, JUDr, MUDr</t>
  </si>
  <si>
    <t>vysokoskolske PhDr, PhD, JUDr, MUDr</t>
  </si>
  <si>
    <t>Základní</t>
  </si>
  <si>
    <t>Zakladni</t>
  </si>
  <si>
    <t>vyšší odborné DiS</t>
  </si>
  <si>
    <t>vyssi odborne DiS</t>
  </si>
  <si>
    <t>r col b</t>
  </si>
  <si>
    <t xml:space="preserve">r col c </t>
  </si>
  <si>
    <t xml:space="preserve">r col d </t>
  </si>
  <si>
    <t>Kocour Mikeš (10225553)</t>
  </si>
  <si>
    <t>New RC Numbers</t>
  </si>
  <si>
    <t>Add Probation Period</t>
  </si>
  <si>
    <t>Probation End Date</t>
  </si>
  <si>
    <t>Additional Job Classifications</t>
  </si>
  <si>
    <t>362 Recruitment (Carolina De La Barrera Crespo (375))</t>
  </si>
  <si>
    <t>Madrid</t>
  </si>
  <si>
    <t>ContactInformation_Address_Province2</t>
  </si>
  <si>
    <t>Full Time</t>
  </si>
  <si>
    <t>Social Security Number (NSS)</t>
  </si>
  <si>
    <t>ChangeMyGovernmentIDs_NationalIDs_NationalIDType12</t>
  </si>
  <si>
    <t>ChangeMyGovernmentIDs_NationalIDs_NationalIDType22</t>
  </si>
  <si>
    <t>Test_ID</t>
  </si>
  <si>
    <t>362 Algeciras</t>
  </si>
  <si>
    <t>ID Card (DNI) Number</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</si>
  <si>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</si>
  <si>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</si>
  <si>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420 Lisbon - UBBO</t>
  </si>
  <si>
    <t>Lançamento de nova actividade de duração incerta, bem como início de laboração de uma empresa ou estabelecimento (só aplicável para contrato a termo certo)</t>
  </si>
  <si>
    <t>ContractStartDate</t>
  </si>
  <si>
    <t>ID Number</t>
  </si>
  <si>
    <t>Social Security Identification</t>
  </si>
  <si>
    <t>Taxpayer ID</t>
  </si>
  <si>
    <t>PT Monthly</t>
  </si>
  <si>
    <t>Name of Country</t>
  </si>
  <si>
    <t>Country Name</t>
  </si>
  <si>
    <t>Existing PreHire</t>
  </si>
  <si>
    <t>Existing PreHire Name to be placed here</t>
  </si>
  <si>
    <t>ReHire</t>
  </si>
  <si>
    <t>880 Store Management (Wozun Fedofe (10285793))</t>
  </si>
  <si>
    <t>Legal Name Information</t>
  </si>
  <si>
    <t>Country</t>
  </si>
  <si>
    <t>LegalNameInformation_Country</t>
  </si>
  <si>
    <t>Test country to be placed here</t>
  </si>
  <si>
    <t>Given Name</t>
  </si>
  <si>
    <t>LegalNameInformation_GivenName</t>
  </si>
  <si>
    <t>LegalNameInformation_GivenName2</t>
  </si>
  <si>
    <t>Automation will throw error if not unique</t>
  </si>
  <si>
    <t>First Last Name</t>
  </si>
  <si>
    <t>LegalNameInformation_FirstLastName</t>
  </si>
  <si>
    <t>LegalNameInformation_FirstLastName2</t>
  </si>
  <si>
    <t>Please select a Romania Pay Group</t>
  </si>
  <si>
    <t>Date Employee Signed</t>
  </si>
  <si>
    <t>Edit Additional Data</t>
  </si>
  <si>
    <t>Addendum Number</t>
  </si>
  <si>
    <t>Addendum Effective Date</t>
  </si>
  <si>
    <t>Work Shift</t>
  </si>
  <si>
    <t>880 Bucharest East Park Lake</t>
  </si>
  <si>
    <t>Addendum End Date</t>
  </si>
  <si>
    <t>Addendum Creation Date</t>
  </si>
  <si>
    <t>Proposed Pay Group Final</t>
  </si>
  <si>
    <t>Employee Number</t>
  </si>
  <si>
    <t>Proposed Pay Group Initial</t>
  </si>
  <si>
    <t>In-Store P&amp;C Assistant_NEW</t>
  </si>
  <si>
    <t>Main</t>
  </si>
  <si>
    <t>Test_3</t>
  </si>
  <si>
    <t>Test_4</t>
  </si>
  <si>
    <t>Test_5</t>
  </si>
  <si>
    <t>Test_6</t>
  </si>
  <si>
    <t>Test_7</t>
  </si>
  <si>
    <t>Test_8</t>
  </si>
  <si>
    <t>Test_9</t>
  </si>
  <si>
    <t>Test_10</t>
  </si>
  <si>
    <t>Test_11</t>
  </si>
  <si>
    <t>Test_12</t>
  </si>
  <si>
    <t>Test_13</t>
  </si>
  <si>
    <t>Test_14</t>
  </si>
  <si>
    <t>Retail Assistant_New</t>
  </si>
  <si>
    <t>Retail Assistant Stockroom_NEW</t>
  </si>
  <si>
    <t>Retail Assistant Special Contracts_NEW</t>
  </si>
  <si>
    <t>In-Store P&amp;C Supervisor_NEW</t>
  </si>
  <si>
    <t>Visual Merchandiser_NEW</t>
  </si>
  <si>
    <t>Operational Support_NEW</t>
  </si>
  <si>
    <t>Agreement</t>
  </si>
  <si>
    <t>Definite</t>
  </si>
  <si>
    <t>Agreement to Perform Work  (DPC) </t>
  </si>
  <si>
    <t>251 Management Retail</t>
  </si>
  <si>
    <t>261 Tills</t>
  </si>
  <si>
    <t>255 Stockroom</t>
  </si>
  <si>
    <t>250 Human Resources Retail</t>
  </si>
  <si>
    <t>256 Visual Merchandising</t>
  </si>
  <si>
    <t>Part Time</t>
  </si>
  <si>
    <t xml:space="preserve"> </t>
  </si>
  <si>
    <t>ReHireManagerNewRole</t>
  </si>
  <si>
    <t>Indefinite</t>
  </si>
  <si>
    <t>SK Monthly</t>
  </si>
  <si>
    <t>870 Retail Team 1 (Cofuc Jajuhi (9581610) (Inherited))</t>
  </si>
  <si>
    <t>HireSevenAP</t>
  </si>
  <si>
    <t>HireEightAP</t>
  </si>
  <si>
    <t>HireNineAP</t>
  </si>
  <si>
    <t>HireTenAP</t>
  </si>
  <si>
    <t>HireElevenAP</t>
  </si>
  <si>
    <t>HireTwelveAP</t>
  </si>
  <si>
    <t>HireFourteenAP</t>
  </si>
  <si>
    <t>64a53c105ef2508b54fb94a01614a7a95ca737c20871822818d65cfc</t>
  </si>
  <si>
    <t>HireSixteenAP</t>
  </si>
  <si>
    <t>Brennnan</t>
  </si>
  <si>
    <t>TestJmnu</t>
  </si>
  <si>
    <t>275 AM Group 1 (Tucev Rypafe (10144587) (Inherited))</t>
  </si>
  <si>
    <t>275 Recruitment (Jacok Sozeto (10196188))</t>
  </si>
  <si>
    <t>1@661</t>
  </si>
  <si>
    <t>Default Work Shift (Italy)</t>
  </si>
  <si>
    <t>94 Retail Operative</t>
  </si>
  <si>
    <t>06 Menswear</t>
  </si>
  <si>
    <t>ITA Monthly</t>
  </si>
  <si>
    <t>Please select a Italy Pay Group</t>
  </si>
  <si>
    <t>AssignCollectiveAgreement</t>
  </si>
  <si>
    <t>CollectiveAgreement</t>
  </si>
  <si>
    <t>AssignCollectiveAgreement_CollectiveAgreement</t>
  </si>
  <si>
    <t>AssignCollectiveAgreement_CollectiveAgreement2</t>
  </si>
  <si>
    <t>Collective Agreement</t>
  </si>
  <si>
    <t>ProfessionalCategory</t>
  </si>
  <si>
    <t>AssignCollectiveAgreement_ProfessionalCategory</t>
  </si>
  <si>
    <t>AssignCollectiveAgreement_ProfessionalCategory2</t>
  </si>
  <si>
    <t>Apprendistato</t>
  </si>
  <si>
    <t>Level</t>
  </si>
  <si>
    <t>AssignCollectiveAgreement_Level</t>
  </si>
  <si>
    <t>AssignCollectiveAgreement_Level2</t>
  </si>
  <si>
    <t>Level 5</t>
  </si>
  <si>
    <t>Family Name</t>
  </si>
  <si>
    <t>LegalNameInformation_FamilyName</t>
  </si>
  <si>
    <t>LegalNameInformation_FamilyName2</t>
  </si>
  <si>
    <t>BrennnanKK</t>
  </si>
  <si>
    <t>TestJmnuKK</t>
  </si>
  <si>
    <t>ItalyMK</t>
  </si>
  <si>
    <t>Italy</t>
  </si>
  <si>
    <t>2 - 2 (Italy Degree of Labour Difficulty-Italy)@5249999</t>
  </si>
  <si>
    <t>5 Days (Italy)</t>
  </si>
  <si>
    <t>4 Days (Italy)</t>
  </si>
  <si>
    <t>ItalyManagedFour</t>
  </si>
  <si>
    <t>ItalyNonManagedFive</t>
  </si>
  <si>
    <t>12/09/2023 16:11:23 Passed</t>
  </si>
  <si>
    <t>Auto 12092023 172248</t>
  </si>
  <si>
    <t>12/09/2023 17:49:35 Passed</t>
  </si>
  <si>
    <t>ItalyIDMTestD</t>
  </si>
  <si>
    <t>ItalyNonMKABB</t>
  </si>
  <si>
    <t>ItalyManagedABB</t>
  </si>
  <si>
    <t>ItalyNonMKAXY</t>
  </si>
  <si>
    <t>Auto 13092023 161854</t>
  </si>
  <si>
    <t>13/09/2023 16:36:26 Passed</t>
  </si>
  <si>
    <t>Auto 13092023 164313</t>
  </si>
  <si>
    <t>13/09/2023 16:59:39 Passed</t>
  </si>
  <si>
    <t>Auto 13092023 171337</t>
  </si>
  <si>
    <t>13/09/2023 17:27:31 Passed</t>
  </si>
  <si>
    <t>13/09/2023 17:48:07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</si>
</sst>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1" x14ac:knownFonts="1">
    <font>
      <sz val="11"/>
      <color theme="1"/>
      <name val="Calibri"/>
      <family val="2"/>
      <scheme val="minor"/>
    </font>
    <font>
      <b/>
      <sz val="10"/>
      <color theme="1"/>
      <name val="Calibri"/>
      <family val="2"/>
      <scheme val="minor"/>
    </font>
    <font>
      <sz val="8"/>
      <color theme="1"/>
      <name val="Arial Narrow"/>
      <family val="2"/>
    </font>
    <font>
      <b/>
      <sz val="11"/>
      <color theme="1"/>
      <name val="Calibri"/>
      <family val="2"/>
      <scheme val="minor"/>
    </font>
    <font>
      <b/>
      <sz val="10"/>
      <color rgb="FF000000"/>
      <name val="Calibri"/>
      <family val="2"/>
    </font>
    <font>
      <b/>
      <sz val="11"/>
      <color theme="1"/>
      <name val="Calibri"/>
      <family val="2"/>
    </font>
    <font>
      <b/>
      <sz val="11"/>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0" tint="-0.34998626667073579"/>
      <name val="Calibri"/>
      <family val="2"/>
      <scheme val="minor"/>
    </font>
    <font>
      <sz val="11"/>
      <name val="Calibri"/>
      <family val="2"/>
      <scheme val="minor"/>
    </font>
    <font>
      <sz val="11"/>
      <color theme="8"/>
      <name val="Calibri"/>
      <family val="2"/>
      <scheme val="minor"/>
    </font>
    <font>
      <sz val="8"/>
      <name val="Calibri"/>
      <family val="2"/>
      <scheme val="minor"/>
    </font>
    <font>
      <sz val="11"/>
      <color rgb="FF006100"/>
      <name val="Calibri"/>
      <family val="2"/>
      <scheme val="minor"/>
    </font>
    <font>
      <sz val="11"/>
      <color rgb="FF800000"/>
      <name val="Calibri"/>
      <family val="2"/>
      <scheme val="minor"/>
    </font>
    <font>
      <b/>
      <sz val="11"/>
      <color theme="0" tint="-0.34998626667073579"/>
      <name val="Calibri"/>
      <family val="2"/>
      <scheme val="minor"/>
    </font>
    <font>
      <b/>
      <sz val="11"/>
      <color rgb="FF800000"/>
      <name val="Calibri"/>
      <family val="2"/>
      <scheme val="minor"/>
    </font>
    <font>
      <sz val="11"/>
      <color theme="9" tint="-0.249977111117893"/>
      <name val="Calibri"/>
      <family val="2"/>
      <scheme val="minor"/>
    </font>
    <font>
      <sz val="11"/>
      <color rgb="FF4A4A4A"/>
      <name val="Calibri"/>
      <family val="2"/>
      <scheme val="minor"/>
    </font>
    <font>
      <b/>
      <sz val="11"/>
      <color rgb="FF000000"/>
      <name val="Arial"/>
      <family val="2"/>
    </font>
  </fonts>
  <fills count="1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C6EFCE"/>
      </patternFill>
    </fill>
    <fill>
      <patternFill patternType="solid">
        <fgColor theme="3" tint="0.39997558519241921"/>
        <bgColor indexed="64"/>
      </patternFill>
    </fill>
    <fill>
      <patternFill patternType="solid">
        <fgColor rgb="FFD9D9D9"/>
        <bgColor rgb="FF000000"/>
      </patternFill>
    </fill>
  </fills>
  <borders count="56">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bottom style="thin">
        <color auto="1"/>
      </bottom>
      <diagonal/>
    </border>
  </borders>
  <cellStyleXfs count="3">
    <xf numFmtId="0" fontId="0" fillId="0" borderId="0"/>
    <xf numFmtId="0" fontId="2" fillId="0" borderId="0"/>
    <xf numFmtId="0" fontId="14" fillId="11" borderId="0" applyNumberFormat="0" applyBorder="0" applyAlignment="0" applyProtection="0"/>
  </cellStyleXfs>
  <cellXfs count="219">
    <xf numFmtId="0" fontId="0" fillId="0" borderId="0" xfId="0"/>
    <xf numFmtId="0" fontId="0" fillId="0" borderId="1" xfId="0" applyBorder="1"/>
    <xf numFmtId="0" fontId="0" fillId="0" borderId="7" xfId="0" applyBorder="1"/>
    <xf numFmtId="0" fontId="0" fillId="0" borderId="8" xfId="0" applyBorder="1"/>
    <xf numFmtId="0" fontId="0" fillId="0" borderId="9" xfId="0" applyBorder="1"/>
    <xf numFmtId="0" fontId="0" fillId="0" borderId="11" xfId="0" applyBorder="1"/>
    <xf numFmtId="0" fontId="0" fillId="0" borderId="17" xfId="0" applyBorder="1"/>
    <xf numFmtId="0" fontId="0" fillId="0" borderId="14" xfId="0" applyBorder="1"/>
    <xf numFmtId="0" fontId="0" fillId="2" borderId="7" xfId="0" applyFill="1" applyBorder="1" applyAlignment="1">
      <alignment horizontal="left"/>
    </xf>
    <xf numFmtId="0" fontId="0" fillId="0" borderId="0" xfId="0" applyAlignment="1">
      <alignment horizontal="left"/>
    </xf>
    <xf numFmtId="0" fontId="0" fillId="3" borderId="4" xfId="0" applyFill="1" applyBorder="1" applyAlignment="1">
      <alignment horizontal="left"/>
    </xf>
    <xf numFmtId="0" fontId="0" fillId="4" borderId="0" xfId="0" applyFill="1" applyAlignment="1">
      <alignment horizontal="left"/>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7" fillId="0" borderId="20" xfId="0" applyFont="1" applyBorder="1" applyAlignment="1">
      <alignment vertical="center"/>
    </xf>
    <xf numFmtId="0" fontId="0" fillId="0" borderId="21" xfId="0" applyBorder="1"/>
    <xf numFmtId="0" fontId="0" fillId="0" borderId="22" xfId="0" applyBorder="1"/>
    <xf numFmtId="0" fontId="4" fillId="3" borderId="28" xfId="0" applyFont="1" applyFill="1" applyBorder="1" applyAlignment="1">
      <alignment horizontal="left" vertical="center"/>
    </xf>
    <xf numFmtId="0" fontId="4" fillId="3" borderId="14" xfId="0" applyFont="1" applyFill="1" applyBorder="1" applyAlignment="1">
      <alignment horizontal="center" vertical="center"/>
    </xf>
    <xf numFmtId="0" fontId="0" fillId="3" borderId="30" xfId="0" applyFill="1" applyBorder="1" applyAlignment="1">
      <alignment horizontal="left"/>
    </xf>
    <xf numFmtId="0" fontId="4" fillId="3" borderId="31" xfId="0" applyFont="1" applyFill="1" applyBorder="1" applyAlignment="1">
      <alignment horizontal="center" vertical="center"/>
    </xf>
    <xf numFmtId="0" fontId="0" fillId="2" borderId="0" xfId="0" applyFill="1"/>
    <xf numFmtId="0" fontId="0" fillId="2" borderId="13" xfId="0" applyFill="1" applyBorder="1"/>
    <xf numFmtId="0" fontId="0" fillId="2" borderId="16" xfId="0" applyFill="1" applyBorder="1"/>
    <xf numFmtId="0" fontId="7" fillId="2" borderId="20" xfId="0" applyFont="1" applyFill="1" applyBorder="1" applyAlignment="1">
      <alignment vertical="center"/>
    </xf>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8" fillId="0" borderId="14" xfId="0" applyFont="1" applyBorder="1"/>
    <xf numFmtId="0" fontId="8" fillId="0" borderId="21" xfId="0" applyFont="1" applyBorder="1"/>
    <xf numFmtId="0" fontId="10" fillId="4" borderId="0" xfId="0" applyFont="1" applyFill="1" applyAlignment="1">
      <alignment horizontal="left"/>
    </xf>
    <xf numFmtId="0" fontId="0" fillId="0" borderId="0" xfId="0" quotePrefix="1" applyAlignment="1" applyProtection="1">
      <alignment horizontal="left"/>
      <protection locked="0"/>
    </xf>
    <xf numFmtId="0" fontId="4" fillId="3" borderId="32" xfId="0" applyFont="1" applyFill="1" applyBorder="1" applyAlignment="1">
      <alignment horizontal="center" vertical="center"/>
    </xf>
    <xf numFmtId="0" fontId="6" fillId="0" borderId="21" xfId="0" applyFont="1" applyBorder="1" applyAlignment="1" applyProtection="1">
      <alignment horizontal="center" vertical="center"/>
      <protection locked="0"/>
    </xf>
    <xf numFmtId="0" fontId="5" fillId="3" borderId="33" xfId="0" applyFont="1" applyFill="1" applyBorder="1" applyAlignment="1" applyProtection="1">
      <alignment horizontal="center" vertical="center"/>
      <protection locked="0"/>
    </xf>
    <xf numFmtId="164" fontId="0" fillId="0" borderId="7" xfId="0" quotePrefix="1" applyNumberFormat="1" applyBorder="1" applyAlignment="1" applyProtection="1">
      <alignment horizontal="left"/>
      <protection locked="0"/>
    </xf>
    <xf numFmtId="0" fontId="8" fillId="0" borderId="2" xfId="0" applyFont="1" applyBorder="1"/>
    <xf numFmtId="0" fontId="8" fillId="0" borderId="15" xfId="0" quotePrefix="1" applyFont="1" applyBorder="1"/>
    <xf numFmtId="0" fontId="0" fillId="0" borderId="31" xfId="0" quotePrefix="1" applyBorder="1"/>
    <xf numFmtId="0" fontId="0" fillId="0" borderId="1" xfId="0" quotePrefix="1" applyBorder="1"/>
    <xf numFmtId="14" fontId="0" fillId="0" borderId="35" xfId="0" applyNumberFormat="1" applyBorder="1"/>
    <xf numFmtId="0" fontId="0" fillId="0" borderId="36" xfId="0" applyBorder="1"/>
    <xf numFmtId="0" fontId="0" fillId="0" borderId="37" xfId="0" applyBorder="1"/>
    <xf numFmtId="0" fontId="0" fillId="0" borderId="5" xfId="0" applyBorder="1"/>
    <xf numFmtId="0" fontId="0" fillId="0" borderId="38" xfId="0" applyBorder="1"/>
    <xf numFmtId="0" fontId="0" fillId="0" borderId="39" xfId="0" applyBorder="1"/>
    <xf numFmtId="0" fontId="0" fillId="0" borderId="40" xfId="0" applyBorder="1"/>
    <xf numFmtId="0" fontId="0" fillId="0" borderId="4" xfId="0" applyBorder="1"/>
    <xf numFmtId="0" fontId="0" fillId="0" borderId="41" xfId="0" applyBorder="1"/>
    <xf numFmtId="0" fontId="0" fillId="0" borderId="37"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43" xfId="0" applyFont="1" applyFill="1" applyBorder="1" applyAlignment="1">
      <alignment horizontal="center" vertical="center"/>
    </xf>
    <xf numFmtId="0" fontId="4" fillId="3" borderId="34" xfId="0" applyFont="1" applyFill="1" applyBorder="1" applyAlignment="1">
      <alignment horizontal="center" vertical="center"/>
    </xf>
    <xf numFmtId="0" fontId="5" fillId="3" borderId="7" xfId="0" applyFont="1" applyFill="1" applyBorder="1" applyAlignment="1" applyProtection="1">
      <alignment horizontal="center" vertical="center" wrapText="1"/>
      <protection locked="0"/>
    </xf>
    <xf numFmtId="0" fontId="5" fillId="0" borderId="7" xfId="0" applyFont="1" applyBorder="1" applyAlignment="1" applyProtection="1">
      <alignment horizontal="center" vertical="center"/>
      <protection locked="0"/>
    </xf>
    <xf numFmtId="0" fontId="0" fillId="0" borderId="0" xfId="0" applyAlignment="1">
      <alignment horizontal="center"/>
    </xf>
    <xf numFmtId="0" fontId="9" fillId="6" borderId="0" xfId="0" applyFont="1" applyFill="1"/>
    <xf numFmtId="0" fontId="0" fillId="6" borderId="0" xfId="0" applyFill="1" applyAlignment="1">
      <alignment horizontal="center"/>
    </xf>
    <xf numFmtId="0" fontId="0" fillId="6" borderId="0" xfId="0" applyFill="1"/>
    <xf numFmtId="0" fontId="3" fillId="6" borderId="29" xfId="0" applyFont="1" applyFill="1" applyBorder="1" applyAlignment="1">
      <alignment horizontal="center"/>
    </xf>
    <xf numFmtId="0" fontId="9" fillId="7" borderId="0" xfId="0" applyFont="1" applyFill="1"/>
    <xf numFmtId="0" fontId="0" fillId="7" borderId="0" xfId="0" applyFill="1" applyAlignment="1">
      <alignment horizontal="center"/>
    </xf>
    <xf numFmtId="0" fontId="0" fillId="7" borderId="0" xfId="0" applyFill="1"/>
    <xf numFmtId="0" fontId="3" fillId="7" borderId="12" xfId="0" applyFont="1" applyFill="1" applyBorder="1"/>
    <xf numFmtId="0" fontId="3" fillId="7" borderId="22" xfId="0" applyFont="1" applyFill="1" applyBorder="1" applyAlignment="1">
      <alignment horizontal="center"/>
    </xf>
    <xf numFmtId="0" fontId="3" fillId="7" borderId="0" xfId="0" applyFont="1" applyFill="1"/>
    <xf numFmtId="0" fontId="3" fillId="7" borderId="28" xfId="0" applyFont="1" applyFill="1" applyBorder="1"/>
    <xf numFmtId="0" fontId="3" fillId="7" borderId="29" xfId="0" applyFont="1" applyFill="1" applyBorder="1" applyAlignment="1">
      <alignment horizontal="center"/>
    </xf>
    <xf numFmtId="0" fontId="0" fillId="7" borderId="4" xfId="0" applyFill="1" applyBorder="1"/>
    <xf numFmtId="0" fontId="0" fillId="7" borderId="41" xfId="0" applyFill="1" applyBorder="1" applyAlignment="1">
      <alignment horizontal="center"/>
    </xf>
    <xf numFmtId="0" fontId="0" fillId="7" borderId="5" xfId="0" applyFill="1" applyBorder="1"/>
    <xf numFmtId="0" fontId="0" fillId="7" borderId="37" xfId="0" applyFill="1" applyBorder="1" applyAlignment="1">
      <alignment horizontal="center"/>
    </xf>
    <xf numFmtId="0" fontId="0" fillId="7" borderId="46" xfId="0" applyFill="1" applyBorder="1"/>
    <xf numFmtId="0" fontId="0" fillId="7" borderId="47" xfId="0" applyFill="1" applyBorder="1" applyAlignment="1">
      <alignment horizontal="center"/>
    </xf>
    <xf numFmtId="0" fontId="0" fillId="7" borderId="35" xfId="0" applyFill="1" applyBorder="1" applyAlignment="1">
      <alignment wrapText="1"/>
    </xf>
    <xf numFmtId="0" fontId="0" fillId="7" borderId="36" xfId="0" applyFill="1" applyBorder="1" applyAlignment="1">
      <alignment horizontal="center"/>
    </xf>
    <xf numFmtId="0" fontId="0" fillId="7" borderId="5" xfId="0" applyFill="1" applyBorder="1" applyAlignment="1">
      <alignment wrapText="1"/>
    </xf>
    <xf numFmtId="1" fontId="0" fillId="6" borderId="36" xfId="0" applyNumberFormat="1" applyFill="1" applyBorder="1" applyAlignment="1">
      <alignment horizontal="center"/>
    </xf>
    <xf numFmtId="0" fontId="3" fillId="6" borderId="14" xfId="0" applyFont="1" applyFill="1" applyBorder="1"/>
    <xf numFmtId="0" fontId="3" fillId="6" borderId="14" xfId="0" applyFont="1" applyFill="1" applyBorder="1" applyAlignment="1">
      <alignment horizontal="center"/>
    </xf>
    <xf numFmtId="1" fontId="0" fillId="6" borderId="37" xfId="0" applyNumberFormat="1" applyFill="1" applyBorder="1" applyAlignment="1">
      <alignment horizontal="center"/>
    </xf>
    <xf numFmtId="1" fontId="0" fillId="6" borderId="47" xfId="0" applyNumberFormat="1" applyFill="1" applyBorder="1" applyAlignment="1">
      <alignment horizontal="center"/>
    </xf>
    <xf numFmtId="1" fontId="3" fillId="6" borderId="29" xfId="0" applyNumberFormat="1" applyFont="1" applyFill="1" applyBorder="1" applyAlignment="1">
      <alignment horizontal="center"/>
    </xf>
    <xf numFmtId="1" fontId="0" fillId="6" borderId="41" xfId="0" applyNumberFormat="1" applyFill="1" applyBorder="1" applyAlignment="1">
      <alignment horizontal="center"/>
    </xf>
    <xf numFmtId="0" fontId="0" fillId="6" borderId="48" xfId="0" applyFill="1" applyBorder="1" applyAlignment="1">
      <alignment horizontal="center"/>
    </xf>
    <xf numFmtId="0" fontId="0" fillId="6" borderId="18" xfId="0" applyFill="1" applyBorder="1" applyAlignment="1">
      <alignment horizontal="center"/>
    </xf>
    <xf numFmtId="0" fontId="0" fillId="6" borderId="44" xfId="0" applyFill="1" applyBorder="1" applyAlignment="1">
      <alignment horizontal="center"/>
    </xf>
    <xf numFmtId="0" fontId="0" fillId="6" borderId="6" xfId="0" applyFill="1" applyBorder="1"/>
    <xf numFmtId="0" fontId="0" fillId="6" borderId="7" xfId="0" applyFill="1" applyBorder="1"/>
    <xf numFmtId="0" fontId="0" fillId="6" borderId="33" xfId="0" applyFill="1" applyBorder="1"/>
    <xf numFmtId="0" fontId="0" fillId="6" borderId="45" xfId="0" applyFill="1" applyBorder="1" applyAlignment="1">
      <alignment horizontal="center"/>
    </xf>
    <xf numFmtId="0" fontId="3" fillId="6" borderId="2" xfId="0" applyFont="1" applyFill="1" applyBorder="1"/>
    <xf numFmtId="0" fontId="3" fillId="6" borderId="3" xfId="0" applyFont="1" applyFill="1" applyBorder="1" applyAlignment="1">
      <alignment horizontal="center"/>
    </xf>
    <xf numFmtId="0" fontId="3" fillId="7" borderId="0" xfId="0" applyFont="1" applyFill="1" applyAlignment="1">
      <alignment horizontal="center"/>
    </xf>
    <xf numFmtId="0" fontId="3" fillId="7" borderId="49" xfId="0" applyFont="1" applyFill="1" applyBorder="1"/>
    <xf numFmtId="0" fontId="3" fillId="7" borderId="50" xfId="0" applyFont="1" applyFill="1" applyBorder="1" applyAlignment="1">
      <alignment horizontal="center"/>
    </xf>
    <xf numFmtId="0" fontId="0" fillId="7" borderId="4" xfId="0" applyFill="1" applyBorder="1" applyAlignment="1">
      <alignment wrapText="1"/>
    </xf>
    <xf numFmtId="0" fontId="3" fillId="7" borderId="40" xfId="0" applyFont="1" applyFill="1" applyBorder="1" applyAlignment="1">
      <alignment horizontal="center"/>
    </xf>
    <xf numFmtId="0" fontId="0" fillId="7" borderId="38" xfId="0" applyFill="1" applyBorder="1"/>
    <xf numFmtId="0" fontId="0" fillId="6" borderId="34" xfId="0" applyFill="1" applyBorder="1" applyAlignment="1">
      <alignment horizontal="center"/>
    </xf>
    <xf numFmtId="0" fontId="3" fillId="6" borderId="45"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3" xfId="0" applyFill="1" applyBorder="1" applyAlignment="1">
      <alignment wrapText="1"/>
    </xf>
    <xf numFmtId="0" fontId="4" fillId="3" borderId="2" xfId="0" applyFont="1" applyFill="1" applyBorder="1" applyAlignment="1">
      <alignment horizontal="center" vertical="center"/>
    </xf>
    <xf numFmtId="0" fontId="4" fillId="3" borderId="21"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33" xfId="0" applyFont="1" applyFill="1" applyBorder="1" applyAlignment="1">
      <alignment horizontal="center" vertical="center" wrapText="1"/>
    </xf>
    <xf numFmtId="0" fontId="4" fillId="3" borderId="51" xfId="0" applyFont="1" applyFill="1" applyBorder="1" applyAlignment="1">
      <alignment horizontal="left" vertical="center"/>
    </xf>
    <xf numFmtId="0" fontId="4" fillId="3" borderId="52" xfId="0" applyFont="1" applyFill="1" applyBorder="1" applyAlignment="1">
      <alignment horizontal="center" vertical="center"/>
    </xf>
    <xf numFmtId="0" fontId="4" fillId="3" borderId="42" xfId="0" applyFont="1" applyFill="1" applyBorder="1" applyAlignment="1">
      <alignment horizontal="center" vertical="center"/>
    </xf>
    <xf numFmtId="0" fontId="4" fillId="3" borderId="53" xfId="0" applyFont="1" applyFill="1" applyBorder="1" applyAlignment="1">
      <alignment horizontal="center" vertical="center"/>
    </xf>
    <xf numFmtId="0" fontId="0" fillId="3" borderId="54" xfId="0" applyFill="1" applyBorder="1"/>
    <xf numFmtId="0" fontId="0" fillId="3" borderId="44" xfId="0" applyFill="1" applyBorder="1"/>
    <xf numFmtId="0" fontId="1" fillId="3" borderId="21" xfId="0" applyFont="1" applyFill="1" applyBorder="1" applyAlignment="1">
      <alignment horizontal="center" vertical="center"/>
    </xf>
    <xf numFmtId="0" fontId="0" fillId="0" borderId="17" xfId="0" applyBorder="1" applyAlignment="1">
      <alignment horizontal="left"/>
    </xf>
    <xf numFmtId="0" fontId="5" fillId="4" borderId="0" xfId="0" applyFont="1" applyFill="1" applyAlignment="1" applyProtection="1">
      <alignment horizontal="center" vertical="center"/>
      <protection locked="0"/>
    </xf>
    <xf numFmtId="0" fontId="4" fillId="4" borderId="0" xfId="0" applyFont="1" applyFill="1" applyAlignment="1">
      <alignment horizontal="center" vertical="center"/>
    </xf>
    <xf numFmtId="0" fontId="5" fillId="4" borderId="0" xfId="0" applyFont="1" applyFill="1" applyAlignment="1" applyProtection="1">
      <alignment horizontal="center" vertical="center" wrapText="1"/>
      <protection locked="0"/>
    </xf>
    <xf numFmtId="0" fontId="4" fillId="3" borderId="2" xfId="0" applyFont="1" applyFill="1" applyBorder="1" applyAlignment="1">
      <alignment horizontal="left" vertical="center"/>
    </xf>
    <xf numFmtId="0" fontId="4" fillId="3" borderId="3" xfId="0" applyFont="1" applyFill="1" applyBorder="1" applyAlignment="1">
      <alignment horizontal="center" vertical="center"/>
    </xf>
    <xf numFmtId="0" fontId="4" fillId="3" borderId="13" xfId="0" applyFont="1" applyFill="1" applyBorder="1" applyAlignment="1">
      <alignment horizontal="center" vertical="center"/>
    </xf>
    <xf numFmtId="0" fontId="5" fillId="0" borderId="7"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19" xfId="0" applyFont="1" applyBorder="1" applyAlignment="1" applyProtection="1">
      <alignment horizontal="center" vertical="center"/>
      <protection locked="0"/>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55" xfId="0" applyFont="1" applyFill="1" applyBorder="1" applyAlignment="1">
      <alignment horizontal="center" vertical="center"/>
    </xf>
    <xf numFmtId="0" fontId="4" fillId="3" borderId="11" xfId="0" applyFont="1" applyFill="1" applyBorder="1" applyAlignment="1">
      <alignment horizontal="center" vertical="center" wrapText="1"/>
    </xf>
    <xf numFmtId="0" fontId="4" fillId="3" borderId="23" xfId="0" applyFont="1" applyFill="1" applyBorder="1" applyAlignment="1">
      <alignment horizontal="center" vertical="center"/>
    </xf>
    <xf numFmtId="0" fontId="3" fillId="0" borderId="2" xfId="0" applyFont="1" applyBorder="1" applyAlignment="1">
      <alignment wrapText="1"/>
    </xf>
    <xf numFmtId="0" fontId="4" fillId="3" borderId="0" xfId="0" applyFont="1" applyFill="1" applyAlignment="1">
      <alignment horizontal="center" vertical="center"/>
    </xf>
    <xf numFmtId="0" fontId="4" fillId="3" borderId="2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pplyProtection="1">
      <alignment horizontal="left"/>
      <protection locked="0"/>
    </xf>
    <xf numFmtId="0" fontId="0" fillId="0" borderId="1" xfId="0" applyBorder="1" applyProtection="1">
      <protection locked="0"/>
    </xf>
    <xf numFmtId="164" fontId="0" fillId="0" borderId="1" xfId="0" quotePrefix="1" applyNumberFormat="1" applyBorder="1" applyAlignment="1">
      <alignment horizontal="left"/>
    </xf>
    <xf numFmtId="0" fontId="3" fillId="0" borderId="0" xfId="0" applyFont="1"/>
    <xf numFmtId="14" fontId="3" fillId="0" borderId="0" xfId="0" applyNumberFormat="1" applyFont="1"/>
    <xf numFmtId="0" fontId="0" fillId="0" borderId="1" xfId="0" applyBorder="1" applyAlignment="1">
      <alignment horizontal="left"/>
    </xf>
    <xf numFmtId="0" fontId="12"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14" fontId="0" fillId="0" borderId="1" xfId="0" applyNumberFormat="1" applyBorder="1" applyAlignment="1">
      <alignment horizontal="left"/>
    </xf>
    <xf numFmtId="0" fontId="0" fillId="3" borderId="5" xfId="0" applyFill="1" applyBorder="1" applyAlignment="1">
      <alignment horizontal="left"/>
    </xf>
    <xf numFmtId="0" fontId="0" fillId="3" borderId="23" xfId="0" applyFill="1" applyBorder="1" applyAlignment="1">
      <alignment horizontal="left"/>
    </xf>
    <xf numFmtId="0" fontId="0" fillId="0" borderId="5" xfId="0" applyBorder="1" applyAlignment="1">
      <alignment horizontal="left"/>
    </xf>
    <xf numFmtId="0" fontId="0" fillId="0" borderId="23" xfId="0" applyBorder="1" applyAlignment="1">
      <alignment horizontal="left"/>
    </xf>
    <xf numFmtId="0" fontId="0" fillId="0" borderId="44" xfId="0" applyBorder="1"/>
    <xf numFmtId="0" fontId="4" fillId="0" borderId="32" xfId="0" applyFont="1" applyBorder="1" applyAlignment="1">
      <alignment horizontal="center" vertical="center"/>
    </xf>
    <xf numFmtId="0" fontId="4" fillId="0" borderId="11" xfId="0" applyFont="1" applyBorder="1" applyAlignment="1">
      <alignment horizontal="center" vertical="center"/>
    </xf>
    <xf numFmtId="0" fontId="0" fillId="0" borderId="1" xfId="0" applyBorder="1" applyAlignment="1">
      <alignment vertical="center"/>
    </xf>
    <xf numFmtId="0" fontId="4" fillId="2" borderId="7" xfId="0" applyFont="1" applyFill="1" applyBorder="1" applyAlignment="1">
      <alignment horizontal="center" vertical="center"/>
    </xf>
    <xf numFmtId="0" fontId="0" fillId="2" borderId="6" xfId="0" applyFill="1" applyBorder="1" applyAlignment="1">
      <alignment horizontal="left"/>
    </xf>
    <xf numFmtId="0" fontId="0" fillId="9" borderId="7" xfId="0" applyFill="1" applyBorder="1" applyAlignment="1">
      <alignment horizontal="left"/>
    </xf>
    <xf numFmtId="0" fontId="0" fillId="10" borderId="7" xfId="0" applyFill="1" applyBorder="1" applyAlignment="1">
      <alignment horizontal="left"/>
    </xf>
    <xf numFmtId="0" fontId="11" fillId="0" borderId="1" xfId="2" applyFont="1" applyFill="1" applyBorder="1" applyAlignment="1">
      <alignment horizontal="left"/>
    </xf>
    <xf numFmtId="0" fontId="15" fillId="0" borderId="0" xfId="0" applyFont="1"/>
    <xf numFmtId="0" fontId="16" fillId="4" borderId="0" xfId="0" applyFont="1" applyFill="1" applyAlignment="1">
      <alignment horizontal="center" vertical="center"/>
    </xf>
    <xf numFmtId="0" fontId="3" fillId="4" borderId="0" xfId="0" applyFont="1" applyFill="1" applyAlignment="1">
      <alignment horizontal="center" vertical="center"/>
    </xf>
    <xf numFmtId="0" fontId="17" fillId="0" borderId="0" xfId="0" applyFont="1" applyAlignment="1">
      <alignment horizontal="center" vertical="center"/>
    </xf>
    <xf numFmtId="0" fontId="3" fillId="0" borderId="0" xfId="0" applyFont="1" applyAlignment="1">
      <alignment horizontal="center" vertical="center"/>
    </xf>
    <xf numFmtId="0" fontId="0" fillId="2" borderId="1" xfId="0" applyFill="1" applyBorder="1" applyAlignment="1" applyProtection="1">
      <alignment horizontal="left"/>
      <protection locked="0"/>
    </xf>
    <xf numFmtId="0" fontId="0" fillId="2" borderId="1" xfId="0" applyFill="1" applyBorder="1"/>
    <xf numFmtId="0" fontId="18" fillId="0" borderId="0" xfId="0" applyFont="1" applyAlignment="1">
      <alignment vertical="center"/>
    </xf>
    <xf numFmtId="0" fontId="19" fillId="0" borderId="0" xfId="0" applyFont="1"/>
    <xf numFmtId="0" fontId="0" fillId="0" borderId="0" xfId="0" quotePrefix="1" applyAlignment="1">
      <alignment horizontal="left"/>
    </xf>
    <xf numFmtId="0" fontId="0" fillId="0" borderId="1" xfId="0" applyBorder="1" applyAlignment="1" applyProtection="1">
      <alignment horizontal="left" wrapText="1"/>
      <protection locked="0"/>
    </xf>
    <xf numFmtId="0" fontId="0" fillId="0" borderId="0" xfId="0" quotePrefix="1"/>
    <xf numFmtId="0" fontId="20" fillId="13" borderId="33" xfId="0" applyFont="1" applyFill="1" applyBorder="1" applyAlignment="1">
      <alignment horizontal="center" vertical="center"/>
    </xf>
    <xf numFmtId="0" fontId="0" fillId="0" borderId="0" xfId="0"/>
    <xf numFmtId="0" fontId="0" fillId="2" borderId="0" xfId="0" applyFill="1"/>
    <xf numFmtId="0" fontId="0" fillId="2" borderId="23" xfId="0" applyFill="1" applyBorder="1" applyAlignment="1">
      <alignment horizontal="left"/>
    </xf>
    <xf numFmtId="0" fontId="0" fillId="2" borderId="54" xfId="0" applyFill="1" applyBorder="1"/>
    <xf numFmtId="0" fontId="4" fillId="2" borderId="32" xfId="0" applyFont="1" applyFill="1" applyBorder="1" applyAlignment="1">
      <alignment horizontal="center" vertical="center"/>
    </xf>
    <xf numFmtId="0" fontId="4" fillId="2" borderId="55" xfId="0" applyFont="1" applyFill="1" applyBorder="1" applyAlignment="1">
      <alignment horizontal="center" vertical="center"/>
    </xf>
    <xf numFmtId="0" fontId="0" fillId="2" borderId="1" xfId="0" applyFill="1" applyBorder="1" applyAlignment="1" applyProtection="1">
      <alignment horizontal="left"/>
      <protection locked="0"/>
    </xf>
    <xf numFmtId="0" fontId="0" fillId="0" borderId="0" xfId="0"/>
    <xf numFmtId="0" fontId="0" fillId="0" borderId="17" xfId="0" applyBorder="1"/>
    <xf numFmtId="0" fontId="0" fillId="12" borderId="23" xfId="0" applyFill="1" applyBorder="1" applyAlignment="1">
      <alignment horizontal="left"/>
    </xf>
    <xf numFmtId="0" fontId="0" fillId="12" borderId="7" xfId="0" applyFill="1" applyBorder="1" applyAlignment="1">
      <alignment horizontal="left"/>
    </xf>
    <xf numFmtId="0" fontId="0" fillId="12" borderId="54" xfId="0" applyFill="1" applyBorder="1"/>
    <xf numFmtId="0" fontId="4" fillId="12" borderId="32" xfId="0" applyFont="1" applyFill="1" applyBorder="1" applyAlignment="1">
      <alignment horizontal="center" vertical="center"/>
    </xf>
    <xf numFmtId="0" fontId="0" fillId="12" borderId="0" xfId="0" applyFill="1"/>
    <xf numFmtId="0" fontId="0" fillId="12" borderId="5" xfId="0" applyFill="1" applyBorder="1" applyAlignment="1">
      <alignment horizontal="left"/>
    </xf>
    <xf numFmtId="0" fontId="4" fillId="12" borderId="11" xfId="0" applyFont="1" applyFill="1" applyBorder="1" applyAlignment="1">
      <alignment horizontal="center" vertical="center"/>
    </xf>
    <xf numFmtId="0" fontId="19" fillId="0" borderId="0" xfId="0" applyFont="1" applyFill="1"/>
    <xf numFmtId="0" fontId="5" fillId="3" borderId="33" xfId="0" applyFont="1" applyFill="1" applyBorder="1" applyAlignment="1" applyProtection="1">
      <alignment horizontal="center" vertical="center"/>
      <protection locked="0"/>
    </xf>
    <xf numFmtId="0" fontId="20" fillId="13" borderId="33" xfId="0" applyFont="1" applyFill="1" applyBorder="1" applyAlignment="1">
      <alignment horizontal="center" vertical="center"/>
    </xf>
    <xf numFmtId="0" fontId="0" fillId="0" borderId="1" xfId="0" applyBorder="1"/>
    <xf numFmtId="0" fontId="0" fillId="12" borderId="0" xfId="0" applyFill="1"/>
    <xf numFmtId="0" fontId="9" fillId="5" borderId="9" xfId="0" applyFont="1" applyFill="1" applyBorder="1" applyAlignment="1">
      <alignment horizontal="center" vertical="center"/>
    </xf>
    <xf numFmtId="0" fontId="9" fillId="5" borderId="1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26" xfId="0" applyFont="1" applyFill="1" applyBorder="1" applyAlignment="1">
      <alignment horizontal="center" vertical="center"/>
    </xf>
    <xf numFmtId="0" fontId="9" fillId="5" borderId="27" xfId="0" applyFont="1" applyFill="1" applyBorder="1" applyAlignment="1">
      <alignment horizontal="center" vertical="center"/>
    </xf>
  </cellXfs>
  <cellStyles count="3">
    <cellStyle name="Good" xfId="2" builtinId="26"/>
    <cellStyle name="Normal" xfId="0" builtinId="0"/>
    <cellStyle name="Normal 2" xfId="1" xr:uid="{00000000-0005-0000-0000-000001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8736\Desktop\Primark\Overtime%20CR\Overtime%20in%20C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b Types"/>
      <sheetName val="OG- Test Cases"/>
      <sheetName val="Employment Term - Test Cases"/>
      <sheetName val="Employment Term Data"/>
    </sheetNames>
    <sheetDataSet>
      <sheetData sheetId="0" refreshError="1"/>
      <sheetData sheetId="1" refreshError="1"/>
      <sheetData sheetId="2" refreshError="1"/>
      <sheetData sheetId="3" refreshError="1">
        <row r="1">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row>
        <row r="2">
          <cell r="A2" t="str">
            <v>No</v>
          </cell>
          <cell r="B2" t="str">
            <v>TC</v>
          </cell>
          <cell r="C2" t="str">
            <v>First Name</v>
          </cell>
          <cell r="D2" t="str">
            <v>Given Name</v>
          </cell>
          <cell r="E2" t="str">
            <v>Hire Date/Contract Start date</v>
          </cell>
          <cell r="F2" t="str">
            <v>Hire date</v>
          </cell>
          <cell r="G2" t="str">
            <v>Time type (FT, PT)</v>
          </cell>
          <cell r="H2" t="str">
            <v>Hours</v>
          </cell>
          <cell r="I2" t="str">
            <v>Employement Type</v>
          </cell>
          <cell r="J2" t="str">
            <v>Job Profile (eg Retail Assistant)</v>
          </cell>
          <cell r="K2" t="str">
            <v>Location</v>
          </cell>
          <cell r="L2" t="str">
            <v>Workshift (no of days)</v>
          </cell>
          <cell r="M2" t="str">
            <v>Contrat type</v>
          </cell>
          <cell r="N2" t="str">
            <v>Department No</v>
          </cell>
          <cell r="O2" t="str">
            <v>Department</v>
          </cell>
          <cell r="P2" t="str">
            <v>Meal Voucher</v>
          </cell>
          <cell r="Q2" t="str">
            <v>Contract End date</v>
          </cell>
          <cell r="R2" t="str">
            <v>Date of Birth</v>
          </cell>
          <cell r="S2" t="str">
            <v>RC Number</v>
          </cell>
          <cell r="T2" t="str">
            <v>Gender</v>
          </cell>
          <cell r="U2" t="str">
            <v>Marital Status</v>
          </cell>
          <cell r="V2" t="str">
            <v>Address Usage</v>
          </cell>
          <cell r="W2" t="str">
            <v>Health Insurance</v>
          </cell>
          <cell r="X2" t="str">
            <v>Education</v>
          </cell>
          <cell r="Y2" t="str">
            <v>Disability</v>
          </cell>
          <cell r="Z2" t="str">
            <v>Supervisory Organisation</v>
          </cell>
          <cell r="AA2" t="str">
            <v>Salary</v>
          </cell>
          <cell r="AB2" t="str">
            <v>Status</v>
          </cell>
          <cell r="AC2" t="str">
            <v>Employee ID</v>
          </cell>
          <cell r="AD2" t="str">
            <v>Used for</v>
          </cell>
        </row>
        <row r="3">
          <cell r="A3">
            <v>1</v>
          </cell>
          <cell r="B3">
            <v>1</v>
          </cell>
          <cell r="C3" t="str">
            <v>Overtime</v>
          </cell>
          <cell r="D3" t="str">
            <v>One</v>
          </cell>
          <cell r="E3" t="str">
            <v>Past</v>
          </cell>
          <cell r="F3">
            <v>43831</v>
          </cell>
          <cell r="G3" t="str">
            <v>Part time</v>
          </cell>
          <cell r="H3">
            <v>20</v>
          </cell>
          <cell r="I3" t="str">
            <v>Students</v>
          </cell>
          <cell r="J3" t="str">
            <v>DPP-DPC</v>
          </cell>
          <cell r="K3" t="str">
            <v>Czech</v>
          </cell>
          <cell r="L3">
            <v>5</v>
          </cell>
          <cell r="M3" t="str">
            <v>Agreement to complete a job</v>
          </cell>
          <cell r="N3">
            <v>1</v>
          </cell>
          <cell r="O3" t="str">
            <v>Accessories</v>
          </cell>
          <cell r="P3" t="str">
            <v>No</v>
          </cell>
          <cell r="Q3">
            <v>44562</v>
          </cell>
          <cell r="R3">
            <v>35139</v>
          </cell>
          <cell r="S3">
            <v>9603150007</v>
          </cell>
          <cell r="T3" t="str">
            <v>Male</v>
          </cell>
          <cell r="U3" t="str">
            <v>Single</v>
          </cell>
          <cell r="V3" t="str">
            <v>Permanent</v>
          </cell>
          <cell r="W3">
            <v>201</v>
          </cell>
          <cell r="X3" t="str">
            <v>stredni odborne vzdelani s vyucnim listem</v>
          </cell>
          <cell r="Y3" t="str">
            <v>N/A</v>
          </cell>
          <cell r="Z3" t="str">
            <v>895 Recruitment (store manager (10224969))</v>
          </cell>
          <cell r="AA3" t="str">
            <v>Defaulted</v>
          </cell>
        </row>
        <row r="4">
          <cell r="A4">
            <v>2</v>
          </cell>
          <cell r="B4">
            <v>2</v>
          </cell>
          <cell r="C4" t="str">
            <v>Overtime</v>
          </cell>
          <cell r="D4" t="str">
            <v>Two</v>
          </cell>
          <cell r="E4" t="str">
            <v>Past</v>
          </cell>
          <cell r="F4">
            <v>43831</v>
          </cell>
          <cell r="G4" t="str">
            <v>Part time</v>
          </cell>
          <cell r="H4">
            <v>20</v>
          </cell>
          <cell r="I4" t="str">
            <v>Fixed Term</v>
          </cell>
          <cell r="J4" t="str">
            <v>Cash Office Assistant</v>
          </cell>
          <cell r="K4" t="str">
            <v>Czech</v>
          </cell>
          <cell r="L4">
            <v>5</v>
          </cell>
          <cell r="M4" t="str">
            <v>Employment Agreement</v>
          </cell>
          <cell r="N4">
            <v>258</v>
          </cell>
          <cell r="O4" t="str">
            <v xml:space="preserve"> Cash Office</v>
          </cell>
          <cell r="P4" t="str">
            <v>No</v>
          </cell>
          <cell r="Q4">
            <v>44562</v>
          </cell>
          <cell r="R4">
            <v>35139</v>
          </cell>
          <cell r="S4">
            <v>9603150018</v>
          </cell>
          <cell r="T4" t="str">
            <v>Male</v>
          </cell>
          <cell r="U4" t="str">
            <v>Single</v>
          </cell>
          <cell r="V4" t="str">
            <v>Permanent</v>
          </cell>
          <cell r="W4">
            <v>201</v>
          </cell>
          <cell r="X4" t="str">
            <v>stredni odborne vzdelani s vyucnim listem</v>
          </cell>
          <cell r="Y4" t="str">
            <v>N/A</v>
          </cell>
          <cell r="Z4" t="str">
            <v>895 Recruitment (store manager (10224969))</v>
          </cell>
          <cell r="AA4" t="str">
            <v>Defaulted</v>
          </cell>
        </row>
        <row r="5">
          <cell r="A5">
            <v>3</v>
          </cell>
          <cell r="C5" t="str">
            <v>Overtime</v>
          </cell>
          <cell r="D5" t="str">
            <v>Three</v>
          </cell>
          <cell r="E5" t="str">
            <v>Past</v>
          </cell>
          <cell r="F5">
            <v>43831</v>
          </cell>
          <cell r="G5" t="str">
            <v>Part time</v>
          </cell>
          <cell r="H5">
            <v>20</v>
          </cell>
          <cell r="I5" t="str">
            <v>Permanent</v>
          </cell>
          <cell r="J5" t="str">
            <v>Cash Office Assistant</v>
          </cell>
          <cell r="K5" t="str">
            <v>Czech</v>
          </cell>
          <cell r="L5">
            <v>5</v>
          </cell>
          <cell r="M5" t="str">
            <v>Employment Agreement</v>
          </cell>
          <cell r="N5">
            <v>258</v>
          </cell>
          <cell r="O5" t="str">
            <v xml:space="preserve"> Cash Office</v>
          </cell>
          <cell r="P5" t="str">
            <v>Yes</v>
          </cell>
          <cell r="Q5" t="str">
            <v>N/A</v>
          </cell>
          <cell r="R5">
            <v>35139</v>
          </cell>
          <cell r="S5">
            <v>9603150029</v>
          </cell>
          <cell r="T5" t="str">
            <v>Male</v>
          </cell>
          <cell r="U5" t="str">
            <v>Single</v>
          </cell>
          <cell r="V5" t="str">
            <v>Permanent</v>
          </cell>
          <cell r="W5">
            <v>201</v>
          </cell>
          <cell r="X5" t="str">
            <v>stredni odborne vzdelani s vyucnim listem</v>
          </cell>
          <cell r="Y5" t="str">
            <v>N/A</v>
          </cell>
          <cell r="Z5" t="str">
            <v>895 Recruitment (store manager (10224969))</v>
          </cell>
          <cell r="AA5" t="str">
            <v>Defaulted</v>
          </cell>
        </row>
        <row r="6">
          <cell r="A6">
            <v>4</v>
          </cell>
          <cell r="C6" t="str">
            <v>Overtime</v>
          </cell>
          <cell r="D6" t="str">
            <v>Four</v>
          </cell>
          <cell r="E6" t="str">
            <v>Past</v>
          </cell>
          <cell r="F6">
            <v>43831</v>
          </cell>
          <cell r="G6" t="str">
            <v>Part time</v>
          </cell>
          <cell r="H6">
            <v>30</v>
          </cell>
          <cell r="I6" t="str">
            <v>Fixed Term</v>
          </cell>
          <cell r="J6" t="str">
            <v>Cash Office Assistant</v>
          </cell>
          <cell r="K6" t="str">
            <v>Czech</v>
          </cell>
          <cell r="L6">
            <v>5</v>
          </cell>
          <cell r="M6" t="str">
            <v>Employment Agreement</v>
          </cell>
          <cell r="N6">
            <v>258</v>
          </cell>
          <cell r="O6" t="str">
            <v xml:space="preserve"> Cash Office</v>
          </cell>
          <cell r="P6" t="str">
            <v>No</v>
          </cell>
          <cell r="Q6">
            <v>44562</v>
          </cell>
          <cell r="R6">
            <v>35139</v>
          </cell>
          <cell r="S6">
            <v>9603150040</v>
          </cell>
          <cell r="T6" t="str">
            <v>Male</v>
          </cell>
          <cell r="U6" t="str">
            <v>Single</v>
          </cell>
          <cell r="V6" t="str">
            <v>Permanent</v>
          </cell>
          <cell r="W6">
            <v>201</v>
          </cell>
          <cell r="X6" t="str">
            <v>stredni odborne vzdelani s vyucnim listem</v>
          </cell>
          <cell r="Y6" t="str">
            <v>N/A</v>
          </cell>
          <cell r="Z6" t="str">
            <v>895 Recruitment (store manager (10224969))</v>
          </cell>
          <cell r="AA6" t="str">
            <v>Defaulted</v>
          </cell>
        </row>
        <row r="7">
          <cell r="A7">
            <v>5</v>
          </cell>
          <cell r="C7" t="str">
            <v>Overtime</v>
          </cell>
          <cell r="D7" t="str">
            <v>Five</v>
          </cell>
          <cell r="E7" t="str">
            <v>Past</v>
          </cell>
          <cell r="F7">
            <v>43831</v>
          </cell>
          <cell r="G7" t="str">
            <v>Part time</v>
          </cell>
          <cell r="H7">
            <v>30</v>
          </cell>
          <cell r="I7" t="str">
            <v>Permanent</v>
          </cell>
          <cell r="J7" t="str">
            <v>Cash Office Assistant</v>
          </cell>
          <cell r="K7" t="str">
            <v>Czech</v>
          </cell>
          <cell r="L7">
            <v>5</v>
          </cell>
          <cell r="M7" t="str">
            <v>Employment Agreement</v>
          </cell>
          <cell r="N7">
            <v>258</v>
          </cell>
          <cell r="O7" t="str">
            <v xml:space="preserve"> Cash Office</v>
          </cell>
          <cell r="P7" t="str">
            <v>Yes</v>
          </cell>
          <cell r="Q7" t="str">
            <v>N/A</v>
          </cell>
          <cell r="R7">
            <v>35139</v>
          </cell>
          <cell r="S7">
            <v>9603150051</v>
          </cell>
          <cell r="T7" t="str">
            <v>Male</v>
          </cell>
          <cell r="U7" t="str">
            <v>Single</v>
          </cell>
          <cell r="V7" t="str">
            <v>Permanent</v>
          </cell>
          <cell r="W7">
            <v>201</v>
          </cell>
          <cell r="X7" t="str">
            <v>stredni odborne vzdelani s vyucnim listem</v>
          </cell>
          <cell r="Y7" t="str">
            <v>N/A</v>
          </cell>
          <cell r="Z7" t="str">
            <v>895 Recruitment (store manager (10224969))</v>
          </cell>
          <cell r="AA7" t="str">
            <v>Defaulted</v>
          </cell>
        </row>
        <row r="8">
          <cell r="A8">
            <v>6</v>
          </cell>
          <cell r="C8" t="str">
            <v>Overtime</v>
          </cell>
          <cell r="D8" t="str">
            <v>Six</v>
          </cell>
          <cell r="E8" t="str">
            <v>Past</v>
          </cell>
          <cell r="F8">
            <v>43831</v>
          </cell>
          <cell r="G8" t="str">
            <v>Full time</v>
          </cell>
          <cell r="H8">
            <v>40</v>
          </cell>
          <cell r="I8" t="str">
            <v>Fixed Term</v>
          </cell>
          <cell r="J8" t="str">
            <v>Cash Office Assistant</v>
          </cell>
          <cell r="K8" t="str">
            <v>Czech</v>
          </cell>
          <cell r="L8">
            <v>5</v>
          </cell>
          <cell r="M8" t="str">
            <v>Employment Agreement</v>
          </cell>
          <cell r="N8">
            <v>258</v>
          </cell>
          <cell r="O8" t="str">
            <v xml:space="preserve"> Cash Office</v>
          </cell>
          <cell r="P8" t="str">
            <v>No</v>
          </cell>
          <cell r="Q8">
            <v>44562</v>
          </cell>
          <cell r="R8">
            <v>35139</v>
          </cell>
          <cell r="S8">
            <v>9603150062</v>
          </cell>
          <cell r="T8" t="str">
            <v>Male</v>
          </cell>
          <cell r="U8" t="str">
            <v>Single</v>
          </cell>
          <cell r="V8" t="str">
            <v>Permanent</v>
          </cell>
          <cell r="W8">
            <v>201</v>
          </cell>
          <cell r="X8" t="str">
            <v>stredni odborne vzdelani s vyucnim listem</v>
          </cell>
          <cell r="Y8" t="str">
            <v>N/A</v>
          </cell>
          <cell r="Z8" t="str">
            <v>895 Recruitment (store manager (10224969))</v>
          </cell>
          <cell r="AA8" t="str">
            <v>Defaulted</v>
          </cell>
        </row>
        <row r="9">
          <cell r="A9">
            <v>7</v>
          </cell>
          <cell r="C9" t="str">
            <v>Overtime</v>
          </cell>
          <cell r="D9" t="str">
            <v>Seven</v>
          </cell>
          <cell r="E9" t="str">
            <v>Past</v>
          </cell>
          <cell r="F9">
            <v>43831</v>
          </cell>
          <cell r="G9" t="str">
            <v>Full time</v>
          </cell>
          <cell r="H9">
            <v>40</v>
          </cell>
          <cell r="I9" t="str">
            <v>Permanent</v>
          </cell>
          <cell r="J9" t="str">
            <v>Cash Office Assistant</v>
          </cell>
          <cell r="K9" t="str">
            <v>Czech</v>
          </cell>
          <cell r="L9">
            <v>5</v>
          </cell>
          <cell r="M9" t="str">
            <v>Employment Agreement</v>
          </cell>
          <cell r="N9">
            <v>258</v>
          </cell>
          <cell r="O9" t="str">
            <v xml:space="preserve"> Cash Office</v>
          </cell>
          <cell r="P9" t="str">
            <v>Yes</v>
          </cell>
          <cell r="Q9" t="str">
            <v>N/A</v>
          </cell>
          <cell r="R9">
            <v>35139</v>
          </cell>
          <cell r="S9">
            <v>9603150073</v>
          </cell>
          <cell r="T9" t="str">
            <v>Male</v>
          </cell>
          <cell r="U9" t="str">
            <v>Single</v>
          </cell>
          <cell r="V9" t="str">
            <v>Permanent</v>
          </cell>
          <cell r="W9">
            <v>201</v>
          </cell>
          <cell r="X9" t="str">
            <v>stredni odborne vzdelani s vyucnim listem</v>
          </cell>
          <cell r="Y9" t="str">
            <v>N/A</v>
          </cell>
          <cell r="Z9" t="str">
            <v>895 Recruitment (store manager (10224969))</v>
          </cell>
          <cell r="AA9" t="str">
            <v>Defaulted</v>
          </cell>
        </row>
        <row r="10">
          <cell r="A10">
            <v>8</v>
          </cell>
          <cell r="B10">
            <v>3</v>
          </cell>
          <cell r="C10" t="str">
            <v>Overtime</v>
          </cell>
          <cell r="D10" t="str">
            <v>Eight</v>
          </cell>
          <cell r="E10" t="str">
            <v>Past</v>
          </cell>
          <cell r="F10">
            <v>43831</v>
          </cell>
          <cell r="G10" t="str">
            <v>Part time</v>
          </cell>
          <cell r="H10">
            <v>20</v>
          </cell>
          <cell r="I10" t="str">
            <v>Fixed Term</v>
          </cell>
          <cell r="J10" t="str">
            <v>Retail Assistant</v>
          </cell>
          <cell r="K10" t="str">
            <v>Czech</v>
          </cell>
          <cell r="L10">
            <v>5</v>
          </cell>
          <cell r="M10" t="str">
            <v>Employment Agreement</v>
          </cell>
          <cell r="N10">
            <v>2</v>
          </cell>
          <cell r="O10" t="str">
            <v>Hosiery</v>
          </cell>
          <cell r="P10" t="str">
            <v>No</v>
          </cell>
          <cell r="Q10">
            <v>44562</v>
          </cell>
          <cell r="R10">
            <v>35139</v>
          </cell>
          <cell r="S10">
            <v>9603150084</v>
          </cell>
          <cell r="T10" t="str">
            <v>Male</v>
          </cell>
          <cell r="U10" t="str">
            <v>Single</v>
          </cell>
          <cell r="V10" t="str">
            <v>Permanent</v>
          </cell>
          <cell r="W10">
            <v>201</v>
          </cell>
          <cell r="X10" t="str">
            <v>stredni odborne vzdelani s vyucnim listem</v>
          </cell>
          <cell r="Y10" t="str">
            <v>N/A</v>
          </cell>
          <cell r="Z10" t="str">
            <v>895 Recruitment (store manager (10224969))</v>
          </cell>
          <cell r="AA10" t="str">
            <v>Defaulted</v>
          </cell>
        </row>
        <row r="11">
          <cell r="A11">
            <v>9</v>
          </cell>
          <cell r="C11" t="str">
            <v>Overtime</v>
          </cell>
          <cell r="D11" t="str">
            <v>Nine</v>
          </cell>
          <cell r="E11" t="str">
            <v>Past</v>
          </cell>
          <cell r="F11">
            <v>43831</v>
          </cell>
          <cell r="G11" t="str">
            <v>Part time</v>
          </cell>
          <cell r="H11">
            <v>20</v>
          </cell>
          <cell r="I11" t="str">
            <v>Permanent</v>
          </cell>
          <cell r="J11" t="str">
            <v>Retail Assistant</v>
          </cell>
          <cell r="K11" t="str">
            <v>Czech</v>
          </cell>
          <cell r="L11">
            <v>5</v>
          </cell>
          <cell r="M11" t="str">
            <v>Employment Agreement</v>
          </cell>
          <cell r="N11">
            <v>4</v>
          </cell>
          <cell r="O11" t="str">
            <v xml:space="preserve">Lingerie </v>
          </cell>
          <cell r="P11" t="str">
            <v>Yes</v>
          </cell>
          <cell r="Q11" t="str">
            <v>N/A</v>
          </cell>
          <cell r="R11">
            <v>35139</v>
          </cell>
          <cell r="S11">
            <v>9603150095</v>
          </cell>
          <cell r="T11" t="str">
            <v>Male</v>
          </cell>
          <cell r="U11" t="str">
            <v>Single</v>
          </cell>
          <cell r="V11" t="str">
            <v>Permanent</v>
          </cell>
          <cell r="W11">
            <v>201</v>
          </cell>
          <cell r="X11" t="str">
            <v>stredni odborne vzdelani s vyucnim listem</v>
          </cell>
          <cell r="Y11" t="str">
            <v>N/A</v>
          </cell>
          <cell r="Z11" t="str">
            <v>895 Recruitment (store manager (10224969))</v>
          </cell>
          <cell r="AA11" t="str">
            <v>Defaulted</v>
          </cell>
        </row>
        <row r="12">
          <cell r="A12">
            <v>10</v>
          </cell>
          <cell r="C12" t="str">
            <v>Overtime</v>
          </cell>
          <cell r="D12" t="str">
            <v>Ten</v>
          </cell>
          <cell r="E12" t="str">
            <v>Past</v>
          </cell>
          <cell r="F12">
            <v>43831</v>
          </cell>
          <cell r="G12" t="str">
            <v>Part time</v>
          </cell>
          <cell r="H12">
            <v>30</v>
          </cell>
          <cell r="I12" t="str">
            <v>Fixed Term</v>
          </cell>
          <cell r="J12" t="str">
            <v>Retail Assistant</v>
          </cell>
          <cell r="K12" t="str">
            <v>Czech</v>
          </cell>
          <cell r="L12">
            <v>5</v>
          </cell>
          <cell r="M12" t="str">
            <v>Employment Agreement</v>
          </cell>
          <cell r="N12">
            <v>6</v>
          </cell>
          <cell r="O12" t="str">
            <v>Menswear</v>
          </cell>
          <cell r="P12" t="str">
            <v>No</v>
          </cell>
          <cell r="Q12">
            <v>44562</v>
          </cell>
          <cell r="R12">
            <v>35139</v>
          </cell>
          <cell r="S12">
            <v>9603150106</v>
          </cell>
          <cell r="T12" t="str">
            <v>Male</v>
          </cell>
          <cell r="U12" t="str">
            <v>Single</v>
          </cell>
          <cell r="V12" t="str">
            <v>Permanent</v>
          </cell>
          <cell r="W12">
            <v>201</v>
          </cell>
          <cell r="X12" t="str">
            <v>stredni odborne vzdelani s vyucnim listem</v>
          </cell>
          <cell r="Y12" t="str">
            <v>N/A</v>
          </cell>
          <cell r="Z12" t="str">
            <v>895 Recruitment (store manager (10224969))</v>
          </cell>
          <cell r="AA12" t="str">
            <v>Defaulted</v>
          </cell>
        </row>
        <row r="13">
          <cell r="A13">
            <v>11</v>
          </cell>
          <cell r="C13" t="str">
            <v>Overtime</v>
          </cell>
          <cell r="D13" t="str">
            <v>Eleven</v>
          </cell>
          <cell r="E13" t="str">
            <v>Past</v>
          </cell>
          <cell r="F13">
            <v>43831</v>
          </cell>
          <cell r="G13" t="str">
            <v>Part time</v>
          </cell>
          <cell r="H13">
            <v>30</v>
          </cell>
          <cell r="I13" t="str">
            <v>Permanent</v>
          </cell>
          <cell r="J13" t="str">
            <v>Retail Assistant</v>
          </cell>
          <cell r="K13" t="str">
            <v>Czech</v>
          </cell>
          <cell r="L13">
            <v>5</v>
          </cell>
          <cell r="M13" t="str">
            <v>Employment Agreement</v>
          </cell>
          <cell r="N13">
            <v>7</v>
          </cell>
          <cell r="O13" t="str">
            <v>Footwear</v>
          </cell>
          <cell r="P13" t="str">
            <v>Yes</v>
          </cell>
          <cell r="Q13" t="str">
            <v>N/A</v>
          </cell>
          <cell r="R13">
            <v>35139</v>
          </cell>
          <cell r="S13">
            <v>9603150117</v>
          </cell>
          <cell r="T13" t="str">
            <v>Male</v>
          </cell>
          <cell r="U13" t="str">
            <v>Single</v>
          </cell>
          <cell r="V13" t="str">
            <v>Permanent</v>
          </cell>
          <cell r="W13">
            <v>201</v>
          </cell>
          <cell r="X13" t="str">
            <v>stredni odborne vzdelani s vyucnim listem</v>
          </cell>
          <cell r="Y13" t="str">
            <v>N/A</v>
          </cell>
          <cell r="Z13" t="str">
            <v>895 Recruitment (store manager (10224969))</v>
          </cell>
          <cell r="AA13" t="str">
            <v>Defaulted</v>
          </cell>
        </row>
        <row r="14">
          <cell r="A14">
            <v>12</v>
          </cell>
          <cell r="C14" t="str">
            <v>Overtime</v>
          </cell>
          <cell r="D14" t="str">
            <v>Tweleve</v>
          </cell>
          <cell r="E14" t="str">
            <v>Past</v>
          </cell>
          <cell r="F14">
            <v>43831</v>
          </cell>
          <cell r="G14" t="str">
            <v>Full time</v>
          </cell>
          <cell r="H14">
            <v>40</v>
          </cell>
          <cell r="I14" t="str">
            <v>Fixed Term</v>
          </cell>
          <cell r="J14" t="str">
            <v>Retail Assistant</v>
          </cell>
          <cell r="K14" t="str">
            <v>Czech</v>
          </cell>
          <cell r="L14">
            <v>5</v>
          </cell>
          <cell r="M14" t="str">
            <v>Employment Agreement</v>
          </cell>
          <cell r="N14">
            <v>15</v>
          </cell>
          <cell r="O14" t="str">
            <v xml:space="preserve">Children’s Accessories </v>
          </cell>
          <cell r="P14" t="str">
            <v>No</v>
          </cell>
          <cell r="Q14">
            <v>44562</v>
          </cell>
          <cell r="R14">
            <v>35139</v>
          </cell>
          <cell r="S14">
            <v>9603150128</v>
          </cell>
          <cell r="T14" t="str">
            <v>Male</v>
          </cell>
          <cell r="U14" t="str">
            <v>Single</v>
          </cell>
          <cell r="V14" t="str">
            <v>Permanent</v>
          </cell>
          <cell r="W14">
            <v>201</v>
          </cell>
          <cell r="X14" t="str">
            <v>stredni odborne vzdelani s vyucnim listem</v>
          </cell>
          <cell r="Y14" t="str">
            <v>N/A</v>
          </cell>
          <cell r="Z14" t="str">
            <v>895 Recruitment (store manager (10224969))</v>
          </cell>
          <cell r="AA14" t="str">
            <v>Defaulted</v>
          </cell>
        </row>
        <row r="15">
          <cell r="A15">
            <v>13</v>
          </cell>
          <cell r="C15" t="str">
            <v>Overtime</v>
          </cell>
          <cell r="D15" t="str">
            <v>Thriteen</v>
          </cell>
          <cell r="E15" t="str">
            <v>Past</v>
          </cell>
          <cell r="F15">
            <v>43831</v>
          </cell>
          <cell r="G15" t="str">
            <v>Full time</v>
          </cell>
          <cell r="H15">
            <v>40</v>
          </cell>
          <cell r="I15" t="str">
            <v>Permanent</v>
          </cell>
          <cell r="J15" t="str">
            <v>Retail Assistant</v>
          </cell>
          <cell r="K15" t="str">
            <v>Czech</v>
          </cell>
          <cell r="L15">
            <v>5</v>
          </cell>
          <cell r="M15" t="str">
            <v>Employment Agreement</v>
          </cell>
          <cell r="N15">
            <v>16</v>
          </cell>
          <cell r="O15" t="str">
            <v xml:space="preserve">Men’s Accessories </v>
          </cell>
          <cell r="P15" t="str">
            <v>Yes</v>
          </cell>
          <cell r="Q15" t="str">
            <v>N/A</v>
          </cell>
          <cell r="R15">
            <v>35139</v>
          </cell>
          <cell r="S15">
            <v>9603150139</v>
          </cell>
          <cell r="T15" t="str">
            <v>Male</v>
          </cell>
          <cell r="U15" t="str">
            <v>Single</v>
          </cell>
          <cell r="V15" t="str">
            <v>Permanent</v>
          </cell>
          <cell r="W15">
            <v>201</v>
          </cell>
          <cell r="X15" t="str">
            <v>stredni odborne vzdelani s vyucnim listem</v>
          </cell>
          <cell r="Y15" t="str">
            <v>N/A</v>
          </cell>
          <cell r="Z15" t="str">
            <v>895 Recruitment (store manager (10224969))</v>
          </cell>
          <cell r="AA15" t="str">
            <v>Defaulted</v>
          </cell>
        </row>
        <row r="16">
          <cell r="A16">
            <v>14</v>
          </cell>
          <cell r="B16">
            <v>4</v>
          </cell>
          <cell r="C16" t="str">
            <v>Overtime</v>
          </cell>
          <cell r="D16" t="str">
            <v>Fourteen</v>
          </cell>
          <cell r="E16" t="str">
            <v>Past</v>
          </cell>
          <cell r="F16">
            <v>43831</v>
          </cell>
          <cell r="G16" t="str">
            <v>Part time</v>
          </cell>
          <cell r="H16">
            <v>20</v>
          </cell>
          <cell r="I16" t="str">
            <v>Fixed Term</v>
          </cell>
          <cell r="J16" t="str">
            <v>Visual Merchandising Assistant</v>
          </cell>
          <cell r="K16" t="str">
            <v>Czech</v>
          </cell>
          <cell r="L16">
            <v>5</v>
          </cell>
          <cell r="M16" t="str">
            <v>Employment Agreement</v>
          </cell>
          <cell r="N16">
            <v>256</v>
          </cell>
          <cell r="O16" t="str">
            <v>Visual Merchandising</v>
          </cell>
          <cell r="P16" t="str">
            <v>No</v>
          </cell>
          <cell r="Q16">
            <v>44562</v>
          </cell>
          <cell r="R16">
            <v>35139</v>
          </cell>
          <cell r="S16">
            <v>9603150150</v>
          </cell>
          <cell r="T16" t="str">
            <v>Male</v>
          </cell>
          <cell r="U16" t="str">
            <v>Single</v>
          </cell>
          <cell r="V16" t="str">
            <v>Permanent</v>
          </cell>
          <cell r="W16">
            <v>201</v>
          </cell>
          <cell r="X16" t="str">
            <v>stredni odborne vzdelani s vyucnim listem</v>
          </cell>
          <cell r="Y16" t="str">
            <v>N/A</v>
          </cell>
          <cell r="Z16" t="str">
            <v>895 Recruitment (store manager (10224969))</v>
          </cell>
          <cell r="AA16">
            <v>1</v>
          </cell>
        </row>
        <row r="17">
          <cell r="A17">
            <v>15</v>
          </cell>
          <cell r="C17" t="str">
            <v>Overtime</v>
          </cell>
          <cell r="D17" t="str">
            <v>Fifteen</v>
          </cell>
          <cell r="E17" t="str">
            <v>Past</v>
          </cell>
          <cell r="F17">
            <v>43831</v>
          </cell>
          <cell r="G17" t="str">
            <v>Part time</v>
          </cell>
          <cell r="H17">
            <v>20</v>
          </cell>
          <cell r="I17" t="str">
            <v>Permanent</v>
          </cell>
          <cell r="J17" t="str">
            <v>Visual Merchandising Assistant</v>
          </cell>
          <cell r="K17" t="str">
            <v>Czech</v>
          </cell>
          <cell r="L17">
            <v>5</v>
          </cell>
          <cell r="M17" t="str">
            <v>Employment Agreement</v>
          </cell>
          <cell r="N17">
            <v>256</v>
          </cell>
          <cell r="O17" t="str">
            <v>Visual Merchandising</v>
          </cell>
          <cell r="P17" t="str">
            <v>Yes</v>
          </cell>
          <cell r="Q17" t="str">
            <v>N/A</v>
          </cell>
          <cell r="R17">
            <v>35139</v>
          </cell>
          <cell r="S17">
            <v>9603150161</v>
          </cell>
          <cell r="T17" t="str">
            <v>Male</v>
          </cell>
          <cell r="U17" t="str">
            <v>Single</v>
          </cell>
          <cell r="V17" t="str">
            <v>Permanent</v>
          </cell>
          <cell r="W17">
            <v>201</v>
          </cell>
          <cell r="X17" t="str">
            <v>stredni odborne vzdelani s vyucnim listem</v>
          </cell>
          <cell r="Y17" t="str">
            <v>N/A</v>
          </cell>
          <cell r="Z17" t="str">
            <v>895 Recruitment (store manager (10224969))</v>
          </cell>
          <cell r="AA17">
            <v>2</v>
          </cell>
        </row>
        <row r="18">
          <cell r="A18">
            <v>16</v>
          </cell>
          <cell r="C18" t="str">
            <v>Overtime</v>
          </cell>
          <cell r="D18" t="str">
            <v>Sixteen</v>
          </cell>
          <cell r="E18" t="str">
            <v>Past</v>
          </cell>
          <cell r="F18">
            <v>43831</v>
          </cell>
          <cell r="G18" t="str">
            <v>Part time</v>
          </cell>
          <cell r="H18">
            <v>30</v>
          </cell>
          <cell r="I18" t="str">
            <v>Fixed Term</v>
          </cell>
          <cell r="J18" t="str">
            <v>Visual Merchandising Assistant</v>
          </cell>
          <cell r="K18" t="str">
            <v>Czech</v>
          </cell>
          <cell r="L18">
            <v>5</v>
          </cell>
          <cell r="M18" t="str">
            <v>Employment Agreement</v>
          </cell>
          <cell r="N18">
            <v>256</v>
          </cell>
          <cell r="O18" t="str">
            <v>Visual Merchandising</v>
          </cell>
          <cell r="P18" t="str">
            <v>No</v>
          </cell>
          <cell r="Q18">
            <v>44562</v>
          </cell>
          <cell r="R18">
            <v>35139</v>
          </cell>
          <cell r="S18">
            <v>9603150172</v>
          </cell>
          <cell r="T18" t="str">
            <v>Male</v>
          </cell>
          <cell r="U18" t="str">
            <v>Single</v>
          </cell>
          <cell r="V18" t="str">
            <v>Permanent</v>
          </cell>
          <cell r="W18">
            <v>201</v>
          </cell>
          <cell r="X18" t="str">
            <v>stredni odborne vzdelani s vyucnim listem</v>
          </cell>
          <cell r="Y18" t="str">
            <v>N/A</v>
          </cell>
          <cell r="Z18" t="str">
            <v>895 Recruitment (store manager (10224969))</v>
          </cell>
          <cell r="AA18">
            <v>3</v>
          </cell>
        </row>
        <row r="19">
          <cell r="A19">
            <v>17</v>
          </cell>
          <cell r="C19" t="str">
            <v>Overtime</v>
          </cell>
          <cell r="D19" t="str">
            <v>Seventeen</v>
          </cell>
          <cell r="E19" t="str">
            <v>Past</v>
          </cell>
          <cell r="F19">
            <v>43831</v>
          </cell>
          <cell r="G19" t="str">
            <v>Part time</v>
          </cell>
          <cell r="H19">
            <v>30</v>
          </cell>
          <cell r="I19" t="str">
            <v>Permanent</v>
          </cell>
          <cell r="J19" t="str">
            <v>Visual Merchandising Assistant</v>
          </cell>
          <cell r="K19" t="str">
            <v>Czech</v>
          </cell>
          <cell r="L19">
            <v>5</v>
          </cell>
          <cell r="M19" t="str">
            <v>Employment Agreement</v>
          </cell>
          <cell r="N19">
            <v>256</v>
          </cell>
          <cell r="O19" t="str">
            <v>Visual Merchandising</v>
          </cell>
          <cell r="P19" t="str">
            <v>Yes</v>
          </cell>
          <cell r="Q19" t="str">
            <v>N/A</v>
          </cell>
          <cell r="R19">
            <v>35139</v>
          </cell>
          <cell r="S19">
            <v>9603150183</v>
          </cell>
          <cell r="T19" t="str">
            <v>Male</v>
          </cell>
          <cell r="U19" t="str">
            <v>Single</v>
          </cell>
          <cell r="V19" t="str">
            <v>Permanent</v>
          </cell>
          <cell r="W19">
            <v>201</v>
          </cell>
          <cell r="X19" t="str">
            <v>stredni odborne vzdelani s vyucnim listem</v>
          </cell>
          <cell r="Y19" t="str">
            <v>N/A</v>
          </cell>
          <cell r="Z19" t="str">
            <v>895 Recruitment (store manager (10224969))</v>
          </cell>
          <cell r="AA19">
            <v>4</v>
          </cell>
        </row>
        <row r="20">
          <cell r="A20">
            <v>18</v>
          </cell>
          <cell r="C20" t="str">
            <v>Overtime</v>
          </cell>
          <cell r="D20" t="str">
            <v>Eightteen</v>
          </cell>
          <cell r="E20" t="str">
            <v>Past</v>
          </cell>
          <cell r="F20">
            <v>43831</v>
          </cell>
          <cell r="G20" t="str">
            <v>Full time</v>
          </cell>
          <cell r="H20">
            <v>40</v>
          </cell>
          <cell r="I20" t="str">
            <v>Fixed Term</v>
          </cell>
          <cell r="J20" t="str">
            <v>Visual Merchandising Assistant</v>
          </cell>
          <cell r="K20" t="str">
            <v>Czech</v>
          </cell>
          <cell r="L20">
            <v>5</v>
          </cell>
          <cell r="M20" t="str">
            <v>Employment Agreement</v>
          </cell>
          <cell r="N20">
            <v>256</v>
          </cell>
          <cell r="O20" t="str">
            <v>Visual Merchandising</v>
          </cell>
          <cell r="P20" t="str">
            <v>No</v>
          </cell>
          <cell r="Q20">
            <v>44562</v>
          </cell>
          <cell r="R20">
            <v>35139</v>
          </cell>
          <cell r="S20">
            <v>9603150194</v>
          </cell>
          <cell r="T20" t="str">
            <v>Male</v>
          </cell>
          <cell r="U20" t="str">
            <v>Single</v>
          </cell>
          <cell r="V20" t="str">
            <v>Permanent</v>
          </cell>
          <cell r="W20">
            <v>201</v>
          </cell>
          <cell r="X20" t="str">
            <v>stredni odborne vzdelani s vyucnim listem</v>
          </cell>
          <cell r="Y20" t="str">
            <v>N/A</v>
          </cell>
          <cell r="Z20" t="str">
            <v>895 Recruitment (store manager (10224969))</v>
          </cell>
          <cell r="AA20">
            <v>5</v>
          </cell>
        </row>
        <row r="21">
          <cell r="A21">
            <v>19</v>
          </cell>
          <cell r="C21" t="str">
            <v>Overtime</v>
          </cell>
          <cell r="D21" t="str">
            <v>Nineteen</v>
          </cell>
          <cell r="E21" t="str">
            <v>Past</v>
          </cell>
          <cell r="F21">
            <v>43831</v>
          </cell>
          <cell r="G21" t="str">
            <v>Full time</v>
          </cell>
          <cell r="H21">
            <v>40</v>
          </cell>
          <cell r="I21" t="str">
            <v>Permanent</v>
          </cell>
          <cell r="J21" t="str">
            <v>Visual Merchandising Assistant</v>
          </cell>
          <cell r="K21" t="str">
            <v>Czech</v>
          </cell>
          <cell r="L21">
            <v>5</v>
          </cell>
          <cell r="M21" t="str">
            <v>Employment Agreement</v>
          </cell>
          <cell r="N21">
            <v>256</v>
          </cell>
          <cell r="O21" t="str">
            <v>Visual Merchandising</v>
          </cell>
          <cell r="P21" t="str">
            <v>Yes</v>
          </cell>
          <cell r="Q21" t="str">
            <v>N/A</v>
          </cell>
          <cell r="R21">
            <v>35139</v>
          </cell>
          <cell r="S21">
            <v>9603150205</v>
          </cell>
          <cell r="T21" t="str">
            <v>Male</v>
          </cell>
          <cell r="U21" t="str">
            <v>Single</v>
          </cell>
          <cell r="V21" t="str">
            <v>Permanent</v>
          </cell>
          <cell r="W21">
            <v>201</v>
          </cell>
          <cell r="X21" t="str">
            <v>stredni odborne vzdelani s vyucnim listem</v>
          </cell>
          <cell r="Y21" t="str">
            <v>N/A</v>
          </cell>
          <cell r="Z21" t="str">
            <v>895 Recruitment (store manager (10224969))</v>
          </cell>
          <cell r="AA21">
            <v>1</v>
          </cell>
        </row>
        <row r="22">
          <cell r="A22">
            <v>20</v>
          </cell>
          <cell r="B22">
            <v>5</v>
          </cell>
          <cell r="C22" t="str">
            <v>Overtime</v>
          </cell>
          <cell r="D22" t="str">
            <v>Twenty</v>
          </cell>
          <cell r="E22" t="str">
            <v>Past</v>
          </cell>
          <cell r="F22">
            <v>43831</v>
          </cell>
          <cell r="G22" t="str">
            <v>Part time</v>
          </cell>
          <cell r="H22">
            <v>20</v>
          </cell>
          <cell r="I22" t="str">
            <v>Fixed Term</v>
          </cell>
          <cell r="J22" t="str">
            <v>P&amp;C Supervisor</v>
          </cell>
          <cell r="K22" t="str">
            <v>Czech</v>
          </cell>
          <cell r="L22">
            <v>5</v>
          </cell>
          <cell r="M22" t="str">
            <v>Employment Agreement</v>
          </cell>
          <cell r="N22">
            <v>250</v>
          </cell>
          <cell r="O22" t="str">
            <v>Human Resources Retail</v>
          </cell>
          <cell r="P22" t="str">
            <v>No</v>
          </cell>
          <cell r="Q22">
            <v>44562</v>
          </cell>
          <cell r="R22">
            <v>35139</v>
          </cell>
          <cell r="S22">
            <v>9603150216</v>
          </cell>
          <cell r="T22" t="str">
            <v>Male</v>
          </cell>
          <cell r="U22" t="str">
            <v>Single</v>
          </cell>
          <cell r="V22" t="str">
            <v>Permanent</v>
          </cell>
          <cell r="W22">
            <v>201</v>
          </cell>
          <cell r="X22" t="str">
            <v>stredni odborne vzdelani s vyucnim listem</v>
          </cell>
          <cell r="Y22" t="str">
            <v>N/A</v>
          </cell>
          <cell r="Z22" t="str">
            <v>895 Recruitment (store manager (10224969))</v>
          </cell>
          <cell r="AA22">
            <v>2</v>
          </cell>
        </row>
        <row r="23">
          <cell r="A23">
            <v>21</v>
          </cell>
          <cell r="C23" t="str">
            <v>Overtime</v>
          </cell>
          <cell r="D23" t="str">
            <v>TwentyOne</v>
          </cell>
          <cell r="E23" t="str">
            <v>Past</v>
          </cell>
          <cell r="F23">
            <v>43831</v>
          </cell>
          <cell r="G23" t="str">
            <v>Part time</v>
          </cell>
          <cell r="H23">
            <v>20</v>
          </cell>
          <cell r="I23" t="str">
            <v>Permanent</v>
          </cell>
          <cell r="J23" t="str">
            <v>P&amp;C Supervisor</v>
          </cell>
          <cell r="K23" t="str">
            <v>Czech</v>
          </cell>
          <cell r="L23">
            <v>5</v>
          </cell>
          <cell r="M23" t="str">
            <v>Employment Agreement</v>
          </cell>
          <cell r="N23">
            <v>250</v>
          </cell>
          <cell r="O23" t="str">
            <v>Human Resources Retail</v>
          </cell>
          <cell r="P23" t="str">
            <v>Yes</v>
          </cell>
          <cell r="Q23" t="str">
            <v>N/A</v>
          </cell>
          <cell r="R23">
            <v>35139</v>
          </cell>
          <cell r="S23">
            <v>9603150227</v>
          </cell>
          <cell r="T23" t="str">
            <v>Male</v>
          </cell>
          <cell r="U23" t="str">
            <v>Single</v>
          </cell>
          <cell r="V23" t="str">
            <v>Permanent</v>
          </cell>
          <cell r="W23">
            <v>201</v>
          </cell>
          <cell r="X23" t="str">
            <v>stredni odborne vzdelani s vyucnim listem</v>
          </cell>
          <cell r="Y23" t="str">
            <v>N/A</v>
          </cell>
          <cell r="Z23" t="str">
            <v>895 Recruitment (store manager (10224969))</v>
          </cell>
          <cell r="AA23">
            <v>3</v>
          </cell>
        </row>
        <row r="24">
          <cell r="A24">
            <v>22</v>
          </cell>
          <cell r="C24" t="str">
            <v>Overtime</v>
          </cell>
          <cell r="D24" t="str">
            <v>TwentyTwo</v>
          </cell>
          <cell r="E24" t="str">
            <v>Past</v>
          </cell>
          <cell r="F24">
            <v>43831</v>
          </cell>
          <cell r="G24" t="str">
            <v>Part time</v>
          </cell>
          <cell r="H24">
            <v>30</v>
          </cell>
          <cell r="I24" t="str">
            <v>Fixed Term</v>
          </cell>
          <cell r="J24" t="str">
            <v>P&amp;C Supervisor</v>
          </cell>
          <cell r="K24" t="str">
            <v>Czech</v>
          </cell>
          <cell r="L24">
            <v>5</v>
          </cell>
          <cell r="M24" t="str">
            <v>Employment Agreement</v>
          </cell>
          <cell r="N24">
            <v>250</v>
          </cell>
          <cell r="O24" t="str">
            <v>Human Resources Retail</v>
          </cell>
          <cell r="P24" t="str">
            <v>No</v>
          </cell>
          <cell r="Q24">
            <v>44562</v>
          </cell>
          <cell r="R24">
            <v>35139</v>
          </cell>
          <cell r="S24">
            <v>9603150238</v>
          </cell>
          <cell r="T24" t="str">
            <v>Male</v>
          </cell>
          <cell r="U24" t="str">
            <v>Single</v>
          </cell>
          <cell r="V24" t="str">
            <v>Permanent</v>
          </cell>
          <cell r="W24">
            <v>201</v>
          </cell>
          <cell r="X24" t="str">
            <v>stredni odborne vzdelani s vyucnim listem</v>
          </cell>
          <cell r="Y24" t="str">
            <v>N/A</v>
          </cell>
          <cell r="Z24" t="str">
            <v>895 Recruitment (store manager (10224969))</v>
          </cell>
          <cell r="AA24">
            <v>4</v>
          </cell>
        </row>
        <row r="25">
          <cell r="A25">
            <v>23</v>
          </cell>
          <cell r="C25" t="str">
            <v>Overtime</v>
          </cell>
          <cell r="D25" t="str">
            <v>TwentyThree</v>
          </cell>
          <cell r="E25" t="str">
            <v>Past</v>
          </cell>
          <cell r="F25">
            <v>43831</v>
          </cell>
          <cell r="G25" t="str">
            <v>Part time</v>
          </cell>
          <cell r="H25">
            <v>30</v>
          </cell>
          <cell r="I25" t="str">
            <v>Permanent</v>
          </cell>
          <cell r="J25" t="str">
            <v>P&amp;C Supervisor</v>
          </cell>
          <cell r="K25" t="str">
            <v>Czech</v>
          </cell>
          <cell r="L25">
            <v>5</v>
          </cell>
          <cell r="M25" t="str">
            <v>Employment Agreement</v>
          </cell>
          <cell r="N25">
            <v>250</v>
          </cell>
          <cell r="O25" t="str">
            <v>Human Resources Retail</v>
          </cell>
          <cell r="P25" t="str">
            <v>Yes</v>
          </cell>
          <cell r="Q25" t="str">
            <v>N/A</v>
          </cell>
          <cell r="R25">
            <v>35139</v>
          </cell>
          <cell r="S25">
            <v>9603150249</v>
          </cell>
          <cell r="T25" t="str">
            <v>Male</v>
          </cell>
          <cell r="U25" t="str">
            <v>Single</v>
          </cell>
          <cell r="V25" t="str">
            <v>Permanent</v>
          </cell>
          <cell r="W25">
            <v>201</v>
          </cell>
          <cell r="X25" t="str">
            <v>stredni odborne vzdelani s vyucnim listem</v>
          </cell>
          <cell r="Y25" t="str">
            <v>N/A</v>
          </cell>
          <cell r="Z25" t="str">
            <v>895 Recruitment (store manager (10224969))</v>
          </cell>
          <cell r="AA25">
            <v>5</v>
          </cell>
        </row>
        <row r="26">
          <cell r="A26">
            <v>24</v>
          </cell>
          <cell r="C26" t="str">
            <v>Overtime</v>
          </cell>
          <cell r="D26" t="str">
            <v>TwentyFour</v>
          </cell>
          <cell r="E26" t="str">
            <v>Past</v>
          </cell>
          <cell r="F26">
            <v>43831</v>
          </cell>
          <cell r="G26" t="str">
            <v>Full time</v>
          </cell>
          <cell r="H26">
            <v>40</v>
          </cell>
          <cell r="I26" t="str">
            <v>Fixed Term</v>
          </cell>
          <cell r="J26" t="str">
            <v>P&amp;C Supervisor</v>
          </cell>
          <cell r="K26" t="str">
            <v>Czech</v>
          </cell>
          <cell r="L26">
            <v>5</v>
          </cell>
          <cell r="M26" t="str">
            <v>Employment Agreement</v>
          </cell>
          <cell r="N26">
            <v>250</v>
          </cell>
          <cell r="O26" t="str">
            <v>Human Resources Retail</v>
          </cell>
          <cell r="P26" t="str">
            <v>No</v>
          </cell>
          <cell r="Q26">
            <v>44562</v>
          </cell>
          <cell r="R26">
            <v>35139</v>
          </cell>
          <cell r="S26">
            <v>9603150260</v>
          </cell>
          <cell r="T26" t="str">
            <v>Male</v>
          </cell>
          <cell r="U26" t="str">
            <v>Single</v>
          </cell>
          <cell r="V26" t="str">
            <v>Permanent</v>
          </cell>
          <cell r="W26">
            <v>201</v>
          </cell>
          <cell r="X26" t="str">
            <v>stredni odborne vzdelani s vyucnim listem</v>
          </cell>
          <cell r="Y26" t="str">
            <v>N/A</v>
          </cell>
          <cell r="Z26" t="str">
            <v>895 Recruitment (store manager (10224969))</v>
          </cell>
          <cell r="AA26">
            <v>1</v>
          </cell>
        </row>
        <row r="27">
          <cell r="A27">
            <v>25</v>
          </cell>
          <cell r="C27" t="str">
            <v>Overtime</v>
          </cell>
          <cell r="D27" t="str">
            <v>TwentyFive</v>
          </cell>
          <cell r="E27" t="str">
            <v>Past</v>
          </cell>
          <cell r="F27">
            <v>43831</v>
          </cell>
          <cell r="G27" t="str">
            <v>Full time</v>
          </cell>
          <cell r="H27">
            <v>40</v>
          </cell>
          <cell r="I27" t="str">
            <v>Permanent</v>
          </cell>
          <cell r="J27" t="str">
            <v>P&amp;C Supervisor</v>
          </cell>
          <cell r="K27" t="str">
            <v>Czech</v>
          </cell>
          <cell r="L27">
            <v>5</v>
          </cell>
          <cell r="M27" t="str">
            <v>Employment Agreement</v>
          </cell>
          <cell r="N27">
            <v>250</v>
          </cell>
          <cell r="O27" t="str">
            <v>Human Resources Retail</v>
          </cell>
          <cell r="P27" t="str">
            <v>Yes</v>
          </cell>
          <cell r="Q27" t="str">
            <v>N/A</v>
          </cell>
          <cell r="R27">
            <v>35139</v>
          </cell>
          <cell r="S27">
            <v>9603150271</v>
          </cell>
          <cell r="T27" t="str">
            <v>Male</v>
          </cell>
          <cell r="U27" t="str">
            <v>Single</v>
          </cell>
          <cell r="V27" t="str">
            <v>Permanent</v>
          </cell>
          <cell r="W27">
            <v>201</v>
          </cell>
          <cell r="X27" t="str">
            <v>stredni odborne vzdelani s vyucnim listem</v>
          </cell>
          <cell r="Y27" t="str">
            <v>N/A</v>
          </cell>
          <cell r="Z27" t="str">
            <v>895 Recruitment (store manager (10224969))</v>
          </cell>
          <cell r="AA27">
            <v>2</v>
          </cell>
        </row>
        <row r="28">
          <cell r="A28">
            <v>26</v>
          </cell>
          <cell r="B28">
            <v>6</v>
          </cell>
          <cell r="C28" t="str">
            <v>Overtime</v>
          </cell>
          <cell r="D28" t="str">
            <v>TwentySix</v>
          </cell>
          <cell r="E28" t="str">
            <v>Past</v>
          </cell>
          <cell r="F28">
            <v>43831</v>
          </cell>
          <cell r="G28" t="str">
            <v>Part time</v>
          </cell>
          <cell r="H28">
            <v>20</v>
          </cell>
          <cell r="I28" t="str">
            <v>Fixed Term</v>
          </cell>
          <cell r="J28" t="str">
            <v>P&amp;C Assistant</v>
          </cell>
          <cell r="K28" t="str">
            <v>Czech</v>
          </cell>
          <cell r="L28">
            <v>5</v>
          </cell>
          <cell r="M28" t="str">
            <v>Employment Agreement</v>
          </cell>
          <cell r="N28">
            <v>250</v>
          </cell>
          <cell r="O28" t="str">
            <v>Human Resources Retail</v>
          </cell>
          <cell r="P28" t="str">
            <v>No</v>
          </cell>
          <cell r="Q28">
            <v>44562</v>
          </cell>
          <cell r="R28">
            <v>35139</v>
          </cell>
          <cell r="S28">
            <v>9603150282</v>
          </cell>
          <cell r="T28" t="str">
            <v>Male</v>
          </cell>
          <cell r="U28" t="str">
            <v>Single</v>
          </cell>
          <cell r="V28" t="str">
            <v>Permanent</v>
          </cell>
          <cell r="W28">
            <v>201</v>
          </cell>
          <cell r="X28" t="str">
            <v>stredni odborne vzdelani s vyucnim listem</v>
          </cell>
          <cell r="Y28" t="str">
            <v>N/A</v>
          </cell>
          <cell r="Z28" t="str">
            <v>895 Recruitment (store manager (10224969))</v>
          </cell>
          <cell r="AA28">
            <v>3</v>
          </cell>
        </row>
        <row r="29">
          <cell r="A29">
            <v>27</v>
          </cell>
          <cell r="C29" t="str">
            <v>Overtime</v>
          </cell>
          <cell r="D29" t="str">
            <v>TwentySeven</v>
          </cell>
          <cell r="E29" t="str">
            <v>Past</v>
          </cell>
          <cell r="F29">
            <v>43831</v>
          </cell>
          <cell r="G29" t="str">
            <v>Part time</v>
          </cell>
          <cell r="H29">
            <v>20</v>
          </cell>
          <cell r="I29" t="str">
            <v>Permanent</v>
          </cell>
          <cell r="J29" t="str">
            <v>P&amp;C Assistant</v>
          </cell>
          <cell r="K29" t="str">
            <v>Czech</v>
          </cell>
          <cell r="L29">
            <v>5</v>
          </cell>
          <cell r="M29" t="str">
            <v>Employment Agreement</v>
          </cell>
          <cell r="N29">
            <v>250</v>
          </cell>
          <cell r="O29" t="str">
            <v>Human Resources Retail</v>
          </cell>
          <cell r="P29" t="str">
            <v>Yes</v>
          </cell>
          <cell r="Q29" t="str">
            <v>N/A</v>
          </cell>
          <cell r="R29">
            <v>35139</v>
          </cell>
          <cell r="S29">
            <v>9603150293</v>
          </cell>
          <cell r="T29" t="str">
            <v>Male</v>
          </cell>
          <cell r="U29" t="str">
            <v>Single</v>
          </cell>
          <cell r="V29" t="str">
            <v>Permanent</v>
          </cell>
          <cell r="W29">
            <v>201</v>
          </cell>
          <cell r="X29" t="str">
            <v>stredni odborne vzdelani s vyucnim listem</v>
          </cell>
          <cell r="Y29" t="str">
            <v>N/A</v>
          </cell>
          <cell r="Z29" t="str">
            <v>895 Recruitment (store manager (10224969))</v>
          </cell>
          <cell r="AA29">
            <v>4</v>
          </cell>
        </row>
        <row r="30">
          <cell r="A30">
            <v>28</v>
          </cell>
          <cell r="C30" t="str">
            <v>Overtime</v>
          </cell>
          <cell r="D30" t="str">
            <v>TwentyEight</v>
          </cell>
          <cell r="E30" t="str">
            <v>Past</v>
          </cell>
          <cell r="F30">
            <v>43831</v>
          </cell>
          <cell r="G30" t="str">
            <v>Part time</v>
          </cell>
          <cell r="H30">
            <v>30</v>
          </cell>
          <cell r="I30" t="str">
            <v>Fixed Term</v>
          </cell>
          <cell r="J30" t="str">
            <v>P&amp;C Assistant</v>
          </cell>
          <cell r="K30" t="str">
            <v>Czech</v>
          </cell>
          <cell r="L30">
            <v>5</v>
          </cell>
          <cell r="M30" t="str">
            <v>Employment Agreement</v>
          </cell>
          <cell r="N30">
            <v>250</v>
          </cell>
          <cell r="O30" t="str">
            <v>Human Resources Retail</v>
          </cell>
          <cell r="P30" t="str">
            <v>No</v>
          </cell>
          <cell r="Q30">
            <v>44562</v>
          </cell>
          <cell r="R30">
            <v>35139</v>
          </cell>
          <cell r="S30">
            <v>9603150304</v>
          </cell>
          <cell r="T30" t="str">
            <v>Male</v>
          </cell>
          <cell r="U30" t="str">
            <v>Single</v>
          </cell>
          <cell r="V30" t="str">
            <v>Permanent</v>
          </cell>
          <cell r="W30">
            <v>201</v>
          </cell>
          <cell r="X30" t="str">
            <v>stredni odborne vzdelani s vyucnim listem</v>
          </cell>
          <cell r="Y30" t="str">
            <v>N/A</v>
          </cell>
          <cell r="Z30" t="str">
            <v>895 Recruitment (store manager (10224969))</v>
          </cell>
          <cell r="AA30">
            <v>5</v>
          </cell>
        </row>
        <row r="31">
          <cell r="A31">
            <v>29</v>
          </cell>
          <cell r="C31" t="str">
            <v>Overtime</v>
          </cell>
          <cell r="D31" t="str">
            <v>TwentyNine</v>
          </cell>
          <cell r="E31" t="str">
            <v>Past</v>
          </cell>
          <cell r="F31">
            <v>43831</v>
          </cell>
          <cell r="G31" t="str">
            <v>Part time</v>
          </cell>
          <cell r="H31">
            <v>30</v>
          </cell>
          <cell r="I31" t="str">
            <v>Permanent</v>
          </cell>
          <cell r="J31" t="str">
            <v>P&amp;C Assistant</v>
          </cell>
          <cell r="K31" t="str">
            <v>Czech</v>
          </cell>
          <cell r="L31">
            <v>5</v>
          </cell>
          <cell r="M31" t="str">
            <v>Employment Agreement</v>
          </cell>
          <cell r="N31">
            <v>250</v>
          </cell>
          <cell r="O31" t="str">
            <v>Human Resources Retail</v>
          </cell>
          <cell r="P31" t="str">
            <v>Yes</v>
          </cell>
          <cell r="Q31" t="str">
            <v>N/A</v>
          </cell>
          <cell r="R31">
            <v>35139</v>
          </cell>
          <cell r="S31">
            <v>9603150315</v>
          </cell>
          <cell r="T31" t="str">
            <v>Male</v>
          </cell>
          <cell r="U31" t="str">
            <v>Single</v>
          </cell>
          <cell r="V31" t="str">
            <v>Permanent</v>
          </cell>
          <cell r="W31">
            <v>201</v>
          </cell>
          <cell r="X31" t="str">
            <v>stredni odborne vzdelani s vyucnim listem</v>
          </cell>
          <cell r="Y31" t="str">
            <v>N/A</v>
          </cell>
          <cell r="Z31" t="str">
            <v>895 Recruitment (store manager (10224969))</v>
          </cell>
          <cell r="AA31">
            <v>1</v>
          </cell>
        </row>
        <row r="32">
          <cell r="A32">
            <v>30</v>
          </cell>
          <cell r="C32" t="str">
            <v>Overtime</v>
          </cell>
          <cell r="D32" t="str">
            <v>Thirty</v>
          </cell>
          <cell r="E32" t="str">
            <v>Past</v>
          </cell>
          <cell r="F32">
            <v>43831</v>
          </cell>
          <cell r="G32" t="str">
            <v>Full time</v>
          </cell>
          <cell r="H32">
            <v>40</v>
          </cell>
          <cell r="I32" t="str">
            <v>Fixed Term</v>
          </cell>
          <cell r="J32" t="str">
            <v>P&amp;C Assistant</v>
          </cell>
          <cell r="K32" t="str">
            <v>Czech</v>
          </cell>
          <cell r="L32">
            <v>5</v>
          </cell>
          <cell r="M32" t="str">
            <v>Employment Agreement</v>
          </cell>
          <cell r="N32">
            <v>250</v>
          </cell>
          <cell r="O32" t="str">
            <v>Human Resources Retail</v>
          </cell>
          <cell r="P32" t="str">
            <v>No</v>
          </cell>
          <cell r="Q32">
            <v>44562</v>
          </cell>
          <cell r="R32">
            <v>35139</v>
          </cell>
          <cell r="S32">
            <v>9603150326</v>
          </cell>
          <cell r="T32" t="str">
            <v>Male</v>
          </cell>
          <cell r="U32" t="str">
            <v>Single</v>
          </cell>
          <cell r="V32" t="str">
            <v>Permanent</v>
          </cell>
          <cell r="W32">
            <v>201</v>
          </cell>
          <cell r="X32" t="str">
            <v>stredni odborne vzdelani s vyucnim listem</v>
          </cell>
          <cell r="Y32" t="str">
            <v>N/A</v>
          </cell>
          <cell r="Z32" t="str">
            <v>895 Recruitment (store manager (10224969))</v>
          </cell>
          <cell r="AA32">
            <v>2</v>
          </cell>
        </row>
        <row r="33">
          <cell r="A33">
            <v>31</v>
          </cell>
          <cell r="C33" t="str">
            <v>Overtime</v>
          </cell>
          <cell r="D33" t="str">
            <v>ThirtyOne</v>
          </cell>
          <cell r="E33" t="str">
            <v>Past</v>
          </cell>
          <cell r="F33">
            <v>43831</v>
          </cell>
          <cell r="G33" t="str">
            <v>Full time</v>
          </cell>
          <cell r="H33">
            <v>40</v>
          </cell>
          <cell r="I33" t="str">
            <v>Permanent</v>
          </cell>
          <cell r="J33" t="str">
            <v>P&amp;C Assistant</v>
          </cell>
          <cell r="K33" t="str">
            <v>Czech</v>
          </cell>
          <cell r="L33">
            <v>5</v>
          </cell>
          <cell r="M33" t="str">
            <v>Employment Agreement</v>
          </cell>
          <cell r="N33">
            <v>250</v>
          </cell>
          <cell r="O33" t="str">
            <v>Human Resources Retail</v>
          </cell>
          <cell r="P33" t="str">
            <v>Yes</v>
          </cell>
          <cell r="Q33" t="str">
            <v>N/A</v>
          </cell>
          <cell r="R33">
            <v>35139</v>
          </cell>
          <cell r="S33">
            <v>9603150337</v>
          </cell>
          <cell r="T33" t="str">
            <v>Male</v>
          </cell>
          <cell r="U33" t="str">
            <v>Single</v>
          </cell>
          <cell r="V33" t="str">
            <v>Permanent</v>
          </cell>
          <cell r="W33">
            <v>201</v>
          </cell>
          <cell r="X33" t="str">
            <v>stredni odborne vzdelani s vyucnim listem</v>
          </cell>
          <cell r="Y33" t="str">
            <v>N/A</v>
          </cell>
          <cell r="Z33" t="str">
            <v>895 Recruitment (store manager (10224969))</v>
          </cell>
          <cell r="AA33">
            <v>3</v>
          </cell>
        </row>
        <row r="34">
          <cell r="A34">
            <v>32</v>
          </cell>
          <cell r="B34">
            <v>7</v>
          </cell>
          <cell r="C34" t="str">
            <v>Overtime</v>
          </cell>
          <cell r="D34" t="str">
            <v>ThirtyTwo</v>
          </cell>
          <cell r="E34" t="str">
            <v>Past</v>
          </cell>
          <cell r="F34">
            <v>43831</v>
          </cell>
          <cell r="G34" t="str">
            <v>Part time</v>
          </cell>
          <cell r="H34">
            <v>20</v>
          </cell>
          <cell r="I34" t="str">
            <v>Fixed Term</v>
          </cell>
          <cell r="J34" t="str">
            <v>Visual Merchandising Manager</v>
          </cell>
          <cell r="K34" t="str">
            <v>Czech</v>
          </cell>
          <cell r="L34">
            <v>5</v>
          </cell>
          <cell r="M34" t="str">
            <v>Employment Agreement</v>
          </cell>
          <cell r="N34">
            <v>251</v>
          </cell>
          <cell r="O34" t="str">
            <v>Management Retail</v>
          </cell>
          <cell r="P34" t="str">
            <v>No</v>
          </cell>
          <cell r="Q34">
            <v>44562</v>
          </cell>
          <cell r="R34">
            <v>35139</v>
          </cell>
          <cell r="S34">
            <v>9603150348</v>
          </cell>
          <cell r="T34" t="str">
            <v>Male</v>
          </cell>
          <cell r="U34" t="str">
            <v>Single</v>
          </cell>
          <cell r="V34" t="str">
            <v>Permanent</v>
          </cell>
          <cell r="W34">
            <v>201</v>
          </cell>
          <cell r="X34" t="str">
            <v>stredni odborne vzdelani s vyucnim listem</v>
          </cell>
          <cell r="Y34" t="str">
            <v>N/A</v>
          </cell>
          <cell r="Z34" t="str">
            <v>895 Store Management (Male Teststmanager (10224969))</v>
          </cell>
          <cell r="AA34">
            <v>45000</v>
          </cell>
        </row>
        <row r="35">
          <cell r="A35">
            <v>33</v>
          </cell>
          <cell r="C35" t="str">
            <v>Overtime</v>
          </cell>
          <cell r="D35" t="str">
            <v>ThirtyThree</v>
          </cell>
          <cell r="E35" t="str">
            <v>Past</v>
          </cell>
          <cell r="F35">
            <v>43831</v>
          </cell>
          <cell r="G35" t="str">
            <v>Part time</v>
          </cell>
          <cell r="H35">
            <v>20</v>
          </cell>
          <cell r="I35" t="str">
            <v>Permanent</v>
          </cell>
          <cell r="J35" t="str">
            <v>Visual Merchandising Manager</v>
          </cell>
          <cell r="K35" t="str">
            <v>Czech</v>
          </cell>
          <cell r="L35">
            <v>5</v>
          </cell>
          <cell r="M35" t="str">
            <v>Employment Agreement</v>
          </cell>
          <cell r="N35">
            <v>251</v>
          </cell>
          <cell r="O35" t="str">
            <v>Management Retail</v>
          </cell>
          <cell r="P35" t="str">
            <v>Yes</v>
          </cell>
          <cell r="Q35" t="str">
            <v>N/A</v>
          </cell>
          <cell r="R35">
            <v>35139</v>
          </cell>
          <cell r="S35">
            <v>9603150359</v>
          </cell>
          <cell r="T35" t="str">
            <v>Male</v>
          </cell>
          <cell r="U35" t="str">
            <v>Single</v>
          </cell>
          <cell r="V35" t="str">
            <v>Permanent</v>
          </cell>
          <cell r="W35">
            <v>201</v>
          </cell>
          <cell r="X35" t="str">
            <v>stredni odborne vzdelani s vyucnim listem</v>
          </cell>
          <cell r="Y35" t="str">
            <v>N/A</v>
          </cell>
          <cell r="Z35" t="str">
            <v>895 Store Management (Male Teststmanager (10224969))</v>
          </cell>
          <cell r="AA35">
            <v>45000</v>
          </cell>
        </row>
        <row r="36">
          <cell r="A36">
            <v>34</v>
          </cell>
          <cell r="C36" t="str">
            <v>Overtime</v>
          </cell>
          <cell r="D36" t="str">
            <v>ThirtyFour</v>
          </cell>
          <cell r="E36" t="str">
            <v>Past</v>
          </cell>
          <cell r="F36">
            <v>43831</v>
          </cell>
          <cell r="G36" t="str">
            <v>Part time</v>
          </cell>
          <cell r="H36">
            <v>30</v>
          </cell>
          <cell r="I36" t="str">
            <v>Fixed Term</v>
          </cell>
          <cell r="J36" t="str">
            <v>Visual Merchandising Manager</v>
          </cell>
          <cell r="K36" t="str">
            <v>Czech</v>
          </cell>
          <cell r="L36">
            <v>5</v>
          </cell>
          <cell r="M36" t="str">
            <v>Employment Agreement</v>
          </cell>
          <cell r="N36">
            <v>251</v>
          </cell>
          <cell r="O36" t="str">
            <v>Management Retail</v>
          </cell>
          <cell r="P36" t="str">
            <v>No</v>
          </cell>
          <cell r="Q36">
            <v>44562</v>
          </cell>
          <cell r="R36">
            <v>35139</v>
          </cell>
          <cell r="S36">
            <v>9603150370</v>
          </cell>
          <cell r="T36" t="str">
            <v>Male</v>
          </cell>
          <cell r="U36" t="str">
            <v>Single</v>
          </cell>
          <cell r="V36" t="str">
            <v>Permanent</v>
          </cell>
          <cell r="W36">
            <v>201</v>
          </cell>
          <cell r="X36" t="str">
            <v>stredni odborne vzdelani s vyucnim listem</v>
          </cell>
          <cell r="Y36" t="str">
            <v>N/A</v>
          </cell>
          <cell r="Z36" t="str">
            <v>895 Store Management (Male Teststmanager (10224969))</v>
          </cell>
          <cell r="AA36">
            <v>45000</v>
          </cell>
        </row>
        <row r="37">
          <cell r="A37">
            <v>35</v>
          </cell>
          <cell r="C37" t="str">
            <v>Overtime</v>
          </cell>
          <cell r="D37" t="str">
            <v>ThirtyFive</v>
          </cell>
          <cell r="E37" t="str">
            <v>Past</v>
          </cell>
          <cell r="F37">
            <v>43831</v>
          </cell>
          <cell r="G37" t="str">
            <v>Part time</v>
          </cell>
          <cell r="H37">
            <v>30</v>
          </cell>
          <cell r="I37" t="str">
            <v>Permanent</v>
          </cell>
          <cell r="J37" t="str">
            <v>Visual Merchandising Manager</v>
          </cell>
          <cell r="K37" t="str">
            <v>Czech</v>
          </cell>
          <cell r="L37">
            <v>5</v>
          </cell>
          <cell r="M37" t="str">
            <v>Employment Agreement</v>
          </cell>
          <cell r="N37">
            <v>251</v>
          </cell>
          <cell r="O37" t="str">
            <v>Management Retail</v>
          </cell>
          <cell r="P37" t="str">
            <v>Yes</v>
          </cell>
          <cell r="Q37" t="str">
            <v>N/A</v>
          </cell>
          <cell r="R37">
            <v>35139</v>
          </cell>
          <cell r="S37">
            <v>9603150381</v>
          </cell>
          <cell r="T37" t="str">
            <v>Male</v>
          </cell>
          <cell r="U37" t="str">
            <v>Single</v>
          </cell>
          <cell r="V37" t="str">
            <v>Permanent</v>
          </cell>
          <cell r="W37">
            <v>201</v>
          </cell>
          <cell r="X37" t="str">
            <v>stredni odborne vzdelani s vyucnim listem</v>
          </cell>
          <cell r="Y37" t="str">
            <v>N/A</v>
          </cell>
          <cell r="Z37" t="str">
            <v>895 Store Management (Male Teststmanager (10224969))</v>
          </cell>
          <cell r="AA37">
            <v>45000</v>
          </cell>
        </row>
        <row r="38">
          <cell r="A38">
            <v>36</v>
          </cell>
          <cell r="C38" t="str">
            <v>Overtime</v>
          </cell>
          <cell r="D38" t="str">
            <v>ThirtySix</v>
          </cell>
          <cell r="E38" t="str">
            <v>Past</v>
          </cell>
          <cell r="F38">
            <v>43831</v>
          </cell>
          <cell r="G38" t="str">
            <v>Full time</v>
          </cell>
          <cell r="H38">
            <v>40</v>
          </cell>
          <cell r="I38" t="str">
            <v>Fixed Term</v>
          </cell>
          <cell r="J38" t="str">
            <v>Visual Merchandising Manager</v>
          </cell>
          <cell r="K38" t="str">
            <v>Czech</v>
          </cell>
          <cell r="L38">
            <v>5</v>
          </cell>
          <cell r="M38" t="str">
            <v>Employment Agreement</v>
          </cell>
          <cell r="N38">
            <v>251</v>
          </cell>
          <cell r="O38" t="str">
            <v>Management Retail</v>
          </cell>
          <cell r="P38" t="str">
            <v>No</v>
          </cell>
          <cell r="Q38">
            <v>44562</v>
          </cell>
          <cell r="R38">
            <v>35139</v>
          </cell>
          <cell r="S38">
            <v>9603150392</v>
          </cell>
          <cell r="T38" t="str">
            <v>Male</v>
          </cell>
          <cell r="U38" t="str">
            <v>Single</v>
          </cell>
          <cell r="V38" t="str">
            <v>Permanent</v>
          </cell>
          <cell r="W38">
            <v>201</v>
          </cell>
          <cell r="X38" t="str">
            <v>stredni odborne vzdelani s vyucnim listem</v>
          </cell>
          <cell r="Y38" t="str">
            <v>N/A</v>
          </cell>
          <cell r="Z38" t="str">
            <v>895 Store Management (Male Teststmanager (10224969))</v>
          </cell>
          <cell r="AA38">
            <v>45000</v>
          </cell>
        </row>
        <row r="39">
          <cell r="A39">
            <v>37</v>
          </cell>
          <cell r="C39" t="str">
            <v>Overtime</v>
          </cell>
          <cell r="D39" t="str">
            <v>ThirtySeven</v>
          </cell>
          <cell r="E39" t="str">
            <v>Past</v>
          </cell>
          <cell r="F39">
            <v>43831</v>
          </cell>
          <cell r="G39" t="str">
            <v>Full time</v>
          </cell>
          <cell r="H39">
            <v>40</v>
          </cell>
          <cell r="I39" t="str">
            <v>Permanent</v>
          </cell>
          <cell r="J39" t="str">
            <v>Visual Merchandising Manager</v>
          </cell>
          <cell r="K39" t="str">
            <v>Czech</v>
          </cell>
          <cell r="L39">
            <v>5</v>
          </cell>
          <cell r="M39" t="str">
            <v>Employment Agreement</v>
          </cell>
          <cell r="N39">
            <v>251</v>
          </cell>
          <cell r="O39" t="str">
            <v>Management Retail</v>
          </cell>
          <cell r="P39" t="str">
            <v>Yes</v>
          </cell>
          <cell r="Q39" t="str">
            <v>N/A</v>
          </cell>
          <cell r="R39">
            <v>35139</v>
          </cell>
          <cell r="S39">
            <v>9603150403</v>
          </cell>
          <cell r="T39" t="str">
            <v>Male</v>
          </cell>
          <cell r="U39" t="str">
            <v>Single</v>
          </cell>
          <cell r="V39" t="str">
            <v>Permanent</v>
          </cell>
          <cell r="W39">
            <v>201</v>
          </cell>
          <cell r="X39" t="str">
            <v>stredni odborne vzdelani s vyucnim listem</v>
          </cell>
          <cell r="Y39" t="str">
            <v>N/A</v>
          </cell>
          <cell r="Z39" t="str">
            <v>895 Store Management (Male Teststmanager (10224969))</v>
          </cell>
          <cell r="AA39">
            <v>45000</v>
          </cell>
        </row>
        <row r="40">
          <cell r="A40">
            <v>38</v>
          </cell>
          <cell r="B40">
            <v>8</v>
          </cell>
          <cell r="C40" t="str">
            <v>Overtime</v>
          </cell>
          <cell r="D40" t="str">
            <v>ThirtyEight</v>
          </cell>
          <cell r="E40" t="str">
            <v>Past</v>
          </cell>
          <cell r="F40">
            <v>43831</v>
          </cell>
          <cell r="G40" t="str">
            <v>Part time</v>
          </cell>
          <cell r="H40">
            <v>20</v>
          </cell>
          <cell r="I40" t="str">
            <v>Fixed Term</v>
          </cell>
          <cell r="J40" t="str">
            <v>Visual Merchandising Supervisor</v>
          </cell>
          <cell r="K40" t="str">
            <v>Czech</v>
          </cell>
          <cell r="L40">
            <v>5</v>
          </cell>
          <cell r="M40" t="str">
            <v>Employment Agreement</v>
          </cell>
          <cell r="N40">
            <v>251</v>
          </cell>
          <cell r="O40" t="str">
            <v>Management Retail</v>
          </cell>
          <cell r="P40" t="str">
            <v>No</v>
          </cell>
          <cell r="Q40">
            <v>44562</v>
          </cell>
          <cell r="R40">
            <v>35139</v>
          </cell>
          <cell r="S40">
            <v>9603150414</v>
          </cell>
          <cell r="T40" t="str">
            <v>Male</v>
          </cell>
          <cell r="U40" t="str">
            <v>Single</v>
          </cell>
          <cell r="V40" t="str">
            <v>Permanent</v>
          </cell>
          <cell r="W40">
            <v>201</v>
          </cell>
          <cell r="X40" t="str">
            <v>stredni odborne vzdelani s vyucnim listem</v>
          </cell>
          <cell r="Y40" t="str">
            <v>N/A</v>
          </cell>
          <cell r="Z40" t="str">
            <v>895 Store Management (Male Teststmanager (10224969))</v>
          </cell>
          <cell r="AA40">
            <v>1</v>
          </cell>
        </row>
        <row r="41">
          <cell r="A41">
            <v>39</v>
          </cell>
          <cell r="C41" t="str">
            <v>Overtime</v>
          </cell>
          <cell r="D41" t="str">
            <v>ThirtyNine</v>
          </cell>
          <cell r="E41" t="str">
            <v>Past</v>
          </cell>
          <cell r="F41">
            <v>43831</v>
          </cell>
          <cell r="G41" t="str">
            <v>Part time</v>
          </cell>
          <cell r="H41">
            <v>20</v>
          </cell>
          <cell r="I41" t="str">
            <v>Permanent</v>
          </cell>
          <cell r="J41" t="str">
            <v>Visual Merchandising Supervisor</v>
          </cell>
          <cell r="K41" t="str">
            <v>Czech</v>
          </cell>
          <cell r="L41">
            <v>5</v>
          </cell>
          <cell r="M41" t="str">
            <v>Employment Agreement</v>
          </cell>
          <cell r="N41">
            <v>251</v>
          </cell>
          <cell r="O41" t="str">
            <v>Management Retail</v>
          </cell>
          <cell r="P41" t="str">
            <v>Yes</v>
          </cell>
          <cell r="Q41" t="str">
            <v>N/A</v>
          </cell>
          <cell r="R41">
            <v>35139</v>
          </cell>
          <cell r="S41">
            <v>9603150425</v>
          </cell>
          <cell r="T41" t="str">
            <v>Male</v>
          </cell>
          <cell r="U41" t="str">
            <v>Single</v>
          </cell>
          <cell r="V41" t="str">
            <v>Permanent</v>
          </cell>
          <cell r="W41">
            <v>201</v>
          </cell>
          <cell r="X41" t="str">
            <v>stredni odborne vzdelani s vyucnim listem</v>
          </cell>
          <cell r="Y41" t="str">
            <v>N/A</v>
          </cell>
          <cell r="Z41" t="str">
            <v>895 Store Management (Male Teststmanager (10224969))</v>
          </cell>
          <cell r="AA41">
            <v>2</v>
          </cell>
        </row>
        <row r="42">
          <cell r="A42">
            <v>40</v>
          </cell>
          <cell r="C42" t="str">
            <v>Overtime</v>
          </cell>
          <cell r="D42" t="str">
            <v>Forty</v>
          </cell>
          <cell r="E42" t="str">
            <v>Past</v>
          </cell>
          <cell r="F42">
            <v>43831</v>
          </cell>
          <cell r="G42" t="str">
            <v>Part time</v>
          </cell>
          <cell r="H42">
            <v>30</v>
          </cell>
          <cell r="I42" t="str">
            <v>Fixed Term</v>
          </cell>
          <cell r="J42" t="str">
            <v>Visual Merchandising Supervisor</v>
          </cell>
          <cell r="K42" t="str">
            <v>Czech</v>
          </cell>
          <cell r="L42">
            <v>5</v>
          </cell>
          <cell r="M42" t="str">
            <v>Employment Agreement</v>
          </cell>
          <cell r="N42">
            <v>251</v>
          </cell>
          <cell r="O42" t="str">
            <v>Management Retail</v>
          </cell>
          <cell r="P42" t="str">
            <v>No</v>
          </cell>
          <cell r="Q42">
            <v>44562</v>
          </cell>
          <cell r="R42">
            <v>35139</v>
          </cell>
          <cell r="S42">
            <v>9603150436</v>
          </cell>
          <cell r="T42" t="str">
            <v>Male</v>
          </cell>
          <cell r="U42" t="str">
            <v>Single</v>
          </cell>
          <cell r="V42" t="str">
            <v>Permanent</v>
          </cell>
          <cell r="W42">
            <v>201</v>
          </cell>
          <cell r="X42" t="str">
            <v>stredni odborne vzdelani s vyucnim listem</v>
          </cell>
          <cell r="Y42" t="str">
            <v>N/A</v>
          </cell>
          <cell r="Z42" t="str">
            <v>895 Store Management (Male Teststmanager (10224969))</v>
          </cell>
          <cell r="AA42">
            <v>3</v>
          </cell>
        </row>
        <row r="43">
          <cell r="A43">
            <v>41</v>
          </cell>
          <cell r="C43" t="str">
            <v>Overtime</v>
          </cell>
          <cell r="D43" t="str">
            <v>FortyOne</v>
          </cell>
          <cell r="E43" t="str">
            <v>Past</v>
          </cell>
          <cell r="F43">
            <v>43831</v>
          </cell>
          <cell r="G43" t="str">
            <v>Part time</v>
          </cell>
          <cell r="H43">
            <v>30</v>
          </cell>
          <cell r="I43" t="str">
            <v>Permanent</v>
          </cell>
          <cell r="J43" t="str">
            <v>Visual Merchandising Supervisor</v>
          </cell>
          <cell r="K43" t="str">
            <v>Czech</v>
          </cell>
          <cell r="L43">
            <v>5</v>
          </cell>
          <cell r="M43" t="str">
            <v>Employment Agreement</v>
          </cell>
          <cell r="N43">
            <v>251</v>
          </cell>
          <cell r="O43" t="str">
            <v>Management Retail</v>
          </cell>
          <cell r="P43" t="str">
            <v>Yes</v>
          </cell>
          <cell r="Q43" t="str">
            <v>N/A</v>
          </cell>
          <cell r="R43">
            <v>35139</v>
          </cell>
          <cell r="S43">
            <v>9603150447</v>
          </cell>
          <cell r="T43" t="str">
            <v>Male</v>
          </cell>
          <cell r="U43" t="str">
            <v>Single</v>
          </cell>
          <cell r="V43" t="str">
            <v>Permanent</v>
          </cell>
          <cell r="W43">
            <v>201</v>
          </cell>
          <cell r="X43" t="str">
            <v>stredni odborne vzdelani s vyucnim listem</v>
          </cell>
          <cell r="Y43" t="str">
            <v>N/A</v>
          </cell>
          <cell r="Z43" t="str">
            <v>895 Store Management (Male Teststmanager (10224969))</v>
          </cell>
          <cell r="AA43">
            <v>4</v>
          </cell>
        </row>
        <row r="44">
          <cell r="A44">
            <v>42</v>
          </cell>
          <cell r="C44" t="str">
            <v>Overtime</v>
          </cell>
          <cell r="D44" t="str">
            <v>FortyTwo</v>
          </cell>
          <cell r="E44" t="str">
            <v>Past</v>
          </cell>
          <cell r="F44">
            <v>43831</v>
          </cell>
          <cell r="G44" t="str">
            <v>Full time</v>
          </cell>
          <cell r="H44">
            <v>40</v>
          </cell>
          <cell r="I44" t="str">
            <v>Fixed Term</v>
          </cell>
          <cell r="J44" t="str">
            <v>Visual Merchandising Supervisor</v>
          </cell>
          <cell r="K44" t="str">
            <v>Czech</v>
          </cell>
          <cell r="L44">
            <v>5</v>
          </cell>
          <cell r="M44" t="str">
            <v>Employment Agreement</v>
          </cell>
          <cell r="N44">
            <v>251</v>
          </cell>
          <cell r="O44" t="str">
            <v>Management Retail</v>
          </cell>
          <cell r="P44" t="str">
            <v>No</v>
          </cell>
          <cell r="Q44">
            <v>44562</v>
          </cell>
          <cell r="R44">
            <v>35139</v>
          </cell>
          <cell r="S44">
            <v>9603150458</v>
          </cell>
          <cell r="T44" t="str">
            <v>Male</v>
          </cell>
          <cell r="U44" t="str">
            <v>Single</v>
          </cell>
          <cell r="V44" t="str">
            <v>Permanent</v>
          </cell>
          <cell r="W44">
            <v>201</v>
          </cell>
          <cell r="X44" t="str">
            <v>stredni odborne vzdelani s vyucnim listem</v>
          </cell>
          <cell r="Y44" t="str">
            <v>N/A</v>
          </cell>
          <cell r="Z44" t="str">
            <v>895 Store Management (Male Teststmanager (10224969))</v>
          </cell>
          <cell r="AA44">
            <v>5</v>
          </cell>
        </row>
        <row r="45">
          <cell r="A45">
            <v>43</v>
          </cell>
          <cell r="C45" t="str">
            <v>Overtime</v>
          </cell>
          <cell r="D45" t="str">
            <v>FortyThree</v>
          </cell>
          <cell r="E45" t="str">
            <v>Past</v>
          </cell>
          <cell r="F45">
            <v>43831</v>
          </cell>
          <cell r="G45" t="str">
            <v>Full time</v>
          </cell>
          <cell r="H45">
            <v>40</v>
          </cell>
          <cell r="I45" t="str">
            <v>Permanent</v>
          </cell>
          <cell r="J45" t="str">
            <v>Visual Merchandising Supervisor</v>
          </cell>
          <cell r="K45" t="str">
            <v>Czech</v>
          </cell>
          <cell r="L45">
            <v>5</v>
          </cell>
          <cell r="M45" t="str">
            <v>Employment Agreement</v>
          </cell>
          <cell r="N45">
            <v>251</v>
          </cell>
          <cell r="O45" t="str">
            <v>Management Retail</v>
          </cell>
          <cell r="P45" t="str">
            <v>Yes</v>
          </cell>
          <cell r="Q45" t="str">
            <v>N/A</v>
          </cell>
          <cell r="R45">
            <v>35139</v>
          </cell>
          <cell r="S45">
            <v>9603150469</v>
          </cell>
          <cell r="T45" t="str">
            <v>Male</v>
          </cell>
          <cell r="U45" t="str">
            <v>Single</v>
          </cell>
          <cell r="V45" t="str">
            <v>Permanent</v>
          </cell>
          <cell r="W45">
            <v>201</v>
          </cell>
          <cell r="X45" t="str">
            <v>stredni odborne vzdelani s vyucnim listem</v>
          </cell>
          <cell r="Y45" t="str">
            <v>N/A</v>
          </cell>
          <cell r="Z45" t="str">
            <v>895 Store Management (Male Teststmanager (10224969))</v>
          </cell>
          <cell r="AA45">
            <v>1</v>
          </cell>
        </row>
        <row r="46">
          <cell r="A46">
            <v>44</v>
          </cell>
          <cell r="B46">
            <v>9</v>
          </cell>
          <cell r="C46" t="str">
            <v>Overtime</v>
          </cell>
          <cell r="D46" t="str">
            <v>FortyFour</v>
          </cell>
          <cell r="E46" t="str">
            <v>Past</v>
          </cell>
          <cell r="F46">
            <v>43831</v>
          </cell>
          <cell r="G46" t="str">
            <v>Part time</v>
          </cell>
          <cell r="H46">
            <v>20</v>
          </cell>
          <cell r="I46" t="str">
            <v>Fixed Term</v>
          </cell>
          <cell r="J46" t="str">
            <v>Department Manager</v>
          </cell>
          <cell r="K46" t="str">
            <v>Czech</v>
          </cell>
          <cell r="L46">
            <v>5</v>
          </cell>
          <cell r="M46" t="str">
            <v>Employment Agreement</v>
          </cell>
          <cell r="N46">
            <v>251</v>
          </cell>
          <cell r="O46" t="str">
            <v>Management Retail</v>
          </cell>
          <cell r="P46" t="str">
            <v>No</v>
          </cell>
          <cell r="Q46">
            <v>44562</v>
          </cell>
          <cell r="R46">
            <v>35139</v>
          </cell>
          <cell r="S46">
            <v>9603150480</v>
          </cell>
          <cell r="T46" t="str">
            <v>Male</v>
          </cell>
          <cell r="U46" t="str">
            <v>Single</v>
          </cell>
          <cell r="V46" t="str">
            <v>Permanent</v>
          </cell>
          <cell r="W46">
            <v>201</v>
          </cell>
          <cell r="X46" t="str">
            <v>stredni odborne vzdelani s vyucnim listem</v>
          </cell>
          <cell r="Y46" t="str">
            <v>N/A</v>
          </cell>
          <cell r="Z46" t="str">
            <v>895 Store Management (Male Teststmanager (10224969))</v>
          </cell>
          <cell r="AA46">
            <v>34544</v>
          </cell>
        </row>
        <row r="47">
          <cell r="A47">
            <v>45</v>
          </cell>
          <cell r="C47" t="str">
            <v>Overtime</v>
          </cell>
          <cell r="D47" t="str">
            <v>FortyFive</v>
          </cell>
          <cell r="E47" t="str">
            <v>Past</v>
          </cell>
          <cell r="F47">
            <v>43831</v>
          </cell>
          <cell r="G47" t="str">
            <v>Part time</v>
          </cell>
          <cell r="H47">
            <v>20</v>
          </cell>
          <cell r="I47" t="str">
            <v>Permanent</v>
          </cell>
          <cell r="J47" t="str">
            <v>Department Manager</v>
          </cell>
          <cell r="K47" t="str">
            <v>Czech</v>
          </cell>
          <cell r="L47">
            <v>5</v>
          </cell>
          <cell r="M47" t="str">
            <v>Employment Agreement</v>
          </cell>
          <cell r="N47">
            <v>251</v>
          </cell>
          <cell r="O47" t="str">
            <v>Management Retail</v>
          </cell>
          <cell r="P47" t="str">
            <v>Yes</v>
          </cell>
          <cell r="Q47" t="str">
            <v>N/A</v>
          </cell>
          <cell r="R47">
            <v>35139</v>
          </cell>
          <cell r="S47">
            <v>9603150491</v>
          </cell>
          <cell r="T47" t="str">
            <v>Male</v>
          </cell>
          <cell r="U47" t="str">
            <v>Single</v>
          </cell>
          <cell r="V47" t="str">
            <v>Permanent</v>
          </cell>
          <cell r="W47">
            <v>201</v>
          </cell>
          <cell r="X47" t="str">
            <v>stredni odborne vzdelani s vyucnim listem</v>
          </cell>
          <cell r="Y47" t="str">
            <v>N/A</v>
          </cell>
          <cell r="Z47" t="str">
            <v>895 Store Management (Male Teststmanager (10224969))</v>
          </cell>
          <cell r="AA47">
            <v>34544</v>
          </cell>
        </row>
        <row r="48">
          <cell r="A48">
            <v>46</v>
          </cell>
          <cell r="C48" t="str">
            <v>Overtime</v>
          </cell>
          <cell r="D48" t="str">
            <v>FortySix</v>
          </cell>
          <cell r="E48" t="str">
            <v>Past</v>
          </cell>
          <cell r="F48">
            <v>43831</v>
          </cell>
          <cell r="G48" t="str">
            <v>Part time</v>
          </cell>
          <cell r="H48">
            <v>30</v>
          </cell>
          <cell r="I48" t="str">
            <v>Fixed Term</v>
          </cell>
          <cell r="J48" t="str">
            <v>Department Manager</v>
          </cell>
          <cell r="K48" t="str">
            <v>Czech</v>
          </cell>
          <cell r="L48">
            <v>5</v>
          </cell>
          <cell r="M48" t="str">
            <v>Employment Agreement</v>
          </cell>
          <cell r="N48">
            <v>251</v>
          </cell>
          <cell r="O48" t="str">
            <v>Management Retail</v>
          </cell>
          <cell r="P48" t="str">
            <v>No</v>
          </cell>
          <cell r="Q48">
            <v>44562</v>
          </cell>
          <cell r="R48">
            <v>35139</v>
          </cell>
          <cell r="S48">
            <v>9603150502</v>
          </cell>
          <cell r="T48" t="str">
            <v>Male</v>
          </cell>
          <cell r="U48" t="str">
            <v>Single</v>
          </cell>
          <cell r="V48" t="str">
            <v>Permanent</v>
          </cell>
          <cell r="W48">
            <v>201</v>
          </cell>
          <cell r="X48" t="str">
            <v>stredni odborne vzdelani s vyucnim listem</v>
          </cell>
          <cell r="Y48" t="str">
            <v>N/A</v>
          </cell>
          <cell r="Z48" t="str">
            <v>895 Store Management (Male Teststmanager (10224969))</v>
          </cell>
          <cell r="AA48">
            <v>34544</v>
          </cell>
        </row>
        <row r="49">
          <cell r="A49">
            <v>47</v>
          </cell>
          <cell r="C49" t="str">
            <v>Overtime</v>
          </cell>
          <cell r="D49" t="str">
            <v>FortySeven</v>
          </cell>
          <cell r="E49" t="str">
            <v>Past</v>
          </cell>
          <cell r="F49">
            <v>43831</v>
          </cell>
          <cell r="G49" t="str">
            <v>Part time</v>
          </cell>
          <cell r="H49">
            <v>30</v>
          </cell>
          <cell r="I49" t="str">
            <v>Permanent</v>
          </cell>
          <cell r="J49" t="str">
            <v>Department Manager</v>
          </cell>
          <cell r="K49" t="str">
            <v>Czech</v>
          </cell>
          <cell r="L49">
            <v>5</v>
          </cell>
          <cell r="M49" t="str">
            <v>Employment Agreement</v>
          </cell>
          <cell r="N49">
            <v>251</v>
          </cell>
          <cell r="O49" t="str">
            <v>Management Retail</v>
          </cell>
          <cell r="P49" t="str">
            <v>Yes</v>
          </cell>
          <cell r="Q49" t="str">
            <v>N/A</v>
          </cell>
          <cell r="R49">
            <v>35139</v>
          </cell>
          <cell r="S49">
            <v>9603150513</v>
          </cell>
          <cell r="T49" t="str">
            <v>Male</v>
          </cell>
          <cell r="U49" t="str">
            <v>Single</v>
          </cell>
          <cell r="V49" t="str">
            <v>Permanent</v>
          </cell>
          <cell r="W49">
            <v>201</v>
          </cell>
          <cell r="X49" t="str">
            <v>stredni odborne vzdelani s vyucnim listem</v>
          </cell>
          <cell r="Y49" t="str">
            <v>N/A</v>
          </cell>
          <cell r="Z49" t="str">
            <v>895 Store Management (Male Teststmanager (10224969))</v>
          </cell>
          <cell r="AA49">
            <v>34544</v>
          </cell>
        </row>
        <row r="50">
          <cell r="A50">
            <v>48</v>
          </cell>
          <cell r="C50" t="str">
            <v>Overtime</v>
          </cell>
          <cell r="D50" t="str">
            <v>FortyEight</v>
          </cell>
          <cell r="E50" t="str">
            <v>Past</v>
          </cell>
          <cell r="F50">
            <v>43831</v>
          </cell>
          <cell r="G50" t="str">
            <v>Full time</v>
          </cell>
          <cell r="H50">
            <v>40</v>
          </cell>
          <cell r="I50" t="str">
            <v>Fixed Term</v>
          </cell>
          <cell r="J50" t="str">
            <v>Department Manager</v>
          </cell>
          <cell r="K50" t="str">
            <v>Czech</v>
          </cell>
          <cell r="L50">
            <v>5</v>
          </cell>
          <cell r="M50" t="str">
            <v>Employment Agreement</v>
          </cell>
          <cell r="N50">
            <v>251</v>
          </cell>
          <cell r="O50" t="str">
            <v>Management Retail</v>
          </cell>
          <cell r="P50" t="str">
            <v>No</v>
          </cell>
          <cell r="Q50">
            <v>44562</v>
          </cell>
          <cell r="R50">
            <v>35139</v>
          </cell>
          <cell r="S50">
            <v>9603150524</v>
          </cell>
          <cell r="T50" t="str">
            <v>Male</v>
          </cell>
          <cell r="U50" t="str">
            <v>Single</v>
          </cell>
          <cell r="V50" t="str">
            <v>Permanent</v>
          </cell>
          <cell r="W50">
            <v>201</v>
          </cell>
          <cell r="X50" t="str">
            <v>stredni odborne vzdelani s vyucnim listem</v>
          </cell>
          <cell r="Y50" t="str">
            <v>N/A</v>
          </cell>
          <cell r="Z50" t="str">
            <v>895 Store Management (Male Teststmanager (10224969))</v>
          </cell>
          <cell r="AA50">
            <v>34544</v>
          </cell>
        </row>
        <row r="51">
          <cell r="A51">
            <v>49</v>
          </cell>
          <cell r="C51" t="str">
            <v>Overtime</v>
          </cell>
          <cell r="D51" t="str">
            <v>FortyNine</v>
          </cell>
          <cell r="E51" t="str">
            <v>Past</v>
          </cell>
          <cell r="F51">
            <v>43831</v>
          </cell>
          <cell r="G51" t="str">
            <v>Full time</v>
          </cell>
          <cell r="H51">
            <v>40</v>
          </cell>
          <cell r="I51" t="str">
            <v>Permanent</v>
          </cell>
          <cell r="J51" t="str">
            <v>Department Manager</v>
          </cell>
          <cell r="K51" t="str">
            <v>Czech</v>
          </cell>
          <cell r="L51">
            <v>5</v>
          </cell>
          <cell r="M51" t="str">
            <v>Employment Agreement</v>
          </cell>
          <cell r="N51">
            <v>251</v>
          </cell>
          <cell r="O51" t="str">
            <v>Management Retail</v>
          </cell>
          <cell r="P51" t="str">
            <v>Yes</v>
          </cell>
          <cell r="Q51" t="str">
            <v>N/A</v>
          </cell>
          <cell r="R51">
            <v>35139</v>
          </cell>
          <cell r="S51">
            <v>9603150535</v>
          </cell>
          <cell r="T51" t="str">
            <v>Male</v>
          </cell>
          <cell r="U51" t="str">
            <v>Single</v>
          </cell>
          <cell r="V51" t="str">
            <v>Permanent</v>
          </cell>
          <cell r="W51">
            <v>201</v>
          </cell>
          <cell r="X51" t="str">
            <v>stredni odborne vzdelani s vyucnim listem</v>
          </cell>
          <cell r="Y51" t="str">
            <v>N/A</v>
          </cell>
          <cell r="Z51" t="str">
            <v>895 Store Management (Male Teststmanager (10224969))</v>
          </cell>
          <cell r="AA51">
            <v>34544</v>
          </cell>
        </row>
        <row r="52">
          <cell r="A52">
            <v>50</v>
          </cell>
          <cell r="B52">
            <v>10</v>
          </cell>
          <cell r="C52" t="str">
            <v>Overtime</v>
          </cell>
          <cell r="D52" t="str">
            <v>Fifty</v>
          </cell>
          <cell r="E52" t="str">
            <v>Past</v>
          </cell>
          <cell r="F52">
            <v>43831</v>
          </cell>
          <cell r="G52" t="str">
            <v>Part time</v>
          </cell>
          <cell r="H52">
            <v>20</v>
          </cell>
          <cell r="I52" t="str">
            <v>Fixed Term</v>
          </cell>
          <cell r="J52" t="str">
            <v>Assistant Manager</v>
          </cell>
          <cell r="K52" t="str">
            <v>Czech</v>
          </cell>
          <cell r="L52">
            <v>5</v>
          </cell>
          <cell r="M52" t="str">
            <v>Employment Agreement</v>
          </cell>
          <cell r="N52">
            <v>251</v>
          </cell>
          <cell r="O52" t="str">
            <v>Management Retail</v>
          </cell>
          <cell r="P52" t="str">
            <v>No</v>
          </cell>
          <cell r="Q52">
            <v>44562</v>
          </cell>
          <cell r="R52">
            <v>35139</v>
          </cell>
          <cell r="S52">
            <v>9603150546</v>
          </cell>
          <cell r="T52" t="str">
            <v>Male</v>
          </cell>
          <cell r="U52" t="str">
            <v>Single</v>
          </cell>
          <cell r="V52" t="str">
            <v>Permanent</v>
          </cell>
          <cell r="W52">
            <v>201</v>
          </cell>
          <cell r="X52" t="str">
            <v>stredni odborne vzdelani s vyucnim listem</v>
          </cell>
          <cell r="Y52" t="str">
            <v>N/A</v>
          </cell>
          <cell r="Z52" t="str">
            <v>895 Store Management (Male Teststmanager (10224969))</v>
          </cell>
          <cell r="AA52">
            <v>45000</v>
          </cell>
        </row>
        <row r="53">
          <cell r="A53">
            <v>51</v>
          </cell>
          <cell r="C53" t="str">
            <v>Overtime</v>
          </cell>
          <cell r="D53" t="str">
            <v>FiftyOne</v>
          </cell>
          <cell r="E53" t="str">
            <v>Past</v>
          </cell>
          <cell r="F53">
            <v>43831</v>
          </cell>
          <cell r="G53" t="str">
            <v>Part time</v>
          </cell>
          <cell r="H53">
            <v>20</v>
          </cell>
          <cell r="I53" t="str">
            <v>Permanent</v>
          </cell>
          <cell r="J53" t="str">
            <v>Assistant Manager</v>
          </cell>
          <cell r="K53" t="str">
            <v>Czech</v>
          </cell>
          <cell r="L53">
            <v>5</v>
          </cell>
          <cell r="M53" t="str">
            <v>Employment Agreement</v>
          </cell>
          <cell r="N53">
            <v>251</v>
          </cell>
          <cell r="O53" t="str">
            <v>Management Retail</v>
          </cell>
          <cell r="P53" t="str">
            <v>Yes</v>
          </cell>
          <cell r="Q53" t="str">
            <v>N/A</v>
          </cell>
          <cell r="R53">
            <v>35139</v>
          </cell>
          <cell r="S53">
            <v>9603150557</v>
          </cell>
          <cell r="T53" t="str">
            <v>Male</v>
          </cell>
          <cell r="U53" t="str">
            <v>Single</v>
          </cell>
          <cell r="V53" t="str">
            <v>Permanent</v>
          </cell>
          <cell r="W53">
            <v>201</v>
          </cell>
          <cell r="X53" t="str">
            <v>stredni odborne vzdelani s vyucnim listem</v>
          </cell>
          <cell r="Y53" t="str">
            <v>N/A</v>
          </cell>
          <cell r="Z53" t="str">
            <v>895 Store Management (Male Teststmanager (10224969))</v>
          </cell>
          <cell r="AA53">
            <v>45000</v>
          </cell>
        </row>
        <row r="54">
          <cell r="A54">
            <v>52</v>
          </cell>
          <cell r="C54" t="str">
            <v>Overtime</v>
          </cell>
          <cell r="D54" t="str">
            <v>FiftyTwo</v>
          </cell>
          <cell r="E54" t="str">
            <v>Past</v>
          </cell>
          <cell r="F54">
            <v>43831</v>
          </cell>
          <cell r="G54" t="str">
            <v>Part time</v>
          </cell>
          <cell r="H54">
            <v>30</v>
          </cell>
          <cell r="I54" t="str">
            <v>Fixed Term</v>
          </cell>
          <cell r="J54" t="str">
            <v>Assistant Manager</v>
          </cell>
          <cell r="K54" t="str">
            <v>Czech</v>
          </cell>
          <cell r="L54">
            <v>5</v>
          </cell>
          <cell r="M54" t="str">
            <v>Employment Agreement</v>
          </cell>
          <cell r="N54">
            <v>251</v>
          </cell>
          <cell r="O54" t="str">
            <v>Management Retail</v>
          </cell>
          <cell r="P54" t="str">
            <v>No</v>
          </cell>
          <cell r="Q54">
            <v>44562</v>
          </cell>
          <cell r="R54">
            <v>35139</v>
          </cell>
          <cell r="S54">
            <v>9603150568</v>
          </cell>
          <cell r="T54" t="str">
            <v>Male</v>
          </cell>
          <cell r="U54" t="str">
            <v>Single</v>
          </cell>
          <cell r="V54" t="str">
            <v>Permanent</v>
          </cell>
          <cell r="W54">
            <v>201</v>
          </cell>
          <cell r="X54" t="str">
            <v>stredni odborne vzdelani s vyucnim listem</v>
          </cell>
          <cell r="Y54" t="str">
            <v>N/A</v>
          </cell>
          <cell r="Z54" t="str">
            <v>895 Store Management (Male Teststmanager (10224969))</v>
          </cell>
          <cell r="AA54">
            <v>45000</v>
          </cell>
        </row>
        <row r="55">
          <cell r="A55">
            <v>53</v>
          </cell>
          <cell r="C55" t="str">
            <v>Overtime</v>
          </cell>
          <cell r="D55" t="str">
            <v>FiftyThree</v>
          </cell>
          <cell r="E55" t="str">
            <v>Past</v>
          </cell>
          <cell r="F55">
            <v>43831</v>
          </cell>
          <cell r="G55" t="str">
            <v>Part time</v>
          </cell>
          <cell r="H55">
            <v>30</v>
          </cell>
          <cell r="I55" t="str">
            <v>Permanent</v>
          </cell>
          <cell r="J55" t="str">
            <v>Assistant Manager</v>
          </cell>
          <cell r="K55" t="str">
            <v>Czech</v>
          </cell>
          <cell r="L55">
            <v>5</v>
          </cell>
          <cell r="M55" t="str">
            <v>Employment Agreement</v>
          </cell>
          <cell r="N55">
            <v>251</v>
          </cell>
          <cell r="O55" t="str">
            <v>Management Retail</v>
          </cell>
          <cell r="P55" t="str">
            <v>Yes</v>
          </cell>
          <cell r="Q55" t="str">
            <v>N/A</v>
          </cell>
          <cell r="R55">
            <v>35139</v>
          </cell>
          <cell r="S55">
            <v>9603150579</v>
          </cell>
          <cell r="T55" t="str">
            <v>Male</v>
          </cell>
          <cell r="U55" t="str">
            <v>Single</v>
          </cell>
          <cell r="V55" t="str">
            <v>Permanent</v>
          </cell>
          <cell r="W55">
            <v>201</v>
          </cell>
          <cell r="X55" t="str">
            <v>stredni odborne vzdelani s vyucnim listem</v>
          </cell>
          <cell r="Y55" t="str">
            <v>N/A</v>
          </cell>
          <cell r="Z55" t="str">
            <v>895 Store Management (Male Teststmanager (10224969))</v>
          </cell>
          <cell r="AA55">
            <v>45000</v>
          </cell>
        </row>
        <row r="56">
          <cell r="A56">
            <v>54</v>
          </cell>
          <cell r="C56" t="str">
            <v>Overtime</v>
          </cell>
          <cell r="D56" t="str">
            <v>FiftyFour</v>
          </cell>
          <cell r="E56" t="str">
            <v>Past</v>
          </cell>
          <cell r="F56">
            <v>43831</v>
          </cell>
          <cell r="G56" t="str">
            <v>Full time</v>
          </cell>
          <cell r="H56">
            <v>40</v>
          </cell>
          <cell r="I56" t="str">
            <v>Fixed Term</v>
          </cell>
          <cell r="J56" t="str">
            <v>Assistant Manager</v>
          </cell>
          <cell r="K56" t="str">
            <v>Czech</v>
          </cell>
          <cell r="L56">
            <v>5</v>
          </cell>
          <cell r="M56" t="str">
            <v>Employment Agreement</v>
          </cell>
          <cell r="N56">
            <v>251</v>
          </cell>
          <cell r="O56" t="str">
            <v>Management Retail</v>
          </cell>
          <cell r="P56" t="str">
            <v>No</v>
          </cell>
          <cell r="Q56">
            <v>44562</v>
          </cell>
          <cell r="R56">
            <v>35139</v>
          </cell>
          <cell r="S56">
            <v>9603150590</v>
          </cell>
          <cell r="T56" t="str">
            <v>Male</v>
          </cell>
          <cell r="U56" t="str">
            <v>Single</v>
          </cell>
          <cell r="V56" t="str">
            <v>Permanent</v>
          </cell>
          <cell r="W56">
            <v>201</v>
          </cell>
          <cell r="X56" t="str">
            <v>stredni odborne vzdelani s vyucnim listem</v>
          </cell>
          <cell r="Y56" t="str">
            <v>N/A</v>
          </cell>
          <cell r="Z56" t="str">
            <v>895 Store Management (Male Teststmanager (10224969))</v>
          </cell>
          <cell r="AA56">
            <v>45000</v>
          </cell>
        </row>
        <row r="57">
          <cell r="A57">
            <v>55</v>
          </cell>
          <cell r="C57" t="str">
            <v>Overtime</v>
          </cell>
          <cell r="D57" t="str">
            <v>FiftyFive</v>
          </cell>
          <cell r="E57" t="str">
            <v>Past</v>
          </cell>
          <cell r="F57">
            <v>43831</v>
          </cell>
          <cell r="G57" t="str">
            <v>Full time</v>
          </cell>
          <cell r="H57">
            <v>40</v>
          </cell>
          <cell r="I57" t="str">
            <v>Permanent</v>
          </cell>
          <cell r="J57" t="str">
            <v>Assistant Manager</v>
          </cell>
          <cell r="K57" t="str">
            <v>Czech</v>
          </cell>
          <cell r="L57">
            <v>5</v>
          </cell>
          <cell r="M57" t="str">
            <v>Employment Agreement</v>
          </cell>
          <cell r="N57">
            <v>251</v>
          </cell>
          <cell r="O57" t="str">
            <v>Management Retail</v>
          </cell>
          <cell r="P57" t="str">
            <v>Yes</v>
          </cell>
          <cell r="Q57" t="str">
            <v>N/A</v>
          </cell>
          <cell r="R57">
            <v>35139</v>
          </cell>
          <cell r="S57">
            <v>9603150601</v>
          </cell>
          <cell r="T57" t="str">
            <v>Male</v>
          </cell>
          <cell r="U57" t="str">
            <v>Single</v>
          </cell>
          <cell r="V57" t="str">
            <v>Permanent</v>
          </cell>
          <cell r="W57">
            <v>201</v>
          </cell>
          <cell r="X57" t="str">
            <v>stredni odborne vzdelani s vyucnim listem</v>
          </cell>
          <cell r="Y57" t="str">
            <v>N/A</v>
          </cell>
          <cell r="Z57" t="str">
            <v>895 Store Management (Male Teststmanager (10224969))</v>
          </cell>
          <cell r="AA57">
            <v>45000</v>
          </cell>
        </row>
        <row r="58">
          <cell r="A58">
            <v>56</v>
          </cell>
          <cell r="B58">
            <v>11</v>
          </cell>
          <cell r="C58" t="str">
            <v>Overtime</v>
          </cell>
          <cell r="D58" t="str">
            <v>FiftySix</v>
          </cell>
          <cell r="E58" t="str">
            <v>Past</v>
          </cell>
          <cell r="F58">
            <v>43831</v>
          </cell>
          <cell r="G58" t="str">
            <v>Part time</v>
          </cell>
          <cell r="H58">
            <v>20</v>
          </cell>
          <cell r="I58" t="str">
            <v>Fixed Term</v>
          </cell>
          <cell r="J58" t="str">
            <v>Trainee Manager</v>
          </cell>
          <cell r="K58" t="str">
            <v>Czech</v>
          </cell>
          <cell r="L58">
            <v>5</v>
          </cell>
          <cell r="M58" t="str">
            <v>Employment Agreement</v>
          </cell>
          <cell r="N58">
            <v>251</v>
          </cell>
          <cell r="O58" t="str">
            <v>Management Retail</v>
          </cell>
          <cell r="P58" t="str">
            <v>No</v>
          </cell>
          <cell r="Q58">
            <v>44562</v>
          </cell>
          <cell r="R58">
            <v>35139</v>
          </cell>
          <cell r="S58">
            <v>9603150612</v>
          </cell>
          <cell r="T58" t="str">
            <v>Male</v>
          </cell>
          <cell r="U58" t="str">
            <v>Single</v>
          </cell>
          <cell r="V58" t="str">
            <v>Permanent</v>
          </cell>
          <cell r="W58">
            <v>201</v>
          </cell>
          <cell r="X58" t="str">
            <v>stredni odborne vzdelani s vyucnim listem</v>
          </cell>
          <cell r="Y58" t="str">
            <v>N/A</v>
          </cell>
          <cell r="Z58" t="str">
            <v>895 Store Management (Male Teststmanager (10224969))</v>
          </cell>
          <cell r="AA58">
            <v>4</v>
          </cell>
        </row>
        <row r="59">
          <cell r="A59">
            <v>57</v>
          </cell>
          <cell r="C59" t="str">
            <v>Overtime</v>
          </cell>
          <cell r="D59" t="str">
            <v>FiftySeven</v>
          </cell>
          <cell r="E59" t="str">
            <v>Past</v>
          </cell>
          <cell r="F59">
            <v>43831</v>
          </cell>
          <cell r="G59" t="str">
            <v>Part time</v>
          </cell>
          <cell r="H59">
            <v>20</v>
          </cell>
          <cell r="I59" t="str">
            <v>Permanent</v>
          </cell>
          <cell r="J59" t="str">
            <v>Trainee Manager</v>
          </cell>
          <cell r="K59" t="str">
            <v>Czech</v>
          </cell>
          <cell r="L59">
            <v>5</v>
          </cell>
          <cell r="M59" t="str">
            <v>Employment Agreement</v>
          </cell>
          <cell r="N59">
            <v>251</v>
          </cell>
          <cell r="O59" t="str">
            <v>Management Retail</v>
          </cell>
          <cell r="P59" t="str">
            <v>Yes</v>
          </cell>
          <cell r="Q59" t="str">
            <v>N/A</v>
          </cell>
          <cell r="R59">
            <v>35139</v>
          </cell>
          <cell r="S59">
            <v>9603150623</v>
          </cell>
          <cell r="T59" t="str">
            <v>Male</v>
          </cell>
          <cell r="U59" t="str">
            <v>Single</v>
          </cell>
          <cell r="V59" t="str">
            <v>Permanent</v>
          </cell>
          <cell r="W59">
            <v>201</v>
          </cell>
          <cell r="X59" t="str">
            <v>stredni odborne vzdelani s vyucnim listem</v>
          </cell>
          <cell r="Y59" t="str">
            <v>N/A</v>
          </cell>
          <cell r="Z59" t="str">
            <v>895 Store Management (Male Teststmanager (10224969))</v>
          </cell>
          <cell r="AA59">
            <v>4</v>
          </cell>
        </row>
        <row r="60">
          <cell r="A60">
            <v>58</v>
          </cell>
          <cell r="C60" t="str">
            <v>Overtime</v>
          </cell>
          <cell r="D60" t="str">
            <v>FiftyEight</v>
          </cell>
          <cell r="E60" t="str">
            <v>Past</v>
          </cell>
          <cell r="F60">
            <v>43831</v>
          </cell>
          <cell r="G60" t="str">
            <v>Part time</v>
          </cell>
          <cell r="H60">
            <v>30</v>
          </cell>
          <cell r="I60" t="str">
            <v>Fixed Term</v>
          </cell>
          <cell r="J60" t="str">
            <v>Trainee Manager</v>
          </cell>
          <cell r="K60" t="str">
            <v>Czech</v>
          </cell>
          <cell r="L60">
            <v>5</v>
          </cell>
          <cell r="M60" t="str">
            <v>Employment Agreement</v>
          </cell>
          <cell r="N60">
            <v>251</v>
          </cell>
          <cell r="O60" t="str">
            <v>Management Retail</v>
          </cell>
          <cell r="P60" t="str">
            <v>No</v>
          </cell>
          <cell r="Q60">
            <v>44562</v>
          </cell>
          <cell r="R60">
            <v>35139</v>
          </cell>
          <cell r="S60">
            <v>9603150634</v>
          </cell>
          <cell r="T60" t="str">
            <v>Male</v>
          </cell>
          <cell r="U60" t="str">
            <v>Single</v>
          </cell>
          <cell r="V60" t="str">
            <v>Permanent</v>
          </cell>
          <cell r="W60">
            <v>201</v>
          </cell>
          <cell r="X60" t="str">
            <v>stredni odborne vzdelani s vyucnim listem</v>
          </cell>
          <cell r="Y60" t="str">
            <v>N/A</v>
          </cell>
          <cell r="Z60" t="str">
            <v>895 Store Management (Male Teststmanager (10224969))</v>
          </cell>
          <cell r="AA60">
            <v>4</v>
          </cell>
        </row>
        <row r="61">
          <cell r="A61">
            <v>59</v>
          </cell>
          <cell r="C61" t="str">
            <v>Overtime</v>
          </cell>
          <cell r="D61" t="str">
            <v>FiftyNine</v>
          </cell>
          <cell r="E61" t="str">
            <v>Past</v>
          </cell>
          <cell r="F61">
            <v>43831</v>
          </cell>
          <cell r="G61" t="str">
            <v>Part time</v>
          </cell>
          <cell r="H61">
            <v>30</v>
          </cell>
          <cell r="I61" t="str">
            <v>Permanent</v>
          </cell>
          <cell r="J61" t="str">
            <v>Trainee Manager</v>
          </cell>
          <cell r="K61" t="str">
            <v>Czech</v>
          </cell>
          <cell r="L61">
            <v>5</v>
          </cell>
          <cell r="M61" t="str">
            <v>Employment Agreement</v>
          </cell>
          <cell r="N61">
            <v>251</v>
          </cell>
          <cell r="O61" t="str">
            <v>Management Retail</v>
          </cell>
          <cell r="P61" t="str">
            <v>Yes</v>
          </cell>
          <cell r="Q61" t="str">
            <v>N/A</v>
          </cell>
          <cell r="R61">
            <v>35139</v>
          </cell>
          <cell r="S61">
            <v>9603150645</v>
          </cell>
          <cell r="T61" t="str">
            <v>Male</v>
          </cell>
          <cell r="U61" t="str">
            <v>Single</v>
          </cell>
          <cell r="V61" t="str">
            <v>Permanent</v>
          </cell>
          <cell r="W61">
            <v>201</v>
          </cell>
          <cell r="X61" t="str">
            <v>stredni odborne vzdelani s vyucnim listem</v>
          </cell>
          <cell r="Y61" t="str">
            <v>N/A</v>
          </cell>
          <cell r="Z61" t="str">
            <v>895 Store Management (Male Teststmanager (10224969))</v>
          </cell>
          <cell r="AA61">
            <v>4</v>
          </cell>
        </row>
        <row r="62">
          <cell r="A62">
            <v>60</v>
          </cell>
          <cell r="C62" t="str">
            <v>Overtime</v>
          </cell>
          <cell r="D62" t="str">
            <v>Sixty</v>
          </cell>
          <cell r="E62" t="str">
            <v>Past</v>
          </cell>
          <cell r="F62">
            <v>43831</v>
          </cell>
          <cell r="G62" t="str">
            <v>Full time</v>
          </cell>
          <cell r="H62">
            <v>40</v>
          </cell>
          <cell r="I62" t="str">
            <v>Fixed Term</v>
          </cell>
          <cell r="J62" t="str">
            <v>Trainee Manager</v>
          </cell>
          <cell r="K62" t="str">
            <v>Czech</v>
          </cell>
          <cell r="L62">
            <v>5</v>
          </cell>
          <cell r="M62" t="str">
            <v>Employment Agreement</v>
          </cell>
          <cell r="N62">
            <v>251</v>
          </cell>
          <cell r="O62" t="str">
            <v>Management Retail</v>
          </cell>
          <cell r="P62" t="str">
            <v>No</v>
          </cell>
          <cell r="Q62">
            <v>44562</v>
          </cell>
          <cell r="R62">
            <v>35139</v>
          </cell>
          <cell r="S62">
            <v>9603150656</v>
          </cell>
          <cell r="T62" t="str">
            <v>Male</v>
          </cell>
          <cell r="U62" t="str">
            <v>Single</v>
          </cell>
          <cell r="V62" t="str">
            <v>Permanent</v>
          </cell>
          <cell r="W62">
            <v>201</v>
          </cell>
          <cell r="X62" t="str">
            <v>stredni odborne vzdelani s vyucnim listem</v>
          </cell>
          <cell r="Y62" t="str">
            <v>N/A</v>
          </cell>
          <cell r="Z62" t="str">
            <v>895 Store Management (Male Teststmanager (10224969))</v>
          </cell>
          <cell r="AA62">
            <v>4</v>
          </cell>
        </row>
        <row r="63">
          <cell r="A63">
            <v>61</v>
          </cell>
          <cell r="C63" t="str">
            <v>Overtime</v>
          </cell>
          <cell r="D63" t="str">
            <v>SixtyOne</v>
          </cell>
          <cell r="E63" t="str">
            <v>Past</v>
          </cell>
          <cell r="F63">
            <v>43831</v>
          </cell>
          <cell r="G63" t="str">
            <v>Full time</v>
          </cell>
          <cell r="H63">
            <v>40</v>
          </cell>
          <cell r="I63" t="str">
            <v>Permanent</v>
          </cell>
          <cell r="J63" t="str">
            <v>Trainee Manager</v>
          </cell>
          <cell r="K63" t="str">
            <v>Czech</v>
          </cell>
          <cell r="L63">
            <v>5</v>
          </cell>
          <cell r="M63" t="str">
            <v>Employment Agreement</v>
          </cell>
          <cell r="N63">
            <v>251</v>
          </cell>
          <cell r="O63" t="str">
            <v>Management Retail</v>
          </cell>
          <cell r="P63" t="str">
            <v>Yes</v>
          </cell>
          <cell r="Q63" t="str">
            <v>N/A</v>
          </cell>
          <cell r="R63">
            <v>35139</v>
          </cell>
          <cell r="S63">
            <v>9603150667</v>
          </cell>
          <cell r="T63" t="str">
            <v>Male</v>
          </cell>
          <cell r="U63" t="str">
            <v>Single</v>
          </cell>
          <cell r="V63" t="str">
            <v>Permanent</v>
          </cell>
          <cell r="W63">
            <v>201</v>
          </cell>
          <cell r="X63" t="str">
            <v>stredni odborne vzdelani s vyucnim listem</v>
          </cell>
          <cell r="Y63" t="str">
            <v>N/A</v>
          </cell>
          <cell r="Z63" t="str">
            <v>895 Store Management (Male Teststmanager (10224969))</v>
          </cell>
          <cell r="AA63">
            <v>4</v>
          </cell>
        </row>
        <row r="64">
          <cell r="A64">
            <v>62</v>
          </cell>
          <cell r="B64">
            <v>12</v>
          </cell>
          <cell r="C64" t="str">
            <v>Overtime</v>
          </cell>
          <cell r="D64" t="str">
            <v>SixtyTwo</v>
          </cell>
          <cell r="E64" t="str">
            <v>Past</v>
          </cell>
          <cell r="F64">
            <v>43831</v>
          </cell>
          <cell r="G64" t="str">
            <v>Part time</v>
          </cell>
          <cell r="H64">
            <v>20</v>
          </cell>
          <cell r="I64" t="str">
            <v>Fixed Term</v>
          </cell>
          <cell r="J64" t="str">
            <v>Supervisor</v>
          </cell>
          <cell r="K64" t="str">
            <v>Czech</v>
          </cell>
          <cell r="L64">
            <v>5</v>
          </cell>
          <cell r="M64" t="str">
            <v>Employment Agreement</v>
          </cell>
          <cell r="N64">
            <v>251</v>
          </cell>
          <cell r="O64" t="str">
            <v>Management Retail</v>
          </cell>
          <cell r="P64" t="str">
            <v>No</v>
          </cell>
          <cell r="Q64">
            <v>44562</v>
          </cell>
          <cell r="R64">
            <v>35139</v>
          </cell>
          <cell r="S64">
            <v>9603150678</v>
          </cell>
          <cell r="T64" t="str">
            <v>Male</v>
          </cell>
          <cell r="U64" t="str">
            <v>Single</v>
          </cell>
          <cell r="V64" t="str">
            <v>Permanent</v>
          </cell>
          <cell r="W64">
            <v>201</v>
          </cell>
          <cell r="X64" t="str">
            <v>stredni odborne vzdelani s vyucnim listem</v>
          </cell>
          <cell r="Y64" t="str">
            <v>N/A</v>
          </cell>
          <cell r="Z64" t="str">
            <v>895 Store Management (Male Teststmanager (10224969))</v>
          </cell>
          <cell r="AA64">
            <v>33000</v>
          </cell>
        </row>
        <row r="65">
          <cell r="A65">
            <v>63</v>
          </cell>
          <cell r="C65" t="str">
            <v>Overtime</v>
          </cell>
          <cell r="D65" t="str">
            <v>SixtyThree</v>
          </cell>
          <cell r="E65" t="str">
            <v>Past</v>
          </cell>
          <cell r="F65">
            <v>43831</v>
          </cell>
          <cell r="G65" t="str">
            <v>Part time</v>
          </cell>
          <cell r="H65">
            <v>20</v>
          </cell>
          <cell r="I65" t="str">
            <v>Permanent</v>
          </cell>
          <cell r="J65" t="str">
            <v>Supervisor</v>
          </cell>
          <cell r="K65" t="str">
            <v>Czech</v>
          </cell>
          <cell r="L65">
            <v>5</v>
          </cell>
          <cell r="M65" t="str">
            <v>Employment Agreement</v>
          </cell>
          <cell r="N65">
            <v>251</v>
          </cell>
          <cell r="O65" t="str">
            <v>Management Retail</v>
          </cell>
          <cell r="P65" t="str">
            <v>Yes</v>
          </cell>
          <cell r="Q65" t="str">
            <v>N/A</v>
          </cell>
          <cell r="R65">
            <v>35139</v>
          </cell>
          <cell r="S65">
            <v>9603150689</v>
          </cell>
          <cell r="T65" t="str">
            <v>Male</v>
          </cell>
          <cell r="U65" t="str">
            <v>Single</v>
          </cell>
          <cell r="V65" t="str">
            <v>Permanent</v>
          </cell>
          <cell r="W65">
            <v>201</v>
          </cell>
          <cell r="X65" t="str">
            <v>stredni odborne vzdelani s vyucnim listem</v>
          </cell>
          <cell r="Y65" t="str">
            <v>N/A</v>
          </cell>
          <cell r="Z65" t="str">
            <v>895 Store Management (Male Teststmanager (10224969))</v>
          </cell>
          <cell r="AA65">
            <v>33000</v>
          </cell>
        </row>
        <row r="66">
          <cell r="A66">
            <v>64</v>
          </cell>
          <cell r="C66" t="str">
            <v>Overtime</v>
          </cell>
          <cell r="D66" t="str">
            <v>SixtyFour</v>
          </cell>
          <cell r="E66" t="str">
            <v>Past</v>
          </cell>
          <cell r="F66">
            <v>43831</v>
          </cell>
          <cell r="G66" t="str">
            <v>Part time</v>
          </cell>
          <cell r="H66">
            <v>30</v>
          </cell>
          <cell r="I66" t="str">
            <v>Fixed Term</v>
          </cell>
          <cell r="J66" t="str">
            <v>Supervisor</v>
          </cell>
          <cell r="K66" t="str">
            <v>Czech</v>
          </cell>
          <cell r="L66">
            <v>5</v>
          </cell>
          <cell r="M66" t="str">
            <v>Employment Agreement</v>
          </cell>
          <cell r="N66">
            <v>251</v>
          </cell>
          <cell r="O66" t="str">
            <v>Management Retail</v>
          </cell>
          <cell r="P66" t="str">
            <v>No</v>
          </cell>
          <cell r="Q66">
            <v>44562</v>
          </cell>
          <cell r="R66">
            <v>35139</v>
          </cell>
          <cell r="S66">
            <v>9603150700</v>
          </cell>
          <cell r="T66" t="str">
            <v>Male</v>
          </cell>
          <cell r="U66" t="str">
            <v>Single</v>
          </cell>
          <cell r="V66" t="str">
            <v>Permanent</v>
          </cell>
          <cell r="W66">
            <v>201</v>
          </cell>
          <cell r="X66" t="str">
            <v>stredni odborne vzdelani s vyucnim listem</v>
          </cell>
          <cell r="Y66" t="str">
            <v>N/A</v>
          </cell>
          <cell r="Z66" t="str">
            <v>895 Store Management (Male Teststmanager (10224969))</v>
          </cell>
          <cell r="AA66">
            <v>33000</v>
          </cell>
        </row>
        <row r="67">
          <cell r="A67">
            <v>65</v>
          </cell>
          <cell r="C67" t="str">
            <v>Overtime</v>
          </cell>
          <cell r="D67" t="str">
            <v>SixtyFive</v>
          </cell>
          <cell r="E67" t="str">
            <v>Past</v>
          </cell>
          <cell r="F67">
            <v>43831</v>
          </cell>
          <cell r="G67" t="str">
            <v>Part time</v>
          </cell>
          <cell r="H67">
            <v>30</v>
          </cell>
          <cell r="I67" t="str">
            <v>Permanent</v>
          </cell>
          <cell r="J67" t="str">
            <v>Supervisor</v>
          </cell>
          <cell r="K67" t="str">
            <v>Czech</v>
          </cell>
          <cell r="L67">
            <v>5</v>
          </cell>
          <cell r="M67" t="str">
            <v>Employment Agreement</v>
          </cell>
          <cell r="N67">
            <v>251</v>
          </cell>
          <cell r="O67" t="str">
            <v>Management Retail</v>
          </cell>
          <cell r="P67" t="str">
            <v>Yes</v>
          </cell>
          <cell r="Q67" t="str">
            <v>N/A</v>
          </cell>
          <cell r="R67">
            <v>35139</v>
          </cell>
          <cell r="S67">
            <v>9603150711</v>
          </cell>
          <cell r="T67" t="str">
            <v>Male</v>
          </cell>
          <cell r="U67" t="str">
            <v>Single</v>
          </cell>
          <cell r="V67" t="str">
            <v>Permanent</v>
          </cell>
          <cell r="W67">
            <v>201</v>
          </cell>
          <cell r="X67" t="str">
            <v>stredni odborne vzdelani s vyucnim listem</v>
          </cell>
          <cell r="Y67" t="str">
            <v>N/A</v>
          </cell>
          <cell r="Z67" t="str">
            <v>895 Store Management (Male Teststmanager (10224969))</v>
          </cell>
          <cell r="AA67">
            <v>33000</v>
          </cell>
        </row>
        <row r="68">
          <cell r="A68">
            <v>66</v>
          </cell>
          <cell r="C68" t="str">
            <v>Overtime</v>
          </cell>
          <cell r="D68" t="str">
            <v>SixtySix</v>
          </cell>
          <cell r="E68" t="str">
            <v>Past</v>
          </cell>
          <cell r="F68">
            <v>43831</v>
          </cell>
          <cell r="G68" t="str">
            <v>Full time</v>
          </cell>
          <cell r="H68">
            <v>40</v>
          </cell>
          <cell r="I68" t="str">
            <v>Fixed Term</v>
          </cell>
          <cell r="J68" t="str">
            <v>Supervisor</v>
          </cell>
          <cell r="K68" t="str">
            <v>Czech</v>
          </cell>
          <cell r="L68">
            <v>5</v>
          </cell>
          <cell r="M68" t="str">
            <v>Employment Agreement</v>
          </cell>
          <cell r="N68">
            <v>251</v>
          </cell>
          <cell r="O68" t="str">
            <v>Management Retail</v>
          </cell>
          <cell r="P68" t="str">
            <v>No</v>
          </cell>
          <cell r="Q68">
            <v>44562</v>
          </cell>
          <cell r="R68">
            <v>35139</v>
          </cell>
          <cell r="S68">
            <v>9603150722</v>
          </cell>
          <cell r="T68" t="str">
            <v>Male</v>
          </cell>
          <cell r="U68" t="str">
            <v>Single</v>
          </cell>
          <cell r="V68" t="str">
            <v>Permanent</v>
          </cell>
          <cell r="W68">
            <v>201</v>
          </cell>
          <cell r="X68" t="str">
            <v>stredni odborne vzdelani s vyucnim listem</v>
          </cell>
          <cell r="Y68" t="str">
            <v>N/A</v>
          </cell>
          <cell r="Z68" t="str">
            <v>895 Store Management (Male Teststmanager (10224969))</v>
          </cell>
          <cell r="AA68">
            <v>33000</v>
          </cell>
        </row>
        <row r="69">
          <cell r="A69">
            <v>67</v>
          </cell>
          <cell r="C69" t="str">
            <v>Overtime</v>
          </cell>
          <cell r="D69" t="str">
            <v>SixtySeven</v>
          </cell>
          <cell r="E69" t="str">
            <v>Past</v>
          </cell>
          <cell r="F69">
            <v>43831</v>
          </cell>
          <cell r="G69" t="str">
            <v>Full time</v>
          </cell>
          <cell r="H69">
            <v>40</v>
          </cell>
          <cell r="I69" t="str">
            <v>Permanent</v>
          </cell>
          <cell r="J69" t="str">
            <v>Supervisor</v>
          </cell>
          <cell r="K69" t="str">
            <v>Czech</v>
          </cell>
          <cell r="L69">
            <v>5</v>
          </cell>
          <cell r="M69" t="str">
            <v>Employment Agreement</v>
          </cell>
          <cell r="N69">
            <v>251</v>
          </cell>
          <cell r="O69" t="str">
            <v>Management Retail</v>
          </cell>
          <cell r="P69" t="str">
            <v>Yes</v>
          </cell>
          <cell r="Q69" t="str">
            <v>N/A</v>
          </cell>
          <cell r="R69">
            <v>35139</v>
          </cell>
          <cell r="S69">
            <v>9603150733</v>
          </cell>
          <cell r="T69" t="str">
            <v>Male</v>
          </cell>
          <cell r="U69" t="str">
            <v>Single</v>
          </cell>
          <cell r="V69" t="str">
            <v>Permanent</v>
          </cell>
          <cell r="W69">
            <v>201</v>
          </cell>
          <cell r="X69" t="str">
            <v>stredni odborne vzdelani s vyucnim listem</v>
          </cell>
          <cell r="Y69" t="str">
            <v>N/A</v>
          </cell>
          <cell r="Z69" t="str">
            <v>895 Store Management (Male Teststmanager (10224969))</v>
          </cell>
          <cell r="AA69">
            <v>33000</v>
          </cell>
        </row>
        <row r="70">
          <cell r="A70">
            <v>68</v>
          </cell>
          <cell r="B70">
            <v>13</v>
          </cell>
          <cell r="C70" t="str">
            <v>Overtime</v>
          </cell>
          <cell r="D70" t="str">
            <v>SixtyEight</v>
          </cell>
          <cell r="E70" t="str">
            <v>Past</v>
          </cell>
          <cell r="F70">
            <v>43831</v>
          </cell>
          <cell r="G70" t="str">
            <v>Part time</v>
          </cell>
          <cell r="H70">
            <v>20</v>
          </cell>
          <cell r="I70" t="str">
            <v>Fixed Term</v>
          </cell>
          <cell r="J70" t="str">
            <v>Senior Department Manager</v>
          </cell>
          <cell r="K70" t="str">
            <v>Czech</v>
          </cell>
          <cell r="L70">
            <v>5</v>
          </cell>
          <cell r="M70" t="str">
            <v>Employment Agreement</v>
          </cell>
          <cell r="N70">
            <v>251</v>
          </cell>
          <cell r="O70" t="str">
            <v>Management Retail</v>
          </cell>
          <cell r="P70" t="str">
            <v>No</v>
          </cell>
          <cell r="Q70">
            <v>44562</v>
          </cell>
          <cell r="R70">
            <v>35139</v>
          </cell>
          <cell r="S70">
            <v>9603150744</v>
          </cell>
          <cell r="T70" t="str">
            <v>Male</v>
          </cell>
          <cell r="U70" t="str">
            <v>Single</v>
          </cell>
          <cell r="V70" t="str">
            <v>Permanent</v>
          </cell>
          <cell r="W70">
            <v>201</v>
          </cell>
          <cell r="X70" t="str">
            <v>stredni odborne vzdelani s vyucnim listem</v>
          </cell>
          <cell r="Y70" t="str">
            <v>N/A</v>
          </cell>
          <cell r="Z70" t="str">
            <v>895 Store Management (Male Teststmanager (10224969))</v>
          </cell>
          <cell r="AA70">
            <v>1</v>
          </cell>
        </row>
        <row r="71">
          <cell r="A71">
            <v>69</v>
          </cell>
          <cell r="C71" t="str">
            <v>Overtime</v>
          </cell>
          <cell r="D71" t="str">
            <v>SixtyNine</v>
          </cell>
          <cell r="E71" t="str">
            <v>Past</v>
          </cell>
          <cell r="F71">
            <v>43831</v>
          </cell>
          <cell r="G71" t="str">
            <v>Part time</v>
          </cell>
          <cell r="H71">
            <v>20</v>
          </cell>
          <cell r="I71" t="str">
            <v>Permanent</v>
          </cell>
          <cell r="J71" t="str">
            <v>Senior Department Manager</v>
          </cell>
          <cell r="K71" t="str">
            <v>Czech</v>
          </cell>
          <cell r="L71">
            <v>5</v>
          </cell>
          <cell r="M71" t="str">
            <v>Employment Agreement</v>
          </cell>
          <cell r="N71">
            <v>251</v>
          </cell>
          <cell r="O71" t="str">
            <v>Management Retail</v>
          </cell>
          <cell r="P71" t="str">
            <v>Yes</v>
          </cell>
          <cell r="Q71" t="str">
            <v>N/A</v>
          </cell>
          <cell r="R71">
            <v>35139</v>
          </cell>
          <cell r="S71">
            <v>9603150755</v>
          </cell>
          <cell r="T71" t="str">
            <v>Male</v>
          </cell>
          <cell r="U71" t="str">
            <v>Single</v>
          </cell>
          <cell r="V71" t="str">
            <v>Permanent</v>
          </cell>
          <cell r="W71">
            <v>201</v>
          </cell>
          <cell r="X71" t="str">
            <v>stredni odborne vzdelani s vyucnim listem</v>
          </cell>
          <cell r="Y71" t="str">
            <v>N/A</v>
          </cell>
          <cell r="Z71" t="str">
            <v>895 Store Management (Male Teststmanager (10224969))</v>
          </cell>
          <cell r="AA71">
            <v>2</v>
          </cell>
        </row>
        <row r="72">
          <cell r="A72">
            <v>70</v>
          </cell>
          <cell r="C72" t="str">
            <v>Overtime</v>
          </cell>
          <cell r="D72" t="str">
            <v>Seventy</v>
          </cell>
          <cell r="E72" t="str">
            <v>Past</v>
          </cell>
          <cell r="F72">
            <v>43831</v>
          </cell>
          <cell r="G72" t="str">
            <v>Part time</v>
          </cell>
          <cell r="H72">
            <v>30</v>
          </cell>
          <cell r="I72" t="str">
            <v>Fixed Term</v>
          </cell>
          <cell r="J72" t="str">
            <v>Senior Department Manager</v>
          </cell>
          <cell r="K72" t="str">
            <v>Czech</v>
          </cell>
          <cell r="L72">
            <v>5</v>
          </cell>
          <cell r="M72" t="str">
            <v>Employment Agreement</v>
          </cell>
          <cell r="N72">
            <v>251</v>
          </cell>
          <cell r="O72" t="str">
            <v>Management Retail</v>
          </cell>
          <cell r="P72" t="str">
            <v>No</v>
          </cell>
          <cell r="Q72">
            <v>44562</v>
          </cell>
          <cell r="R72">
            <v>35139</v>
          </cell>
          <cell r="S72">
            <v>9603150766</v>
          </cell>
          <cell r="T72" t="str">
            <v>Male</v>
          </cell>
          <cell r="U72" t="str">
            <v>Single</v>
          </cell>
          <cell r="V72" t="str">
            <v>Permanent</v>
          </cell>
          <cell r="W72">
            <v>201</v>
          </cell>
          <cell r="X72" t="str">
            <v>stredni odborne vzdelani s vyucnim listem</v>
          </cell>
          <cell r="Y72" t="str">
            <v>N/A</v>
          </cell>
          <cell r="Z72" t="str">
            <v>895 Store Management (Male Teststmanager (10224969))</v>
          </cell>
          <cell r="AA72">
            <v>3</v>
          </cell>
        </row>
        <row r="73">
          <cell r="A73">
            <v>71</v>
          </cell>
          <cell r="C73" t="str">
            <v>Overtime</v>
          </cell>
          <cell r="D73" t="str">
            <v>SeventyOne</v>
          </cell>
          <cell r="E73" t="str">
            <v>Past</v>
          </cell>
          <cell r="F73">
            <v>43831</v>
          </cell>
          <cell r="G73" t="str">
            <v>Part time</v>
          </cell>
          <cell r="H73">
            <v>30</v>
          </cell>
          <cell r="I73" t="str">
            <v>Permanent</v>
          </cell>
          <cell r="J73" t="str">
            <v>Senior Department Manager</v>
          </cell>
          <cell r="K73" t="str">
            <v>Czech</v>
          </cell>
          <cell r="L73">
            <v>5</v>
          </cell>
          <cell r="M73" t="str">
            <v>Employment Agreement</v>
          </cell>
          <cell r="N73">
            <v>251</v>
          </cell>
          <cell r="O73" t="str">
            <v>Management Retail</v>
          </cell>
          <cell r="P73" t="str">
            <v>Yes</v>
          </cell>
          <cell r="Q73" t="str">
            <v>N/A</v>
          </cell>
          <cell r="R73">
            <v>35139</v>
          </cell>
          <cell r="S73">
            <v>9603150777</v>
          </cell>
          <cell r="T73" t="str">
            <v>Male</v>
          </cell>
          <cell r="U73" t="str">
            <v>Single</v>
          </cell>
          <cell r="V73" t="str">
            <v>Permanent</v>
          </cell>
          <cell r="W73">
            <v>201</v>
          </cell>
          <cell r="X73" t="str">
            <v>stredni odborne vzdelani s vyucnim listem</v>
          </cell>
          <cell r="Y73" t="str">
            <v>N/A</v>
          </cell>
          <cell r="Z73" t="str">
            <v>895 Store Management (Male Teststmanager (10224969))</v>
          </cell>
          <cell r="AA73">
            <v>4</v>
          </cell>
        </row>
        <row r="74">
          <cell r="A74">
            <v>72</v>
          </cell>
          <cell r="C74" t="str">
            <v>Overtime</v>
          </cell>
          <cell r="D74" t="str">
            <v>SeventyTwo</v>
          </cell>
          <cell r="E74" t="str">
            <v>Past</v>
          </cell>
          <cell r="F74">
            <v>43831</v>
          </cell>
          <cell r="G74" t="str">
            <v>Full time</v>
          </cell>
          <cell r="H74">
            <v>40</v>
          </cell>
          <cell r="I74" t="str">
            <v>Fixed Term</v>
          </cell>
          <cell r="J74" t="str">
            <v>Senior Department Manager</v>
          </cell>
          <cell r="K74" t="str">
            <v>Czech</v>
          </cell>
          <cell r="L74">
            <v>5</v>
          </cell>
          <cell r="M74" t="str">
            <v>Employment Agreement</v>
          </cell>
          <cell r="N74">
            <v>251</v>
          </cell>
          <cell r="O74" t="str">
            <v>Management Retail</v>
          </cell>
          <cell r="P74" t="str">
            <v>No</v>
          </cell>
          <cell r="Q74">
            <v>44562</v>
          </cell>
          <cell r="R74">
            <v>35139</v>
          </cell>
          <cell r="S74">
            <v>9603150788</v>
          </cell>
          <cell r="T74" t="str">
            <v>Male</v>
          </cell>
          <cell r="U74" t="str">
            <v>Single</v>
          </cell>
          <cell r="V74" t="str">
            <v>Permanent</v>
          </cell>
          <cell r="W74">
            <v>201</v>
          </cell>
          <cell r="X74" t="str">
            <v>stredni odborne vzdelani s vyucnim listem</v>
          </cell>
          <cell r="Y74" t="str">
            <v>N/A</v>
          </cell>
          <cell r="Z74" t="str">
            <v>895 Store Management (Male Teststmanager (10224969))</v>
          </cell>
          <cell r="AA74">
            <v>5</v>
          </cell>
        </row>
        <row r="75">
          <cell r="A75">
            <v>73</v>
          </cell>
          <cell r="C75" t="str">
            <v>Overtime</v>
          </cell>
          <cell r="D75" t="str">
            <v>SeventyThree</v>
          </cell>
          <cell r="E75" t="str">
            <v>Past</v>
          </cell>
          <cell r="F75">
            <v>43831</v>
          </cell>
          <cell r="G75" t="str">
            <v>Full time</v>
          </cell>
          <cell r="H75">
            <v>40</v>
          </cell>
          <cell r="I75" t="str">
            <v>Permanent</v>
          </cell>
          <cell r="J75" t="str">
            <v>Senior Department Manager</v>
          </cell>
          <cell r="K75" t="str">
            <v>Czech</v>
          </cell>
          <cell r="L75">
            <v>5</v>
          </cell>
          <cell r="M75" t="str">
            <v>Employment Agreement</v>
          </cell>
          <cell r="N75">
            <v>251</v>
          </cell>
          <cell r="O75" t="str">
            <v>Management Retail</v>
          </cell>
          <cell r="P75" t="str">
            <v>Yes</v>
          </cell>
          <cell r="Q75" t="str">
            <v>N/A</v>
          </cell>
          <cell r="R75">
            <v>35139</v>
          </cell>
          <cell r="S75">
            <v>9603150799</v>
          </cell>
          <cell r="T75" t="str">
            <v>Male</v>
          </cell>
          <cell r="U75" t="str">
            <v>Single</v>
          </cell>
          <cell r="V75" t="str">
            <v>Permanent</v>
          </cell>
          <cell r="W75">
            <v>201</v>
          </cell>
          <cell r="X75" t="str">
            <v>stredni odborne vzdelani s vyucnim listem</v>
          </cell>
          <cell r="Y75" t="str">
            <v>N/A</v>
          </cell>
          <cell r="Z75" t="str">
            <v>895 Store Management (Male Teststmanager (10224969))</v>
          </cell>
          <cell r="AA75">
            <v>1</v>
          </cell>
        </row>
        <row r="76">
          <cell r="A76">
            <v>74</v>
          </cell>
          <cell r="B76">
            <v>14</v>
          </cell>
          <cell r="C76" t="str">
            <v>Overtime</v>
          </cell>
          <cell r="D76" t="str">
            <v>SeventyFour</v>
          </cell>
          <cell r="E76" t="str">
            <v>Past</v>
          </cell>
          <cell r="F76">
            <v>43831</v>
          </cell>
          <cell r="G76" t="str">
            <v>Part time</v>
          </cell>
          <cell r="H76">
            <v>20</v>
          </cell>
          <cell r="I76" t="str">
            <v>Fixed Term</v>
          </cell>
          <cell r="J76" t="str">
            <v>Store Manager</v>
          </cell>
          <cell r="K76" t="str">
            <v>Czech</v>
          </cell>
          <cell r="L76">
            <v>5</v>
          </cell>
          <cell r="M76" t="str">
            <v>Employment Agreement</v>
          </cell>
          <cell r="N76">
            <v>251</v>
          </cell>
          <cell r="O76" t="str">
            <v>Management Retail</v>
          </cell>
          <cell r="P76" t="str">
            <v>No</v>
          </cell>
          <cell r="Q76">
            <v>44562</v>
          </cell>
          <cell r="R76">
            <v>35139</v>
          </cell>
          <cell r="S76">
            <v>9603150810</v>
          </cell>
          <cell r="T76" t="str">
            <v>Male</v>
          </cell>
          <cell r="U76" t="str">
            <v>Single</v>
          </cell>
          <cell r="V76" t="str">
            <v>Permanent</v>
          </cell>
          <cell r="W76">
            <v>201</v>
          </cell>
          <cell r="X76" t="str">
            <v>stredni odborne vzdelani s vyucnim listem</v>
          </cell>
          <cell r="Y76" t="str">
            <v>N/A</v>
          </cell>
          <cell r="Z76" t="str">
            <v>895 Store Management (Male Teststmanager (10224969))</v>
          </cell>
          <cell r="AA76">
            <v>60028</v>
          </cell>
        </row>
        <row r="77">
          <cell r="A77">
            <v>75</v>
          </cell>
          <cell r="C77" t="str">
            <v>Overtime</v>
          </cell>
          <cell r="D77" t="str">
            <v>SeventyFive</v>
          </cell>
          <cell r="E77" t="str">
            <v>Past</v>
          </cell>
          <cell r="F77">
            <v>43831</v>
          </cell>
          <cell r="G77" t="str">
            <v>Part time</v>
          </cell>
          <cell r="H77">
            <v>20</v>
          </cell>
          <cell r="I77" t="str">
            <v>Permanent</v>
          </cell>
          <cell r="J77" t="str">
            <v>Store Manager</v>
          </cell>
          <cell r="K77" t="str">
            <v>Czech</v>
          </cell>
          <cell r="L77">
            <v>5</v>
          </cell>
          <cell r="M77" t="str">
            <v>Employment Agreement</v>
          </cell>
          <cell r="N77">
            <v>251</v>
          </cell>
          <cell r="O77" t="str">
            <v>Management Retail</v>
          </cell>
          <cell r="P77" t="str">
            <v>Yes</v>
          </cell>
          <cell r="Q77" t="str">
            <v>N/A</v>
          </cell>
          <cell r="R77">
            <v>35139</v>
          </cell>
          <cell r="S77">
            <v>9603150821</v>
          </cell>
          <cell r="T77" t="str">
            <v>Male</v>
          </cell>
          <cell r="U77" t="str">
            <v>Single</v>
          </cell>
          <cell r="V77" t="str">
            <v>Permanent</v>
          </cell>
          <cell r="W77">
            <v>201</v>
          </cell>
          <cell r="X77" t="str">
            <v>stredni odborne vzdelani s vyucnim listem</v>
          </cell>
          <cell r="Y77" t="str">
            <v>N/A</v>
          </cell>
          <cell r="Z77" t="str">
            <v>895 Store Management (Male Teststmanager (10224969))</v>
          </cell>
          <cell r="AA77">
            <v>60028</v>
          </cell>
        </row>
        <row r="78">
          <cell r="A78">
            <v>76</v>
          </cell>
          <cell r="C78" t="str">
            <v>Overtime</v>
          </cell>
          <cell r="D78" t="str">
            <v>SeventySix</v>
          </cell>
          <cell r="E78" t="str">
            <v>Past</v>
          </cell>
          <cell r="F78">
            <v>43831</v>
          </cell>
          <cell r="G78" t="str">
            <v>Part time</v>
          </cell>
          <cell r="H78">
            <v>30</v>
          </cell>
          <cell r="I78" t="str">
            <v>Fixed Term</v>
          </cell>
          <cell r="J78" t="str">
            <v>Store Manager</v>
          </cell>
          <cell r="K78" t="str">
            <v>Czech</v>
          </cell>
          <cell r="L78">
            <v>5</v>
          </cell>
          <cell r="M78" t="str">
            <v>Employment Agreement</v>
          </cell>
          <cell r="N78">
            <v>251</v>
          </cell>
          <cell r="O78" t="str">
            <v>Management Retail</v>
          </cell>
          <cell r="P78" t="str">
            <v>No</v>
          </cell>
          <cell r="Q78">
            <v>44562</v>
          </cell>
          <cell r="R78">
            <v>35139</v>
          </cell>
          <cell r="S78">
            <v>9603150832</v>
          </cell>
          <cell r="T78" t="str">
            <v>Male</v>
          </cell>
          <cell r="U78" t="str">
            <v>Single</v>
          </cell>
          <cell r="V78" t="str">
            <v>Permanent</v>
          </cell>
          <cell r="W78">
            <v>201</v>
          </cell>
          <cell r="X78" t="str">
            <v>stredni odborne vzdelani s vyucnim listem</v>
          </cell>
          <cell r="Y78" t="str">
            <v>N/A</v>
          </cell>
          <cell r="Z78" t="str">
            <v>895 Store Management (Male Teststmanager (10224969))</v>
          </cell>
          <cell r="AA78">
            <v>60028</v>
          </cell>
        </row>
        <row r="79">
          <cell r="A79">
            <v>77</v>
          </cell>
          <cell r="C79" t="str">
            <v>Overtime</v>
          </cell>
          <cell r="D79" t="str">
            <v>SeventySeven</v>
          </cell>
          <cell r="E79" t="str">
            <v>Past</v>
          </cell>
          <cell r="F79">
            <v>43831</v>
          </cell>
          <cell r="G79" t="str">
            <v>Part time</v>
          </cell>
          <cell r="H79">
            <v>30</v>
          </cell>
          <cell r="I79" t="str">
            <v>Permanent</v>
          </cell>
          <cell r="J79" t="str">
            <v>Store Manager</v>
          </cell>
          <cell r="K79" t="str">
            <v>Czech</v>
          </cell>
          <cell r="L79">
            <v>5</v>
          </cell>
          <cell r="M79" t="str">
            <v>Employment Agreement</v>
          </cell>
          <cell r="N79">
            <v>251</v>
          </cell>
          <cell r="O79" t="str">
            <v>Management Retail</v>
          </cell>
          <cell r="P79" t="str">
            <v>Yes</v>
          </cell>
          <cell r="Q79" t="str">
            <v>N/A</v>
          </cell>
          <cell r="R79">
            <v>35139</v>
          </cell>
          <cell r="S79">
            <v>9603150843</v>
          </cell>
          <cell r="T79" t="str">
            <v>Male</v>
          </cell>
          <cell r="U79" t="str">
            <v>Single</v>
          </cell>
          <cell r="V79" t="str">
            <v>Permanent</v>
          </cell>
          <cell r="W79">
            <v>201</v>
          </cell>
          <cell r="X79" t="str">
            <v>stredni odborne vzdelani s vyucnim listem</v>
          </cell>
          <cell r="Y79" t="str">
            <v>N/A</v>
          </cell>
          <cell r="Z79" t="str">
            <v>895 Store Management (Male Teststmanager (10224969))</v>
          </cell>
          <cell r="AA79">
            <v>60028</v>
          </cell>
        </row>
        <row r="80">
          <cell r="A80">
            <v>78</v>
          </cell>
          <cell r="C80" t="str">
            <v>Overtime</v>
          </cell>
          <cell r="D80" t="str">
            <v>SeventyEight</v>
          </cell>
          <cell r="E80" t="str">
            <v>Past</v>
          </cell>
          <cell r="F80">
            <v>43831</v>
          </cell>
          <cell r="G80" t="str">
            <v>Full time</v>
          </cell>
          <cell r="H80">
            <v>40</v>
          </cell>
          <cell r="I80" t="str">
            <v>Fixed Term</v>
          </cell>
          <cell r="J80" t="str">
            <v>Store Manager</v>
          </cell>
          <cell r="K80" t="str">
            <v>Czech</v>
          </cell>
          <cell r="L80">
            <v>5</v>
          </cell>
          <cell r="M80" t="str">
            <v>Employment Agreement</v>
          </cell>
          <cell r="N80">
            <v>251</v>
          </cell>
          <cell r="O80" t="str">
            <v>Management Retail</v>
          </cell>
          <cell r="P80" t="str">
            <v>No</v>
          </cell>
          <cell r="Q80">
            <v>44562</v>
          </cell>
          <cell r="R80">
            <v>35139</v>
          </cell>
          <cell r="S80">
            <v>9603150854</v>
          </cell>
          <cell r="T80" t="str">
            <v>Male</v>
          </cell>
          <cell r="U80" t="str">
            <v>Single</v>
          </cell>
          <cell r="V80" t="str">
            <v>Permanent</v>
          </cell>
          <cell r="W80">
            <v>201</v>
          </cell>
          <cell r="X80" t="str">
            <v>stredni odborne vzdelani s vyucnim listem</v>
          </cell>
          <cell r="Y80" t="str">
            <v>N/A</v>
          </cell>
          <cell r="Z80" t="str">
            <v>895 Store Management (Male Teststmanager (10224969))</v>
          </cell>
          <cell r="AA80">
            <v>60028</v>
          </cell>
        </row>
        <row r="81">
          <cell r="A81">
            <v>79</v>
          </cell>
          <cell r="C81" t="str">
            <v>Overtime</v>
          </cell>
          <cell r="D81" t="str">
            <v>SeventyNine</v>
          </cell>
          <cell r="E81" t="str">
            <v>Past</v>
          </cell>
          <cell r="F81">
            <v>43831</v>
          </cell>
          <cell r="G81" t="str">
            <v>Full time</v>
          </cell>
          <cell r="H81">
            <v>40</v>
          </cell>
          <cell r="I81" t="str">
            <v>Permanent</v>
          </cell>
          <cell r="J81" t="str">
            <v>Store Manager</v>
          </cell>
          <cell r="K81" t="str">
            <v>Czech</v>
          </cell>
          <cell r="L81">
            <v>5</v>
          </cell>
          <cell r="M81" t="str">
            <v>Employment Agreement</v>
          </cell>
          <cell r="N81">
            <v>251</v>
          </cell>
          <cell r="O81" t="str">
            <v>Management Retail</v>
          </cell>
          <cell r="P81" t="str">
            <v>Yes</v>
          </cell>
          <cell r="Q81" t="str">
            <v>N/A</v>
          </cell>
          <cell r="R81">
            <v>35139</v>
          </cell>
          <cell r="S81">
            <v>9603150865</v>
          </cell>
          <cell r="T81" t="str">
            <v>Male</v>
          </cell>
          <cell r="U81" t="str">
            <v>Single</v>
          </cell>
          <cell r="V81" t="str">
            <v>Permanent</v>
          </cell>
          <cell r="W81">
            <v>201</v>
          </cell>
          <cell r="X81" t="str">
            <v>stredni odborne vzdelani s vyucnim listem</v>
          </cell>
          <cell r="Y81" t="str">
            <v>N/A</v>
          </cell>
          <cell r="Z81" t="str">
            <v>895 Store Management (Male Teststmanager (10224969))</v>
          </cell>
          <cell r="AA81">
            <v>60028</v>
          </cell>
        </row>
        <row r="82">
          <cell r="A82">
            <v>80</v>
          </cell>
          <cell r="B82">
            <v>15</v>
          </cell>
          <cell r="C82" t="str">
            <v>Overtime</v>
          </cell>
          <cell r="D82" t="str">
            <v>Eighty</v>
          </cell>
          <cell r="E82" t="str">
            <v>Past</v>
          </cell>
          <cell r="F82">
            <v>43831</v>
          </cell>
          <cell r="G82" t="str">
            <v>Part time</v>
          </cell>
          <cell r="H82">
            <v>20</v>
          </cell>
          <cell r="I82" t="str">
            <v>Fixed Term</v>
          </cell>
          <cell r="J82" t="str">
            <v>P&amp;C Manager Stores</v>
          </cell>
          <cell r="K82" t="str">
            <v>Czech</v>
          </cell>
          <cell r="L82">
            <v>5</v>
          </cell>
          <cell r="M82" t="str">
            <v>Employment Agreement</v>
          </cell>
          <cell r="N82">
            <v>251</v>
          </cell>
          <cell r="O82" t="str">
            <v>Management Retail</v>
          </cell>
          <cell r="P82" t="str">
            <v>No</v>
          </cell>
          <cell r="Q82">
            <v>44562</v>
          </cell>
          <cell r="R82">
            <v>35139</v>
          </cell>
          <cell r="S82">
            <v>9603150876</v>
          </cell>
          <cell r="T82" t="str">
            <v>Male</v>
          </cell>
          <cell r="U82" t="str">
            <v>Single</v>
          </cell>
          <cell r="V82" t="str">
            <v>Permanent</v>
          </cell>
          <cell r="W82">
            <v>201</v>
          </cell>
          <cell r="X82" t="str">
            <v>stredni odborne vzdelani s vyucnim listem</v>
          </cell>
          <cell r="Y82" t="str">
            <v>N/A</v>
          </cell>
          <cell r="Z82" t="str">
            <v>895 Store Management (Male Teststmanager (10224969))</v>
          </cell>
          <cell r="AA82">
            <v>1</v>
          </cell>
        </row>
        <row r="83">
          <cell r="A83">
            <v>81</v>
          </cell>
          <cell r="C83" t="str">
            <v>Overtime</v>
          </cell>
          <cell r="D83" t="str">
            <v>EightyOne</v>
          </cell>
          <cell r="E83" t="str">
            <v>Past</v>
          </cell>
          <cell r="F83">
            <v>43831</v>
          </cell>
          <cell r="G83" t="str">
            <v>Part time</v>
          </cell>
          <cell r="H83">
            <v>20</v>
          </cell>
          <cell r="I83" t="str">
            <v>Permanent</v>
          </cell>
          <cell r="J83" t="str">
            <v>P&amp;C Manager Stores</v>
          </cell>
          <cell r="K83" t="str">
            <v>Czech</v>
          </cell>
          <cell r="L83">
            <v>5</v>
          </cell>
          <cell r="M83" t="str">
            <v>Employment Agreement</v>
          </cell>
          <cell r="N83">
            <v>251</v>
          </cell>
          <cell r="O83" t="str">
            <v>Management Retail</v>
          </cell>
          <cell r="P83" t="str">
            <v>Yes</v>
          </cell>
          <cell r="Q83" t="str">
            <v>N/A</v>
          </cell>
          <cell r="R83">
            <v>35139</v>
          </cell>
          <cell r="S83">
            <v>9603150887</v>
          </cell>
          <cell r="T83" t="str">
            <v>Male</v>
          </cell>
          <cell r="U83" t="str">
            <v>Single</v>
          </cell>
          <cell r="V83" t="str">
            <v>Permanent</v>
          </cell>
          <cell r="W83">
            <v>201</v>
          </cell>
          <cell r="X83" t="str">
            <v>stredni odborne vzdelani s vyucnim listem</v>
          </cell>
          <cell r="Y83" t="str">
            <v>N/A</v>
          </cell>
          <cell r="Z83" t="str">
            <v>895 Store Management (Male Teststmanager (10224969))</v>
          </cell>
          <cell r="AA83">
            <v>2</v>
          </cell>
        </row>
        <row r="84">
          <cell r="A84">
            <v>82</v>
          </cell>
          <cell r="C84" t="str">
            <v>Overtime</v>
          </cell>
          <cell r="D84" t="str">
            <v>EightyTwo</v>
          </cell>
          <cell r="E84" t="str">
            <v>Past</v>
          </cell>
          <cell r="F84">
            <v>43831</v>
          </cell>
          <cell r="G84" t="str">
            <v>Part time</v>
          </cell>
          <cell r="H84">
            <v>30</v>
          </cell>
          <cell r="I84" t="str">
            <v>Fixed Term</v>
          </cell>
          <cell r="J84" t="str">
            <v>P&amp;C Manager Stores</v>
          </cell>
          <cell r="K84" t="str">
            <v>Czech</v>
          </cell>
          <cell r="L84">
            <v>5</v>
          </cell>
          <cell r="M84" t="str">
            <v>Employment Agreement</v>
          </cell>
          <cell r="N84">
            <v>251</v>
          </cell>
          <cell r="O84" t="str">
            <v>Management Retail</v>
          </cell>
          <cell r="P84" t="str">
            <v>No</v>
          </cell>
          <cell r="Q84">
            <v>44562</v>
          </cell>
          <cell r="R84">
            <v>35139</v>
          </cell>
          <cell r="S84">
            <v>9603150898</v>
          </cell>
          <cell r="T84" t="str">
            <v>Male</v>
          </cell>
          <cell r="U84" t="str">
            <v>Single</v>
          </cell>
          <cell r="V84" t="str">
            <v>Permanent</v>
          </cell>
          <cell r="W84">
            <v>201</v>
          </cell>
          <cell r="X84" t="str">
            <v>stredni odborne vzdelani s vyucnim listem</v>
          </cell>
          <cell r="Y84" t="str">
            <v>N/A</v>
          </cell>
          <cell r="Z84" t="str">
            <v>895 Store Management (Male Teststmanager (10224969))</v>
          </cell>
          <cell r="AA84">
            <v>3</v>
          </cell>
        </row>
        <row r="85">
          <cell r="A85">
            <v>83</v>
          </cell>
          <cell r="C85" t="str">
            <v>Overtime</v>
          </cell>
          <cell r="D85" t="str">
            <v>EightyThree</v>
          </cell>
          <cell r="E85" t="str">
            <v>Past</v>
          </cell>
          <cell r="F85">
            <v>43831</v>
          </cell>
          <cell r="G85" t="str">
            <v>Part time</v>
          </cell>
          <cell r="H85">
            <v>30</v>
          </cell>
          <cell r="I85" t="str">
            <v>Permanent</v>
          </cell>
          <cell r="J85" t="str">
            <v>P&amp;C Manager Stores</v>
          </cell>
          <cell r="K85" t="str">
            <v>Czech</v>
          </cell>
          <cell r="L85">
            <v>5</v>
          </cell>
          <cell r="M85" t="str">
            <v>Employment Agreement</v>
          </cell>
          <cell r="N85">
            <v>251</v>
          </cell>
          <cell r="O85" t="str">
            <v>Management Retail</v>
          </cell>
          <cell r="P85" t="str">
            <v>Yes</v>
          </cell>
          <cell r="Q85" t="str">
            <v>N/A</v>
          </cell>
          <cell r="R85">
            <v>35139</v>
          </cell>
          <cell r="S85">
            <v>9603150909</v>
          </cell>
          <cell r="T85" t="str">
            <v>Male</v>
          </cell>
          <cell r="U85" t="str">
            <v>Single</v>
          </cell>
          <cell r="V85" t="str">
            <v>Permanent</v>
          </cell>
          <cell r="W85">
            <v>201</v>
          </cell>
          <cell r="X85" t="str">
            <v>stredni odborne vzdelani s vyucnim listem</v>
          </cell>
          <cell r="Y85" t="str">
            <v>N/A</v>
          </cell>
          <cell r="Z85" t="str">
            <v>895 Store Management (Male Teststmanager (10224969))</v>
          </cell>
          <cell r="AA85">
            <v>4</v>
          </cell>
        </row>
        <row r="86">
          <cell r="A86">
            <v>84</v>
          </cell>
          <cell r="C86" t="str">
            <v>Overtime</v>
          </cell>
          <cell r="D86" t="str">
            <v>EightyFour</v>
          </cell>
          <cell r="E86" t="str">
            <v>Past</v>
          </cell>
          <cell r="F86">
            <v>43831</v>
          </cell>
          <cell r="G86" t="str">
            <v>Full time</v>
          </cell>
          <cell r="H86">
            <v>40</v>
          </cell>
          <cell r="I86" t="str">
            <v>Fixed Term</v>
          </cell>
          <cell r="J86" t="str">
            <v>P&amp;C Manager Stores</v>
          </cell>
          <cell r="K86" t="str">
            <v>Czech</v>
          </cell>
          <cell r="L86">
            <v>5</v>
          </cell>
          <cell r="M86" t="str">
            <v>Employment Agreement</v>
          </cell>
          <cell r="N86">
            <v>251</v>
          </cell>
          <cell r="O86" t="str">
            <v>Management Retail</v>
          </cell>
          <cell r="P86" t="str">
            <v>No</v>
          </cell>
          <cell r="Q86">
            <v>44562</v>
          </cell>
          <cell r="R86">
            <v>35139</v>
          </cell>
          <cell r="S86">
            <v>9603150920</v>
          </cell>
          <cell r="T86" t="str">
            <v>Male</v>
          </cell>
          <cell r="U86" t="str">
            <v>Single</v>
          </cell>
          <cell r="V86" t="str">
            <v>Permanent</v>
          </cell>
          <cell r="W86">
            <v>201</v>
          </cell>
          <cell r="X86" t="str">
            <v>stredni odborne vzdelani s vyucnim listem</v>
          </cell>
          <cell r="Y86" t="str">
            <v>N/A</v>
          </cell>
          <cell r="Z86" t="str">
            <v>895 Store Management (Male Teststmanager (10224969))</v>
          </cell>
          <cell r="AA86">
            <v>5</v>
          </cell>
        </row>
        <row r="87">
          <cell r="A87">
            <v>85</v>
          </cell>
          <cell r="C87" t="str">
            <v>Overtime</v>
          </cell>
          <cell r="D87" t="str">
            <v>EightyFive</v>
          </cell>
          <cell r="E87" t="str">
            <v>Past</v>
          </cell>
          <cell r="F87">
            <v>43831</v>
          </cell>
          <cell r="G87" t="str">
            <v>Full time</v>
          </cell>
          <cell r="H87">
            <v>40</v>
          </cell>
          <cell r="I87" t="str">
            <v>Permanent</v>
          </cell>
          <cell r="J87" t="str">
            <v>P&amp;C Manager Stores</v>
          </cell>
          <cell r="K87" t="str">
            <v>Czech</v>
          </cell>
          <cell r="L87">
            <v>5</v>
          </cell>
          <cell r="M87" t="str">
            <v>Employment Agreement</v>
          </cell>
          <cell r="N87">
            <v>251</v>
          </cell>
          <cell r="O87" t="str">
            <v>Management Retail</v>
          </cell>
          <cell r="P87" t="str">
            <v>Yes</v>
          </cell>
          <cell r="Q87" t="str">
            <v>N/A</v>
          </cell>
          <cell r="R87">
            <v>35139</v>
          </cell>
          <cell r="S87">
            <v>9603150931</v>
          </cell>
          <cell r="T87" t="str">
            <v>Male</v>
          </cell>
          <cell r="U87" t="str">
            <v>Single</v>
          </cell>
          <cell r="V87" t="str">
            <v>Permanent</v>
          </cell>
          <cell r="W87">
            <v>201</v>
          </cell>
          <cell r="X87" t="str">
            <v>stredni odborne vzdelani s vyucnim listem</v>
          </cell>
          <cell r="Y87" t="str">
            <v>N/A</v>
          </cell>
          <cell r="Z87" t="str">
            <v>895 Store Management (Male Teststmanager (10224969))</v>
          </cell>
          <cell r="AA87">
            <v>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mailto:1@661" TargetMode="External"/><Relationship Id="rId7" Type="http://schemas.openxmlformats.org/officeDocument/2006/relationships/hyperlink" Target="mailto:1@661" TargetMode="External"/><Relationship Id="rId2" Type="http://schemas.openxmlformats.org/officeDocument/2006/relationships/hyperlink" Target="mailto:1@661" TargetMode="External"/><Relationship Id="rId1" Type="http://schemas.openxmlformats.org/officeDocument/2006/relationships/hyperlink" Target="mailto:1@661" TargetMode="External"/><Relationship Id="rId6" Type="http://schemas.openxmlformats.org/officeDocument/2006/relationships/hyperlink" Target="mailto:1@661" TargetMode="External"/><Relationship Id="rId5" Type="http://schemas.openxmlformats.org/officeDocument/2006/relationships/hyperlink" Target="mailto:1@661" TargetMode="External"/><Relationship Id="rId4" Type="http://schemas.openxmlformats.org/officeDocument/2006/relationships/hyperlink" Target="mailto:1@66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workbookViewId="0">
      <selection activeCell="E23" sqref="E23"/>
    </sheetView>
  </sheetViews>
  <sheetFormatPr defaultRowHeight="14.5" x14ac:dyDescent="0.35"/>
  <cols>
    <col min="1" max="1" width="15" bestFit="1" customWidth="1"/>
    <col min="3" max="3" width="36" customWidth="1"/>
    <col min="4" max="4" width="13.26953125" customWidth="1"/>
    <col min="5" max="5" width="13.81640625" customWidth="1"/>
    <col min="6" max="6" width="21.54296875" bestFit="1" customWidth="1"/>
    <col min="7" max="7" width="99.1796875" customWidth="1"/>
  </cols>
  <sheetData>
    <row r="1" spans="1:7" x14ac:dyDescent="0.35">
      <c r="A1" s="213" t="s">
        <v>158</v>
      </c>
      <c r="B1" s="214"/>
      <c r="C1" s="215"/>
      <c r="F1" s="213" t="s">
        <v>638</v>
      </c>
      <c r="G1" s="215"/>
    </row>
    <row r="2" spans="1:7" ht="15" thickBot="1" x14ac:dyDescent="0.4">
      <c r="A2" s="216"/>
      <c r="B2" s="217"/>
      <c r="C2" s="218"/>
      <c r="F2" s="216"/>
      <c r="G2" s="218"/>
    </row>
    <row r="5" spans="1:7" ht="15" thickBot="1" x14ac:dyDescent="0.4"/>
    <row r="6" spans="1:7" ht="19" thickBot="1" x14ac:dyDescent="0.5">
      <c r="A6" s="36" t="s">
        <v>158</v>
      </c>
      <c r="B6" s="45" t="s">
        <v>708</v>
      </c>
      <c r="F6" s="44" t="s">
        <v>638</v>
      </c>
    </row>
    <row r="7" spans="1:7" ht="15" thickBot="1" x14ac:dyDescent="0.4">
      <c r="F7" s="55" t="s">
        <v>639</v>
      </c>
      <c r="G7" s="56" t="s">
        <v>709</v>
      </c>
    </row>
    <row r="8" spans="1:7" ht="19" thickBot="1" x14ac:dyDescent="0.5">
      <c r="A8" s="37" t="s">
        <v>159</v>
      </c>
      <c r="F8" s="51" t="s">
        <v>640</v>
      </c>
      <c r="G8" s="50" t="s">
        <v>641</v>
      </c>
    </row>
    <row r="9" spans="1:7" ht="15" thickBot="1" x14ac:dyDescent="0.4">
      <c r="A9" s="7" t="s">
        <v>160</v>
      </c>
      <c r="B9" s="61" t="s">
        <v>158</v>
      </c>
      <c r="C9" s="60" t="s">
        <v>161</v>
      </c>
      <c r="F9" s="51" t="s">
        <v>643</v>
      </c>
      <c r="G9" s="50" t="s">
        <v>647</v>
      </c>
    </row>
    <row r="10" spans="1:7" x14ac:dyDescent="0.35">
      <c r="A10" s="48">
        <v>44061</v>
      </c>
      <c r="B10" s="46" t="s">
        <v>708</v>
      </c>
      <c r="C10" s="49" t="s">
        <v>162</v>
      </c>
      <c r="F10" s="51" t="s">
        <v>644</v>
      </c>
      <c r="G10" s="50" t="s">
        <v>645</v>
      </c>
    </row>
    <row r="11" spans="1:7" ht="29" x14ac:dyDescent="0.35">
      <c r="A11" s="48"/>
      <c r="B11" s="47"/>
      <c r="C11" s="50"/>
      <c r="F11" s="58" t="s">
        <v>642</v>
      </c>
      <c r="G11" s="57" t="s">
        <v>646</v>
      </c>
    </row>
    <row r="12" spans="1:7" ht="15" thickBot="1" x14ac:dyDescent="0.4">
      <c r="A12" s="48"/>
      <c r="B12" s="47"/>
      <c r="C12" s="57"/>
      <c r="F12" s="52"/>
      <c r="G12" s="54"/>
    </row>
    <row r="13" spans="1:7" x14ac:dyDescent="0.35">
      <c r="A13" s="59"/>
      <c r="B13" s="47"/>
      <c r="C13" s="57"/>
    </row>
    <row r="14" spans="1:7" x14ac:dyDescent="0.35">
      <c r="A14" s="59"/>
      <c r="B14" s="47"/>
      <c r="C14" s="57"/>
    </row>
    <row r="15" spans="1:7" x14ac:dyDescent="0.35">
      <c r="A15" s="59"/>
      <c r="B15" s="47"/>
      <c r="C15" s="57"/>
    </row>
    <row r="16" spans="1:7" x14ac:dyDescent="0.35">
      <c r="A16" s="59"/>
      <c r="B16" s="47"/>
      <c r="C16" s="57"/>
    </row>
    <row r="17" spans="1:3" x14ac:dyDescent="0.35">
      <c r="A17" s="51"/>
      <c r="B17" s="1"/>
      <c r="C17" s="50"/>
    </row>
    <row r="18" spans="1:3" x14ac:dyDescent="0.35">
      <c r="A18" s="51"/>
      <c r="B18" s="1"/>
      <c r="C18" s="50"/>
    </row>
    <row r="19" spans="1:3" x14ac:dyDescent="0.35">
      <c r="A19" s="51"/>
      <c r="B19" s="1"/>
      <c r="C19" s="50"/>
    </row>
    <row r="20" spans="1:3" x14ac:dyDescent="0.35">
      <c r="A20" s="51"/>
      <c r="B20" s="1"/>
      <c r="C20" s="50"/>
    </row>
    <row r="21" spans="1:3" x14ac:dyDescent="0.35">
      <c r="A21" s="51"/>
      <c r="B21" s="1"/>
      <c r="C21" s="50"/>
    </row>
    <row r="22" spans="1:3" x14ac:dyDescent="0.35">
      <c r="A22" s="51"/>
      <c r="B22" s="1"/>
      <c r="C22" s="50"/>
    </row>
    <row r="23" spans="1:3" x14ac:dyDescent="0.35">
      <c r="A23" s="51"/>
      <c r="B23" s="1"/>
      <c r="C23" s="50"/>
    </row>
    <row r="24" spans="1:3" x14ac:dyDescent="0.35">
      <c r="A24" s="51"/>
      <c r="B24" s="1"/>
      <c r="C24" s="50"/>
    </row>
    <row r="25" spans="1:3" x14ac:dyDescent="0.35">
      <c r="A25" s="51"/>
      <c r="B25" s="1"/>
      <c r="C25" s="50"/>
    </row>
    <row r="26" spans="1:3" ht="15" thickBot="1" x14ac:dyDescent="0.4">
      <c r="A26" s="52"/>
      <c r="B26" s="53"/>
      <c r="C26" s="54"/>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Z53"/>
  <sheetViews>
    <sheetView tabSelected="1" topLeftCell="C1" zoomScale="50" zoomScaleNormal="50" workbookViewId="0">
      <pane xSplit="4" topLeftCell="J1" activePane="topRight" state="frozen"/>
      <selection activeCell="C10" sqref="C10"/>
      <selection pane="topRight" activeCell="K10" sqref="K10"/>
    </sheetView>
  </sheetViews>
  <sheetFormatPr defaultRowHeight="14.5" x14ac:dyDescent="0.35"/>
  <cols>
    <col min="1" max="1" width="30.1796875" style="9" bestFit="1" customWidth="1"/>
    <col min="2" max="2" width="22" style="9" bestFit="1" customWidth="1"/>
    <col min="3" max="3" width="58.26953125" style="131" customWidth="1"/>
    <col min="4" max="4" width="24.7265625" hidden="1" customWidth="1"/>
    <col min="5" max="5" width="23.453125" hidden="1" customWidth="1"/>
    <col min="6" max="6" width="31.6328125" style="6" hidden="1" customWidth="1"/>
    <col min="7" max="7" width="71.81640625" style="6" customWidth="1"/>
    <col min="8" max="8" width="88.54296875" bestFit="1" customWidth="1"/>
    <col min="9" max="9" width="71.81640625" style="6" customWidth="1"/>
    <col min="10" max="10" width="88.54296875" bestFit="1" customWidth="1"/>
    <col min="11" max="11" width="71.81640625" style="6" customWidth="1"/>
    <col min="12" max="12" width="88.54296875" bestFit="1" customWidth="1"/>
    <col min="13" max="13" width="71.81640625" style="6" customWidth="1"/>
    <col min="14" max="14" width="88.54296875" bestFit="1" customWidth="1"/>
    <col min="15" max="15" width="71.81640625" style="6" customWidth="1"/>
    <col min="16" max="16" width="88.54296875" bestFit="1" customWidth="1"/>
    <col min="17" max="17" width="71.81640625" style="6" customWidth="1"/>
    <col min="18" max="18" width="88.54296875" bestFit="1" customWidth="1"/>
    <col min="19" max="19" width="71.81640625" style="6" customWidth="1"/>
    <col min="20" max="20" width="88.54296875" bestFit="1" customWidth="1"/>
  </cols>
  <sheetData>
    <row r="1" spans="1:20" ht="15" thickBot="1" x14ac:dyDescent="0.4">
      <c r="A1" s="38" t="s">
        <v>163</v>
      </c>
      <c r="B1" s="11"/>
      <c r="C1" s="130" t="s">
        <v>746</v>
      </c>
      <c r="D1" s="125" t="str">
        <f>SUBSTITUTE(C1," ","")</f>
        <v>Test_ID</v>
      </c>
      <c r="E1" s="67" t="str">
        <f>D1&amp;2</f>
        <v>Test_ID2</v>
      </c>
      <c r="F1" s="120" t="s">
        <v>680</v>
      </c>
      <c r="G1" s="12" t="s">
        <v>2</v>
      </c>
      <c r="H1" s="13" t="s">
        <v>3</v>
      </c>
      <c r="I1" s="12" t="s">
        <v>789</v>
      </c>
      <c r="J1" s="13" t="s">
        <v>790</v>
      </c>
      <c r="K1" s="12" t="s">
        <v>791</v>
      </c>
      <c r="L1" s="13" t="s">
        <v>792</v>
      </c>
      <c r="M1" s="12" t="s">
        <v>793</v>
      </c>
      <c r="N1" s="13" t="s">
        <v>794</v>
      </c>
      <c r="O1" s="12" t="s">
        <v>795</v>
      </c>
      <c r="P1" s="13" t="s">
        <v>796</v>
      </c>
      <c r="Q1" s="12" t="s">
        <v>797</v>
      </c>
      <c r="R1" s="13" t="s">
        <v>798</v>
      </c>
      <c r="S1" s="12" t="s">
        <v>799</v>
      </c>
      <c r="T1" s="13" t="s">
        <v>800</v>
      </c>
    </row>
    <row r="2" spans="1:20" ht="15" thickBot="1" x14ac:dyDescent="0.4">
      <c r="A2" s="38" t="str">
        <f>Information!B6</f>
        <v>0.3</v>
      </c>
      <c r="B2" s="11"/>
      <c r="C2" s="130" t="s">
        <v>707</v>
      </c>
      <c r="D2" s="137"/>
      <c r="E2" s="147"/>
      <c r="F2" s="148"/>
      <c r="G2" s="130">
        <v>1</v>
      </c>
      <c r="H2" s="130">
        <v>2</v>
      </c>
      <c r="I2" s="130">
        <v>3</v>
      </c>
      <c r="J2" s="130">
        <v>4</v>
      </c>
      <c r="K2" s="130">
        <v>5</v>
      </c>
      <c r="L2" s="130">
        <v>6</v>
      </c>
      <c r="M2" s="130">
        <v>7</v>
      </c>
      <c r="N2" s="130">
        <v>8</v>
      </c>
      <c r="O2" s="130">
        <v>9</v>
      </c>
      <c r="P2" s="130">
        <v>10</v>
      </c>
      <c r="Q2" s="130">
        <v>11</v>
      </c>
      <c r="R2" s="130">
        <v>12</v>
      </c>
      <c r="S2" s="130">
        <v>13</v>
      </c>
      <c r="T2" s="130">
        <v>14</v>
      </c>
    </row>
    <row r="3" spans="1:20" s="183" customFormat="1" ht="24" customHeight="1" x14ac:dyDescent="0.35">
      <c r="A3" s="180"/>
      <c r="B3" s="181"/>
      <c r="C3" s="66" t="s">
        <v>12</v>
      </c>
      <c r="D3" s="125" t="str">
        <f>SUBSTITUTE(C3," ","")</f>
        <v>Process</v>
      </c>
      <c r="E3" s="67" t="str">
        <f>D3&amp;2</f>
        <v>Process2</v>
      </c>
      <c r="F3" s="121" t="s">
        <v>681</v>
      </c>
      <c r="G3" s="182" t="s">
        <v>762</v>
      </c>
      <c r="H3" s="182" t="s">
        <v>817</v>
      </c>
      <c r="I3" s="182" t="s">
        <v>817</v>
      </c>
      <c r="J3" s="182" t="s">
        <v>817</v>
      </c>
      <c r="K3" s="182" t="s">
        <v>817</v>
      </c>
      <c r="L3" s="182" t="s">
        <v>762</v>
      </c>
      <c r="M3" s="41" t="s">
        <v>762</v>
      </c>
      <c r="N3" s="41" t="s">
        <v>762</v>
      </c>
      <c r="O3" s="41" t="s">
        <v>762</v>
      </c>
      <c r="P3" s="41" t="s">
        <v>762</v>
      </c>
      <c r="Q3" s="41" t="s">
        <v>762</v>
      </c>
      <c r="R3" s="41" t="s">
        <v>762</v>
      </c>
      <c r="S3" s="41" t="s">
        <v>762</v>
      </c>
      <c r="T3" s="41" t="s">
        <v>762</v>
      </c>
    </row>
    <row r="4" spans="1:20" x14ac:dyDescent="0.35">
      <c r="A4" s="11"/>
      <c r="B4" s="11"/>
      <c r="C4" s="174" t="s">
        <v>70</v>
      </c>
      <c r="D4" s="126" t="str">
        <f t="shared" ref="D4:D9" si="0">SUBSTITUTE(C4," ","")</f>
        <v>ExecutionFlag</v>
      </c>
      <c r="E4" s="64" t="str">
        <f t="shared" ref="E4:E11" si="1">D4&amp;2</f>
        <v>ExecutionFlag2</v>
      </c>
      <c r="F4" s="62" t="s">
        <v>682</v>
      </c>
      <c r="G4" s="70" t="s">
        <v>23</v>
      </c>
      <c r="H4" s="70" t="s">
        <v>23</v>
      </c>
      <c r="I4" s="70" t="s">
        <v>23</v>
      </c>
      <c r="J4" s="70" t="s">
        <v>23</v>
      </c>
      <c r="K4" s="70" t="s">
        <v>23</v>
      </c>
      <c r="L4" s="70" t="s">
        <v>23</v>
      </c>
      <c r="M4" s="70" t="s">
        <v>23</v>
      </c>
      <c r="N4" s="70" t="s">
        <v>23</v>
      </c>
      <c r="O4" s="70" t="s">
        <v>23</v>
      </c>
      <c r="P4" s="70" t="s">
        <v>23</v>
      </c>
      <c r="Q4" s="70" t="s">
        <v>23</v>
      </c>
      <c r="R4" s="70" t="s">
        <v>23</v>
      </c>
      <c r="S4" s="70" t="s">
        <v>23</v>
      </c>
      <c r="T4" s="70" t="s">
        <v>23</v>
      </c>
    </row>
    <row r="5" spans="1:20" x14ac:dyDescent="0.35">
      <c r="A5" s="11"/>
      <c r="B5" s="11"/>
      <c r="C5" s="62" t="s">
        <v>759</v>
      </c>
      <c r="D5" s="126" t="str">
        <f t="shared" si="0"/>
        <v>CountryName</v>
      </c>
      <c r="E5" s="64" t="str">
        <f t="shared" si="1"/>
        <v>CountryName2</v>
      </c>
      <c r="F5" s="62" t="s">
        <v>758</v>
      </c>
      <c r="G5" s="70" t="s">
        <v>859</v>
      </c>
      <c r="H5" s="70" t="s">
        <v>859</v>
      </c>
      <c r="I5" s="70" t="s">
        <v>859</v>
      </c>
      <c r="J5" s="70" t="s">
        <v>859</v>
      </c>
      <c r="K5" s="70" t="s">
        <v>859</v>
      </c>
      <c r="L5" s="70" t="s">
        <v>859</v>
      </c>
      <c r="M5" s="70" t="s">
        <v>859</v>
      </c>
      <c r="N5" s="70" t="s">
        <v>859</v>
      </c>
      <c r="O5" s="70" t="s">
        <v>859</v>
      </c>
      <c r="P5" s="70" t="s">
        <v>859</v>
      </c>
      <c r="Q5" s="70" t="s">
        <v>859</v>
      </c>
      <c r="R5" s="70" t="s">
        <v>859</v>
      </c>
      <c r="S5" s="70" t="s">
        <v>859</v>
      </c>
      <c r="T5" s="70" t="s">
        <v>859</v>
      </c>
    </row>
    <row r="6" spans="1:20" ht="26" x14ac:dyDescent="0.35">
      <c r="A6" s="11"/>
      <c r="B6" s="11"/>
      <c r="C6" s="62" t="s">
        <v>71</v>
      </c>
      <c r="D6" s="126" t="str">
        <f t="shared" si="0"/>
        <v>LastRunTimeandStatus</v>
      </c>
      <c r="E6" s="64" t="str">
        <f t="shared" si="1"/>
        <v>LastRunTimeandStatus2</v>
      </c>
      <c r="F6" s="122" t="s">
        <v>683</v>
      </c>
      <c r="G6" s="70" t="s">
        <v>865</v>
      </c>
      <c r="H6" s="70" t="s">
        <v>867</v>
      </c>
      <c r="I6" s="70" t="s">
        <v>873</v>
      </c>
      <c r="J6" s="70" t="s">
        <v>875</v>
      </c>
      <c r="K6" s="70" t="s">
        <v>877</v>
      </c>
      <c r="L6" s="70" t="s">
        <v>878</v>
      </c>
      <c r="M6" s="70"/>
      <c r="N6" s="70"/>
      <c r="O6" s="70"/>
      <c r="P6" s="70"/>
      <c r="Q6" s="70"/>
      <c r="R6" s="70"/>
      <c r="S6" s="70"/>
      <c r="T6" s="70"/>
    </row>
    <row r="7" spans="1:20" ht="26" x14ac:dyDescent="0.35">
      <c r="A7" s="11"/>
      <c r="B7" s="11"/>
      <c r="C7" s="62" t="s">
        <v>72</v>
      </c>
      <c r="D7" s="126" t="str">
        <f t="shared" si="0"/>
        <v>LastRunEmployeeNo</v>
      </c>
      <c r="E7" s="64" t="str">
        <f t="shared" si="1"/>
        <v>LastRunEmployeeNo2</v>
      </c>
      <c r="F7" s="123" t="s">
        <v>684</v>
      </c>
      <c r="G7" s="42"/>
      <c r="H7" s="42"/>
      <c r="I7" s="42"/>
      <c r="J7" s="42"/>
      <c r="K7" s="42"/>
      <c r="L7" s="42"/>
      <c r="M7" s="42"/>
      <c r="N7" s="42"/>
      <c r="O7" s="42"/>
      <c r="P7" s="42"/>
      <c r="Q7" s="42"/>
      <c r="R7" s="42"/>
      <c r="S7" s="42"/>
      <c r="T7" s="42"/>
    </row>
    <row r="8" spans="1:20" ht="69" customHeight="1" x14ac:dyDescent="0.35">
      <c r="A8" s="11"/>
      <c r="B8" s="11"/>
      <c r="C8" s="62" t="s">
        <v>73</v>
      </c>
      <c r="D8" s="126" t="str">
        <f t="shared" si="0"/>
        <v>LastRunErrorMessage</v>
      </c>
      <c r="E8" s="68" t="str">
        <f t="shared" si="1"/>
        <v>LastRunErrorMessage2</v>
      </c>
      <c r="F8" s="62" t="s">
        <v>685</v>
      </c>
      <c r="G8" s="69"/>
      <c r="H8" s="69"/>
      <c r="I8" s="69"/>
      <c r="J8" s="69"/>
      <c r="K8" s="69"/>
      <c r="L8" s="69"/>
      <c r="M8" s="69"/>
      <c r="N8" s="69"/>
      <c r="O8" s="69"/>
      <c r="P8" s="69"/>
      <c r="Q8" s="69"/>
      <c r="R8" s="69"/>
      <c r="S8" s="69"/>
      <c r="T8" s="69"/>
    </row>
    <row r="9" spans="1:20" ht="39" x14ac:dyDescent="0.35">
      <c r="A9" s="11"/>
      <c r="B9" s="11"/>
      <c r="C9" s="62" t="s">
        <v>654</v>
      </c>
      <c r="D9" s="126" t="str">
        <f t="shared" si="0"/>
        <v>DefectDescription</v>
      </c>
      <c r="E9" s="64" t="str">
        <f t="shared" si="1"/>
        <v>DefectDescription2</v>
      </c>
      <c r="F9" s="122" t="s">
        <v>686</v>
      </c>
      <c r="G9" s="138"/>
      <c r="H9" s="138"/>
      <c r="I9" s="138"/>
      <c r="J9" s="138"/>
      <c r="K9" s="138"/>
      <c r="L9" s="138"/>
      <c r="M9" s="138"/>
      <c r="N9" s="138"/>
      <c r="O9" s="138"/>
      <c r="P9" s="138"/>
      <c r="Q9" s="138"/>
      <c r="R9" s="138"/>
      <c r="S9" s="138"/>
      <c r="T9" s="138"/>
    </row>
    <row r="10" spans="1:20" ht="62.25" customHeight="1" x14ac:dyDescent="0.35">
      <c r="A10" s="11"/>
      <c r="B10" s="11"/>
      <c r="C10" s="62" t="s">
        <v>655</v>
      </c>
      <c r="D10" s="126" t="str">
        <f>SUBSTITUTE(C10," ","")</f>
        <v>AutomationComments</v>
      </c>
      <c r="E10" s="64" t="str">
        <f t="shared" si="1"/>
        <v>AutomationComments2</v>
      </c>
      <c r="F10" s="62" t="s">
        <v>687</v>
      </c>
      <c r="G10" s="69"/>
      <c r="H10" s="69"/>
      <c r="I10" s="69"/>
      <c r="J10" s="69"/>
      <c r="K10" s="69"/>
      <c r="L10" s="69"/>
      <c r="M10" s="69"/>
      <c r="N10" s="69"/>
      <c r="O10" s="69"/>
      <c r="P10" s="69"/>
      <c r="Q10" s="69"/>
      <c r="R10" s="69"/>
      <c r="S10" s="69"/>
      <c r="T10" s="69"/>
    </row>
    <row r="11" spans="1:20" ht="26.25" customHeight="1" thickBot="1" x14ac:dyDescent="0.4">
      <c r="A11" s="11"/>
      <c r="B11" s="11"/>
      <c r="C11" s="63" t="s">
        <v>656</v>
      </c>
      <c r="D11" s="127" t="str">
        <f>SUBSTITUTE(C11," ","")</f>
        <v>QAComments</v>
      </c>
      <c r="E11" s="65" t="str">
        <f t="shared" si="1"/>
        <v>QAComments2</v>
      </c>
      <c r="F11" s="63" t="s">
        <v>688</v>
      </c>
      <c r="G11" s="139"/>
      <c r="H11" s="140"/>
      <c r="I11" s="139"/>
      <c r="J11" s="140"/>
      <c r="K11" s="139"/>
      <c r="L11" s="140"/>
      <c r="M11" s="139"/>
      <c r="N11" s="140"/>
      <c r="O11" s="139"/>
      <c r="P11" s="140"/>
      <c r="Q11" s="139"/>
      <c r="R11" s="140"/>
      <c r="S11" s="139"/>
      <c r="T11" s="140"/>
    </row>
    <row r="12" spans="1:20" ht="31.5" customHeight="1" thickBot="1" x14ac:dyDescent="0.4">
      <c r="A12" s="11"/>
      <c r="B12" s="11"/>
      <c r="C12" s="133"/>
      <c r="D12" s="133"/>
      <c r="E12" s="133"/>
      <c r="F12" s="133"/>
      <c r="G12" s="134"/>
      <c r="H12" s="132"/>
      <c r="I12" s="134"/>
      <c r="J12" s="132"/>
      <c r="K12" s="134"/>
      <c r="L12" s="132"/>
      <c r="M12" s="134"/>
      <c r="N12" s="132"/>
      <c r="O12" s="134"/>
      <c r="P12" s="132"/>
      <c r="Q12" s="134"/>
      <c r="R12" s="132"/>
      <c r="S12" s="134"/>
      <c r="T12" s="132"/>
    </row>
    <row r="13" spans="1:20" ht="15" thickBot="1" x14ac:dyDescent="0.4">
      <c r="A13" s="22" t="s">
        <v>4</v>
      </c>
      <c r="B13" s="124" t="s">
        <v>5</v>
      </c>
      <c r="C13" s="135" t="s">
        <v>6</v>
      </c>
      <c r="D13" s="136" t="s">
        <v>7</v>
      </c>
      <c r="E13" s="23" t="s">
        <v>95</v>
      </c>
      <c r="F13" s="23" t="s">
        <v>680</v>
      </c>
      <c r="G13" s="149" t="s">
        <v>2</v>
      </c>
      <c r="H13" s="149" t="s">
        <v>3</v>
      </c>
      <c r="I13" s="149" t="s">
        <v>789</v>
      </c>
      <c r="J13" s="149" t="s">
        <v>790</v>
      </c>
      <c r="K13" s="149" t="s">
        <v>791</v>
      </c>
      <c r="L13" s="149" t="s">
        <v>792</v>
      </c>
      <c r="M13" s="149" t="s">
        <v>793</v>
      </c>
      <c r="N13" s="149" t="s">
        <v>794</v>
      </c>
      <c r="O13" s="149" t="s">
        <v>795</v>
      </c>
      <c r="P13" s="149" t="s">
        <v>796</v>
      </c>
      <c r="Q13" s="149" t="s">
        <v>797</v>
      </c>
      <c r="R13" s="149" t="s">
        <v>798</v>
      </c>
      <c r="S13" s="149" t="s">
        <v>799</v>
      </c>
      <c r="T13" s="149" t="s">
        <v>800</v>
      </c>
    </row>
    <row r="14" spans="1:20" x14ac:dyDescent="0.35">
      <c r="A14" s="10" t="s">
        <v>9</v>
      </c>
      <c r="B14" s="24" t="s">
        <v>8</v>
      </c>
      <c r="C14" s="175" t="s">
        <v>10</v>
      </c>
      <c r="D14" s="128" t="str">
        <f>SUBSTITUTE(A14," ","") &amp; "_" &amp; SUBSTITUTE(IF(B14="N/A","",B14&amp; "_")," ","")  &amp; SUBSTITUTE(SUBSTITUTE(C14," ",""),"/","")</f>
        <v>Login_Username</v>
      </c>
      <c r="E14" s="40" t="str">
        <f>D14&amp;2</f>
        <v>Login_Username2</v>
      </c>
      <c r="F14" s="141" t="s">
        <v>689</v>
      </c>
      <c r="G14" s="184">
        <v>90002195</v>
      </c>
      <c r="H14" s="184">
        <v>90002195</v>
      </c>
      <c r="I14" s="184">
        <v>90002195</v>
      </c>
      <c r="J14" s="198">
        <v>90002195</v>
      </c>
      <c r="K14" s="198">
        <v>90002195</v>
      </c>
      <c r="L14" s="198">
        <v>90002195</v>
      </c>
      <c r="M14" s="198">
        <v>90002195</v>
      </c>
      <c r="N14" s="198">
        <v>90002195</v>
      </c>
      <c r="O14" s="198">
        <v>90002195</v>
      </c>
      <c r="P14" s="198">
        <v>90002195</v>
      </c>
      <c r="Q14" s="198">
        <v>90002195</v>
      </c>
      <c r="R14" s="198">
        <v>90002195</v>
      </c>
      <c r="S14" s="198">
        <v>90002195</v>
      </c>
      <c r="T14" s="198">
        <v>90002195</v>
      </c>
    </row>
    <row r="15" spans="1:20" ht="16.5" customHeight="1" x14ac:dyDescent="0.35">
      <c r="A15" s="166" t="s">
        <v>9</v>
      </c>
      <c r="B15" s="167" t="s">
        <v>8</v>
      </c>
      <c r="C15" s="8" t="s">
        <v>11</v>
      </c>
      <c r="D15" s="129" t="str">
        <f t="shared" ref="D15:D44" si="2">SUBSTITUTE(A15," ","") &amp; "_" &amp; SUBSTITUTE(IF(B15="N/A","",B15&amp; "_")," ","")  &amp; SUBSTITUTE(SUBSTITUTE(C15," ",""),"/","")</f>
        <v>Login_Password</v>
      </c>
      <c r="E15" s="40" t="str">
        <f t="shared" ref="E15:E44" si="3">D15&amp;2</f>
        <v>Login_Password2</v>
      </c>
      <c r="F15" s="142" t="s">
        <v>690</v>
      </c>
      <c r="G15" s="185" t="s">
        <v>828</v>
      </c>
      <c r="H15" s="185" t="s">
        <v>828</v>
      </c>
      <c r="I15" s="185" t="s">
        <v>828</v>
      </c>
      <c r="J15" s="185" t="s">
        <v>828</v>
      </c>
      <c r="K15" s="185" t="s">
        <v>828</v>
      </c>
      <c r="L15" s="185" t="s">
        <v>828</v>
      </c>
      <c r="M15" s="185" t="s">
        <v>828</v>
      </c>
      <c r="N15" s="185" t="s">
        <v>828</v>
      </c>
      <c r="O15" s="185" t="s">
        <v>828</v>
      </c>
      <c r="P15" s="185" t="s">
        <v>828</v>
      </c>
      <c r="Q15" s="185" t="s">
        <v>828</v>
      </c>
      <c r="R15" s="185" t="s">
        <v>828</v>
      </c>
      <c r="S15" s="185" t="s">
        <v>828</v>
      </c>
      <c r="T15" s="185" t="s">
        <v>828</v>
      </c>
    </row>
    <row r="16" spans="1:20" x14ac:dyDescent="0.35">
      <c r="A16" s="166" t="s">
        <v>764</v>
      </c>
      <c r="B16" s="167" t="s">
        <v>8</v>
      </c>
      <c r="C16" s="177" t="s">
        <v>765</v>
      </c>
      <c r="D16" s="129" t="s">
        <v>766</v>
      </c>
      <c r="E16" s="40" t="s">
        <v>99</v>
      </c>
      <c r="F16" s="143" t="s">
        <v>767</v>
      </c>
      <c r="G16" s="155" t="s">
        <v>859</v>
      </c>
      <c r="H16" s="155" t="s">
        <v>859</v>
      </c>
      <c r="I16" s="155" t="s">
        <v>859</v>
      </c>
      <c r="J16" s="155" t="s">
        <v>859</v>
      </c>
      <c r="K16" s="155" t="s">
        <v>859</v>
      </c>
      <c r="L16" s="155" t="s">
        <v>859</v>
      </c>
      <c r="M16" s="155" t="s">
        <v>859</v>
      </c>
      <c r="N16" s="155" t="s">
        <v>859</v>
      </c>
      <c r="O16" s="155" t="s">
        <v>859</v>
      </c>
      <c r="P16" s="155" t="s">
        <v>859</v>
      </c>
      <c r="Q16" s="155" t="s">
        <v>859</v>
      </c>
      <c r="R16" s="155" t="s">
        <v>859</v>
      </c>
      <c r="S16" s="155" t="s">
        <v>859</v>
      </c>
      <c r="T16" s="155" t="s">
        <v>859</v>
      </c>
    </row>
    <row r="17" spans="1:52" x14ac:dyDescent="0.35">
      <c r="A17" s="166" t="s">
        <v>764</v>
      </c>
      <c r="B17" s="167" t="s">
        <v>8</v>
      </c>
      <c r="C17" s="8" t="s">
        <v>768</v>
      </c>
      <c r="D17" s="129" t="s">
        <v>769</v>
      </c>
      <c r="E17" s="40" t="s">
        <v>770</v>
      </c>
      <c r="F17" s="142" t="s">
        <v>771</v>
      </c>
      <c r="G17" s="205" t="s">
        <v>863</v>
      </c>
      <c r="H17" s="205" t="s">
        <v>864</v>
      </c>
      <c r="I17" s="212" t="s">
        <v>868</v>
      </c>
      <c r="J17" s="212" t="s">
        <v>869</v>
      </c>
      <c r="K17" s="212" t="s">
        <v>870</v>
      </c>
      <c r="L17" s="212" t="s">
        <v>871</v>
      </c>
      <c r="M17" s="178" t="s">
        <v>821</v>
      </c>
      <c r="N17" s="178" t="s">
        <v>822</v>
      </c>
      <c r="O17" s="178" t="s">
        <v>823</v>
      </c>
      <c r="P17" s="178" t="s">
        <v>824</v>
      </c>
      <c r="Q17" s="178" t="s">
        <v>825</v>
      </c>
      <c r="R17" s="178" t="s">
        <v>826</v>
      </c>
      <c r="S17" s="178" t="s">
        <v>829</v>
      </c>
      <c r="T17" s="178" t="s">
        <v>827</v>
      </c>
    </row>
    <row r="18" spans="1:52" ht="15" thickBot="1" x14ac:dyDescent="0.4">
      <c r="A18" s="166" t="s">
        <v>764</v>
      </c>
      <c r="B18" s="167" t="s">
        <v>8</v>
      </c>
      <c r="C18" s="8" t="s">
        <v>772</v>
      </c>
      <c r="D18" s="129" t="s">
        <v>773</v>
      </c>
      <c r="E18" s="40" t="s">
        <v>774</v>
      </c>
      <c r="F18" s="142" t="s">
        <v>771</v>
      </c>
      <c r="G18" s="205" t="str">
        <f>G19</f>
        <v>TestJmnu</v>
      </c>
      <c r="H18" s="205" t="str">
        <f>H19</f>
        <v>Brennnan</v>
      </c>
      <c r="I18" s="212" t="s">
        <v>831</v>
      </c>
      <c r="J18" s="212" t="s">
        <v>830</v>
      </c>
      <c r="K18" s="212" t="s">
        <v>831</v>
      </c>
      <c r="L18" s="212" t="s">
        <v>830</v>
      </c>
      <c r="M18" s="212" t="s">
        <v>830</v>
      </c>
      <c r="N18" s="212" t="s">
        <v>831</v>
      </c>
      <c r="O18" s="212" t="s">
        <v>856</v>
      </c>
      <c r="P18" s="212" t="s">
        <v>857</v>
      </c>
      <c r="Q18" s="212" t="s">
        <v>858</v>
      </c>
      <c r="R18" s="212" t="s">
        <v>858</v>
      </c>
      <c r="S18" s="212" t="s">
        <v>858</v>
      </c>
      <c r="T18" s="212" t="s">
        <v>858</v>
      </c>
    </row>
    <row r="19" spans="1:52" s="192" customFormat="1" x14ac:dyDescent="0.35">
      <c r="A19" s="206" t="s">
        <v>764</v>
      </c>
      <c r="B19" s="201" t="s">
        <v>8</v>
      </c>
      <c r="C19" s="202" t="s">
        <v>853</v>
      </c>
      <c r="D19" s="203" t="s">
        <v>854</v>
      </c>
      <c r="E19" s="204" t="s">
        <v>855</v>
      </c>
      <c r="F19" s="207" t="s">
        <v>771</v>
      </c>
      <c r="G19" s="205" t="s">
        <v>831</v>
      </c>
      <c r="H19" s="205" t="s">
        <v>830</v>
      </c>
      <c r="I19" s="212" t="s">
        <v>831</v>
      </c>
      <c r="J19" s="212" t="s">
        <v>830</v>
      </c>
      <c r="K19" s="212" t="s">
        <v>831</v>
      </c>
      <c r="L19" s="212" t="s">
        <v>830</v>
      </c>
      <c r="M19" s="205" t="s">
        <v>830</v>
      </c>
      <c r="N19" s="205" t="s">
        <v>831</v>
      </c>
      <c r="O19" s="205" t="s">
        <v>856</v>
      </c>
      <c r="P19" s="205" t="s">
        <v>857</v>
      </c>
      <c r="Q19" s="205" t="s">
        <v>858</v>
      </c>
      <c r="R19" s="205" t="s">
        <v>858</v>
      </c>
      <c r="S19" s="205" t="s">
        <v>858</v>
      </c>
      <c r="T19" s="205" t="s">
        <v>858</v>
      </c>
      <c r="U19" s="205" t="s">
        <v>858</v>
      </c>
      <c r="V19" s="205" t="s">
        <v>858</v>
      </c>
      <c r="W19" s="205" t="s">
        <v>858</v>
      </c>
      <c r="X19" s="205" t="s">
        <v>858</v>
      </c>
      <c r="Y19" s="205" t="s">
        <v>858</v>
      </c>
      <c r="Z19" s="205" t="s">
        <v>858</v>
      </c>
      <c r="AA19" s="205" t="s">
        <v>858</v>
      </c>
      <c r="AB19" s="205"/>
      <c r="AC19" s="205"/>
      <c r="AD19" s="205"/>
      <c r="AE19" s="205"/>
      <c r="AF19" s="205"/>
      <c r="AG19" s="205"/>
      <c r="AH19" s="205"/>
      <c r="AI19" s="205"/>
      <c r="AJ19" s="205"/>
      <c r="AK19" s="205"/>
      <c r="AL19" s="205"/>
      <c r="AM19" s="205"/>
      <c r="AN19" s="205"/>
      <c r="AO19" s="205"/>
      <c r="AP19" s="205"/>
      <c r="AQ19" s="205"/>
      <c r="AR19" s="205"/>
      <c r="AS19" s="205"/>
      <c r="AT19" s="205"/>
      <c r="AU19" s="205"/>
      <c r="AV19" s="205"/>
      <c r="AW19" s="205"/>
      <c r="AX19" s="205"/>
      <c r="AY19" s="205"/>
      <c r="AZ19" s="205"/>
    </row>
    <row r="20" spans="1:52" x14ac:dyDescent="0.35">
      <c r="A20" s="166" t="s">
        <v>14</v>
      </c>
      <c r="B20" s="167" t="s">
        <v>8</v>
      </c>
      <c r="C20" s="177" t="s">
        <v>14</v>
      </c>
      <c r="D20" s="129" t="str">
        <f t="shared" si="2"/>
        <v>SupervisoryOrganisation_SupervisoryOrganisation</v>
      </c>
      <c r="E20" s="40" t="str">
        <f t="shared" si="3"/>
        <v>SupervisoryOrganisation_SupervisoryOrganisation2</v>
      </c>
      <c r="F20" s="142"/>
      <c r="G20" s="186" t="s">
        <v>833</v>
      </c>
      <c r="H20" s="186" t="s">
        <v>832</v>
      </c>
      <c r="I20" s="186" t="s">
        <v>832</v>
      </c>
      <c r="J20" s="186" t="s">
        <v>832</v>
      </c>
      <c r="K20" s="186" t="s">
        <v>832</v>
      </c>
      <c r="L20" s="186" t="s">
        <v>833</v>
      </c>
      <c r="M20" s="155" t="s">
        <v>820</v>
      </c>
      <c r="N20" s="186" t="s">
        <v>833</v>
      </c>
      <c r="O20" s="155" t="s">
        <v>820</v>
      </c>
      <c r="P20" s="155" t="s">
        <v>820</v>
      </c>
      <c r="Q20" s="155" t="s">
        <v>820</v>
      </c>
      <c r="R20" s="155" t="s">
        <v>820</v>
      </c>
      <c r="S20" s="155" t="s">
        <v>820</v>
      </c>
      <c r="T20" s="155" t="s">
        <v>820</v>
      </c>
    </row>
    <row r="21" spans="1:52" x14ac:dyDescent="0.35">
      <c r="A21" s="166" t="s">
        <v>14</v>
      </c>
      <c r="B21" s="167" t="s">
        <v>8</v>
      </c>
      <c r="C21" s="8" t="s">
        <v>760</v>
      </c>
      <c r="D21" s="129" t="str">
        <f t="shared" si="2"/>
        <v>SupervisoryOrganisation_ExistingPreHire</v>
      </c>
      <c r="E21" s="40" t="str">
        <f t="shared" si="3"/>
        <v>SupervisoryOrganisation_ExistingPreHire2</v>
      </c>
      <c r="F21" s="142" t="s">
        <v>761</v>
      </c>
      <c r="G21" s="1" t="str">
        <f>G17&amp;" "&amp;G18</f>
        <v>ItalyManagedFour TestJmnu</v>
      </c>
      <c r="H21" s="1" t="str">
        <f xml:space="preserve"> H17&amp;" "&amp;H18</f>
        <v>ItalyNonManagedFive Brennnan</v>
      </c>
      <c r="I21" s="211" t="str">
        <f xml:space="preserve"> I17&amp;" "&amp;I18</f>
        <v>ItalyIDMTestD TestJmnu</v>
      </c>
      <c r="J21" s="211" t="str">
        <f t="shared" ref="J21:T21" si="4" xml:space="preserve"> J17&amp;" "&amp;J18</f>
        <v>ItalyNonMKABB Brennnan</v>
      </c>
      <c r="K21" s="211" t="str">
        <f t="shared" si="4"/>
        <v>ItalyManagedABB TestJmnu</v>
      </c>
      <c r="L21" s="211" t="str">
        <f>L17&amp;" "&amp;L18</f>
        <v>ItalyNonMKAXY Brennnan</v>
      </c>
      <c r="M21" s="211" t="str">
        <f t="shared" si="4"/>
        <v>HireSevenAP Brennnan</v>
      </c>
      <c r="N21" s="211" t="str">
        <f t="shared" si="4"/>
        <v>HireEightAP TestJmnu</v>
      </c>
      <c r="O21" s="211" t="str">
        <f t="shared" si="4"/>
        <v>HireNineAP BrennnanKK</v>
      </c>
      <c r="P21" s="211" t="str">
        <f t="shared" si="4"/>
        <v>HireTenAP TestJmnuKK</v>
      </c>
      <c r="Q21" s="211" t="str">
        <f t="shared" si="4"/>
        <v>HireElevenAP ItalyMK</v>
      </c>
      <c r="R21" s="211" t="str">
        <f t="shared" si="4"/>
        <v>HireTwelveAP ItalyMK</v>
      </c>
      <c r="S21" s="211" t="str">
        <f t="shared" si="4"/>
        <v>HireSixteenAP ItalyMK</v>
      </c>
      <c r="T21" s="211" t="str">
        <f t="shared" si="4"/>
        <v>HireFourteenAP ItalyMK</v>
      </c>
    </row>
    <row r="22" spans="1:52" x14ac:dyDescent="0.35">
      <c r="A22" s="166" t="s">
        <v>34</v>
      </c>
      <c r="B22" s="167" t="s">
        <v>8</v>
      </c>
      <c r="C22" s="8" t="s">
        <v>37</v>
      </c>
      <c r="D22" s="129" t="str">
        <f t="shared" si="2"/>
        <v>JobDetails_HireDate</v>
      </c>
      <c r="E22" s="40" t="str">
        <f t="shared" si="3"/>
        <v>JobDetails_HireDate2</v>
      </c>
      <c r="F22" s="143"/>
      <c r="G22" s="165">
        <f ca="1">TODAY()</f>
        <v>45182</v>
      </c>
      <c r="H22" s="165">
        <f t="shared" ref="H22:T22" ca="1" si="5">TODAY()</f>
        <v>45182</v>
      </c>
      <c r="I22" s="165">
        <f t="shared" ca="1" si="5"/>
        <v>45182</v>
      </c>
      <c r="J22" s="165">
        <f t="shared" ca="1" si="5"/>
        <v>45182</v>
      </c>
      <c r="K22" s="165">
        <f t="shared" ca="1" si="5"/>
        <v>45182</v>
      </c>
      <c r="L22" s="165">
        <f ca="1">TODAY()</f>
        <v>45182</v>
      </c>
      <c r="M22" s="165">
        <f t="shared" ca="1" si="5"/>
        <v>45182</v>
      </c>
      <c r="N22" s="165">
        <f ca="1">TODAY()</f>
        <v>45182</v>
      </c>
      <c r="O22" s="165">
        <f t="shared" ca="1" si="5"/>
        <v>45182</v>
      </c>
      <c r="P22" s="165">
        <f t="shared" ca="1" si="5"/>
        <v>45182</v>
      </c>
      <c r="Q22" s="165">
        <f t="shared" ca="1" si="5"/>
        <v>45182</v>
      </c>
      <c r="R22" s="165">
        <f t="shared" ca="1" si="5"/>
        <v>45182</v>
      </c>
      <c r="S22" s="165">
        <f t="shared" ca="1" si="5"/>
        <v>45182</v>
      </c>
      <c r="T22" s="165">
        <f t="shared" ca="1" si="5"/>
        <v>45182</v>
      </c>
    </row>
    <row r="23" spans="1:52" x14ac:dyDescent="0.35">
      <c r="A23" s="166" t="s">
        <v>34</v>
      </c>
      <c r="B23" s="167" t="s">
        <v>8</v>
      </c>
      <c r="C23" s="177" t="s">
        <v>18</v>
      </c>
      <c r="D23" s="129" t="str">
        <f t="shared" si="2"/>
        <v>JobDetails_Reason</v>
      </c>
      <c r="E23" s="40" t="str">
        <f t="shared" si="3"/>
        <v>JobDetails_Reason2</v>
      </c>
      <c r="F23" s="143"/>
      <c r="G23" s="150" t="s">
        <v>762</v>
      </c>
      <c r="H23" s="150" t="s">
        <v>762</v>
      </c>
      <c r="I23" s="150" t="s">
        <v>762</v>
      </c>
      <c r="J23" s="150" t="s">
        <v>762</v>
      </c>
      <c r="K23" s="150" t="s">
        <v>762</v>
      </c>
      <c r="L23" s="150" t="s">
        <v>762</v>
      </c>
      <c r="M23" s="150" t="s">
        <v>762</v>
      </c>
      <c r="N23" s="150" t="s">
        <v>762</v>
      </c>
      <c r="O23" s="150" t="s">
        <v>762</v>
      </c>
      <c r="P23" s="150" t="s">
        <v>762</v>
      </c>
      <c r="Q23" s="150" t="s">
        <v>762</v>
      </c>
      <c r="R23" s="150" t="s">
        <v>762</v>
      </c>
      <c r="S23" s="150" t="s">
        <v>762</v>
      </c>
      <c r="T23" s="150" t="s">
        <v>762</v>
      </c>
    </row>
    <row r="24" spans="1:52" ht="18.649999999999999" customHeight="1" x14ac:dyDescent="0.35">
      <c r="A24" s="166" t="s">
        <v>34</v>
      </c>
      <c r="B24" s="167" t="s">
        <v>8</v>
      </c>
      <c r="C24" s="177" t="s">
        <v>113</v>
      </c>
      <c r="D24" s="129" t="str">
        <f t="shared" si="2"/>
        <v>JobDetails_Position</v>
      </c>
      <c r="E24" s="40" t="str">
        <f t="shared" si="3"/>
        <v>JobDetails_Position2</v>
      </c>
      <c r="F24" s="144" t="s">
        <v>691</v>
      </c>
      <c r="G24" s="165" t="s">
        <v>23</v>
      </c>
      <c r="H24" s="165" t="s">
        <v>866</v>
      </c>
      <c r="I24" s="165" t="s">
        <v>872</v>
      </c>
      <c r="J24" s="165" t="s">
        <v>874</v>
      </c>
      <c r="K24" s="165" t="s">
        <v>876</v>
      </c>
      <c r="L24" s="165" t="s">
        <v>23</v>
      </c>
      <c r="M24" s="165" t="s">
        <v>23</v>
      </c>
      <c r="N24" s="165" t="s">
        <v>23</v>
      </c>
      <c r="O24" s="165" t="s">
        <v>23</v>
      </c>
      <c r="P24" s="165" t="s">
        <v>23</v>
      </c>
      <c r="Q24" s="165" t="s">
        <v>23</v>
      </c>
      <c r="R24" s="165" t="s">
        <v>23</v>
      </c>
      <c r="S24" s="165" t="s">
        <v>23</v>
      </c>
      <c r="T24" s="165" t="s">
        <v>23</v>
      </c>
    </row>
    <row r="25" spans="1:52" x14ac:dyDescent="0.35">
      <c r="A25" s="166" t="s">
        <v>34</v>
      </c>
      <c r="B25" s="167" t="s">
        <v>8</v>
      </c>
      <c r="C25" s="177" t="s">
        <v>35</v>
      </c>
      <c r="D25" s="129" t="str">
        <f t="shared" si="2"/>
        <v>JobDetails_EmployeeType</v>
      </c>
      <c r="E25" s="40" t="str">
        <f t="shared" si="3"/>
        <v>JobDetails_EmployeeType2</v>
      </c>
      <c r="F25" s="142" t="s">
        <v>703</v>
      </c>
      <c r="G25" s="165" t="s">
        <v>20</v>
      </c>
      <c r="H25" s="165" t="s">
        <v>52</v>
      </c>
      <c r="I25" s="165" t="s">
        <v>52</v>
      </c>
      <c r="J25" s="165" t="s">
        <v>20</v>
      </c>
      <c r="K25" s="165" t="s">
        <v>20</v>
      </c>
      <c r="L25" s="165" t="s">
        <v>52</v>
      </c>
      <c r="M25" s="165" t="s">
        <v>20</v>
      </c>
      <c r="N25" s="165" t="s">
        <v>20</v>
      </c>
      <c r="O25" s="165" t="s">
        <v>20</v>
      </c>
      <c r="P25" s="165" t="s">
        <v>807</v>
      </c>
      <c r="Q25" s="165" t="s">
        <v>20</v>
      </c>
      <c r="R25" s="165" t="s">
        <v>52</v>
      </c>
      <c r="S25" s="165" t="s">
        <v>20</v>
      </c>
      <c r="T25" s="165" t="s">
        <v>52</v>
      </c>
    </row>
    <row r="26" spans="1:52" x14ac:dyDescent="0.35">
      <c r="A26" s="168" t="s">
        <v>34</v>
      </c>
      <c r="B26" s="169" t="s">
        <v>8</v>
      </c>
      <c r="C26" s="177" t="s">
        <v>36</v>
      </c>
      <c r="D26" s="170" t="str">
        <f t="shared" si="2"/>
        <v>JobDetails_JobProfile</v>
      </c>
      <c r="E26" s="171" t="str">
        <f t="shared" si="3"/>
        <v>JobDetails_JobProfile2</v>
      </c>
      <c r="F26" s="172"/>
      <c r="G26" s="187" t="s">
        <v>21</v>
      </c>
      <c r="H26" s="208" t="s">
        <v>86</v>
      </c>
      <c r="I26" s="208" t="s">
        <v>86</v>
      </c>
      <c r="J26" s="208" t="s">
        <v>86</v>
      </c>
      <c r="K26" s="208" t="s">
        <v>86</v>
      </c>
      <c r="L26" s="187" t="s">
        <v>21</v>
      </c>
      <c r="M26" s="165" t="s">
        <v>801</v>
      </c>
      <c r="N26" s="187" t="s">
        <v>21</v>
      </c>
      <c r="O26" s="165" t="s">
        <v>802</v>
      </c>
      <c r="P26" s="165" t="s">
        <v>803</v>
      </c>
      <c r="Q26" s="165" t="s">
        <v>804</v>
      </c>
      <c r="R26" s="165" t="s">
        <v>787</v>
      </c>
      <c r="S26" s="165" t="s">
        <v>805</v>
      </c>
      <c r="T26" s="165" t="s">
        <v>806</v>
      </c>
    </row>
    <row r="27" spans="1:52" x14ac:dyDescent="0.35">
      <c r="A27" s="166" t="s">
        <v>34</v>
      </c>
      <c r="B27" s="167" t="s">
        <v>8</v>
      </c>
      <c r="C27" s="177" t="s">
        <v>45</v>
      </c>
      <c r="D27" s="129" t="str">
        <f t="shared" si="2"/>
        <v>JobDetails_TimeType</v>
      </c>
      <c r="E27" s="40" t="str">
        <f t="shared" si="3"/>
        <v>JobDetails_TimeType2</v>
      </c>
      <c r="F27" s="142"/>
      <c r="G27" s="165" t="s">
        <v>742</v>
      </c>
      <c r="H27" s="165" t="s">
        <v>742</v>
      </c>
      <c r="I27" s="165" t="s">
        <v>742</v>
      </c>
      <c r="J27" s="165" t="s">
        <v>742</v>
      </c>
      <c r="K27" s="165" t="s">
        <v>742</v>
      </c>
      <c r="L27" s="165" t="s">
        <v>742</v>
      </c>
      <c r="M27" s="165" t="s">
        <v>742</v>
      </c>
      <c r="N27" s="165" t="s">
        <v>742</v>
      </c>
      <c r="O27" s="165" t="s">
        <v>815</v>
      </c>
      <c r="P27" s="165" t="s">
        <v>742</v>
      </c>
      <c r="Q27" s="165" t="s">
        <v>742</v>
      </c>
      <c r="R27" s="165" t="s">
        <v>742</v>
      </c>
      <c r="S27" s="165" t="s">
        <v>815</v>
      </c>
      <c r="T27" s="165" t="s">
        <v>815</v>
      </c>
    </row>
    <row r="28" spans="1:52" x14ac:dyDescent="0.35">
      <c r="A28" s="166" t="s">
        <v>34</v>
      </c>
      <c r="B28" s="167" t="s">
        <v>8</v>
      </c>
      <c r="C28" s="177" t="s">
        <v>130</v>
      </c>
      <c r="D28" s="129" t="str">
        <f t="shared" si="2"/>
        <v>JobDetails_Location</v>
      </c>
      <c r="E28" s="40" t="str">
        <f t="shared" si="3"/>
        <v>JobDetails_Location2</v>
      </c>
      <c r="F28" s="142"/>
      <c r="G28" s="188">
        <v>275</v>
      </c>
      <c r="H28" s="188">
        <v>275</v>
      </c>
      <c r="I28" s="188">
        <v>275</v>
      </c>
      <c r="J28" s="188">
        <v>275</v>
      </c>
      <c r="K28" s="188">
        <v>275</v>
      </c>
      <c r="L28" s="188">
        <v>275</v>
      </c>
      <c r="M28" s="150">
        <v>870</v>
      </c>
      <c r="N28" s="188">
        <v>275</v>
      </c>
      <c r="O28" s="150">
        <v>870</v>
      </c>
      <c r="P28" s="150">
        <v>870</v>
      </c>
      <c r="Q28" s="150">
        <v>870</v>
      </c>
      <c r="R28" s="150">
        <v>870</v>
      </c>
      <c r="S28" s="150">
        <v>870</v>
      </c>
      <c r="T28" s="150">
        <v>870</v>
      </c>
      <c r="X28" t="s">
        <v>816</v>
      </c>
    </row>
    <row r="29" spans="1:52" x14ac:dyDescent="0.35">
      <c r="A29" s="166" t="s">
        <v>34</v>
      </c>
      <c r="B29" s="167" t="s">
        <v>38</v>
      </c>
      <c r="C29" s="177" t="s">
        <v>648</v>
      </c>
      <c r="D29" s="129" t="str">
        <f>SUBSTITUTE(A29," ","") &amp; "_" &amp; SUBSTITUTE(IF(B29="N/A","",B29&amp; "_")," ","")  &amp; SUBSTITUTE(SUBSTITUTE(C29," ",""),"/","")</f>
        <v>JobDetails_AdditionalInformation_ScheduledWeeklyHours</v>
      </c>
      <c r="E29" s="40" t="str">
        <f>D29&amp;2</f>
        <v>JobDetails_AdditionalInformation_ScheduledWeeklyHours2</v>
      </c>
      <c r="F29" s="142"/>
      <c r="G29" s="155">
        <v>40</v>
      </c>
      <c r="H29" s="155">
        <v>40</v>
      </c>
      <c r="I29" s="155">
        <v>40</v>
      </c>
      <c r="J29" s="155">
        <v>40</v>
      </c>
      <c r="K29" s="155">
        <v>40</v>
      </c>
      <c r="L29" s="155">
        <v>40</v>
      </c>
      <c r="M29" s="155">
        <v>38.75</v>
      </c>
      <c r="N29" s="155">
        <v>40</v>
      </c>
      <c r="O29">
        <v>25</v>
      </c>
      <c r="P29" s="155">
        <v>38.75</v>
      </c>
      <c r="Q29" s="155">
        <v>38.75</v>
      </c>
      <c r="R29" s="155">
        <v>38.75</v>
      </c>
      <c r="S29" s="155">
        <v>25</v>
      </c>
      <c r="T29" s="155">
        <v>20</v>
      </c>
    </row>
    <row r="30" spans="1:52" x14ac:dyDescent="0.35">
      <c r="A30" s="166" t="s">
        <v>34</v>
      </c>
      <c r="B30" s="167" t="s">
        <v>38</v>
      </c>
      <c r="C30" s="177" t="s">
        <v>738</v>
      </c>
      <c r="D30" s="129" t="str">
        <f>SUBSTITUTE(A30," ","") &amp; "_" &amp; SUBSTITUTE(IF(B30="N/A","",B30&amp; "_")," ","")  &amp; SUBSTITUTE(SUBSTITUTE(C30," ",""),"/","")</f>
        <v>JobDetails_AdditionalInformation_AdditionalJobClassifications</v>
      </c>
      <c r="E30" s="40" t="str">
        <f>D30&amp;2</f>
        <v>JobDetails_AdditionalInformation_AdditionalJobClassifications2</v>
      </c>
      <c r="F30" s="142"/>
      <c r="G30" s="189" t="s">
        <v>834</v>
      </c>
      <c r="H30" s="189" t="s">
        <v>834</v>
      </c>
      <c r="I30" s="189" t="s">
        <v>834</v>
      </c>
      <c r="J30" s="189" t="s">
        <v>834</v>
      </c>
      <c r="K30" s="189" t="s">
        <v>834</v>
      </c>
      <c r="L30" s="189" t="s">
        <v>834</v>
      </c>
      <c r="M30" s="173" t="s">
        <v>860</v>
      </c>
      <c r="N30" s="189" t="s">
        <v>834</v>
      </c>
      <c r="O30" s="173" t="s">
        <v>860</v>
      </c>
      <c r="P30" s="173" t="s">
        <v>860</v>
      </c>
      <c r="Q30" s="173" t="s">
        <v>860</v>
      </c>
      <c r="R30" s="173" t="s">
        <v>860</v>
      </c>
      <c r="S30" s="173" t="s">
        <v>860</v>
      </c>
      <c r="T30" s="173" t="s">
        <v>860</v>
      </c>
    </row>
    <row r="31" spans="1:52" x14ac:dyDescent="0.35">
      <c r="A31" s="166" t="s">
        <v>34</v>
      </c>
      <c r="B31" s="167" t="s">
        <v>38</v>
      </c>
      <c r="C31" s="177" t="s">
        <v>780</v>
      </c>
      <c r="D31" s="129" t="str">
        <f t="shared" si="2"/>
        <v>JobDetails_AdditionalInformation_WorkShift</v>
      </c>
      <c r="E31" s="40" t="str">
        <f t="shared" si="3"/>
        <v>JobDetails_AdditionalInformation_WorkShift2</v>
      </c>
      <c r="F31" s="142"/>
      <c r="G31" t="s">
        <v>835</v>
      </c>
      <c r="H31" s="199" t="s">
        <v>835</v>
      </c>
      <c r="I31" s="199" t="s">
        <v>835</v>
      </c>
      <c r="J31" s="199" t="s">
        <v>835</v>
      </c>
      <c r="K31" s="199" t="s">
        <v>835</v>
      </c>
      <c r="L31" s="199" t="s">
        <v>835</v>
      </c>
      <c r="M31" s="155" t="s">
        <v>861</v>
      </c>
      <c r="N31" s="199" t="s">
        <v>835</v>
      </c>
      <c r="O31" s="155" t="s">
        <v>861</v>
      </c>
      <c r="P31" s="155" t="s">
        <v>861</v>
      </c>
      <c r="Q31" s="155" t="s">
        <v>861</v>
      </c>
      <c r="R31" s="155" t="s">
        <v>861</v>
      </c>
      <c r="S31" s="155" t="s">
        <v>861</v>
      </c>
      <c r="T31" s="155" t="s">
        <v>862</v>
      </c>
    </row>
    <row r="32" spans="1:52" ht="12.65" customHeight="1" x14ac:dyDescent="0.35">
      <c r="A32" s="166" t="s">
        <v>34</v>
      </c>
      <c r="B32" s="167" t="s">
        <v>38</v>
      </c>
      <c r="C32" s="177" t="s">
        <v>119</v>
      </c>
      <c r="D32" s="129" t="str">
        <f t="shared" si="2"/>
        <v>JobDetails_AdditionalInformation_EndEmploymentDate</v>
      </c>
      <c r="E32" s="40" t="str">
        <f t="shared" si="3"/>
        <v>JobDetails_AdditionalInformation_EndEmploymentDate2</v>
      </c>
      <c r="F32" s="144" t="s">
        <v>692</v>
      </c>
      <c r="G32" t="s">
        <v>8</v>
      </c>
      <c r="H32" s="152">
        <f ca="1">TODAY()+365</f>
        <v>45547</v>
      </c>
      <c r="I32" s="152">
        <f ca="1">TODAY()+365</f>
        <v>45547</v>
      </c>
      <c r="J32" s="152" t="s">
        <v>8</v>
      </c>
      <c r="K32" s="152" t="s">
        <v>8</v>
      </c>
      <c r="L32" s="152">
        <f ca="1">TODAY()+365</f>
        <v>45547</v>
      </c>
      <c r="M32" s="150" t="s">
        <v>8</v>
      </c>
      <c r="N32" s="199" t="s">
        <v>8</v>
      </c>
      <c r="O32" s="150" t="s">
        <v>8</v>
      </c>
      <c r="P32" s="152">
        <f ca="1">TODAY()+365</f>
        <v>45547</v>
      </c>
      <c r="Q32" s="150" t="s">
        <v>8</v>
      </c>
      <c r="R32" s="152">
        <f ca="1">TODAY()+365</f>
        <v>45547</v>
      </c>
      <c r="S32" s="150" t="s">
        <v>8</v>
      </c>
      <c r="T32" s="152">
        <f ca="1">TODAY()+365</f>
        <v>45547</v>
      </c>
    </row>
    <row r="33" spans="1:20" x14ac:dyDescent="0.35">
      <c r="A33" s="166" t="s">
        <v>34</v>
      </c>
      <c r="B33" s="167" t="s">
        <v>38</v>
      </c>
      <c r="C33" s="177" t="s">
        <v>24</v>
      </c>
      <c r="D33" s="129" t="str">
        <f t="shared" si="2"/>
        <v>JobDetails_AdditionalInformation_Comments</v>
      </c>
      <c r="E33" s="40" t="str">
        <f t="shared" si="3"/>
        <v>JobDetails_AdditionalInformation_Comments2</v>
      </c>
      <c r="F33" s="143"/>
      <c r="G33" s="150" t="s">
        <v>25</v>
      </c>
      <c r="H33" s="150" t="s">
        <v>25</v>
      </c>
      <c r="I33" s="150" t="s">
        <v>25</v>
      </c>
      <c r="J33" s="150" t="s">
        <v>25</v>
      </c>
      <c r="K33" s="150" t="s">
        <v>25</v>
      </c>
      <c r="L33" s="150" t="s">
        <v>25</v>
      </c>
      <c r="M33" s="150" t="s">
        <v>25</v>
      </c>
      <c r="N33" s="150" t="s">
        <v>25</v>
      </c>
      <c r="O33" s="150" t="s">
        <v>25</v>
      </c>
      <c r="P33" s="150" t="s">
        <v>25</v>
      </c>
      <c r="Q33" s="150" t="s">
        <v>25</v>
      </c>
      <c r="R33" s="150" t="s">
        <v>25</v>
      </c>
      <c r="S33" s="150" t="s">
        <v>25</v>
      </c>
      <c r="T33" s="150" t="s">
        <v>25</v>
      </c>
    </row>
    <row r="34" spans="1:20" x14ac:dyDescent="0.35">
      <c r="A34" s="166" t="s">
        <v>39</v>
      </c>
      <c r="B34" s="167" t="s">
        <v>8</v>
      </c>
      <c r="C34" s="177" t="s">
        <v>651</v>
      </c>
      <c r="D34" s="129" t="str">
        <f>SUBSTITUTE(A34," ","") &amp; "_" &amp; SUBSTITUTE(IF(B34="N/A","",B34&amp; "_")," ","")  &amp; SUBSTITUTE(SUBSTITUTE(C34," ",""),"/","")</f>
        <v>ChangeOrganizationAssignments_CostCenter</v>
      </c>
      <c r="E34" s="40" t="str">
        <f>D34&amp;2</f>
        <v>ChangeOrganizationAssignments_CostCenter2</v>
      </c>
      <c r="F34" s="143"/>
      <c r="G34" s="150" t="s">
        <v>836</v>
      </c>
      <c r="H34" s="150">
        <v>92</v>
      </c>
      <c r="I34" s="150">
        <v>92</v>
      </c>
      <c r="J34" s="150">
        <v>92</v>
      </c>
      <c r="K34" s="150">
        <v>92</v>
      </c>
      <c r="L34" s="150" t="s">
        <v>836</v>
      </c>
      <c r="M34" s="150">
        <v>94</v>
      </c>
      <c r="N34" s="150" t="s">
        <v>836</v>
      </c>
      <c r="O34" s="150">
        <v>94</v>
      </c>
      <c r="P34" s="150">
        <v>94</v>
      </c>
      <c r="Q34" s="150">
        <v>94</v>
      </c>
      <c r="R34" s="150">
        <v>94</v>
      </c>
      <c r="S34" s="150">
        <v>94</v>
      </c>
      <c r="T34" s="150">
        <v>94</v>
      </c>
    </row>
    <row r="35" spans="1:20" ht="15" thickBot="1" x14ac:dyDescent="0.4">
      <c r="A35" s="166" t="s">
        <v>39</v>
      </c>
      <c r="B35" s="167" t="s">
        <v>8</v>
      </c>
      <c r="C35" s="177" t="s">
        <v>650</v>
      </c>
      <c r="D35" s="129" t="str">
        <f t="shared" si="2"/>
        <v>ChangeOrganizationAssignments_DepartmentSection</v>
      </c>
      <c r="E35" s="40" t="str">
        <f t="shared" si="3"/>
        <v>ChangeOrganizationAssignments_DepartmentSection2</v>
      </c>
      <c r="F35" s="143"/>
      <c r="G35" s="190" t="s">
        <v>837</v>
      </c>
      <c r="H35" s="165" t="s">
        <v>810</v>
      </c>
      <c r="I35" s="165" t="s">
        <v>810</v>
      </c>
      <c r="J35" s="165" t="s">
        <v>810</v>
      </c>
      <c r="K35" s="165" t="s">
        <v>810</v>
      </c>
      <c r="L35" s="190" t="s">
        <v>837</v>
      </c>
      <c r="M35" s="165" t="s">
        <v>811</v>
      </c>
      <c r="N35" s="190" t="s">
        <v>837</v>
      </c>
      <c r="O35" s="165" t="s">
        <v>812</v>
      </c>
      <c r="P35" s="165" t="s">
        <v>811</v>
      </c>
      <c r="Q35" s="165" t="s">
        <v>813</v>
      </c>
      <c r="R35" s="165" t="s">
        <v>813</v>
      </c>
      <c r="S35" s="165" t="s">
        <v>814</v>
      </c>
      <c r="T35" s="165">
        <v>261</v>
      </c>
    </row>
    <row r="36" spans="1:20" ht="15" thickBot="1" x14ac:dyDescent="0.4">
      <c r="A36" s="166" t="s">
        <v>40</v>
      </c>
      <c r="B36" s="167" t="s">
        <v>8</v>
      </c>
      <c r="C36" s="177" t="s">
        <v>786</v>
      </c>
      <c r="D36" s="128" t="str">
        <f t="shared" si="2"/>
        <v>AssignPayGroup_ProposedPayGroupInitial</v>
      </c>
      <c r="E36" s="40" t="str">
        <f t="shared" si="3"/>
        <v>AssignPayGroup_ProposedPayGroupInitial2</v>
      </c>
      <c r="F36" s="143"/>
      <c r="G36" s="150" t="s">
        <v>839</v>
      </c>
      <c r="H36" s="150" t="s">
        <v>839</v>
      </c>
      <c r="I36" s="150" t="s">
        <v>839</v>
      </c>
      <c r="J36" s="150" t="s">
        <v>839</v>
      </c>
      <c r="K36" s="150" t="s">
        <v>839</v>
      </c>
      <c r="L36" s="150" t="s">
        <v>839</v>
      </c>
      <c r="M36" s="150" t="s">
        <v>839</v>
      </c>
      <c r="N36" s="150" t="s">
        <v>839</v>
      </c>
      <c r="O36" s="150" t="s">
        <v>839</v>
      </c>
      <c r="P36" s="150" t="s">
        <v>839</v>
      </c>
      <c r="Q36" s="150" t="s">
        <v>839</v>
      </c>
      <c r="R36" s="150" t="s">
        <v>839</v>
      </c>
      <c r="S36" s="150" t="s">
        <v>839</v>
      </c>
      <c r="T36" s="150" t="s">
        <v>839</v>
      </c>
    </row>
    <row r="37" spans="1:20" x14ac:dyDescent="0.35">
      <c r="A37" s="166" t="s">
        <v>40</v>
      </c>
      <c r="B37" s="167" t="s">
        <v>8</v>
      </c>
      <c r="C37" s="177" t="s">
        <v>784</v>
      </c>
      <c r="D37" s="128" t="str">
        <f t="shared" si="2"/>
        <v>AssignPayGroup_ProposedPayGroupFinal</v>
      </c>
      <c r="E37" s="40" t="str">
        <f t="shared" si="3"/>
        <v>AssignPayGroup_ProposedPayGroupFinal2</v>
      </c>
      <c r="F37" s="143"/>
      <c r="G37" s="150" t="s">
        <v>838</v>
      </c>
      <c r="H37" s="150" t="s">
        <v>838</v>
      </c>
      <c r="I37" s="150" t="s">
        <v>838</v>
      </c>
      <c r="J37" s="150" t="s">
        <v>838</v>
      </c>
      <c r="K37" s="150" t="s">
        <v>838</v>
      </c>
      <c r="L37" s="150" t="s">
        <v>838</v>
      </c>
      <c r="M37" s="150" t="s">
        <v>819</v>
      </c>
      <c r="N37" s="150" t="s">
        <v>838</v>
      </c>
      <c r="O37" s="150" t="s">
        <v>819</v>
      </c>
      <c r="P37" s="150" t="s">
        <v>819</v>
      </c>
      <c r="Q37" s="150" t="s">
        <v>819</v>
      </c>
      <c r="R37" s="150" t="s">
        <v>819</v>
      </c>
      <c r="S37" s="150" t="s">
        <v>819</v>
      </c>
      <c r="T37" s="150" t="s">
        <v>819</v>
      </c>
    </row>
    <row r="38" spans="1:20" x14ac:dyDescent="0.35">
      <c r="A38" s="166" t="s">
        <v>736</v>
      </c>
      <c r="B38" s="167" t="s">
        <v>8</v>
      </c>
      <c r="C38" s="177" t="s">
        <v>737</v>
      </c>
      <c r="D38" s="129" t="str">
        <f t="shared" si="2"/>
        <v>AddProbationPeriod_ProbationEndDate</v>
      </c>
      <c r="E38" s="40" t="str">
        <f t="shared" si="3"/>
        <v>AddProbationPeriod_ProbationEndDate2</v>
      </c>
      <c r="F38" s="145"/>
      <c r="G38" s="155" t="s">
        <v>139</v>
      </c>
      <c r="H38" s="155" t="s">
        <v>139</v>
      </c>
      <c r="I38" s="155" t="s">
        <v>139</v>
      </c>
      <c r="J38" s="155" t="s">
        <v>139</v>
      </c>
      <c r="K38" s="155" t="s">
        <v>139</v>
      </c>
      <c r="L38" s="155" t="s">
        <v>139</v>
      </c>
      <c r="M38" s="155" t="s">
        <v>139</v>
      </c>
      <c r="N38" s="155" t="s">
        <v>139</v>
      </c>
      <c r="O38" s="155" t="s">
        <v>139</v>
      </c>
      <c r="P38" s="155" t="s">
        <v>139</v>
      </c>
      <c r="Q38" s="155" t="s">
        <v>139</v>
      </c>
      <c r="R38" s="155" t="s">
        <v>139</v>
      </c>
      <c r="S38" s="155" t="s">
        <v>139</v>
      </c>
      <c r="T38" s="155" t="s">
        <v>139</v>
      </c>
    </row>
    <row r="39" spans="1:20" ht="16.5" customHeight="1" x14ac:dyDescent="0.35">
      <c r="A39" s="166" t="s">
        <v>41</v>
      </c>
      <c r="B39" s="167" t="s">
        <v>8</v>
      </c>
      <c r="C39" s="177" t="s">
        <v>753</v>
      </c>
      <c r="D39" s="129" t="str">
        <f t="shared" si="2"/>
        <v>MaintainEmployeeContract_ContractStartDate</v>
      </c>
      <c r="E39" s="40" t="str">
        <f t="shared" si="3"/>
        <v>MaintainEmployeeContract_ContractStartDate2</v>
      </c>
      <c r="F39" s="144" t="s">
        <v>692</v>
      </c>
      <c r="G39" s="155" t="s">
        <v>139</v>
      </c>
      <c r="H39" s="155" t="s">
        <v>139</v>
      </c>
      <c r="I39" s="155" t="s">
        <v>139</v>
      </c>
      <c r="J39" s="155" t="s">
        <v>139</v>
      </c>
      <c r="K39" s="155" t="s">
        <v>139</v>
      </c>
      <c r="L39" s="155" t="s">
        <v>139</v>
      </c>
      <c r="M39" s="155" t="s">
        <v>139</v>
      </c>
      <c r="N39" s="155" t="s">
        <v>139</v>
      </c>
      <c r="O39" s="155" t="s">
        <v>139</v>
      </c>
      <c r="P39" s="155" t="s">
        <v>139</v>
      </c>
      <c r="Q39" s="155" t="s">
        <v>139</v>
      </c>
      <c r="R39" s="155" t="s">
        <v>139</v>
      </c>
      <c r="S39" s="155" t="s">
        <v>139</v>
      </c>
      <c r="T39" s="155" t="s">
        <v>139</v>
      </c>
    </row>
    <row r="40" spans="1:20" x14ac:dyDescent="0.35">
      <c r="A40" s="166" t="s">
        <v>41</v>
      </c>
      <c r="B40" s="167" t="s">
        <v>8</v>
      </c>
      <c r="C40" s="8" t="s">
        <v>776</v>
      </c>
      <c r="D40" s="129" t="str">
        <f>SUBSTITUTE(A40," ","") &amp; "_" &amp; SUBSTITUTE(IF(B40="N/A","",B40&amp; "_")," ","")  &amp; SUBSTITUTE(SUBSTITUTE(C40," ",""),"/","")</f>
        <v>MaintainEmployeeContract_DateEmployeeSigned</v>
      </c>
      <c r="E40" s="40" t="str">
        <f>D40&amp;2</f>
        <v>MaintainEmployeeContract_DateEmployeeSigned2</v>
      </c>
      <c r="F40" s="143"/>
      <c r="G40" s="165">
        <f ca="1">TODAY()-1</f>
        <v>45181</v>
      </c>
      <c r="H40" s="165">
        <f t="shared" ref="H40:T40" ca="1" si="6">TODAY()-1</f>
        <v>45181</v>
      </c>
      <c r="I40" s="165">
        <f t="shared" ca="1" si="6"/>
        <v>45181</v>
      </c>
      <c r="J40" s="165">
        <f t="shared" ca="1" si="6"/>
        <v>45181</v>
      </c>
      <c r="K40" s="165">
        <f t="shared" ca="1" si="6"/>
        <v>45181</v>
      </c>
      <c r="L40" s="165">
        <f t="shared" ca="1" si="6"/>
        <v>45181</v>
      </c>
      <c r="M40" s="165">
        <f t="shared" ca="1" si="6"/>
        <v>45181</v>
      </c>
      <c r="N40" s="165">
        <f ca="1">TODAY()-1</f>
        <v>45181</v>
      </c>
      <c r="O40" s="165">
        <f t="shared" ca="1" si="6"/>
        <v>45181</v>
      </c>
      <c r="P40" s="165">
        <f t="shared" ca="1" si="6"/>
        <v>45181</v>
      </c>
      <c r="Q40" s="165">
        <f t="shared" ca="1" si="6"/>
        <v>45181</v>
      </c>
      <c r="R40" s="165">
        <f t="shared" ca="1" si="6"/>
        <v>45181</v>
      </c>
      <c r="S40" s="165">
        <f t="shared" ca="1" si="6"/>
        <v>45181</v>
      </c>
      <c r="T40" s="165">
        <f t="shared" ca="1" si="6"/>
        <v>45181</v>
      </c>
    </row>
    <row r="41" spans="1:20" ht="19" customHeight="1" x14ac:dyDescent="0.35">
      <c r="A41" s="166" t="s">
        <v>41</v>
      </c>
      <c r="B41" s="167" t="s">
        <v>8</v>
      </c>
      <c r="C41" s="177" t="s">
        <v>18</v>
      </c>
      <c r="D41" s="129" t="str">
        <f>SUBSTITUTE(A41," ","") &amp; "_" &amp; SUBSTITUTE(IF(B41="N/A","",B41&amp; "_")," ","")  &amp; SUBSTITUTE(SUBSTITUTE(C41," ",""),"/","")</f>
        <v>MaintainEmployeeContract_Reason</v>
      </c>
      <c r="E41" s="40" t="str">
        <f>D41&amp;2</f>
        <v>MaintainEmployeeContract_Reason2</v>
      </c>
      <c r="F41" s="144" t="s">
        <v>692</v>
      </c>
      <c r="G41" s="1" t="s">
        <v>788</v>
      </c>
      <c r="H41" s="1" t="s">
        <v>788</v>
      </c>
      <c r="I41" s="1" t="s">
        <v>788</v>
      </c>
      <c r="J41" s="1" t="s">
        <v>788</v>
      </c>
      <c r="K41" s="1" t="s">
        <v>788</v>
      </c>
      <c r="L41" s="1" t="s">
        <v>788</v>
      </c>
      <c r="M41" s="1" t="s">
        <v>788</v>
      </c>
      <c r="N41" s="1" t="s">
        <v>788</v>
      </c>
      <c r="O41" s="1" t="s">
        <v>788</v>
      </c>
      <c r="P41" t="s">
        <v>809</v>
      </c>
      <c r="Q41" s="1" t="s">
        <v>788</v>
      </c>
      <c r="R41" s="1" t="s">
        <v>788</v>
      </c>
      <c r="S41" s="1" t="s">
        <v>788</v>
      </c>
      <c r="T41" s="1" t="s">
        <v>788</v>
      </c>
    </row>
    <row r="42" spans="1:20" x14ac:dyDescent="0.35">
      <c r="A42" s="166" t="s">
        <v>41</v>
      </c>
      <c r="B42" s="167" t="s">
        <v>8</v>
      </c>
      <c r="C42" s="177" t="s">
        <v>28</v>
      </c>
      <c r="D42" s="129" t="str">
        <f t="shared" si="2"/>
        <v>MaintainEmployeeContract_Status</v>
      </c>
      <c r="E42" s="40" t="str">
        <f t="shared" si="3"/>
        <v>MaintainEmployeeContract_Status2</v>
      </c>
      <c r="F42" s="143"/>
      <c r="G42" s="151" t="s">
        <v>60</v>
      </c>
      <c r="H42" s="151" t="s">
        <v>60</v>
      </c>
      <c r="I42" s="151" t="s">
        <v>60</v>
      </c>
      <c r="J42" s="151" t="s">
        <v>60</v>
      </c>
      <c r="K42" s="151" t="s">
        <v>60</v>
      </c>
      <c r="L42" s="151" t="s">
        <v>60</v>
      </c>
      <c r="M42" s="151" t="s">
        <v>60</v>
      </c>
      <c r="N42" s="151" t="s">
        <v>60</v>
      </c>
      <c r="O42" s="151" t="s">
        <v>60</v>
      </c>
      <c r="P42" s="151" t="s">
        <v>60</v>
      </c>
      <c r="Q42" s="151" t="s">
        <v>60</v>
      </c>
      <c r="R42" s="151" t="s">
        <v>60</v>
      </c>
      <c r="S42" s="151" t="s">
        <v>60</v>
      </c>
      <c r="T42" s="151" t="s">
        <v>60</v>
      </c>
    </row>
    <row r="43" spans="1:20" x14ac:dyDescent="0.35">
      <c r="A43" s="166" t="s">
        <v>41</v>
      </c>
      <c r="B43" s="167" t="s">
        <v>8</v>
      </c>
      <c r="C43" s="177" t="s">
        <v>42</v>
      </c>
      <c r="D43" s="129" t="str">
        <f t="shared" si="2"/>
        <v>MaintainEmployeeContract_ContractType</v>
      </c>
      <c r="E43" s="40" t="str">
        <f t="shared" si="3"/>
        <v>MaintainEmployeeContract_ContractType2</v>
      </c>
      <c r="F43" s="143"/>
      <c r="G43" s="165" t="s">
        <v>8</v>
      </c>
      <c r="H43" s="165" t="s">
        <v>52</v>
      </c>
      <c r="I43" s="165" t="s">
        <v>52</v>
      </c>
      <c r="J43" s="165" t="s">
        <v>52</v>
      </c>
      <c r="K43" s="165" t="s">
        <v>52</v>
      </c>
      <c r="L43" s="165" t="s">
        <v>52</v>
      </c>
      <c r="M43" s="165" t="s">
        <v>818</v>
      </c>
      <c r="N43" s="165" t="s">
        <v>8</v>
      </c>
      <c r="O43" s="165" t="s">
        <v>818</v>
      </c>
      <c r="P43" s="165" t="s">
        <v>808</v>
      </c>
      <c r="Q43" s="165" t="s">
        <v>818</v>
      </c>
      <c r="R43" s="165" t="s">
        <v>808</v>
      </c>
      <c r="S43" s="165" t="s">
        <v>818</v>
      </c>
      <c r="T43" s="165" t="s">
        <v>808</v>
      </c>
    </row>
    <row r="44" spans="1:20" ht="16.5" customHeight="1" x14ac:dyDescent="0.35">
      <c r="A44" s="166" t="s">
        <v>41</v>
      </c>
      <c r="B44" s="167" t="s">
        <v>8</v>
      </c>
      <c r="C44" s="177" t="s">
        <v>43</v>
      </c>
      <c r="D44" s="129" t="str">
        <f t="shared" si="2"/>
        <v>MaintainEmployeeContract_ContractEndDate</v>
      </c>
      <c r="E44" s="40" t="str">
        <f t="shared" si="3"/>
        <v>MaintainEmployeeContract_ContractEndDate2</v>
      </c>
      <c r="F44" s="144" t="s">
        <v>692</v>
      </c>
      <c r="G44" s="152" t="str">
        <f t="shared" ref="G44:S44" si="7">G32</f>
        <v>N/A</v>
      </c>
      <c r="H44" s="152">
        <f ca="1">TODAY()+365</f>
        <v>45547</v>
      </c>
      <c r="I44" s="152">
        <f ca="1">TODAY()+365</f>
        <v>45547</v>
      </c>
      <c r="J44" s="152">
        <f ca="1">TODAY()+365</f>
        <v>45547</v>
      </c>
      <c r="K44" s="152">
        <f ca="1">TODAY()+365</f>
        <v>45547</v>
      </c>
      <c r="L44" s="152">
        <f ca="1">TODAY()+365</f>
        <v>45547</v>
      </c>
      <c r="M44" s="152" t="str">
        <f t="shared" si="7"/>
        <v>N/A</v>
      </c>
      <c r="N44" s="152" t="str">
        <f t="shared" ref="N44" si="8">N32</f>
        <v>N/A</v>
      </c>
      <c r="O44" s="152" t="str">
        <f t="shared" si="7"/>
        <v>N/A</v>
      </c>
      <c r="P44" s="152">
        <f ca="1">TODAY()+365</f>
        <v>45547</v>
      </c>
      <c r="Q44" s="152" t="str">
        <f t="shared" si="7"/>
        <v>N/A</v>
      </c>
      <c r="R44" s="152">
        <f ca="1">TODAY()+365</f>
        <v>45547</v>
      </c>
      <c r="S44" s="152" t="str">
        <f t="shared" si="7"/>
        <v>N/A</v>
      </c>
      <c r="T44" s="152">
        <f ca="1">TODAY()+365</f>
        <v>45547</v>
      </c>
    </row>
    <row r="45" spans="1:20" x14ac:dyDescent="0.35">
      <c r="A45" s="166" t="s">
        <v>44</v>
      </c>
      <c r="B45" s="167" t="s">
        <v>8</v>
      </c>
      <c r="C45" s="177" t="s">
        <v>649</v>
      </c>
      <c r="D45" s="129" t="str">
        <f t="shared" ref="D45:D49" si="9">SUBSTITUTE(A45," ","") &amp; "_" &amp; SUBSTITUTE(IF(B45="N/A","",B45&amp; "_")," ","")  &amp; SUBSTITUTE(SUBSTITUTE(C45," ",""),"/","")</f>
        <v>ProposeCompensationHire_Salary</v>
      </c>
      <c r="E45" s="40" t="str">
        <f t="shared" ref="E45:E50" si="10">D45&amp;2</f>
        <v>ProposeCompensationHire_Salary2</v>
      </c>
      <c r="F45" s="143"/>
      <c r="G45" s="155" t="s">
        <v>139</v>
      </c>
      <c r="H45" s="155" t="str">
        <f>VLOOKUP(H2,'[1]Employment Term Data'!$1:$1048576,27)</f>
        <v>Defaulted</v>
      </c>
      <c r="I45" s="155" t="str">
        <f>VLOOKUP(I2,'[1]Employment Term Data'!$1:$1048576,27)</f>
        <v>Defaulted</v>
      </c>
      <c r="J45" s="155" t="str">
        <f>VLOOKUP(J2,'[1]Employment Term Data'!$1:$1048576,27)</f>
        <v>Defaulted</v>
      </c>
      <c r="K45" s="155" t="str">
        <f>VLOOKUP(K2,'[1]Employment Term Data'!$1:$1048576,27)</f>
        <v>Defaulted</v>
      </c>
      <c r="L45" s="155" t="str">
        <f>VLOOKUP(L2,'[1]Employment Term Data'!$1:$1048576,27)</f>
        <v>Defaulted</v>
      </c>
      <c r="M45" s="155" t="s">
        <v>139</v>
      </c>
      <c r="N45" s="155" t="s">
        <v>139</v>
      </c>
      <c r="O45" s="155" t="s">
        <v>139</v>
      </c>
      <c r="P45" s="155" t="str">
        <f>VLOOKUP(P2,'[1]Employment Term Data'!$1:$1048576,27)</f>
        <v>Defaulted</v>
      </c>
      <c r="Q45" s="155" t="s">
        <v>139</v>
      </c>
      <c r="R45" s="155" t="str">
        <f>VLOOKUP(R2,'[1]Employment Term Data'!$1:$1048576,27)</f>
        <v>Defaulted</v>
      </c>
      <c r="S45" s="155" t="s">
        <v>139</v>
      </c>
      <c r="T45" s="155" t="s">
        <v>139</v>
      </c>
    </row>
    <row r="46" spans="1:20" hidden="1" x14ac:dyDescent="0.35">
      <c r="A46" s="166" t="s">
        <v>777</v>
      </c>
      <c r="B46" s="167" t="s">
        <v>8</v>
      </c>
      <c r="C46" s="176" t="s">
        <v>778</v>
      </c>
      <c r="D46" s="129" t="str">
        <f t="shared" si="9"/>
        <v>EditAdditionalData_AddendumNumber</v>
      </c>
      <c r="E46" s="40" t="str">
        <f t="shared" si="10"/>
        <v>EditAdditionalData_AddendumNumber2</v>
      </c>
      <c r="F46" s="143"/>
      <c r="G46" s="155">
        <v>1</v>
      </c>
      <c r="H46" s="155">
        <v>1</v>
      </c>
      <c r="I46" s="155">
        <v>1</v>
      </c>
      <c r="J46" s="155">
        <v>1</v>
      </c>
      <c r="K46" s="155">
        <v>1</v>
      </c>
      <c r="L46" s="155">
        <v>1</v>
      </c>
      <c r="M46" s="155">
        <v>1</v>
      </c>
      <c r="N46" s="155">
        <v>1</v>
      </c>
      <c r="O46" s="155">
        <v>1</v>
      </c>
      <c r="P46" s="155">
        <v>1</v>
      </c>
      <c r="Q46" s="155">
        <v>1</v>
      </c>
      <c r="R46" s="155">
        <v>1</v>
      </c>
      <c r="S46" s="155">
        <v>1</v>
      </c>
      <c r="T46" s="155">
        <v>1</v>
      </c>
    </row>
    <row r="47" spans="1:20" hidden="1" x14ac:dyDescent="0.35">
      <c r="A47" s="166" t="s">
        <v>777</v>
      </c>
      <c r="B47" s="167" t="s">
        <v>8</v>
      </c>
      <c r="C47" s="176" t="s">
        <v>779</v>
      </c>
      <c r="D47" s="129" t="str">
        <f t="shared" si="9"/>
        <v>EditAdditionalData_AddendumEffectiveDate</v>
      </c>
      <c r="E47" s="40" t="str">
        <f t="shared" si="10"/>
        <v>EditAdditionalData_AddendumEffectiveDate2</v>
      </c>
      <c r="F47" s="143"/>
      <c r="G47" s="165"/>
      <c r="H47" s="165"/>
      <c r="I47" s="165"/>
      <c r="J47" s="165"/>
      <c r="K47" s="165"/>
      <c r="L47" s="165"/>
      <c r="M47" s="165"/>
      <c r="N47" s="165"/>
      <c r="O47" s="165"/>
      <c r="P47" s="165"/>
      <c r="Q47" s="165"/>
      <c r="R47" s="165"/>
      <c r="S47" s="165"/>
      <c r="T47" s="165"/>
    </row>
    <row r="48" spans="1:20" hidden="1" x14ac:dyDescent="0.35">
      <c r="A48" s="166" t="s">
        <v>777</v>
      </c>
      <c r="B48" s="167" t="s">
        <v>8</v>
      </c>
      <c r="C48" s="176" t="s">
        <v>782</v>
      </c>
      <c r="D48" s="129" t="str">
        <f t="shared" si="9"/>
        <v>EditAdditionalData_AddendumEndDate</v>
      </c>
      <c r="E48" s="40" t="str">
        <f t="shared" si="10"/>
        <v>EditAdditionalData_AddendumEndDate2</v>
      </c>
      <c r="F48" s="143"/>
      <c r="G48" s="165"/>
      <c r="H48" s="165"/>
      <c r="I48" s="165"/>
      <c r="J48" s="165"/>
      <c r="K48" s="165"/>
      <c r="L48" s="165"/>
      <c r="M48" s="165"/>
      <c r="N48" s="165"/>
      <c r="O48" s="165"/>
      <c r="P48" s="165"/>
      <c r="Q48" s="165"/>
      <c r="R48" s="165"/>
      <c r="S48" s="165"/>
      <c r="T48" s="165"/>
    </row>
    <row r="49" spans="1:35" hidden="1" x14ac:dyDescent="0.35">
      <c r="A49" s="166" t="s">
        <v>777</v>
      </c>
      <c r="B49" s="167" t="s">
        <v>8</v>
      </c>
      <c r="C49" s="176" t="s">
        <v>783</v>
      </c>
      <c r="D49" s="129" t="str">
        <f t="shared" si="9"/>
        <v>EditAdditionalData_AddendumCreationDate</v>
      </c>
      <c r="E49" s="40" t="str">
        <f t="shared" si="10"/>
        <v>EditAdditionalData_AddendumCreationDate2</v>
      </c>
      <c r="F49" s="143"/>
      <c r="G49" s="165"/>
      <c r="H49" s="165"/>
      <c r="I49" s="165"/>
      <c r="J49" s="165"/>
      <c r="K49" s="165"/>
      <c r="L49" s="165"/>
      <c r="M49" s="165"/>
      <c r="N49" s="165"/>
      <c r="O49" s="165"/>
      <c r="P49" s="165"/>
      <c r="Q49" s="165"/>
      <c r="R49" s="165"/>
      <c r="S49" s="165"/>
      <c r="T49" s="165"/>
    </row>
    <row r="50" spans="1:35" ht="15" thickBot="1" x14ac:dyDescent="0.4">
      <c r="A50" s="166" t="s">
        <v>785</v>
      </c>
      <c r="B50" s="167" t="s">
        <v>8</v>
      </c>
      <c r="C50" s="8" t="s">
        <v>785</v>
      </c>
      <c r="D50" s="129" t="str">
        <f>SUBSTITUTE(A50," ","") &amp; "_" &amp; SUBSTITUTE(IF(B50="N/A","",B50&amp; "_")," ","")  &amp; SUBSTITUTE(SUBSTITUTE(C50," ",""),"/","")</f>
        <v>EmployeeNumber_EmployeeNumber</v>
      </c>
      <c r="E50" s="40" t="str">
        <f t="shared" si="10"/>
        <v>EmployeeNumber_EmployeeNumber2</v>
      </c>
      <c r="F50" s="142" t="s">
        <v>761</v>
      </c>
      <c r="G50" s="191">
        <v>10572597</v>
      </c>
      <c r="H50" s="42">
        <v>10572598</v>
      </c>
      <c r="I50" s="210">
        <v>10572623</v>
      </c>
      <c r="J50" s="209">
        <v>10572624</v>
      </c>
      <c r="K50" s="209">
        <v>10572625</v>
      </c>
      <c r="L50" s="209">
        <v>10572626</v>
      </c>
      <c r="M50" s="42">
        <v>10596003</v>
      </c>
      <c r="N50" s="42">
        <v>10596004</v>
      </c>
      <c r="O50" s="42">
        <v>10596032</v>
      </c>
      <c r="P50" s="42">
        <v>10596034</v>
      </c>
      <c r="Q50" s="42">
        <v>10596035</v>
      </c>
      <c r="R50" s="42">
        <v>10596036</v>
      </c>
      <c r="S50" s="42">
        <v>10596040</v>
      </c>
      <c r="T50" s="42">
        <v>10596038</v>
      </c>
    </row>
    <row r="51" spans="1:35" ht="15" thickBot="1" x14ac:dyDescent="0.4">
      <c r="A51" s="194" t="s">
        <v>840</v>
      </c>
      <c r="B51" s="194" t="s">
        <v>8</v>
      </c>
      <c r="C51" s="194" t="s">
        <v>841</v>
      </c>
      <c r="D51" s="195" t="s">
        <v>842</v>
      </c>
      <c r="E51" s="196" t="s">
        <v>843</v>
      </c>
      <c r="F51" s="197"/>
      <c r="G51" s="198" t="s">
        <v>844</v>
      </c>
      <c r="H51" s="198" t="s">
        <v>844</v>
      </c>
      <c r="I51" s="198" t="s">
        <v>844</v>
      </c>
      <c r="J51" s="198" t="s">
        <v>844</v>
      </c>
      <c r="K51" s="198" t="s">
        <v>844</v>
      </c>
      <c r="L51" s="198" t="s">
        <v>844</v>
      </c>
      <c r="M51" s="198" t="s">
        <v>844</v>
      </c>
      <c r="N51" s="198" t="s">
        <v>844</v>
      </c>
      <c r="O51" s="198" t="s">
        <v>844</v>
      </c>
      <c r="P51" s="198" t="s">
        <v>844</v>
      </c>
      <c r="Q51" s="198" t="s">
        <v>844</v>
      </c>
      <c r="R51" s="198" t="s">
        <v>844</v>
      </c>
      <c r="S51" s="198" t="s">
        <v>844</v>
      </c>
      <c r="T51" s="198" t="s">
        <v>844</v>
      </c>
      <c r="U51" s="198" t="s">
        <v>844</v>
      </c>
      <c r="V51" s="198" t="s">
        <v>844</v>
      </c>
      <c r="W51" s="198" t="s">
        <v>844</v>
      </c>
      <c r="X51" s="198" t="s">
        <v>844</v>
      </c>
      <c r="Y51" s="198" t="s">
        <v>844</v>
      </c>
      <c r="Z51" s="198" t="s">
        <v>844</v>
      </c>
      <c r="AA51" s="198"/>
      <c r="AB51" s="193"/>
      <c r="AC51" s="193"/>
      <c r="AD51" s="193"/>
      <c r="AE51" s="193"/>
      <c r="AF51" s="193"/>
      <c r="AG51" s="193"/>
      <c r="AH51" s="193"/>
      <c r="AI51" s="193"/>
    </row>
    <row r="52" spans="1:35" ht="15" thickBot="1" x14ac:dyDescent="0.4">
      <c r="A52" s="194" t="s">
        <v>840</v>
      </c>
      <c r="B52" s="194" t="s">
        <v>8</v>
      </c>
      <c r="C52" s="194" t="s">
        <v>845</v>
      </c>
      <c r="D52" s="195" t="s">
        <v>846</v>
      </c>
      <c r="E52" s="196" t="s">
        <v>847</v>
      </c>
      <c r="F52" s="197"/>
      <c r="G52" s="198" t="s">
        <v>848</v>
      </c>
      <c r="H52" s="198" t="s">
        <v>848</v>
      </c>
      <c r="I52" s="198" t="s">
        <v>848</v>
      </c>
      <c r="J52" s="198" t="s">
        <v>848</v>
      </c>
      <c r="K52" s="198" t="s">
        <v>848</v>
      </c>
      <c r="L52" s="198" t="s">
        <v>848</v>
      </c>
      <c r="M52" s="198" t="s">
        <v>848</v>
      </c>
      <c r="N52" s="198" t="s">
        <v>848</v>
      </c>
      <c r="O52" s="198" t="s">
        <v>848</v>
      </c>
      <c r="P52" s="198" t="s">
        <v>848</v>
      </c>
      <c r="Q52" s="198" t="s">
        <v>848</v>
      </c>
      <c r="R52" s="198" t="s">
        <v>848</v>
      </c>
      <c r="S52" s="198" t="s">
        <v>848</v>
      </c>
      <c r="T52" s="198" t="s">
        <v>848</v>
      </c>
      <c r="U52" s="198" t="s">
        <v>848</v>
      </c>
      <c r="V52" s="198" t="s">
        <v>848</v>
      </c>
      <c r="W52" s="198" t="s">
        <v>848</v>
      </c>
      <c r="X52" s="198" t="s">
        <v>848</v>
      </c>
      <c r="Y52" s="198" t="s">
        <v>848</v>
      </c>
      <c r="Z52" s="198" t="s">
        <v>848</v>
      </c>
      <c r="AA52" s="198"/>
      <c r="AB52" s="193"/>
      <c r="AC52" s="193"/>
      <c r="AD52" s="193"/>
      <c r="AE52" s="193"/>
      <c r="AF52" s="193"/>
      <c r="AG52" s="193"/>
      <c r="AH52" s="193"/>
      <c r="AI52" s="193"/>
    </row>
    <row r="53" spans="1:35" x14ac:dyDescent="0.35">
      <c r="A53" s="194" t="s">
        <v>840</v>
      </c>
      <c r="B53" s="194" t="s">
        <v>8</v>
      </c>
      <c r="C53" s="194" t="s">
        <v>849</v>
      </c>
      <c r="D53" s="195" t="s">
        <v>850</v>
      </c>
      <c r="E53" s="196" t="s">
        <v>851</v>
      </c>
      <c r="F53" s="197"/>
      <c r="G53" s="198" t="s">
        <v>852</v>
      </c>
      <c r="H53" s="198" t="s">
        <v>852</v>
      </c>
      <c r="I53" s="198" t="s">
        <v>852</v>
      </c>
      <c r="J53" s="198" t="s">
        <v>852</v>
      </c>
      <c r="K53" s="198" t="s">
        <v>852</v>
      </c>
      <c r="L53" s="198" t="s">
        <v>852</v>
      </c>
      <c r="M53" s="198" t="s">
        <v>852</v>
      </c>
      <c r="N53" s="198" t="s">
        <v>852</v>
      </c>
      <c r="O53" s="198" t="s">
        <v>852</v>
      </c>
      <c r="P53" s="198" t="s">
        <v>852</v>
      </c>
      <c r="Q53" s="198" t="s">
        <v>852</v>
      </c>
      <c r="R53" s="198" t="s">
        <v>852</v>
      </c>
      <c r="S53" s="198" t="s">
        <v>852</v>
      </c>
      <c r="T53" s="198" t="s">
        <v>852</v>
      </c>
      <c r="U53" s="198" t="s">
        <v>852</v>
      </c>
      <c r="V53" s="198" t="s">
        <v>852</v>
      </c>
      <c r="W53" s="198" t="s">
        <v>852</v>
      </c>
      <c r="X53" s="198" t="s">
        <v>852</v>
      </c>
      <c r="Y53" s="198" t="s">
        <v>852</v>
      </c>
      <c r="Z53" s="198" t="s">
        <v>852</v>
      </c>
      <c r="AA53" s="198"/>
      <c r="AB53" s="193"/>
      <c r="AC53" s="193"/>
      <c r="AD53" s="193"/>
      <c r="AE53" s="193"/>
      <c r="AF53" s="193"/>
      <c r="AG53" s="193"/>
      <c r="AH53" s="193"/>
      <c r="AI53" s="193"/>
    </row>
  </sheetData>
  <phoneticPr fontId="13" type="noConversion"/>
  <conditionalFormatting sqref="G6:T6">
    <cfRule type="containsText" dxfId="1" priority="1" operator="containsText" text="Pass">
      <formula>NOT(ISERROR(SEARCH("Pass",G6)))</formula>
    </cfRule>
    <cfRule type="containsText" dxfId="0" priority="2" operator="containsText" text="Fail">
      <formula>NOT(ISERROR(SEARCH("Fail",G6)))</formula>
    </cfRule>
  </conditionalFormatting>
  <dataValidations count="1">
    <dataValidation type="list" allowBlank="1" showInputMessage="1" showErrorMessage="1" sqref="O32 S32 Q32 G4:T4 M32 O28:T28 M28 G42:T42 G23:T23" xr:uid="{DE5775B2-0084-47FA-8D2B-B7F2A0F12770}">
      <formula1>INDIRECT($E4)</formula1>
    </dataValidation>
  </dataValidations>
  <hyperlinks>
    <hyperlink ref="G30" r:id="rId1" xr:uid="{B9C3E22F-0A1F-4A83-A9E3-8DCD40450796}"/>
    <hyperlink ref="H30" r:id="rId2" xr:uid="{44A03AFB-3333-418C-8584-82A85539318B}"/>
    <hyperlink ref="I30" r:id="rId3" xr:uid="{CC1F00F5-3431-4542-9E7E-E5D0B9639269}"/>
    <hyperlink ref="J30" r:id="rId4" xr:uid="{FBB79E60-64FD-498F-B15E-5FCD94FEBC34}"/>
    <hyperlink ref="K30" r:id="rId5" xr:uid="{2A3D015D-3E3D-4D1C-A416-62DA2D411E26}"/>
    <hyperlink ref="N30" r:id="rId6" xr:uid="{5DAEC588-C838-4D5E-853B-BA5B9B45E218}"/>
    <hyperlink ref="L30" r:id="rId7" xr:uid="{CBBB8B79-CEB6-4E2A-9CE8-59001EE55C8F}"/>
  </hyperlinks>
  <pageMargins left="0.7" right="0.7" top="0.75" bottom="0.75" header="0.3" footer="0.3"/>
  <pageSetup paperSize="9" orientation="portrait" r:id="rId8"/>
  <extLst>
    <ext xmlns:x14="http://schemas.microsoft.com/office/spreadsheetml/2009/9/main" uri="{CCE6A557-97BC-4b89-ADB6-D9C93CAAB3DF}">
      <x14:dataValidations xmlns:xm="http://schemas.microsoft.com/office/excel/2006/main" count="1">
        <x14:dataValidation type="list" allowBlank="1" showInputMessage="1" showErrorMessage="1" xr:uid="{9E3F5B68-FF92-4F9D-AD1E-868EFC2FF61D}">
          <x14:formula1>
            <xm:f>Automation_Lookups!$B$14:$B$15</xm:f>
          </x14:formula1>
          <xm:sqref>G3:L3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17"/>
  <sheetViews>
    <sheetView zoomScale="90" zoomScaleNormal="90" workbookViewId="0">
      <selection activeCell="B20" sqref="B20"/>
    </sheetView>
  </sheetViews>
  <sheetFormatPr defaultRowHeight="14.5" x14ac:dyDescent="0.35"/>
  <cols>
    <col min="2" max="2" width="41.81640625" customWidth="1"/>
    <col min="3" max="3" width="9.1796875" style="71"/>
    <col min="5" max="5" width="28.453125" customWidth="1"/>
    <col min="6" max="7" width="9.1796875" style="71"/>
    <col min="8" max="8" width="28.453125" style="71" customWidth="1"/>
    <col min="9" max="9" width="9.1796875" style="71"/>
    <col min="11" max="11" width="43.1796875" customWidth="1"/>
    <col min="12" max="12" width="13" style="71" customWidth="1"/>
    <col min="13" max="13" width="9.1796875" style="71"/>
  </cols>
  <sheetData>
    <row r="2" spans="2:13" ht="21.5" thickBot="1" x14ac:dyDescent="0.55000000000000004">
      <c r="B2" s="76" t="s">
        <v>667</v>
      </c>
      <c r="C2" s="77"/>
      <c r="D2" s="78"/>
      <c r="E2" s="76" t="s">
        <v>670</v>
      </c>
      <c r="F2" s="77"/>
      <c r="G2" s="77"/>
      <c r="H2" s="76" t="s">
        <v>676</v>
      </c>
      <c r="I2" s="77"/>
      <c r="K2" s="72" t="s">
        <v>671</v>
      </c>
      <c r="L2" s="73"/>
      <c r="M2" s="73"/>
    </row>
    <row r="3" spans="2:13" ht="15" thickBot="1" x14ac:dyDescent="0.4">
      <c r="B3" s="79" t="s">
        <v>661</v>
      </c>
      <c r="C3" s="80" t="s">
        <v>660</v>
      </c>
      <c r="D3" s="81"/>
      <c r="E3" s="82" t="s">
        <v>661</v>
      </c>
      <c r="F3" s="83" t="s">
        <v>660</v>
      </c>
      <c r="G3" s="109"/>
      <c r="H3" s="82" t="s">
        <v>661</v>
      </c>
      <c r="I3" s="83" t="s">
        <v>660</v>
      </c>
      <c r="K3" s="94" t="s">
        <v>661</v>
      </c>
      <c r="L3" s="95" t="s">
        <v>674</v>
      </c>
      <c r="M3" s="75" t="s">
        <v>673</v>
      </c>
    </row>
    <row r="4" spans="2:13" x14ac:dyDescent="0.35">
      <c r="B4" s="84" t="s">
        <v>659</v>
      </c>
      <c r="C4" s="85">
        <v>35</v>
      </c>
      <c r="D4" s="78"/>
      <c r="E4" s="84" t="s">
        <v>659</v>
      </c>
      <c r="F4" s="85">
        <v>141</v>
      </c>
      <c r="G4" s="77"/>
      <c r="H4" s="84" t="s">
        <v>659</v>
      </c>
      <c r="I4" s="85">
        <v>0</v>
      </c>
      <c r="K4" s="103" t="s">
        <v>659</v>
      </c>
      <c r="L4" s="100">
        <f>C4+F4+I4</f>
        <v>176</v>
      </c>
      <c r="M4" s="99">
        <f>L4/L8*100</f>
        <v>72.131147540983605</v>
      </c>
    </row>
    <row r="5" spans="2:13" x14ac:dyDescent="0.35">
      <c r="B5" s="86" t="s">
        <v>662</v>
      </c>
      <c r="C5" s="87">
        <v>17</v>
      </c>
      <c r="D5" s="78"/>
      <c r="E5" s="86" t="s">
        <v>662</v>
      </c>
      <c r="F5" s="87">
        <v>27</v>
      </c>
      <c r="G5" s="77"/>
      <c r="H5" s="86" t="s">
        <v>662</v>
      </c>
      <c r="I5" s="87">
        <v>24</v>
      </c>
      <c r="K5" s="104" t="s">
        <v>662</v>
      </c>
      <c r="L5" s="101">
        <f>C5+F5+I5</f>
        <v>68</v>
      </c>
      <c r="M5" s="93">
        <f>L5/L8*100</f>
        <v>27.868852459016392</v>
      </c>
    </row>
    <row r="6" spans="2:13" x14ac:dyDescent="0.35">
      <c r="B6" s="86" t="s">
        <v>665</v>
      </c>
      <c r="C6" s="87">
        <v>0</v>
      </c>
      <c r="D6" s="78"/>
      <c r="E6" s="86" t="s">
        <v>665</v>
      </c>
      <c r="F6" s="87">
        <v>0</v>
      </c>
      <c r="G6" s="77"/>
      <c r="H6" s="86" t="s">
        <v>665</v>
      </c>
      <c r="I6" s="87">
        <v>0</v>
      </c>
      <c r="K6" s="104" t="s">
        <v>665</v>
      </c>
      <c r="L6" s="102">
        <f>C6+F6+I6</f>
        <v>0</v>
      </c>
      <c r="M6" s="96">
        <f>L6/L8*100</f>
        <v>0</v>
      </c>
    </row>
    <row r="7" spans="2:13" ht="15" thickBot="1" x14ac:dyDescent="0.4">
      <c r="B7" s="88" t="s">
        <v>675</v>
      </c>
      <c r="C7" s="89">
        <v>52</v>
      </c>
      <c r="D7" s="78"/>
      <c r="E7" s="88" t="s">
        <v>675</v>
      </c>
      <c r="F7" s="89">
        <v>168</v>
      </c>
      <c r="G7" s="77"/>
      <c r="H7" s="88" t="s">
        <v>675</v>
      </c>
      <c r="I7" s="89">
        <v>24</v>
      </c>
      <c r="K7" s="105" t="s">
        <v>675</v>
      </c>
      <c r="L7" s="106">
        <f>C7+F7+I7</f>
        <v>244</v>
      </c>
      <c r="M7" s="97">
        <f>L7/L8*100</f>
        <v>100</v>
      </c>
    </row>
    <row r="8" spans="2:13" ht="15" thickBot="1" x14ac:dyDescent="0.4">
      <c r="B8" s="82" t="s">
        <v>660</v>
      </c>
      <c r="C8" s="83">
        <v>52</v>
      </c>
      <c r="D8" s="81"/>
      <c r="E8" s="82" t="s">
        <v>660</v>
      </c>
      <c r="F8" s="83">
        <v>168</v>
      </c>
      <c r="G8" s="109"/>
      <c r="H8" s="82" t="s">
        <v>660</v>
      </c>
      <c r="I8" s="83">
        <v>24</v>
      </c>
      <c r="K8" s="107" t="s">
        <v>660</v>
      </c>
      <c r="L8" s="108">
        <f>C8+F8+I8</f>
        <v>244</v>
      </c>
      <c r="M8" s="98">
        <f>M4+M5+M6</f>
        <v>100</v>
      </c>
    </row>
    <row r="9" spans="2:13" x14ac:dyDescent="0.35">
      <c r="B9" s="78"/>
      <c r="C9" s="77"/>
      <c r="D9" s="78"/>
      <c r="E9" s="78"/>
      <c r="F9" s="77"/>
      <c r="G9" s="77"/>
      <c r="H9" s="78"/>
      <c r="I9" s="77"/>
      <c r="K9" s="74"/>
      <c r="L9" s="73"/>
      <c r="M9" s="73"/>
    </row>
    <row r="10" spans="2:13" ht="21.5" thickBot="1" x14ac:dyDescent="0.55000000000000004">
      <c r="B10" s="76" t="s">
        <v>668</v>
      </c>
      <c r="C10" s="77"/>
      <c r="D10" s="78"/>
      <c r="E10" s="76" t="s">
        <v>669</v>
      </c>
      <c r="F10" s="77"/>
      <c r="G10" s="77"/>
      <c r="H10" s="76" t="s">
        <v>677</v>
      </c>
      <c r="I10" s="77"/>
      <c r="K10" s="72" t="s">
        <v>672</v>
      </c>
      <c r="L10" s="73"/>
      <c r="M10" s="73"/>
    </row>
    <row r="11" spans="2:13" ht="15" thickBot="1" x14ac:dyDescent="0.4">
      <c r="B11" s="82" t="s">
        <v>666</v>
      </c>
      <c r="C11" s="83" t="s">
        <v>660</v>
      </c>
      <c r="D11" s="78"/>
      <c r="E11" s="79" t="s">
        <v>666</v>
      </c>
      <c r="F11" s="80" t="s">
        <v>660</v>
      </c>
      <c r="G11" s="109"/>
      <c r="H11" s="82" t="s">
        <v>666</v>
      </c>
      <c r="I11" s="83" t="s">
        <v>660</v>
      </c>
      <c r="K11" s="94" t="s">
        <v>666</v>
      </c>
      <c r="L11" s="95" t="s">
        <v>674</v>
      </c>
      <c r="M11" s="75" t="s">
        <v>673</v>
      </c>
    </row>
    <row r="12" spans="2:13" ht="44" thickBot="1" x14ac:dyDescent="0.4">
      <c r="B12" s="90" t="s">
        <v>720</v>
      </c>
      <c r="C12" s="91">
        <v>12</v>
      </c>
      <c r="D12" s="78"/>
      <c r="E12" s="112" t="s">
        <v>658</v>
      </c>
      <c r="F12" s="85">
        <v>24</v>
      </c>
      <c r="G12" s="77"/>
      <c r="H12" s="90" t="s">
        <v>679</v>
      </c>
      <c r="I12" s="91">
        <v>24</v>
      </c>
      <c r="K12" s="117" t="s">
        <v>663</v>
      </c>
      <c r="L12" s="100">
        <v>44</v>
      </c>
      <c r="M12" s="99">
        <f>L12/L17*100</f>
        <v>35.199999999999996</v>
      </c>
    </row>
    <row r="13" spans="2:13" ht="29.5" thickBot="1" x14ac:dyDescent="0.4">
      <c r="B13" s="92" t="s">
        <v>719</v>
      </c>
      <c r="C13" s="87">
        <v>5</v>
      </c>
      <c r="D13" s="78"/>
      <c r="E13" s="114" t="s">
        <v>678</v>
      </c>
      <c r="F13" s="113">
        <v>3</v>
      </c>
      <c r="G13" s="109"/>
      <c r="H13" s="82" t="s">
        <v>660</v>
      </c>
      <c r="I13" s="83">
        <v>24</v>
      </c>
      <c r="K13" s="118" t="s">
        <v>664</v>
      </c>
      <c r="L13" s="101">
        <v>20</v>
      </c>
      <c r="M13" s="96">
        <f>L13/L17*100</f>
        <v>16</v>
      </c>
    </row>
    <row r="14" spans="2:13" ht="29.5" thickBot="1" x14ac:dyDescent="0.4">
      <c r="B14" s="82" t="s">
        <v>660</v>
      </c>
      <c r="C14" s="83">
        <f>C12+C13</f>
        <v>17</v>
      </c>
      <c r="D14" s="78"/>
      <c r="E14" s="110" t="s">
        <v>660</v>
      </c>
      <c r="F14" s="111">
        <v>27</v>
      </c>
      <c r="G14" s="77"/>
      <c r="H14" s="77"/>
      <c r="I14" s="77"/>
      <c r="K14" s="119" t="s">
        <v>658</v>
      </c>
      <c r="L14" s="115">
        <v>34</v>
      </c>
      <c r="M14" s="97">
        <f>L14/L17*100</f>
        <v>27.200000000000003</v>
      </c>
    </row>
    <row r="15" spans="2:13" x14ac:dyDescent="0.35">
      <c r="D15" s="78"/>
      <c r="E15" s="78"/>
      <c r="F15" s="77"/>
      <c r="G15" s="77"/>
      <c r="H15" s="77"/>
      <c r="I15" s="77"/>
      <c r="K15" s="118" t="s">
        <v>679</v>
      </c>
      <c r="L15" s="102">
        <v>24</v>
      </c>
      <c r="M15" s="97">
        <f>L15/L17*100</f>
        <v>19.2</v>
      </c>
    </row>
    <row r="16" spans="2:13" ht="15" thickBot="1" x14ac:dyDescent="0.4">
      <c r="K16" s="105" t="s">
        <v>678</v>
      </c>
      <c r="L16" s="116">
        <v>3</v>
      </c>
      <c r="M16" s="97">
        <f>L16/L17*100</f>
        <v>2.4</v>
      </c>
    </row>
    <row r="17" spans="11:13" ht="15" thickBot="1" x14ac:dyDescent="0.4">
      <c r="K17" s="107" t="s">
        <v>660</v>
      </c>
      <c r="L17" s="108">
        <f>SUM(L12:L16)</f>
        <v>125</v>
      </c>
      <c r="M17" s="98">
        <f>SUM(M12:M16)</f>
        <v>100.00000000000001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28"/>
  <sheetViews>
    <sheetView topLeftCell="A4" zoomScale="110" zoomScaleNormal="110" workbookViewId="0">
      <selection activeCell="C19" sqref="C19"/>
    </sheetView>
  </sheetViews>
  <sheetFormatPr defaultRowHeight="14.5" x14ac:dyDescent="0.35"/>
  <cols>
    <col min="1" max="1" width="18.26953125" bestFit="1" customWidth="1"/>
    <col min="2" max="2" width="14.453125" bestFit="1" customWidth="1"/>
    <col min="3" max="3" width="84.26953125" bestFit="1" customWidth="1"/>
    <col min="4" max="4" width="30.1796875" bestFit="1" customWidth="1"/>
    <col min="5" max="5" width="44.453125" bestFit="1" customWidth="1"/>
    <col min="6" max="6" width="38.726562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7265625" bestFit="1" customWidth="1"/>
    <col min="14" max="14" width="30.453125" bestFit="1" customWidth="1"/>
    <col min="15" max="15" width="20.1796875" bestFit="1" customWidth="1"/>
    <col min="16" max="16" width="27.269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26953125" bestFit="1" customWidth="1"/>
    <col min="24" max="24" width="32.26953125" bestFit="1" customWidth="1"/>
    <col min="25" max="25" width="38.81640625" bestFit="1" customWidth="1"/>
    <col min="26" max="36" width="42.26953125" customWidth="1"/>
    <col min="37" max="37" width="52.54296875" bestFit="1" customWidth="1"/>
    <col min="38" max="40" width="42.26953125" customWidth="1"/>
    <col min="41" max="41" width="38" bestFit="1" customWidth="1"/>
    <col min="42" max="42" width="38.1796875" bestFit="1" customWidth="1"/>
    <col min="43" max="43" width="41.453125" style="159" bestFit="1" customWidth="1"/>
    <col min="44" max="44" width="41.54296875" style="159" bestFit="1" customWidth="1"/>
    <col min="45" max="46" width="8.7265625" style="159"/>
    <col min="47" max="47" width="18.54296875" style="159" customWidth="1"/>
    <col min="48" max="48" width="34.54296875" customWidth="1"/>
  </cols>
  <sheetData>
    <row r="1" spans="1:48" ht="15" thickBot="1" x14ac:dyDescent="0.4">
      <c r="A1" s="4" t="s">
        <v>98</v>
      </c>
      <c r="B1" s="7" t="s">
        <v>97</v>
      </c>
      <c r="C1" s="4" t="s">
        <v>96</v>
      </c>
      <c r="D1" s="20" t="s">
        <v>99</v>
      </c>
      <c r="E1" s="21" t="s">
        <v>100</v>
      </c>
      <c r="F1" s="1" t="s">
        <v>101</v>
      </c>
      <c r="G1" s="1" t="s">
        <v>102</v>
      </c>
      <c r="H1" s="1" t="s">
        <v>103</v>
      </c>
      <c r="I1" s="1" t="s">
        <v>104</v>
      </c>
      <c r="J1" s="1" t="s">
        <v>118</v>
      </c>
      <c r="K1" s="1" t="s">
        <v>105</v>
      </c>
      <c r="L1" s="1" t="s">
        <v>114</v>
      </c>
      <c r="M1" s="1" t="s">
        <v>106</v>
      </c>
      <c r="N1" s="1" t="s">
        <v>107</v>
      </c>
      <c r="O1" s="1" t="s">
        <v>108</v>
      </c>
      <c r="P1" s="1" t="s">
        <v>129</v>
      </c>
      <c r="Q1" s="1" t="s">
        <v>109</v>
      </c>
      <c r="R1" s="25" t="s">
        <v>120</v>
      </c>
      <c r="S1" s="40" t="s">
        <v>652</v>
      </c>
      <c r="T1" s="1" t="s">
        <v>110</v>
      </c>
      <c r="U1" s="1" t="s">
        <v>111</v>
      </c>
      <c r="V1" s="1" t="s">
        <v>112</v>
      </c>
      <c r="W1" s="1" t="s">
        <v>121</v>
      </c>
      <c r="X1" s="1" t="s">
        <v>122</v>
      </c>
      <c r="Y1" s="1" t="s">
        <v>123</v>
      </c>
      <c r="Z1" s="1" t="s">
        <v>128</v>
      </c>
      <c r="AA1" s="1" t="s">
        <v>137</v>
      </c>
      <c r="AB1" s="1" t="s">
        <v>138</v>
      </c>
      <c r="AC1" s="1" t="s">
        <v>140</v>
      </c>
      <c r="AD1" t="s">
        <v>141</v>
      </c>
      <c r="AE1" s="34" t="s">
        <v>142</v>
      </c>
      <c r="AF1" s="34" t="s">
        <v>143</v>
      </c>
      <c r="AG1" s="26" t="s">
        <v>144</v>
      </c>
      <c r="AH1" s="26" t="s">
        <v>146</v>
      </c>
      <c r="AI1" s="26" t="s">
        <v>149</v>
      </c>
      <c r="AJ1" s="26" t="s">
        <v>154</v>
      </c>
      <c r="AK1" s="26" t="s">
        <v>155</v>
      </c>
      <c r="AL1" s="26" t="s">
        <v>156</v>
      </c>
      <c r="AM1" s="40" t="s">
        <v>702</v>
      </c>
      <c r="AN1" s="1" t="s">
        <v>136</v>
      </c>
      <c r="AO1" s="1" t="s">
        <v>46</v>
      </c>
      <c r="AP1" t="s">
        <v>704</v>
      </c>
      <c r="AQ1" s="159" t="s">
        <v>721</v>
      </c>
      <c r="AR1" s="159" t="s">
        <v>722</v>
      </c>
      <c r="AS1" s="159" t="s">
        <v>741</v>
      </c>
      <c r="AT1" s="160" t="s">
        <v>744</v>
      </c>
      <c r="AU1" s="160" t="s">
        <v>745</v>
      </c>
      <c r="AV1" t="s">
        <v>749</v>
      </c>
    </row>
    <row r="2" spans="1:48" ht="189" thickBot="1" x14ac:dyDescent="0.4">
      <c r="A2" s="30" t="s">
        <v>19</v>
      </c>
      <c r="B2" s="31" t="s">
        <v>22</v>
      </c>
      <c r="C2" s="29" t="s">
        <v>739</v>
      </c>
      <c r="D2" s="27" t="s">
        <v>693</v>
      </c>
      <c r="E2" s="28" t="s">
        <v>694</v>
      </c>
      <c r="F2" s="8" t="s">
        <v>698</v>
      </c>
      <c r="G2" s="26" t="s">
        <v>1</v>
      </c>
      <c r="H2" s="26" t="s">
        <v>1</v>
      </c>
      <c r="I2" s="26" t="s">
        <v>1</v>
      </c>
      <c r="J2" s="34" t="str">
        <f ca="1">IF(MONTH(TODAY())&lt;10,"0"&amp;MONTH(TODAY())&amp;"/",MONTH(TODAY())&amp;"/") &amp; IF(DAY(TODAY())&lt;10,"0"&amp;DAY(TODAY())&amp;"/",DAY(TODAY())&amp;"/") &amp; YEAR(TODAY())</f>
        <v>09/13/2023</v>
      </c>
      <c r="K2" s="26" t="s">
        <v>762</v>
      </c>
      <c r="L2" s="26" t="s">
        <v>115</v>
      </c>
      <c r="M2" s="26" t="s">
        <v>52</v>
      </c>
      <c r="N2" s="26" t="s">
        <v>705</v>
      </c>
      <c r="O2" s="26" t="s">
        <v>55</v>
      </c>
      <c r="P2" t="s">
        <v>747</v>
      </c>
      <c r="Q2" s="26" t="s">
        <v>131</v>
      </c>
      <c r="R2" s="34" t="str">
        <f ca="1">IF(MONTH(TODAY())&lt;10,"0"&amp;MONTH(TODAY())&amp;"/",MONTH(TODAY())&amp;"/") &amp; IF(DAY(TODAY())&lt;10,"0"&amp;DAY(TODAY())&amp;"/",DAY(TODAY())&amp;"/") &amp; YEAR(TODAY())</f>
        <v>09/13/2023</v>
      </c>
      <c r="S2" s="26" t="s">
        <v>26</v>
      </c>
      <c r="T2" s="26" t="s">
        <v>775</v>
      </c>
      <c r="U2" s="26">
        <v>10223439</v>
      </c>
      <c r="V2" s="26" t="s">
        <v>701</v>
      </c>
      <c r="W2" s="26" t="s">
        <v>124</v>
      </c>
      <c r="X2" s="26" t="s">
        <v>30</v>
      </c>
      <c r="Y2" s="26" t="s">
        <v>695</v>
      </c>
      <c r="Z2" s="34" t="str">
        <f ca="1">IF(MONTH(TODAY())&lt;10,"0"&amp;MONTH(TODAY())&amp;"/",MONTH(TODAY())&amp;"/") &amp; IF(DAY(TODAY())&lt;10,"0"&amp;DAY(TODAY())&amp;"/",DAY(TODAY())&amp;"/") &amp; YEAR(TODAY())</f>
        <v>09/13/2023</v>
      </c>
      <c r="AA2" t="s">
        <v>139</v>
      </c>
      <c r="AB2" t="s">
        <v>139</v>
      </c>
      <c r="AH2" t="s">
        <v>147</v>
      </c>
      <c r="AI2" t="s">
        <v>150</v>
      </c>
      <c r="AJ2" s="8" t="s">
        <v>16</v>
      </c>
      <c r="AK2" s="26" t="s">
        <v>755</v>
      </c>
      <c r="AL2" s="35" t="s">
        <v>157</v>
      </c>
      <c r="AM2" t="s">
        <v>8</v>
      </c>
      <c r="AN2" s="34" t="str">
        <f ca="1">IF(MONTH(TODAY()+100)&lt;10,"0"&amp;MONTH(TODAY()+100)&amp;"/",MONTH(TODAY()+100)&amp;"/") &amp; IF(DAY(TODAY()+100)&lt;10,"0"&amp;DAY(TODAY()+100)&amp;"/",DAY(TODAY()+100)&amp;"/") &amp; YEAR(TODAY()+100)</f>
        <v>12/22/2023</v>
      </c>
      <c r="AO2" t="s">
        <v>22</v>
      </c>
      <c r="AP2" t="s">
        <v>22</v>
      </c>
      <c r="AQ2" s="161" t="s">
        <v>714</v>
      </c>
      <c r="AR2" s="162" t="s">
        <v>711</v>
      </c>
      <c r="AS2" s="159" t="s">
        <v>740</v>
      </c>
      <c r="AT2" s="160" t="s">
        <v>743</v>
      </c>
      <c r="AU2" s="160" t="s">
        <v>748</v>
      </c>
      <c r="AV2" s="158" t="s">
        <v>750</v>
      </c>
    </row>
    <row r="3" spans="1:48" ht="15" thickBot="1" x14ac:dyDescent="0.4">
      <c r="A3" s="5" t="s">
        <v>657</v>
      </c>
      <c r="B3" s="32" t="s">
        <v>23</v>
      </c>
      <c r="C3" s="14" t="s">
        <v>706</v>
      </c>
      <c r="D3" s="27" t="s">
        <v>693</v>
      </c>
      <c r="E3" s="28" t="s">
        <v>694</v>
      </c>
      <c r="F3" s="26" t="s">
        <v>699</v>
      </c>
      <c r="G3" s="26" t="s">
        <v>17</v>
      </c>
      <c r="H3" s="26" t="s">
        <v>17</v>
      </c>
      <c r="I3" s="26" t="s">
        <v>17</v>
      </c>
      <c r="J3" s="34" t="str">
        <f ca="1">IF(MONTH(TODAY()-10)&lt;10,"0"&amp;MONTH(TODAY()-10)&amp;"/",MONTH(TODAY()-10))&amp;"/" &amp; IF(DAY(TODAY()-10)&lt;10,"0"&amp;DAY(TODAY()-10)&amp;"/",DAY(TODAY()-10)&amp;"/") &amp; YEAR(TODAY()-10)</f>
        <v>09//03/2023</v>
      </c>
      <c r="L3" s="26" t="s">
        <v>116</v>
      </c>
      <c r="M3" s="26" t="s">
        <v>53</v>
      </c>
      <c r="N3" s="33" t="s">
        <v>21</v>
      </c>
      <c r="O3" s="26" t="s">
        <v>56</v>
      </c>
      <c r="P3" s="26" t="s">
        <v>751</v>
      </c>
      <c r="Q3" s="26" t="s">
        <v>132</v>
      </c>
      <c r="R3" s="34" t="str">
        <f ca="1">IF(MONTH(TODAY()+100)&lt;10,"0"&amp;MONTH(TODAY()+100)&amp;"/",MONTH(TODAY()+100)&amp;"/") &amp; IF(DAY(TODAY()+100)&lt;10,"0"&amp;DAY(TODAY()+100)&amp;"/",DAY(TODAY()+100)&amp;"/") &amp; YEAR(TODAY()+100)</f>
        <v>12/22/2023</v>
      </c>
      <c r="T3" s="26" t="s">
        <v>757</v>
      </c>
      <c r="U3">
        <v>10225553</v>
      </c>
      <c r="V3" s="26" t="s">
        <v>734</v>
      </c>
      <c r="W3" s="26" t="s">
        <v>125</v>
      </c>
      <c r="X3" s="26" t="s">
        <v>58</v>
      </c>
      <c r="Y3" s="26" t="s">
        <v>697</v>
      </c>
      <c r="Z3" s="34" t="str">
        <f ca="1">IF(MONTH(TODAY()+100)&lt;10,"0"&amp;MONTH(TODAY()+100)&amp;"/",MONTH(TODAY()+100)&amp;"/") &amp; IF(DAY(TODAY()+100)&lt;10,"0"&amp;DAY(TODAY()+100)&amp;"/",DAY(TODAY()+100)&amp;"/") &amp; YEAR(TODAY()+100)</f>
        <v>12/22/2023</v>
      </c>
      <c r="AA3" s="34"/>
      <c r="AB3" s="34"/>
      <c r="AC3" s="34"/>
      <c r="AD3" s="34"/>
      <c r="AE3" s="34"/>
      <c r="AF3" s="34"/>
      <c r="AG3" s="34"/>
      <c r="AH3" s="34" t="s">
        <v>145</v>
      </c>
      <c r="AI3" s="34" t="s">
        <v>151</v>
      </c>
      <c r="AJ3" s="26" t="s">
        <v>49</v>
      </c>
      <c r="AK3" s="26" t="s">
        <v>756</v>
      </c>
      <c r="AL3" s="26" t="s">
        <v>653</v>
      </c>
      <c r="AM3" s="43" t="s">
        <v>700</v>
      </c>
      <c r="AN3" s="34" t="str">
        <f ca="1">IF(MONTH(TODAY()+1000)&lt;10,"0"&amp;MONTH(TODAY()+1000)&amp;"/",MONTH(TODAY()+1000)&amp;"/") &amp; IF(DAY(TODAY()+1000)&lt;10,"0"&amp;DAY(TODAY()+1000)&amp;"/",DAY(TODAY()+1000)&amp;"/") &amp; YEAR(TODAY()+1000)</f>
        <v>06/09/2026</v>
      </c>
      <c r="AO3" t="s">
        <v>23</v>
      </c>
      <c r="AP3" t="s">
        <v>23</v>
      </c>
      <c r="AQ3" s="161" t="s">
        <v>712</v>
      </c>
      <c r="AR3" s="160" t="s">
        <v>713</v>
      </c>
    </row>
    <row r="4" spans="1:48" ht="15" thickBot="1" x14ac:dyDescent="0.4">
      <c r="A4" s="2"/>
      <c r="C4" s="14" t="s">
        <v>763</v>
      </c>
      <c r="D4" s="27" t="s">
        <v>47</v>
      </c>
      <c r="E4" s="28" t="s">
        <v>48</v>
      </c>
      <c r="J4" s="34" t="str">
        <f ca="1">IF(MONTH(TODAY()+10)&lt;10,"0"&amp;MONTH(TODAY()+10)&amp;"/",MONTH(TODAY()+10)&amp;"/") &amp; IF(DAY(TODAY()+10)&lt;10,"0"&amp;DAY(TODAY()+10)&amp;"/",DAY(TODAY()+10)&amp;"/") &amp; YEAR(TODAY()+10)</f>
        <v>09/23/2023</v>
      </c>
      <c r="L4" s="26" t="s">
        <v>117</v>
      </c>
      <c r="M4" s="26" t="s">
        <v>20</v>
      </c>
      <c r="N4" s="33" t="s">
        <v>80</v>
      </c>
      <c r="P4" t="s">
        <v>781</v>
      </c>
      <c r="Q4" s="26" t="s">
        <v>133</v>
      </c>
      <c r="R4" s="34" t="str">
        <f ca="1">IF(MONTH(TODAY()+1000)&lt;10,"0"&amp;MONTH(TODAY()+1000)&amp;"/",MONTH(TODAY()+1000)&amp;"/") &amp; IF(DAY(TODAY()+1000)&lt;10,"0"&amp;DAY(TODAY()+1000)&amp;"/",DAY(TODAY()+1000)&amp;"/") &amp; YEAR(TODAY()+1000)</f>
        <v>06/09/2026</v>
      </c>
      <c r="W4" s="26" t="s">
        <v>126</v>
      </c>
      <c r="X4" s="26" t="s">
        <v>59</v>
      </c>
      <c r="Y4" s="26" t="s">
        <v>696</v>
      </c>
      <c r="Z4" s="34" t="str">
        <f ca="1">IF(MONTH(TODAY()+1000)&lt;10,"0"&amp;MONTH(TODAY()+1000)&amp;"/",MONTH(TODAY()+1000)&amp;"/") &amp; IF(DAY(TODAY()+1000)&lt;10,"0"&amp;DAY(TODAY()+1000)&amp;"/",DAY(TODAY()+1000)&amp;"/") &amp; YEAR(TODAY()+1000)</f>
        <v>06/09/2026</v>
      </c>
      <c r="AA4" s="34"/>
      <c r="AB4" s="34"/>
      <c r="AC4" s="34"/>
      <c r="AD4" s="34"/>
      <c r="AE4" s="34"/>
      <c r="AF4" s="34"/>
      <c r="AG4" s="34"/>
      <c r="AH4" s="34" t="s">
        <v>148</v>
      </c>
      <c r="AI4" s="34" t="s">
        <v>152</v>
      </c>
      <c r="AJ4" s="34"/>
      <c r="AK4" s="34" t="s">
        <v>754</v>
      </c>
      <c r="AL4" s="34"/>
      <c r="AM4" s="34"/>
      <c r="AN4" s="26" t="s">
        <v>8</v>
      </c>
      <c r="AQ4" s="161" t="s">
        <v>717</v>
      </c>
      <c r="AR4" s="162" t="s">
        <v>715</v>
      </c>
    </row>
    <row r="5" spans="1:48" x14ac:dyDescent="0.35">
      <c r="A5" s="2"/>
      <c r="C5" s="14"/>
      <c r="D5" s="27" t="s">
        <v>47</v>
      </c>
      <c r="E5" s="28" t="s">
        <v>48</v>
      </c>
      <c r="L5" s="26" t="s">
        <v>88</v>
      </c>
      <c r="M5" s="26" t="s">
        <v>54</v>
      </c>
      <c r="N5" s="33" t="s">
        <v>81</v>
      </c>
      <c r="P5">
        <v>870</v>
      </c>
      <c r="Q5" s="26" t="s">
        <v>134</v>
      </c>
      <c r="R5" s="26" t="s">
        <v>8</v>
      </c>
      <c r="W5" s="26" t="s">
        <v>127</v>
      </c>
      <c r="X5" s="26" t="s">
        <v>60</v>
      </c>
      <c r="Z5" s="26" t="s">
        <v>8</v>
      </c>
      <c r="AA5" s="26"/>
      <c r="AB5" s="26"/>
      <c r="AC5" s="26"/>
      <c r="AD5" s="26"/>
      <c r="AE5" s="26"/>
      <c r="AF5" s="26"/>
      <c r="AG5" s="26"/>
      <c r="AH5" s="26"/>
      <c r="AI5" s="26" t="s">
        <v>153</v>
      </c>
      <c r="AJ5" s="26"/>
      <c r="AK5" s="26"/>
      <c r="AL5" s="26"/>
      <c r="AM5" s="26"/>
      <c r="AQ5" s="161" t="s">
        <v>718</v>
      </c>
      <c r="AR5" s="160" t="s">
        <v>716</v>
      </c>
    </row>
    <row r="6" spans="1:48" ht="15" thickBot="1" x14ac:dyDescent="0.4">
      <c r="A6" s="3"/>
      <c r="E6" s="15"/>
      <c r="L6" s="26" t="s">
        <v>82</v>
      </c>
      <c r="N6" s="33" t="s">
        <v>82</v>
      </c>
      <c r="Q6" s="26" t="s">
        <v>135</v>
      </c>
      <c r="R6" s="26"/>
      <c r="X6" s="26" t="s">
        <v>61</v>
      </c>
      <c r="AQ6" s="161" t="s">
        <v>723</v>
      </c>
      <c r="AR6" s="160" t="s">
        <v>724</v>
      </c>
    </row>
    <row r="7" spans="1:48" x14ac:dyDescent="0.35">
      <c r="C7" s="14"/>
      <c r="E7" s="15"/>
      <c r="L7" s="26" t="s">
        <v>21</v>
      </c>
      <c r="N7" s="33" t="s">
        <v>83</v>
      </c>
      <c r="AQ7" s="161" t="s">
        <v>725</v>
      </c>
      <c r="AR7" s="160" t="s">
        <v>726</v>
      </c>
    </row>
    <row r="8" spans="1:48" x14ac:dyDescent="0.35">
      <c r="C8" s="14"/>
      <c r="E8" s="15"/>
      <c r="L8" s="26" t="s">
        <v>8</v>
      </c>
      <c r="N8" s="33" t="s">
        <v>84</v>
      </c>
      <c r="AQ8" s="159" t="s">
        <v>729</v>
      </c>
      <c r="AR8" s="160" t="s">
        <v>730</v>
      </c>
    </row>
    <row r="9" spans="1:48" ht="15" thickBot="1" x14ac:dyDescent="0.4">
      <c r="C9" s="16"/>
      <c r="D9" s="17"/>
      <c r="E9" s="18"/>
      <c r="N9" s="33" t="s">
        <v>85</v>
      </c>
      <c r="AQ9" s="161" t="s">
        <v>727</v>
      </c>
      <c r="AR9" s="163" t="s">
        <v>728</v>
      </c>
    </row>
    <row r="10" spans="1:48" x14ac:dyDescent="0.35">
      <c r="N10" s="33" t="s">
        <v>86</v>
      </c>
    </row>
    <row r="11" spans="1:48" x14ac:dyDescent="0.35">
      <c r="N11" s="33" t="s">
        <v>87</v>
      </c>
      <c r="AQ11" s="164"/>
    </row>
    <row r="12" spans="1:48" x14ac:dyDescent="0.35">
      <c r="N12" s="33" t="s">
        <v>88</v>
      </c>
    </row>
    <row r="13" spans="1:48" x14ac:dyDescent="0.35">
      <c r="N13" s="33" t="s">
        <v>89</v>
      </c>
    </row>
    <row r="14" spans="1:48" x14ac:dyDescent="0.35">
      <c r="B14" s="179" t="s">
        <v>762</v>
      </c>
      <c r="N14" s="33" t="s">
        <v>90</v>
      </c>
    </row>
    <row r="15" spans="1:48" x14ac:dyDescent="0.35">
      <c r="B15" t="s">
        <v>817</v>
      </c>
      <c r="N15" s="33" t="s">
        <v>91</v>
      </c>
    </row>
    <row r="21" spans="3:43" x14ac:dyDescent="0.35">
      <c r="K21" t="s">
        <v>50</v>
      </c>
      <c r="U21">
        <v>8701839</v>
      </c>
      <c r="V21" t="s">
        <v>27</v>
      </c>
      <c r="W21" t="s">
        <v>29</v>
      </c>
      <c r="AP21" t="s">
        <v>32</v>
      </c>
    </row>
    <row r="22" spans="3:43" x14ac:dyDescent="0.35">
      <c r="C22" t="s">
        <v>13</v>
      </c>
      <c r="D22" t="s">
        <v>0</v>
      </c>
      <c r="E22" t="s">
        <v>15</v>
      </c>
      <c r="K22" t="s">
        <v>51</v>
      </c>
      <c r="W22" t="s">
        <v>57</v>
      </c>
      <c r="Y22" t="s">
        <v>31</v>
      </c>
      <c r="AP22" t="s">
        <v>63</v>
      </c>
      <c r="AQ22" s="159" t="s">
        <v>69</v>
      </c>
    </row>
    <row r="23" spans="3:43" x14ac:dyDescent="0.35">
      <c r="W23" t="s">
        <v>53</v>
      </c>
      <c r="Y23" t="s">
        <v>62</v>
      </c>
      <c r="AQ23" s="159" t="s">
        <v>68</v>
      </c>
    </row>
    <row r="24" spans="3:43" x14ac:dyDescent="0.35">
      <c r="C24" s="19" t="s">
        <v>92</v>
      </c>
      <c r="D24" t="s">
        <v>47</v>
      </c>
      <c r="E24" s="15" t="s">
        <v>48</v>
      </c>
      <c r="AQ24" s="159" t="s">
        <v>67</v>
      </c>
    </row>
    <row r="25" spans="3:43" x14ac:dyDescent="0.35">
      <c r="C25" s="19" t="s">
        <v>93</v>
      </c>
      <c r="D25" t="s">
        <v>47</v>
      </c>
      <c r="E25" s="15" t="s">
        <v>48</v>
      </c>
      <c r="AQ25" s="159" t="s">
        <v>66</v>
      </c>
    </row>
    <row r="26" spans="3:43" x14ac:dyDescent="0.35">
      <c r="AQ26" s="159" t="s">
        <v>33</v>
      </c>
    </row>
    <row r="27" spans="3:43" x14ac:dyDescent="0.35">
      <c r="AQ27" s="159" t="s">
        <v>65</v>
      </c>
    </row>
    <row r="28" spans="3:43" x14ac:dyDescent="0.35">
      <c r="AQ28" s="159" t="s">
        <v>64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33"/>
  <sheetViews>
    <sheetView workbookViewId="0">
      <selection activeCell="R125" sqref="P125:R129"/>
    </sheetView>
  </sheetViews>
  <sheetFormatPr defaultColWidth="8.726562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53" t="s">
        <v>710</v>
      </c>
      <c r="B1" s="154">
        <v>35139</v>
      </c>
      <c r="C1" s="154">
        <v>33054</v>
      </c>
      <c r="D1" s="154">
        <v>31390</v>
      </c>
      <c r="F1" s="156" t="s">
        <v>731</v>
      </c>
      <c r="G1" s="156" t="s">
        <v>732</v>
      </c>
      <c r="H1" s="156" t="s">
        <v>733</v>
      </c>
    </row>
    <row r="2" spans="1:8" x14ac:dyDescent="0.35">
      <c r="B2" s="26">
        <v>9603150007</v>
      </c>
      <c r="C2">
        <v>9006300006</v>
      </c>
      <c r="D2">
        <v>8512090004</v>
      </c>
      <c r="F2" s="156">
        <f>B2/11</f>
        <v>873013637</v>
      </c>
      <c r="G2" s="156">
        <f>C2/11</f>
        <v>818754546</v>
      </c>
      <c r="H2" s="156">
        <f>D2/11</f>
        <v>773826364</v>
      </c>
    </row>
    <row r="3" spans="1:8" x14ac:dyDescent="0.35">
      <c r="B3" s="26">
        <f>B2+11</f>
        <v>9603150018</v>
      </c>
      <c r="C3">
        <f>C2+11</f>
        <v>9006300017</v>
      </c>
      <c r="D3">
        <f>D2+11</f>
        <v>8512090015</v>
      </c>
      <c r="F3" s="156">
        <f t="shared" ref="F3:H28" si="0">B3/11</f>
        <v>873013638</v>
      </c>
      <c r="G3" s="156">
        <f t="shared" si="0"/>
        <v>818754547</v>
      </c>
      <c r="H3" s="156">
        <f t="shared" si="0"/>
        <v>773826365</v>
      </c>
    </row>
    <row r="4" spans="1:8" x14ac:dyDescent="0.35">
      <c r="B4" s="26">
        <f t="shared" ref="B4:B67" si="1">B3+11</f>
        <v>9603150029</v>
      </c>
      <c r="C4">
        <f t="shared" ref="C4:D19" si="2">C3+11</f>
        <v>9006300028</v>
      </c>
      <c r="D4">
        <f t="shared" si="2"/>
        <v>8512090026</v>
      </c>
      <c r="F4" s="156">
        <f t="shared" si="0"/>
        <v>873013639</v>
      </c>
      <c r="G4" s="156">
        <f t="shared" si="0"/>
        <v>818754548</v>
      </c>
      <c r="H4" s="156">
        <f t="shared" si="0"/>
        <v>773826366</v>
      </c>
    </row>
    <row r="5" spans="1:8" x14ac:dyDescent="0.35">
      <c r="B5" s="26">
        <f t="shared" si="1"/>
        <v>9603150040</v>
      </c>
      <c r="C5">
        <f t="shared" si="2"/>
        <v>9006300039</v>
      </c>
      <c r="D5">
        <f t="shared" si="2"/>
        <v>8512090037</v>
      </c>
      <c r="F5" s="156">
        <f t="shared" si="0"/>
        <v>873013640</v>
      </c>
      <c r="G5" s="156">
        <f t="shared" si="0"/>
        <v>818754549</v>
      </c>
      <c r="H5" s="156">
        <f t="shared" si="0"/>
        <v>773826367</v>
      </c>
    </row>
    <row r="6" spans="1:8" x14ac:dyDescent="0.35">
      <c r="B6" s="26">
        <f t="shared" si="1"/>
        <v>9603150051</v>
      </c>
      <c r="C6">
        <f t="shared" si="2"/>
        <v>9006300050</v>
      </c>
      <c r="D6">
        <f t="shared" si="2"/>
        <v>8512090048</v>
      </c>
      <c r="F6" s="156">
        <f t="shared" si="0"/>
        <v>873013641</v>
      </c>
      <c r="G6" s="156">
        <f t="shared" si="0"/>
        <v>818754550</v>
      </c>
      <c r="H6" s="156">
        <f t="shared" si="0"/>
        <v>773826368</v>
      </c>
    </row>
    <row r="7" spans="1:8" x14ac:dyDescent="0.35">
      <c r="B7" s="26">
        <f t="shared" si="1"/>
        <v>9603150062</v>
      </c>
      <c r="C7">
        <f t="shared" si="2"/>
        <v>9006300061</v>
      </c>
      <c r="D7">
        <f t="shared" si="2"/>
        <v>8512090059</v>
      </c>
      <c r="F7" s="156">
        <f t="shared" si="0"/>
        <v>873013642</v>
      </c>
      <c r="G7" s="156">
        <f t="shared" si="0"/>
        <v>818754551</v>
      </c>
      <c r="H7" s="156">
        <f t="shared" si="0"/>
        <v>773826369</v>
      </c>
    </row>
    <row r="8" spans="1:8" x14ac:dyDescent="0.35">
      <c r="B8" s="26">
        <f t="shared" si="1"/>
        <v>9603150073</v>
      </c>
      <c r="C8">
        <f t="shared" si="2"/>
        <v>9006300072</v>
      </c>
      <c r="D8">
        <f t="shared" si="2"/>
        <v>8512090070</v>
      </c>
      <c r="F8" s="156">
        <f t="shared" si="0"/>
        <v>873013643</v>
      </c>
      <c r="G8" s="156">
        <f t="shared" si="0"/>
        <v>818754552</v>
      </c>
      <c r="H8" s="156">
        <f t="shared" si="0"/>
        <v>773826370</v>
      </c>
    </row>
    <row r="9" spans="1:8" x14ac:dyDescent="0.35">
      <c r="B9" s="26">
        <f t="shared" si="1"/>
        <v>9603150084</v>
      </c>
      <c r="C9">
        <f t="shared" si="2"/>
        <v>9006300083</v>
      </c>
      <c r="D9">
        <f t="shared" si="2"/>
        <v>8512090081</v>
      </c>
      <c r="F9" s="156">
        <f t="shared" si="0"/>
        <v>873013644</v>
      </c>
      <c r="G9" s="156">
        <f t="shared" si="0"/>
        <v>818754553</v>
      </c>
      <c r="H9" s="156">
        <f t="shared" si="0"/>
        <v>773826371</v>
      </c>
    </row>
    <row r="10" spans="1:8" x14ac:dyDescent="0.35">
      <c r="B10" s="26">
        <f t="shared" si="1"/>
        <v>9603150095</v>
      </c>
      <c r="C10">
        <f t="shared" si="2"/>
        <v>9006300094</v>
      </c>
      <c r="D10">
        <f t="shared" si="2"/>
        <v>8512090092</v>
      </c>
      <c r="F10" s="156">
        <f t="shared" si="0"/>
        <v>873013645</v>
      </c>
      <c r="G10" s="156">
        <f t="shared" si="0"/>
        <v>818754554</v>
      </c>
      <c r="H10" s="156">
        <f t="shared" si="0"/>
        <v>773826372</v>
      </c>
    </row>
    <row r="11" spans="1:8" x14ac:dyDescent="0.35">
      <c r="B11" s="26">
        <f t="shared" si="1"/>
        <v>9603150106</v>
      </c>
      <c r="C11">
        <f t="shared" si="2"/>
        <v>9006300105</v>
      </c>
      <c r="D11">
        <f t="shared" si="2"/>
        <v>8512090103</v>
      </c>
      <c r="F11" s="156">
        <f t="shared" si="0"/>
        <v>873013646</v>
      </c>
      <c r="G11" s="156">
        <f t="shared" si="0"/>
        <v>818754555</v>
      </c>
      <c r="H11" s="156">
        <f t="shared" si="0"/>
        <v>773826373</v>
      </c>
    </row>
    <row r="12" spans="1:8" x14ac:dyDescent="0.35">
      <c r="B12" s="26">
        <f t="shared" si="1"/>
        <v>9603150117</v>
      </c>
      <c r="C12">
        <f t="shared" si="2"/>
        <v>9006300116</v>
      </c>
      <c r="D12">
        <f t="shared" si="2"/>
        <v>8512090114</v>
      </c>
      <c r="F12" s="156">
        <f t="shared" si="0"/>
        <v>873013647</v>
      </c>
      <c r="G12" s="156">
        <f t="shared" si="0"/>
        <v>818754556</v>
      </c>
      <c r="H12" s="156">
        <f t="shared" si="0"/>
        <v>773826374</v>
      </c>
    </row>
    <row r="13" spans="1:8" x14ac:dyDescent="0.35">
      <c r="B13" s="26">
        <f t="shared" si="1"/>
        <v>9603150128</v>
      </c>
      <c r="C13">
        <f t="shared" si="2"/>
        <v>9006300127</v>
      </c>
      <c r="D13">
        <f t="shared" si="2"/>
        <v>8512090125</v>
      </c>
      <c r="F13" s="156">
        <f t="shared" si="0"/>
        <v>873013648</v>
      </c>
      <c r="G13" s="156">
        <f t="shared" si="0"/>
        <v>818754557</v>
      </c>
      <c r="H13" s="156">
        <f t="shared" si="0"/>
        <v>773826375</v>
      </c>
    </row>
    <row r="14" spans="1:8" x14ac:dyDescent="0.35">
      <c r="B14" s="26">
        <f t="shared" si="1"/>
        <v>9603150139</v>
      </c>
      <c r="C14">
        <f t="shared" si="2"/>
        <v>9006300138</v>
      </c>
      <c r="D14">
        <f t="shared" si="2"/>
        <v>8512090136</v>
      </c>
      <c r="F14" s="156">
        <f t="shared" si="0"/>
        <v>873013649</v>
      </c>
      <c r="G14" s="156">
        <f t="shared" si="0"/>
        <v>818754558</v>
      </c>
      <c r="H14" s="156">
        <f t="shared" si="0"/>
        <v>773826376</v>
      </c>
    </row>
    <row r="15" spans="1:8" x14ac:dyDescent="0.35">
      <c r="B15" s="26">
        <f t="shared" si="1"/>
        <v>9603150150</v>
      </c>
      <c r="C15">
        <f t="shared" si="2"/>
        <v>9006300149</v>
      </c>
      <c r="D15">
        <f t="shared" si="2"/>
        <v>8512090147</v>
      </c>
      <c r="F15" s="156">
        <f t="shared" si="0"/>
        <v>873013650</v>
      </c>
      <c r="G15" s="156">
        <f t="shared" si="0"/>
        <v>818754559</v>
      </c>
      <c r="H15" s="156">
        <f t="shared" si="0"/>
        <v>773826377</v>
      </c>
    </row>
    <row r="16" spans="1:8" x14ac:dyDescent="0.35">
      <c r="B16" s="26">
        <f t="shared" si="1"/>
        <v>9603150161</v>
      </c>
      <c r="C16">
        <f t="shared" si="2"/>
        <v>9006300160</v>
      </c>
      <c r="D16">
        <f t="shared" si="2"/>
        <v>8512090158</v>
      </c>
      <c r="F16" s="156">
        <f t="shared" si="0"/>
        <v>873013651</v>
      </c>
      <c r="G16" s="156">
        <f t="shared" si="0"/>
        <v>818754560</v>
      </c>
      <c r="H16" s="156">
        <f t="shared" si="0"/>
        <v>773826378</v>
      </c>
    </row>
    <row r="17" spans="2:8" x14ac:dyDescent="0.35">
      <c r="B17" s="26">
        <f t="shared" si="1"/>
        <v>9603150172</v>
      </c>
      <c r="C17">
        <f t="shared" si="2"/>
        <v>9006300171</v>
      </c>
      <c r="D17">
        <f t="shared" si="2"/>
        <v>8512090169</v>
      </c>
      <c r="F17" s="156">
        <f t="shared" si="0"/>
        <v>873013652</v>
      </c>
      <c r="G17" s="156">
        <f t="shared" si="0"/>
        <v>818754561</v>
      </c>
      <c r="H17" s="156">
        <f t="shared" si="0"/>
        <v>773826379</v>
      </c>
    </row>
    <row r="18" spans="2:8" x14ac:dyDescent="0.35">
      <c r="B18" s="26">
        <f t="shared" si="1"/>
        <v>9603150183</v>
      </c>
      <c r="C18">
        <f t="shared" si="2"/>
        <v>9006300182</v>
      </c>
      <c r="D18">
        <f t="shared" si="2"/>
        <v>8512090180</v>
      </c>
      <c r="F18" s="156">
        <f t="shared" si="0"/>
        <v>873013653</v>
      </c>
      <c r="G18" s="156">
        <f t="shared" si="0"/>
        <v>818754562</v>
      </c>
      <c r="H18" s="156">
        <f t="shared" si="0"/>
        <v>773826380</v>
      </c>
    </row>
    <row r="19" spans="2:8" x14ac:dyDescent="0.35">
      <c r="B19" s="26">
        <f t="shared" si="1"/>
        <v>9603150194</v>
      </c>
      <c r="C19">
        <f t="shared" si="2"/>
        <v>9006300193</v>
      </c>
      <c r="D19">
        <f t="shared" si="2"/>
        <v>8512090191</v>
      </c>
      <c r="F19" s="156">
        <f t="shared" si="0"/>
        <v>873013654</v>
      </c>
      <c r="G19" s="156">
        <f t="shared" si="0"/>
        <v>818754563</v>
      </c>
      <c r="H19" s="156">
        <f t="shared" si="0"/>
        <v>773826381</v>
      </c>
    </row>
    <row r="20" spans="2:8" x14ac:dyDescent="0.35">
      <c r="B20" s="26">
        <f t="shared" si="1"/>
        <v>9603150205</v>
      </c>
      <c r="C20">
        <f t="shared" ref="C20:D28" si="3">C19+11</f>
        <v>9006300204</v>
      </c>
      <c r="D20">
        <f t="shared" si="3"/>
        <v>8512090202</v>
      </c>
      <c r="F20" s="156">
        <f t="shared" si="0"/>
        <v>873013655</v>
      </c>
      <c r="G20" s="156">
        <f t="shared" si="0"/>
        <v>818754564</v>
      </c>
      <c r="H20" s="156">
        <f t="shared" si="0"/>
        <v>773826382</v>
      </c>
    </row>
    <row r="21" spans="2:8" x14ac:dyDescent="0.35">
      <c r="B21" s="26">
        <f t="shared" si="1"/>
        <v>9603150216</v>
      </c>
      <c r="C21">
        <f t="shared" si="3"/>
        <v>9006300215</v>
      </c>
      <c r="D21">
        <f t="shared" si="3"/>
        <v>8512090213</v>
      </c>
      <c r="F21" s="156">
        <f t="shared" si="0"/>
        <v>873013656</v>
      </c>
      <c r="G21" s="156">
        <f t="shared" si="0"/>
        <v>818754565</v>
      </c>
      <c r="H21" s="156">
        <f t="shared" si="0"/>
        <v>773826383</v>
      </c>
    </row>
    <row r="22" spans="2:8" x14ac:dyDescent="0.35">
      <c r="B22" s="26">
        <f t="shared" si="1"/>
        <v>9603150227</v>
      </c>
      <c r="C22">
        <f t="shared" si="3"/>
        <v>9006300226</v>
      </c>
      <c r="D22">
        <f t="shared" si="3"/>
        <v>8512090224</v>
      </c>
      <c r="F22" s="156">
        <f t="shared" si="0"/>
        <v>873013657</v>
      </c>
      <c r="G22" s="156">
        <f t="shared" si="0"/>
        <v>818754566</v>
      </c>
      <c r="H22" s="156">
        <f t="shared" si="0"/>
        <v>773826384</v>
      </c>
    </row>
    <row r="23" spans="2:8" x14ac:dyDescent="0.35">
      <c r="B23" s="26">
        <f t="shared" si="1"/>
        <v>9603150238</v>
      </c>
      <c r="C23">
        <f t="shared" si="3"/>
        <v>9006300237</v>
      </c>
      <c r="D23">
        <f t="shared" si="3"/>
        <v>8512090235</v>
      </c>
      <c r="F23" s="156">
        <f t="shared" si="0"/>
        <v>873013658</v>
      </c>
      <c r="G23" s="156">
        <f t="shared" si="0"/>
        <v>818754567</v>
      </c>
      <c r="H23" s="156">
        <f t="shared" si="0"/>
        <v>773826385</v>
      </c>
    </row>
    <row r="24" spans="2:8" x14ac:dyDescent="0.35">
      <c r="B24" s="26">
        <f t="shared" si="1"/>
        <v>9603150249</v>
      </c>
      <c r="C24">
        <f t="shared" si="3"/>
        <v>9006300248</v>
      </c>
      <c r="D24">
        <f t="shared" si="3"/>
        <v>8512090246</v>
      </c>
      <c r="F24" s="156">
        <f t="shared" si="0"/>
        <v>873013659</v>
      </c>
      <c r="G24" s="156">
        <f t="shared" si="0"/>
        <v>818754568</v>
      </c>
      <c r="H24" s="156">
        <f t="shared" si="0"/>
        <v>773826386</v>
      </c>
    </row>
    <row r="25" spans="2:8" x14ac:dyDescent="0.35">
      <c r="B25" s="26">
        <f t="shared" si="1"/>
        <v>9603150260</v>
      </c>
      <c r="C25">
        <f t="shared" si="3"/>
        <v>9006300259</v>
      </c>
      <c r="D25">
        <f t="shared" si="3"/>
        <v>8512090257</v>
      </c>
      <c r="F25" s="156">
        <f t="shared" si="0"/>
        <v>873013660</v>
      </c>
      <c r="G25" s="156">
        <f t="shared" si="0"/>
        <v>818754569</v>
      </c>
      <c r="H25" s="156">
        <f t="shared" si="0"/>
        <v>773826387</v>
      </c>
    </row>
    <row r="26" spans="2:8" x14ac:dyDescent="0.35">
      <c r="B26" s="26">
        <f t="shared" si="1"/>
        <v>9603150271</v>
      </c>
      <c r="C26">
        <f t="shared" si="3"/>
        <v>9006300270</v>
      </c>
      <c r="D26">
        <f t="shared" si="3"/>
        <v>8512090268</v>
      </c>
      <c r="F26" s="156">
        <f t="shared" si="0"/>
        <v>873013661</v>
      </c>
      <c r="G26" s="156">
        <f t="shared" si="0"/>
        <v>818754570</v>
      </c>
      <c r="H26" s="156">
        <f t="shared" si="0"/>
        <v>773826388</v>
      </c>
    </row>
    <row r="27" spans="2:8" x14ac:dyDescent="0.35">
      <c r="B27" s="26">
        <f t="shared" si="1"/>
        <v>9603150282</v>
      </c>
      <c r="C27">
        <f t="shared" si="3"/>
        <v>9006300281</v>
      </c>
      <c r="D27">
        <f t="shared" si="3"/>
        <v>8512090279</v>
      </c>
      <c r="F27" s="156">
        <f t="shared" si="0"/>
        <v>873013662</v>
      </c>
      <c r="G27" s="156">
        <f t="shared" si="0"/>
        <v>818754571</v>
      </c>
      <c r="H27" s="156">
        <f t="shared" si="0"/>
        <v>773826389</v>
      </c>
    </row>
    <row r="28" spans="2:8" x14ac:dyDescent="0.35">
      <c r="B28" s="26">
        <f t="shared" si="1"/>
        <v>9603150293</v>
      </c>
      <c r="C28">
        <f t="shared" si="3"/>
        <v>9006300292</v>
      </c>
      <c r="D28">
        <f t="shared" si="3"/>
        <v>8512090290</v>
      </c>
      <c r="F28" s="156">
        <f t="shared" si="0"/>
        <v>873013663</v>
      </c>
      <c r="G28" s="156">
        <f t="shared" si="0"/>
        <v>818754572</v>
      </c>
      <c r="H28" s="156">
        <f t="shared" si="0"/>
        <v>773826390</v>
      </c>
    </row>
    <row r="29" spans="2:8" x14ac:dyDescent="0.35">
      <c r="B29" s="26">
        <f t="shared" si="1"/>
        <v>9603150304</v>
      </c>
    </row>
    <row r="30" spans="2:8" x14ac:dyDescent="0.35">
      <c r="B30" s="26">
        <f t="shared" si="1"/>
        <v>9603150315</v>
      </c>
    </row>
    <row r="31" spans="2:8" x14ac:dyDescent="0.35">
      <c r="B31" s="26">
        <f t="shared" si="1"/>
        <v>9603150326</v>
      </c>
    </row>
    <row r="32" spans="2:8" x14ac:dyDescent="0.35">
      <c r="B32" s="26">
        <f t="shared" si="1"/>
        <v>9603150337</v>
      </c>
    </row>
    <row r="33" spans="2:2" x14ac:dyDescent="0.35">
      <c r="B33" s="26">
        <f t="shared" si="1"/>
        <v>9603150348</v>
      </c>
    </row>
    <row r="34" spans="2:2" x14ac:dyDescent="0.35">
      <c r="B34" s="26">
        <f t="shared" si="1"/>
        <v>9603150359</v>
      </c>
    </row>
    <row r="35" spans="2:2" x14ac:dyDescent="0.35">
      <c r="B35" s="26">
        <f t="shared" si="1"/>
        <v>9603150370</v>
      </c>
    </row>
    <row r="36" spans="2:2" x14ac:dyDescent="0.35">
      <c r="B36" s="26">
        <f t="shared" si="1"/>
        <v>9603150381</v>
      </c>
    </row>
    <row r="37" spans="2:2" x14ac:dyDescent="0.35">
      <c r="B37" s="26">
        <f t="shared" si="1"/>
        <v>9603150392</v>
      </c>
    </row>
    <row r="38" spans="2:2" x14ac:dyDescent="0.35">
      <c r="B38" s="26">
        <f t="shared" si="1"/>
        <v>9603150403</v>
      </c>
    </row>
    <row r="39" spans="2:2" x14ac:dyDescent="0.35">
      <c r="B39" s="26">
        <f t="shared" si="1"/>
        <v>9603150414</v>
      </c>
    </row>
    <row r="40" spans="2:2" x14ac:dyDescent="0.35">
      <c r="B40" s="26">
        <f t="shared" si="1"/>
        <v>9603150425</v>
      </c>
    </row>
    <row r="41" spans="2:2" x14ac:dyDescent="0.35">
      <c r="B41" s="26">
        <f t="shared" si="1"/>
        <v>9603150436</v>
      </c>
    </row>
    <row r="42" spans="2:2" x14ac:dyDescent="0.35">
      <c r="B42" s="26">
        <f t="shared" si="1"/>
        <v>9603150447</v>
      </c>
    </row>
    <row r="43" spans="2:2" x14ac:dyDescent="0.35">
      <c r="B43" s="26">
        <f t="shared" si="1"/>
        <v>9603150458</v>
      </c>
    </row>
    <row r="44" spans="2:2" x14ac:dyDescent="0.35">
      <c r="B44" s="26">
        <f t="shared" si="1"/>
        <v>9603150469</v>
      </c>
    </row>
    <row r="45" spans="2:2" x14ac:dyDescent="0.35">
      <c r="B45" s="26">
        <f t="shared" si="1"/>
        <v>9603150480</v>
      </c>
    </row>
    <row r="46" spans="2:2" x14ac:dyDescent="0.35">
      <c r="B46" s="26">
        <f t="shared" si="1"/>
        <v>9603150491</v>
      </c>
    </row>
    <row r="47" spans="2:2" x14ac:dyDescent="0.35">
      <c r="B47" s="26">
        <f t="shared" si="1"/>
        <v>9603150502</v>
      </c>
    </row>
    <row r="48" spans="2:2" x14ac:dyDescent="0.35">
      <c r="B48" s="26">
        <f t="shared" si="1"/>
        <v>9603150513</v>
      </c>
    </row>
    <row r="49" spans="2:2" x14ac:dyDescent="0.35">
      <c r="B49" s="26">
        <f t="shared" si="1"/>
        <v>9603150524</v>
      </c>
    </row>
    <row r="50" spans="2:2" x14ac:dyDescent="0.35">
      <c r="B50" s="26">
        <f t="shared" si="1"/>
        <v>9603150535</v>
      </c>
    </row>
    <row r="51" spans="2:2" x14ac:dyDescent="0.35">
      <c r="B51" s="26">
        <f t="shared" si="1"/>
        <v>9603150546</v>
      </c>
    </row>
    <row r="52" spans="2:2" x14ac:dyDescent="0.35">
      <c r="B52" s="26">
        <f t="shared" si="1"/>
        <v>9603150557</v>
      </c>
    </row>
    <row r="53" spans="2:2" x14ac:dyDescent="0.35">
      <c r="B53" s="26">
        <f t="shared" si="1"/>
        <v>9603150568</v>
      </c>
    </row>
    <row r="54" spans="2:2" x14ac:dyDescent="0.35">
      <c r="B54" s="26">
        <f t="shared" si="1"/>
        <v>9603150579</v>
      </c>
    </row>
    <row r="55" spans="2:2" x14ac:dyDescent="0.35">
      <c r="B55" s="26">
        <f t="shared" si="1"/>
        <v>9603150590</v>
      </c>
    </row>
    <row r="56" spans="2:2" x14ac:dyDescent="0.35">
      <c r="B56" s="26">
        <f t="shared" si="1"/>
        <v>9603150601</v>
      </c>
    </row>
    <row r="57" spans="2:2" x14ac:dyDescent="0.35">
      <c r="B57" s="26">
        <f t="shared" si="1"/>
        <v>9603150612</v>
      </c>
    </row>
    <row r="58" spans="2:2" x14ac:dyDescent="0.35">
      <c r="B58" s="26">
        <f t="shared" si="1"/>
        <v>9603150623</v>
      </c>
    </row>
    <row r="59" spans="2:2" x14ac:dyDescent="0.35">
      <c r="B59" s="26">
        <f t="shared" si="1"/>
        <v>9603150634</v>
      </c>
    </row>
    <row r="60" spans="2:2" x14ac:dyDescent="0.35">
      <c r="B60" s="26">
        <f t="shared" si="1"/>
        <v>9603150645</v>
      </c>
    </row>
    <row r="61" spans="2:2" x14ac:dyDescent="0.35">
      <c r="B61" s="26">
        <f t="shared" si="1"/>
        <v>9603150656</v>
      </c>
    </row>
    <row r="62" spans="2:2" x14ac:dyDescent="0.35">
      <c r="B62" s="26">
        <f t="shared" si="1"/>
        <v>9603150667</v>
      </c>
    </row>
    <row r="63" spans="2:2" x14ac:dyDescent="0.35">
      <c r="B63" s="26">
        <f t="shared" si="1"/>
        <v>9603150678</v>
      </c>
    </row>
    <row r="64" spans="2:2" x14ac:dyDescent="0.35">
      <c r="B64" s="26">
        <f t="shared" si="1"/>
        <v>9603150689</v>
      </c>
    </row>
    <row r="65" spans="2:24" x14ac:dyDescent="0.35">
      <c r="B65" s="26">
        <f t="shared" si="1"/>
        <v>9603150700</v>
      </c>
    </row>
    <row r="66" spans="2:24" x14ac:dyDescent="0.35">
      <c r="B66" s="26">
        <f t="shared" si="1"/>
        <v>9603150711</v>
      </c>
    </row>
    <row r="67" spans="2:24" x14ac:dyDescent="0.35">
      <c r="B67" s="26">
        <f t="shared" si="1"/>
        <v>9603150722</v>
      </c>
    </row>
    <row r="68" spans="2:24" x14ac:dyDescent="0.35">
      <c r="B68" s="26">
        <f t="shared" ref="B68:B86" si="4">B67+11</f>
        <v>9603150733</v>
      </c>
    </row>
    <row r="69" spans="2:24" x14ac:dyDescent="0.35">
      <c r="B69" s="26">
        <f t="shared" si="4"/>
        <v>9603150744</v>
      </c>
    </row>
    <row r="70" spans="2:24" x14ac:dyDescent="0.35">
      <c r="B70" s="26">
        <f t="shared" si="4"/>
        <v>9603150755</v>
      </c>
    </row>
    <row r="71" spans="2:24" x14ac:dyDescent="0.35">
      <c r="B71" s="26">
        <f t="shared" si="4"/>
        <v>9603150766</v>
      </c>
    </row>
    <row r="72" spans="2:24" x14ac:dyDescent="0.35">
      <c r="B72" s="26">
        <f t="shared" si="4"/>
        <v>9603150777</v>
      </c>
    </row>
    <row r="73" spans="2:24" x14ac:dyDescent="0.35">
      <c r="B73" s="26">
        <f t="shared" si="4"/>
        <v>9603150788</v>
      </c>
    </row>
    <row r="74" spans="2:24" x14ac:dyDescent="0.35">
      <c r="B74" s="26">
        <f t="shared" si="4"/>
        <v>9603150799</v>
      </c>
    </row>
    <row r="75" spans="2:24" x14ac:dyDescent="0.35">
      <c r="B75" s="26">
        <f t="shared" si="4"/>
        <v>9603150810</v>
      </c>
    </row>
    <row r="76" spans="2:24" x14ac:dyDescent="0.35">
      <c r="B76" s="26">
        <f t="shared" si="4"/>
        <v>9603150821</v>
      </c>
      <c r="X76" s="153" t="s">
        <v>735</v>
      </c>
    </row>
    <row r="77" spans="2:24" x14ac:dyDescent="0.35">
      <c r="B77" s="26">
        <f t="shared" si="4"/>
        <v>9603150832</v>
      </c>
      <c r="X77" s="157">
        <v>9202101337</v>
      </c>
    </row>
    <row r="78" spans="2:24" x14ac:dyDescent="0.35">
      <c r="B78" s="26">
        <f t="shared" si="4"/>
        <v>9603150843</v>
      </c>
      <c r="X78" s="157">
        <f>SUM(X77)+11</f>
        <v>9202101348</v>
      </c>
    </row>
    <row r="79" spans="2:24" x14ac:dyDescent="0.35">
      <c r="B79" s="26">
        <f t="shared" si="4"/>
        <v>9603150854</v>
      </c>
      <c r="X79" s="26">
        <f t="shared" ref="X79:X133" si="5">SUM(X78)+11</f>
        <v>9202101359</v>
      </c>
    </row>
    <row r="80" spans="2:24" x14ac:dyDescent="0.35">
      <c r="B80" s="26">
        <f t="shared" si="4"/>
        <v>9603150865</v>
      </c>
      <c r="X80" s="26">
        <f t="shared" si="5"/>
        <v>9202101370</v>
      </c>
    </row>
    <row r="81" spans="2:24" x14ac:dyDescent="0.35">
      <c r="B81" s="26">
        <f t="shared" si="4"/>
        <v>9603150876</v>
      </c>
      <c r="X81" s="26">
        <f t="shared" si="5"/>
        <v>9202101381</v>
      </c>
    </row>
    <row r="82" spans="2:24" x14ac:dyDescent="0.35">
      <c r="B82" s="26">
        <f t="shared" si="4"/>
        <v>9603150887</v>
      </c>
      <c r="X82" s="26">
        <f t="shared" si="5"/>
        <v>9202101392</v>
      </c>
    </row>
    <row r="83" spans="2:24" x14ac:dyDescent="0.35">
      <c r="B83" s="26">
        <f t="shared" si="4"/>
        <v>9603150898</v>
      </c>
      <c r="X83" s="26">
        <f t="shared" si="5"/>
        <v>9202101403</v>
      </c>
    </row>
    <row r="84" spans="2:24" x14ac:dyDescent="0.35">
      <c r="B84" s="26">
        <f t="shared" si="4"/>
        <v>9603150909</v>
      </c>
      <c r="X84" s="26">
        <f t="shared" si="5"/>
        <v>9202101414</v>
      </c>
    </row>
    <row r="85" spans="2:24" x14ac:dyDescent="0.35">
      <c r="B85" s="26">
        <f t="shared" si="4"/>
        <v>9603150920</v>
      </c>
      <c r="X85" s="26">
        <f t="shared" si="5"/>
        <v>9202101425</v>
      </c>
    </row>
    <row r="86" spans="2:24" x14ac:dyDescent="0.35">
      <c r="B86" s="26">
        <f t="shared" si="4"/>
        <v>9603150931</v>
      </c>
      <c r="D86" s="26">
        <v>9603170269</v>
      </c>
      <c r="X86" s="26">
        <f t="shared" si="5"/>
        <v>9202101436</v>
      </c>
    </row>
    <row r="87" spans="2:24" x14ac:dyDescent="0.35">
      <c r="D87">
        <f>D86+11</f>
        <v>9603170280</v>
      </c>
      <c r="F87">
        <v>9603170280</v>
      </c>
      <c r="H87" s="26">
        <v>9603170280</v>
      </c>
      <c r="I87" s="26">
        <v>9603170291</v>
      </c>
      <c r="J87" s="26">
        <v>9603170302</v>
      </c>
      <c r="K87" s="26">
        <v>9603170313</v>
      </c>
      <c r="L87" s="26">
        <v>9603170324</v>
      </c>
      <c r="M87" s="26">
        <v>9603170335</v>
      </c>
      <c r="N87" s="26">
        <v>9603170346</v>
      </c>
      <c r="O87" s="26">
        <v>9603170357</v>
      </c>
      <c r="P87" s="26">
        <v>9603170368</v>
      </c>
      <c r="Q87" s="26">
        <v>9603170379</v>
      </c>
      <c r="R87" s="26">
        <v>9603170390</v>
      </c>
      <c r="S87" s="26">
        <v>9603170401</v>
      </c>
      <c r="T87" s="26">
        <v>9603170412</v>
      </c>
      <c r="X87" s="26">
        <f t="shared" si="5"/>
        <v>9202101447</v>
      </c>
    </row>
    <row r="88" spans="2:24" x14ac:dyDescent="0.35">
      <c r="D88">
        <f t="shared" ref="D88:D99" si="6">D87+11</f>
        <v>9603170291</v>
      </c>
      <c r="F88">
        <v>9603170291</v>
      </c>
      <c r="X88" s="26">
        <f t="shared" si="5"/>
        <v>9202101458</v>
      </c>
    </row>
    <row r="89" spans="2:24" x14ac:dyDescent="0.35">
      <c r="D89">
        <f t="shared" si="6"/>
        <v>9603170302</v>
      </c>
      <c r="F89">
        <v>9603170302</v>
      </c>
      <c r="H89" s="26">
        <v>9603170412</v>
      </c>
      <c r="I89" s="26">
        <f>H89+11</f>
        <v>9603170423</v>
      </c>
      <c r="J89" s="26">
        <f t="shared" ref="J89:T89" si="7">I89+11</f>
        <v>9603170434</v>
      </c>
      <c r="K89" s="26">
        <f t="shared" si="7"/>
        <v>9603170445</v>
      </c>
      <c r="L89" s="26">
        <f t="shared" si="7"/>
        <v>9603170456</v>
      </c>
      <c r="M89" s="26">
        <f t="shared" si="7"/>
        <v>9603170467</v>
      </c>
      <c r="N89" s="26">
        <f t="shared" si="7"/>
        <v>9603170478</v>
      </c>
      <c r="O89" s="26">
        <f t="shared" si="7"/>
        <v>9603170489</v>
      </c>
      <c r="P89">
        <f t="shared" si="7"/>
        <v>9603170500</v>
      </c>
      <c r="Q89">
        <f t="shared" si="7"/>
        <v>9603170511</v>
      </c>
      <c r="R89">
        <f t="shared" si="7"/>
        <v>9603170522</v>
      </c>
      <c r="S89">
        <f t="shared" si="7"/>
        <v>9603170533</v>
      </c>
      <c r="T89">
        <f t="shared" si="7"/>
        <v>9603170544</v>
      </c>
      <c r="X89" s="26">
        <f t="shared" si="5"/>
        <v>9202101469</v>
      </c>
    </row>
    <row r="90" spans="2:24" x14ac:dyDescent="0.35">
      <c r="D90">
        <f t="shared" si="6"/>
        <v>9603170313</v>
      </c>
      <c r="F90">
        <v>9603170313</v>
      </c>
      <c r="X90" s="26">
        <f t="shared" si="5"/>
        <v>9202101480</v>
      </c>
    </row>
    <row r="91" spans="2:24" x14ac:dyDescent="0.35">
      <c r="D91">
        <f t="shared" si="6"/>
        <v>9603170324</v>
      </c>
      <c r="F91">
        <v>9603170324</v>
      </c>
      <c r="X91" s="26">
        <f t="shared" si="5"/>
        <v>9202101491</v>
      </c>
    </row>
    <row r="92" spans="2:24" x14ac:dyDescent="0.35">
      <c r="D92">
        <f t="shared" si="6"/>
        <v>9603170335</v>
      </c>
      <c r="F92">
        <v>9603170335</v>
      </c>
      <c r="X92" s="26">
        <f t="shared" si="5"/>
        <v>9202101502</v>
      </c>
    </row>
    <row r="93" spans="2:24" x14ac:dyDescent="0.35">
      <c r="D93">
        <f t="shared" si="6"/>
        <v>9603170346</v>
      </c>
      <c r="F93">
        <v>9603170346</v>
      </c>
      <c r="X93" s="26">
        <f t="shared" si="5"/>
        <v>9202101513</v>
      </c>
    </row>
    <row r="94" spans="2:24" x14ac:dyDescent="0.35">
      <c r="D94">
        <f t="shared" si="6"/>
        <v>9603170357</v>
      </c>
      <c r="F94">
        <v>9603170357</v>
      </c>
      <c r="X94" s="26">
        <f t="shared" si="5"/>
        <v>9202101524</v>
      </c>
    </row>
    <row r="95" spans="2:24" x14ac:dyDescent="0.35">
      <c r="D95">
        <f t="shared" si="6"/>
        <v>9603170368</v>
      </c>
      <c r="F95">
        <v>9603170368</v>
      </c>
      <c r="X95" s="26">
        <f t="shared" si="5"/>
        <v>9202101535</v>
      </c>
    </row>
    <row r="96" spans="2:24" x14ac:dyDescent="0.35">
      <c r="D96">
        <f t="shared" si="6"/>
        <v>9603170379</v>
      </c>
      <c r="F96">
        <v>9603170379</v>
      </c>
      <c r="X96" s="26">
        <f t="shared" si="5"/>
        <v>9202101546</v>
      </c>
    </row>
    <row r="97" spans="4:24" x14ac:dyDescent="0.35">
      <c r="D97">
        <f t="shared" si="6"/>
        <v>9603170390</v>
      </c>
      <c r="F97">
        <v>9603170390</v>
      </c>
      <c r="X97" s="26">
        <f t="shared" si="5"/>
        <v>9202101557</v>
      </c>
    </row>
    <row r="98" spans="4:24" x14ac:dyDescent="0.35">
      <c r="D98">
        <f t="shared" si="6"/>
        <v>9603170401</v>
      </c>
      <c r="F98">
        <v>9603170401</v>
      </c>
      <c r="X98" s="26">
        <f t="shared" si="5"/>
        <v>9202101568</v>
      </c>
    </row>
    <row r="99" spans="4:24" x14ac:dyDescent="0.35">
      <c r="D99">
        <f t="shared" si="6"/>
        <v>9603170412</v>
      </c>
      <c r="F99">
        <v>9603170412</v>
      </c>
      <c r="X99" s="26">
        <f t="shared" si="5"/>
        <v>9202101579</v>
      </c>
    </row>
    <row r="100" spans="4:24" x14ac:dyDescent="0.35">
      <c r="X100" s="26">
        <f t="shared" si="5"/>
        <v>9202101590</v>
      </c>
    </row>
    <row r="101" spans="4:24" x14ac:dyDescent="0.35">
      <c r="X101" s="26">
        <f t="shared" si="5"/>
        <v>9202101601</v>
      </c>
    </row>
    <row r="102" spans="4:24" x14ac:dyDescent="0.35">
      <c r="X102" s="26">
        <f t="shared" si="5"/>
        <v>9202101612</v>
      </c>
    </row>
    <row r="103" spans="4:24" x14ac:dyDescent="0.35">
      <c r="X103" s="26">
        <f t="shared" si="5"/>
        <v>9202101623</v>
      </c>
    </row>
    <row r="104" spans="4:24" x14ac:dyDescent="0.35">
      <c r="X104" s="26">
        <f t="shared" si="5"/>
        <v>9202101634</v>
      </c>
    </row>
    <row r="105" spans="4:24" x14ac:dyDescent="0.35">
      <c r="X105" s="26">
        <f t="shared" si="5"/>
        <v>9202101645</v>
      </c>
    </row>
    <row r="106" spans="4:24" x14ac:dyDescent="0.35">
      <c r="X106" s="26">
        <f t="shared" si="5"/>
        <v>9202101656</v>
      </c>
    </row>
    <row r="107" spans="4:24" x14ac:dyDescent="0.35">
      <c r="X107" s="26">
        <f t="shared" si="5"/>
        <v>9202101667</v>
      </c>
    </row>
    <row r="108" spans="4:24" x14ac:dyDescent="0.35">
      <c r="X108" s="26">
        <f t="shared" si="5"/>
        <v>9202101678</v>
      </c>
    </row>
    <row r="109" spans="4:24" x14ac:dyDescent="0.35">
      <c r="X109" s="26">
        <f t="shared" si="5"/>
        <v>9202101689</v>
      </c>
    </row>
    <row r="110" spans="4:24" x14ac:dyDescent="0.35">
      <c r="X110" s="26">
        <f t="shared" si="5"/>
        <v>9202101700</v>
      </c>
    </row>
    <row r="111" spans="4:24" x14ac:dyDescent="0.35">
      <c r="X111" s="26">
        <f t="shared" si="5"/>
        <v>9202101711</v>
      </c>
    </row>
    <row r="112" spans="4:24" x14ac:dyDescent="0.35">
      <c r="X112" s="26">
        <f t="shared" si="5"/>
        <v>9202101722</v>
      </c>
    </row>
    <row r="113" spans="24:24" x14ac:dyDescent="0.35">
      <c r="X113" s="26">
        <f t="shared" si="5"/>
        <v>9202101733</v>
      </c>
    </row>
    <row r="114" spans="24:24" x14ac:dyDescent="0.35">
      <c r="X114" s="26">
        <f t="shared" si="5"/>
        <v>9202101744</v>
      </c>
    </row>
    <row r="115" spans="24:24" x14ac:dyDescent="0.35">
      <c r="X115" s="26">
        <f t="shared" si="5"/>
        <v>9202101755</v>
      </c>
    </row>
    <row r="116" spans="24:24" x14ac:dyDescent="0.35">
      <c r="X116" s="26">
        <f t="shared" si="5"/>
        <v>9202101766</v>
      </c>
    </row>
    <row r="117" spans="24:24" x14ac:dyDescent="0.35">
      <c r="X117" s="26">
        <f t="shared" si="5"/>
        <v>9202101777</v>
      </c>
    </row>
    <row r="118" spans="24:24" x14ac:dyDescent="0.35">
      <c r="X118" s="26">
        <f t="shared" si="5"/>
        <v>9202101788</v>
      </c>
    </row>
    <row r="119" spans="24:24" x14ac:dyDescent="0.35">
      <c r="X119" s="26">
        <f t="shared" si="5"/>
        <v>9202101799</v>
      </c>
    </row>
    <row r="120" spans="24:24" x14ac:dyDescent="0.35">
      <c r="X120" s="26">
        <f t="shared" si="5"/>
        <v>9202101810</v>
      </c>
    </row>
    <row r="121" spans="24:24" x14ac:dyDescent="0.35">
      <c r="X121" s="26">
        <f t="shared" si="5"/>
        <v>9202101821</v>
      </c>
    </row>
    <row r="122" spans="24:24" x14ac:dyDescent="0.35">
      <c r="X122" s="26">
        <f t="shared" si="5"/>
        <v>9202101832</v>
      </c>
    </row>
    <row r="123" spans="24:24" x14ac:dyDescent="0.35">
      <c r="X123" s="26">
        <f t="shared" si="5"/>
        <v>9202101843</v>
      </c>
    </row>
    <row r="124" spans="24:24" x14ac:dyDescent="0.35">
      <c r="X124" s="26">
        <f t="shared" si="5"/>
        <v>9202101854</v>
      </c>
    </row>
    <row r="125" spans="24:24" x14ac:dyDescent="0.35">
      <c r="X125" s="26">
        <f t="shared" si="5"/>
        <v>9202101865</v>
      </c>
    </row>
    <row r="126" spans="24:24" x14ac:dyDescent="0.35">
      <c r="X126" s="26">
        <f t="shared" si="5"/>
        <v>9202101876</v>
      </c>
    </row>
    <row r="127" spans="24:24" x14ac:dyDescent="0.35">
      <c r="X127" s="26">
        <f t="shared" si="5"/>
        <v>9202101887</v>
      </c>
    </row>
    <row r="128" spans="24:24" x14ac:dyDescent="0.35">
      <c r="X128" s="26">
        <f t="shared" si="5"/>
        <v>9202101898</v>
      </c>
    </row>
    <row r="129" spans="24:24" x14ac:dyDescent="0.35">
      <c r="X129" s="26">
        <f t="shared" si="5"/>
        <v>9202101909</v>
      </c>
    </row>
    <row r="130" spans="24:24" x14ac:dyDescent="0.35">
      <c r="X130" s="26">
        <f t="shared" si="5"/>
        <v>9202101920</v>
      </c>
    </row>
    <row r="131" spans="24:24" x14ac:dyDescent="0.35">
      <c r="X131" s="26">
        <f t="shared" si="5"/>
        <v>9202101931</v>
      </c>
    </row>
    <row r="132" spans="24:24" x14ac:dyDescent="0.35">
      <c r="X132" s="26">
        <f t="shared" si="5"/>
        <v>9202101942</v>
      </c>
    </row>
    <row r="133" spans="24:24" x14ac:dyDescent="0.35">
      <c r="X133" s="26">
        <f t="shared" si="5"/>
        <v>9202101953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3"/>
  <sheetViews>
    <sheetView topLeftCell="A94" zoomScale="110" zoomScaleNormal="110" workbookViewId="0">
      <selection activeCell="F101" sqref="F101"/>
    </sheetView>
  </sheetViews>
  <sheetFormatPr defaultColWidth="9.1796875" defaultRowHeight="14.5" x14ac:dyDescent="0.35"/>
  <cols>
    <col min="1" max="1" width="55" bestFit="1" customWidth="1"/>
    <col min="2" max="2" width="62.81640625" customWidth="1"/>
    <col min="3" max="3" width="35.26953125" customWidth="1"/>
    <col min="4" max="4" width="38.1796875" customWidth="1"/>
    <col min="5" max="5" width="64.453125" customWidth="1"/>
    <col min="6" max="6" width="153" style="6" bestFit="1" customWidth="1"/>
    <col min="7" max="7" width="171.54296875" style="6" bestFit="1" customWidth="1"/>
    <col min="8" max="8" width="211.7265625" customWidth="1"/>
  </cols>
  <sheetData>
    <row r="1" spans="1:8" ht="74.25" customHeight="1" thickBot="1" x14ac:dyDescent="0.5">
      <c r="A1" s="7"/>
      <c r="B1" s="7" t="s">
        <v>76</v>
      </c>
      <c r="C1" s="7" t="s">
        <v>78</v>
      </c>
      <c r="D1" s="7" t="s">
        <v>77</v>
      </c>
      <c r="E1" s="7" t="s">
        <v>79</v>
      </c>
      <c r="F1" s="146" t="s">
        <v>75</v>
      </c>
      <c r="G1" s="146" t="s">
        <v>74</v>
      </c>
      <c r="H1" s="44" t="s">
        <v>94</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6" t="str">
        <f>"intRow" &amp; A2 &amp; " = comExcelWorksheet.Range(""" &amp; A2 &amp; """).Row"</f>
        <v>intRowProcess = comExcelWorksheet.Range("Process").Row</v>
      </c>
      <c r="G2" s="6"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6" si="0">"intRow" &amp; A3 &amp; ", "</f>
        <v xml:space="preserve">intRowExecutionFlag, </v>
      </c>
      <c r="C3" t="str">
        <f>C2 &amp;B3</f>
        <v xml:space="preserve">intRowProcess, intRowExecutionFlag, </v>
      </c>
      <c r="D3" t="str">
        <f t="shared" ref="D3:D66" si="1">"str" &amp; A3 &amp; ", "</f>
        <v xml:space="preserve">strExecutionFlag, </v>
      </c>
      <c r="E3" t="str">
        <f>E2 &amp;D3</f>
        <v xml:space="preserve">strProcess, strExecutionFlag, </v>
      </c>
      <c r="F3" s="6" t="str">
        <f t="shared" ref="F3:F66" si="2">"intRow" &amp; A3 &amp; " = comExcelWorksheet.Range(""" &amp; A3 &amp; """).Row"</f>
        <v>intRowExecutionFlag = comExcelWorksheet.Range("ExecutionFlag").Row</v>
      </c>
      <c r="G3" s="6" t="str">
        <f>"str" &amp; A3 &amp; " = comExcelWorksheet.Cells(intRow" &amp; A3 &amp; ", intColTestColumn).Value"</f>
        <v>strExecutionFlag = comExcelWorksheet.Cells(intRowExecutionFlag, intColTestColumn).Value</v>
      </c>
      <c r="H3" t="str">
        <f t="shared" ref="H3:H66" si="3">"Public Property Get get" &amp; A3 &amp; "() : get" &amp; A3 &amp; " = str" &amp; A3 &amp; " : End Property"</f>
        <v>Public Property Get getExecutionFlag() : getExecutionFlag = strExecutionFlag : End Property</v>
      </c>
    </row>
    <row r="4" spans="1:8" x14ac:dyDescent="0.35">
      <c r="A4" t="str">
        <f>Test_Data!D6</f>
        <v>LastRunTimeandStatus</v>
      </c>
      <c r="B4" t="str">
        <f t="shared" si="0"/>
        <v xml:space="preserve">intRowLastRunTimeandStatus, </v>
      </c>
      <c r="C4" t="str">
        <f t="shared" ref="C4:C67" si="4">C3 &amp;B4</f>
        <v xml:space="preserve">intRowProcess, intRowExecutionFlag, intRowLastRunTimeandStatus, </v>
      </c>
      <c r="D4" t="str">
        <f t="shared" si="1"/>
        <v xml:space="preserve">strLastRunTimeandStatus, </v>
      </c>
      <c r="E4" t="str">
        <f t="shared" ref="E4:E67" si="5">E3 &amp;D4</f>
        <v xml:space="preserve">strProcess, strExecutionFlag, strLastRunTimeandStatus, </v>
      </c>
      <c r="F4" s="6" t="str">
        <f t="shared" si="2"/>
        <v>intRowLastRunTimeandStatus = comExcelWorksheet.Range("LastRunTimeandStatus").Row</v>
      </c>
      <c r="G4" s="6" t="str">
        <f>"str" &amp; A4 &amp; " = comExcelWorksheet.Cells(intRow" &amp; A4 &amp; ", intColTestColumn).Value"</f>
        <v>strLastRunTimeandStatus = comExcelWorksheet.Cells(intRowLastRunTimeandStatus, intColTestColumn).Value</v>
      </c>
      <c r="H4" t="str">
        <f t="shared" si="3"/>
        <v>Public Property Get getLastRunTimeandStatus() : getLastRunTimeandStatus = strLastRunTimeandStatus : End Property</v>
      </c>
    </row>
    <row r="5" spans="1:8" x14ac:dyDescent="0.35">
      <c r="A5" t="str">
        <f>Test_Data!D7</f>
        <v>LastRunEmployeeNo</v>
      </c>
      <c r="B5" t="str">
        <f t="shared" si="0"/>
        <v xml:space="preserve">intRowLastRunEmployeeNo, </v>
      </c>
      <c r="C5" t="str">
        <f t="shared" si="4"/>
        <v xml:space="preserve">intRowProcess, intRowExecutionFlag, intRowLastRunTimeandStatus, intRowLastRunEmployeeNo, </v>
      </c>
      <c r="D5" t="str">
        <f t="shared" si="1"/>
        <v xml:space="preserve">strLastRunEmployeeNo, </v>
      </c>
      <c r="E5" t="str">
        <f t="shared" si="5"/>
        <v xml:space="preserve">strProcess, strExecutionFlag, strLastRunTimeandStatus, strLastRunEmployeeNo, </v>
      </c>
      <c r="F5" s="6" t="str">
        <f t="shared" si="2"/>
        <v>intRowLastRunEmployeeNo = comExcelWorksheet.Range("LastRunEmployeeNo").Row</v>
      </c>
      <c r="G5" s="6" t="str">
        <f t="shared" ref="G5:G68" si="6">"str" &amp; A5 &amp; " = comExcelWorksheet.Cells(intRow" &amp; A5 &amp; ", intColTestColumn).Value"</f>
        <v>strLastRunEmployeeNo = comExcelWorksheet.Cells(intRowLastRunEmployeeNo, intColTestColumn).Value</v>
      </c>
      <c r="H5" t="str">
        <f t="shared" si="3"/>
        <v>Public Property Get getLastRunEmployeeNo() : getLastRunEmployeeNo = strLastRunEmployeeNo : End Property</v>
      </c>
    </row>
    <row r="6" spans="1:8" x14ac:dyDescent="0.35">
      <c r="A6" t="str">
        <f>Test_Data!D8</f>
        <v>LastRunErrorMessage</v>
      </c>
      <c r="B6" t="str">
        <f t="shared" si="0"/>
        <v xml:space="preserve">intRowLastRunErrorMessage, </v>
      </c>
      <c r="C6" t="str">
        <f t="shared" si="4"/>
        <v xml:space="preserve">intRowProcess, intRowExecutionFlag, intRowLastRunTimeandStatus, intRowLastRunEmployeeNo, intRowLastRunErrorMessage, </v>
      </c>
      <c r="D6" t="str">
        <f t="shared" si="1"/>
        <v xml:space="preserve">strLastRunErrorMessage, </v>
      </c>
      <c r="E6" t="str">
        <f t="shared" si="5"/>
        <v xml:space="preserve">strProcess, strExecutionFlag, strLastRunTimeandStatus, strLastRunEmployeeNo, strLastRunErrorMessage, </v>
      </c>
      <c r="F6" s="6" t="str">
        <f t="shared" si="2"/>
        <v>intRowLastRunErrorMessage = comExcelWorksheet.Range("LastRunErrorMessage").Row</v>
      </c>
      <c r="G6" s="6" t="str">
        <f t="shared" si="6"/>
        <v>strLastRunErrorMessage = comExcelWorksheet.Cells(intRowLastRunErrorMessage, intColTestColumn).Value</v>
      </c>
      <c r="H6" t="str">
        <f t="shared" si="3"/>
        <v>Public Property Get getLastRunErrorMessage() : getLastRunErrorMessage = strLastRunErrorMessage : End Property</v>
      </c>
    </row>
    <row r="7" spans="1:8" x14ac:dyDescent="0.35">
      <c r="A7" t="str">
        <f>Test_Data!D9</f>
        <v>DefectDescription</v>
      </c>
      <c r="B7" t="str">
        <f t="shared" si="0"/>
        <v xml:space="preserve">intRowDefectDescription, </v>
      </c>
      <c r="C7" t="str">
        <f t="shared" si="4"/>
        <v xml:space="preserve">intRowProcess, intRowExecutionFlag, intRowLastRunTimeandStatus, intRowLastRunEmployeeNo, intRowLastRunErrorMessage, intRowDefectDescription, </v>
      </c>
      <c r="D7" t="str">
        <f t="shared" si="1"/>
        <v xml:space="preserve">strDefectDescription, </v>
      </c>
      <c r="E7" t="str">
        <f t="shared" si="5"/>
        <v xml:space="preserve">strProcess, strExecutionFlag, strLastRunTimeandStatus, strLastRunEmployeeNo, strLastRunErrorMessage, strDefectDescription, </v>
      </c>
      <c r="F7" s="6" t="str">
        <f t="shared" si="2"/>
        <v>intRowDefectDescription = comExcelWorksheet.Range("DefectDescription").Row</v>
      </c>
      <c r="G7" s="6" t="str">
        <f t="shared" si="6"/>
        <v>strDefectDescription = comExcelWorksheet.Cells(intRowDefectDescription, intColTestColumn).Value</v>
      </c>
      <c r="H7" t="str">
        <f t="shared" si="3"/>
        <v>Public Property Get getDefectDescription() : getDefectDescription = strDefectDescription : End Property</v>
      </c>
    </row>
    <row r="8" spans="1:8" x14ac:dyDescent="0.35">
      <c r="A8" t="str">
        <f>Test_Data!D10</f>
        <v>AutomationComments</v>
      </c>
      <c r="B8" t="str">
        <f t="shared" si="0"/>
        <v xml:space="preserve">intRowAutomationComments, </v>
      </c>
      <c r="C8" t="str">
        <f t="shared" si="4"/>
        <v xml:space="preserve">intRowProcess, intRowExecutionFlag, intRowLastRunTimeandStatus, intRowLastRunEmployeeNo, intRowLastRunErrorMessage, intRowDefectDescription, intRowAutomationComments, </v>
      </c>
      <c r="D8" t="str">
        <f t="shared" si="1"/>
        <v xml:space="preserve">strAutomationComments, </v>
      </c>
      <c r="E8" t="str">
        <f t="shared" si="5"/>
        <v xml:space="preserve">strProcess, strExecutionFlag, strLastRunTimeandStatus, strLastRunEmployeeNo, strLastRunErrorMessage, strDefectDescription, strAutomationComments, </v>
      </c>
      <c r="F8" s="6" t="str">
        <f t="shared" si="2"/>
        <v>intRowAutomationComments = comExcelWorksheet.Range("AutomationComments").Row</v>
      </c>
      <c r="G8" s="6" t="str">
        <f t="shared" si="6"/>
        <v>strAutomationComments = comExcelWorksheet.Cells(intRowAutomationComments, intColTestColumn).Value</v>
      </c>
      <c r="H8" t="str">
        <f t="shared" si="3"/>
        <v>Public Property Get getAutomationComments() : getAutomationComments = strAutomationComments : End Property</v>
      </c>
    </row>
    <row r="9" spans="1:8" x14ac:dyDescent="0.35">
      <c r="A9" t="str">
        <f>Test_Data!D11</f>
        <v>QAComments</v>
      </c>
      <c r="B9" t="str">
        <f t="shared" si="0"/>
        <v xml:space="preserve">intRowQAComments, </v>
      </c>
      <c r="C9" t="str">
        <f t="shared" si="4"/>
        <v xml:space="preserve">intRowProcess, intRowExecutionFlag, intRowLastRunTimeandStatus, intRowLastRunEmployeeNo, intRowLastRunErrorMessage, intRowDefectDescription, intRowAutomationComments, intRowQAComments, </v>
      </c>
      <c r="D9" t="str">
        <f t="shared" si="1"/>
        <v xml:space="preserve">strQAComments, </v>
      </c>
      <c r="E9" t="str">
        <f t="shared" si="5"/>
        <v xml:space="preserve">strProcess, strExecutionFlag, strLastRunTimeandStatus, strLastRunEmployeeNo, strLastRunErrorMessage, strDefectDescription, strAutomationComments, strQAComments, </v>
      </c>
      <c r="F9" s="6" t="str">
        <f t="shared" si="2"/>
        <v>intRowQAComments = comExcelWorksheet.Range("QAComments").Row</v>
      </c>
      <c r="G9" s="6" t="str">
        <f t="shared" si="6"/>
        <v>strQAComments = comExcelWorksheet.Cells(intRowQAComments, intColTestColumn).Value</v>
      </c>
      <c r="H9" t="str">
        <f t="shared" si="3"/>
        <v>Public Property Get getQAComments() : getQAComments = strQAComments : End Property</v>
      </c>
    </row>
    <row r="10" spans="1:8" x14ac:dyDescent="0.35">
      <c r="A10">
        <f>Test_Data!D12</f>
        <v>0</v>
      </c>
      <c r="B10" t="str">
        <f t="shared" si="0"/>
        <v xml:space="preserve">intRow0, </v>
      </c>
      <c r="C10" t="str">
        <f t="shared" si="4"/>
        <v xml:space="preserve">intRowProcess, intRowExecutionFlag, intRowLastRunTimeandStatus, intRowLastRunEmployeeNo, intRowLastRunErrorMessage, intRowDefectDescription, intRowAutomationComments, intRowQAComments, intRow0, </v>
      </c>
      <c r="D10" t="str">
        <f t="shared" si="1"/>
        <v xml:space="preserve">str0, </v>
      </c>
      <c r="E10" t="str">
        <f t="shared" si="5"/>
        <v xml:space="preserve">strProcess, strExecutionFlag, strLastRunTimeandStatus, strLastRunEmployeeNo, strLastRunErrorMessage, strDefectDescription, strAutomationComments, strQAComments, str0, </v>
      </c>
      <c r="F10" s="6" t="str">
        <f t="shared" si="2"/>
        <v>intRow0 = comExcelWorksheet.Range("0").Row</v>
      </c>
      <c r="G10" s="6" t="str">
        <f t="shared" si="6"/>
        <v>str0 = comExcelWorksheet.Cells(intRow0, intColTestColumn).Value</v>
      </c>
      <c r="H10" t="str">
        <f t="shared" si="3"/>
        <v>Public Property Get get0() : get0 = str0 : End Property</v>
      </c>
    </row>
    <row r="11" spans="1:8" x14ac:dyDescent="0.35">
      <c r="A11" t="str">
        <f>Test_Data!D13</f>
        <v>Automation Ref</v>
      </c>
      <c r="B11" t="str">
        <f t="shared" si="0"/>
        <v xml:space="preserve">intRowAutomation Ref, </v>
      </c>
      <c r="C11" t="str">
        <f t="shared" si="4"/>
        <v xml:space="preserve">intRowProcess, intRowExecutionFlag, intRowLastRunTimeandStatus, intRowLastRunEmployeeNo, intRowLastRunErrorMessage, intRowDefectDescription, intRowAutomationComments, intRowQAComments, intRow0, intRowAutomation Ref, </v>
      </c>
      <c r="D11" t="str">
        <f t="shared" si="1"/>
        <v xml:space="preserve">strAutomation Ref, </v>
      </c>
      <c r="E11" t="str">
        <f t="shared" si="5"/>
        <v xml:space="preserve">strProcess, strExecutionFlag, strLastRunTimeandStatus, strLastRunEmployeeNo, strLastRunErrorMessage, strDefectDescription, strAutomationComments, strQAComments, str0, strAutomation Ref, </v>
      </c>
      <c r="F11" s="6" t="str">
        <f t="shared" si="2"/>
        <v>intRowAutomation Ref = comExcelWorksheet.Range("Automation Ref").Row</v>
      </c>
      <c r="G11" s="6" t="str">
        <f t="shared" si="6"/>
        <v>strAutomation Ref = comExcelWorksheet.Cells(intRowAutomation Ref, intColTestColumn).Value</v>
      </c>
      <c r="H11" t="str">
        <f t="shared" si="3"/>
        <v>Public Property Get getAutomation Ref() : getAutomation Ref = strAutomation Ref : End Property</v>
      </c>
    </row>
    <row r="12" spans="1:8" x14ac:dyDescent="0.35">
      <c r="A12" t="str">
        <f>Test_Data!D14</f>
        <v>Login_Username</v>
      </c>
      <c r="B12" t="str">
        <f t="shared" si="0"/>
        <v xml:space="preserve">intRowLogin_Username, </v>
      </c>
      <c r="C12" t="str">
        <f t="shared" si="4"/>
        <v xml:space="preserve">intRowProcess, intRowExecutionFlag, intRowLastRunTimeandStatus, intRowLastRunEmployeeNo, intRowLastRunErrorMessage, intRowDefectDescription, intRowAutomationComments, intRowQAComments, intRow0, intRowAutomation Ref, intRowLogin_Username, </v>
      </c>
      <c r="D12" t="str">
        <f t="shared" si="1"/>
        <v xml:space="preserve">strLogin_Username, </v>
      </c>
      <c r="E12" t="str">
        <f t="shared" si="5"/>
        <v xml:space="preserve">strProcess, strExecutionFlag, strLastRunTimeandStatus, strLastRunEmployeeNo, strLastRunErrorMessage, strDefectDescription, strAutomationComments, strQAComments, str0, strAutomation Ref, strLogin_Username, </v>
      </c>
      <c r="F12" s="6" t="str">
        <f t="shared" si="2"/>
        <v>intRowLogin_Username = comExcelWorksheet.Range("Login_Username").Row</v>
      </c>
      <c r="G12" s="6" t="str">
        <f t="shared" si="6"/>
        <v>strLogin_Username = comExcelWorksheet.Cells(intRowLogin_Username, intColTestColumn).Value</v>
      </c>
      <c r="H12" t="str">
        <f t="shared" si="3"/>
        <v>Public Property Get getLogin_Username() : getLogin_Username = strLogin_Username : End Property</v>
      </c>
    </row>
    <row r="13" spans="1:8" x14ac:dyDescent="0.35">
      <c r="A13" t="str">
        <f>Test_Data!D15</f>
        <v>Login_Password</v>
      </c>
      <c r="B13" t="str">
        <f t="shared" si="0"/>
        <v xml:space="preserve">intRowLogin_Password, </v>
      </c>
      <c r="C13" t="str">
        <f t="shared" si="4"/>
        <v xml:space="preserve">intRowProcess, intRowExecutionFlag, intRowLastRunTimeandStatus, intRowLastRunEmployeeNo, intRowLastRunErrorMessage, intRowDefectDescription, intRowAutomationComments, intRowQAComments, intRow0, intRowAutomation Ref, intRowLogin_Username, intRowLogin_Password, </v>
      </c>
      <c r="D13" t="str">
        <f t="shared" si="1"/>
        <v xml:space="preserve">strLogin_Password, </v>
      </c>
      <c r="E13" t="str">
        <f t="shared" si="5"/>
        <v xml:space="preserve">strProcess, strExecutionFlag, strLastRunTimeandStatus, strLastRunEmployeeNo, strLastRunErrorMessage, strDefectDescription, strAutomationComments, strQAComments, str0, strAutomation Ref, strLogin_Username, strLogin_Password, </v>
      </c>
      <c r="F13" s="6" t="str">
        <f t="shared" si="2"/>
        <v>intRowLogin_Password = comExcelWorksheet.Range("Login_Password").Row</v>
      </c>
      <c r="G13" s="6" t="str">
        <f t="shared" si="6"/>
        <v>strLogin_Password = comExcelWorksheet.Cells(intRowLogin_Password, intColTestColumn).Value</v>
      </c>
      <c r="H13" t="str">
        <f t="shared" si="3"/>
        <v>Public Property Get getLogin_Password() : getLogin_Password = strLogin_Password : End Property</v>
      </c>
    </row>
    <row r="14" spans="1:8" x14ac:dyDescent="0.35">
      <c r="A14" t="str">
        <f>Test_Data!D20</f>
        <v>SupervisoryOrganisation_SupervisoryOrganisation</v>
      </c>
      <c r="B14" t="str">
        <f t="shared" si="0"/>
        <v xml:space="preserve">intRowSupervisoryOrganisation_SupervisoryOrganisation, </v>
      </c>
      <c r="C14" t="str">
        <f t="shared" si="4"/>
        <v xml:space="preserve">intRowProcess, intRowExecutionFlag, intRowLastRunTimeandStatus, intRowLastRunEmployeeNo, intRowLastRunErrorMessage, intRowDefectDescription, intRowAutomationComments, intRowQAComments, intRow0, intRowAutomation Ref, intRowLogin_Username, intRowLogin_Password, intRowSupervisoryOrganisation_SupervisoryOrganisation, </v>
      </c>
      <c r="D14" t="str">
        <f t="shared" si="1"/>
        <v xml:space="preserve">strSupervisoryOrganisation_SupervisoryOrganisation, </v>
      </c>
      <c r="E14" t="str">
        <f t="shared" si="5"/>
        <v xml:space="preserve">strProcess, strExecutionFlag, strLastRunTimeandStatus, strLastRunEmployeeNo, strLastRunErrorMessage, strDefectDescription, strAutomationComments, strQAComments, str0, strAutomation Ref, strLogin_Username, strLogin_Password, strSupervisoryOrganisation_SupervisoryOrganisation, </v>
      </c>
      <c r="F14" s="6" t="str">
        <f t="shared" si="2"/>
        <v>intRowSupervisoryOrganisation_SupervisoryOrganisation = comExcelWorksheet.Range("SupervisoryOrganisation_SupervisoryOrganisation").Row</v>
      </c>
      <c r="G14" s="6" t="str">
        <f t="shared" si="6"/>
        <v>strSupervisoryOrganisation_SupervisoryOrganisation = comExcelWorksheet.Cells(intRowSupervisoryOrganisation_SupervisoryOrganisation, intColTestColumn).Value</v>
      </c>
      <c r="H14" t="str">
        <f t="shared" si="3"/>
        <v>Public Property Get getSupervisoryOrganisation_SupervisoryOrganisation() : getSupervisoryOrganisation_SupervisoryOrganisation = strSupervisoryOrganisation_SupervisoryOrganisation : End Property</v>
      </c>
    </row>
    <row r="15" spans="1:8" x14ac:dyDescent="0.35">
      <c r="A15" t="e">
        <f>Test_Data!#REF!</f>
        <v>#REF!</v>
      </c>
      <c r="B15" t="e">
        <f t="shared" si="0"/>
        <v>#REF!</v>
      </c>
      <c r="C15" t="e">
        <f t="shared" si="4"/>
        <v>#REF!</v>
      </c>
      <c r="D15" t="e">
        <f t="shared" si="1"/>
        <v>#REF!</v>
      </c>
      <c r="E15" t="e">
        <f t="shared" si="5"/>
        <v>#REF!</v>
      </c>
      <c r="F15" s="6" t="e">
        <f t="shared" si="2"/>
        <v>#REF!</v>
      </c>
      <c r="G15" s="6" t="e">
        <f t="shared" si="6"/>
        <v>#REF!</v>
      </c>
      <c r="H15" t="e">
        <f t="shared" si="3"/>
        <v>#REF!</v>
      </c>
    </row>
    <row r="16" spans="1:8" x14ac:dyDescent="0.35">
      <c r="A16" t="e">
        <f>Test_Data!#REF!</f>
        <v>#REF!</v>
      </c>
      <c r="B16" t="e">
        <f t="shared" si="0"/>
        <v>#REF!</v>
      </c>
      <c r="C16" t="e">
        <f t="shared" si="4"/>
        <v>#REF!</v>
      </c>
      <c r="D16" t="e">
        <f t="shared" si="1"/>
        <v>#REF!</v>
      </c>
      <c r="E16" t="e">
        <f t="shared" si="5"/>
        <v>#REF!</v>
      </c>
      <c r="F16" s="6" t="e">
        <f t="shared" si="2"/>
        <v>#REF!</v>
      </c>
      <c r="G16" s="6" t="e">
        <f t="shared" si="6"/>
        <v>#REF!</v>
      </c>
      <c r="H16" t="e">
        <f t="shared" si="3"/>
        <v>#REF!</v>
      </c>
    </row>
    <row r="17" spans="1:8" x14ac:dyDescent="0.35">
      <c r="A17" t="e">
        <f>Test_Data!#REF!</f>
        <v>#REF!</v>
      </c>
      <c r="B17" t="e">
        <f t="shared" si="0"/>
        <v>#REF!</v>
      </c>
      <c r="C17" t="e">
        <f t="shared" si="4"/>
        <v>#REF!</v>
      </c>
      <c r="D17" t="e">
        <f t="shared" si="1"/>
        <v>#REF!</v>
      </c>
      <c r="E17" t="e">
        <f t="shared" si="5"/>
        <v>#REF!</v>
      </c>
      <c r="F17" s="6" t="e">
        <f t="shared" si="2"/>
        <v>#REF!</v>
      </c>
      <c r="G17" s="6" t="e">
        <f t="shared" si="6"/>
        <v>#REF!</v>
      </c>
      <c r="H17" t="e">
        <f t="shared" si="3"/>
        <v>#REF!</v>
      </c>
    </row>
    <row r="18" spans="1:8" x14ac:dyDescent="0.35">
      <c r="A18" t="e">
        <f>Test_Data!#REF!</f>
        <v>#REF!</v>
      </c>
      <c r="B18" t="e">
        <f t="shared" si="0"/>
        <v>#REF!</v>
      </c>
      <c r="C18" t="e">
        <f t="shared" si="4"/>
        <v>#REF!</v>
      </c>
      <c r="D18" t="e">
        <f t="shared" si="1"/>
        <v>#REF!</v>
      </c>
      <c r="E18" t="e">
        <f t="shared" si="5"/>
        <v>#REF!</v>
      </c>
      <c r="F18" s="6" t="e">
        <f t="shared" si="2"/>
        <v>#REF!</v>
      </c>
      <c r="G18" s="6" t="e">
        <f t="shared" si="6"/>
        <v>#REF!</v>
      </c>
      <c r="H18" t="e">
        <f t="shared" si="3"/>
        <v>#REF!</v>
      </c>
    </row>
    <row r="19" spans="1:8" x14ac:dyDescent="0.35">
      <c r="A19" t="e">
        <f>Test_Data!#REF!</f>
        <v>#REF!</v>
      </c>
      <c r="B19" t="e">
        <f t="shared" si="0"/>
        <v>#REF!</v>
      </c>
      <c r="C19" t="e">
        <f t="shared" si="4"/>
        <v>#REF!</v>
      </c>
      <c r="D19" t="e">
        <f t="shared" si="1"/>
        <v>#REF!</v>
      </c>
      <c r="E19" t="e">
        <f t="shared" si="5"/>
        <v>#REF!</v>
      </c>
      <c r="F19" s="6" t="e">
        <f t="shared" si="2"/>
        <v>#REF!</v>
      </c>
      <c r="G19" s="6" t="e">
        <f t="shared" si="6"/>
        <v>#REF!</v>
      </c>
      <c r="H19" t="e">
        <f t="shared" si="3"/>
        <v>#REF!</v>
      </c>
    </row>
    <row r="20" spans="1:8" x14ac:dyDescent="0.35">
      <c r="A20" t="e">
        <f>Test_Data!#REF!</f>
        <v>#REF!</v>
      </c>
      <c r="B20" t="e">
        <f t="shared" si="0"/>
        <v>#REF!</v>
      </c>
      <c r="C20" t="e">
        <f t="shared" si="4"/>
        <v>#REF!</v>
      </c>
      <c r="D20" t="e">
        <f t="shared" si="1"/>
        <v>#REF!</v>
      </c>
      <c r="E20" t="e">
        <f t="shared" si="5"/>
        <v>#REF!</v>
      </c>
      <c r="F20" s="6" t="e">
        <f t="shared" si="2"/>
        <v>#REF!</v>
      </c>
      <c r="G20" s="6" t="e">
        <f t="shared" si="6"/>
        <v>#REF!</v>
      </c>
      <c r="H20" t="e">
        <f t="shared" si="3"/>
        <v>#REF!</v>
      </c>
    </row>
    <row r="21" spans="1:8" x14ac:dyDescent="0.35">
      <c r="A21" t="e">
        <f>Test_Data!#REF!</f>
        <v>#REF!</v>
      </c>
      <c r="B21" t="e">
        <f t="shared" si="0"/>
        <v>#REF!</v>
      </c>
      <c r="C21" t="e">
        <f t="shared" si="4"/>
        <v>#REF!</v>
      </c>
      <c r="D21" t="e">
        <f t="shared" si="1"/>
        <v>#REF!</v>
      </c>
      <c r="E21" t="e">
        <f t="shared" si="5"/>
        <v>#REF!</v>
      </c>
      <c r="F21" s="6" t="e">
        <f t="shared" si="2"/>
        <v>#REF!</v>
      </c>
      <c r="G21" s="6" t="e">
        <f t="shared" si="6"/>
        <v>#REF!</v>
      </c>
      <c r="H21" t="e">
        <f t="shared" si="3"/>
        <v>#REF!</v>
      </c>
    </row>
    <row r="22" spans="1:8" x14ac:dyDescent="0.35">
      <c r="A22" t="e">
        <f>Test_Data!#REF!</f>
        <v>#REF!</v>
      </c>
      <c r="B22" t="e">
        <f t="shared" si="0"/>
        <v>#REF!</v>
      </c>
      <c r="C22" t="e">
        <f t="shared" si="4"/>
        <v>#REF!</v>
      </c>
      <c r="D22" t="e">
        <f t="shared" si="1"/>
        <v>#REF!</v>
      </c>
      <c r="E22" t="e">
        <f t="shared" si="5"/>
        <v>#REF!</v>
      </c>
      <c r="F22" s="6" t="e">
        <f t="shared" si="2"/>
        <v>#REF!</v>
      </c>
      <c r="G22" s="6" t="e">
        <f t="shared" si="6"/>
        <v>#REF!</v>
      </c>
      <c r="H22" t="e">
        <f t="shared" si="3"/>
        <v>#REF!</v>
      </c>
    </row>
    <row r="23" spans="1:8" x14ac:dyDescent="0.35">
      <c r="A23" t="e">
        <f>Test_Data!#REF!</f>
        <v>#REF!</v>
      </c>
      <c r="B23" t="e">
        <f t="shared" si="0"/>
        <v>#REF!</v>
      </c>
      <c r="C23" t="e">
        <f t="shared" si="4"/>
        <v>#REF!</v>
      </c>
      <c r="D23" t="e">
        <f t="shared" si="1"/>
        <v>#REF!</v>
      </c>
      <c r="E23" t="e">
        <f t="shared" si="5"/>
        <v>#REF!</v>
      </c>
      <c r="F23" s="6" t="e">
        <f t="shared" si="2"/>
        <v>#REF!</v>
      </c>
      <c r="G23" s="6" t="e">
        <f t="shared" si="6"/>
        <v>#REF!</v>
      </c>
      <c r="H23" t="e">
        <f t="shared" si="3"/>
        <v>#REF!</v>
      </c>
    </row>
    <row r="24" spans="1:8" x14ac:dyDescent="0.35">
      <c r="A24" t="e">
        <f>Test_Data!#REF!</f>
        <v>#REF!</v>
      </c>
      <c r="B24" t="e">
        <f t="shared" si="0"/>
        <v>#REF!</v>
      </c>
      <c r="C24" t="e">
        <f t="shared" si="4"/>
        <v>#REF!</v>
      </c>
      <c r="D24" t="e">
        <f t="shared" si="1"/>
        <v>#REF!</v>
      </c>
      <c r="E24" t="e">
        <f t="shared" si="5"/>
        <v>#REF!</v>
      </c>
      <c r="F24" s="6" t="e">
        <f t="shared" si="2"/>
        <v>#REF!</v>
      </c>
      <c r="G24" s="6" t="e">
        <f t="shared" si="6"/>
        <v>#REF!</v>
      </c>
      <c r="H24" t="e">
        <f t="shared" si="3"/>
        <v>#REF!</v>
      </c>
    </row>
    <row r="25" spans="1:8" x14ac:dyDescent="0.35">
      <c r="A25" t="e">
        <f>Test_Data!#REF!</f>
        <v>#REF!</v>
      </c>
      <c r="B25" t="e">
        <f t="shared" si="0"/>
        <v>#REF!</v>
      </c>
      <c r="C25" t="e">
        <f t="shared" si="4"/>
        <v>#REF!</v>
      </c>
      <c r="D25" t="e">
        <f t="shared" si="1"/>
        <v>#REF!</v>
      </c>
      <c r="E25" t="e">
        <f t="shared" si="5"/>
        <v>#REF!</v>
      </c>
      <c r="F25" s="6" t="e">
        <f t="shared" si="2"/>
        <v>#REF!</v>
      </c>
      <c r="G25" s="6" t="e">
        <f t="shared" si="6"/>
        <v>#REF!</v>
      </c>
      <c r="H25" t="e">
        <f t="shared" si="3"/>
        <v>#REF!</v>
      </c>
    </row>
    <row r="26" spans="1:8" x14ac:dyDescent="0.35">
      <c r="A26" t="e">
        <f>Test_Data!#REF!</f>
        <v>#REF!</v>
      </c>
      <c r="B26" t="e">
        <f t="shared" si="0"/>
        <v>#REF!</v>
      </c>
      <c r="C26" t="e">
        <f t="shared" si="4"/>
        <v>#REF!</v>
      </c>
      <c r="D26" t="e">
        <f t="shared" si="1"/>
        <v>#REF!</v>
      </c>
      <c r="E26" t="e">
        <f t="shared" si="5"/>
        <v>#REF!</v>
      </c>
      <c r="F26" s="6" t="e">
        <f t="shared" si="2"/>
        <v>#REF!</v>
      </c>
      <c r="G26" s="6" t="e">
        <f t="shared" si="6"/>
        <v>#REF!</v>
      </c>
      <c r="H26" t="e">
        <f t="shared" si="3"/>
        <v>#REF!</v>
      </c>
    </row>
    <row r="27" spans="1:8" x14ac:dyDescent="0.35">
      <c r="A27" t="e">
        <f>Test_Data!#REF!</f>
        <v>#REF!</v>
      </c>
      <c r="B27" t="e">
        <f t="shared" si="0"/>
        <v>#REF!</v>
      </c>
      <c r="C27" t="e">
        <f t="shared" si="4"/>
        <v>#REF!</v>
      </c>
      <c r="D27" t="e">
        <f t="shared" si="1"/>
        <v>#REF!</v>
      </c>
      <c r="E27" t="e">
        <f t="shared" si="5"/>
        <v>#REF!</v>
      </c>
      <c r="F27" s="6" t="e">
        <f t="shared" si="2"/>
        <v>#REF!</v>
      </c>
      <c r="G27" s="6" t="e">
        <f t="shared" si="6"/>
        <v>#REF!</v>
      </c>
      <c r="H27" t="e">
        <f t="shared" si="3"/>
        <v>#REF!</v>
      </c>
    </row>
    <row r="28" spans="1:8" x14ac:dyDescent="0.35">
      <c r="A28" t="e">
        <f>Test_Data!#REF!</f>
        <v>#REF!</v>
      </c>
      <c r="B28" t="e">
        <f t="shared" si="0"/>
        <v>#REF!</v>
      </c>
      <c r="C28" t="e">
        <f t="shared" si="4"/>
        <v>#REF!</v>
      </c>
      <c r="D28" t="e">
        <f t="shared" si="1"/>
        <v>#REF!</v>
      </c>
      <c r="E28" t="e">
        <f t="shared" si="5"/>
        <v>#REF!</v>
      </c>
      <c r="F28" s="6" t="e">
        <f t="shared" si="2"/>
        <v>#REF!</v>
      </c>
      <c r="G28" s="6" t="e">
        <f t="shared" si="6"/>
        <v>#REF!</v>
      </c>
      <c r="H28" t="e">
        <f t="shared" si="3"/>
        <v>#REF!</v>
      </c>
    </row>
    <row r="29" spans="1:8" x14ac:dyDescent="0.35">
      <c r="A29" t="e">
        <f>Test_Data!#REF!</f>
        <v>#REF!</v>
      </c>
      <c r="B29" t="e">
        <f t="shared" si="0"/>
        <v>#REF!</v>
      </c>
      <c r="C29" t="e">
        <f t="shared" si="4"/>
        <v>#REF!</v>
      </c>
      <c r="D29" t="e">
        <f t="shared" si="1"/>
        <v>#REF!</v>
      </c>
      <c r="E29" t="e">
        <f t="shared" si="5"/>
        <v>#REF!</v>
      </c>
      <c r="F29" s="6" t="e">
        <f t="shared" si="2"/>
        <v>#REF!</v>
      </c>
      <c r="G29" s="6" t="e">
        <f t="shared" si="6"/>
        <v>#REF!</v>
      </c>
      <c r="H29" t="e">
        <f t="shared" si="3"/>
        <v>#REF!</v>
      </c>
    </row>
    <row r="30" spans="1:8" x14ac:dyDescent="0.35">
      <c r="A30" t="e">
        <f>Test_Data!#REF!</f>
        <v>#REF!</v>
      </c>
      <c r="B30" t="e">
        <f t="shared" si="0"/>
        <v>#REF!</v>
      </c>
      <c r="C30" t="e">
        <f t="shared" si="4"/>
        <v>#REF!</v>
      </c>
      <c r="D30" t="e">
        <f t="shared" si="1"/>
        <v>#REF!</v>
      </c>
      <c r="E30" t="e">
        <f t="shared" si="5"/>
        <v>#REF!</v>
      </c>
      <c r="F30" s="6" t="e">
        <f t="shared" si="2"/>
        <v>#REF!</v>
      </c>
      <c r="G30" s="6" t="e">
        <f t="shared" si="6"/>
        <v>#REF!</v>
      </c>
      <c r="H30" t="e">
        <f t="shared" si="3"/>
        <v>#REF!</v>
      </c>
    </row>
    <row r="31" spans="1:8" x14ac:dyDescent="0.35">
      <c r="A31" t="e">
        <f>Test_Data!#REF!</f>
        <v>#REF!</v>
      </c>
      <c r="B31" t="e">
        <f t="shared" si="0"/>
        <v>#REF!</v>
      </c>
      <c r="C31" t="e">
        <f t="shared" si="4"/>
        <v>#REF!</v>
      </c>
      <c r="D31" t="e">
        <f t="shared" si="1"/>
        <v>#REF!</v>
      </c>
      <c r="E31" t="e">
        <f t="shared" si="5"/>
        <v>#REF!</v>
      </c>
      <c r="F31" s="6" t="e">
        <f t="shared" si="2"/>
        <v>#REF!</v>
      </c>
      <c r="G31" s="6" t="e">
        <f t="shared" si="6"/>
        <v>#REF!</v>
      </c>
      <c r="H31" t="e">
        <f t="shared" si="3"/>
        <v>#REF!</v>
      </c>
    </row>
    <row r="32" spans="1:8" x14ac:dyDescent="0.35">
      <c r="A32" t="e">
        <f>Test_Data!#REF!</f>
        <v>#REF!</v>
      </c>
      <c r="B32" t="e">
        <f t="shared" si="0"/>
        <v>#REF!</v>
      </c>
      <c r="C32" t="e">
        <f t="shared" si="4"/>
        <v>#REF!</v>
      </c>
      <c r="D32" t="e">
        <f t="shared" si="1"/>
        <v>#REF!</v>
      </c>
      <c r="E32" t="e">
        <f t="shared" si="5"/>
        <v>#REF!</v>
      </c>
      <c r="F32" s="6" t="e">
        <f t="shared" si="2"/>
        <v>#REF!</v>
      </c>
      <c r="G32" s="6" t="e">
        <f t="shared" si="6"/>
        <v>#REF!</v>
      </c>
      <c r="H32" t="e">
        <f t="shared" si="3"/>
        <v>#REF!</v>
      </c>
    </row>
    <row r="33" spans="1:8" x14ac:dyDescent="0.35">
      <c r="A33" t="str">
        <f>Test_Data!D22</f>
        <v>JobDetails_HireDate</v>
      </c>
      <c r="B33" t="str">
        <f t="shared" si="0"/>
        <v xml:space="preserve">intRowJobDetails_HireDate, </v>
      </c>
      <c r="C33" t="e">
        <f t="shared" si="4"/>
        <v>#REF!</v>
      </c>
      <c r="D33" t="str">
        <f t="shared" si="1"/>
        <v xml:space="preserve">strJobDetails_HireDate, </v>
      </c>
      <c r="E33" t="e">
        <f t="shared" si="5"/>
        <v>#REF!</v>
      </c>
      <c r="F33" s="6" t="str">
        <f t="shared" si="2"/>
        <v>intRowJobDetails_HireDate = comExcelWorksheet.Range("JobDetails_HireDate").Row</v>
      </c>
      <c r="G33" s="6" t="str">
        <f t="shared" si="6"/>
        <v>strJobDetails_HireDate = comExcelWorksheet.Cells(intRowJobDetails_HireDate, intColTestColumn).Value</v>
      </c>
      <c r="H33" t="str">
        <f t="shared" si="3"/>
        <v>Public Property Get getJobDetails_HireDate() : getJobDetails_HireDate = strJobDetails_HireDate : End Property</v>
      </c>
    </row>
    <row r="34" spans="1:8" x14ac:dyDescent="0.35">
      <c r="A34" t="str">
        <f>Test_Data!D23</f>
        <v>JobDetails_Reason</v>
      </c>
      <c r="B34" t="str">
        <f t="shared" si="0"/>
        <v xml:space="preserve">intRowJobDetails_Reason, </v>
      </c>
      <c r="C34" t="e">
        <f t="shared" si="4"/>
        <v>#REF!</v>
      </c>
      <c r="D34" t="str">
        <f t="shared" si="1"/>
        <v xml:space="preserve">strJobDetails_Reason, </v>
      </c>
      <c r="E34" t="e">
        <f t="shared" si="5"/>
        <v>#REF!</v>
      </c>
      <c r="F34" s="6" t="str">
        <f t="shared" si="2"/>
        <v>intRowJobDetails_Reason = comExcelWorksheet.Range("JobDetails_Reason").Row</v>
      </c>
      <c r="G34" s="6" t="str">
        <f t="shared" si="6"/>
        <v>strJobDetails_Reason = comExcelWorksheet.Cells(intRowJobDetails_Reason, intColTestColumn).Value</v>
      </c>
      <c r="H34" t="str">
        <f t="shared" si="3"/>
        <v>Public Property Get getJobDetails_Reason() : getJobDetails_Reason = strJobDetails_Reason : End Property</v>
      </c>
    </row>
    <row r="35" spans="1:8" x14ac:dyDescent="0.35">
      <c r="A35" t="str">
        <f>Test_Data!D24</f>
        <v>JobDetails_Position</v>
      </c>
      <c r="B35" t="str">
        <f t="shared" si="0"/>
        <v xml:space="preserve">intRowJobDetails_Position, </v>
      </c>
      <c r="C35" t="e">
        <f t="shared" si="4"/>
        <v>#REF!</v>
      </c>
      <c r="D35" t="str">
        <f t="shared" si="1"/>
        <v xml:space="preserve">strJobDetails_Position, </v>
      </c>
      <c r="E35" t="e">
        <f t="shared" si="5"/>
        <v>#REF!</v>
      </c>
      <c r="F35" s="6" t="str">
        <f t="shared" si="2"/>
        <v>intRowJobDetails_Position = comExcelWorksheet.Range("JobDetails_Position").Row</v>
      </c>
      <c r="G35" s="6" t="str">
        <f t="shared" si="6"/>
        <v>strJobDetails_Position = comExcelWorksheet.Cells(intRowJobDetails_Position, intColTestColumn).Value</v>
      </c>
      <c r="H35" t="str">
        <f t="shared" si="3"/>
        <v>Public Property Get getJobDetails_Position() : getJobDetails_Position = strJobDetails_Position : End Property</v>
      </c>
    </row>
    <row r="36" spans="1:8" x14ac:dyDescent="0.35">
      <c r="A36" t="str">
        <f>Test_Data!D25</f>
        <v>JobDetails_EmployeeType</v>
      </c>
      <c r="B36" t="str">
        <f t="shared" si="0"/>
        <v xml:space="preserve">intRowJobDetails_EmployeeType, </v>
      </c>
      <c r="C36" t="e">
        <f t="shared" si="4"/>
        <v>#REF!</v>
      </c>
      <c r="D36" t="str">
        <f t="shared" si="1"/>
        <v xml:space="preserve">strJobDetails_EmployeeType, </v>
      </c>
      <c r="E36" t="e">
        <f t="shared" si="5"/>
        <v>#REF!</v>
      </c>
      <c r="F36" s="6" t="str">
        <f t="shared" si="2"/>
        <v>intRowJobDetails_EmployeeType = comExcelWorksheet.Range("JobDetails_EmployeeType").Row</v>
      </c>
      <c r="G36" s="6" t="str">
        <f t="shared" si="6"/>
        <v>strJobDetails_EmployeeType = comExcelWorksheet.Cells(intRowJobDetails_EmployeeType, intColTestColumn).Value</v>
      </c>
      <c r="H36" t="str">
        <f t="shared" si="3"/>
        <v>Public Property Get getJobDetails_EmployeeType() : getJobDetails_EmployeeType = strJobDetails_EmployeeType : End Property</v>
      </c>
    </row>
    <row r="37" spans="1:8" x14ac:dyDescent="0.35">
      <c r="A37" t="str">
        <f>Test_Data!D26</f>
        <v>JobDetails_JobProfile</v>
      </c>
      <c r="B37" t="str">
        <f t="shared" si="0"/>
        <v xml:space="preserve">intRowJobDetails_JobProfile, </v>
      </c>
      <c r="C37" t="e">
        <f t="shared" si="4"/>
        <v>#REF!</v>
      </c>
      <c r="D37" t="str">
        <f t="shared" si="1"/>
        <v xml:space="preserve">strJobDetails_JobProfile, </v>
      </c>
      <c r="E37" t="e">
        <f t="shared" si="5"/>
        <v>#REF!</v>
      </c>
      <c r="F37" s="6" t="str">
        <f t="shared" si="2"/>
        <v>intRowJobDetails_JobProfile = comExcelWorksheet.Range("JobDetails_JobProfile").Row</v>
      </c>
      <c r="G37" s="6" t="str">
        <f t="shared" si="6"/>
        <v>strJobDetails_JobProfile = comExcelWorksheet.Cells(intRowJobDetails_JobProfile, intColTestColumn).Value</v>
      </c>
      <c r="H37" t="str">
        <f t="shared" si="3"/>
        <v>Public Property Get getJobDetails_JobProfile() : getJobDetails_JobProfile = strJobDetails_JobProfile : End Property</v>
      </c>
    </row>
    <row r="38" spans="1:8" x14ac:dyDescent="0.35">
      <c r="A38" t="str">
        <f>Test_Data!D27</f>
        <v>JobDetails_TimeType</v>
      </c>
      <c r="B38" t="str">
        <f t="shared" si="0"/>
        <v xml:space="preserve">intRowJobDetails_TimeType, </v>
      </c>
      <c r="C38" t="e">
        <f t="shared" si="4"/>
        <v>#REF!</v>
      </c>
      <c r="D38" t="str">
        <f t="shared" si="1"/>
        <v xml:space="preserve">strJobDetails_TimeType, </v>
      </c>
      <c r="E38" t="e">
        <f t="shared" si="5"/>
        <v>#REF!</v>
      </c>
      <c r="F38" s="6" t="str">
        <f t="shared" si="2"/>
        <v>intRowJobDetails_TimeType = comExcelWorksheet.Range("JobDetails_TimeType").Row</v>
      </c>
      <c r="G38" s="6" t="str">
        <f t="shared" si="6"/>
        <v>strJobDetails_TimeType = comExcelWorksheet.Cells(intRowJobDetails_TimeType, intColTestColumn).Value</v>
      </c>
      <c r="H38" t="str">
        <f t="shared" si="3"/>
        <v>Public Property Get getJobDetails_TimeType() : getJobDetails_TimeType = strJobDetails_TimeType : End Property</v>
      </c>
    </row>
    <row r="39" spans="1:8" x14ac:dyDescent="0.35">
      <c r="A39" t="str">
        <f>Test_Data!D28</f>
        <v>JobDetails_Location</v>
      </c>
      <c r="B39" t="str">
        <f t="shared" si="0"/>
        <v xml:space="preserve">intRowJobDetails_Location, </v>
      </c>
      <c r="C39" t="e">
        <f t="shared" si="4"/>
        <v>#REF!</v>
      </c>
      <c r="D39" t="str">
        <f t="shared" si="1"/>
        <v xml:space="preserve">strJobDetails_Location, </v>
      </c>
      <c r="E39" t="e">
        <f t="shared" si="5"/>
        <v>#REF!</v>
      </c>
      <c r="F39" s="6" t="str">
        <f t="shared" si="2"/>
        <v>intRowJobDetails_Location = comExcelWorksheet.Range("JobDetails_Location").Row</v>
      </c>
      <c r="G39" s="6" t="str">
        <f t="shared" si="6"/>
        <v>strJobDetails_Location = comExcelWorksheet.Cells(intRowJobDetails_Location, intColTestColumn).Value</v>
      </c>
      <c r="H39" t="str">
        <f t="shared" si="3"/>
        <v>Public Property Get getJobDetails_Location() : getJobDetails_Location = strJobDetails_Location : End Property</v>
      </c>
    </row>
    <row r="40" spans="1:8" x14ac:dyDescent="0.35">
      <c r="A40" t="str">
        <f>Test_Data!D29</f>
        <v>JobDetails_AdditionalInformation_ScheduledWeeklyHours</v>
      </c>
      <c r="B40" t="str">
        <f t="shared" si="0"/>
        <v xml:space="preserve">intRowJobDetails_AdditionalInformation_ScheduledWeeklyHours, </v>
      </c>
      <c r="C40" t="e">
        <f t="shared" si="4"/>
        <v>#REF!</v>
      </c>
      <c r="D40" t="str">
        <f t="shared" si="1"/>
        <v xml:space="preserve">strJobDetails_AdditionalInformation_ScheduledWeeklyHours, </v>
      </c>
      <c r="E40" t="e">
        <f t="shared" si="5"/>
        <v>#REF!</v>
      </c>
      <c r="F40" s="6" t="str">
        <f t="shared" si="2"/>
        <v>intRowJobDetails_AdditionalInformation_ScheduledWeeklyHours = comExcelWorksheet.Range("JobDetails_AdditionalInformation_ScheduledWeeklyHours").Row</v>
      </c>
      <c r="G40" s="6" t="str">
        <f t="shared" si="6"/>
        <v>strJobDetails_AdditionalInformation_ScheduledWeeklyHours = comExcelWorksheet.Cells(intRowJobDetails_AdditionalInformation_ScheduledWeeklyHours, intColTestColumn).Value</v>
      </c>
      <c r="H40" t="str">
        <f t="shared" si="3"/>
        <v>Public Property Get getJobDetails_AdditionalInformation_ScheduledWeeklyHours() : getJobDetails_AdditionalInformation_ScheduledWeeklyHours = strJobDetails_AdditionalInformation_ScheduledWeeklyHours : End Property</v>
      </c>
    </row>
    <row r="41" spans="1:8" x14ac:dyDescent="0.35">
      <c r="A41" t="str">
        <f>Test_Data!D31</f>
        <v>JobDetails_AdditionalInformation_WorkShift</v>
      </c>
      <c r="B41" t="str">
        <f t="shared" si="0"/>
        <v xml:space="preserve">intRowJobDetails_AdditionalInformation_WorkShift, </v>
      </c>
      <c r="C41" t="e">
        <f t="shared" si="4"/>
        <v>#REF!</v>
      </c>
      <c r="D41" t="str">
        <f t="shared" si="1"/>
        <v xml:space="preserve">strJobDetails_AdditionalInformation_WorkShift, </v>
      </c>
      <c r="E41" t="e">
        <f t="shared" si="5"/>
        <v>#REF!</v>
      </c>
      <c r="F41" s="6" t="str">
        <f t="shared" si="2"/>
        <v>intRowJobDetails_AdditionalInformation_WorkShift = comExcelWorksheet.Range("JobDetails_AdditionalInformation_WorkShift").Row</v>
      </c>
      <c r="G41" s="6" t="str">
        <f t="shared" si="6"/>
        <v>strJobDetails_AdditionalInformation_WorkShift = comExcelWorksheet.Cells(intRowJobDetails_AdditionalInformation_WorkShift, intColTestColumn).Value</v>
      </c>
      <c r="H41" t="str">
        <f t="shared" si="3"/>
        <v>Public Property Get getJobDetails_AdditionalInformation_WorkShift() : getJobDetails_AdditionalInformation_WorkShift = strJobDetails_AdditionalInformation_WorkShift : End Property</v>
      </c>
    </row>
    <row r="42" spans="1:8" x14ac:dyDescent="0.35">
      <c r="A42" t="str">
        <f>Test_Data!D32</f>
        <v>JobDetails_AdditionalInformation_EndEmploymentDate</v>
      </c>
      <c r="B42" t="str">
        <f t="shared" si="0"/>
        <v xml:space="preserve">intRowJobDetails_AdditionalInformation_EndEmploymentDate, </v>
      </c>
      <c r="C42" t="e">
        <f t="shared" si="4"/>
        <v>#REF!</v>
      </c>
      <c r="D42" t="str">
        <f t="shared" si="1"/>
        <v xml:space="preserve">strJobDetails_AdditionalInformation_EndEmploymentDate, </v>
      </c>
      <c r="E42" t="e">
        <f t="shared" si="5"/>
        <v>#REF!</v>
      </c>
      <c r="F42" s="6" t="str">
        <f t="shared" si="2"/>
        <v>intRowJobDetails_AdditionalInformation_EndEmploymentDate = comExcelWorksheet.Range("JobDetails_AdditionalInformation_EndEmploymentDate").Row</v>
      </c>
      <c r="G42" s="6" t="str">
        <f t="shared" si="6"/>
        <v>strJobDetails_AdditionalInformation_EndEmploymentDate = comExcelWorksheet.Cells(intRowJobDetails_AdditionalInformation_EndEmploymentDate, intColTestColumn).Value</v>
      </c>
      <c r="H42" t="str">
        <f t="shared" si="3"/>
        <v>Public Property Get getJobDetails_AdditionalInformation_EndEmploymentDate() : getJobDetails_AdditionalInformation_EndEmploymentDate = strJobDetails_AdditionalInformation_EndEmploymentDate : End Property</v>
      </c>
    </row>
    <row r="43" spans="1:8" x14ac:dyDescent="0.35">
      <c r="A43" t="str">
        <f>Test_Data!D33</f>
        <v>JobDetails_AdditionalInformation_Comments</v>
      </c>
      <c r="B43" t="str">
        <f t="shared" si="0"/>
        <v xml:space="preserve">intRowJobDetails_AdditionalInformation_Comments, </v>
      </c>
      <c r="C43" t="e">
        <f t="shared" si="4"/>
        <v>#REF!</v>
      </c>
      <c r="D43" t="str">
        <f t="shared" si="1"/>
        <v xml:space="preserve">strJobDetails_AdditionalInformation_Comments, </v>
      </c>
      <c r="E43" t="e">
        <f t="shared" si="5"/>
        <v>#REF!</v>
      </c>
      <c r="F43" s="6" t="str">
        <f t="shared" si="2"/>
        <v>intRowJobDetails_AdditionalInformation_Comments = comExcelWorksheet.Range("JobDetails_AdditionalInformation_Comments").Row</v>
      </c>
      <c r="G43" s="6" t="str">
        <f t="shared" si="6"/>
        <v>strJobDetails_AdditionalInformation_Comments = comExcelWorksheet.Cells(intRowJobDetails_AdditionalInformation_Comments, intColTestColumn).Value</v>
      </c>
      <c r="H43" t="str">
        <f t="shared" si="3"/>
        <v>Public Property Get getJobDetails_AdditionalInformation_Comments() : getJobDetails_AdditionalInformation_Comments = strJobDetails_AdditionalInformation_Comments : End Property</v>
      </c>
    </row>
    <row r="44" spans="1:8" x14ac:dyDescent="0.35">
      <c r="A44" t="e">
        <f>Test_Data!#REF!</f>
        <v>#REF!</v>
      </c>
      <c r="B44" t="e">
        <f t="shared" si="0"/>
        <v>#REF!</v>
      </c>
      <c r="C44" t="e">
        <f t="shared" si="4"/>
        <v>#REF!</v>
      </c>
      <c r="D44" t="e">
        <f t="shared" si="1"/>
        <v>#REF!</v>
      </c>
      <c r="E44" t="e">
        <f t="shared" si="5"/>
        <v>#REF!</v>
      </c>
      <c r="F44" s="6" t="e">
        <f t="shared" si="2"/>
        <v>#REF!</v>
      </c>
      <c r="G44" s="6" t="e">
        <f t="shared" si="6"/>
        <v>#REF!</v>
      </c>
      <c r="H44" t="e">
        <f t="shared" si="3"/>
        <v>#REF!</v>
      </c>
    </row>
    <row r="45" spans="1:8" x14ac:dyDescent="0.35">
      <c r="A45" t="e">
        <f>Test_Data!#REF!</f>
        <v>#REF!</v>
      </c>
      <c r="B45" t="e">
        <f t="shared" si="0"/>
        <v>#REF!</v>
      </c>
      <c r="C45" t="e">
        <f t="shared" si="4"/>
        <v>#REF!</v>
      </c>
      <c r="D45" t="e">
        <f t="shared" si="1"/>
        <v>#REF!</v>
      </c>
      <c r="E45" t="e">
        <f t="shared" si="5"/>
        <v>#REF!</v>
      </c>
      <c r="F45" s="6" t="e">
        <f t="shared" si="2"/>
        <v>#REF!</v>
      </c>
      <c r="G45" s="6" t="e">
        <f t="shared" si="6"/>
        <v>#REF!</v>
      </c>
      <c r="H45" t="e">
        <f t="shared" si="3"/>
        <v>#REF!</v>
      </c>
    </row>
    <row r="46" spans="1:8" x14ac:dyDescent="0.35">
      <c r="A46" t="str">
        <f>Test_Data!D34</f>
        <v>ChangeOrganizationAssignments_CostCenter</v>
      </c>
      <c r="B46" t="str">
        <f t="shared" si="0"/>
        <v xml:space="preserve">intRowChangeOrganizationAssignments_CostCenter, </v>
      </c>
      <c r="C46" t="e">
        <f t="shared" si="4"/>
        <v>#REF!</v>
      </c>
      <c r="D46" t="str">
        <f t="shared" si="1"/>
        <v xml:space="preserve">strChangeOrganizationAssignments_CostCenter, </v>
      </c>
      <c r="E46" t="e">
        <f t="shared" si="5"/>
        <v>#REF!</v>
      </c>
      <c r="F46" s="6" t="str">
        <f t="shared" si="2"/>
        <v>intRowChangeOrganizationAssignments_CostCenter = comExcelWorksheet.Range("ChangeOrganizationAssignments_CostCenter").Row</v>
      </c>
      <c r="G46" s="6" t="str">
        <f t="shared" si="6"/>
        <v>strChangeOrganizationAssignments_CostCenter = comExcelWorksheet.Cells(intRowChangeOrganizationAssignments_CostCenter, intColTestColumn).Value</v>
      </c>
      <c r="H46" t="str">
        <f t="shared" si="3"/>
        <v>Public Property Get getChangeOrganizationAssignments_CostCenter() : getChangeOrganizationAssignments_CostCenter = strChangeOrganizationAssignments_CostCenter : End Property</v>
      </c>
    </row>
    <row r="47" spans="1:8" x14ac:dyDescent="0.35">
      <c r="A47" t="str">
        <f>Test_Data!D35</f>
        <v>ChangeOrganizationAssignments_DepartmentSection</v>
      </c>
      <c r="B47" t="str">
        <f t="shared" si="0"/>
        <v xml:space="preserve">intRowChangeOrganizationAssignments_DepartmentSection, </v>
      </c>
      <c r="C47" t="e">
        <f t="shared" si="4"/>
        <v>#REF!</v>
      </c>
      <c r="D47" t="str">
        <f t="shared" si="1"/>
        <v xml:space="preserve">strChangeOrganizationAssignments_DepartmentSection, </v>
      </c>
      <c r="E47" t="e">
        <f t="shared" si="5"/>
        <v>#REF!</v>
      </c>
      <c r="F47" s="6" t="str">
        <f t="shared" si="2"/>
        <v>intRowChangeOrganizationAssignments_DepartmentSection = comExcelWorksheet.Range("ChangeOrganizationAssignments_DepartmentSection").Row</v>
      </c>
      <c r="G47" s="6" t="str">
        <f t="shared" si="6"/>
        <v>strChangeOrganizationAssignments_DepartmentSection = comExcelWorksheet.Cells(intRowChangeOrganizationAssignments_DepartmentSection, intColTestColumn).Value</v>
      </c>
      <c r="H47" t="str">
        <f t="shared" si="3"/>
        <v>Public Property Get getChangeOrganizationAssignments_DepartmentSection() : getChangeOrganizationAssignments_DepartmentSection = strChangeOrganizationAssignments_DepartmentSection : End Property</v>
      </c>
    </row>
    <row r="48" spans="1:8" x14ac:dyDescent="0.35">
      <c r="A48" t="str">
        <f>Test_Data!D36</f>
        <v>AssignPayGroup_ProposedPayGroupInitial</v>
      </c>
      <c r="B48" t="str">
        <f t="shared" si="0"/>
        <v xml:space="preserve">intRowAssignPayGroup_ProposedPayGroupInitial, </v>
      </c>
      <c r="C48" t="e">
        <f t="shared" si="4"/>
        <v>#REF!</v>
      </c>
      <c r="D48" t="str">
        <f t="shared" si="1"/>
        <v xml:space="preserve">strAssignPayGroup_ProposedPayGroupInitial, </v>
      </c>
      <c r="E48" t="e">
        <f t="shared" si="5"/>
        <v>#REF!</v>
      </c>
      <c r="F48" s="6" t="str">
        <f t="shared" si="2"/>
        <v>intRowAssignPayGroup_ProposedPayGroupInitial = comExcelWorksheet.Range("AssignPayGroup_ProposedPayGroupInitial").Row</v>
      </c>
      <c r="G48" s="6" t="str">
        <f t="shared" si="6"/>
        <v>strAssignPayGroup_ProposedPayGroupInitial = comExcelWorksheet.Cells(intRowAssignPayGroup_ProposedPayGroupInitial, intColTestColumn).Value</v>
      </c>
      <c r="H48" t="str">
        <f t="shared" si="3"/>
        <v>Public Property Get getAssignPayGroup_ProposedPayGroupInitial() : getAssignPayGroup_ProposedPayGroupInitial = strAssignPayGroup_ProposedPayGroupInitial : End Property</v>
      </c>
    </row>
    <row r="49" spans="1:8" x14ac:dyDescent="0.35">
      <c r="A49" t="str">
        <f>Test_Data!D38</f>
        <v>AddProbationPeriod_ProbationEndDate</v>
      </c>
      <c r="B49" t="str">
        <f t="shared" si="0"/>
        <v xml:space="preserve">intRowAddProbationPeriod_ProbationEndDate, </v>
      </c>
      <c r="C49" t="e">
        <f t="shared" si="4"/>
        <v>#REF!</v>
      </c>
      <c r="D49" t="str">
        <f t="shared" si="1"/>
        <v xml:space="preserve">strAddProbationPeriod_ProbationEndDate, </v>
      </c>
      <c r="E49" t="e">
        <f t="shared" si="5"/>
        <v>#REF!</v>
      </c>
      <c r="F49" s="6" t="str">
        <f t="shared" si="2"/>
        <v>intRowAddProbationPeriod_ProbationEndDate = comExcelWorksheet.Range("AddProbationPeriod_ProbationEndDate").Row</v>
      </c>
      <c r="G49" s="6" t="str">
        <f t="shared" si="6"/>
        <v>strAddProbationPeriod_ProbationEndDate = comExcelWorksheet.Cells(intRowAddProbationPeriod_ProbationEndDate, intColTestColumn).Value</v>
      </c>
      <c r="H49" t="str">
        <f t="shared" si="3"/>
        <v>Public Property Get getAddProbationPeriod_ProbationEndDate() : getAddProbationPeriod_ProbationEndDate = strAddProbationPeriod_ProbationEndDate : End Property</v>
      </c>
    </row>
    <row r="50" spans="1:8" x14ac:dyDescent="0.35">
      <c r="A50" t="str">
        <f>Test_Data!D42</f>
        <v>MaintainEmployeeContract_Status</v>
      </c>
      <c r="B50" t="str">
        <f t="shared" si="0"/>
        <v xml:space="preserve">intRowMaintainEmployeeContract_Status, </v>
      </c>
      <c r="C50" t="e">
        <f t="shared" si="4"/>
        <v>#REF!</v>
      </c>
      <c r="D50" t="str">
        <f t="shared" si="1"/>
        <v xml:space="preserve">strMaintainEmployeeContract_Status, </v>
      </c>
      <c r="E50" t="e">
        <f t="shared" si="5"/>
        <v>#REF!</v>
      </c>
      <c r="F50" s="6" t="str">
        <f t="shared" si="2"/>
        <v>intRowMaintainEmployeeContract_Status = comExcelWorksheet.Range("MaintainEmployeeContract_Status").Row</v>
      </c>
      <c r="G50" s="6" t="str">
        <f t="shared" si="6"/>
        <v>strMaintainEmployeeContract_Status = comExcelWorksheet.Cells(intRowMaintainEmployeeContract_Status, intColTestColumn).Value</v>
      </c>
      <c r="H50" t="str">
        <f t="shared" si="3"/>
        <v>Public Property Get getMaintainEmployeeContract_Status() : getMaintainEmployeeContract_Status = strMaintainEmployeeContract_Status : End Property</v>
      </c>
    </row>
    <row r="51" spans="1:8" x14ac:dyDescent="0.35">
      <c r="A51" t="str">
        <f>Test_Data!D43</f>
        <v>MaintainEmployeeContract_ContractType</v>
      </c>
      <c r="B51" t="str">
        <f t="shared" si="0"/>
        <v xml:space="preserve">intRowMaintainEmployeeContract_ContractType, </v>
      </c>
      <c r="C51" t="e">
        <f t="shared" si="4"/>
        <v>#REF!</v>
      </c>
      <c r="D51" t="str">
        <f t="shared" si="1"/>
        <v xml:space="preserve">strMaintainEmployeeContract_ContractType, </v>
      </c>
      <c r="E51" t="e">
        <f t="shared" si="5"/>
        <v>#REF!</v>
      </c>
      <c r="F51" s="6" t="str">
        <f t="shared" si="2"/>
        <v>intRowMaintainEmployeeContract_ContractType = comExcelWorksheet.Range("MaintainEmployeeContract_ContractType").Row</v>
      </c>
      <c r="G51" s="6" t="str">
        <f t="shared" si="6"/>
        <v>strMaintainEmployeeContract_ContractType = comExcelWorksheet.Cells(intRowMaintainEmployeeContract_ContractType, intColTestColumn).Value</v>
      </c>
      <c r="H51" t="str">
        <f t="shared" si="3"/>
        <v>Public Property Get getMaintainEmployeeContract_ContractType() : getMaintainEmployeeContract_ContractType = strMaintainEmployeeContract_ContractType : End Property</v>
      </c>
    </row>
    <row r="52" spans="1:8" x14ac:dyDescent="0.35">
      <c r="A52" t="str">
        <f>Test_Data!D44</f>
        <v>MaintainEmployeeContract_ContractEndDate</v>
      </c>
      <c r="B52" t="str">
        <f t="shared" si="0"/>
        <v xml:space="preserve">intRowMaintainEmployeeContract_ContractEndDate, </v>
      </c>
      <c r="C52" t="e">
        <f t="shared" si="4"/>
        <v>#REF!</v>
      </c>
      <c r="D52" t="str">
        <f t="shared" si="1"/>
        <v xml:space="preserve">strMaintainEmployeeContract_ContractEndDate, </v>
      </c>
      <c r="E52" t="e">
        <f t="shared" si="5"/>
        <v>#REF!</v>
      </c>
      <c r="F52" s="6" t="str">
        <f t="shared" si="2"/>
        <v>intRowMaintainEmployeeContract_ContractEndDate = comExcelWorksheet.Range("MaintainEmployeeContract_ContractEndDate").Row</v>
      </c>
      <c r="G52" s="6" t="str">
        <f t="shared" si="6"/>
        <v>strMaintainEmployeeContract_ContractEndDate = comExcelWorksheet.Cells(intRowMaintainEmployeeContract_ContractEndDate, intColTestColumn).Value</v>
      </c>
      <c r="H52" t="str">
        <f t="shared" si="3"/>
        <v>Public Property Get getMaintainEmployeeContract_ContractEndDate() : getMaintainEmployeeContract_ContractEndDate = strMaintainEmployeeContract_ContractEndDate : End Property</v>
      </c>
    </row>
    <row r="53" spans="1:8" x14ac:dyDescent="0.35">
      <c r="A53" t="e">
        <f>Test_Data!#REF!</f>
        <v>#REF!</v>
      </c>
      <c r="B53" t="e">
        <f t="shared" si="0"/>
        <v>#REF!</v>
      </c>
      <c r="C53" t="e">
        <f t="shared" si="4"/>
        <v>#REF!</v>
      </c>
      <c r="D53" t="e">
        <f t="shared" si="1"/>
        <v>#REF!</v>
      </c>
      <c r="E53" t="e">
        <f t="shared" si="5"/>
        <v>#REF!</v>
      </c>
      <c r="F53" s="6" t="e">
        <f t="shared" si="2"/>
        <v>#REF!</v>
      </c>
      <c r="G53" s="6" t="e">
        <f t="shared" si="6"/>
        <v>#REF!</v>
      </c>
      <c r="H53" t="e">
        <f t="shared" si="3"/>
        <v>#REF!</v>
      </c>
    </row>
    <row r="54" spans="1:8" x14ac:dyDescent="0.35">
      <c r="A54" t="e">
        <f>Test_Data!#REF!</f>
        <v>#REF!</v>
      </c>
      <c r="B54" t="e">
        <f t="shared" si="0"/>
        <v>#REF!</v>
      </c>
      <c r="C54" t="e">
        <f t="shared" si="4"/>
        <v>#REF!</v>
      </c>
      <c r="D54" t="e">
        <f t="shared" si="1"/>
        <v>#REF!</v>
      </c>
      <c r="E54" t="e">
        <f t="shared" si="5"/>
        <v>#REF!</v>
      </c>
      <c r="F54" s="6" t="e">
        <f t="shared" si="2"/>
        <v>#REF!</v>
      </c>
      <c r="G54" s="6" t="e">
        <f t="shared" si="6"/>
        <v>#REF!</v>
      </c>
      <c r="H54" t="e">
        <f t="shared" si="3"/>
        <v>#REF!</v>
      </c>
    </row>
    <row r="55" spans="1:8" x14ac:dyDescent="0.35">
      <c r="A55" t="e">
        <f>Test_Data!#REF!</f>
        <v>#REF!</v>
      </c>
      <c r="B55" t="e">
        <f t="shared" si="0"/>
        <v>#REF!</v>
      </c>
      <c r="C55" t="e">
        <f t="shared" si="4"/>
        <v>#REF!</v>
      </c>
      <c r="D55" t="e">
        <f t="shared" si="1"/>
        <v>#REF!</v>
      </c>
      <c r="E55" t="e">
        <f t="shared" si="5"/>
        <v>#REF!</v>
      </c>
      <c r="F55" s="6" t="e">
        <f t="shared" si="2"/>
        <v>#REF!</v>
      </c>
      <c r="G55" s="6" t="e">
        <f t="shared" si="6"/>
        <v>#REF!</v>
      </c>
      <c r="H55" t="e">
        <f t="shared" si="3"/>
        <v>#REF!</v>
      </c>
    </row>
    <row r="56" spans="1:8" x14ac:dyDescent="0.35">
      <c r="A56" t="str">
        <f>Test_Data!D45</f>
        <v>ProposeCompensationHire_Salary</v>
      </c>
      <c r="B56" t="str">
        <f t="shared" si="0"/>
        <v xml:space="preserve">intRowProposeCompensationHire_Salary, </v>
      </c>
      <c r="C56" t="e">
        <f t="shared" si="4"/>
        <v>#REF!</v>
      </c>
      <c r="D56" t="str">
        <f t="shared" si="1"/>
        <v xml:space="preserve">strProposeCompensationHire_Salary, </v>
      </c>
      <c r="E56" t="e">
        <f t="shared" si="5"/>
        <v>#REF!</v>
      </c>
      <c r="F56" s="6" t="str">
        <f t="shared" si="2"/>
        <v>intRowProposeCompensationHire_Salary = comExcelWorksheet.Range("ProposeCompensationHire_Salary").Row</v>
      </c>
      <c r="G56" s="6" t="str">
        <f t="shared" si="6"/>
        <v>strProposeCompensationHire_Salary = comExcelWorksheet.Cells(intRowProposeCompensationHire_Salary, intColTestColumn).Value</v>
      </c>
      <c r="H56" t="str">
        <f t="shared" si="3"/>
        <v>Public Property Get getProposeCompensationHire_Salary() : getProposeCompensationHire_Salary = strProposeCompensationHire_Salary : End Property</v>
      </c>
    </row>
    <row r="57" spans="1:8" x14ac:dyDescent="0.35">
      <c r="A57" t="e">
        <f>Test_Data!#REF!</f>
        <v>#REF!</v>
      </c>
      <c r="B57" t="e">
        <f t="shared" si="0"/>
        <v>#REF!</v>
      </c>
      <c r="C57" t="e">
        <f t="shared" si="4"/>
        <v>#REF!</v>
      </c>
      <c r="D57" t="e">
        <f t="shared" si="1"/>
        <v>#REF!</v>
      </c>
      <c r="E57" t="e">
        <f t="shared" si="5"/>
        <v>#REF!</v>
      </c>
      <c r="F57" s="6" t="e">
        <f t="shared" si="2"/>
        <v>#REF!</v>
      </c>
      <c r="G57" s="6" t="e">
        <f t="shared" si="6"/>
        <v>#REF!</v>
      </c>
      <c r="H57" t="e">
        <f t="shared" si="3"/>
        <v>#REF!</v>
      </c>
    </row>
    <row r="58" spans="1:8" x14ac:dyDescent="0.35">
      <c r="A58" t="e">
        <f>Test_Data!#REF!</f>
        <v>#REF!</v>
      </c>
      <c r="B58" t="e">
        <f t="shared" si="0"/>
        <v>#REF!</v>
      </c>
      <c r="C58" t="e">
        <f t="shared" si="4"/>
        <v>#REF!</v>
      </c>
      <c r="D58" t="e">
        <f t="shared" si="1"/>
        <v>#REF!</v>
      </c>
      <c r="E58" t="e">
        <f t="shared" si="5"/>
        <v>#REF!</v>
      </c>
      <c r="F58" s="6" t="e">
        <f t="shared" si="2"/>
        <v>#REF!</v>
      </c>
      <c r="G58" s="6" t="e">
        <f t="shared" si="6"/>
        <v>#REF!</v>
      </c>
      <c r="H58" t="e">
        <f t="shared" si="3"/>
        <v>#REF!</v>
      </c>
    </row>
    <row r="59" spans="1:8" x14ac:dyDescent="0.35">
      <c r="A59" t="e">
        <f>Test_Data!#REF!</f>
        <v>#REF!</v>
      </c>
      <c r="B59" t="e">
        <f t="shared" si="0"/>
        <v>#REF!</v>
      </c>
      <c r="C59" t="e">
        <f t="shared" si="4"/>
        <v>#REF!</v>
      </c>
      <c r="D59" t="e">
        <f t="shared" si="1"/>
        <v>#REF!</v>
      </c>
      <c r="E59" t="e">
        <f t="shared" si="5"/>
        <v>#REF!</v>
      </c>
      <c r="F59" s="6" t="e">
        <f t="shared" si="2"/>
        <v>#REF!</v>
      </c>
      <c r="G59" s="6" t="e">
        <f t="shared" si="6"/>
        <v>#REF!</v>
      </c>
      <c r="H59" t="e">
        <f t="shared" si="3"/>
        <v>#REF!</v>
      </c>
    </row>
    <row r="60" spans="1:8" x14ac:dyDescent="0.35">
      <c r="A60" t="e">
        <f>Test_Data!#REF!</f>
        <v>#REF!</v>
      </c>
      <c r="B60" t="e">
        <f t="shared" si="0"/>
        <v>#REF!</v>
      </c>
      <c r="C60" t="e">
        <f t="shared" si="4"/>
        <v>#REF!</v>
      </c>
      <c r="D60" t="e">
        <f t="shared" si="1"/>
        <v>#REF!</v>
      </c>
      <c r="E60" t="e">
        <f t="shared" si="5"/>
        <v>#REF!</v>
      </c>
      <c r="F60" s="6" t="e">
        <f t="shared" si="2"/>
        <v>#REF!</v>
      </c>
      <c r="G60" s="6" t="e">
        <f t="shared" si="6"/>
        <v>#REF!</v>
      </c>
      <c r="H60" t="e">
        <f t="shared" si="3"/>
        <v>#REF!</v>
      </c>
    </row>
    <row r="61" spans="1:8" x14ac:dyDescent="0.35">
      <c r="A61" t="e">
        <f>Test_Data!#REF!</f>
        <v>#REF!</v>
      </c>
      <c r="B61" t="e">
        <f t="shared" si="0"/>
        <v>#REF!</v>
      </c>
      <c r="C61" t="e">
        <f t="shared" si="4"/>
        <v>#REF!</v>
      </c>
      <c r="D61" t="e">
        <f t="shared" si="1"/>
        <v>#REF!</v>
      </c>
      <c r="E61" t="e">
        <f t="shared" si="5"/>
        <v>#REF!</v>
      </c>
      <c r="F61" s="6" t="e">
        <f t="shared" si="2"/>
        <v>#REF!</v>
      </c>
      <c r="G61" s="6" t="e">
        <f t="shared" si="6"/>
        <v>#REF!</v>
      </c>
      <c r="H61" t="e">
        <f t="shared" si="3"/>
        <v>#REF!</v>
      </c>
    </row>
    <row r="62" spans="1:8" x14ac:dyDescent="0.35">
      <c r="A62" t="e">
        <f>Test_Data!#REF!</f>
        <v>#REF!</v>
      </c>
      <c r="B62" t="e">
        <f t="shared" si="0"/>
        <v>#REF!</v>
      </c>
      <c r="C62" t="e">
        <f t="shared" si="4"/>
        <v>#REF!</v>
      </c>
      <c r="D62" t="e">
        <f t="shared" si="1"/>
        <v>#REF!</v>
      </c>
      <c r="E62" t="e">
        <f t="shared" si="5"/>
        <v>#REF!</v>
      </c>
      <c r="F62" s="6" t="e">
        <f t="shared" si="2"/>
        <v>#REF!</v>
      </c>
      <c r="G62" s="6" t="e">
        <f t="shared" si="6"/>
        <v>#REF!</v>
      </c>
      <c r="H62" t="e">
        <f t="shared" si="3"/>
        <v>#REF!</v>
      </c>
    </row>
    <row r="63" spans="1:8" x14ac:dyDescent="0.35">
      <c r="A63" t="e">
        <f>Test_Data!#REF!</f>
        <v>#REF!</v>
      </c>
      <c r="B63" t="e">
        <f t="shared" si="0"/>
        <v>#REF!</v>
      </c>
      <c r="C63" t="e">
        <f t="shared" si="4"/>
        <v>#REF!</v>
      </c>
      <c r="D63" t="e">
        <f t="shared" si="1"/>
        <v>#REF!</v>
      </c>
      <c r="E63" t="e">
        <f t="shared" si="5"/>
        <v>#REF!</v>
      </c>
      <c r="F63" s="6" t="e">
        <f t="shared" si="2"/>
        <v>#REF!</v>
      </c>
      <c r="G63" s="6" t="e">
        <f t="shared" si="6"/>
        <v>#REF!</v>
      </c>
      <c r="H63" t="e">
        <f t="shared" si="3"/>
        <v>#REF!</v>
      </c>
    </row>
    <row r="64" spans="1:8" x14ac:dyDescent="0.35">
      <c r="A64" t="e">
        <f>Test_Data!#REF!</f>
        <v>#REF!</v>
      </c>
      <c r="B64" t="e">
        <f t="shared" si="0"/>
        <v>#REF!</v>
      </c>
      <c r="C64" t="e">
        <f t="shared" si="4"/>
        <v>#REF!</v>
      </c>
      <c r="D64" t="e">
        <f t="shared" si="1"/>
        <v>#REF!</v>
      </c>
      <c r="E64" t="e">
        <f t="shared" si="5"/>
        <v>#REF!</v>
      </c>
      <c r="F64" s="6" t="e">
        <f t="shared" si="2"/>
        <v>#REF!</v>
      </c>
      <c r="G64" s="6" t="e">
        <f t="shared" si="6"/>
        <v>#REF!</v>
      </c>
      <c r="H64" t="e">
        <f t="shared" si="3"/>
        <v>#REF!</v>
      </c>
    </row>
    <row r="65" spans="1:8" x14ac:dyDescent="0.35">
      <c r="A65" t="e">
        <f>Test_Data!#REF!</f>
        <v>#REF!</v>
      </c>
      <c r="B65" t="e">
        <f t="shared" si="0"/>
        <v>#REF!</v>
      </c>
      <c r="C65" t="e">
        <f t="shared" si="4"/>
        <v>#REF!</v>
      </c>
      <c r="D65" t="e">
        <f t="shared" si="1"/>
        <v>#REF!</v>
      </c>
      <c r="E65" t="e">
        <f t="shared" si="5"/>
        <v>#REF!</v>
      </c>
      <c r="F65" s="6" t="e">
        <f t="shared" si="2"/>
        <v>#REF!</v>
      </c>
      <c r="G65" s="6" t="e">
        <f t="shared" si="6"/>
        <v>#REF!</v>
      </c>
      <c r="H65" t="e">
        <f t="shared" si="3"/>
        <v>#REF!</v>
      </c>
    </row>
    <row r="66" spans="1:8" x14ac:dyDescent="0.35">
      <c r="A66" t="e">
        <f>Test_Data!#REF!</f>
        <v>#REF!</v>
      </c>
      <c r="B66" t="e">
        <f t="shared" si="0"/>
        <v>#REF!</v>
      </c>
      <c r="C66" t="e">
        <f t="shared" si="4"/>
        <v>#REF!</v>
      </c>
      <c r="D66" t="e">
        <f t="shared" si="1"/>
        <v>#REF!</v>
      </c>
      <c r="E66" t="e">
        <f t="shared" si="5"/>
        <v>#REF!</v>
      </c>
      <c r="F66" s="6" t="e">
        <f t="shared" si="2"/>
        <v>#REF!</v>
      </c>
      <c r="G66" s="6" t="e">
        <f t="shared" si="6"/>
        <v>#REF!</v>
      </c>
      <c r="H66" t="e">
        <f t="shared" si="3"/>
        <v>#REF!</v>
      </c>
    </row>
    <row r="67" spans="1:8" x14ac:dyDescent="0.35">
      <c r="A67" t="e">
        <f>Test_Data!#REF!</f>
        <v>#REF!</v>
      </c>
      <c r="B67" t="e">
        <f t="shared" ref="B67:B79" si="7">"intRow" &amp; A67 &amp; ", "</f>
        <v>#REF!</v>
      </c>
      <c r="C67" t="e">
        <f t="shared" si="4"/>
        <v>#REF!</v>
      </c>
      <c r="D67" t="e">
        <f t="shared" ref="D67:D100" si="8">"str" &amp; A67 &amp; ", "</f>
        <v>#REF!</v>
      </c>
      <c r="E67" t="e">
        <f t="shared" si="5"/>
        <v>#REF!</v>
      </c>
      <c r="F67" s="6" t="e">
        <f t="shared" ref="F67:F100" si="9">"intRow" &amp; A67 &amp; " = comExcelWorksheet.Range(""" &amp; A67 &amp; """).Row"</f>
        <v>#REF!</v>
      </c>
      <c r="G67" s="6" t="e">
        <f t="shared" si="6"/>
        <v>#REF!</v>
      </c>
      <c r="H67" t="e">
        <f t="shared" ref="H67:H100" si="10">"Public Property Get get" &amp; A67 &amp; "() : get" &amp; A67 &amp; " = str" &amp; A67 &amp; " : End Property"</f>
        <v>#REF!</v>
      </c>
    </row>
    <row r="68" spans="1:8" x14ac:dyDescent="0.35">
      <c r="A68" t="e">
        <f>Test_Data!#REF!</f>
        <v>#REF!</v>
      </c>
      <c r="B68" t="e">
        <f t="shared" si="7"/>
        <v>#REF!</v>
      </c>
      <c r="C68" t="e">
        <f t="shared" ref="C68:C79" si="11">C67 &amp;B68</f>
        <v>#REF!</v>
      </c>
      <c r="D68" t="e">
        <f t="shared" si="8"/>
        <v>#REF!</v>
      </c>
      <c r="E68" t="e">
        <f t="shared" ref="E68:E100" si="12">E67 &amp;D68</f>
        <v>#REF!</v>
      </c>
      <c r="F68" s="6" t="e">
        <f t="shared" si="9"/>
        <v>#REF!</v>
      </c>
      <c r="G68" s="6" t="e">
        <f t="shared" si="6"/>
        <v>#REF!</v>
      </c>
      <c r="H68" t="e">
        <f t="shared" si="10"/>
        <v>#REF!</v>
      </c>
    </row>
    <row r="69" spans="1:8" x14ac:dyDescent="0.35">
      <c r="A69" t="e">
        <f>Test_Data!#REF!</f>
        <v>#REF!</v>
      </c>
      <c r="B69" t="e">
        <f t="shared" si="7"/>
        <v>#REF!</v>
      </c>
      <c r="C69" t="e">
        <f t="shared" si="11"/>
        <v>#REF!</v>
      </c>
      <c r="D69" t="e">
        <f t="shared" si="8"/>
        <v>#REF!</v>
      </c>
      <c r="E69" t="e">
        <f t="shared" si="12"/>
        <v>#REF!</v>
      </c>
      <c r="F69" s="6" t="e">
        <f t="shared" si="9"/>
        <v>#REF!</v>
      </c>
      <c r="G69" s="6" t="e">
        <f t="shared" ref="G69:G100" si="13">"str" &amp; A69 &amp; " = comExcelWorksheet.Cells(intRow" &amp; A69 &amp; ", intColTestColumn).Value"</f>
        <v>#REF!</v>
      </c>
      <c r="H69" t="e">
        <f t="shared" si="10"/>
        <v>#REF!</v>
      </c>
    </row>
    <row r="70" spans="1:8" x14ac:dyDescent="0.35">
      <c r="A70" t="e">
        <f>Test_Data!#REF!</f>
        <v>#REF!</v>
      </c>
      <c r="B70" t="e">
        <f t="shared" si="7"/>
        <v>#REF!</v>
      </c>
      <c r="C70" t="e">
        <f t="shared" si="11"/>
        <v>#REF!</v>
      </c>
      <c r="D70" t="e">
        <f t="shared" si="8"/>
        <v>#REF!</v>
      </c>
      <c r="E70" t="e">
        <f t="shared" si="12"/>
        <v>#REF!</v>
      </c>
      <c r="F70" s="6" t="e">
        <f t="shared" si="9"/>
        <v>#REF!</v>
      </c>
      <c r="G70" s="6" t="e">
        <f t="shared" si="13"/>
        <v>#REF!</v>
      </c>
      <c r="H70" t="e">
        <f t="shared" si="10"/>
        <v>#REF!</v>
      </c>
    </row>
    <row r="71" spans="1:8" x14ac:dyDescent="0.35">
      <c r="A71" t="e">
        <f>Test_Data!#REF!</f>
        <v>#REF!</v>
      </c>
      <c r="B71" t="e">
        <f t="shared" si="7"/>
        <v>#REF!</v>
      </c>
      <c r="C71" t="e">
        <f t="shared" si="11"/>
        <v>#REF!</v>
      </c>
      <c r="D71" t="e">
        <f t="shared" si="8"/>
        <v>#REF!</v>
      </c>
      <c r="E71" t="e">
        <f t="shared" si="12"/>
        <v>#REF!</v>
      </c>
      <c r="F71" s="6" t="e">
        <f t="shared" si="9"/>
        <v>#REF!</v>
      </c>
      <c r="G71" s="6" t="e">
        <f t="shared" si="13"/>
        <v>#REF!</v>
      </c>
      <c r="H71" t="e">
        <f t="shared" si="10"/>
        <v>#REF!</v>
      </c>
    </row>
    <row r="72" spans="1:8" x14ac:dyDescent="0.35">
      <c r="A72" t="e">
        <f>Test_Data!#REF!</f>
        <v>#REF!</v>
      </c>
      <c r="B72" t="e">
        <f t="shared" si="7"/>
        <v>#REF!</v>
      </c>
      <c r="C72" t="e">
        <f t="shared" si="11"/>
        <v>#REF!</v>
      </c>
      <c r="D72" t="e">
        <f t="shared" si="8"/>
        <v>#REF!</v>
      </c>
      <c r="E72" t="e">
        <f t="shared" si="12"/>
        <v>#REF!</v>
      </c>
      <c r="F72" s="6" t="e">
        <f t="shared" si="9"/>
        <v>#REF!</v>
      </c>
      <c r="G72" s="6" t="e">
        <f t="shared" si="13"/>
        <v>#REF!</v>
      </c>
      <c r="H72" t="e">
        <f t="shared" si="10"/>
        <v>#REF!</v>
      </c>
    </row>
    <row r="73" spans="1:8" x14ac:dyDescent="0.35">
      <c r="A73" t="e">
        <f>Test_Data!#REF!</f>
        <v>#REF!</v>
      </c>
      <c r="B73" t="e">
        <f t="shared" si="7"/>
        <v>#REF!</v>
      </c>
      <c r="C73" t="e">
        <f t="shared" si="11"/>
        <v>#REF!</v>
      </c>
      <c r="D73" t="e">
        <f t="shared" si="8"/>
        <v>#REF!</v>
      </c>
      <c r="E73" t="e">
        <f t="shared" si="12"/>
        <v>#REF!</v>
      </c>
      <c r="F73" s="6" t="e">
        <f t="shared" si="9"/>
        <v>#REF!</v>
      </c>
      <c r="G73" s="6" t="e">
        <f t="shared" si="13"/>
        <v>#REF!</v>
      </c>
      <c r="H73" t="e">
        <f t="shared" si="10"/>
        <v>#REF!</v>
      </c>
    </row>
    <row r="74" spans="1:8" x14ac:dyDescent="0.35">
      <c r="A74" t="e">
        <f>Test_Data!#REF!</f>
        <v>#REF!</v>
      </c>
      <c r="B74" t="e">
        <f t="shared" si="7"/>
        <v>#REF!</v>
      </c>
      <c r="C74" t="e">
        <f t="shared" si="11"/>
        <v>#REF!</v>
      </c>
      <c r="D74" t="e">
        <f t="shared" si="8"/>
        <v>#REF!</v>
      </c>
      <c r="E74" t="e">
        <f t="shared" si="12"/>
        <v>#REF!</v>
      </c>
      <c r="F74" s="6" t="e">
        <f t="shared" si="9"/>
        <v>#REF!</v>
      </c>
      <c r="G74" s="6" t="e">
        <f t="shared" si="13"/>
        <v>#REF!</v>
      </c>
      <c r="H74" t="e">
        <f t="shared" si="10"/>
        <v>#REF!</v>
      </c>
    </row>
    <row r="75" spans="1:8" x14ac:dyDescent="0.35">
      <c r="A75" t="e">
        <f>Test_Data!#REF!</f>
        <v>#REF!</v>
      </c>
      <c r="B75" t="e">
        <f t="shared" si="7"/>
        <v>#REF!</v>
      </c>
      <c r="C75" t="e">
        <f t="shared" si="11"/>
        <v>#REF!</v>
      </c>
      <c r="D75" t="e">
        <f t="shared" si="8"/>
        <v>#REF!</v>
      </c>
      <c r="E75" t="e">
        <f t="shared" si="12"/>
        <v>#REF!</v>
      </c>
      <c r="F75" s="6" t="e">
        <f t="shared" si="9"/>
        <v>#REF!</v>
      </c>
      <c r="G75" s="6" t="e">
        <f t="shared" si="13"/>
        <v>#REF!</v>
      </c>
      <c r="H75" t="e">
        <f t="shared" si="10"/>
        <v>#REF!</v>
      </c>
    </row>
    <row r="76" spans="1:8" x14ac:dyDescent="0.35">
      <c r="A76" t="e">
        <f>Test_Data!#REF!</f>
        <v>#REF!</v>
      </c>
      <c r="B76" t="e">
        <f t="shared" si="7"/>
        <v>#REF!</v>
      </c>
      <c r="C76" t="e">
        <f t="shared" si="11"/>
        <v>#REF!</v>
      </c>
      <c r="D76" t="e">
        <f t="shared" si="8"/>
        <v>#REF!</v>
      </c>
      <c r="E76" t="e">
        <f t="shared" si="12"/>
        <v>#REF!</v>
      </c>
      <c r="F76" s="6" t="e">
        <f t="shared" si="9"/>
        <v>#REF!</v>
      </c>
      <c r="G76" s="6" t="e">
        <f t="shared" si="13"/>
        <v>#REF!</v>
      </c>
      <c r="H76" t="e">
        <f t="shared" si="10"/>
        <v>#REF!</v>
      </c>
    </row>
    <row r="77" spans="1:8" x14ac:dyDescent="0.35">
      <c r="A77" t="e">
        <f>Test_Data!#REF!</f>
        <v>#REF!</v>
      </c>
      <c r="B77" t="e">
        <f t="shared" si="7"/>
        <v>#REF!</v>
      </c>
      <c r="C77" t="e">
        <f t="shared" si="11"/>
        <v>#REF!</v>
      </c>
      <c r="D77" t="e">
        <f t="shared" si="8"/>
        <v>#REF!</v>
      </c>
      <c r="E77" t="e">
        <f t="shared" si="12"/>
        <v>#REF!</v>
      </c>
      <c r="F77" s="6" t="e">
        <f t="shared" si="9"/>
        <v>#REF!</v>
      </c>
      <c r="G77" s="6" t="e">
        <f t="shared" si="13"/>
        <v>#REF!</v>
      </c>
      <c r="H77" t="e">
        <f t="shared" si="10"/>
        <v>#REF!</v>
      </c>
    </row>
    <row r="78" spans="1:8" x14ac:dyDescent="0.35">
      <c r="A78" t="e">
        <f>Test_Data!#REF!</f>
        <v>#REF!</v>
      </c>
      <c r="B78" t="e">
        <f t="shared" si="7"/>
        <v>#REF!</v>
      </c>
      <c r="C78" t="e">
        <f t="shared" si="11"/>
        <v>#REF!</v>
      </c>
      <c r="D78" t="e">
        <f t="shared" si="8"/>
        <v>#REF!</v>
      </c>
      <c r="E78" t="e">
        <f t="shared" si="12"/>
        <v>#REF!</v>
      </c>
      <c r="F78" s="6" t="e">
        <f t="shared" si="9"/>
        <v>#REF!</v>
      </c>
      <c r="G78" s="6" t="e">
        <f t="shared" si="13"/>
        <v>#REF!</v>
      </c>
      <c r="H78" t="e">
        <f t="shared" si="10"/>
        <v>#REF!</v>
      </c>
    </row>
    <row r="79" spans="1:8" x14ac:dyDescent="0.35">
      <c r="A79" t="e">
        <f>Test_Data!#REF!</f>
        <v>#REF!</v>
      </c>
      <c r="B79" t="e">
        <f t="shared" si="7"/>
        <v>#REF!</v>
      </c>
      <c r="C79" t="e">
        <f t="shared" si="11"/>
        <v>#REF!</v>
      </c>
      <c r="D79" t="e">
        <f t="shared" si="8"/>
        <v>#REF!</v>
      </c>
      <c r="E79" t="e">
        <f t="shared" si="12"/>
        <v>#REF!</v>
      </c>
      <c r="F79" s="6" t="e">
        <f t="shared" si="9"/>
        <v>#REF!</v>
      </c>
      <c r="G79" s="6" t="e">
        <f t="shared" si="13"/>
        <v>#REF!</v>
      </c>
      <c r="H79" t="e">
        <f t="shared" si="10"/>
        <v>#REF!</v>
      </c>
    </row>
    <row r="80" spans="1:8" x14ac:dyDescent="0.35">
      <c r="A80" t="e">
        <f>Test_Data!#REF!</f>
        <v>#REF!</v>
      </c>
      <c r="B80" t="e">
        <f>"intRow" &amp; A80 &amp; ", "</f>
        <v>#REF!</v>
      </c>
      <c r="C80" t="e">
        <f>C79 &amp;B80</f>
        <v>#REF!</v>
      </c>
      <c r="D80" t="e">
        <f t="shared" si="8"/>
        <v>#REF!</v>
      </c>
      <c r="E80" t="e">
        <f t="shared" si="12"/>
        <v>#REF!</v>
      </c>
      <c r="F80" s="6" t="e">
        <f t="shared" si="9"/>
        <v>#REF!</v>
      </c>
      <c r="G80" s="6" t="e">
        <f t="shared" si="13"/>
        <v>#REF!</v>
      </c>
      <c r="H80" t="e">
        <f t="shared" si="10"/>
        <v>#REF!</v>
      </c>
    </row>
    <row r="81" spans="1:8" x14ac:dyDescent="0.35">
      <c r="A81" t="e">
        <f>Test_Data!#REF!</f>
        <v>#REF!</v>
      </c>
      <c r="B81" t="e">
        <f t="shared" ref="B81:B100" si="14">"intRow" &amp; A81 &amp; ", "</f>
        <v>#REF!</v>
      </c>
      <c r="C81" t="e">
        <f t="shared" ref="C81:C100" si="15">C80 &amp;B81</f>
        <v>#REF!</v>
      </c>
      <c r="D81" t="e">
        <f t="shared" si="8"/>
        <v>#REF!</v>
      </c>
      <c r="E81" t="e">
        <f t="shared" si="12"/>
        <v>#REF!</v>
      </c>
      <c r="F81" s="6" t="e">
        <f t="shared" si="9"/>
        <v>#REF!</v>
      </c>
      <c r="G81" s="6" t="e">
        <f t="shared" si="13"/>
        <v>#REF!</v>
      </c>
      <c r="H81" t="e">
        <f t="shared" si="10"/>
        <v>#REF!</v>
      </c>
    </row>
    <row r="82" spans="1:8" x14ac:dyDescent="0.35">
      <c r="A82" t="e">
        <f>Test_Data!#REF!</f>
        <v>#REF!</v>
      </c>
      <c r="B82" t="e">
        <f t="shared" si="14"/>
        <v>#REF!</v>
      </c>
      <c r="C82" t="e">
        <f t="shared" si="15"/>
        <v>#REF!</v>
      </c>
      <c r="D82" t="e">
        <f t="shared" si="8"/>
        <v>#REF!</v>
      </c>
      <c r="E82" t="e">
        <f t="shared" si="12"/>
        <v>#REF!</v>
      </c>
      <c r="F82" s="6" t="e">
        <f t="shared" si="9"/>
        <v>#REF!</v>
      </c>
      <c r="G82" s="6" t="e">
        <f t="shared" si="13"/>
        <v>#REF!</v>
      </c>
      <c r="H82" t="e">
        <f t="shared" si="10"/>
        <v>#REF!</v>
      </c>
    </row>
    <row r="83" spans="1:8" x14ac:dyDescent="0.35">
      <c r="A83" t="e">
        <f>Test_Data!#REF!</f>
        <v>#REF!</v>
      </c>
      <c r="B83" t="e">
        <f t="shared" si="14"/>
        <v>#REF!</v>
      </c>
      <c r="C83" t="e">
        <f t="shared" si="15"/>
        <v>#REF!</v>
      </c>
      <c r="D83" t="e">
        <f t="shared" si="8"/>
        <v>#REF!</v>
      </c>
      <c r="E83" t="e">
        <f t="shared" si="12"/>
        <v>#REF!</v>
      </c>
      <c r="F83" s="6" t="e">
        <f t="shared" si="9"/>
        <v>#REF!</v>
      </c>
      <c r="G83" s="6" t="e">
        <f t="shared" si="13"/>
        <v>#REF!</v>
      </c>
      <c r="H83" t="e">
        <f t="shared" si="10"/>
        <v>#REF!</v>
      </c>
    </row>
    <row r="84" spans="1:8" x14ac:dyDescent="0.35">
      <c r="A84" t="e">
        <f>Test_Data!#REF!</f>
        <v>#REF!</v>
      </c>
      <c r="B84" t="e">
        <f t="shared" si="14"/>
        <v>#REF!</v>
      </c>
      <c r="C84" t="e">
        <f t="shared" si="15"/>
        <v>#REF!</v>
      </c>
      <c r="D84" t="e">
        <f t="shared" si="8"/>
        <v>#REF!</v>
      </c>
      <c r="E84" t="e">
        <f t="shared" si="12"/>
        <v>#REF!</v>
      </c>
      <c r="F84" s="6" t="e">
        <f t="shared" si="9"/>
        <v>#REF!</v>
      </c>
      <c r="G84" s="6" t="e">
        <f t="shared" si="13"/>
        <v>#REF!</v>
      </c>
      <c r="H84" t="e">
        <f t="shared" si="10"/>
        <v>#REF!</v>
      </c>
    </row>
    <row r="85" spans="1:8" x14ac:dyDescent="0.35">
      <c r="A85" t="e">
        <f>Test_Data!#REF!</f>
        <v>#REF!</v>
      </c>
      <c r="B85" t="e">
        <f t="shared" si="14"/>
        <v>#REF!</v>
      </c>
      <c r="C85" t="e">
        <f t="shared" si="15"/>
        <v>#REF!</v>
      </c>
      <c r="D85" t="e">
        <f t="shared" si="8"/>
        <v>#REF!</v>
      </c>
      <c r="E85" t="e">
        <f t="shared" si="12"/>
        <v>#REF!</v>
      </c>
      <c r="F85" s="6" t="e">
        <f t="shared" si="9"/>
        <v>#REF!</v>
      </c>
      <c r="G85" s="6" t="e">
        <f t="shared" si="13"/>
        <v>#REF!</v>
      </c>
      <c r="H85" t="e">
        <f t="shared" si="10"/>
        <v>#REF!</v>
      </c>
    </row>
    <row r="86" spans="1:8" x14ac:dyDescent="0.35">
      <c r="A86" t="e">
        <f>Test_Data!#REF!</f>
        <v>#REF!</v>
      </c>
      <c r="B86" t="e">
        <f t="shared" si="14"/>
        <v>#REF!</v>
      </c>
      <c r="C86" t="e">
        <f t="shared" si="15"/>
        <v>#REF!</v>
      </c>
      <c r="D86" t="e">
        <f t="shared" si="8"/>
        <v>#REF!</v>
      </c>
      <c r="E86" t="e">
        <f t="shared" si="12"/>
        <v>#REF!</v>
      </c>
      <c r="F86" s="6" t="e">
        <f t="shared" si="9"/>
        <v>#REF!</v>
      </c>
      <c r="G86" s="6" t="e">
        <f t="shared" si="13"/>
        <v>#REF!</v>
      </c>
      <c r="H86" t="e">
        <f t="shared" si="10"/>
        <v>#REF!</v>
      </c>
    </row>
    <row r="87" spans="1:8" x14ac:dyDescent="0.35">
      <c r="A87" t="e">
        <f>Test_Data!#REF!</f>
        <v>#REF!</v>
      </c>
      <c r="B87" t="e">
        <f t="shared" si="14"/>
        <v>#REF!</v>
      </c>
      <c r="C87" t="e">
        <f t="shared" si="15"/>
        <v>#REF!</v>
      </c>
      <c r="D87" t="e">
        <f t="shared" si="8"/>
        <v>#REF!</v>
      </c>
      <c r="E87" t="e">
        <f t="shared" si="12"/>
        <v>#REF!</v>
      </c>
      <c r="F87" s="6" t="e">
        <f t="shared" si="9"/>
        <v>#REF!</v>
      </c>
      <c r="G87" s="6" t="e">
        <f t="shared" si="13"/>
        <v>#REF!</v>
      </c>
      <c r="H87" t="e">
        <f t="shared" si="10"/>
        <v>#REF!</v>
      </c>
    </row>
    <row r="88" spans="1:8" x14ac:dyDescent="0.35">
      <c r="A88" t="e">
        <f>Test_Data!#REF!</f>
        <v>#REF!</v>
      </c>
      <c r="B88" t="e">
        <f t="shared" si="14"/>
        <v>#REF!</v>
      </c>
      <c r="C88" t="e">
        <f t="shared" si="15"/>
        <v>#REF!</v>
      </c>
      <c r="D88" t="e">
        <f t="shared" si="8"/>
        <v>#REF!</v>
      </c>
      <c r="E88" t="e">
        <f t="shared" si="12"/>
        <v>#REF!</v>
      </c>
      <c r="F88" s="6" t="e">
        <f t="shared" si="9"/>
        <v>#REF!</v>
      </c>
      <c r="G88" s="6" t="e">
        <f t="shared" si="13"/>
        <v>#REF!</v>
      </c>
      <c r="H88" t="e">
        <f t="shared" si="10"/>
        <v>#REF!</v>
      </c>
    </row>
    <row r="89" spans="1:8" x14ac:dyDescent="0.35">
      <c r="A89" t="e">
        <f>Test_Data!#REF!</f>
        <v>#REF!</v>
      </c>
      <c r="B89" t="e">
        <f t="shared" si="14"/>
        <v>#REF!</v>
      </c>
      <c r="C89" t="e">
        <f t="shared" si="15"/>
        <v>#REF!</v>
      </c>
      <c r="D89" t="e">
        <f t="shared" si="8"/>
        <v>#REF!</v>
      </c>
      <c r="E89" t="e">
        <f t="shared" si="12"/>
        <v>#REF!</v>
      </c>
      <c r="F89" s="6" t="e">
        <f t="shared" si="9"/>
        <v>#REF!</v>
      </c>
      <c r="G89" s="6" t="e">
        <f t="shared" si="13"/>
        <v>#REF!</v>
      </c>
      <c r="H89" t="e">
        <f t="shared" si="10"/>
        <v>#REF!</v>
      </c>
    </row>
    <row r="90" spans="1:8" x14ac:dyDescent="0.35">
      <c r="A90" t="e">
        <f>Test_Data!#REF!</f>
        <v>#REF!</v>
      </c>
      <c r="B90" t="e">
        <f t="shared" si="14"/>
        <v>#REF!</v>
      </c>
      <c r="C90" t="e">
        <f t="shared" si="15"/>
        <v>#REF!</v>
      </c>
      <c r="D90" t="e">
        <f t="shared" si="8"/>
        <v>#REF!</v>
      </c>
      <c r="E90" t="e">
        <f t="shared" si="12"/>
        <v>#REF!</v>
      </c>
      <c r="F90" s="6" t="e">
        <f t="shared" si="9"/>
        <v>#REF!</v>
      </c>
      <c r="G90" s="6" t="e">
        <f t="shared" si="13"/>
        <v>#REF!</v>
      </c>
      <c r="H90" t="e">
        <f t="shared" si="10"/>
        <v>#REF!</v>
      </c>
    </row>
    <row r="91" spans="1:8" x14ac:dyDescent="0.35">
      <c r="A91" t="e">
        <f>Test_Data!#REF!</f>
        <v>#REF!</v>
      </c>
      <c r="B91" t="e">
        <f t="shared" si="14"/>
        <v>#REF!</v>
      </c>
      <c r="C91" t="e">
        <f t="shared" si="15"/>
        <v>#REF!</v>
      </c>
      <c r="D91" t="e">
        <f t="shared" si="8"/>
        <v>#REF!</v>
      </c>
      <c r="E91" t="e">
        <f t="shared" si="12"/>
        <v>#REF!</v>
      </c>
      <c r="F91" s="6" t="e">
        <f t="shared" si="9"/>
        <v>#REF!</v>
      </c>
      <c r="G91" s="6" t="e">
        <f t="shared" si="13"/>
        <v>#REF!</v>
      </c>
      <c r="H91" t="e">
        <f t="shared" si="10"/>
        <v>#REF!</v>
      </c>
    </row>
    <row r="92" spans="1:8" x14ac:dyDescent="0.35">
      <c r="A92" t="e">
        <f>Test_Data!#REF!</f>
        <v>#REF!</v>
      </c>
      <c r="B92" t="e">
        <f t="shared" si="14"/>
        <v>#REF!</v>
      </c>
      <c r="C92" t="e">
        <f t="shared" si="15"/>
        <v>#REF!</v>
      </c>
      <c r="D92" t="e">
        <f t="shared" si="8"/>
        <v>#REF!</v>
      </c>
      <c r="E92" t="e">
        <f t="shared" si="12"/>
        <v>#REF!</v>
      </c>
      <c r="F92" s="6" t="e">
        <f t="shared" si="9"/>
        <v>#REF!</v>
      </c>
      <c r="G92" s="6" t="e">
        <f t="shared" si="13"/>
        <v>#REF!</v>
      </c>
      <c r="H92" t="e">
        <f t="shared" si="10"/>
        <v>#REF!</v>
      </c>
    </row>
    <row r="93" spans="1:8" x14ac:dyDescent="0.35">
      <c r="A93" t="e">
        <f>Test_Data!#REF!</f>
        <v>#REF!</v>
      </c>
      <c r="B93" t="e">
        <f t="shared" si="14"/>
        <v>#REF!</v>
      </c>
      <c r="C93" t="e">
        <f t="shared" si="15"/>
        <v>#REF!</v>
      </c>
      <c r="D93" t="e">
        <f t="shared" si="8"/>
        <v>#REF!</v>
      </c>
      <c r="E93" t="e">
        <f t="shared" si="12"/>
        <v>#REF!</v>
      </c>
      <c r="F93" s="6" t="e">
        <f t="shared" si="9"/>
        <v>#REF!</v>
      </c>
      <c r="G93" s="6" t="e">
        <f t="shared" si="13"/>
        <v>#REF!</v>
      </c>
      <c r="H93" t="e">
        <f t="shared" si="10"/>
        <v>#REF!</v>
      </c>
    </row>
    <row r="94" spans="1:8" x14ac:dyDescent="0.35">
      <c r="A94" t="e">
        <f>Test_Data!#REF!</f>
        <v>#REF!</v>
      </c>
      <c r="B94" t="e">
        <f t="shared" si="14"/>
        <v>#REF!</v>
      </c>
      <c r="C94" t="e">
        <f t="shared" si="15"/>
        <v>#REF!</v>
      </c>
      <c r="D94" t="e">
        <f t="shared" si="8"/>
        <v>#REF!</v>
      </c>
      <c r="E94" t="e">
        <f t="shared" si="12"/>
        <v>#REF!</v>
      </c>
      <c r="F94" s="6" t="e">
        <f t="shared" si="9"/>
        <v>#REF!</v>
      </c>
      <c r="G94" s="6" t="e">
        <f t="shared" si="13"/>
        <v>#REF!</v>
      </c>
      <c r="H94" t="e">
        <f t="shared" si="10"/>
        <v>#REF!</v>
      </c>
    </row>
    <row r="95" spans="1:8" x14ac:dyDescent="0.35">
      <c r="A95" t="e">
        <f>Test_Data!#REF!</f>
        <v>#REF!</v>
      </c>
      <c r="B95" t="e">
        <f t="shared" si="14"/>
        <v>#REF!</v>
      </c>
      <c r="C95" t="e">
        <f t="shared" si="15"/>
        <v>#REF!</v>
      </c>
      <c r="D95" t="e">
        <f t="shared" si="8"/>
        <v>#REF!</v>
      </c>
      <c r="E95" t="e">
        <f t="shared" si="12"/>
        <v>#REF!</v>
      </c>
      <c r="F95" s="6" t="e">
        <f t="shared" si="9"/>
        <v>#REF!</v>
      </c>
      <c r="G95" s="6" t="e">
        <f t="shared" si="13"/>
        <v>#REF!</v>
      </c>
      <c r="H95" t="e">
        <f t="shared" si="10"/>
        <v>#REF!</v>
      </c>
    </row>
    <row r="96" spans="1:8" x14ac:dyDescent="0.35">
      <c r="A96" t="e">
        <f>Test_Data!#REF!</f>
        <v>#REF!</v>
      </c>
      <c r="B96" t="e">
        <f t="shared" si="14"/>
        <v>#REF!</v>
      </c>
      <c r="C96" t="e">
        <f t="shared" si="15"/>
        <v>#REF!</v>
      </c>
      <c r="D96" t="e">
        <f t="shared" si="8"/>
        <v>#REF!</v>
      </c>
      <c r="E96" t="e">
        <f t="shared" si="12"/>
        <v>#REF!</v>
      </c>
      <c r="F96" s="6" t="e">
        <f t="shared" si="9"/>
        <v>#REF!</v>
      </c>
      <c r="G96" s="6" t="e">
        <f t="shared" si="13"/>
        <v>#REF!</v>
      </c>
      <c r="H96" t="e">
        <f t="shared" si="10"/>
        <v>#REF!</v>
      </c>
    </row>
    <row r="97" spans="1:8" x14ac:dyDescent="0.35">
      <c r="A97" t="e">
        <f>Test_Data!#REF!</f>
        <v>#REF!</v>
      </c>
      <c r="B97" t="e">
        <f t="shared" si="14"/>
        <v>#REF!</v>
      </c>
      <c r="C97" t="e">
        <f t="shared" si="15"/>
        <v>#REF!</v>
      </c>
      <c r="D97" t="e">
        <f t="shared" si="8"/>
        <v>#REF!</v>
      </c>
      <c r="E97" t="e">
        <f t="shared" si="12"/>
        <v>#REF!</v>
      </c>
      <c r="F97" s="6" t="e">
        <f t="shared" si="9"/>
        <v>#REF!</v>
      </c>
      <c r="G97" s="6" t="e">
        <f t="shared" si="13"/>
        <v>#REF!</v>
      </c>
      <c r="H97" t="e">
        <f t="shared" si="10"/>
        <v>#REF!</v>
      </c>
    </row>
    <row r="98" spans="1:8" x14ac:dyDescent="0.35">
      <c r="A98" t="e">
        <f>Test_Data!#REF!</f>
        <v>#REF!</v>
      </c>
      <c r="B98" t="e">
        <f t="shared" si="14"/>
        <v>#REF!</v>
      </c>
      <c r="C98" t="e">
        <f t="shared" si="15"/>
        <v>#REF!</v>
      </c>
      <c r="D98" t="e">
        <f t="shared" si="8"/>
        <v>#REF!</v>
      </c>
      <c r="E98" t="e">
        <f t="shared" si="12"/>
        <v>#REF!</v>
      </c>
      <c r="F98" s="6" t="e">
        <f t="shared" si="9"/>
        <v>#REF!</v>
      </c>
      <c r="G98" s="6" t="e">
        <f t="shared" si="13"/>
        <v>#REF!</v>
      </c>
      <c r="H98" t="e">
        <f t="shared" si="10"/>
        <v>#REF!</v>
      </c>
    </row>
    <row r="99" spans="1:8" x14ac:dyDescent="0.35">
      <c r="A99" t="e">
        <f>Test_Data!#REF!</f>
        <v>#REF!</v>
      </c>
      <c r="B99" t="e">
        <f t="shared" si="14"/>
        <v>#REF!</v>
      </c>
      <c r="C99" t="e">
        <f t="shared" si="15"/>
        <v>#REF!</v>
      </c>
      <c r="D99" t="e">
        <f t="shared" si="8"/>
        <v>#REF!</v>
      </c>
      <c r="E99" t="e">
        <f t="shared" si="12"/>
        <v>#REF!</v>
      </c>
      <c r="F99" s="6" t="e">
        <f t="shared" si="9"/>
        <v>#REF!</v>
      </c>
      <c r="G99" s="6" t="e">
        <f t="shared" si="13"/>
        <v>#REF!</v>
      </c>
      <c r="H99" t="e">
        <f t="shared" si="10"/>
        <v>#REF!</v>
      </c>
    </row>
    <row r="100" spans="1:8" s="199" customFormat="1" x14ac:dyDescent="0.35">
      <c r="A100" s="199">
        <f>Test_Data!D92</f>
        <v>0</v>
      </c>
      <c r="B100" s="199" t="str">
        <f t="shared" si="14"/>
        <v xml:space="preserve">intRow0, </v>
      </c>
      <c r="C100" s="199" t="e">
        <f t="shared" si="15"/>
        <v>#REF!</v>
      </c>
      <c r="D100" s="199" t="str">
        <f t="shared" si="8"/>
        <v xml:space="preserve">str0, </v>
      </c>
      <c r="E100" s="199" t="e">
        <f t="shared" si="12"/>
        <v>#REF!</v>
      </c>
      <c r="F100" s="200" t="str">
        <f t="shared" si="9"/>
        <v>intRow0 = comExcelWorksheet.Range("0").Row</v>
      </c>
      <c r="G100" s="200" t="str">
        <f t="shared" si="13"/>
        <v>str0 = comExcelWorksheet.Cells(intRow0, intColTestColumn).Value</v>
      </c>
      <c r="H100" s="199" t="str">
        <f t="shared" si="10"/>
        <v>Public Property Get get0() : get0 = str0 : End Property</v>
      </c>
    </row>
    <row r="101" spans="1:8" s="199" customFormat="1" x14ac:dyDescent="0.35">
      <c r="A101" s="199" t="str">
        <f>Test_Data!D51</f>
        <v>AssignCollectiveAgreement_CollectiveAgreement</v>
      </c>
      <c r="B101" s="199" t="str">
        <f>"intRow" &amp; A101 &amp; ", "</f>
        <v xml:space="preserve">intRowAssignCollectiveAgreement_CollectiveAgreement, </v>
      </c>
      <c r="C101" s="199" t="e">
        <f t="shared" ref="C101" si="16">C100 &amp;B101</f>
        <v>#REF!</v>
      </c>
      <c r="D101" s="199" t="str">
        <f>"str" &amp; A101 &amp; ", "</f>
        <v xml:space="preserve">strAssignCollectiveAgreement_CollectiveAgreement, </v>
      </c>
      <c r="E101" s="199" t="e">
        <f t="shared" ref="E101" si="17">E100 &amp;D101</f>
        <v>#REF!</v>
      </c>
      <c r="F101" s="200" t="str">
        <f>"intRow" &amp; A101 &amp; " = comExcelWorksheet.Range(""" &amp; A101 &amp; """).Row"</f>
        <v>intRowAssignCollectiveAgreement_CollectiveAgreement = comExcelWorksheet.Range("AssignCollectiveAgreement_CollectiveAgreement").Row</v>
      </c>
      <c r="G101" s="200" t="str">
        <f>"str" &amp; A101 &amp; " = comExcelWorksheet.Cells(intRow" &amp; A101 &amp; ", intColTestColumn).Value"</f>
        <v>strAssignCollectiveAgreement_CollectiveAgreement = comExcelWorksheet.Cells(intRowAssignCollectiveAgreement_CollectiveAgreement, intColTestColumn).Value</v>
      </c>
      <c r="H101" s="199" t="str">
        <f t="shared" ref="H101" si="18">"Public Property Get get" &amp; A101 &amp; "() : get" &amp; A101 &amp; " = str" &amp; A101 &amp; " : End Property"</f>
        <v>Public Property Get getAssignCollectiveAgreement_CollectiveAgreement() : getAssignCollectiveAgreement_CollectiveAgreement = strAssignCollectiveAgreement_CollectiveAgreement : End Property</v>
      </c>
    </row>
    <row r="102" spans="1:8" x14ac:dyDescent="0.35">
      <c r="A102" s="199" t="str">
        <f>Test_Data!D52</f>
        <v>AssignCollectiveAgreement_ProfessionalCategory</v>
      </c>
    </row>
    <row r="103" spans="1:8" x14ac:dyDescent="0.35">
      <c r="A103" s="199" t="str">
        <f>Test_Data!D53</f>
        <v>AssignCollectiveAgreement_Level</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65"/>
  <sheetViews>
    <sheetView workbookViewId="0">
      <selection activeCell="F5" sqref="F5"/>
    </sheetView>
  </sheetViews>
  <sheetFormatPr defaultRowHeight="14.5" x14ac:dyDescent="0.35"/>
  <cols>
    <col min="1" max="1" width="11.453125" bestFit="1" customWidth="1"/>
    <col min="3" max="3" width="15.54296875" customWidth="1"/>
    <col min="4" max="4" width="23" customWidth="1"/>
  </cols>
  <sheetData>
    <row r="1" spans="1:27" x14ac:dyDescent="0.35">
      <c r="A1" t="s">
        <v>165</v>
      </c>
      <c r="B1" t="s">
        <v>329</v>
      </c>
      <c r="C1" t="s">
        <v>473</v>
      </c>
      <c r="D1" s="39">
        <v>44444441001</v>
      </c>
    </row>
    <row r="2" spans="1:27" x14ac:dyDescent="0.35">
      <c r="A2" t="s">
        <v>251</v>
      </c>
      <c r="B2" t="s">
        <v>330</v>
      </c>
      <c r="C2" t="s">
        <v>474</v>
      </c>
      <c r="D2" s="39">
        <v>44444441002</v>
      </c>
    </row>
    <row r="3" spans="1:27" x14ac:dyDescent="0.35">
      <c r="A3" t="s">
        <v>252</v>
      </c>
      <c r="B3" t="s">
        <v>331</v>
      </c>
      <c r="C3" t="s">
        <v>475</v>
      </c>
      <c r="D3" s="39">
        <v>44444441003</v>
      </c>
    </row>
    <row r="4" spans="1:27" x14ac:dyDescent="0.35">
      <c r="A4" t="s">
        <v>253</v>
      </c>
      <c r="B4" t="s">
        <v>332</v>
      </c>
      <c r="C4" t="s">
        <v>476</v>
      </c>
      <c r="D4" s="39">
        <v>44444441004</v>
      </c>
    </row>
    <row r="5" spans="1:27" x14ac:dyDescent="0.35">
      <c r="A5" t="s">
        <v>254</v>
      </c>
      <c r="B5" t="s">
        <v>333</v>
      </c>
      <c r="C5" t="s">
        <v>477</v>
      </c>
      <c r="D5" s="39">
        <v>44444441005</v>
      </c>
      <c r="H5" t="s">
        <v>165</v>
      </c>
      <c r="I5" t="s">
        <v>251</v>
      </c>
      <c r="J5" t="s">
        <v>252</v>
      </c>
      <c r="K5" t="s">
        <v>253</v>
      </c>
      <c r="L5" t="s">
        <v>254</v>
      </c>
      <c r="M5" t="s">
        <v>166</v>
      </c>
      <c r="N5" t="s">
        <v>167</v>
      </c>
      <c r="O5" t="s">
        <v>168</v>
      </c>
      <c r="P5" t="s">
        <v>169</v>
      </c>
      <c r="Q5" t="s">
        <v>170</v>
      </c>
      <c r="R5" t="s">
        <v>171</v>
      </c>
      <c r="S5" t="s">
        <v>255</v>
      </c>
      <c r="T5" t="s">
        <v>172</v>
      </c>
      <c r="U5" t="s">
        <v>173</v>
      </c>
      <c r="V5" t="s">
        <v>174</v>
      </c>
      <c r="W5" t="s">
        <v>256</v>
      </c>
      <c r="X5" t="s">
        <v>175</v>
      </c>
      <c r="Y5" t="s">
        <v>257</v>
      </c>
      <c r="Z5" t="s">
        <v>176</v>
      </c>
      <c r="AA5" t="s">
        <v>177</v>
      </c>
    </row>
    <row r="6" spans="1:27" x14ac:dyDescent="0.35">
      <c r="A6" t="s">
        <v>166</v>
      </c>
      <c r="B6" t="s">
        <v>334</v>
      </c>
      <c r="C6" t="s">
        <v>478</v>
      </c>
      <c r="D6" s="39">
        <v>44444441006</v>
      </c>
    </row>
    <row r="7" spans="1:27" x14ac:dyDescent="0.35">
      <c r="A7" t="s">
        <v>167</v>
      </c>
      <c r="B7" t="s">
        <v>335</v>
      </c>
      <c r="C7" t="s">
        <v>479</v>
      </c>
      <c r="D7" s="39">
        <v>44444441007</v>
      </c>
      <c r="H7" t="s">
        <v>329</v>
      </c>
      <c r="I7" t="s">
        <v>330</v>
      </c>
      <c r="J7" t="s">
        <v>331</v>
      </c>
      <c r="K7" t="s">
        <v>332</v>
      </c>
      <c r="L7" t="s">
        <v>333</v>
      </c>
      <c r="M7" t="s">
        <v>334</v>
      </c>
      <c r="N7" t="s">
        <v>335</v>
      </c>
      <c r="O7" t="s">
        <v>336</v>
      </c>
      <c r="P7" t="s">
        <v>337</v>
      </c>
      <c r="Q7" t="s">
        <v>338</v>
      </c>
      <c r="R7" t="s">
        <v>339</v>
      </c>
      <c r="S7" t="s">
        <v>340</v>
      </c>
      <c r="T7" t="s">
        <v>259</v>
      </c>
      <c r="U7" t="s">
        <v>341</v>
      </c>
      <c r="V7" t="s">
        <v>342</v>
      </c>
      <c r="W7" t="s">
        <v>343</v>
      </c>
      <c r="X7" t="s">
        <v>344</v>
      </c>
      <c r="Y7" t="s">
        <v>345</v>
      </c>
      <c r="Z7" t="s">
        <v>346</v>
      </c>
      <c r="AA7" t="s">
        <v>263</v>
      </c>
    </row>
    <row r="8" spans="1:27" x14ac:dyDescent="0.35">
      <c r="A8" t="s">
        <v>168</v>
      </c>
      <c r="B8" t="s">
        <v>336</v>
      </c>
      <c r="C8" t="s">
        <v>480</v>
      </c>
      <c r="D8" s="39">
        <v>44444441008</v>
      </c>
    </row>
    <row r="9" spans="1:27" x14ac:dyDescent="0.35">
      <c r="A9" t="s">
        <v>169</v>
      </c>
      <c r="B9" t="s">
        <v>337</v>
      </c>
      <c r="C9" t="s">
        <v>481</v>
      </c>
      <c r="D9" s="39">
        <v>44444441009</v>
      </c>
      <c r="H9" t="s">
        <v>473</v>
      </c>
      <c r="I9" t="s">
        <v>474</v>
      </c>
      <c r="J9" t="s">
        <v>475</v>
      </c>
      <c r="K9" t="s">
        <v>476</v>
      </c>
      <c r="L9" t="s">
        <v>477</v>
      </c>
      <c r="M9" t="s">
        <v>478</v>
      </c>
      <c r="N9" t="s">
        <v>479</v>
      </c>
      <c r="O9" t="s">
        <v>480</v>
      </c>
      <c r="P9" t="s">
        <v>481</v>
      </c>
      <c r="Q9" t="s">
        <v>482</v>
      </c>
    </row>
    <row r="10" spans="1:27" x14ac:dyDescent="0.35">
      <c r="A10" t="s">
        <v>170</v>
      </c>
      <c r="B10" t="s">
        <v>338</v>
      </c>
      <c r="C10" t="s">
        <v>482</v>
      </c>
      <c r="D10" s="39">
        <v>44444441010</v>
      </c>
    </row>
    <row r="11" spans="1:27" x14ac:dyDescent="0.35">
      <c r="A11" t="s">
        <v>171</v>
      </c>
      <c r="B11" t="s">
        <v>339</v>
      </c>
      <c r="C11" t="s">
        <v>483</v>
      </c>
      <c r="D11" s="39">
        <v>44444441011</v>
      </c>
      <c r="H11" s="39">
        <v>44444441001</v>
      </c>
      <c r="I11" s="39">
        <v>44444441002</v>
      </c>
      <c r="J11" s="39">
        <v>44444441003</v>
      </c>
      <c r="K11" s="39">
        <v>44444441004</v>
      </c>
      <c r="L11" s="39">
        <v>44444441005</v>
      </c>
      <c r="M11" s="39">
        <v>44444441006</v>
      </c>
      <c r="N11" s="39">
        <v>44444441007</v>
      </c>
      <c r="O11" s="39">
        <v>44444441008</v>
      </c>
      <c r="P11" s="39">
        <v>44444441009</v>
      </c>
      <c r="Q11" s="39">
        <v>44444441010</v>
      </c>
      <c r="R11" s="39">
        <v>44444441011</v>
      </c>
      <c r="S11" s="39">
        <v>44444441012</v>
      </c>
      <c r="T11" s="39">
        <v>44444441013</v>
      </c>
      <c r="U11" s="39">
        <v>44444441014</v>
      </c>
      <c r="V11" s="39">
        <v>44444441015</v>
      </c>
      <c r="W11" s="39">
        <v>44444441016</v>
      </c>
      <c r="X11" s="39">
        <v>44444441017</v>
      </c>
      <c r="Y11" s="39">
        <v>44444441018</v>
      </c>
      <c r="Z11" s="39">
        <v>44444441019</v>
      </c>
      <c r="AA11" s="39">
        <v>44444441020</v>
      </c>
    </row>
    <row r="12" spans="1:27" x14ac:dyDescent="0.35">
      <c r="A12" t="s">
        <v>255</v>
      </c>
      <c r="B12" t="s">
        <v>340</v>
      </c>
      <c r="C12" t="s">
        <v>484</v>
      </c>
      <c r="D12" s="39">
        <v>44444441012</v>
      </c>
    </row>
    <row r="13" spans="1:27" x14ac:dyDescent="0.35">
      <c r="A13" t="s">
        <v>172</v>
      </c>
      <c r="B13" t="s">
        <v>259</v>
      </c>
      <c r="C13" t="s">
        <v>485</v>
      </c>
      <c r="D13" s="39">
        <v>44444441013</v>
      </c>
    </row>
    <row r="14" spans="1:27" x14ac:dyDescent="0.35">
      <c r="A14" t="s">
        <v>173</v>
      </c>
      <c r="B14" t="s">
        <v>341</v>
      </c>
      <c r="C14" t="s">
        <v>486</v>
      </c>
      <c r="D14" s="39">
        <v>44444441014</v>
      </c>
    </row>
    <row r="15" spans="1:27" x14ac:dyDescent="0.35">
      <c r="A15" t="s">
        <v>174</v>
      </c>
      <c r="B15" t="s">
        <v>342</v>
      </c>
      <c r="C15" t="s">
        <v>487</v>
      </c>
      <c r="D15" s="39">
        <v>44444441015</v>
      </c>
    </row>
    <row r="16" spans="1:27" x14ac:dyDescent="0.35">
      <c r="A16" t="s">
        <v>256</v>
      </c>
      <c r="B16" t="s">
        <v>343</v>
      </c>
      <c r="C16" t="s">
        <v>488</v>
      </c>
      <c r="D16" s="39">
        <v>44444441016</v>
      </c>
    </row>
    <row r="17" spans="1:4" x14ac:dyDescent="0.35">
      <c r="A17" t="s">
        <v>175</v>
      </c>
      <c r="B17" t="s">
        <v>344</v>
      </c>
      <c r="C17" t="s">
        <v>489</v>
      </c>
      <c r="D17" s="39">
        <v>44444441017</v>
      </c>
    </row>
    <row r="18" spans="1:4" x14ac:dyDescent="0.35">
      <c r="A18" t="s">
        <v>257</v>
      </c>
      <c r="B18" t="s">
        <v>345</v>
      </c>
      <c r="C18" t="s">
        <v>490</v>
      </c>
      <c r="D18" s="39">
        <v>44444441018</v>
      </c>
    </row>
    <row r="19" spans="1:4" x14ac:dyDescent="0.35">
      <c r="A19" t="s">
        <v>176</v>
      </c>
      <c r="B19" t="s">
        <v>346</v>
      </c>
      <c r="C19" t="s">
        <v>491</v>
      </c>
      <c r="D19" s="39">
        <v>44444441019</v>
      </c>
    </row>
    <row r="20" spans="1:4" x14ac:dyDescent="0.35">
      <c r="A20" t="s">
        <v>177</v>
      </c>
      <c r="B20" t="s">
        <v>263</v>
      </c>
      <c r="C20" t="s">
        <v>492</v>
      </c>
      <c r="D20" s="39">
        <v>44444441020</v>
      </c>
    </row>
    <row r="21" spans="1:4" x14ac:dyDescent="0.35">
      <c r="A21" t="s">
        <v>258</v>
      </c>
      <c r="B21" t="s">
        <v>347</v>
      </c>
      <c r="C21" t="s">
        <v>493</v>
      </c>
      <c r="D21" s="39">
        <v>44444441021</v>
      </c>
    </row>
    <row r="22" spans="1:4" x14ac:dyDescent="0.35">
      <c r="A22" t="s">
        <v>178</v>
      </c>
      <c r="B22" t="s">
        <v>348</v>
      </c>
      <c r="C22" t="s">
        <v>494</v>
      </c>
      <c r="D22" s="39">
        <v>44444441022</v>
      </c>
    </row>
    <row r="23" spans="1:4" x14ac:dyDescent="0.35">
      <c r="A23" t="s">
        <v>259</v>
      </c>
      <c r="B23" t="s">
        <v>349</v>
      </c>
      <c r="C23" t="s">
        <v>495</v>
      </c>
      <c r="D23" s="39">
        <v>44444441023</v>
      </c>
    </row>
    <row r="24" spans="1:4" x14ac:dyDescent="0.35">
      <c r="A24" t="s">
        <v>260</v>
      </c>
      <c r="B24" t="s">
        <v>350</v>
      </c>
      <c r="C24" t="s">
        <v>496</v>
      </c>
      <c r="D24" s="39">
        <v>44444441024</v>
      </c>
    </row>
    <row r="25" spans="1:4" x14ac:dyDescent="0.35">
      <c r="A25" t="s">
        <v>261</v>
      </c>
      <c r="B25" t="s">
        <v>351</v>
      </c>
      <c r="C25" t="s">
        <v>497</v>
      </c>
      <c r="D25" s="39">
        <v>44444441025</v>
      </c>
    </row>
    <row r="26" spans="1:4" x14ac:dyDescent="0.35">
      <c r="A26" t="s">
        <v>262</v>
      </c>
      <c r="B26" t="s">
        <v>352</v>
      </c>
      <c r="C26" t="s">
        <v>498</v>
      </c>
      <c r="D26" s="39">
        <v>44444441026</v>
      </c>
    </row>
    <row r="27" spans="1:4" x14ac:dyDescent="0.35">
      <c r="A27" t="s">
        <v>263</v>
      </c>
      <c r="B27" t="s">
        <v>353</v>
      </c>
      <c r="C27" t="s">
        <v>499</v>
      </c>
      <c r="D27" s="39">
        <v>44444441027</v>
      </c>
    </row>
    <row r="28" spans="1:4" x14ac:dyDescent="0.35">
      <c r="A28" t="s">
        <v>264</v>
      </c>
      <c r="B28" t="s">
        <v>354</v>
      </c>
      <c r="C28" t="s">
        <v>500</v>
      </c>
      <c r="D28" s="39">
        <v>44444441028</v>
      </c>
    </row>
    <row r="29" spans="1:4" x14ac:dyDescent="0.35">
      <c r="A29" t="s">
        <v>179</v>
      </c>
      <c r="B29" t="s">
        <v>355</v>
      </c>
      <c r="C29" t="s">
        <v>501</v>
      </c>
      <c r="D29" s="39">
        <v>44444441029</v>
      </c>
    </row>
    <row r="30" spans="1:4" x14ac:dyDescent="0.35">
      <c r="A30" t="s">
        <v>180</v>
      </c>
      <c r="B30" t="s">
        <v>356</v>
      </c>
      <c r="C30" t="s">
        <v>502</v>
      </c>
      <c r="D30" s="39">
        <v>44444441030</v>
      </c>
    </row>
    <row r="31" spans="1:4" x14ac:dyDescent="0.35">
      <c r="A31" t="s">
        <v>181</v>
      </c>
      <c r="B31" t="s">
        <v>357</v>
      </c>
      <c r="C31" t="s">
        <v>503</v>
      </c>
      <c r="D31" s="39">
        <v>44444441031</v>
      </c>
    </row>
    <row r="32" spans="1:4" x14ac:dyDescent="0.35">
      <c r="A32" t="s">
        <v>265</v>
      </c>
      <c r="B32" t="s">
        <v>358</v>
      </c>
      <c r="C32" t="s">
        <v>504</v>
      </c>
      <c r="D32" s="39">
        <v>44444441032</v>
      </c>
    </row>
    <row r="33" spans="1:4" x14ac:dyDescent="0.35">
      <c r="A33" t="s">
        <v>182</v>
      </c>
      <c r="B33" t="s">
        <v>359</v>
      </c>
      <c r="C33" t="s">
        <v>505</v>
      </c>
      <c r="D33" s="39">
        <v>44444441033</v>
      </c>
    </row>
    <row r="34" spans="1:4" x14ac:dyDescent="0.35">
      <c r="A34" t="s">
        <v>266</v>
      </c>
      <c r="B34" t="s">
        <v>360</v>
      </c>
      <c r="C34" t="s">
        <v>506</v>
      </c>
      <c r="D34" s="39">
        <v>44444441034</v>
      </c>
    </row>
    <row r="35" spans="1:4" x14ac:dyDescent="0.35">
      <c r="A35" t="s">
        <v>267</v>
      </c>
      <c r="B35" t="s">
        <v>361</v>
      </c>
      <c r="C35" t="s">
        <v>507</v>
      </c>
      <c r="D35" s="39">
        <v>44444441035</v>
      </c>
    </row>
    <row r="36" spans="1:4" x14ac:dyDescent="0.35">
      <c r="A36" t="s">
        <v>183</v>
      </c>
      <c r="B36" t="s">
        <v>362</v>
      </c>
      <c r="C36" t="s">
        <v>508</v>
      </c>
      <c r="D36" s="39">
        <v>44444441036</v>
      </c>
    </row>
    <row r="37" spans="1:4" x14ac:dyDescent="0.35">
      <c r="A37" t="s">
        <v>268</v>
      </c>
      <c r="B37" t="s">
        <v>363</v>
      </c>
      <c r="C37" t="s">
        <v>509</v>
      </c>
      <c r="D37" s="39">
        <v>44444441037</v>
      </c>
    </row>
    <row r="38" spans="1:4" x14ac:dyDescent="0.35">
      <c r="A38" t="s">
        <v>269</v>
      </c>
      <c r="B38" t="s">
        <v>364</v>
      </c>
      <c r="C38" t="s">
        <v>510</v>
      </c>
      <c r="D38" s="39">
        <v>44444441038</v>
      </c>
    </row>
    <row r="39" spans="1:4" x14ac:dyDescent="0.35">
      <c r="A39" t="s">
        <v>270</v>
      </c>
      <c r="B39" t="s">
        <v>365</v>
      </c>
      <c r="C39" t="s">
        <v>511</v>
      </c>
      <c r="D39" s="39">
        <v>44444441039</v>
      </c>
    </row>
    <row r="40" spans="1:4" x14ac:dyDescent="0.35">
      <c r="A40" t="s">
        <v>271</v>
      </c>
      <c r="B40" t="s">
        <v>366</v>
      </c>
      <c r="C40" t="s">
        <v>512</v>
      </c>
      <c r="D40" s="39">
        <v>44444441040</v>
      </c>
    </row>
    <row r="41" spans="1:4" x14ac:dyDescent="0.35">
      <c r="A41" t="s">
        <v>184</v>
      </c>
      <c r="B41" t="s">
        <v>367</v>
      </c>
      <c r="C41" t="s">
        <v>513</v>
      </c>
      <c r="D41" s="39">
        <v>44444441041</v>
      </c>
    </row>
    <row r="42" spans="1:4" x14ac:dyDescent="0.35">
      <c r="A42" t="s">
        <v>185</v>
      </c>
      <c r="B42" t="s">
        <v>368</v>
      </c>
      <c r="C42" t="s">
        <v>514</v>
      </c>
      <c r="D42" s="39">
        <v>44444441042</v>
      </c>
    </row>
    <row r="43" spans="1:4" x14ac:dyDescent="0.35">
      <c r="A43" t="s">
        <v>186</v>
      </c>
      <c r="B43" t="s">
        <v>369</v>
      </c>
      <c r="C43" t="s">
        <v>515</v>
      </c>
      <c r="D43" s="39">
        <v>44444441043</v>
      </c>
    </row>
    <row r="44" spans="1:4" x14ac:dyDescent="0.35">
      <c r="A44" t="s">
        <v>272</v>
      </c>
      <c r="B44" t="s">
        <v>370</v>
      </c>
      <c r="C44" t="s">
        <v>516</v>
      </c>
      <c r="D44" s="39">
        <v>44444441044</v>
      </c>
    </row>
    <row r="45" spans="1:4" x14ac:dyDescent="0.35">
      <c r="A45" t="s">
        <v>187</v>
      </c>
      <c r="B45" t="s">
        <v>371</v>
      </c>
      <c r="C45" t="s">
        <v>517</v>
      </c>
      <c r="D45" s="39">
        <v>44444441045</v>
      </c>
    </row>
    <row r="46" spans="1:4" x14ac:dyDescent="0.35">
      <c r="A46" t="s">
        <v>188</v>
      </c>
      <c r="B46" t="s">
        <v>372</v>
      </c>
      <c r="C46" t="s">
        <v>518</v>
      </c>
      <c r="D46" s="39">
        <v>44444441046</v>
      </c>
    </row>
    <row r="47" spans="1:4" x14ac:dyDescent="0.35">
      <c r="A47" t="s">
        <v>273</v>
      </c>
      <c r="B47" t="s">
        <v>373</v>
      </c>
      <c r="C47" t="s">
        <v>519</v>
      </c>
      <c r="D47" s="39">
        <v>44444441047</v>
      </c>
    </row>
    <row r="48" spans="1:4" x14ac:dyDescent="0.35">
      <c r="A48" t="s">
        <v>274</v>
      </c>
      <c r="B48" t="s">
        <v>374</v>
      </c>
      <c r="C48" t="s">
        <v>520</v>
      </c>
      <c r="D48" s="39">
        <v>44444441048</v>
      </c>
    </row>
    <row r="49" spans="1:4" x14ac:dyDescent="0.35">
      <c r="A49" t="s">
        <v>189</v>
      </c>
      <c r="B49" t="s">
        <v>375</v>
      </c>
      <c r="C49" t="s">
        <v>521</v>
      </c>
      <c r="D49" s="39">
        <v>44444441049</v>
      </c>
    </row>
    <row r="50" spans="1:4" x14ac:dyDescent="0.35">
      <c r="A50" t="s">
        <v>190</v>
      </c>
      <c r="B50" t="s">
        <v>376</v>
      </c>
      <c r="C50" t="s">
        <v>522</v>
      </c>
      <c r="D50" s="39">
        <v>44444441050</v>
      </c>
    </row>
    <row r="51" spans="1:4" x14ac:dyDescent="0.35">
      <c r="A51" t="s">
        <v>191</v>
      </c>
      <c r="B51" t="s">
        <v>377</v>
      </c>
      <c r="C51" t="s">
        <v>523</v>
      </c>
      <c r="D51" s="39">
        <v>44444441051</v>
      </c>
    </row>
    <row r="52" spans="1:4" x14ac:dyDescent="0.35">
      <c r="A52" t="s">
        <v>192</v>
      </c>
      <c r="B52" t="s">
        <v>378</v>
      </c>
      <c r="C52" t="s">
        <v>524</v>
      </c>
      <c r="D52" s="39">
        <v>44444441052</v>
      </c>
    </row>
    <row r="53" spans="1:4" x14ac:dyDescent="0.35">
      <c r="A53" t="s">
        <v>275</v>
      </c>
      <c r="B53" t="s">
        <v>379</v>
      </c>
      <c r="C53" t="s">
        <v>525</v>
      </c>
      <c r="D53" s="39">
        <v>44444441053</v>
      </c>
    </row>
    <row r="54" spans="1:4" x14ac:dyDescent="0.35">
      <c r="A54" t="s">
        <v>276</v>
      </c>
      <c r="B54" t="s">
        <v>380</v>
      </c>
      <c r="C54" t="s">
        <v>526</v>
      </c>
      <c r="D54" s="39">
        <v>44444441054</v>
      </c>
    </row>
    <row r="55" spans="1:4" x14ac:dyDescent="0.35">
      <c r="A55" t="s">
        <v>193</v>
      </c>
      <c r="B55" t="s">
        <v>381</v>
      </c>
      <c r="C55" t="s">
        <v>527</v>
      </c>
      <c r="D55" s="39">
        <v>44444441055</v>
      </c>
    </row>
    <row r="56" spans="1:4" x14ac:dyDescent="0.35">
      <c r="A56" t="s">
        <v>194</v>
      </c>
      <c r="B56" t="s">
        <v>382</v>
      </c>
      <c r="C56" t="s">
        <v>528</v>
      </c>
      <c r="D56" s="39">
        <v>44444441056</v>
      </c>
    </row>
    <row r="57" spans="1:4" x14ac:dyDescent="0.35">
      <c r="A57" t="s">
        <v>195</v>
      </c>
      <c r="B57" t="s">
        <v>383</v>
      </c>
      <c r="C57" t="s">
        <v>529</v>
      </c>
      <c r="D57" s="39">
        <v>44444441057</v>
      </c>
    </row>
    <row r="58" spans="1:4" x14ac:dyDescent="0.35">
      <c r="A58" t="s">
        <v>164</v>
      </c>
      <c r="B58" t="s">
        <v>384</v>
      </c>
      <c r="C58" t="s">
        <v>530</v>
      </c>
      <c r="D58" s="39">
        <v>44444441058</v>
      </c>
    </row>
    <row r="59" spans="1:4" x14ac:dyDescent="0.35">
      <c r="A59" t="s">
        <v>277</v>
      </c>
      <c r="B59" t="s">
        <v>385</v>
      </c>
      <c r="C59" t="s">
        <v>531</v>
      </c>
      <c r="D59" s="39">
        <v>44444441059</v>
      </c>
    </row>
    <row r="60" spans="1:4" x14ac:dyDescent="0.35">
      <c r="A60" t="s">
        <v>196</v>
      </c>
      <c r="B60" t="s">
        <v>386</v>
      </c>
      <c r="C60" t="s">
        <v>532</v>
      </c>
      <c r="D60" s="39">
        <v>44444441060</v>
      </c>
    </row>
    <row r="61" spans="1:4" x14ac:dyDescent="0.35">
      <c r="A61" t="s">
        <v>278</v>
      </c>
      <c r="B61" t="s">
        <v>387</v>
      </c>
      <c r="C61" t="s">
        <v>533</v>
      </c>
      <c r="D61" s="39">
        <v>44444441061</v>
      </c>
    </row>
    <row r="62" spans="1:4" x14ac:dyDescent="0.35">
      <c r="A62" t="s">
        <v>279</v>
      </c>
      <c r="B62" t="s">
        <v>286</v>
      </c>
      <c r="C62" t="s">
        <v>534</v>
      </c>
      <c r="D62" s="39">
        <v>44444441062</v>
      </c>
    </row>
    <row r="63" spans="1:4" x14ac:dyDescent="0.35">
      <c r="A63" t="s">
        <v>197</v>
      </c>
      <c r="B63" t="s">
        <v>388</v>
      </c>
      <c r="C63" t="s">
        <v>535</v>
      </c>
      <c r="D63" s="39">
        <v>44444441063</v>
      </c>
    </row>
    <row r="64" spans="1:4" x14ac:dyDescent="0.35">
      <c r="A64" t="s">
        <v>198</v>
      </c>
      <c r="B64" t="s">
        <v>389</v>
      </c>
      <c r="C64" t="s">
        <v>536</v>
      </c>
      <c r="D64" s="39">
        <v>44444441064</v>
      </c>
    </row>
    <row r="65" spans="1:4" x14ac:dyDescent="0.35">
      <c r="A65" t="s">
        <v>280</v>
      </c>
      <c r="B65" t="s">
        <v>390</v>
      </c>
      <c r="C65" t="s">
        <v>537</v>
      </c>
      <c r="D65" s="39">
        <v>44444441065</v>
      </c>
    </row>
    <row r="66" spans="1:4" x14ac:dyDescent="0.35">
      <c r="A66" t="s">
        <v>199</v>
      </c>
      <c r="B66" t="s">
        <v>391</v>
      </c>
      <c r="C66" t="s">
        <v>538</v>
      </c>
      <c r="D66" s="39">
        <v>44444441066</v>
      </c>
    </row>
    <row r="67" spans="1:4" x14ac:dyDescent="0.35">
      <c r="A67" t="s">
        <v>281</v>
      </c>
      <c r="B67" t="s">
        <v>392</v>
      </c>
      <c r="C67" t="s">
        <v>539</v>
      </c>
      <c r="D67" s="39">
        <v>44444441067</v>
      </c>
    </row>
    <row r="68" spans="1:4" x14ac:dyDescent="0.35">
      <c r="A68" t="s">
        <v>200</v>
      </c>
      <c r="B68" t="s">
        <v>393</v>
      </c>
      <c r="C68" t="s">
        <v>540</v>
      </c>
      <c r="D68" s="39">
        <v>44444441068</v>
      </c>
    </row>
    <row r="69" spans="1:4" x14ac:dyDescent="0.35">
      <c r="A69" t="s">
        <v>282</v>
      </c>
      <c r="B69" t="s">
        <v>394</v>
      </c>
      <c r="C69" t="s">
        <v>541</v>
      </c>
      <c r="D69" s="39">
        <v>44444441069</v>
      </c>
    </row>
    <row r="70" spans="1:4" x14ac:dyDescent="0.35">
      <c r="A70" t="s">
        <v>283</v>
      </c>
      <c r="B70" t="s">
        <v>395</v>
      </c>
      <c r="C70" t="s">
        <v>542</v>
      </c>
      <c r="D70" s="39">
        <v>44444441070</v>
      </c>
    </row>
    <row r="71" spans="1:4" x14ac:dyDescent="0.35">
      <c r="A71" t="s">
        <v>284</v>
      </c>
      <c r="B71" t="s">
        <v>396</v>
      </c>
      <c r="C71" t="s">
        <v>543</v>
      </c>
      <c r="D71" s="39">
        <v>44444441071</v>
      </c>
    </row>
    <row r="72" spans="1:4" x14ac:dyDescent="0.35">
      <c r="A72" t="s">
        <v>285</v>
      </c>
      <c r="B72" t="s">
        <v>397</v>
      </c>
      <c r="C72" t="s">
        <v>544</v>
      </c>
      <c r="D72" s="39">
        <v>44444441072</v>
      </c>
    </row>
    <row r="73" spans="1:4" x14ac:dyDescent="0.35">
      <c r="A73" t="s">
        <v>286</v>
      </c>
      <c r="B73" t="s">
        <v>398</v>
      </c>
      <c r="C73" t="s">
        <v>545</v>
      </c>
      <c r="D73" s="39">
        <v>44444441073</v>
      </c>
    </row>
    <row r="74" spans="1:4" x14ac:dyDescent="0.35">
      <c r="A74" t="s">
        <v>201</v>
      </c>
      <c r="B74" t="s">
        <v>399</v>
      </c>
      <c r="C74" t="s">
        <v>546</v>
      </c>
      <c r="D74" s="39">
        <v>44444441074</v>
      </c>
    </row>
    <row r="75" spans="1:4" x14ac:dyDescent="0.35">
      <c r="A75" t="s">
        <v>202</v>
      </c>
      <c r="B75" t="s">
        <v>400</v>
      </c>
      <c r="C75" t="s">
        <v>547</v>
      </c>
      <c r="D75" s="39">
        <v>44444441075</v>
      </c>
    </row>
    <row r="76" spans="1:4" x14ac:dyDescent="0.35">
      <c r="A76" t="s">
        <v>203</v>
      </c>
      <c r="B76" t="s">
        <v>401</v>
      </c>
      <c r="C76" t="s">
        <v>548</v>
      </c>
      <c r="D76" s="39">
        <v>44444441076</v>
      </c>
    </row>
    <row r="77" spans="1:4" x14ac:dyDescent="0.35">
      <c r="A77" t="s">
        <v>287</v>
      </c>
      <c r="B77" t="s">
        <v>402</v>
      </c>
      <c r="C77" t="s">
        <v>549</v>
      </c>
      <c r="D77" s="39">
        <v>44444441077</v>
      </c>
    </row>
    <row r="78" spans="1:4" x14ac:dyDescent="0.35">
      <c r="A78" t="s">
        <v>204</v>
      </c>
      <c r="B78" t="s">
        <v>403</v>
      </c>
      <c r="C78" t="s">
        <v>550</v>
      </c>
      <c r="D78" s="39">
        <v>44444441078</v>
      </c>
    </row>
    <row r="79" spans="1:4" x14ac:dyDescent="0.35">
      <c r="A79" t="s">
        <v>205</v>
      </c>
      <c r="B79" t="s">
        <v>404</v>
      </c>
      <c r="C79" t="s">
        <v>551</v>
      </c>
      <c r="D79" s="39">
        <v>44444441079</v>
      </c>
    </row>
    <row r="80" spans="1:4" x14ac:dyDescent="0.35">
      <c r="A80" t="s">
        <v>206</v>
      </c>
      <c r="B80" t="s">
        <v>405</v>
      </c>
      <c r="C80" t="s">
        <v>552</v>
      </c>
      <c r="D80" s="39">
        <v>44444441080</v>
      </c>
    </row>
    <row r="81" spans="1:4" x14ac:dyDescent="0.35">
      <c r="A81" t="s">
        <v>207</v>
      </c>
      <c r="B81" t="s">
        <v>406</v>
      </c>
      <c r="C81" t="s">
        <v>553</v>
      </c>
      <c r="D81" s="39">
        <v>44444441081</v>
      </c>
    </row>
    <row r="82" spans="1:4" x14ac:dyDescent="0.35">
      <c r="A82" t="s">
        <v>288</v>
      </c>
      <c r="B82" t="s">
        <v>407</v>
      </c>
      <c r="C82" t="s">
        <v>554</v>
      </c>
      <c r="D82" s="39">
        <v>44444441082</v>
      </c>
    </row>
    <row r="83" spans="1:4" x14ac:dyDescent="0.35">
      <c r="A83" t="s">
        <v>289</v>
      </c>
      <c r="B83" t="s">
        <v>408</v>
      </c>
      <c r="C83" t="s">
        <v>555</v>
      </c>
      <c r="D83" s="39">
        <v>44444441083</v>
      </c>
    </row>
    <row r="84" spans="1:4" x14ac:dyDescent="0.35">
      <c r="A84" t="s">
        <v>290</v>
      </c>
      <c r="B84" t="s">
        <v>409</v>
      </c>
      <c r="C84" t="s">
        <v>556</v>
      </c>
      <c r="D84" s="39">
        <v>44444441084</v>
      </c>
    </row>
    <row r="85" spans="1:4" x14ac:dyDescent="0.35">
      <c r="A85" t="s">
        <v>291</v>
      </c>
      <c r="B85" t="s">
        <v>410</v>
      </c>
      <c r="C85" t="s">
        <v>557</v>
      </c>
      <c r="D85" s="39">
        <v>44444441085</v>
      </c>
    </row>
    <row r="86" spans="1:4" x14ac:dyDescent="0.35">
      <c r="A86" t="s">
        <v>292</v>
      </c>
      <c r="B86" t="s">
        <v>411</v>
      </c>
      <c r="C86" t="s">
        <v>558</v>
      </c>
      <c r="D86" s="39">
        <v>44444441086</v>
      </c>
    </row>
    <row r="87" spans="1:4" x14ac:dyDescent="0.35">
      <c r="A87" t="s">
        <v>208</v>
      </c>
      <c r="B87" t="s">
        <v>412</v>
      </c>
      <c r="C87" t="s">
        <v>559</v>
      </c>
      <c r="D87" s="39">
        <v>44444441087</v>
      </c>
    </row>
    <row r="88" spans="1:4" x14ac:dyDescent="0.35">
      <c r="A88" t="s">
        <v>293</v>
      </c>
      <c r="B88" t="s">
        <v>413</v>
      </c>
      <c r="C88" t="s">
        <v>560</v>
      </c>
      <c r="D88" s="39">
        <v>44444441088</v>
      </c>
    </row>
    <row r="89" spans="1:4" x14ac:dyDescent="0.35">
      <c r="A89" t="s">
        <v>294</v>
      </c>
      <c r="B89" t="s">
        <v>414</v>
      </c>
      <c r="C89" t="s">
        <v>561</v>
      </c>
      <c r="D89" s="39">
        <v>44444441089</v>
      </c>
    </row>
    <row r="90" spans="1:4" x14ac:dyDescent="0.35">
      <c r="A90" t="s">
        <v>209</v>
      </c>
      <c r="B90" t="s">
        <v>415</v>
      </c>
      <c r="C90" t="s">
        <v>562</v>
      </c>
      <c r="D90" s="39">
        <v>44444441090</v>
      </c>
    </row>
    <row r="91" spans="1:4" x14ac:dyDescent="0.35">
      <c r="A91" t="s">
        <v>210</v>
      </c>
      <c r="B91" t="s">
        <v>416</v>
      </c>
      <c r="C91" t="s">
        <v>563</v>
      </c>
      <c r="D91" s="39">
        <v>44444441091</v>
      </c>
    </row>
    <row r="92" spans="1:4" x14ac:dyDescent="0.35">
      <c r="A92" t="s">
        <v>295</v>
      </c>
      <c r="B92" t="s">
        <v>417</v>
      </c>
      <c r="C92" t="s">
        <v>564</v>
      </c>
      <c r="D92" s="39">
        <v>44444441092</v>
      </c>
    </row>
    <row r="93" spans="1:4" x14ac:dyDescent="0.35">
      <c r="A93" t="s">
        <v>296</v>
      </c>
      <c r="B93" t="s">
        <v>418</v>
      </c>
      <c r="C93" t="s">
        <v>565</v>
      </c>
      <c r="D93" s="39">
        <v>44444441093</v>
      </c>
    </row>
    <row r="94" spans="1:4" x14ac:dyDescent="0.35">
      <c r="A94" t="s">
        <v>211</v>
      </c>
      <c r="B94" t="s">
        <v>419</v>
      </c>
      <c r="C94" t="s">
        <v>566</v>
      </c>
      <c r="D94" s="39">
        <v>44444441094</v>
      </c>
    </row>
    <row r="95" spans="1:4" x14ac:dyDescent="0.35">
      <c r="A95" t="s">
        <v>212</v>
      </c>
      <c r="B95" t="s">
        <v>420</v>
      </c>
      <c r="C95" t="s">
        <v>567</v>
      </c>
      <c r="D95" s="39">
        <v>44444441095</v>
      </c>
    </row>
    <row r="96" spans="1:4" x14ac:dyDescent="0.35">
      <c r="A96" t="s">
        <v>213</v>
      </c>
      <c r="B96" t="s">
        <v>421</v>
      </c>
      <c r="C96" t="s">
        <v>568</v>
      </c>
      <c r="D96" s="39">
        <v>44444441096</v>
      </c>
    </row>
    <row r="97" spans="1:4" x14ac:dyDescent="0.35">
      <c r="A97" t="s">
        <v>214</v>
      </c>
      <c r="B97" t="s">
        <v>422</v>
      </c>
      <c r="C97" t="s">
        <v>569</v>
      </c>
      <c r="D97" s="39">
        <v>44444441097</v>
      </c>
    </row>
    <row r="98" spans="1:4" x14ac:dyDescent="0.35">
      <c r="A98" t="s">
        <v>297</v>
      </c>
      <c r="B98" t="s">
        <v>423</v>
      </c>
      <c r="C98" t="s">
        <v>570</v>
      </c>
      <c r="D98" s="39">
        <v>44444441098</v>
      </c>
    </row>
    <row r="99" spans="1:4" x14ac:dyDescent="0.35">
      <c r="A99" t="s">
        <v>298</v>
      </c>
      <c r="B99" t="s">
        <v>307</v>
      </c>
      <c r="C99" t="s">
        <v>571</v>
      </c>
      <c r="D99" s="39">
        <v>44444441099</v>
      </c>
    </row>
    <row r="100" spans="1:4" x14ac:dyDescent="0.35">
      <c r="A100" t="s">
        <v>215</v>
      </c>
      <c r="B100" t="s">
        <v>424</v>
      </c>
      <c r="C100" t="s">
        <v>572</v>
      </c>
      <c r="D100" s="39">
        <v>44444441100</v>
      </c>
    </row>
    <row r="101" spans="1:4" x14ac:dyDescent="0.35">
      <c r="A101" t="s">
        <v>216</v>
      </c>
      <c r="B101" t="s">
        <v>425</v>
      </c>
      <c r="C101" t="s">
        <v>573</v>
      </c>
      <c r="D101" s="39">
        <v>44444441101</v>
      </c>
    </row>
    <row r="102" spans="1:4" x14ac:dyDescent="0.35">
      <c r="A102" t="s">
        <v>217</v>
      </c>
      <c r="B102" t="s">
        <v>426</v>
      </c>
      <c r="C102" t="s">
        <v>574</v>
      </c>
      <c r="D102" s="39">
        <v>44444441102</v>
      </c>
    </row>
    <row r="103" spans="1:4" x14ac:dyDescent="0.35">
      <c r="A103" t="s">
        <v>299</v>
      </c>
      <c r="B103" t="s">
        <v>427</v>
      </c>
      <c r="C103" t="s">
        <v>575</v>
      </c>
      <c r="D103" s="39">
        <v>44444441103</v>
      </c>
    </row>
    <row r="104" spans="1:4" x14ac:dyDescent="0.35">
      <c r="A104" t="s">
        <v>300</v>
      </c>
      <c r="B104" t="s">
        <v>428</v>
      </c>
      <c r="C104" t="s">
        <v>576</v>
      </c>
      <c r="D104" s="39">
        <v>44444441104</v>
      </c>
    </row>
    <row r="105" spans="1:4" x14ac:dyDescent="0.35">
      <c r="A105" t="s">
        <v>218</v>
      </c>
      <c r="B105" t="s">
        <v>429</v>
      </c>
      <c r="C105" t="s">
        <v>577</v>
      </c>
      <c r="D105" s="39">
        <v>44444441105</v>
      </c>
    </row>
    <row r="106" spans="1:4" x14ac:dyDescent="0.35">
      <c r="A106" t="s">
        <v>219</v>
      </c>
      <c r="B106" t="s">
        <v>430</v>
      </c>
      <c r="C106" t="s">
        <v>578</v>
      </c>
      <c r="D106" s="39">
        <v>44444441106</v>
      </c>
    </row>
    <row r="107" spans="1:4" x14ac:dyDescent="0.35">
      <c r="A107" t="s">
        <v>220</v>
      </c>
      <c r="B107" t="s">
        <v>431</v>
      </c>
      <c r="C107" t="s">
        <v>579</v>
      </c>
      <c r="D107" s="39">
        <v>44444441107</v>
      </c>
    </row>
    <row r="108" spans="1:4" x14ac:dyDescent="0.35">
      <c r="A108" t="s">
        <v>301</v>
      </c>
      <c r="B108" t="s">
        <v>432</v>
      </c>
      <c r="C108" t="s">
        <v>580</v>
      </c>
      <c r="D108" s="39">
        <v>44444441108</v>
      </c>
    </row>
    <row r="109" spans="1:4" x14ac:dyDescent="0.35">
      <c r="A109" t="s">
        <v>302</v>
      </c>
      <c r="B109" t="s">
        <v>433</v>
      </c>
      <c r="C109" t="s">
        <v>581</v>
      </c>
      <c r="D109" s="39">
        <v>44444441109</v>
      </c>
    </row>
    <row r="110" spans="1:4" x14ac:dyDescent="0.35">
      <c r="A110" t="s">
        <v>221</v>
      </c>
      <c r="B110" t="s">
        <v>434</v>
      </c>
      <c r="C110" t="s">
        <v>582</v>
      </c>
      <c r="D110" s="39">
        <v>44444441110</v>
      </c>
    </row>
    <row r="111" spans="1:4" x14ac:dyDescent="0.35">
      <c r="A111" t="s">
        <v>222</v>
      </c>
      <c r="B111" t="s">
        <v>435</v>
      </c>
      <c r="C111" t="s">
        <v>583</v>
      </c>
      <c r="D111" s="39">
        <v>44444441111</v>
      </c>
    </row>
    <row r="112" spans="1:4" x14ac:dyDescent="0.35">
      <c r="A112" t="s">
        <v>303</v>
      </c>
      <c r="B112" t="s">
        <v>436</v>
      </c>
      <c r="C112" t="s">
        <v>584</v>
      </c>
      <c r="D112" s="39">
        <v>44444441112</v>
      </c>
    </row>
    <row r="113" spans="1:4" x14ac:dyDescent="0.35">
      <c r="A113" t="s">
        <v>223</v>
      </c>
      <c r="B113" t="s">
        <v>437</v>
      </c>
      <c r="C113" t="s">
        <v>585</v>
      </c>
      <c r="D113" s="39">
        <v>44444441113</v>
      </c>
    </row>
    <row r="114" spans="1:4" x14ac:dyDescent="0.35">
      <c r="A114" t="s">
        <v>224</v>
      </c>
      <c r="B114" t="s">
        <v>438</v>
      </c>
      <c r="C114" t="s">
        <v>586</v>
      </c>
      <c r="D114" s="39">
        <v>44444441114</v>
      </c>
    </row>
    <row r="115" spans="1:4" x14ac:dyDescent="0.35">
      <c r="A115" t="s">
        <v>225</v>
      </c>
      <c r="B115" t="s">
        <v>439</v>
      </c>
      <c r="C115" t="s">
        <v>587</v>
      </c>
      <c r="D115" s="39">
        <v>44444441115</v>
      </c>
    </row>
    <row r="116" spans="1:4" x14ac:dyDescent="0.35">
      <c r="A116" t="s">
        <v>304</v>
      </c>
      <c r="B116" t="s">
        <v>440</v>
      </c>
      <c r="C116" t="s">
        <v>588</v>
      </c>
      <c r="D116" s="39">
        <v>44444441116</v>
      </c>
    </row>
    <row r="117" spans="1:4" x14ac:dyDescent="0.35">
      <c r="A117" t="s">
        <v>305</v>
      </c>
      <c r="B117" t="s">
        <v>441</v>
      </c>
      <c r="C117" t="s">
        <v>589</v>
      </c>
      <c r="D117" s="39">
        <v>44444441117</v>
      </c>
    </row>
    <row r="118" spans="1:4" x14ac:dyDescent="0.35">
      <c r="A118" t="s">
        <v>306</v>
      </c>
      <c r="B118" t="s">
        <v>442</v>
      </c>
      <c r="C118" t="s">
        <v>590</v>
      </c>
      <c r="D118" s="39">
        <v>44444441118</v>
      </c>
    </row>
    <row r="119" spans="1:4" x14ac:dyDescent="0.35">
      <c r="A119" t="s">
        <v>226</v>
      </c>
      <c r="B119" t="s">
        <v>443</v>
      </c>
      <c r="C119" t="s">
        <v>591</v>
      </c>
      <c r="D119" s="39">
        <v>44444441119</v>
      </c>
    </row>
    <row r="120" spans="1:4" x14ac:dyDescent="0.35">
      <c r="A120" t="s">
        <v>307</v>
      </c>
      <c r="B120" t="s">
        <v>444</v>
      </c>
      <c r="C120" t="s">
        <v>592</v>
      </c>
      <c r="D120" s="39">
        <v>44444441120</v>
      </c>
    </row>
    <row r="121" spans="1:4" x14ac:dyDescent="0.35">
      <c r="A121" t="s">
        <v>227</v>
      </c>
      <c r="B121" t="s">
        <v>445</v>
      </c>
      <c r="C121" t="s">
        <v>593</v>
      </c>
      <c r="D121" s="39">
        <v>44444441121</v>
      </c>
    </row>
    <row r="122" spans="1:4" x14ac:dyDescent="0.35">
      <c r="A122" t="s">
        <v>308</v>
      </c>
      <c r="B122" t="s">
        <v>446</v>
      </c>
      <c r="C122" t="s">
        <v>594</v>
      </c>
      <c r="D122" s="39">
        <v>44444441122</v>
      </c>
    </row>
    <row r="123" spans="1:4" x14ac:dyDescent="0.35">
      <c r="A123" t="s">
        <v>309</v>
      </c>
      <c r="B123" t="s">
        <v>447</v>
      </c>
      <c r="C123" t="s">
        <v>595</v>
      </c>
      <c r="D123" s="39">
        <v>44444441123</v>
      </c>
    </row>
    <row r="124" spans="1:4" x14ac:dyDescent="0.35">
      <c r="A124" t="s">
        <v>228</v>
      </c>
      <c r="B124" t="s">
        <v>448</v>
      </c>
      <c r="C124" t="s">
        <v>596</v>
      </c>
      <c r="D124" s="39">
        <v>44444441124</v>
      </c>
    </row>
    <row r="125" spans="1:4" x14ac:dyDescent="0.35">
      <c r="A125" t="s">
        <v>310</v>
      </c>
      <c r="B125" t="s">
        <v>449</v>
      </c>
      <c r="C125" t="s">
        <v>597</v>
      </c>
      <c r="D125" s="39">
        <v>44444441125</v>
      </c>
    </row>
    <row r="126" spans="1:4" x14ac:dyDescent="0.35">
      <c r="A126" t="s">
        <v>311</v>
      </c>
      <c r="B126" t="s">
        <v>450</v>
      </c>
      <c r="C126" t="s">
        <v>598</v>
      </c>
      <c r="D126" s="39">
        <v>44444441126</v>
      </c>
    </row>
    <row r="127" spans="1:4" x14ac:dyDescent="0.35">
      <c r="A127" t="s">
        <v>312</v>
      </c>
      <c r="B127" t="s">
        <v>451</v>
      </c>
      <c r="C127" t="s">
        <v>599</v>
      </c>
      <c r="D127" s="39">
        <v>44444441127</v>
      </c>
    </row>
    <row r="128" spans="1:4" x14ac:dyDescent="0.35">
      <c r="A128" t="s">
        <v>229</v>
      </c>
      <c r="B128" t="s">
        <v>452</v>
      </c>
      <c r="C128" t="s">
        <v>600</v>
      </c>
      <c r="D128" s="39">
        <v>44444441128</v>
      </c>
    </row>
    <row r="129" spans="1:4" x14ac:dyDescent="0.35">
      <c r="A129" t="s">
        <v>230</v>
      </c>
      <c r="B129" t="s">
        <v>453</v>
      </c>
      <c r="C129" t="s">
        <v>601</v>
      </c>
      <c r="D129" s="39">
        <v>44444441129</v>
      </c>
    </row>
    <row r="130" spans="1:4" x14ac:dyDescent="0.35">
      <c r="A130" t="s">
        <v>231</v>
      </c>
      <c r="B130" t="s">
        <v>322</v>
      </c>
      <c r="C130" t="s">
        <v>602</v>
      </c>
      <c r="D130" s="39">
        <v>44444441130</v>
      </c>
    </row>
    <row r="131" spans="1:4" x14ac:dyDescent="0.35">
      <c r="A131" t="s">
        <v>313</v>
      </c>
      <c r="B131" t="s">
        <v>454</v>
      </c>
      <c r="C131" t="s">
        <v>603</v>
      </c>
      <c r="D131" s="39">
        <v>44444441131</v>
      </c>
    </row>
    <row r="132" spans="1:4" x14ac:dyDescent="0.35">
      <c r="A132" t="s">
        <v>314</v>
      </c>
      <c r="B132" t="s">
        <v>455</v>
      </c>
      <c r="C132" t="s">
        <v>604</v>
      </c>
      <c r="D132" s="39">
        <v>44444441132</v>
      </c>
    </row>
    <row r="133" spans="1:4" x14ac:dyDescent="0.35">
      <c r="A133" t="s">
        <v>232</v>
      </c>
      <c r="B133" t="s">
        <v>456</v>
      </c>
      <c r="C133" t="s">
        <v>605</v>
      </c>
      <c r="D133" s="39">
        <v>44444441133</v>
      </c>
    </row>
    <row r="134" spans="1:4" x14ac:dyDescent="0.35">
      <c r="A134" t="s">
        <v>233</v>
      </c>
      <c r="B134" t="s">
        <v>457</v>
      </c>
      <c r="C134" t="s">
        <v>606</v>
      </c>
      <c r="D134" s="39">
        <v>44444441134</v>
      </c>
    </row>
    <row r="135" spans="1:4" x14ac:dyDescent="0.35">
      <c r="A135" t="s">
        <v>315</v>
      </c>
      <c r="B135" t="s">
        <v>458</v>
      </c>
      <c r="C135" t="s">
        <v>607</v>
      </c>
      <c r="D135" s="39">
        <v>44444441135</v>
      </c>
    </row>
    <row r="136" spans="1:4" x14ac:dyDescent="0.35">
      <c r="A136" t="s">
        <v>234</v>
      </c>
      <c r="B136" t="s">
        <v>459</v>
      </c>
      <c r="C136" t="s">
        <v>608</v>
      </c>
      <c r="D136" s="39">
        <v>44444441136</v>
      </c>
    </row>
    <row r="137" spans="1:4" x14ac:dyDescent="0.35">
      <c r="A137" t="s">
        <v>316</v>
      </c>
      <c r="B137" t="s">
        <v>460</v>
      </c>
      <c r="C137" t="s">
        <v>609</v>
      </c>
      <c r="D137" s="39">
        <v>44444441137</v>
      </c>
    </row>
    <row r="138" spans="1:4" x14ac:dyDescent="0.35">
      <c r="A138" t="s">
        <v>235</v>
      </c>
      <c r="B138" t="s">
        <v>461</v>
      </c>
      <c r="C138" t="s">
        <v>610</v>
      </c>
      <c r="D138" s="39">
        <v>44444441138</v>
      </c>
    </row>
    <row r="139" spans="1:4" x14ac:dyDescent="0.35">
      <c r="A139" t="s">
        <v>236</v>
      </c>
      <c r="B139" t="s">
        <v>462</v>
      </c>
      <c r="C139" t="s">
        <v>611</v>
      </c>
      <c r="D139" s="39">
        <v>44444441139</v>
      </c>
    </row>
    <row r="140" spans="1:4" x14ac:dyDescent="0.35">
      <c r="A140" t="s">
        <v>317</v>
      </c>
      <c r="B140" t="s">
        <v>463</v>
      </c>
      <c r="C140" t="s">
        <v>612</v>
      </c>
      <c r="D140" s="39">
        <v>44444441140</v>
      </c>
    </row>
    <row r="141" spans="1:4" x14ac:dyDescent="0.35">
      <c r="A141" t="s">
        <v>318</v>
      </c>
      <c r="B141" t="s">
        <v>464</v>
      </c>
      <c r="C141" t="s">
        <v>613</v>
      </c>
      <c r="D141" s="39">
        <v>44444441141</v>
      </c>
    </row>
    <row r="142" spans="1:4" x14ac:dyDescent="0.35">
      <c r="A142" t="s">
        <v>319</v>
      </c>
      <c r="B142" t="s">
        <v>465</v>
      </c>
      <c r="C142" t="s">
        <v>614</v>
      </c>
      <c r="D142" s="39">
        <v>44444441142</v>
      </c>
    </row>
    <row r="143" spans="1:4" x14ac:dyDescent="0.35">
      <c r="A143" t="s">
        <v>237</v>
      </c>
      <c r="B143" t="s">
        <v>466</v>
      </c>
      <c r="C143" t="s">
        <v>615</v>
      </c>
      <c r="D143" s="39">
        <v>44444441143</v>
      </c>
    </row>
    <row r="144" spans="1:4" x14ac:dyDescent="0.35">
      <c r="A144" t="s">
        <v>238</v>
      </c>
      <c r="B144" t="s">
        <v>467</v>
      </c>
      <c r="C144" t="s">
        <v>616</v>
      </c>
      <c r="D144" s="39">
        <v>44444441144</v>
      </c>
    </row>
    <row r="145" spans="1:4" x14ac:dyDescent="0.35">
      <c r="A145" t="s">
        <v>239</v>
      </c>
      <c r="B145" t="s">
        <v>468</v>
      </c>
      <c r="C145" t="s">
        <v>617</v>
      </c>
      <c r="D145" s="39">
        <v>44444441145</v>
      </c>
    </row>
    <row r="146" spans="1:4" x14ac:dyDescent="0.35">
      <c r="A146" t="s">
        <v>320</v>
      </c>
      <c r="B146" t="s">
        <v>469</v>
      </c>
      <c r="C146" t="s">
        <v>618</v>
      </c>
      <c r="D146" s="39">
        <v>44444441146</v>
      </c>
    </row>
    <row r="147" spans="1:4" x14ac:dyDescent="0.35">
      <c r="A147" t="s">
        <v>321</v>
      </c>
      <c r="B147" t="s">
        <v>470</v>
      </c>
      <c r="C147" t="s">
        <v>619</v>
      </c>
      <c r="D147" s="39">
        <v>44444441147</v>
      </c>
    </row>
    <row r="148" spans="1:4" x14ac:dyDescent="0.35">
      <c r="A148" t="s">
        <v>322</v>
      </c>
      <c r="B148" t="s">
        <v>471</v>
      </c>
      <c r="C148" t="s">
        <v>620</v>
      </c>
      <c r="D148" s="39">
        <v>44444441148</v>
      </c>
    </row>
    <row r="149" spans="1:4" x14ac:dyDescent="0.35">
      <c r="A149" t="s">
        <v>240</v>
      </c>
      <c r="B149" t="s">
        <v>472</v>
      </c>
      <c r="C149" t="s">
        <v>621</v>
      </c>
      <c r="D149" s="39">
        <v>44444441149</v>
      </c>
    </row>
    <row r="150" spans="1:4" x14ac:dyDescent="0.35">
      <c r="A150" t="s">
        <v>241</v>
      </c>
      <c r="C150" t="s">
        <v>622</v>
      </c>
      <c r="D150" s="39">
        <v>44444441150</v>
      </c>
    </row>
    <row r="151" spans="1:4" x14ac:dyDescent="0.35">
      <c r="A151" t="s">
        <v>323</v>
      </c>
      <c r="C151" t="s">
        <v>623</v>
      </c>
      <c r="D151" s="39">
        <v>44444441151</v>
      </c>
    </row>
    <row r="152" spans="1:4" x14ac:dyDescent="0.35">
      <c r="A152" t="s">
        <v>324</v>
      </c>
      <c r="C152" t="s">
        <v>624</v>
      </c>
      <c r="D152" s="39">
        <v>44444441152</v>
      </c>
    </row>
    <row r="153" spans="1:4" x14ac:dyDescent="0.35">
      <c r="A153" t="s">
        <v>242</v>
      </c>
      <c r="C153" t="s">
        <v>625</v>
      </c>
      <c r="D153" s="39">
        <v>44444441153</v>
      </c>
    </row>
    <row r="154" spans="1:4" x14ac:dyDescent="0.35">
      <c r="A154" t="s">
        <v>325</v>
      </c>
      <c r="C154" t="s">
        <v>626</v>
      </c>
      <c r="D154" s="39">
        <v>44444441154</v>
      </c>
    </row>
    <row r="155" spans="1:4" x14ac:dyDescent="0.35">
      <c r="A155" t="s">
        <v>243</v>
      </c>
      <c r="C155" t="s">
        <v>627</v>
      </c>
      <c r="D155" s="39">
        <v>44444441155</v>
      </c>
    </row>
    <row r="156" spans="1:4" x14ac:dyDescent="0.35">
      <c r="A156" t="s">
        <v>244</v>
      </c>
      <c r="C156" t="s">
        <v>628</v>
      </c>
      <c r="D156" s="39">
        <v>44444441156</v>
      </c>
    </row>
    <row r="157" spans="1:4" x14ac:dyDescent="0.35">
      <c r="A157" t="s">
        <v>326</v>
      </c>
      <c r="C157" t="s">
        <v>629</v>
      </c>
      <c r="D157" s="39">
        <v>44444441157</v>
      </c>
    </row>
    <row r="158" spans="1:4" x14ac:dyDescent="0.35">
      <c r="A158" t="s">
        <v>245</v>
      </c>
      <c r="C158" t="s">
        <v>630</v>
      </c>
      <c r="D158" s="39">
        <v>44444441158</v>
      </c>
    </row>
    <row r="159" spans="1:4" x14ac:dyDescent="0.35">
      <c r="A159" t="s">
        <v>246</v>
      </c>
      <c r="C159" t="s">
        <v>631</v>
      </c>
      <c r="D159" s="39">
        <v>44444441159</v>
      </c>
    </row>
    <row r="160" spans="1:4" x14ac:dyDescent="0.35">
      <c r="A160" t="s">
        <v>247</v>
      </c>
      <c r="C160" t="s">
        <v>632</v>
      </c>
      <c r="D160" s="39">
        <v>44444441160</v>
      </c>
    </row>
    <row r="161" spans="1:4" x14ac:dyDescent="0.35">
      <c r="A161" t="s">
        <v>327</v>
      </c>
      <c r="C161" t="s">
        <v>633</v>
      </c>
      <c r="D161" s="39">
        <v>44444441161</v>
      </c>
    </row>
    <row r="162" spans="1:4" x14ac:dyDescent="0.35">
      <c r="A162" t="s">
        <v>248</v>
      </c>
      <c r="C162" t="s">
        <v>634</v>
      </c>
      <c r="D162" s="39">
        <v>44444441162</v>
      </c>
    </row>
    <row r="163" spans="1:4" x14ac:dyDescent="0.35">
      <c r="A163" t="s">
        <v>328</v>
      </c>
      <c r="C163" t="s">
        <v>635</v>
      </c>
      <c r="D163" s="39">
        <v>44444441163</v>
      </c>
    </row>
    <row r="164" spans="1:4" x14ac:dyDescent="0.35">
      <c r="A164" t="s">
        <v>249</v>
      </c>
      <c r="C164" t="s">
        <v>636</v>
      </c>
      <c r="D164" s="39">
        <v>44444441164</v>
      </c>
    </row>
    <row r="165" spans="1:4" x14ac:dyDescent="0.35">
      <c r="A165" t="s">
        <v>250</v>
      </c>
      <c r="C165" t="s">
        <v>637</v>
      </c>
      <c r="D165" s="39">
        <v>44444441165</v>
      </c>
    </row>
  </sheetData>
  <sortState xmlns:xlrd2="http://schemas.microsoft.com/office/spreadsheetml/2017/richdata2" ref="A1:A165">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5" x14ac:dyDescent="0.35"/>
  <sheetData>
    <row r="1" spans="1:1" x14ac:dyDescent="0.35">
      <c r="A1" t="s">
        <v>752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FE2B026CE99841A72239090BB8B94D" ma:contentTypeVersion="2" ma:contentTypeDescription="Create a new document." ma:contentTypeScope="" ma:versionID="90b12a525d8f6899ab603cabc593c522">
  <xsd:schema xmlns:xsd="http://www.w3.org/2001/XMLSchema" xmlns:xs="http://www.w3.org/2001/XMLSchema" xmlns:p="http://schemas.microsoft.com/office/2006/metadata/properties" xmlns:ns3="4ab91590-d899-4a95-a72d-b946dd00022d" targetNamespace="http://schemas.microsoft.com/office/2006/metadata/properties" ma:root="true" ma:fieldsID="7aed9cb66e039b4b63bd1a00decd9860" ns3:_="">
    <xsd:import namespace="4ab91590-d899-4a95-a72d-b946dd00022d"/>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b91590-d899-4a95-a72d-b946dd0002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079239-1BFF-43E5-AA02-76B5837B7F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b91590-d899-4a95-a72d-b946dd0002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3.xml><?xml version="1.0" encoding="utf-8"?>
<ds:datastoreItem xmlns:ds="http://schemas.openxmlformats.org/officeDocument/2006/customXml" ds:itemID="{06B61484-8E96-4333-AEC2-06329464E92F}">
  <ds:schemaRefs>
    <ds:schemaRef ds:uri="http://purl.org/dc/dcmitype/"/>
    <ds:schemaRef ds:uri="4ab91590-d899-4a95-a72d-b946dd00022d"/>
    <ds:schemaRef ds:uri="http://purl.org/dc/elements/1.1/"/>
    <ds:schemaRef ds:uri="http://schemas.microsoft.com/office/2006/metadata/properties"/>
    <ds:schemaRef ds:uri="http://schemas.microsoft.com/office/infopath/2007/PartnerControls"/>
    <ds:schemaRef ds:uri="http://www.w3.org/XML/1998/namespace"/>
    <ds:schemaRef ds:uri="http://schemas.microsoft.com/office/2006/documentManagement/types"/>
    <ds:schemaRef ds:uri="http://purl.org/dc/term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142</vt:i4>
      </vt:variant>
    </vt:vector>
  </HeadingPairs>
  <TitlesOfParts>
    <vt:vector size="150" baseType="lpstr">
      <vt:lpstr>Information</vt:lpstr>
      <vt:lpstr>Test_Data</vt:lpstr>
      <vt:lpstr>Defects</vt:lpstr>
      <vt:lpstr>Automation_Lookups</vt:lpstr>
      <vt:lpstr>RC. No</vt:lpstr>
      <vt:lpstr>Code_11122019_1000</vt:lpstr>
      <vt:lpstr>Names</vt:lpstr>
      <vt:lpstr>Sheet1</vt:lpstr>
      <vt:lpstr>AddProbationPeriod_ProbationEndDate</vt:lpstr>
      <vt:lpstr>AddProbationPeriod_ProbationEndDate2</vt:lpstr>
      <vt:lpstr>AssignCollectiveAgreement_CollectiveAgreement</vt:lpstr>
      <vt:lpstr>AssignCollectiveAgreement_Level</vt:lpstr>
      <vt:lpstr>AssignCollectiveAgreement_ProfessionalCategory</vt:lpstr>
      <vt:lpstr>Test_Data!AssignPayGroup_ProposedPayGroup</vt:lpstr>
      <vt:lpstr>AssignPayGroup_ProposedPayGroup</vt:lpstr>
      <vt:lpstr>AssignPayGroup_ProposedPayGroup2</vt:lpstr>
      <vt:lpstr>Test_Data!AssignPayGroup_ProposedPayGroupFinal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ChangeMyGovernmentIDs_NationalIDs_NationalIDType12</vt:lpstr>
      <vt:lpstr>ChangeMyGovernmentIDs_NationalIDs_NationalIDType2</vt:lpstr>
      <vt:lpstr>ChangeMyGovernmentIDs_NationalIDs_NationalIDType22</vt:lpstr>
      <vt:lpstr>ChangeMyPersonalInformation_MaritalStatus2</vt:lpstr>
      <vt:lpstr>ChangeOrganizationAssignments_CostCenter</vt:lpstr>
      <vt:lpstr>ChangeOrganizationAssignments_DepartmentSection</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ContactInformation_Address_Province2</vt:lpstr>
      <vt:lpstr>ContactInformation_Address_Type</vt:lpstr>
      <vt:lpstr>ContactInformation_Address_Type2</vt:lpstr>
      <vt:lpstr>ContactInformation_Email_Type</vt:lpstr>
      <vt:lpstr>ContactInformation_Email_Type2</vt:lpstr>
      <vt:lpstr>ContactInformation_Phone_CountryPhoneCode</vt:lpstr>
      <vt:lpstr>ContactInformation_Phone_CountryPhoneCode2</vt:lpstr>
      <vt:lpstr>ContactInformation_Phone_PhoneDevice</vt:lpstr>
      <vt:lpstr>ContactInformation_Phone_PhoneDevice2</vt:lpstr>
      <vt:lpstr>ContactInformation_Phone_Type</vt:lpstr>
      <vt:lpstr>ContactInformation_Phone_Type2</vt:lpstr>
      <vt:lpstr>CountryName</vt:lpstr>
      <vt:lpstr>DefectDescription</vt:lpstr>
      <vt:lpstr>EditAdditionalData_AddendumCreationDate</vt:lpstr>
      <vt:lpstr>Test_Data!EditAdditionalData_AddendumEffectiveDate</vt:lpstr>
      <vt:lpstr>EditAdditionalData_AddendumEndDate</vt:lpstr>
      <vt:lpstr>EditAdditionalData_AddendumNumber</vt:lpstr>
      <vt:lpstr>EditAdditionalData_PayrollTaxDeduction</vt:lpstr>
      <vt:lpstr>EmployeeNumber_EmployeeNumber</vt:lpstr>
      <vt:lpstr>Execution_Flag</vt:lpstr>
      <vt:lpstr>Execution_Status</vt:lpstr>
      <vt:lpstr>Test_Data!ExecutionFlag</vt:lpstr>
      <vt:lpstr>ExecutionFlag</vt:lpstr>
      <vt:lpstr>ExecutionFlag2</vt:lpstr>
      <vt:lpstr>HealthCareProvider_MealVoucher2</vt:lpstr>
      <vt:lpstr>JobDetails_AdditionalInformation_AdditionalJobClassifications</vt:lpstr>
      <vt:lpstr>JobDetails_AdditionalInformation_Comments</vt:lpstr>
      <vt:lpstr>JobDetails_AdditionalInformation_EndEmploymentDate</vt:lpstr>
      <vt:lpstr>JobDetails_AdditionalInformation_EndEmploymentDate2</vt:lpstr>
      <vt:lpstr>JobDetails_AdditionalInformation_ScheduledWeeklyHours</vt:lpstr>
      <vt:lpstr>Test_Data!JobDetails_AdditionalInformation_WorkShift</vt:lpstr>
      <vt:lpstr>JobDetails_AdditionalInformation_WorkShift</vt:lpstr>
      <vt:lpstr>JobDetails_AdditionalInformation_WorkShift2</vt:lpstr>
      <vt:lpstr>Test_Data!JobDetails_EmployeeType</vt:lpstr>
      <vt:lpstr>JobDetails_EmployeeType</vt:lpstr>
      <vt:lpstr>JobDetails_EmployeeType2</vt:lpstr>
      <vt:lpstr>JobDetails_HireDate</vt:lpstr>
      <vt:lpstr>JobDetails_HireDate2</vt:lpstr>
      <vt:lpstr>Test_Data!JobDetails_JobProfile</vt:lpstr>
      <vt:lpstr>JobDetails_JobProfile</vt:lpstr>
      <vt:lpstr>JobDetails_JobProfile2</vt:lpstr>
      <vt:lpstr>JobDetails_Location</vt:lpstr>
      <vt:lpstr>JobDetails_Location2</vt:lpstr>
      <vt:lpstr>JobDetails_Position</vt:lpstr>
      <vt:lpstr>JobDetails_Position2</vt:lpstr>
      <vt:lpstr>Test_Data!JobDetails_Reason</vt:lpstr>
      <vt:lpstr>JobDetails_Reason</vt:lpstr>
      <vt:lpstr>JobDetails_Reason2</vt:lpstr>
      <vt:lpstr>JobDetails_ScheduledWeeklyHours</vt:lpstr>
      <vt:lpstr>Test_Data!JobDetails_TimeType</vt:lpstr>
      <vt:lpstr>JobDetails_TimeType</vt:lpstr>
      <vt:lpstr>JobDetails_TimeType2</vt:lpstr>
      <vt:lpstr>LastRunEmployeeNo</vt:lpstr>
      <vt:lpstr>LastRunErrorMessage</vt:lpstr>
      <vt:lpstr>LastRunTimeandStatus</vt:lpstr>
      <vt:lpstr>Test_Data!LegalNameInformation_Country</vt:lpstr>
      <vt:lpstr>LegalNameInformation_Country</vt:lpstr>
      <vt:lpstr>LegalNameInformation_Country2</vt:lpstr>
      <vt:lpstr>LegalNameInformation_FamilyName</vt:lpstr>
      <vt:lpstr>LegalNameInformation_FirstLastName</vt:lpstr>
      <vt:lpstr>LegalNameInformation_GivenName</vt:lpstr>
      <vt:lpstr>Login_Password</vt:lpstr>
      <vt:lpstr>Login_Username</vt:lpstr>
      <vt:lpstr>MaintainEmployeeContract_ContractEndDate</vt:lpstr>
      <vt:lpstr>MaintainEmployeeContract_ContractEndDate2</vt:lpstr>
      <vt:lpstr>MaintainEmployeeContract_ContractStartDate</vt:lpstr>
      <vt:lpstr>Test_Data!MaintainEmployeeContract_ContractType</vt:lpstr>
      <vt:lpstr>MaintainEmployeeContract_ContractType</vt:lpstr>
      <vt:lpstr>MaintainEmployeeContract_ContractType2</vt:lpstr>
      <vt:lpstr>MaintainEmployeeContract_DateEmployeeSigned</vt:lpstr>
      <vt:lpstr>Test_Data!MaintainEmployeeContract_Reason</vt:lpstr>
      <vt:lpstr>MaintainEmployeeContract_Reason</vt:lpstr>
      <vt:lpstr>MaintainEmployeeContract_Reason2</vt:lpstr>
      <vt:lpstr>Test_Data!MaintainEmployeeContract_Status</vt:lpstr>
      <vt:lpstr>MaintainEmployeeContract_Status</vt:lpstr>
      <vt:lpstr>MaintainEmployeeContract_Status2</vt:lpstr>
      <vt:lpstr>Order_Buyer</vt:lpstr>
      <vt:lpstr>Order_BuyingOfficeZone</vt:lpstr>
      <vt:lpstr>Order_Department</vt:lpstr>
      <vt:lpstr>PaymentElectionOption_AccountType2</vt:lpstr>
      <vt:lpstr>PaymentElectionOption_AccountType22</vt:lpstr>
      <vt:lpstr>Please_select_a_Spanish_Pay_Group</vt:lpstr>
      <vt:lpstr>PO_No</vt:lpstr>
      <vt:lpstr>Poland</vt:lpstr>
      <vt:lpstr>Test_Data!Process</vt:lpstr>
      <vt:lpstr>Process</vt:lpstr>
      <vt:lpstr>Process2</vt:lpstr>
      <vt:lpstr>ProposeCompensationHire_GradeProfile</vt:lpstr>
      <vt:lpstr>ProposeCompensationHire_GradeProfile2</vt:lpstr>
      <vt:lpstr>ProposeCompensationHire_Salary</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SupervisoryOrganisation_ExistingPreHire</vt:lpstr>
      <vt:lpstr>Test_Data!SupervisoryOrganisation_SupervisoryOrganisation</vt:lpstr>
      <vt:lpstr>SupervisoryOrganisation_SupervisoryOrganisation</vt:lpstr>
      <vt:lpstr>SupervisoryOrganisation_SupervisoryOrganisation2</vt:lpstr>
      <vt:lpstr>Test_1</vt:lpstr>
      <vt:lpstr>Test_10</vt:lpstr>
      <vt:lpstr>Test_11</vt:lpstr>
      <vt:lpstr>Test_12</vt:lpstr>
      <vt:lpstr>Test_13</vt:lpstr>
      <vt:lpstr>Test_14</vt:lpstr>
      <vt:lpstr>Test_2</vt:lpstr>
      <vt:lpstr>Test_3</vt:lpstr>
      <vt:lpstr>Test_4</vt:lpstr>
      <vt:lpstr>Test_5</vt:lpstr>
      <vt:lpstr>Test_6</vt:lpstr>
      <vt:lpstr>Test_7</vt:lpstr>
      <vt:lpstr>Test_8</vt:lpstr>
      <vt:lpstr>Test_9</vt:lpstr>
      <vt:lpstr>Test_ID</vt:lpstr>
      <vt:lpstr>Version_Number</vt:lpstr>
    </vt:vector>
  </TitlesOfParts>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Balajee Viswanatharao</dc:creator>
  <cp:lastModifiedBy>Madhukar Kirkan</cp:lastModifiedBy>
  <cp:revision/>
  <dcterms:created xsi:type="dcterms:W3CDTF">2018-11-23T13:00:49Z</dcterms:created>
  <dcterms:modified xsi:type="dcterms:W3CDTF">2023-09-13T12:18:51Z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0x01010073FE2B026CE99841A72239090BB8B94D</vt:lpwstr>
  </property>
</Properties>
</file>