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0B7717C-278B-44BD-838F-8249CB44E567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1" l="1"/>
  <c r="AB6" i="1"/>
  <c r="T6" i="1"/>
  <c r="J6" i="1"/>
  <c r="I6" i="1"/>
  <c r="AF5" i="1"/>
  <c r="AB5" i="1"/>
  <c r="T5" i="1"/>
  <c r="J5" i="1"/>
  <c r="I5" i="1"/>
  <c r="AF4" i="1"/>
  <c r="AB4" i="1"/>
  <c r="T4" i="1"/>
  <c r="J4" i="1"/>
  <c r="I4" i="1"/>
  <c r="AF2" i="1"/>
  <c r="AB2" i="1"/>
  <c r="J2" i="1"/>
  <c r="I2" i="1"/>
  <c r="AF3" i="1"/>
  <c r="AB3" i="1"/>
  <c r="T3" i="1"/>
  <c r="J3" i="1"/>
  <c r="I3" i="1"/>
</calcChain>
</file>

<file path=xl/sharedStrings.xml><?xml version="1.0" encoding="utf-8"?>
<sst xmlns="http://schemas.openxmlformats.org/spreadsheetml/2006/main" count="189" uniqueCount="71">
  <si>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</si>
  <si>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</si>
  <si>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</si>
  <si>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</si>
  <si>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</si>
  <si>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</si>
  <si>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</si>
  <si>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</si>
  <si>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</si>
  <si>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</si>
  <si>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</si>
  <si>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</si>
  <si>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</si>
  <si>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</si>
  <si>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</si>
  <si>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</si>
  <si>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</si>
  <si>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</si>
  <si>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</si>
  <si>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</si>
  <si>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</si>
  <si>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</si>
  <si>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</si>
  <si>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</si>
  <si>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</si>
  <si>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</si>
  <si>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</si>
  <si>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</si>
  <si>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Status</t>
  </si>
  <si>
    <t>ContractType</t>
  </si>
  <si>
    <t>ContractEndDate</t>
  </si>
  <si>
    <t>Salary</t>
  </si>
  <si>
    <t>AddendumNumber</t>
  </si>
  <si>
    <t>AddendumEffectiveDate</t>
  </si>
  <si>
    <t>AddendumEndDate</t>
  </si>
  <si>
    <t>AddendumCreationDate</t>
  </si>
  <si>
    <t>Test1</t>
  </si>
  <si>
    <t>N/A</t>
  </si>
  <si>
    <t>ReHire</t>
  </si>
  <si>
    <t>Permanent</t>
  </si>
  <si>
    <t>Automation Comments here….</t>
  </si>
  <si>
    <t>94 Retail Operative</t>
  </si>
  <si>
    <t>Active</t>
  </si>
  <si>
    <t>Defaulted</t>
  </si>
  <si>
    <t>Test2</t>
  </si>
  <si>
    <t>Fixed Term</t>
  </si>
  <si>
    <t>Test3</t>
  </si>
  <si>
    <t>Test4</t>
  </si>
  <si>
    <t>Test5</t>
  </si>
  <si>
    <t>06 Menswear</t>
  </si>
  <si>
    <t>Italy</t>
  </si>
  <si>
    <t>CollectiveAgreement</t>
  </si>
  <si>
    <t>ProfessionalCategory</t>
  </si>
  <si>
    <t>Level</t>
  </si>
  <si>
    <t>EmployeeNumber</t>
  </si>
  <si>
    <t>No</t>
  </si>
  <si>
    <t>Retail Assistant</t>
  </si>
  <si>
    <t>Full Time</t>
  </si>
  <si>
    <t>1@661</t>
  </si>
  <si>
    <t>Default Work Shift (Italy)</t>
  </si>
  <si>
    <t>Please select a Italy Pay Group</t>
  </si>
  <si>
    <t>ITA Monthly</t>
  </si>
  <si>
    <t>Main</t>
  </si>
  <si>
    <t>Auto 12092023 172248</t>
  </si>
  <si>
    <t>Assistant Manager</t>
  </si>
  <si>
    <t>251 Management Retail</t>
  </si>
  <si>
    <t>Collective Agreement</t>
  </si>
  <si>
    <t>Apprendistato</t>
  </si>
  <si>
    <t>Level 5</t>
  </si>
  <si>
    <t>275 Recruitment (Fovup Jumuti (10279378))</t>
  </si>
  <si>
    <t>275 Store Management (Rizej Wepadu (10144587))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</si>
</sst>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color rgb="FF4A4A4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/>
    <xf numFmtId="14" fontId="0" fillId="4" borderId="2" xfId="0" applyNumberFormat="1" applyFont="1" applyFill="1" applyBorder="1" applyAlignment="1">
      <alignment horizontal="left"/>
    </xf>
    <xf numFmtId="0" fontId="0" fillId="4" borderId="2" xfId="0" applyFont="1" applyFill="1" applyBorder="1" applyAlignment="1" applyProtection="1">
      <alignment horizontal="left"/>
      <protection locked="0"/>
    </xf>
    <xf numFmtId="0" fontId="0" fillId="4" borderId="2" xfId="0" applyFont="1" applyFill="1" applyBorder="1" applyAlignment="1" applyProtection="1">
      <alignment horizontal="left" wrapText="1"/>
      <protection locked="0"/>
    </xf>
    <xf numFmtId="0" fontId="0" fillId="4" borderId="2" xfId="0" applyFont="1" applyFill="1" applyBorder="1" applyProtection="1">
      <protection locked="0"/>
    </xf>
    <xf numFmtId="164" fontId="0" fillId="4" borderId="2" xfId="0" quotePrefix="1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0" fillId="7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0" fillId="4" borderId="2" xfId="0" quotePrefix="1" applyFont="1" applyFill="1" applyBorder="1" applyAlignment="1">
      <alignment horizontal="left"/>
    </xf>
    <xf numFmtId="0" fontId="0" fillId="4" borderId="2" xfId="0" quotePrefix="1" applyFont="1" applyFill="1" applyBorder="1"/>
    <xf numFmtId="0" fontId="0" fillId="4" borderId="2" xfId="0" applyFont="1" applyFill="1" applyBorder="1" applyAlignment="1">
      <alignment horizontal="left" wrapText="1"/>
    </xf>
    <xf numFmtId="0" fontId="2" fillId="4" borderId="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@661" TargetMode="External"/><Relationship Id="rId2" Type="http://schemas.openxmlformats.org/officeDocument/2006/relationships/hyperlink" Target="mailto:1@661" TargetMode="External"/><Relationship Id="rId1" Type="http://schemas.openxmlformats.org/officeDocument/2006/relationships/hyperlink" Target="mailto:1@66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1@661" TargetMode="External"/><Relationship Id="rId4" Type="http://schemas.openxmlformats.org/officeDocument/2006/relationships/hyperlink" Target="mailto:1@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8"/>
  <sheetViews>
    <sheetView tabSelected="1" zoomScale="115" zoomScaleNormal="115" workbookViewId="0">
      <selection activeCell="A2" sqref="A2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5" width="10.77734375" style="1" customWidth="1"/>
    <col min="6" max="6" width="12.33203125" style="1" customWidth="1"/>
    <col min="7" max="7" width="24.44140625" style="1" customWidth="1"/>
    <col min="8" max="8" width="48.6640625" style="1" customWidth="1"/>
    <col min="9" max="9" width="36.77734375" style="1" customWidth="1"/>
    <col min="10" max="10" width="10.88671875" style="1" customWidth="1"/>
    <col min="11" max="11" width="7" style="1" customWidth="1"/>
    <col min="12" max="12" width="7.5546875" style="1" customWidth="1"/>
    <col min="13" max="13" width="13" style="1" customWidth="1"/>
    <col min="14" max="14" width="18.6640625" style="2" customWidth="1"/>
    <col min="15" max="15" width="8.88671875" style="1" customWidth="1"/>
    <col min="16" max="16" width="8.109375" style="1" customWidth="1"/>
    <col min="17" max="17" width="20.5546875" style="1" customWidth="1"/>
    <col min="18" max="18" width="31.109375" style="1" customWidth="1"/>
    <col min="19" max="19" width="9.21875" style="1" customWidth="1"/>
    <col min="20" max="20" width="18.5546875" style="1" customWidth="1"/>
    <col min="21" max="21" width="26.44140625" style="1" customWidth="1"/>
    <col min="22" max="22" width="16.77734375" style="1" customWidth="1"/>
    <col min="23" max="23" width="17" style="1" customWidth="1"/>
    <col min="24" max="24" width="29.33203125" style="1" customWidth="1"/>
    <col min="25" max="25" width="20.88671875" style="1" customWidth="1"/>
    <col min="26" max="26" width="16" style="2" customWidth="1"/>
    <col min="27" max="27" width="16" style="1" customWidth="1"/>
    <col min="28" max="28" width="18.5546875" style="1" customWidth="1"/>
    <col min="29" max="29" width="18.21875" style="1" customWidth="1"/>
    <col min="30" max="30" width="6" style="1" customWidth="1"/>
    <col min="31" max="31" width="12.77734375" style="1" customWidth="1"/>
    <col min="32" max="32" width="15.109375" style="1" customWidth="1"/>
    <col min="33" max="33" width="9" style="1" customWidth="1"/>
    <col min="34" max="35" width="22.44140625" style="1" customWidth="1"/>
    <col min="36" max="36" width="18.21875" style="1" customWidth="1"/>
    <col min="37" max="37" width="17.77734375" style="1" customWidth="1"/>
    <col min="38" max="38" width="5.88671875" style="1" customWidth="1"/>
    <col min="39" max="39" width="15.109375" style="1" customWidth="1"/>
    <col min="40" max="40" width="7" style="1" customWidth="1"/>
    <col min="41" max="41" width="10.77734375" style="1" customWidth="1"/>
    <col min="42" max="42" width="13.5546875" style="1" customWidth="1"/>
    <col min="43" max="43" width="20.21875" style="1" customWidth="1"/>
    <col min="44" max="44" width="9.88671875" style="1" customWidth="1"/>
    <col min="45" max="45" width="11.88671875" style="1" customWidth="1"/>
    <col min="46" max="46" width="15.88671875" style="1" customWidth="1"/>
    <col min="47" max="47" width="15" style="1" customWidth="1"/>
    <col min="48" max="48" width="16.33203125" style="2" customWidth="1"/>
    <col min="49" max="49" width="53.6640625" style="2" customWidth="1"/>
    <col min="50" max="50" width="23.77734375" style="2" customWidth="1"/>
    <col min="51" max="51" width="9" style="1" customWidth="1"/>
    <col min="52" max="52" width="30.109375" style="1" customWidth="1"/>
    <col min="53" max="53" width="20.33203125" style="1" customWidth="1"/>
    <col min="54" max="54" width="14.44140625" style="1" customWidth="1"/>
    <col min="55" max="55" width="17.109375" style="1" customWidth="1"/>
    <col min="56" max="56" width="11.5546875" style="1" customWidth="1"/>
    <col min="57" max="57" width="15.44140625" style="1" customWidth="1"/>
    <col min="58" max="59" width="11.109375" style="1" customWidth="1"/>
    <col min="60" max="60" width="16.6640625" style="1" customWidth="1"/>
    <col min="61" max="61" width="18.109375" style="1" customWidth="1"/>
    <col min="62" max="62" width="17.109375" style="1" customWidth="1"/>
    <col min="63" max="63" width="16.5546875" style="1" customWidth="1"/>
    <col min="64" max="64" width="16.109375" customWidth="1"/>
  </cols>
  <sheetData>
    <row r="1" spans="1:36" s="1" customFormat="1" ht="14.55" customHeight="1" outlineLevel="1" collapsed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10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51</v>
      </c>
      <c r="AI1" s="3" t="s">
        <v>52</v>
      </c>
      <c r="AJ1" s="3" t="s">
        <v>53</v>
      </c>
    </row>
    <row r="2" spans="1:36" s="1" customFormat="1" ht="15.6" customHeight="1" x14ac:dyDescent="0.3">
      <c r="A2" s="8" t="s">
        <v>36</v>
      </c>
      <c r="B2" s="8"/>
      <c r="C2" s="16"/>
      <c r="D2" s="8" t="s">
        <v>50</v>
      </c>
      <c r="E2" s="17">
        <v>10572597</v>
      </c>
      <c r="F2" s="15"/>
      <c r="G2" s="8"/>
      <c r="H2" s="9" t="s">
        <v>69</v>
      </c>
      <c r="I2" s="9" t="str">
        <f>E2&amp;" "&amp;F2</f>
        <v xml:space="preserve">10572597 </v>
      </c>
      <c r="J2" s="10">
        <f ca="1">TODAY()</f>
        <v>45849</v>
      </c>
      <c r="K2" s="11" t="s">
        <v>38</v>
      </c>
      <c r="L2" s="10" t="s">
        <v>55</v>
      </c>
      <c r="M2" s="10" t="s">
        <v>39</v>
      </c>
      <c r="N2" s="18" t="s">
        <v>56</v>
      </c>
      <c r="O2" s="10" t="s">
        <v>57</v>
      </c>
      <c r="P2" s="19">
        <v>275</v>
      </c>
      <c r="Q2" s="8">
        <v>40</v>
      </c>
      <c r="R2" s="12" t="s">
        <v>58</v>
      </c>
      <c r="S2" s="9" t="s">
        <v>59</v>
      </c>
      <c r="T2" s="9" t="s">
        <v>37</v>
      </c>
      <c r="U2" s="11" t="s">
        <v>40</v>
      </c>
      <c r="V2" s="11" t="s">
        <v>41</v>
      </c>
      <c r="W2" s="20" t="s">
        <v>49</v>
      </c>
      <c r="X2" s="11" t="s">
        <v>60</v>
      </c>
      <c r="Y2" s="11" t="s">
        <v>61</v>
      </c>
      <c r="Z2" s="8" t="s">
        <v>43</v>
      </c>
      <c r="AA2" s="8" t="s">
        <v>43</v>
      </c>
      <c r="AB2" s="10">
        <f ca="1">TODAY()-1</f>
        <v>45848</v>
      </c>
      <c r="AC2" s="9" t="s">
        <v>62</v>
      </c>
      <c r="AD2" s="13" t="s">
        <v>42</v>
      </c>
      <c r="AE2" s="10" t="s">
        <v>37</v>
      </c>
      <c r="AF2" s="14" t="str">
        <f>T2</f>
        <v>N/A</v>
      </c>
      <c r="AG2" s="8" t="s">
        <v>43</v>
      </c>
      <c r="AH2" s="11" t="s">
        <v>66</v>
      </c>
      <c r="AI2" s="11" t="s">
        <v>67</v>
      </c>
      <c r="AJ2" s="11" t="s">
        <v>68</v>
      </c>
    </row>
    <row r="3" spans="1:36" s="1" customFormat="1" ht="15.6" customHeight="1" x14ac:dyDescent="0.3">
      <c r="A3" s="8" t="s">
        <v>44</v>
      </c>
      <c r="B3" s="21"/>
      <c r="C3" s="16"/>
      <c r="D3" s="8" t="s">
        <v>50</v>
      </c>
      <c r="E3" s="22">
        <v>10572598</v>
      </c>
      <c r="F3" s="15"/>
      <c r="G3" s="8"/>
      <c r="H3" s="9" t="s">
        <v>70</v>
      </c>
      <c r="I3" s="9" t="str">
        <f xml:space="preserve"> E3&amp;" "&amp;F3</f>
        <v xml:space="preserve">10572598 </v>
      </c>
      <c r="J3" s="10">
        <f ca="1">TODAY()</f>
        <v>45849</v>
      </c>
      <c r="K3" s="11" t="s">
        <v>38</v>
      </c>
      <c r="L3" s="10" t="s">
        <v>63</v>
      </c>
      <c r="M3" s="10" t="s">
        <v>45</v>
      </c>
      <c r="N3" s="18" t="s">
        <v>64</v>
      </c>
      <c r="O3" s="10" t="s">
        <v>57</v>
      </c>
      <c r="P3" s="19">
        <v>275</v>
      </c>
      <c r="Q3" s="8">
        <v>40</v>
      </c>
      <c r="R3" s="12" t="s">
        <v>58</v>
      </c>
      <c r="S3" s="9" t="s">
        <v>59</v>
      </c>
      <c r="T3" s="14">
        <f ca="1">TODAY()+365</f>
        <v>46214</v>
      </c>
      <c r="U3" s="11" t="s">
        <v>40</v>
      </c>
      <c r="V3" s="11">
        <v>92</v>
      </c>
      <c r="W3" s="10" t="s">
        <v>65</v>
      </c>
      <c r="X3" s="11" t="s">
        <v>60</v>
      </c>
      <c r="Y3" s="11" t="s">
        <v>61</v>
      </c>
      <c r="Z3" s="8" t="s">
        <v>43</v>
      </c>
      <c r="AA3" s="8" t="s">
        <v>43</v>
      </c>
      <c r="AB3" s="10">
        <f ca="1">TODAY()-1</f>
        <v>45848</v>
      </c>
      <c r="AC3" s="9" t="s">
        <v>62</v>
      </c>
      <c r="AD3" s="13" t="s">
        <v>42</v>
      </c>
      <c r="AE3" s="10" t="s">
        <v>45</v>
      </c>
      <c r="AF3" s="14">
        <f ca="1">TODAY()+365</f>
        <v>46214</v>
      </c>
      <c r="AG3" s="8" t="s">
        <v>43</v>
      </c>
      <c r="AH3" s="11" t="s">
        <v>66</v>
      </c>
      <c r="AI3" s="11" t="s">
        <v>67</v>
      </c>
      <c r="AJ3" s="11" t="s">
        <v>68</v>
      </c>
    </row>
    <row r="4" spans="1:36" s="1" customFormat="1" ht="15.6" customHeight="1" x14ac:dyDescent="0.3">
      <c r="A4" s="8" t="s">
        <v>46</v>
      </c>
      <c r="B4" s="21"/>
      <c r="C4" s="16"/>
      <c r="D4" s="8" t="s">
        <v>50</v>
      </c>
      <c r="E4" s="22">
        <v>10572626</v>
      </c>
      <c r="F4" s="15"/>
      <c r="G4" s="8"/>
      <c r="H4" s="9" t="s">
        <v>69</v>
      </c>
      <c r="I4" s="9" t="str">
        <f>E4&amp;" "&amp;F4</f>
        <v xml:space="preserve">10572626 </v>
      </c>
      <c r="J4" s="10">
        <f ca="1">TODAY()</f>
        <v>45849</v>
      </c>
      <c r="K4" s="11" t="s">
        <v>38</v>
      </c>
      <c r="L4" s="10" t="s">
        <v>55</v>
      </c>
      <c r="M4" s="10" t="s">
        <v>45</v>
      </c>
      <c r="N4" s="18" t="s">
        <v>56</v>
      </c>
      <c r="O4" s="10" t="s">
        <v>57</v>
      </c>
      <c r="P4" s="19">
        <v>275</v>
      </c>
      <c r="Q4" s="8">
        <v>40</v>
      </c>
      <c r="R4" s="12" t="s">
        <v>58</v>
      </c>
      <c r="S4" s="9" t="s">
        <v>59</v>
      </c>
      <c r="T4" s="14">
        <f ca="1">TODAY()+365</f>
        <v>46214</v>
      </c>
      <c r="U4" s="11" t="s">
        <v>40</v>
      </c>
      <c r="V4" s="11" t="s">
        <v>41</v>
      </c>
      <c r="W4" s="20" t="s">
        <v>49</v>
      </c>
      <c r="X4" s="11" t="s">
        <v>60</v>
      </c>
      <c r="Y4" s="11" t="s">
        <v>61</v>
      </c>
      <c r="Z4" s="8" t="s">
        <v>43</v>
      </c>
      <c r="AA4" s="8" t="s">
        <v>43</v>
      </c>
      <c r="AB4" s="10">
        <f ca="1">TODAY()-1</f>
        <v>45848</v>
      </c>
      <c r="AC4" s="9" t="s">
        <v>62</v>
      </c>
      <c r="AD4" s="13" t="s">
        <v>42</v>
      </c>
      <c r="AE4" s="10" t="s">
        <v>45</v>
      </c>
      <c r="AF4" s="14">
        <f ca="1">TODAY()+365</f>
        <v>46214</v>
      </c>
      <c r="AG4" s="8" t="s">
        <v>43</v>
      </c>
      <c r="AH4" s="11" t="s">
        <v>66</v>
      </c>
      <c r="AI4" s="11" t="s">
        <v>67</v>
      </c>
      <c r="AJ4" s="11" t="s">
        <v>68</v>
      </c>
    </row>
    <row r="5" spans="1:36" s="1" customFormat="1" ht="15.6" customHeight="1" x14ac:dyDescent="0.3">
      <c r="A5" s="8" t="s">
        <v>47</v>
      </c>
      <c r="B5" s="21"/>
      <c r="C5" s="16"/>
      <c r="D5" s="8" t="s">
        <v>50</v>
      </c>
      <c r="E5" s="22">
        <v>10572626</v>
      </c>
      <c r="F5" s="15"/>
      <c r="G5" s="8"/>
      <c r="H5" s="9" t="s">
        <v>69</v>
      </c>
      <c r="I5" s="9" t="str">
        <f>E5&amp;" "&amp;F5</f>
        <v xml:space="preserve">10572626 </v>
      </c>
      <c r="J5" s="10">
        <f ca="1">TODAY()</f>
        <v>45849</v>
      </c>
      <c r="K5" s="11" t="s">
        <v>38</v>
      </c>
      <c r="L5" s="10" t="s">
        <v>55</v>
      </c>
      <c r="M5" s="10" t="s">
        <v>45</v>
      </c>
      <c r="N5" s="18" t="s">
        <v>56</v>
      </c>
      <c r="O5" s="10" t="s">
        <v>57</v>
      </c>
      <c r="P5" s="19">
        <v>275</v>
      </c>
      <c r="Q5" s="8">
        <v>40</v>
      </c>
      <c r="R5" s="12" t="s">
        <v>58</v>
      </c>
      <c r="S5" s="9" t="s">
        <v>59</v>
      </c>
      <c r="T5" s="14">
        <f ca="1">TODAY()+365</f>
        <v>46214</v>
      </c>
      <c r="U5" s="11" t="s">
        <v>40</v>
      </c>
      <c r="V5" s="11" t="s">
        <v>41</v>
      </c>
      <c r="W5" s="20" t="s">
        <v>49</v>
      </c>
      <c r="X5" s="11" t="s">
        <v>60</v>
      </c>
      <c r="Y5" s="11" t="s">
        <v>61</v>
      </c>
      <c r="Z5" s="8" t="s">
        <v>43</v>
      </c>
      <c r="AA5" s="8" t="s">
        <v>43</v>
      </c>
      <c r="AB5" s="10">
        <f ca="1">TODAY()-1</f>
        <v>45848</v>
      </c>
      <c r="AC5" s="9" t="s">
        <v>62</v>
      </c>
      <c r="AD5" s="13" t="s">
        <v>42</v>
      </c>
      <c r="AE5" s="10" t="s">
        <v>45</v>
      </c>
      <c r="AF5" s="14">
        <f ca="1">TODAY()+365</f>
        <v>46214</v>
      </c>
      <c r="AG5" s="8" t="s">
        <v>43</v>
      </c>
      <c r="AH5" s="11" t="s">
        <v>66</v>
      </c>
      <c r="AI5" s="11" t="s">
        <v>67</v>
      </c>
      <c r="AJ5" s="11" t="s">
        <v>68</v>
      </c>
    </row>
    <row r="6" spans="1:36" s="1" customFormat="1" ht="15.6" customHeight="1" x14ac:dyDescent="0.3">
      <c r="A6" s="8" t="s">
        <v>48</v>
      </c>
      <c r="B6" s="21"/>
      <c r="C6" s="16"/>
      <c r="D6" s="8" t="s">
        <v>50</v>
      </c>
      <c r="E6" s="22">
        <v>10572598</v>
      </c>
      <c r="F6" s="15"/>
      <c r="G6" s="8"/>
      <c r="H6" s="9" t="s">
        <v>70</v>
      </c>
      <c r="I6" s="9" t="str">
        <f xml:space="preserve"> E6&amp;" "&amp;F6</f>
        <v xml:space="preserve">10572598 </v>
      </c>
      <c r="J6" s="10">
        <f ca="1">TODAY()</f>
        <v>45849</v>
      </c>
      <c r="K6" s="11" t="s">
        <v>38</v>
      </c>
      <c r="L6" s="10" t="s">
        <v>63</v>
      </c>
      <c r="M6" s="10" t="s">
        <v>45</v>
      </c>
      <c r="N6" s="18" t="s">
        <v>64</v>
      </c>
      <c r="O6" s="10" t="s">
        <v>57</v>
      </c>
      <c r="P6" s="19">
        <v>275</v>
      </c>
      <c r="Q6" s="8">
        <v>40</v>
      </c>
      <c r="R6" s="12" t="s">
        <v>58</v>
      </c>
      <c r="S6" s="9" t="s">
        <v>59</v>
      </c>
      <c r="T6" s="14">
        <f ca="1">TODAY()+365</f>
        <v>46214</v>
      </c>
      <c r="U6" s="11" t="s">
        <v>40</v>
      </c>
      <c r="V6" s="11">
        <v>92</v>
      </c>
      <c r="W6" s="10" t="s">
        <v>65</v>
      </c>
      <c r="X6" s="11" t="s">
        <v>60</v>
      </c>
      <c r="Y6" s="11" t="s">
        <v>61</v>
      </c>
      <c r="Z6" s="8" t="s">
        <v>43</v>
      </c>
      <c r="AA6" s="8" t="s">
        <v>43</v>
      </c>
      <c r="AB6" s="10">
        <f ca="1">TODAY()-1</f>
        <v>45848</v>
      </c>
      <c r="AC6" s="9" t="s">
        <v>62</v>
      </c>
      <c r="AD6" s="13" t="s">
        <v>42</v>
      </c>
      <c r="AE6" s="10" t="s">
        <v>45</v>
      </c>
      <c r="AF6" s="14">
        <f ca="1">TODAY()+365</f>
        <v>46214</v>
      </c>
      <c r="AG6" s="8" t="s">
        <v>43</v>
      </c>
      <c r="AH6" s="11" t="s">
        <v>66</v>
      </c>
      <c r="AI6" s="11" t="s">
        <v>67</v>
      </c>
      <c r="AJ6" s="11" t="s">
        <v>68</v>
      </c>
    </row>
    <row r="7" spans="1:36" s="1" customFormat="1" ht="15.6" customHeight="1" x14ac:dyDescent="0.3"/>
    <row r="8" spans="1:36" s="1" customFormat="1" ht="15.6" customHeight="1" x14ac:dyDescent="0.3"/>
    <row r="9" spans="1:36" s="1" customFormat="1" ht="15.6" customHeight="1" x14ac:dyDescent="0.3"/>
    <row r="10" spans="1:36" s="1" customFormat="1" ht="15.6" customHeight="1" x14ac:dyDescent="0.3"/>
    <row r="11" spans="1:36" s="1" customFormat="1" ht="15.6" customHeight="1" x14ac:dyDescent="0.3"/>
    <row r="12" spans="1:36" s="1" customFormat="1" ht="15.6" customHeight="1" x14ac:dyDescent="0.3"/>
    <row r="13" spans="1:36" s="1" customFormat="1" ht="15.6" customHeight="1" x14ac:dyDescent="0.3"/>
    <row r="14" spans="1:36" s="1" customFormat="1" ht="15.6" customHeight="1" x14ac:dyDescent="0.3"/>
    <row r="15" spans="1:36" s="1" customFormat="1" ht="15.6" customHeight="1" x14ac:dyDescent="0.3"/>
    <row r="16" spans="1:36" s="1" customFormat="1" ht="15.6" customHeight="1" x14ac:dyDescent="0.3"/>
    <row r="17" s="1" customFormat="1" ht="15.6" customHeight="1" x14ac:dyDescent="0.3"/>
    <row r="18" s="1" customFormat="1" ht="15.6" customHeight="1" x14ac:dyDescent="0.3"/>
  </sheetData>
  <dataValidations count="1">
    <dataValidation type="list" allowBlank="1" showInputMessage="1" showErrorMessage="1" sqref="K2:K6 AD2:AD6" xr:uid="{CDF7B96E-BB87-4133-A348-4C9781B69D83}">
      <formula1>INDIRECT($E2)</formula1>
    </dataValidation>
  </dataValidations>
  <hyperlinks>
    <hyperlink ref="R3" r:id="rId1" xr:uid="{1B005F67-D0E5-457D-881E-CA38BAE9C361}"/>
    <hyperlink ref="R2" r:id="rId2" xr:uid="{0E61E99E-320A-4C16-A010-97B1D1312552}"/>
    <hyperlink ref="R4" r:id="rId3" xr:uid="{1FF47FAF-CE1C-4F71-91DA-F1FDF0739345}"/>
    <hyperlink ref="R5" r:id="rId4" xr:uid="{D2030075-E5C7-484C-BEC5-8AE3017E6534}"/>
    <hyperlink ref="R6" r:id="rId5" xr:uid="{35C4BFD9-6B62-4A12-ADC2-B86654328510}"/>
  </hyperlinks>
  <pageMargins left="0.7" right="0.7" top="0.75" bottom="0.75" header="0.3" footer="0.3"/>
  <pageSetup orientation="portrait" useFirstPageNumber="1" horizontalDpi="4294967295" verticalDpi="4294967295" r:id="rId6"/>
  <headerFooter>
    <oddFooter>&amp;L_x000D_&amp;1#&amp;"Calibri"&amp;10&amp;K000000 EXPLEO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F717-C13B-4BDA-9C61-6F7532C373EA}">
  <dimension ref="A1:A34"/>
  <sheetViews>
    <sheetView topLeftCell="A5" workbookViewId="0">
      <selection sqref="A1:A34"/>
    </sheetView>
  </sheetViews>
  <sheetFormatPr defaultRowHeight="14.4" x14ac:dyDescent="0.3"/>
  <sheetData>
    <row r="1" spans="1:1" x14ac:dyDescent="0.3">
      <c r="A1" s="5" t="s">
        <v>7</v>
      </c>
    </row>
    <row r="2" spans="1:1" x14ac:dyDescent="0.3">
      <c r="A2" s="4" t="s">
        <v>8</v>
      </c>
    </row>
    <row r="3" spans="1:1" x14ac:dyDescent="0.3">
      <c r="A3" s="4" t="s">
        <v>9</v>
      </c>
    </row>
    <row r="4" spans="1:1" x14ac:dyDescent="0.3">
      <c r="A4" s="5" t="s">
        <v>10</v>
      </c>
    </row>
    <row r="5" spans="1:1" x14ac:dyDescent="0.3">
      <c r="A5" s="5" t="s">
        <v>11</v>
      </c>
    </row>
    <row r="6" spans="1:1" x14ac:dyDescent="0.3">
      <c r="A6" s="5" t="s">
        <v>12</v>
      </c>
    </row>
    <row r="7" spans="1:1" x14ac:dyDescent="0.3">
      <c r="A7" s="5" t="s">
        <v>13</v>
      </c>
    </row>
    <row r="8" spans="1:1" x14ac:dyDescent="0.3">
      <c r="A8" s="5" t="s">
        <v>14</v>
      </c>
    </row>
    <row r="9" spans="1:1" x14ac:dyDescent="0.3">
      <c r="A9" s="5" t="s">
        <v>15</v>
      </c>
    </row>
    <row r="10" spans="1:1" x14ac:dyDescent="0.3">
      <c r="A10" s="5" t="s">
        <v>16</v>
      </c>
    </row>
    <row r="11" spans="1:1" x14ac:dyDescent="0.3">
      <c r="A11" s="5" t="s">
        <v>17</v>
      </c>
    </row>
    <row r="12" spans="1:1" x14ac:dyDescent="0.3">
      <c r="A12" s="5" t="s">
        <v>18</v>
      </c>
    </row>
    <row r="13" spans="1:1" x14ac:dyDescent="0.3">
      <c r="A13" s="5" t="s">
        <v>19</v>
      </c>
    </row>
    <row r="14" spans="1:1" x14ac:dyDescent="0.3">
      <c r="A14" s="5" t="s">
        <v>20</v>
      </c>
    </row>
    <row r="15" spans="1:1" x14ac:dyDescent="0.3">
      <c r="A15" s="5" t="s">
        <v>21</v>
      </c>
    </row>
    <row r="16" spans="1:1" x14ac:dyDescent="0.3">
      <c r="A16" s="5" t="s">
        <v>22</v>
      </c>
    </row>
    <row r="17" spans="1:1" x14ac:dyDescent="0.3">
      <c r="A17" s="5" t="s">
        <v>23</v>
      </c>
    </row>
    <row r="18" spans="1:1" x14ac:dyDescent="0.3">
      <c r="A18" s="5" t="s">
        <v>24</v>
      </c>
    </row>
    <row r="19" spans="1:1" x14ac:dyDescent="0.3">
      <c r="A19" s="5" t="s">
        <v>25</v>
      </c>
    </row>
    <row r="20" spans="1:1" x14ac:dyDescent="0.3">
      <c r="A20" s="5" t="s">
        <v>26</v>
      </c>
    </row>
    <row r="21" spans="1:1" x14ac:dyDescent="0.3">
      <c r="A21" s="4" t="s">
        <v>27</v>
      </c>
    </row>
    <row r="22" spans="1:1" x14ac:dyDescent="0.3">
      <c r="A22" s="5" t="s">
        <v>10</v>
      </c>
    </row>
    <row r="23" spans="1:1" x14ac:dyDescent="0.3">
      <c r="A23" s="5" t="s">
        <v>28</v>
      </c>
    </row>
    <row r="24" spans="1:1" x14ac:dyDescent="0.3">
      <c r="A24" s="5" t="s">
        <v>29</v>
      </c>
    </row>
    <row r="25" spans="1:1" x14ac:dyDescent="0.3">
      <c r="A25" s="5" t="s">
        <v>30</v>
      </c>
    </row>
    <row r="26" spans="1:1" x14ac:dyDescent="0.3">
      <c r="A26" s="5" t="s">
        <v>31</v>
      </c>
    </row>
    <row r="27" spans="1:1" x14ac:dyDescent="0.3">
      <c r="A27" s="6" t="s">
        <v>32</v>
      </c>
    </row>
    <row r="28" spans="1:1" x14ac:dyDescent="0.3">
      <c r="A28" s="6" t="s">
        <v>33</v>
      </c>
    </row>
    <row r="29" spans="1:1" x14ac:dyDescent="0.3">
      <c r="A29" s="6" t="s">
        <v>34</v>
      </c>
    </row>
    <row r="30" spans="1:1" x14ac:dyDescent="0.3">
      <c r="A30" s="6" t="s">
        <v>35</v>
      </c>
    </row>
    <row r="31" spans="1:1" x14ac:dyDescent="0.3">
      <c r="A31" s="4" t="s">
        <v>54</v>
      </c>
    </row>
    <row r="32" spans="1:1" x14ac:dyDescent="0.3">
      <c r="A32" s="7" t="s">
        <v>51</v>
      </c>
    </row>
    <row r="33" spans="1:1" x14ac:dyDescent="0.3">
      <c r="A33" s="7" t="s">
        <v>52</v>
      </c>
    </row>
    <row r="34" spans="1:1" x14ac:dyDescent="0.3">
      <c r="A34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2025-07-11T11:31:32Z</dcterms:modified>
</cp:coreProperties>
</file>