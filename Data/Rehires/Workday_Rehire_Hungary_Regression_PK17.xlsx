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_Data" state="visible" r:id="rId4"/>
  </sheets>
  <calcPr calcId="171027"/>
</workbook>
</file>

<file path=xl/sharedStrings.xml><?xml version="1.0" encoding="utf-8"?>
<sst xmlns="http://schemas.openxmlformats.org/spreadsheetml/2006/main" count="169" uniqueCount="80">
  <si>
    <t>TestCaseIDs</t>
  </si>
  <si>
    <t>Error</t>
  </si>
  <si>
    <t>TestStatus</t>
  </si>
  <si>
    <t>Country</t>
  </si>
  <si>
    <t>EmployeeID</t>
  </si>
  <si>
    <t>GivenName</t>
  </si>
  <si>
    <t>FamilyName</t>
  </si>
  <si>
    <t>PostalCode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</si>
  <si>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</si>
  <si>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</si>
  <si>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</si>
  <si>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</si>
  <si>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</si>
  <si>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</si>
  <si>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</si>
  <si>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</si>
  <si>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</si>
  <si>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</si>
  <si>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</si>
  <si>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</si>
  <si>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</si>
  <si>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</si>
  <si>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</si>
  <si>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</si>
  <si>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</si>
  <si>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</si>
  <si>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</si>
  <si>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AllowanceAmount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</si>
  <si>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</si>
  <si>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</si>
  <si>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</si>
  <si>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</si>
  <si>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</si>
  <si>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</si>
  <si>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</si>
  <si>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</si>
  <si>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Test_1</t>
  </si>
  <si>
    <t>N/A</t>
  </si>
  <si>
    <t>Passed</t>
  </si>
  <si>
    <t>Hungary</t>
  </si>
  <si>
    <t>Dach</t>
  </si>
  <si>
    <t>Cloyd</t>
  </si>
  <si>
    <t>846 Recruitment (Sekive Solav (10632957))</t>
  </si>
  <si>
    <t>ReHire</t>
  </si>
  <si>
    <t>No</t>
  </si>
  <si>
    <t>Fixed Term</t>
  </si>
  <si>
    <t>Retail Assistant_NEW</t>
  </si>
  <si>
    <t>Full time</t>
  </si>
  <si>
    <t>846</t>
  </si>
  <si>
    <t>REGULAR - Regular Shift Pattern (Hungary Regular &amp; Irregular Shift Pattern-Hungary)</t>
  </si>
  <si>
    <t>5 Days (Hungary)</t>
  </si>
  <si>
    <t>Automation Comments here….</t>
  </si>
  <si>
    <t>94 Retail Operative</t>
  </si>
  <si>
    <t>01 Accessories</t>
  </si>
  <si>
    <t>HU Monthly</t>
  </si>
  <si>
    <t>Active</t>
  </si>
  <si>
    <t>Defaulted</t>
  </si>
  <si>
    <t>Test_2</t>
  </si>
  <si>
    <t xml:space="preserve">Test failed for 'Cartwright Victoria' Employee:{10699950}TimeoutError: locator.click: Timeout 30000ms exceeded.
Call log:
  [2m- waiting for locator('//div[@data-automation-id=\'titleText\'][contains(./text(),\'Edit Notice Periods for Hire: Cartwright Victoria\')]').first()[22m
</t>
  </si>
  <si>
    <t>Failed</t>
  </si>
  <si>
    <t>10699950</t>
  </si>
  <si>
    <t>Cartwright</t>
  </si>
  <si>
    <t>Victoria</t>
  </si>
  <si>
    <t>1046</t>
  </si>
  <si>
    <t>846 Store Management (Zavamy Pyfaw (10632958))</t>
  </si>
  <si>
    <t>Auto 43347483</t>
  </si>
  <si>
    <t>Store Manager_NEW</t>
  </si>
  <si>
    <t>IRREGULAR - Irregular Shift Pattern (Hungary Regular &amp; Irregular Shift Pattern-Hungary)</t>
  </si>
  <si>
    <t>Test_3</t>
  </si>
  <si>
    <t>Test failed for 'Dibbert Lorena' Employee:{10699951}Error: page.waitForTimeout: Target page, context or browser has been closed</t>
  </si>
  <si>
    <t>Dibbert</t>
  </si>
  <si>
    <t>Lorena</t>
  </si>
  <si>
    <t>Test_4</t>
  </si>
  <si>
    <t xml:space="preserve">Test failed for 'McGlynn Dorothea' Employee:{10699952}TimeoutError: locator.click: Timeout 30000ms exceeded.
Call log:
  [2m- waiting for getByLabel('Work Shift').first()[22m
</t>
  </si>
  <si>
    <t>McGlynn</t>
  </si>
  <si>
    <t>Dorothea</t>
  </si>
  <si>
    <t>Auto 17643254</t>
  </si>
  <si>
    <t>Test_5</t>
  </si>
  <si>
    <t>Schumm</t>
  </si>
  <si>
    <t>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</si>
</sst>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theme="1"/>
      <family val="2"/>
      <sz val="14"/>
      <name val="Arial"/>
    </font>
    <font>
      <family val="2"/>
      <scheme val="minor"/>
      <sz val="11"/>
      <name val="Calibri"/>
    </font>
    <font>
      <color rgb="FF4A4A4A"/>
      <family val="2"/>
      <sz val="14"/>
      <name val="Arial"/>
    </font>
    <font>
      <color rgb="FF000000"/>
      <family val="2"/>
      <scheme val="minor"/>
      <sz val="11"/>
      <name val="Calibri"/>
    </font>
    <font>
      <color rgb="FFFF0000"/>
      <family val="2"/>
      <sz val="14"/>
      <name val="Arial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1" fillId="0" borderId="2" xfId="0" applyFont="1" applyBorder="1"/>
    <xf numFmtId="0" fontId="2" fillId="0" borderId="2" xfId="0" applyFont="1" applyBorder="1" applyAlignment="1" applyProtection="1">
      <alignment horizontal="left"/>
      <protection locked="0"/>
    </xf>
    <xf numFmtId="14" fontId="2" fillId="4" borderId="0" xfId="0" applyNumberFormat="1" applyFont="1" applyFill="1" applyAlignment="1">
      <alignment horizontal="left"/>
    </xf>
    <xf numFmtId="14" fontId="3" fillId="7" borderId="2" xfId="0" applyNumberFormat="1" applyFont="1" applyFill="1" applyBorder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2" fillId="8" borderId="2" xfId="0" applyFont="1" applyFill="1" applyBorder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2" xfId="0" applyFont="1" applyBorder="1"/>
    <xf numFmtId="14" fontId="6" fillId="4" borderId="0" xfId="0" applyNumberFormat="1" applyFont="1" applyFill="1" applyAlignment="1">
      <alignment horizontal="left"/>
    </xf>
    <xf numFmtId="0" fontId="2" fillId="0" borderId="2" xfId="0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Protection="1">
      <protection locked="0"/>
    </xf>
    <xf numFmtId="0" fontId="0" fillId="0" borderId="2" xfId="0" applyBorder="1" applyAlignment="1">
      <alignment horizontal="left"/>
    </xf>
    <xf numFmtId="0" fontId="3" fillId="0" borderId="2" xfId="0" applyFont="1" applyBorder="1" applyAlignment="1" applyProtection="1">
      <alignment horizontal="left"/>
      <protection locked="0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workbookViewId="0" zoomScale="115" zoomScaleNormal="115">
      <selection activeCell="AC2" sqref="AC2"/>
    </sheetView>
  </sheetViews>
  <sheetFormatPr defaultRowHeight="15.65" outlineLevelRow="0" outlineLevelCol="0" x14ac:dyDescent="0.35" customHeight="1"/>
  <cols>
    <col min="1" max="1" width="10.90625" style="1" customWidth="1"/>
    <col min="2" max="2" width="10.81640625" style="1" customWidth="1"/>
    <col min="3" max="3" width="9.453125" style="1" customWidth="1"/>
    <col min="4" max="4" width="16.6328125" style="1" customWidth="1"/>
    <col min="5" max="5" width="10.81640625" style="1" customWidth="1"/>
    <col min="6" max="6" width="12.36328125" style="1" customWidth="1"/>
    <col min="7" max="7" width="24.453125" style="1" customWidth="1"/>
    <col min="8" max="8" width="48.6328125" style="1" customWidth="1"/>
    <col min="9" max="9" width="58.1796875" style="1" customWidth="1"/>
    <col min="10" max="10" width="30.54296875" style="1" customWidth="1"/>
    <col min="11" max="11" width="23.90625" style="1" customWidth="1"/>
    <col min="12" max="12" width="13" style="1" customWidth="1"/>
    <col min="13" max="13" width="18.6328125" style="2" customWidth="1"/>
    <col min="14" max="14" width="42.453125" style="1" customWidth="1"/>
    <col min="15" max="15" width="43" style="1" customWidth="1"/>
    <col min="16" max="16" width="20.54296875" style="1" customWidth="1"/>
    <col min="17" max="17" width="31.08984375" style="1" customWidth="1"/>
    <col min="18" max="18" width="9.1796875" style="1" customWidth="1"/>
    <col min="19" max="19" width="18.54296875" style="1" customWidth="1"/>
    <col min="20" max="20" width="26.453125" style="1" customWidth="1"/>
    <col min="21" max="21" width="42.453125" style="1" customWidth="1"/>
    <col min="22" max="22" width="17" style="1" customWidth="1"/>
    <col min="23" max="23" width="29.36328125" style="1" customWidth="1"/>
    <col min="24" max="24" width="20.90625" style="1" customWidth="1"/>
    <col min="25" max="25" width="16" style="2" customWidth="1"/>
    <col min="26" max="26" width="16" style="1" customWidth="1"/>
    <col min="27" max="27" width="18.54296875" style="1" customWidth="1"/>
    <col min="28" max="28" width="35.1796875" style="1" customWidth="1"/>
    <col min="29" max="29" width="30.26953125" style="1" customWidth="1"/>
    <col min="30" max="30" width="33.90625" style="1" customWidth="1"/>
    <col min="31" max="31" width="15.08984375" style="1" customWidth="1"/>
    <col min="32" max="34" width="22.453125" style="1" customWidth="1"/>
    <col min="35" max="35" width="18.1796875" style="1" customWidth="1"/>
    <col min="36" max="36" width="17.81640625" style="1" customWidth="1"/>
    <col min="37" max="37" width="22.81640625" style="1" customWidth="1"/>
    <col min="38" max="38" width="23.6328125" style="1" customWidth="1"/>
    <col min="39" max="39" width="32.26953125" style="1" customWidth="1"/>
    <col min="40" max="40" width="13.54296875" style="1" customWidth="1"/>
    <col min="41" max="41" width="20.1796875" style="1" customWidth="1"/>
    <col min="42" max="42" width="9.90625" style="1" customWidth="1"/>
    <col min="43" max="43" width="11.90625" style="1" customWidth="1"/>
    <col min="44" max="44" width="15.90625" style="1" customWidth="1"/>
    <col min="45" max="45" width="15" style="1" customWidth="1"/>
    <col min="46" max="46" width="16.36328125" style="2" customWidth="1"/>
    <col min="47" max="47" width="53.6328125" style="2" customWidth="1"/>
    <col min="48" max="48" width="23.81640625" style="2" customWidth="1"/>
    <col min="49" max="49" width="9" style="1" customWidth="1"/>
    <col min="50" max="50" width="30.08984375" style="1" customWidth="1"/>
    <col min="51" max="51" width="20.36328125" style="1" customWidth="1"/>
    <col min="52" max="52" width="14.453125" style="1" customWidth="1"/>
    <col min="53" max="53" width="17.08984375" style="1" customWidth="1"/>
    <col min="54" max="54" width="11.54296875" style="1" customWidth="1"/>
    <col min="55" max="55" width="15.453125" style="1" customWidth="1"/>
    <col min="56" max="57" width="11.08984375" style="1" customWidth="1"/>
    <col min="58" max="58" width="16.6328125" style="1" customWidth="1"/>
    <col min="59" max="59" width="18.08984375" style="1" customWidth="1"/>
    <col min="60" max="60" width="17.08984375" style="1" customWidth="1"/>
    <col min="61" max="61" width="16.54296875" style="1" customWidth="1"/>
    <col min="62" max="62" width="16.08984375" customWidth="1"/>
  </cols>
  <sheetData>
    <row r="1" ht="15.65" customHeight="1" spans="1:36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ht="15.65" customHeight="1" spans="1:36" x14ac:dyDescent="0.25">
      <c r="A2" s="1" t="s">
        <v>36</v>
      </c>
      <c r="B2" s="1" t="s">
        <v>37</v>
      </c>
      <c r="C2" s="7" t="s">
        <v>38</v>
      </c>
      <c r="D2" s="8" t="s">
        <v>39</v>
      </c>
      <c r="E2" s="9">
        <v>10699947</v>
      </c>
      <c r="F2" s="1" t="s">
        <v>40</v>
      </c>
      <c r="G2" s="1" t="s">
        <v>41</v>
      </c>
      <c r="H2" s="8">
        <v>1046</v>
      </c>
      <c r="I2" s="10" t="s">
        <v>42</v>
      </c>
      <c r="J2" s="11" t="str">
        <f>G2&amp;" "&amp;F2</f>
        <v>Cloyd Dach</v>
      </c>
      <c r="K2" s="12">
        <f>TODAY()+20</f>
        <v>45854</v>
      </c>
      <c r="L2" s="8" t="s">
        <v>43</v>
      </c>
      <c r="M2" s="13" t="s">
        <v>44</v>
      </c>
      <c r="N2" s="14" t="s">
        <v>45</v>
      </c>
      <c r="O2" s="15" t="s">
        <v>46</v>
      </c>
      <c r="P2" s="14" t="s">
        <v>47</v>
      </c>
      <c r="Q2" s="16" t="s">
        <v>48</v>
      </c>
      <c r="R2" s="17" t="s">
        <v>35</v>
      </c>
      <c r="S2" s="18">
        <v>40</v>
      </c>
      <c r="T2" s="19" t="s">
        <v>49</v>
      </c>
      <c r="U2" s="14" t="s">
        <v>50</v>
      </c>
      <c r="V2" s="20">
        <f>K2+364</f>
        <v>46218</v>
      </c>
      <c r="W2" s="8" t="s">
        <v>51</v>
      </c>
      <c r="X2" s="8" t="s">
        <v>52</v>
      </c>
      <c r="Y2" t="s">
        <v>53</v>
      </c>
      <c r="Z2" s="21" t="s">
        <v>54</v>
      </c>
      <c r="AA2" s="21" t="s">
        <v>54</v>
      </c>
      <c r="AB2" s="17" t="s">
        <v>37</v>
      </c>
      <c r="AC2" s="12">
        <f>K2+90</f>
        <v>45944</v>
      </c>
      <c r="AD2" s="12">
        <f>K2</f>
        <v>45854</v>
      </c>
      <c r="AE2" s="22">
        <f>K2-2</f>
        <v>45852</v>
      </c>
      <c r="AF2" s="22" t="s">
        <v>37</v>
      </c>
      <c r="AG2" s="23" t="s">
        <v>55</v>
      </c>
      <c r="AH2" s="22" t="s">
        <v>45</v>
      </c>
      <c r="AI2" s="12">
        <f>K2+365</f>
        <v>46219</v>
      </c>
      <c r="AJ2" s="24" t="s">
        <v>56</v>
      </c>
    </row>
    <row r="3" ht="15.65" customHeight="1" spans="1:36" x14ac:dyDescent="0.25">
      <c r="A3" s="1" t="s">
        <v>57</v>
      </c>
      <c r="B3" s="1" t="s">
        <v>58</v>
      </c>
      <c r="C3" s="1" t="s">
        <v>59</v>
      </c>
      <c r="D3" s="8" t="s">
        <v>39</v>
      </c>
      <c r="E3" t="s">
        <v>60</v>
      </c>
      <c r="F3" s="1" t="s">
        <v>61</v>
      </c>
      <c r="G3" s="1" t="s">
        <v>62</v>
      </c>
      <c r="H3" s="25" t="s">
        <v>63</v>
      </c>
      <c r="I3" s="10" t="s">
        <v>64</v>
      </c>
      <c r="K3" s="12">
        <f>TODAY()</f>
        <v>45834</v>
      </c>
      <c r="L3" s="8" t="s">
        <v>43</v>
      </c>
      <c r="M3" s="13" t="s">
        <v>65</v>
      </c>
      <c r="N3" s="14" t="s">
        <v>45</v>
      </c>
      <c r="O3" s="19" t="s">
        <v>66</v>
      </c>
      <c r="P3" s="14" t="s">
        <v>47</v>
      </c>
      <c r="Q3" s="16" t="s">
        <v>48</v>
      </c>
      <c r="R3" s="17" t="s">
        <v>35</v>
      </c>
      <c r="S3" s="18">
        <v>40</v>
      </c>
      <c r="T3" s="19" t="s">
        <v>67</v>
      </c>
      <c r="U3" s="14" t="s">
        <v>50</v>
      </c>
      <c r="V3" s="20">
        <f>K3+364</f>
        <v>46198</v>
      </c>
      <c r="W3" s="8" t="s">
        <v>51</v>
      </c>
      <c r="X3" s="8" t="s">
        <v>52</v>
      </c>
      <c r="Y3" t="s">
        <v>53</v>
      </c>
      <c r="Z3" s="21" t="s">
        <v>54</v>
      </c>
      <c r="AA3" s="21" t="s">
        <v>54</v>
      </c>
      <c r="AB3" s="17" t="s">
        <v>37</v>
      </c>
      <c r="AC3" s="12">
        <f>K3+90</f>
        <v>45924</v>
      </c>
      <c r="AD3" s="12">
        <f>K3</f>
        <v>45834</v>
      </c>
      <c r="AE3" s="22">
        <f>K3-2</f>
        <v>45832</v>
      </c>
      <c r="AF3" s="22" t="s">
        <v>37</v>
      </c>
      <c r="AG3" s="23" t="s">
        <v>55</v>
      </c>
      <c r="AH3" s="22" t="s">
        <v>45</v>
      </c>
      <c r="AI3" s="12">
        <f>K3+365</f>
        <v>46199</v>
      </c>
      <c r="AJ3" s="24" t="s">
        <v>56</v>
      </c>
    </row>
    <row r="4" ht="15.65" customHeight="1" spans="1:36" x14ac:dyDescent="0.25">
      <c r="A4" s="1" t="s">
        <v>68</v>
      </c>
      <c r="B4" s="26" t="s">
        <v>69</v>
      </c>
      <c r="C4" s="1" t="s">
        <v>59</v>
      </c>
      <c r="D4" s="8" t="s">
        <v>39</v>
      </c>
      <c r="E4">
        <v>10699951</v>
      </c>
      <c r="F4" s="1" t="s">
        <v>70</v>
      </c>
      <c r="G4" s="1" t="s">
        <v>71</v>
      </c>
      <c r="H4" s="8">
        <v>1046</v>
      </c>
      <c r="I4" s="10" t="s">
        <v>42</v>
      </c>
      <c r="J4" s="11" t="str">
        <f>G4&amp;" "&amp;F4</f>
        <v> </v>
      </c>
      <c r="K4" s="12">
        <f>TODAY()-20</f>
        <v>45814</v>
      </c>
      <c r="L4" s="8" t="s">
        <v>43</v>
      </c>
      <c r="M4" s="13" t="s">
        <v>44</v>
      </c>
      <c r="N4" s="14" t="s">
        <v>45</v>
      </c>
      <c r="O4" s="15" t="s">
        <v>46</v>
      </c>
      <c r="P4" s="14" t="s">
        <v>47</v>
      </c>
      <c r="Q4" s="16" t="s">
        <v>48</v>
      </c>
      <c r="R4" s="17" t="s">
        <v>35</v>
      </c>
      <c r="S4" s="18">
        <v>40</v>
      </c>
      <c r="T4" s="19" t="s">
        <v>49</v>
      </c>
      <c r="U4" s="14" t="s">
        <v>50</v>
      </c>
      <c r="V4" s="20">
        <f>K4+364</f>
        <v>46178</v>
      </c>
      <c r="W4" s="8" t="s">
        <v>51</v>
      </c>
      <c r="X4" s="8" t="s">
        <v>52</v>
      </c>
      <c r="Y4" t="s">
        <v>53</v>
      </c>
      <c r="Z4" s="21" t="s">
        <v>54</v>
      </c>
      <c r="AA4" s="21" t="s">
        <v>54</v>
      </c>
      <c r="AB4" s="17" t="s">
        <v>37</v>
      </c>
      <c r="AC4" s="12">
        <f>K4+90</f>
        <v>45904</v>
      </c>
      <c r="AD4" s="12">
        <f>K4</f>
        <v>45814</v>
      </c>
      <c r="AE4" s="22">
        <f>K4-2</f>
        <v>45812</v>
      </c>
      <c r="AF4" s="22" t="s">
        <v>37</v>
      </c>
      <c r="AG4" s="23" t="s">
        <v>55</v>
      </c>
      <c r="AH4" s="22" t="s">
        <v>45</v>
      </c>
      <c r="AI4" s="12">
        <f>K4+365</f>
        <v>46179</v>
      </c>
      <c r="AJ4" s="24" t="s">
        <v>56</v>
      </c>
    </row>
    <row r="5" ht="15.65" customHeight="1" spans="1:36" x14ac:dyDescent="0.25">
      <c r="A5" s="1" t="s">
        <v>72</v>
      </c>
      <c r="B5" s="1" t="s">
        <v>73</v>
      </c>
      <c r="C5" s="1" t="s">
        <v>59</v>
      </c>
      <c r="D5" s="8" t="s">
        <v>39</v>
      </c>
      <c r="E5">
        <v>10699952</v>
      </c>
      <c r="F5" s="1" t="s">
        <v>74</v>
      </c>
      <c r="G5" s="1" t="s">
        <v>75</v>
      </c>
      <c r="H5" s="25" t="s">
        <v>63</v>
      </c>
      <c r="I5" s="10" t="s">
        <v>64</v>
      </c>
      <c r="K5" s="12">
        <f>TODAY()+90</f>
        <v>45924</v>
      </c>
      <c r="L5" s="8" t="s">
        <v>43</v>
      </c>
      <c r="M5" s="13" t="s">
        <v>76</v>
      </c>
      <c r="N5" s="14" t="s">
        <v>45</v>
      </c>
      <c r="O5" s="19" t="s">
        <v>66</v>
      </c>
      <c r="P5" s="14" t="s">
        <v>47</v>
      </c>
      <c r="Q5" s="16" t="s">
        <v>48</v>
      </c>
      <c r="R5" s="17" t="s">
        <v>35</v>
      </c>
      <c r="S5" s="18">
        <v>40</v>
      </c>
      <c r="T5" s="19" t="s">
        <v>67</v>
      </c>
      <c r="U5" s="14" t="s">
        <v>50</v>
      </c>
      <c r="V5" s="20">
        <f>K5+364</f>
        <v>46288</v>
      </c>
      <c r="W5" s="8" t="s">
        <v>51</v>
      </c>
      <c r="X5" s="8" t="s">
        <v>52</v>
      </c>
      <c r="Y5" t="s">
        <v>53</v>
      </c>
      <c r="Z5" s="21" t="s">
        <v>54</v>
      </c>
      <c r="AA5" s="21" t="s">
        <v>54</v>
      </c>
      <c r="AB5" s="17" t="s">
        <v>37</v>
      </c>
      <c r="AC5" s="12">
        <f>K5+90</f>
        <v>46014</v>
      </c>
      <c r="AD5" s="12">
        <f>K5</f>
        <v>45924</v>
      </c>
      <c r="AE5" s="22">
        <f>K5-2</f>
        <v>45922</v>
      </c>
      <c r="AF5" s="22" t="s">
        <v>37</v>
      </c>
      <c r="AG5" s="23" t="s">
        <v>55</v>
      </c>
      <c r="AH5" s="22" t="s">
        <v>45</v>
      </c>
      <c r="AI5" s="12">
        <f>K5+365</f>
        <v>46289</v>
      </c>
      <c r="AJ5" s="24" t="s">
        <v>56</v>
      </c>
    </row>
    <row r="6" ht="15.65" customHeight="1" spans="1:36" x14ac:dyDescent="0.25">
      <c r="A6" s="1" t="s">
        <v>77</v>
      </c>
      <c r="B6" s="1" t="s">
        <v>37</v>
      </c>
      <c r="C6" s="7" t="s">
        <v>38</v>
      </c>
      <c r="D6" s="8" t="s">
        <v>39</v>
      </c>
      <c r="E6">
        <v>10699953</v>
      </c>
      <c r="F6" s="1" t="s">
        <v>78</v>
      </c>
      <c r="G6" s="1" t="s">
        <v>79</v>
      </c>
      <c r="H6" s="8">
        <v>1046</v>
      </c>
      <c r="I6" s="10" t="s">
        <v>42</v>
      </c>
      <c r="J6" s="11" t="str">
        <f>G6&amp;" "&amp;F6</f>
        <v> </v>
      </c>
      <c r="K6" s="12">
        <f>TODAY()+100</f>
        <v>45934</v>
      </c>
      <c r="L6" s="8" t="s">
        <v>43</v>
      </c>
      <c r="M6" s="13" t="s">
        <v>44</v>
      </c>
      <c r="N6" s="14" t="s">
        <v>45</v>
      </c>
      <c r="O6" s="15" t="s">
        <v>46</v>
      </c>
      <c r="P6" s="14" t="s">
        <v>47</v>
      </c>
      <c r="Q6" s="16" t="s">
        <v>48</v>
      </c>
      <c r="R6" s="17" t="s">
        <v>35</v>
      </c>
      <c r="S6" s="18">
        <v>40</v>
      </c>
      <c r="T6" s="19" t="s">
        <v>49</v>
      </c>
      <c r="U6" s="14" t="s">
        <v>50</v>
      </c>
      <c r="V6" s="20">
        <f>K6+364</f>
        <v>46298</v>
      </c>
      <c r="W6" s="8" t="s">
        <v>51</v>
      </c>
      <c r="X6" s="8" t="s">
        <v>52</v>
      </c>
      <c r="Y6" t="s">
        <v>53</v>
      </c>
      <c r="Z6" s="21" t="s">
        <v>54</v>
      </c>
      <c r="AA6" s="21" t="s">
        <v>54</v>
      </c>
      <c r="AB6" s="17" t="s">
        <v>37</v>
      </c>
      <c r="AC6" s="12">
        <f>K6+90</f>
        <v>46024</v>
      </c>
      <c r="AD6" s="12">
        <f>K6</f>
        <v>45934</v>
      </c>
      <c r="AE6" s="22">
        <f>K6-2</f>
        <v>45932</v>
      </c>
      <c r="AF6" s="22" t="s">
        <v>37</v>
      </c>
      <c r="AG6" s="23" t="s">
        <v>55</v>
      </c>
      <c r="AH6" s="22" t="s">
        <v>45</v>
      </c>
      <c r="AI6" s="12">
        <f>K6+365</f>
        <v>46299</v>
      </c>
      <c r="AJ6" s="24" t="s">
        <v>56</v>
      </c>
    </row>
  </sheetData>
  <dataValidations count="2">
    <dataValidation type="list" allowBlank="1" showInputMessage="1" showErrorMessage="1" sqref="AG2:AG6">
      <formula1>INDIRECT($E2)</formula1>
    </dataValidation>
    <dataValidation type="list" allowBlank="1" showInputMessage="1" showErrorMessage="1" sqref="L2:L6">
      <formula1>INDIRECT($E2)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2025-06-26T09:39:25Z</dcterms:modified>
</cp:coreProperties>
</file>