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 defaultThemeVersion="124226"/>
  <xr:revisionPtr revIDLastSave="0" documentId="13_ncr:1_{228306AE-F8C1-4FC9-AE41-2FF733DCF7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46" r:id="rId1"/>
    <sheet name="Sheet2" sheetId="4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" i="46" l="1"/>
  <c r="AG9" i="46"/>
  <c r="H9" i="46"/>
  <c r="AI8" i="46"/>
  <c r="AG8" i="46"/>
  <c r="H8" i="46"/>
  <c r="AI7" i="46"/>
  <c r="AG7" i="46"/>
  <c r="H7" i="46"/>
  <c r="X7" i="46" s="1"/>
  <c r="AI6" i="46"/>
  <c r="AG6" i="46"/>
  <c r="H6" i="46"/>
  <c r="AI5" i="46"/>
  <c r="AG5" i="46"/>
  <c r="H5" i="46"/>
  <c r="AI4" i="46"/>
  <c r="AG4" i="46"/>
  <c r="H4" i="46"/>
  <c r="AI3" i="46"/>
  <c r="AG3" i="46"/>
  <c r="H3" i="46"/>
  <c r="AI2" i="46"/>
  <c r="AG2" i="46"/>
  <c r="H2" i="46"/>
</calcChain>
</file>

<file path=xl/sharedStrings.xml><?xml version="1.0" encoding="utf-8"?>
<sst xmlns="http://schemas.openxmlformats.org/spreadsheetml/2006/main" count="285" uniqueCount="85">
  <si>
    <t>Test_ID</t>
  </si>
  <si>
    <t>TestStatus</t>
  </si>
  <si>
    <t>Process</t>
  </si>
  <si>
    <t>Country</t>
  </si>
  <si>
    <t>GivenName</t>
  </si>
  <si>
    <t>FamilyName</t>
  </si>
  <si>
    <t>EmployeeID</t>
  </si>
  <si>
    <t>ChangeJob_Start_EffectiveDate</t>
  </si>
  <si>
    <t>ChangeJob_Start_Reason</t>
  </si>
  <si>
    <t>ChangeJob_Start_NewManager</t>
  </si>
  <si>
    <t>ChangeJob_Start_NewTeam</t>
  </si>
  <si>
    <t>ChangeJob_Start_NewLocation</t>
  </si>
  <si>
    <t>ChangeJob_Start_NextPayPeriod</t>
  </si>
  <si>
    <t>ChangeJob_JobProfile</t>
  </si>
  <si>
    <t>ChangeJob_JobProfile_JobTitle</t>
  </si>
  <si>
    <t>ChangeJob_LocationDetails_Location</t>
  </si>
  <si>
    <t>ChangeJob_LocationDetails_ScheduledWeeklyHours</t>
  </si>
  <si>
    <t>ChangeJob_LocationDetails_WorkShift</t>
  </si>
  <si>
    <t>ChangeJob_JobClassifications_AdditionalJobClassifications</t>
  </si>
  <si>
    <t>ChangeJob_JobClassifications_EmployeeType</t>
  </si>
  <si>
    <t>ChangeJob_JobClassifications_TimeType</t>
  </si>
  <si>
    <t>ChangeJob_JobClassifications_PayRateType</t>
  </si>
  <si>
    <t>ChangeJob_JobClassifications_DefaultWeeklyHours</t>
  </si>
  <si>
    <t>ChangeJob_JobClassifications_EndEmploymentDate</t>
  </si>
  <si>
    <t>ChangeJob_JobClassifications_AssignmentType</t>
  </si>
  <si>
    <t>ChangeJob_JobClassifications_FirstDayofWork</t>
  </si>
  <si>
    <t>ChangeJob_Company_CostCentre</t>
  </si>
  <si>
    <t>ChangeJob_Company_Department</t>
  </si>
  <si>
    <t>AddProbationPeriod_StartDate</t>
  </si>
  <si>
    <t>AddProbationPeriod_EndDate</t>
  </si>
  <si>
    <t>ProposeCompensationChange_Salary</t>
  </si>
  <si>
    <t>JobDetails_Position_JobDetailsPosition</t>
  </si>
  <si>
    <t>ContractAddendumInfo_TerminateAddendumEffectiveDate</t>
  </si>
  <si>
    <t>ContractAddendumInfo_AddendumEndDate</t>
  </si>
  <si>
    <t>ContractAddendumInfo_AddendumCreationDate</t>
  </si>
  <si>
    <t>Promotion_Manager</t>
  </si>
  <si>
    <t>Test_1</t>
  </si>
  <si>
    <t>Passed</t>
  </si>
  <si>
    <t>Slovakia</t>
  </si>
  <si>
    <t>Valerie</t>
  </si>
  <si>
    <t>Hagenes</t>
  </si>
  <si>
    <t>Promotion</t>
  </si>
  <si>
    <t>N/A</t>
  </si>
  <si>
    <t>870 Store Management (Wazup Zudimi (9581610))</t>
  </si>
  <si>
    <t>Store Manager_NEW</t>
  </si>
  <si>
    <t>5 Days</t>
  </si>
  <si>
    <t>Permanent</t>
  </si>
  <si>
    <t>Full Time</t>
  </si>
  <si>
    <t>Auto 81502903</t>
  </si>
  <si>
    <t>PartTime_FullTime</t>
  </si>
  <si>
    <t>Test_2</t>
  </si>
  <si>
    <t>Demotion</t>
  </si>
  <si>
    <t>Eileen</t>
  </si>
  <si>
    <t>Tillman</t>
  </si>
  <si>
    <t>10699700</t>
  </si>
  <si>
    <t>Step Back</t>
  </si>
  <si>
    <t>870 Recruitment (Wazup Zudimi (9581610))</t>
  </si>
  <si>
    <t>Retail Assistant_NEW</t>
  </si>
  <si>
    <t>Part Time</t>
  </si>
  <si>
    <t>94 Retail Operatives</t>
  </si>
  <si>
    <t>05 Childrens Wear</t>
  </si>
  <si>
    <t>No</t>
  </si>
  <si>
    <t>FullTime_PartTime</t>
  </si>
  <si>
    <t>Test_3</t>
  </si>
  <si>
    <t>August</t>
  </si>
  <si>
    <t>Gleason</t>
  </si>
  <si>
    <t>10699710</t>
  </si>
  <si>
    <t>Test_4</t>
  </si>
  <si>
    <t>Test failed for 'Ava Wilderman' Employee:{10699708}Error: page.waitForTimeout: Target page, context or browser has been closed</t>
  </si>
  <si>
    <t>Ava</t>
  </si>
  <si>
    <t>Wilderman</t>
  </si>
  <si>
    <t>Change of Hours, Employee Type, Time Type, End Employment Date</t>
  </si>
  <si>
    <t>Test_5</t>
  </si>
  <si>
    <t>Barry</t>
  </si>
  <si>
    <t>Ratke-Satterfield</t>
  </si>
  <si>
    <t>10699713</t>
  </si>
  <si>
    <t>Test_6</t>
  </si>
  <si>
    <t>Rey</t>
  </si>
  <si>
    <t>Moore</t>
  </si>
  <si>
    <t>10699712</t>
  </si>
  <si>
    <t>Fixed Term (Fixed Term)</t>
  </si>
  <si>
    <t>Test_7</t>
  </si>
  <si>
    <t>Test_8</t>
  </si>
  <si>
    <t>Permanent_FixedTerm</t>
  </si>
  <si>
    <t>FixedT_Permanent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</si>
</sst>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b/>
      <sz val="10"/>
      <name val="Consolas"/>
      <family val="3"/>
    </font>
    <font>
      <sz val="11"/>
      <name val="Calibri"/>
      <family val="2"/>
      <scheme val="minor"/>
    </font>
    <font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8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0" xfId="0" applyFill="1"/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0" fillId="0" borderId="0" xfId="0" applyAlignment="1">
      <alignment horizontal="left" wrapText="1"/>
    </xf>
    <xf numFmtId="14" fontId="0" fillId="0" borderId="0" xfId="0" applyNumberFormat="1"/>
    <xf numFmtId="0" fontId="4" fillId="0" borderId="1" xfId="0" applyFont="1" applyBorder="1"/>
    <xf numFmtId="0" fontId="2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0" fontId="0" fillId="0" borderId="2" xfId="0" applyBorder="1"/>
    <xf numFmtId="0" fontId="2" fillId="0" borderId="1" xfId="0" applyFont="1" applyBorder="1" applyAlignment="1">
      <alignment horizontal="left" vertical="center"/>
    </xf>
    <xf numFmtId="0" fontId="0" fillId="0" borderId="3" xfId="0" applyBorder="1"/>
    <xf numFmtId="0" fontId="0" fillId="0" borderId="0" xfId="0" applyAlignment="1">
      <alignment wrapText="1"/>
    </xf>
    <xf numFmtId="0" fontId="5" fillId="0" borderId="0" xfId="0" applyFont="1" applyAlignment="1">
      <alignment horizontal="left" wrapText="1"/>
    </xf>
    <xf numFmtId="0" fontId="6" fillId="0" borderId="0" xfId="0" applyFont="1"/>
    <xf numFmtId="0" fontId="0" fillId="5" borderId="0" xfId="0" applyFill="1" applyAlignment="1">
      <alignment horizontal="left"/>
    </xf>
    <xf numFmtId="49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"/>
  <sheetViews>
    <sheetView tabSelected="1" zoomScaleNormal="100" workbookViewId="0">
      <selection activeCell="C15" sqref="C15"/>
    </sheetView>
  </sheetViews>
  <sheetFormatPr defaultRowHeight="14.5" customHeight="1" x14ac:dyDescent="0.35"/>
  <cols>
    <col min="1" max="1" width="7.08984375" customWidth="1"/>
    <col min="2" max="2" width="10.81640625" customWidth="1"/>
    <col min="3" max="3" width="17.1796875" customWidth="1"/>
    <col min="4" max="4" width="7.453125" customWidth="1"/>
    <col min="5" max="5" width="10.453125" style="1" customWidth="1"/>
    <col min="6" max="6" width="11.08984375" style="1" customWidth="1"/>
    <col min="7" max="7" width="16.54296875" customWidth="1"/>
    <col min="8" max="8" width="27.08984375" customWidth="1"/>
    <col min="9" max="9" width="22.08984375" customWidth="1"/>
    <col min="10" max="10" width="27.26953125" customWidth="1"/>
    <col min="11" max="11" width="24.36328125" customWidth="1"/>
    <col min="12" max="12" width="26.81640625" customWidth="1"/>
    <col min="13" max="13" width="28.1796875" customWidth="1"/>
    <col min="14" max="14" width="19.1796875" customWidth="1"/>
    <col min="15" max="15" width="26.7265625" customWidth="1"/>
    <col min="16" max="16" width="31.90625" customWidth="1"/>
    <col min="17" max="17" width="44.81640625" customWidth="1"/>
    <col min="18" max="18" width="33.1796875" customWidth="1"/>
    <col min="19" max="19" width="50.1796875" customWidth="1"/>
    <col min="20" max="20" width="39.08984375" customWidth="1"/>
    <col min="21" max="21" width="34.90625" customWidth="1"/>
    <col min="22" max="22" width="37.54296875" customWidth="1"/>
    <col min="23" max="23" width="44.1796875" customWidth="1"/>
    <col min="24" max="24" width="44.6328125" customWidth="1"/>
    <col min="25" max="25" width="40.54296875" customWidth="1"/>
    <col min="26" max="26" width="39.90625" customWidth="1"/>
    <col min="27" max="27" width="29.36328125" customWidth="1"/>
    <col min="28" max="28" width="30.26953125" customWidth="1"/>
    <col min="29" max="29" width="26.90625" customWidth="1"/>
    <col min="30" max="30" width="26.1796875" customWidth="1"/>
    <col min="31" max="31" width="32.36328125" customWidth="1"/>
    <col min="32" max="32" width="33.54296875" customWidth="1"/>
    <col min="33" max="33" width="51.26953125" customWidth="1"/>
    <col min="34" max="34" width="38.54296875" customWidth="1"/>
    <col min="35" max="35" width="42.54296875" customWidth="1"/>
  </cols>
  <sheetData>
    <row r="1" spans="1:36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t="s">
        <v>35</v>
      </c>
    </row>
    <row r="2" spans="1:36" ht="17.5" customHeight="1" x14ac:dyDescent="0.25">
      <c r="A2" t="s">
        <v>36</v>
      </c>
      <c r="B2" s="4" t="s">
        <v>37</v>
      </c>
      <c r="C2" t="s">
        <v>35</v>
      </c>
      <c r="D2" t="s">
        <v>38</v>
      </c>
      <c r="E2" s="5" t="s">
        <v>39</v>
      </c>
      <c r="F2" s="6" t="s">
        <v>40</v>
      </c>
      <c r="G2" s="7">
        <v>10699701</v>
      </c>
      <c r="H2" s="8">
        <f t="shared" ref="H2:H9" ca="1" si="0">TODAY()-7</f>
        <v>45824</v>
      </c>
      <c r="I2" t="s">
        <v>41</v>
      </c>
      <c r="J2" t="s">
        <v>42</v>
      </c>
      <c r="K2" s="9" t="s">
        <v>43</v>
      </c>
      <c r="L2">
        <v>870</v>
      </c>
      <c r="M2" t="s">
        <v>42</v>
      </c>
      <c r="N2" s="10" t="s">
        <v>44</v>
      </c>
      <c r="O2" t="s">
        <v>42</v>
      </c>
      <c r="P2">
        <v>870</v>
      </c>
      <c r="Q2">
        <v>40</v>
      </c>
      <c r="R2" t="s">
        <v>45</v>
      </c>
      <c r="S2" t="s">
        <v>42</v>
      </c>
      <c r="T2" t="s">
        <v>46</v>
      </c>
      <c r="U2" t="s">
        <v>47</v>
      </c>
      <c r="V2" t="s">
        <v>42</v>
      </c>
      <c r="W2">
        <v>40</v>
      </c>
      <c r="X2" t="s">
        <v>42</v>
      </c>
      <c r="Y2" t="s">
        <v>42</v>
      </c>
      <c r="Z2" t="s">
        <v>42</v>
      </c>
      <c r="AA2">
        <v>92</v>
      </c>
      <c r="AB2">
        <v>251</v>
      </c>
      <c r="AC2" t="s">
        <v>42</v>
      </c>
      <c r="AD2" t="s">
        <v>42</v>
      </c>
      <c r="AE2" t="s">
        <v>42</v>
      </c>
      <c r="AF2" t="s">
        <v>48</v>
      </c>
      <c r="AG2" s="11">
        <f t="shared" ref="AG2:AG9" ca="1" si="1">TODAY()</f>
        <v>45831</v>
      </c>
      <c r="AH2" s="11" t="s">
        <v>42</v>
      </c>
      <c r="AI2" s="12">
        <f t="shared" ref="AI2:AI9" ca="1" si="2">TODAY()-8</f>
        <v>45823</v>
      </c>
      <c r="AJ2" s="13" t="s">
        <v>49</v>
      </c>
    </row>
    <row r="3" spans="1:36" ht="17.5" customHeight="1" x14ac:dyDescent="0.25">
      <c r="A3" t="s">
        <v>50</v>
      </c>
      <c r="B3" t="s">
        <v>37</v>
      </c>
      <c r="C3" t="s">
        <v>51</v>
      </c>
      <c r="D3" t="s">
        <v>38</v>
      </c>
      <c r="E3" s="5" t="s">
        <v>52</v>
      </c>
      <c r="F3" s="6" t="s">
        <v>53</v>
      </c>
      <c r="G3" s="7" t="s">
        <v>54</v>
      </c>
      <c r="H3" s="8">
        <f t="shared" ca="1" si="0"/>
        <v>45824</v>
      </c>
      <c r="I3" t="s">
        <v>55</v>
      </c>
      <c r="J3" t="s">
        <v>42</v>
      </c>
      <c r="K3" s="9" t="s">
        <v>56</v>
      </c>
      <c r="L3">
        <v>870</v>
      </c>
      <c r="M3" t="s">
        <v>42</v>
      </c>
      <c r="N3" s="10" t="s">
        <v>57</v>
      </c>
      <c r="O3" t="s">
        <v>42</v>
      </c>
      <c r="P3">
        <v>870</v>
      </c>
      <c r="Q3">
        <v>30</v>
      </c>
      <c r="R3" t="s">
        <v>45</v>
      </c>
      <c r="S3" t="s">
        <v>42</v>
      </c>
      <c r="T3" t="s">
        <v>46</v>
      </c>
      <c r="U3" t="s">
        <v>58</v>
      </c>
      <c r="V3" t="s">
        <v>42</v>
      </c>
      <c r="W3" t="s">
        <v>42</v>
      </c>
      <c r="X3" t="s">
        <v>42</v>
      </c>
      <c r="Y3" t="s">
        <v>42</v>
      </c>
      <c r="Z3" t="s">
        <v>42</v>
      </c>
      <c r="AA3" s="14" t="s">
        <v>59</v>
      </c>
      <c r="AB3" s="14" t="s">
        <v>60</v>
      </c>
      <c r="AC3" t="s">
        <v>42</v>
      </c>
      <c r="AD3" t="s">
        <v>42</v>
      </c>
      <c r="AE3" t="s">
        <v>42</v>
      </c>
      <c r="AF3" t="s">
        <v>61</v>
      </c>
      <c r="AG3" s="11">
        <f t="shared" ca="1" si="1"/>
        <v>45831</v>
      </c>
      <c r="AH3" s="11" t="s">
        <v>42</v>
      </c>
      <c r="AI3" s="12">
        <f t="shared" ca="1" si="2"/>
        <v>45823</v>
      </c>
      <c r="AJ3" s="15" t="s">
        <v>62</v>
      </c>
    </row>
    <row r="4" spans="1:36" ht="17.5" customHeight="1" x14ac:dyDescent="0.25">
      <c r="A4" t="s">
        <v>63</v>
      </c>
      <c r="B4" t="s">
        <v>37</v>
      </c>
      <c r="C4" t="s">
        <v>51</v>
      </c>
      <c r="D4" t="s">
        <v>38</v>
      </c>
      <c r="E4" s="5" t="s">
        <v>64</v>
      </c>
      <c r="F4" s="6" t="s">
        <v>65</v>
      </c>
      <c r="G4" s="7" t="s">
        <v>66</v>
      </c>
      <c r="H4" s="8">
        <f t="shared" ca="1" si="0"/>
        <v>45824</v>
      </c>
      <c r="I4" t="s">
        <v>55</v>
      </c>
      <c r="J4" t="s">
        <v>42</v>
      </c>
      <c r="K4" s="9" t="s">
        <v>56</v>
      </c>
      <c r="L4">
        <v>870</v>
      </c>
      <c r="M4" t="s">
        <v>42</v>
      </c>
      <c r="N4" s="10" t="s">
        <v>57</v>
      </c>
      <c r="O4" t="s">
        <v>42</v>
      </c>
      <c r="P4">
        <v>870</v>
      </c>
      <c r="Q4">
        <v>30</v>
      </c>
      <c r="R4" t="s">
        <v>45</v>
      </c>
      <c r="S4" t="s">
        <v>42</v>
      </c>
      <c r="T4" t="s">
        <v>46</v>
      </c>
      <c r="U4" t="s">
        <v>58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 s="14" t="s">
        <v>59</v>
      </c>
      <c r="AB4" s="14" t="s">
        <v>60</v>
      </c>
      <c r="AC4" t="s">
        <v>42</v>
      </c>
      <c r="AD4" t="s">
        <v>42</v>
      </c>
      <c r="AE4" t="s">
        <v>42</v>
      </c>
      <c r="AF4" t="s">
        <v>61</v>
      </c>
      <c r="AG4" s="11">
        <f t="shared" ca="1" si="1"/>
        <v>45831</v>
      </c>
      <c r="AH4" s="11" t="s">
        <v>42</v>
      </c>
      <c r="AI4" s="12">
        <f t="shared" ca="1" si="2"/>
        <v>45823</v>
      </c>
      <c r="AJ4" s="15" t="s">
        <v>51</v>
      </c>
    </row>
    <row r="5" spans="1:36" ht="17.5" customHeight="1" x14ac:dyDescent="0.25">
      <c r="A5" t="s">
        <v>67</v>
      </c>
      <c r="B5" s="16" t="s">
        <v>68</v>
      </c>
      <c r="C5" t="s">
        <v>46</v>
      </c>
      <c r="D5" t="s">
        <v>38</v>
      </c>
      <c r="E5" s="5" t="s">
        <v>69</v>
      </c>
      <c r="F5" s="6" t="s">
        <v>70</v>
      </c>
      <c r="G5" s="17">
        <v>10699708</v>
      </c>
      <c r="H5" s="8">
        <f t="shared" ca="1" si="0"/>
        <v>45824</v>
      </c>
      <c r="I5" t="s">
        <v>71</v>
      </c>
      <c r="J5" t="s">
        <v>42</v>
      </c>
      <c r="K5" t="s">
        <v>42</v>
      </c>
      <c r="L5" t="s">
        <v>42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46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61</v>
      </c>
      <c r="AG5" s="11">
        <f t="shared" ca="1" si="1"/>
        <v>45831</v>
      </c>
      <c r="AH5" s="11" t="s">
        <v>42</v>
      </c>
      <c r="AI5" s="12">
        <f t="shared" ca="1" si="2"/>
        <v>45823</v>
      </c>
      <c r="AJ5" s="18" t="s">
        <v>41</v>
      </c>
    </row>
    <row r="6" spans="1:36" ht="17.5" customHeight="1" x14ac:dyDescent="0.25">
      <c r="A6" t="s">
        <v>72</v>
      </c>
      <c r="B6" s="16" t="s">
        <v>37</v>
      </c>
      <c r="C6" t="s">
        <v>46</v>
      </c>
      <c r="D6" t="s">
        <v>38</v>
      </c>
      <c r="E6" s="5" t="s">
        <v>73</v>
      </c>
      <c r="F6" s="6" t="s">
        <v>74</v>
      </c>
      <c r="G6" s="19" t="s">
        <v>75</v>
      </c>
      <c r="H6" s="8">
        <f t="shared" ca="1" si="0"/>
        <v>45824</v>
      </c>
      <c r="I6" t="s">
        <v>71</v>
      </c>
      <c r="J6" t="s">
        <v>42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46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61</v>
      </c>
      <c r="AG6" s="11">
        <f t="shared" ca="1" si="1"/>
        <v>45831</v>
      </c>
      <c r="AH6" s="11" t="s">
        <v>42</v>
      </c>
      <c r="AI6" s="12">
        <f t="shared" ca="1" si="2"/>
        <v>45823</v>
      </c>
      <c r="AJ6" s="18"/>
    </row>
    <row r="7" spans="1:36" ht="17.5" customHeight="1" x14ac:dyDescent="0.25">
      <c r="A7" t="s">
        <v>76</v>
      </c>
      <c r="B7" s="16" t="s">
        <v>37</v>
      </c>
      <c r="C7" t="s">
        <v>46</v>
      </c>
      <c r="D7" t="s">
        <v>38</v>
      </c>
      <c r="E7" s="5" t="s">
        <v>77</v>
      </c>
      <c r="F7" s="6" t="s">
        <v>78</v>
      </c>
      <c r="G7" s="7" t="s">
        <v>79</v>
      </c>
      <c r="H7" s="8">
        <f t="shared" ca="1" si="0"/>
        <v>45824</v>
      </c>
      <c r="I7" t="s">
        <v>71</v>
      </c>
      <c r="J7" t="s">
        <v>42</v>
      </c>
      <c r="K7" t="s">
        <v>42</v>
      </c>
      <c r="L7" t="s">
        <v>42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s="20" t="s">
        <v>80</v>
      </c>
      <c r="U7" t="s">
        <v>42</v>
      </c>
      <c r="V7" t="s">
        <v>42</v>
      </c>
      <c r="W7" t="s">
        <v>42</v>
      </c>
      <c r="X7" s="8">
        <f ca="1">H7+364</f>
        <v>46188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61</v>
      </c>
      <c r="AG7" s="11">
        <f t="shared" ca="1" si="1"/>
        <v>45831</v>
      </c>
      <c r="AH7" s="11" t="s">
        <v>42</v>
      </c>
      <c r="AI7" s="12">
        <f t="shared" ca="1" si="2"/>
        <v>45823</v>
      </c>
      <c r="AJ7" s="18"/>
    </row>
    <row r="8" spans="1:36" ht="17.5" customHeight="1" x14ac:dyDescent="0.25">
      <c r="A8" t="s">
        <v>81</v>
      </c>
      <c r="B8" s="16" t="s">
        <v>37</v>
      </c>
      <c r="C8" t="s">
        <v>49</v>
      </c>
      <c r="D8" t="s">
        <v>38</v>
      </c>
      <c r="E8" s="5" t="s">
        <v>64</v>
      </c>
      <c r="F8" s="6" t="s">
        <v>65</v>
      </c>
      <c r="G8" s="7" t="s">
        <v>66</v>
      </c>
      <c r="H8" s="8">
        <f t="shared" ca="1" si="0"/>
        <v>45824</v>
      </c>
      <c r="I8" t="s">
        <v>71</v>
      </c>
      <c r="J8" t="s">
        <v>42</v>
      </c>
      <c r="K8" t="s">
        <v>42</v>
      </c>
      <c r="L8" t="s">
        <v>42</v>
      </c>
      <c r="M8" t="s">
        <v>42</v>
      </c>
      <c r="N8" t="s">
        <v>42</v>
      </c>
      <c r="O8" t="s">
        <v>42</v>
      </c>
      <c r="P8" t="s">
        <v>42</v>
      </c>
      <c r="Q8">
        <v>40</v>
      </c>
      <c r="R8" t="s">
        <v>45</v>
      </c>
      <c r="S8" t="s">
        <v>42</v>
      </c>
      <c r="T8" t="s">
        <v>42</v>
      </c>
      <c r="U8" t="s">
        <v>47</v>
      </c>
      <c r="V8" t="s">
        <v>42</v>
      </c>
      <c r="W8">
        <v>40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61</v>
      </c>
      <c r="AG8" s="11">
        <f t="shared" ca="1" si="1"/>
        <v>45831</v>
      </c>
      <c r="AH8" s="11" t="s">
        <v>42</v>
      </c>
      <c r="AI8" s="12">
        <f t="shared" ca="1" si="2"/>
        <v>45823</v>
      </c>
      <c r="AJ8" s="18"/>
    </row>
    <row r="9" spans="1:36" ht="17.5" customHeight="1" x14ac:dyDescent="0.25">
      <c r="A9" t="s">
        <v>82</v>
      </c>
      <c r="B9" s="16" t="s">
        <v>37</v>
      </c>
      <c r="C9" t="s">
        <v>41</v>
      </c>
      <c r="D9" t="s">
        <v>38</v>
      </c>
      <c r="E9" s="5" t="s">
        <v>39</v>
      </c>
      <c r="F9" s="6" t="s">
        <v>40</v>
      </c>
      <c r="G9" s="7">
        <v>10699701</v>
      </c>
      <c r="H9" s="8">
        <f t="shared" ca="1" si="0"/>
        <v>45824</v>
      </c>
      <c r="I9" t="s">
        <v>71</v>
      </c>
      <c r="J9" t="s">
        <v>42</v>
      </c>
      <c r="K9" t="s">
        <v>42</v>
      </c>
      <c r="L9" t="s">
        <v>42</v>
      </c>
      <c r="M9" t="s">
        <v>42</v>
      </c>
      <c r="N9" s="10" t="s">
        <v>44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61</v>
      </c>
      <c r="AG9" s="11">
        <f t="shared" ca="1" si="1"/>
        <v>45831</v>
      </c>
      <c r="AH9" s="11" t="s">
        <v>42</v>
      </c>
      <c r="AI9" s="12">
        <f t="shared" ca="1" si="2"/>
        <v>45823</v>
      </c>
      <c r="AJ9" s="18"/>
    </row>
    <row r="13" spans="1:36" x14ac:dyDescent="0.25">
      <c r="AG13" s="11"/>
    </row>
    <row r="14" spans="1:36" x14ac:dyDescent="0.25">
      <c r="AG14" s="11"/>
    </row>
    <row r="15" spans="1:36" x14ac:dyDescent="0.25">
      <c r="AG15" s="12"/>
    </row>
  </sheetData>
  <dataValidations count="2">
    <dataValidation type="list" allowBlank="1" showInputMessage="1" showErrorMessage="1" sqref="AJ1" xr:uid="{00000000-0002-0000-0000-000000000000}">
      <formula1>#REF!</formula1>
    </dataValidation>
    <dataValidation type="list" allowBlank="1" showInputMessage="1" showErrorMessage="1" sqref="C2:C9" xr:uid="{00000000-0002-0000-0000-000001000000}">
      <formula1>$AJ$1:$AJ$6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5F37-BA22-4DBA-A49B-912978A212AD}">
  <dimension ref="C1:C7"/>
  <sheetViews>
    <sheetView workbookViewId="0">
      <selection activeCell="F7" sqref="F7"/>
    </sheetView>
  </sheetViews>
  <sheetFormatPr defaultRowHeight="14.5" x14ac:dyDescent="0.35"/>
  <sheetData>
    <row r="1" spans="3:3" x14ac:dyDescent="0.35">
      <c r="C1" t="s">
        <v>35</v>
      </c>
    </row>
    <row r="2" spans="3:3" x14ac:dyDescent="0.35">
      <c r="C2" s="13" t="s">
        <v>49</v>
      </c>
    </row>
    <row r="3" spans="3:3" x14ac:dyDescent="0.35">
      <c r="C3" s="15" t="s">
        <v>62</v>
      </c>
    </row>
    <row r="4" spans="3:3" x14ac:dyDescent="0.35">
      <c r="C4" s="15" t="s">
        <v>51</v>
      </c>
    </row>
    <row r="5" spans="3:3" x14ac:dyDescent="0.35">
      <c r="C5" s="18" t="s">
        <v>41</v>
      </c>
    </row>
    <row r="6" spans="3:3" x14ac:dyDescent="0.35">
      <c r="C6" s="18" t="s">
        <v>83</v>
      </c>
    </row>
    <row r="7" spans="3:3" x14ac:dyDescent="0.35">
      <c r="C7" s="18" t="s">
        <v>84</v>
      </c>
    </row>
  </sheetData>
  <dataValidations count="1">
    <dataValidation type="list" allowBlank="1" showInputMessage="1" showErrorMessage="1" sqref="C1" xr:uid="{DF0C6D86-655D-4D73-A44C-CBA84C0DAB9F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2018-11-23T13:00:49Z</dcterms:created>
  <dcterms:modified xsi:type="dcterms:W3CDTF">2025-06-23T07:15:20Z</dcterms:modified>
</cp:coreProperties>
</file>