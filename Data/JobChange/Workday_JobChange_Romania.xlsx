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46" name="Sheet1" state="visible" r:id="rId4"/>
    <sheet sheetId="47" name="Sheet2" state="visible" r:id="rId5"/>
  </sheets>
  <calcPr calcId="171027"/>
</workbook>
</file>

<file path=xl/sharedStrings.xml><?xml version="1.0" encoding="utf-8"?>
<sst xmlns="http://schemas.openxmlformats.org/spreadsheetml/2006/main" count="291" uniqueCount="85">
  <si>
    <t>Test_ID</t>
  </si>
  <si>
    <t>TestStatus</t>
  </si>
  <si>
    <t>Process</t>
  </si>
  <si>
    <t>Country</t>
  </si>
  <si>
    <t>GivenName</t>
  </si>
  <si>
    <t>FamilyName</t>
  </si>
  <si>
    <t>EmployeeID</t>
  </si>
  <si>
    <t>ChangeJob_Start_EffectiveDate</t>
  </si>
  <si>
    <t>ChangeJob_Start_Reason</t>
  </si>
  <si>
    <t>ChangeJob_Start_NewManager</t>
  </si>
  <si>
    <t>ChangeJob_Start_NewTeam</t>
  </si>
  <si>
    <t>ChangeJob_Start_NewLocation</t>
  </si>
  <si>
    <t>ChangeJob_Start_NextPayPeriod</t>
  </si>
  <si>
    <t>ChangeJob_JobProfile</t>
  </si>
  <si>
    <t>ChangeJob_JobProfile_JobTitle</t>
  </si>
  <si>
    <t>ChangeJob_LocationDetails_Location</t>
  </si>
  <si>
    <t>ChangeJob_LocationDetails_ScheduledWeeklyHours</t>
  </si>
  <si>
    <t>ChangeJob_LocationDetails_WorkShift</t>
  </si>
  <si>
    <t>ChangeJob_JobClassifications_AdditionalJobClassifications</t>
  </si>
  <si>
    <t>ChangeJob_JobClassifications_EmployeeType</t>
  </si>
  <si>
    <t>ChangeJob_JobClassifications_TimeType</t>
  </si>
  <si>
    <t>ChangeJob_JobClassifications_PayRateType</t>
  </si>
  <si>
    <t>ChangeJob_JobClassifications_DefaultWeeklyHours</t>
  </si>
  <si>
    <t>ChangeJob_JobClassifications_EndEmploymentDate</t>
  </si>
  <si>
    <t>ChangeJob_JobClassifications_AssignmentType</t>
  </si>
  <si>
    <t>ChangeJob_JobClassifications_FirstDayofWork</t>
  </si>
  <si>
    <t>ChangeJob_Company_CostCentre</t>
  </si>
  <si>
    <t>ChangeJob_Company_Department</t>
  </si>
  <si>
    <t>AddProbationPeriod_StartDate</t>
  </si>
  <si>
    <t>AddProbationPeriod_EndDate</t>
  </si>
  <si>
    <t>ProposeCompensationChange_Salary</t>
  </si>
  <si>
    <t>JobDetails_Position_JobDetailsPosition</t>
  </si>
  <si>
    <t>ContractAddendumInfo_TerminateAddendumEffectiveDate</t>
  </si>
  <si>
    <t>ContractAddendumInfo_AddendumEndDate</t>
  </si>
  <si>
    <t>ContractAddendumInfo_AddendumCreationDate</t>
  </si>
  <si>
    <t>Grade Profile</t>
  </si>
  <si>
    <t>Step</t>
  </si>
  <si>
    <t>Test_1</t>
  </si>
  <si>
    <t xml:space="preserve">Test failed for 'Xavier Bogan' Employee:{10699531}Error: locator.scrollIntoViewIfNeeded: Error: strict mode violation: locator('button:has-text(\'Promotion: Xavier Bogan\')').or(locator('button:has-text(\'Data Change: Xavier Bogan\')')) resolved to 2 elements:
    1) &lt;button tabindex="-1" class="css-8j9li4"&gt;…&lt;/button&gt; aka getByRole('button', { name: 'Promotion: Xavier Bogan (10699531)', exact: true })
    2) &lt;button tabindex="-1" class="css-8j9li4"&gt;…&lt;/button&gt; aka getByRole('button', { name: 'Edit Notice Periods for Promotion: Xavier Bogan (10699531) - Team Manager - Retail_NEW on 20/06/' })
Call log:
  [2m- waiting for locator('button:has-text(\'Promotion: Xavier Bogan\')').or(locator('button:has-text(\'Data Change: Xavier Bogan\')'))[22m
</t>
  </si>
  <si>
    <t>Promotion_Manager</t>
  </si>
  <si>
    <t>Romania</t>
  </si>
  <si>
    <t>Xavier</t>
  </si>
  <si>
    <t>Bogan</t>
  </si>
  <si>
    <t>10699531</t>
  </si>
  <si>
    <t>Promotion</t>
  </si>
  <si>
    <t>N/A</t>
  </si>
  <si>
    <t>880 Store Management (Suvug Rozery (10629083))</t>
  </si>
  <si>
    <t>Team Manager - Retail_NEW</t>
  </si>
  <si>
    <t>C - Regular labour contract (Romania Contract Types-Romania)@132235@DN - Daylight and Night hours (Romania Time Allocation-Romania)</t>
  </si>
  <si>
    <t>Permanent</t>
  </si>
  <si>
    <t>Full Time</t>
  </si>
  <si>
    <t>Auto 97371733</t>
  </si>
  <si>
    <t>Test_2</t>
  </si>
  <si>
    <t>Passed</t>
  </si>
  <si>
    <t>Demotion</t>
  </si>
  <si>
    <t>Jett</t>
  </si>
  <si>
    <t>Gusikowski</t>
  </si>
  <si>
    <t>10699532</t>
  </si>
  <si>
    <t>Step Back</t>
  </si>
  <si>
    <t>880 Recruitment (Vofur Hagovi (10551546))</t>
  </si>
  <si>
    <t>Retail Assistant_New</t>
  </si>
  <si>
    <t>94 Retail Operatives</t>
  </si>
  <si>
    <t>01 Accessories</t>
  </si>
  <si>
    <t>Test_3</t>
  </si>
  <si>
    <t>FullTime_PartTime</t>
  </si>
  <si>
    <t>Bridgette</t>
  </si>
  <si>
    <t>Aufderhar</t>
  </si>
  <si>
    <t>10699818</t>
  </si>
  <si>
    <t>Change of Hours, Employee Type, Time Type, End Employment Date</t>
  </si>
  <si>
    <t>Part Time</t>
  </si>
  <si>
    <t>Test_4</t>
  </si>
  <si>
    <t>FixedT_Permanent</t>
  </si>
  <si>
    <t>Sandra</t>
  </si>
  <si>
    <t>Willms</t>
  </si>
  <si>
    <t>10699814</t>
  </si>
  <si>
    <t>Test_5</t>
  </si>
  <si>
    <t>Permanent_FixedTerm</t>
  </si>
  <si>
    <t>Fixed Term (Fixed Term)</t>
  </si>
  <si>
    <t>No</t>
  </si>
  <si>
    <t>Test_6</t>
  </si>
  <si>
    <t>Test_7</t>
  </si>
  <si>
    <t>PartTime_FullTime</t>
  </si>
  <si>
    <t>5 Days</t>
  </si>
  <si>
    <t>Test_8</t>
  </si>
  <si>
    <t>Store Manager_NEW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</si>
</sst>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;@"/>
  </numFmts>
  <fonts count="7" x14ac:knownFonts="1">
    <font>
      <color theme="1"/>
      <family val="2"/>
      <scheme val="minor"/>
      <sz val="11"/>
      <name val="Calibri"/>
    </font>
    <font>
      <b/>
      <family val="3"/>
      <sz val="10"/>
      <name val="Consolas"/>
    </font>
    <font>
      <family val="2"/>
      <scheme val="minor"/>
      <sz val="11"/>
      <name val="Calibri"/>
    </font>
    <font>
      <color theme="1"/>
      <family val="2"/>
      <sz val="14"/>
      <name val="Arial"/>
    </font>
    <font>
      <color rgb="FFFF0000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800000"/>
      <family val="2"/>
      <scheme val="minor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FF00"/>
      </patternFill>
    </fill>
    <fill>
      <patternFill patternType="solid">
        <fgColor theme="3" tint="0.5999938962981048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1" xfId="0" applyFill="1" applyBorder="1" applyAlignment="1">
      <alignment horizontal="left"/>
    </xf>
    <xf numFmtId="0" fontId="0" fillId="4" borderId="0" xfId="0" applyFill="1"/>
    <xf numFmtId="0" fontId="2" fillId="5" borderId="2" xfId="0" applyFont="1" applyFill="1" applyBorder="1" applyAlignment="1">
      <alignment horizontal="left"/>
    </xf>
    <xf numFmtId="0" fontId="3" fillId="5" borderId="2" xfId="0" applyFont="1" applyFill="1" applyBorder="1"/>
    <xf numFmtId="49" fontId="0" fillId="0" borderId="0" xfId="0" applyNumberFormat="1" applyAlignment="1">
      <alignment horizontal="left" wrapText="1"/>
    </xf>
    <xf numFmtId="14" fontId="0" fillId="6" borderId="2" xfId="0" applyNumberFormat="1" applyFill="1" applyBorder="1" applyAlignment="1">
      <alignment horizontal="left"/>
    </xf>
    <xf numFmtId="0" fontId="0" fillId="6" borderId="2" xfId="0" applyFill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49" fontId="4" fillId="0" borderId="2" xfId="0" applyNumberFormat="1" applyFont="1" applyBorder="1"/>
    <xf numFmtId="0" fontId="5" fillId="0" borderId="2" xfId="0" applyFont="1" applyBorder="1" applyAlignment="1" applyProtection="1">
      <alignment horizontal="left"/>
      <protection locked="0"/>
    </xf>
    <xf numFmtId="0" fontId="0" fillId="7" borderId="2" xfId="0" applyFill="1" applyBorder="1" applyAlignment="1" applyProtection="1">
      <alignment horizontal="left"/>
      <protection locked="0"/>
    </xf>
    <xf numFmtId="0" fontId="0" fillId="0" borderId="2" xfId="0" applyBorder="1"/>
    <xf numFmtId="14" fontId="0" fillId="0" borderId="2" xfId="0" applyNumberFormat="1" applyBorder="1" applyAlignment="1" applyProtection="1">
      <alignment horizontal="left"/>
      <protection locked="0"/>
    </xf>
    <xf numFmtId="0" fontId="0" fillId="0" borderId="3" xfId="0" applyBorder="1"/>
    <xf numFmtId="0" fontId="0" fillId="8" borderId="0" xfId="0" applyFill="1" applyAlignment="1">
      <alignment horizontal="left"/>
    </xf>
    <xf numFmtId="0" fontId="3" fillId="0" borderId="2" xfId="0" applyFont="1" applyBorder="1" applyAlignment="1" applyProtection="1">
      <alignment horizontal="left"/>
      <protection locked="0"/>
    </xf>
    <xf numFmtId="0" fontId="0" fillId="0" borderId="1" xfId="0" applyBorder="1"/>
    <xf numFmtId="0" fontId="0" fillId="9" borderId="2" xfId="0" applyFill="1" applyBorder="1" applyAlignment="1" applyProtection="1">
      <alignment horizontal="left"/>
      <protection locked="0"/>
    </xf>
    <xf numFmtId="0" fontId="6" fillId="0" borderId="0" xfId="0" applyFont="1"/>
    <xf numFmtId="0" fontId="0" fillId="0" borderId="0" xfId="0" applyAlignment="1">
      <alignment wrapText="1"/>
    </xf>
    <xf numFmtId="0" fontId="0" fillId="6" borderId="0" xfId="0" applyFill="1" applyAlignment="1">
      <alignment horizontal="left"/>
    </xf>
    <xf numFmtId="49" fontId="2" fillId="0" borderId="2" xfId="0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164" fontId="0" fillId="0" borderId="2" xfId="0" applyNumberFormat="1" applyBorder="1" applyAlignment="1" applyProtection="1">
      <alignment horizontal="left"/>
      <protection locked="0"/>
    </xf>
    <xf numFmtId="14" fontId="0" fillId="0" borderId="0" xfId="0" applyNumberFormat="1"/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6.xml"/><Relationship Id="rId5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mailto:Employe@5%20-%20Jeudi" TargetMode="External"/></Relationships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"/>
  <sheetViews>
    <sheetView workbookViewId="0" zoomScale="110" zoomScaleNormal="110">
      <selection activeCell="E11" sqref="E11"/>
    </sheetView>
  </sheetViews>
  <sheetFormatPr defaultRowHeight="14.5" outlineLevelRow="0" outlineLevelCol="0" x14ac:dyDescent="0.35" customHeight="1"/>
  <cols>
    <col min="1" max="1" width="7.08984375" customWidth="1"/>
    <col min="2" max="2" width="10.81640625" customWidth="1"/>
    <col min="3" max="3" width="15.453125" customWidth="1"/>
    <col min="4" max="4" width="7.453125" customWidth="1"/>
    <col min="5" max="5" width="10.453125" style="1" customWidth="1"/>
    <col min="6" max="6" width="11.08984375" style="1" customWidth="1"/>
    <col min="7" max="7" width="10.81640625" customWidth="1"/>
    <col min="8" max="8" width="27.08984375" customWidth="1"/>
    <col min="9" max="9" width="22.08984375" customWidth="1"/>
    <col min="10" max="10" width="27.26953125" customWidth="1"/>
    <col min="11" max="11" width="24.36328125" customWidth="1"/>
    <col min="12" max="12" width="26.81640625" customWidth="1"/>
    <col min="13" max="13" width="28.1796875" customWidth="1"/>
    <col min="14" max="14" width="19.1796875" customWidth="1"/>
    <col min="15" max="15" width="26.7265625" customWidth="1"/>
    <col min="16" max="16" width="31.90625" customWidth="1"/>
    <col min="17" max="17" width="44.81640625" customWidth="1"/>
    <col min="18" max="18" width="33.1796875" customWidth="1"/>
    <col min="19" max="19" width="50.1796875" customWidth="1"/>
    <col min="20" max="20" width="39.08984375" customWidth="1"/>
    <col min="21" max="21" width="34.90625" customWidth="1"/>
    <col min="22" max="22" width="37.54296875" customWidth="1"/>
    <col min="23" max="23" width="44.1796875" customWidth="1"/>
    <col min="24" max="24" width="44.6328125" customWidth="1"/>
    <col min="25" max="25" width="40.54296875" customWidth="1"/>
    <col min="26" max="26" width="39.90625" customWidth="1"/>
    <col min="27" max="27" width="29.36328125" customWidth="1"/>
    <col min="28" max="28" width="30.26953125" customWidth="1"/>
    <col min="29" max="29" width="26.90625" customWidth="1"/>
    <col min="30" max="30" width="26.1796875" customWidth="1"/>
    <col min="31" max="31" width="32.36328125" customWidth="1"/>
    <col min="32" max="32" width="33.54296875" customWidth="1"/>
    <col min="33" max="33" width="51.26953125" customWidth="1"/>
    <col min="34" max="34" width="38.54296875" customWidth="1"/>
    <col min="35" max="37" width="42.54296875" customWidth="1"/>
    <col min="38" max="38" width="18.26953125" customWidth="1"/>
    <col min="39" max="39" width="18.08984375" customWidth="1"/>
  </cols>
  <sheetData>
    <row r="1" spans="1:37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4" t="s">
        <v>35</v>
      </c>
      <c r="AK1" s="4" t="s">
        <v>36</v>
      </c>
    </row>
    <row r="2" ht="17.5" customHeight="1" spans="1:38" x14ac:dyDescent="0.25">
      <c r="A2" t="s">
        <v>37</v>
      </c>
      <c r="B2" s="5" t="s">
        <v>38</v>
      </c>
      <c r="C2" t="s">
        <v>39</v>
      </c>
      <c r="D2" t="s">
        <v>40</v>
      </c>
      <c r="E2" s="6" t="s">
        <v>41</v>
      </c>
      <c r="F2" s="7" t="s">
        <v>42</v>
      </c>
      <c r="G2" s="8" t="s">
        <v>43</v>
      </c>
      <c r="H2" s="9">
        <v>45828</v>
      </c>
      <c r="I2" s="10" t="s">
        <v>44</v>
      </c>
      <c r="J2" s="11" t="s">
        <v>45</v>
      </c>
      <c r="K2" s="12" t="s">
        <v>46</v>
      </c>
      <c r="L2" s="11">
        <v>880</v>
      </c>
      <c r="M2" s="11" t="s">
        <v>45</v>
      </c>
      <c r="N2" s="10" t="s">
        <v>47</v>
      </c>
      <c r="O2" s="11" t="s">
        <v>45</v>
      </c>
      <c r="P2" s="11">
        <v>880</v>
      </c>
      <c r="Q2" s="10">
        <v>40</v>
      </c>
      <c r="R2" s="11">
        <v>5</v>
      </c>
      <c r="S2" s="13" t="s">
        <v>48</v>
      </c>
      <c r="T2" s="14" t="s">
        <v>49</v>
      </c>
      <c r="U2" s="15" t="s">
        <v>50</v>
      </c>
      <c r="V2" s="11" t="s">
        <v>45</v>
      </c>
      <c r="W2" s="11">
        <v>40</v>
      </c>
      <c r="X2" s="10" t="s">
        <v>45</v>
      </c>
      <c r="Y2" s="11" t="s">
        <v>45</v>
      </c>
      <c r="Z2" s="11" t="s">
        <v>45</v>
      </c>
      <c r="AA2" s="11">
        <v>92</v>
      </c>
      <c r="AB2" s="11">
        <v>251</v>
      </c>
      <c r="AC2" s="11" t="s">
        <v>45</v>
      </c>
      <c r="AD2" s="11" t="s">
        <v>45</v>
      </c>
      <c r="AE2" s="11" t="s">
        <v>45</v>
      </c>
      <c r="AF2" s="11" t="s">
        <v>51</v>
      </c>
      <c r="AG2" s="16">
        <f>H2</f>
        <v>45828</v>
      </c>
      <c r="AH2" s="16">
        <f>H2</f>
        <v>45828</v>
      </c>
      <c r="AI2" s="16">
        <f>H2-1</f>
        <v>45827</v>
      </c>
      <c r="AJ2" s="11" t="s">
        <v>45</v>
      </c>
      <c r="AK2" s="11" t="s">
        <v>45</v>
      </c>
      <c r="AL2" s="17"/>
    </row>
    <row r="3" ht="17.5" customHeight="1" spans="1:38" x14ac:dyDescent="0.25">
      <c r="A3" t="s">
        <v>52</v>
      </c>
      <c r="B3" t="s">
        <v>53</v>
      </c>
      <c r="C3" t="s">
        <v>54</v>
      </c>
      <c r="D3" t="s">
        <v>40</v>
      </c>
      <c r="E3" s="6" t="s">
        <v>55</v>
      </c>
      <c r="F3" s="7" t="s">
        <v>56</v>
      </c>
      <c r="G3" s="18" t="s">
        <v>57</v>
      </c>
      <c r="H3" s="9">
        <v>45828</v>
      </c>
      <c r="I3" s="10" t="s">
        <v>58</v>
      </c>
      <c r="J3" s="11" t="s">
        <v>45</v>
      </c>
      <c r="K3" s="12" t="s">
        <v>59</v>
      </c>
      <c r="L3" s="11">
        <v>880</v>
      </c>
      <c r="M3" s="11" t="s">
        <v>45</v>
      </c>
      <c r="N3" s="10" t="s">
        <v>60</v>
      </c>
      <c r="O3" s="11" t="s">
        <v>45</v>
      </c>
      <c r="P3" s="11">
        <v>880</v>
      </c>
      <c r="Q3" s="10">
        <v>40</v>
      </c>
      <c r="R3" s="11">
        <v>5</v>
      </c>
      <c r="S3" s="13" t="s">
        <v>48</v>
      </c>
      <c r="T3" s="14" t="s">
        <v>49</v>
      </c>
      <c r="U3" s="15" t="s">
        <v>50</v>
      </c>
      <c r="V3" s="11" t="s">
        <v>45</v>
      </c>
      <c r="W3" s="11">
        <v>40</v>
      </c>
      <c r="X3" s="10" t="s">
        <v>45</v>
      </c>
      <c r="Y3" s="11" t="s">
        <v>45</v>
      </c>
      <c r="Z3" s="11" t="s">
        <v>45</v>
      </c>
      <c r="AA3" s="19" t="s">
        <v>61</v>
      </c>
      <c r="AB3" s="19" t="s">
        <v>62</v>
      </c>
      <c r="AC3" s="11" t="s">
        <v>45</v>
      </c>
      <c r="AD3" s="11" t="s">
        <v>45</v>
      </c>
      <c r="AE3" s="11" t="s">
        <v>45</v>
      </c>
      <c r="AF3" s="11" t="s">
        <v>45</v>
      </c>
      <c r="AG3" s="16">
        <f>H3</f>
        <v>45828</v>
      </c>
      <c r="AH3" s="16">
        <f>H3</f>
        <v>45828</v>
      </c>
      <c r="AI3" s="16">
        <f>H3-1</f>
        <v>45827</v>
      </c>
      <c r="AJ3" s="11" t="s">
        <v>45</v>
      </c>
      <c r="AK3" s="11" t="s">
        <v>45</v>
      </c>
      <c r="AL3" s="20"/>
    </row>
    <row r="4" ht="17.5" customHeight="1" spans="1:38" x14ac:dyDescent="0.25">
      <c r="A4" t="s">
        <v>63</v>
      </c>
      <c r="B4" t="s">
        <v>53</v>
      </c>
      <c r="C4" t="s">
        <v>64</v>
      </c>
      <c r="D4" t="s">
        <v>40</v>
      </c>
      <c r="E4" s="6" t="s">
        <v>65</v>
      </c>
      <c r="F4" s="7" t="s">
        <v>66</v>
      </c>
      <c r="G4" s="8" t="s">
        <v>67</v>
      </c>
      <c r="H4" s="9">
        <v>45767</v>
      </c>
      <c r="I4" s="10" t="s">
        <v>68</v>
      </c>
      <c r="J4" s="11" t="s">
        <v>45</v>
      </c>
      <c r="K4" s="11" t="s">
        <v>45</v>
      </c>
      <c r="L4" s="11" t="s">
        <v>45</v>
      </c>
      <c r="M4" s="11" t="s">
        <v>45</v>
      </c>
      <c r="N4" s="10" t="s">
        <v>45</v>
      </c>
      <c r="O4" s="11" t="s">
        <v>45</v>
      </c>
      <c r="P4" s="11" t="s">
        <v>45</v>
      </c>
      <c r="Q4" s="10">
        <v>25</v>
      </c>
      <c r="R4" s="11">
        <v>5</v>
      </c>
      <c r="S4" s="11" t="s">
        <v>45</v>
      </c>
      <c r="T4" s="14" t="s">
        <v>49</v>
      </c>
      <c r="U4" s="15" t="s">
        <v>69</v>
      </c>
      <c r="V4" s="11" t="s">
        <v>45</v>
      </c>
      <c r="W4" s="11" t="s">
        <v>45</v>
      </c>
      <c r="X4" s="10" t="s">
        <v>45</v>
      </c>
      <c r="Y4" s="11" t="s">
        <v>45</v>
      </c>
      <c r="Z4" s="11" t="s">
        <v>45</v>
      </c>
      <c r="AA4" s="11" t="s">
        <v>45</v>
      </c>
      <c r="AB4" s="11" t="s">
        <v>45</v>
      </c>
      <c r="AC4" s="11" t="s">
        <v>45</v>
      </c>
      <c r="AD4" s="11" t="s">
        <v>45</v>
      </c>
      <c r="AE4" s="11" t="s">
        <v>45</v>
      </c>
      <c r="AF4" s="11" t="s">
        <v>45</v>
      </c>
      <c r="AG4" s="16">
        <f>H4</f>
        <v>45767</v>
      </c>
      <c r="AH4" s="16">
        <f>H4</f>
        <v>45767</v>
      </c>
      <c r="AI4" s="16">
        <f>H4-1</f>
        <v>45766</v>
      </c>
      <c r="AJ4" s="11" t="s">
        <v>45</v>
      </c>
      <c r="AK4" s="11" t="s">
        <v>45</v>
      </c>
      <c r="AL4" s="20"/>
    </row>
    <row r="5" ht="17.5" customHeight="1" spans="1:38" x14ac:dyDescent="0.25">
      <c r="A5" t="s">
        <v>70</v>
      </c>
      <c r="B5" t="s">
        <v>53</v>
      </c>
      <c r="C5" t="s">
        <v>71</v>
      </c>
      <c r="D5" t="s">
        <v>40</v>
      </c>
      <c r="E5" s="6" t="s">
        <v>72</v>
      </c>
      <c r="F5" s="7" t="s">
        <v>73</v>
      </c>
      <c r="G5" s="8" t="s">
        <v>74</v>
      </c>
      <c r="H5" s="9">
        <v>45828</v>
      </c>
      <c r="I5" s="10" t="s">
        <v>68</v>
      </c>
      <c r="J5" s="11" t="s">
        <v>45</v>
      </c>
      <c r="K5" s="11" t="s">
        <v>45</v>
      </c>
      <c r="L5" s="11" t="s">
        <v>45</v>
      </c>
      <c r="M5" s="11" t="s">
        <v>45</v>
      </c>
      <c r="N5" s="10" t="s">
        <v>45</v>
      </c>
      <c r="O5" s="11" t="s">
        <v>45</v>
      </c>
      <c r="P5" s="11" t="s">
        <v>45</v>
      </c>
      <c r="Q5" s="10" t="s">
        <v>45</v>
      </c>
      <c r="R5" s="11" t="s">
        <v>45</v>
      </c>
      <c r="S5" s="11" t="s">
        <v>45</v>
      </c>
      <c r="T5" s="14" t="s">
        <v>49</v>
      </c>
      <c r="U5" s="11" t="s">
        <v>45</v>
      </c>
      <c r="V5" s="11" t="s">
        <v>45</v>
      </c>
      <c r="W5" s="21" t="s">
        <v>45</v>
      </c>
      <c r="X5" s="10" t="s">
        <v>45</v>
      </c>
      <c r="Y5" s="11" t="s">
        <v>45</v>
      </c>
      <c r="Z5" s="11" t="s">
        <v>45</v>
      </c>
      <c r="AA5" s="11" t="s">
        <v>45</v>
      </c>
      <c r="AB5" s="11" t="s">
        <v>45</v>
      </c>
      <c r="AC5" s="11" t="s">
        <v>45</v>
      </c>
      <c r="AD5" s="11" t="s">
        <v>45</v>
      </c>
      <c r="AE5" s="11" t="s">
        <v>45</v>
      </c>
      <c r="AF5" s="11" t="s">
        <v>45</v>
      </c>
      <c r="AG5" s="16">
        <f>H5</f>
        <v>45828</v>
      </c>
      <c r="AH5" s="16">
        <f>H5</f>
        <v>45828</v>
      </c>
      <c r="AI5" s="16">
        <f>H5-1</f>
        <v>45827</v>
      </c>
      <c r="AJ5" s="11" t="s">
        <v>45</v>
      </c>
      <c r="AK5" s="11" t="s">
        <v>45</v>
      </c>
      <c r="AL5" s="22"/>
    </row>
    <row r="6" ht="17.5" customHeight="1" spans="1:38" x14ac:dyDescent="0.25">
      <c r="A6" t="s">
        <v>75</v>
      </c>
      <c r="B6" s="23"/>
      <c r="C6" t="s">
        <v>76</v>
      </c>
      <c r="D6" t="s">
        <v>40</v>
      </c>
      <c r="E6" s="6"/>
      <c r="F6" s="7"/>
      <c r="G6" s="24"/>
      <c r="H6" s="9">
        <v>45828</v>
      </c>
      <c r="I6" t="s">
        <v>68</v>
      </c>
      <c r="J6" t="s">
        <v>45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s="25" t="s">
        <v>77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78</v>
      </c>
      <c r="AG6" s="26">
        <f t="shared" ref="AG6:AG9" si="0">TODAY()</f>
        <v>45834</v>
      </c>
      <c r="AH6" s="26" t="s">
        <v>45</v>
      </c>
      <c r="AI6" s="27">
        <f t="shared" ref="AI6:AI9" si="1">TODAY()-8</f>
        <v>45826</v>
      </c>
      <c r="AJ6" s="11" t="s">
        <v>45</v>
      </c>
      <c r="AK6" s="11" t="s">
        <v>45</v>
      </c>
      <c r="AL6" s="22"/>
    </row>
    <row r="7" ht="17.5" customHeight="1" spans="1:38" x14ac:dyDescent="0.25">
      <c r="A7" t="s">
        <v>79</v>
      </c>
      <c r="B7" s="23" t="s">
        <v>53</v>
      </c>
      <c r="C7" t="s">
        <v>76</v>
      </c>
      <c r="D7" t="s">
        <v>40</v>
      </c>
      <c r="E7" s="6" t="s">
        <v>72</v>
      </c>
      <c r="F7" s="7" t="s">
        <v>73</v>
      </c>
      <c r="G7" s="8" t="s">
        <v>74</v>
      </c>
      <c r="H7" s="9">
        <v>45767</v>
      </c>
      <c r="I7" t="s">
        <v>68</v>
      </c>
      <c r="J7" t="s">
        <v>45</v>
      </c>
      <c r="K7" t="s">
        <v>45</v>
      </c>
      <c r="L7" t="s">
        <v>45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s="25" t="s">
        <v>77</v>
      </c>
      <c r="U7" t="s">
        <v>45</v>
      </c>
      <c r="V7" t="s">
        <v>45</v>
      </c>
      <c r="W7" t="s">
        <v>45</v>
      </c>
      <c r="X7" s="28">
        <f>H7+364</f>
        <v>46131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78</v>
      </c>
      <c r="AG7" s="26">
        <f t="shared" si="0"/>
        <v>45834</v>
      </c>
      <c r="AH7" s="26" t="s">
        <v>45</v>
      </c>
      <c r="AI7" s="27">
        <f t="shared" si="1"/>
        <v>45826</v>
      </c>
      <c r="AJ7" s="11" t="s">
        <v>45</v>
      </c>
      <c r="AK7" s="11" t="s">
        <v>45</v>
      </c>
      <c r="AL7" s="22"/>
    </row>
    <row r="8" ht="17.5" customHeight="1" spans="1:38" x14ac:dyDescent="0.25">
      <c r="A8" t="s">
        <v>80</v>
      </c>
      <c r="B8" s="23" t="s">
        <v>53</v>
      </c>
      <c r="C8" t="s">
        <v>81</v>
      </c>
      <c r="D8" t="s">
        <v>40</v>
      </c>
      <c r="E8" s="6" t="s">
        <v>65</v>
      </c>
      <c r="F8" s="7" t="s">
        <v>66</v>
      </c>
      <c r="G8" s="8" t="s">
        <v>67</v>
      </c>
      <c r="H8" s="9">
        <v>45828</v>
      </c>
      <c r="I8" t="s">
        <v>68</v>
      </c>
      <c r="J8" t="s">
        <v>45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  <c r="P8" t="s">
        <v>45</v>
      </c>
      <c r="Q8">
        <v>40</v>
      </c>
      <c r="R8" t="s">
        <v>82</v>
      </c>
      <c r="S8" t="s">
        <v>45</v>
      </c>
      <c r="T8" t="s">
        <v>45</v>
      </c>
      <c r="U8" t="s">
        <v>50</v>
      </c>
      <c r="V8" t="s">
        <v>45</v>
      </c>
      <c r="W8">
        <v>40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78</v>
      </c>
      <c r="AG8" s="26">
        <f t="shared" si="0"/>
        <v>45834</v>
      </c>
      <c r="AH8" s="26" t="s">
        <v>45</v>
      </c>
      <c r="AI8" s="27">
        <f t="shared" si="1"/>
        <v>45826</v>
      </c>
      <c r="AJ8" s="11" t="s">
        <v>45</v>
      </c>
      <c r="AK8" s="11" t="s">
        <v>45</v>
      </c>
      <c r="AL8" s="22"/>
    </row>
    <row r="9" ht="17.5" customHeight="1" spans="1:38" x14ac:dyDescent="0.25">
      <c r="A9" t="s">
        <v>83</v>
      </c>
      <c r="B9" s="23" t="s">
        <v>53</v>
      </c>
      <c r="C9" t="s">
        <v>44</v>
      </c>
      <c r="D9" t="s">
        <v>40</v>
      </c>
      <c r="E9" s="6" t="s">
        <v>41</v>
      </c>
      <c r="F9" s="7" t="s">
        <v>42</v>
      </c>
      <c r="G9" s="8" t="s">
        <v>43</v>
      </c>
      <c r="H9" s="9">
        <v>45864</v>
      </c>
      <c r="I9" t="s">
        <v>68</v>
      </c>
      <c r="J9" t="s">
        <v>45</v>
      </c>
      <c r="K9" t="s">
        <v>45</v>
      </c>
      <c r="L9" t="s">
        <v>45</v>
      </c>
      <c r="M9" t="s">
        <v>45</v>
      </c>
      <c r="N9" s="29" t="s">
        <v>84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78</v>
      </c>
      <c r="AG9" s="26">
        <f t="shared" si="0"/>
        <v>45834</v>
      </c>
      <c r="AH9" s="26" t="s">
        <v>45</v>
      </c>
      <c r="AI9" s="27">
        <f t="shared" si="1"/>
        <v>45826</v>
      </c>
      <c r="AJ9" s="11" t="s">
        <v>45</v>
      </c>
      <c r="AK9" s="11" t="s">
        <v>45</v>
      </c>
      <c r="AL9" s="22"/>
    </row>
  </sheetData>
  <dataValidations count="1">
    <dataValidation type="list" allowBlank="1" showInputMessage="1" showErrorMessage="1" sqref="AL1">
      <formula1>#REF!</formula1>
    </dataValidation>
  </dataValidations>
  <hyperlinks>
    <hyperlink ref="S3" r:id="rId1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D7"/>
  <sheetViews>
    <sheetView workbookViewId="0" zoomScale="100" zoomScaleNormal="100">
      <selection activeCell="G13" sqref="G13"/>
    </sheetView>
  </sheetViews>
  <sheetFormatPr defaultRowHeight="14.5" outlineLevelRow="0" outlineLevelCol="0" x14ac:dyDescent="0.35" customHeight="1"/>
  <sheetData>
    <row r="1" spans="4:4" x14ac:dyDescent="0.25">
      <c r="D1" t="s">
        <v>39</v>
      </c>
    </row>
    <row r="2" spans="4:4" x14ac:dyDescent="0.25">
      <c r="D2" s="17" t="s">
        <v>81</v>
      </c>
    </row>
    <row r="3" spans="4:4" x14ac:dyDescent="0.25">
      <c r="D3" s="20" t="s">
        <v>64</v>
      </c>
    </row>
    <row r="4" spans="4:4" x14ac:dyDescent="0.25">
      <c r="D4" s="20" t="s">
        <v>54</v>
      </c>
    </row>
    <row r="5" spans="4:4" x14ac:dyDescent="0.25">
      <c r="D5" s="22" t="s">
        <v>44</v>
      </c>
    </row>
    <row r="6" spans="4:4" x14ac:dyDescent="0.25">
      <c r="D6" s="22" t="s">
        <v>76</v>
      </c>
    </row>
    <row r="7" spans="4:4" x14ac:dyDescent="0.25">
      <c r="D7" s="22" t="s">
        <v>71</v>
      </c>
    </row>
  </sheetData>
  <dataValidations count="1">
    <dataValidation type="list" allowBlank="1" showInputMessage="1" showErrorMessage="1" sqref="D1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2018-11-23T13:00:49Z</dcterms:created>
  <dcterms:modified xsi:type="dcterms:W3CDTF">2025-06-26T06:01:24Z</dcterms:modified>
</cp:coreProperties>
</file>