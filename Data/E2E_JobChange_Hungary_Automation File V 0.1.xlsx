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updateLinks="never" defaultThemeVersion="124226"/>
  <mc:AlternateContent xmlns:mc="http://schemas.openxmlformats.org/markup-compatibility/2006">
    <mc:Choice Requires="x15">
      <x15ac:absPath xmlns:x15ac="http://schemas.microsoft.com/office/spreadsheetml/2010/11/ac" url="H:\WDplaywright_LatestCode\Data\"/>
    </mc:Choice>
  </mc:AlternateContent>
  <xr:revisionPtr revIDLastSave="0" documentId="13_ncr:1_{30D82452-E072-4B9D-82EF-A2B75293DE69}" xr6:coauthVersionLast="47" xr6:coauthVersionMax="47" xr10:uidLastSave="{00000000-0000-0000-0000-000000000000}"/>
  <bookViews>
    <workbookView xWindow="-110" yWindow="-110" windowWidth="19420" windowHeight="10420" tabRatio="404" firstSheet="1" activeTab="1" xr2:uid="{00000000-000D-0000-FFFF-FFFF00000000}"/>
  </bookViews>
  <sheets>
    <sheet name="Information" sheetId="42" r:id="rId1"/>
    <sheet name="Test_Data" sheetId="38" r:id="rId2"/>
    <sheet name="Mapping Table" sheetId="46" r:id="rId3"/>
    <sheet name="Sheet1" sheetId="45" state="hidden" r:id="rId4"/>
    <sheet name="Defects" sheetId="43" state="hidden" r:id="rId5"/>
    <sheet name="Automation_Lookups" sheetId="39" state="hidden" r:id="rId6"/>
    <sheet name="RC. No" sheetId="44" state="hidden" r:id="rId7"/>
    <sheet name="Code_11122019_1000" sheetId="40" state="hidden" r:id="rId8"/>
    <sheet name="Names" sheetId="41" state="hidden" r:id="rId9"/>
  </sheets>
  <definedNames>
    <definedName name="AddProbationPeriod_EndDate">Test_Data!$F$40</definedName>
    <definedName name="AddProbationPeriod_ProbationEndDate">Test_Data!#REF!</definedName>
    <definedName name="AddProbationPeriod_ProbationEndDate2">Automation_Lookups!$BB$2:$BB$4</definedName>
    <definedName name="AddProbationPeriod_StartDate">Test_Data!$F$39</definedName>
    <definedName name="AssignPayGroup_ProposedPayGroup" localSheetId="1">Test_Data!#REF!</definedName>
    <definedName name="AssignPayGroup_ProposedPayGroup">Automation_Lookups!$AH$2:$AH$20</definedName>
    <definedName name="AssignPayGroup_ProposedPayGroup2">Automation_Lookups!$AH$2</definedName>
    <definedName name="AssignPayGroup_ProposedPayGroupFinal">Test_Data!#REF!</definedName>
    <definedName name="Automation_Ref">Test_Data!$H$12:$K$12</definedName>
    <definedName name="AutomationComments">Test_Data!$F$9</definedName>
    <definedName name="ChangeJob_AssignCollectiveAgreement_CollectiveAgreement">Test_Data!$F$45</definedName>
    <definedName name="ChangeJob_AssignCollectiveAgreement_Level">Test_Data!$F$47</definedName>
    <definedName name="ChangeJob_AssignCollectiveAgreement_ProfessionalCategory">Test_Data!$F$46</definedName>
    <definedName name="ChangeJob_Company_CostCentre">Test_Data!$F$37</definedName>
    <definedName name="ChangeJob_Company_Department">Test_Data!$F$38</definedName>
    <definedName name="ChangeJob_ContractType">Test_Data!$F$33</definedName>
    <definedName name="ChangeJob_JobClassifications_AdditionalJobClassifications">Test_Data!$F$27</definedName>
    <definedName name="ChangeJob_JobClassifications_AssignmentType">Test_Data!$F$35</definedName>
    <definedName name="ChangeJob_JobClassifications_DefaultWeeklyHours">Test_Data!$F$31</definedName>
    <definedName name="ChangeJob_JobClassifications_EmployeeType">Test_Data!$F$28</definedName>
    <definedName name="ChangeJob_JobClassifications_EndEmploymentDate">Test_Data!$F$32</definedName>
    <definedName name="ChangeJob_JobClassifications_FirstDayofWork">Test_Data!$F$36</definedName>
    <definedName name="ChangeJob_JobClassifications_PayRateType">Test_Data!$F$30</definedName>
    <definedName name="ChangeJob_JobClassifications_TimeType">Test_Data!$F$29</definedName>
    <definedName name="ChangeJob_JobProfile_JobProfile">Test_Data!$F$22</definedName>
    <definedName name="ChangeJob_JobProfile_JobTitle">Test_Data!$F$23</definedName>
    <definedName name="ChangeJob_LocationDetails_Location">Test_Data!$F$24</definedName>
    <definedName name="ChangeJob_LocationDetails_ScheduledWeeklyHours">Test_Data!$F$25</definedName>
    <definedName name="ChangeJob_LocationDetails_WorkShift">Test_Data!$F$26</definedName>
    <definedName name="ChangeJob_LocationDetails_WorkShift2">Automation_Lookups!$I$2:$I$6</definedName>
    <definedName name="ChangeJob_Start_EffectiveDate">Test_Data!$F$16</definedName>
    <definedName name="ChangeJob_Start_NewLocation">Test_Data!$F$20</definedName>
    <definedName name="ChangeJob_Start_NewLocation2">Automation_Lookups!$G$2:$G$3</definedName>
    <definedName name="ChangeJob_Start_NewManager">Test_Data!$F$18</definedName>
    <definedName name="ChangeJob_Start_NewManager2">Automation_Lookups!$E$2:$E$3</definedName>
    <definedName name="ChangeJob_Start_NewTeam">Test_Data!$F$19</definedName>
    <definedName name="ChangeJob_Start_NewTeam2">Automation_Lookups!$F$2:$F$3</definedName>
    <definedName name="ChangeJob_Start_NextPayPeriod">Test_Data!$F$21</definedName>
    <definedName name="ChangeJob_Start_NextPayPeriod2">Automation_Lookups!$H$2:$H$3</definedName>
    <definedName name="ChangeJob_Start_NextPayPeriod22">Automation_Lookups!$I$2:$I$6</definedName>
    <definedName name="ChangeJob_Start_Reason">Test_Data!$F$17</definedName>
    <definedName name="ChangeJob_Start_Reason2">Automation_Lookups!$D$2:$D$3</definedName>
    <definedName name="ChangeMyEmergencyContacts_City">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PhoneDevice">Test_Data!#REF!</definedName>
    <definedName name="ChangeMyEmergencyContacts_PhoneDevice2">Automation_Lookups!$AX$2:$AX$3</definedName>
    <definedName name="ChangeMyEmergencyContacts_PhoneNumber">Test_Data!#REF!</definedName>
    <definedName name="ChangeMyEmergencyContacts_PostalCode">Test_Data!#REF!</definedName>
    <definedName name="ChangeMyEmergencyContacts_Relationship">Test_Data!#REF!</definedName>
    <definedName name="ChangeMyEmergencyContacts_Relationship2">Automation_Lookups!$AW$2:$AW$5</definedName>
    <definedName name="ChangeMyEmergencyContacts_StreetName">Test_Data!#REF!</definedName>
    <definedName name="ChangeMyGovernmentIDs_NationalIDs_AddEditID">Test_Data!#REF!</definedName>
    <definedName name="ChangeMyGovernmentIDs_NationalIDs_AddEditID1">Test_Data!#REF!</definedName>
    <definedName name="ChangeMyGovernmentIDs_NationalIDs_AddEditID2">Test_Data!#REF!</definedName>
    <definedName name="ChangeMyGovernmentIDs_NationalIDs_Country1">Test_Data!#REF!</definedName>
    <definedName name="ChangeMyGovernmentIDs_NationalIDs_Country2">Test_Data!#REF!</definedName>
    <definedName name="ChangeMyGovernmentIDs_NationalIDs_NationalIDType1">Test_Data!#REF!</definedName>
    <definedName name="ChangeMyGovernmentIDs_NationalIDs_NationalIDType12">Automation_Lookups!$BH$2</definedName>
    <definedName name="ChangeMyGovernmentIDs_NationalIDs_NationalIDType2" localSheetId="1">Test_Data!#REF!</definedName>
    <definedName name="ChangeMyGovernmentIDs_NationalIDs_NationalIDType22">Automation_Lookups!$BI$2</definedName>
    <definedName name="ChangeMyPersonalInformation_CitizenshipStatus">Test_Data!#REF!</definedName>
    <definedName name="ChangeMyPersonalInformation_CityOfBirth">Test_Data!#REF!</definedName>
    <definedName name="ChangeMyPersonalInformation_CountryTerritoryOfBirth">Test_Data!#REF!</definedName>
    <definedName name="ChangeMyPersonalInformation_DateOfBirth">Test_Data!#REF!</definedName>
    <definedName name="ChangeMyPersonalInformation_Gender">Test_Data!#REF!</definedName>
    <definedName name="ChangeMyPersonalInformation_MaritalStatus">Test_Data!#REF!</definedName>
    <definedName name="ChangeMyPersonalInformation_MaritalStatus2">Automation_Lookups!$AV$2:$AV$4</definedName>
    <definedName name="ChangeMyPersonalInformation_MaritalStatusDate">Test_Data!#REF!</definedName>
    <definedName name="ChangeMyPersonalInformation_PrimaryNationality">Test_Data!#REF!</definedName>
    <definedName name="ChangeMyPersonalInformation_RegionOfBirth">Test_Data!#REF!</definedName>
    <definedName name="ChangeOrganizationAssignments_CostCenter">Test_Data!#REF!</definedName>
    <definedName name="ChangeOrganizationAssignments_DepartmentSection">Test_Data!#REF!</definedName>
    <definedName name="ChangeOrganizationAssignments_DepartmentSection2">Automation_Lookups!$AG$2</definedName>
    <definedName name="ChangeOrganizationAssignments_Other_Organizations" localSheetId="1">Test_Data!#REF!</definedName>
    <definedName name="ChangeOrganizationAssignments_Other_Organizations">Automation_Lookups!$AG$2:$AG$20</definedName>
    <definedName name="ChangeOrganizationAssignments_Other_Organizations2">Automation_Lookups!$AG$2</definedName>
    <definedName name="ContactInformation_Address_City">Test_Data!$F$25</definedName>
    <definedName name="ContactInformation_Address_Country">Test_Data!$F$21</definedName>
    <definedName name="ContactInformation_Address_EffectiveDate">Test_Data!$F$20</definedName>
    <definedName name="ContactInformation_Address_HouseNumber">Test_Data!$F$23</definedName>
    <definedName name="ContactInformation_Address_NameOfStreet">Test_Data!$F$22</definedName>
    <definedName name="ContactInformation_Address_PostalCode">Test_Data!$F$24</definedName>
    <definedName name="ContactInformation_Address_Province">Test_Data!$F$26</definedName>
    <definedName name="ContactInformation_Address_Province2">Automation_Lookups!$BG$2</definedName>
    <definedName name="ContactInformation_Address_Type" localSheetId="1">Test_Data!$F$27</definedName>
    <definedName name="ContactInformation_Address_Type">Automation_Lookups!$V$2:$V$20</definedName>
    <definedName name="ContactInformation_Address_Type2">Automation_Lookups!$V$2:$V$3</definedName>
    <definedName name="ContactInformation_Address_UseFor">Test_Data!$F$28</definedName>
    <definedName name="ContactInformation_Email_EmailAddress">Test_Data!$F$29</definedName>
    <definedName name="ContactInformation_Email_Type" localSheetId="1">Test_Data!$F$30</definedName>
    <definedName name="ContactInformation_Email_Type">Automation_Lookups!$W$2:$W$20</definedName>
    <definedName name="ContactInformation_Email_Type2">Automation_Lookups!$W$2:$W$3</definedName>
    <definedName name="ContactInformation_Phone_CountryPhoneCode">Automation_Lookups!$S$2:$S$3</definedName>
    <definedName name="ContactInformation_Phone_CountryPhoneCode2">Automation_Lookups!$S$2:$S$3</definedName>
    <definedName name="ContactInformation_Phone_PhoneDevice" localSheetId="1">Test_Data!$F$18</definedName>
    <definedName name="ContactInformation_Phone_PhoneDevice">Automation_Lookups!$T$2:$T$20</definedName>
    <definedName name="ContactInformation_Phone_PhoneDevice2">Automation_Lookups!$T$2:$T$3</definedName>
    <definedName name="ContactInformation_Phone_PhoneNumber">Test_Data!$F$17</definedName>
    <definedName name="ContactInformation_Phone_Type" localSheetId="1">Test_Data!$F$19</definedName>
    <definedName name="ContactInformation_Phone_Type">Automation_Lookups!$U$2:$U$20</definedName>
    <definedName name="ContactInformation_Phone_Type2">Automation_Lookups!$U$2:$U$3</definedName>
    <definedName name="ContractAddendumInfo_AddendumCreationDate">Test_Data!$F$50</definedName>
    <definedName name="ContractAddendumInfo_AddendumEndDate">Test_Data!$F$49</definedName>
    <definedName name="ContractAddendumInfo_TerminateAddendumEffectiveDate">Test_Data!$F$48</definedName>
    <definedName name="ContractAddendumInfo_TerminateAddendumEffectiveDate2">Test_Data!$F$49:$F$50</definedName>
    <definedName name="Country">Test_Data!$F$5</definedName>
    <definedName name="Country2">Automation_Lookups!$C$2:$C$3</definedName>
    <definedName name="DefectDescription">Test_Data!$F$8</definedName>
    <definedName name="EditAdditionalData_EstadolIRPF">Test_Data!#REF!</definedName>
    <definedName name="EditAdditionalData_EstadolIRPF2">Automation_Lookups!$BJ$2</definedName>
    <definedName name="EditAdditionalData_HourlyRegime">Test_Data!$F$51</definedName>
    <definedName name="EditAdditionalData_MinusvaliaRH">Test_Data!#REF!</definedName>
    <definedName name="EditAdditionalData_MinusvaliaRH2">Automation_Lookups!$BK$2</definedName>
    <definedName name="EditAdditionalData_PayrollTaxDeduction">Automation_Lookups!$BC$2:$BC$20</definedName>
    <definedName name="EditPassportsandVisas_Country">Test_Data!#REF!</definedName>
    <definedName name="EditPassportsandVisas_ExpirationDate">Test_Data!#REF!</definedName>
    <definedName name="EditPassportsandVisas_IdentificationNo">Test_Data!#REF!</definedName>
    <definedName name="EditPassportsandVisas_IssuedDate">Test_Data!#REF!</definedName>
    <definedName name="EditPassportsandVisas_PassportIDType">Test_Data!#REF!</definedName>
    <definedName name="EditServiceDates_SeniorityDate">Test_Data!#REF!</definedName>
    <definedName name="Execution_Flag">Automation_Lookups!$B$2:$B$3</definedName>
    <definedName name="Execution_Status">Automation_Lookups!$A$2:$A$20</definedName>
    <definedName name="ExecutionFlag" localSheetId="1">Test_Data!$F$4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Automation_Lookups!$BD$2:$BD$3</definedName>
    <definedName name="JobDetails_AdditionalInformation_AdditionalJobClassifications">Test_Data!#REF!</definedName>
    <definedName name="JobDetails_AdditionalInformation_Comments">Test_Data!#REF!</definedName>
    <definedName name="JobDetails_AdditionalInformation_EndEmploymentDate">Test_Data!#REF!</definedName>
    <definedName name="JobDetails_AdditionalInformation_EndEmploymentDate2">Automation_Lookups!$AF$2:$AF$5</definedName>
    <definedName name="JobDetails_AdditionalInformation_ScheduledWeeklyHours">Test_Data!#REF!</definedName>
    <definedName name="JobDetails_AdditionalInformation_WorkShift" localSheetId="1">Test_Data!#REF!</definedName>
    <definedName name="JobDetails_AdditionalInformation_WorkShift">Automation_Lookups!$AE$2:$AE$20</definedName>
    <definedName name="JobDetails_AdditionalInformation_WorkShift2">Automation_Lookups!$AE$2:$AE$6</definedName>
    <definedName name="JobDetails_EmployeeType" localSheetId="1">Test_Data!$F$38</definedName>
    <definedName name="JobDetails_EmployeeType">Automation_Lookups!$AA$2:$AA$20</definedName>
    <definedName name="JobDetails_EmployeeType2">Automation_Lookups!$AA$2:$AA$5</definedName>
    <definedName name="JobDetails_HireDate">Test_Data!$F$31</definedName>
    <definedName name="JobDetails_HireDate2">Automation_Lookups!$X$2:$X$4</definedName>
    <definedName name="JobDetails_JobProfile" localSheetId="1">Test_Data!$F$39</definedName>
    <definedName name="JobDetails_JobProfile">Automation_Lookups!$AB$3:$AB$21</definedName>
    <definedName name="JobDetails_JobProfile2">Automation_Lookups!$AB$2:$AB$15</definedName>
    <definedName name="JobDetails_Location">Test_Data!#REF!</definedName>
    <definedName name="JobDetails_Location2">Automation_Lookups!$AD$2:$AD$3</definedName>
    <definedName name="JobDetails_Position">Test_Data!$F$37</definedName>
    <definedName name="JobDetails_Position2">Automation_Lookups!$Z$2:$Z$5</definedName>
    <definedName name="JobDetails_Reason" localSheetId="1">Test_Data!$F$32</definedName>
    <definedName name="JobDetails_Reason">Automation_Lookups!$Y$2:$Y$20</definedName>
    <definedName name="JobDetails_Reason2">Automation_Lookups!$Y$2</definedName>
    <definedName name="JobDetails_ScheduledWeeklyHours">Test_Data!#REF!</definedName>
    <definedName name="JobDetails_TimeType" localSheetId="1">Test_Data!$F$40</definedName>
    <definedName name="JobDetails_TimeType">Automation_Lookups!$AC$2:$AC$20</definedName>
    <definedName name="JobDetails_TimeType2">Automation_Lookups!$AC$2:$AC$3</definedName>
    <definedName name="LastRunEmployeeNo">Test_Data!#REF!</definedName>
    <definedName name="LastRunErrorMessage">Test_Data!$F$7</definedName>
    <definedName name="LastRunTimeandStatus">Test_Data!$F$6</definedName>
    <definedName name="LegalNameInformation_Country" localSheetId="1">Test_Data!#REF!</definedName>
    <definedName name="LegalNameInformation_Country">Automation_Lookups!$R$2:$R$3</definedName>
    <definedName name="LegalNameInformation_Country2">Automation_Lookups!$R$2:$R$3</definedName>
    <definedName name="LegalNameInformation_FamilyName">Test_Data!#REF!</definedName>
    <definedName name="LegalNameInformation_FirstLastName">Test_Data!#REF!</definedName>
    <definedName name="LegalNameInformation_GivenName">Test_Data!$F$15</definedName>
    <definedName name="LegalNameInformation_SecondLastName">Test_Data!$F$16</definedName>
    <definedName name="Login_Password">Test_Data!$F$14</definedName>
    <definedName name="Login_Username">Test_Data!$F$13</definedName>
    <definedName name="Login_Username2">Test_Data!$F$14:$F$40</definedName>
    <definedName name="MaintainEmployeeContract_ContractEndDate">Test_Data!$F$34</definedName>
    <definedName name="MaintainEmployeeContract_ContractEndDate2">Automation_Lookups!$AN$2:$AN$5</definedName>
    <definedName name="MaintainEmployeeContract_ContractStartDate">Test_Data!#REF!</definedName>
    <definedName name="MaintainEmployeeContract_ContractType" localSheetId="1">Test_Data!#REF!</definedName>
    <definedName name="MaintainEmployeeContract_ContractType">Automation_Lookups!$AM$2:$AM$21</definedName>
    <definedName name="MaintainEmployeeContract_ContractType2">Automation_Lookups!$AM$2:$AM$4</definedName>
    <definedName name="MaintainEmployeeContract_EndContractDate">Test_Data!$F$34</definedName>
    <definedName name="MaintainEmployeeContract_Reason">Automation_Lookups!$AK$2:$AK$20</definedName>
    <definedName name="MaintainEmployeeContract_Reason2">Automation_Lookups!$AK$2:$AK$5</definedName>
    <definedName name="MaintainEmployeeContract_Status" localSheetId="1">Test_Data!#REF!</definedName>
    <definedName name="MaintainEmployeeContract_Status">Automation_Lookups!$AL$2:$AL$20</definedName>
    <definedName name="MaintainEmployeeContract_Status2">Automation_Lookups!$AL$2:$AL$6</definedName>
    <definedName name="Order_Buyer">Test_Data!#REF!</definedName>
    <definedName name="Order_BuyingOfficeZone">Test_Data!$H$13:$K$13</definedName>
    <definedName name="Order_Department">Test_Data!$H$14:$K$14</definedName>
    <definedName name="Order_Vendor">Test_Data!#REF!</definedName>
    <definedName name="PaymentElectionOption_AccountType">Test_Data!#REF!</definedName>
    <definedName name="PaymentElectionOption_AccountType2">Automation_Lookups!$AZ$2:$AZ$3</definedName>
    <definedName name="PaymentElectionOption_AccountType22">Automation_Lookups!$BA$2:$BA$3</definedName>
    <definedName name="PaymentElectionOption_BankCode">Test_Data!#REF!</definedName>
    <definedName name="PaymentElectionOption_IBAN">Test_Data!#REF!</definedName>
    <definedName name="Please_select_a_Spanish_Pay_Group">Automation_Lookups!$AH$3</definedName>
    <definedName name="PO_No">Test_Data!$H$3:$K$3</definedName>
    <definedName name="Poland">Automation_Lookups!$S$2</definedName>
    <definedName name="Process" localSheetId="1">Test_Data!$F$3</definedName>
    <definedName name="Process">Automation_Lookups!$A$2</definedName>
    <definedName name="Process2">Automation_Lookups!$A$2:$A$3</definedName>
    <definedName name="ProposeCompensationChange_Salary">Test_Data!$F$41</definedName>
    <definedName name="ProposeCompensationHire_GradeProfile" localSheetId="1">Test_Data!$F$42</definedName>
    <definedName name="ProposeCompensationHire_GradeProfile">Automation_Lookups!$BD$2:$BD$20</definedName>
    <definedName name="ProposeCompensationHire_GradeProfile2" localSheetId="1">Test_Data!$F$43:$F$47</definedName>
    <definedName name="ProposeCompensationHire_GradeProfile2">Automation_Lookups!$AO$2</definedName>
    <definedName name="ProposeCompensationHire_Salary">Test_Data!#REF!</definedName>
    <definedName name="ProposeCompensationHire_Step" localSheetId="1">Test_Data!$F$43</definedName>
    <definedName name="ProposeCompensationHire_Step">Automation_Lookups!$BE$2:$BE$21</definedName>
    <definedName name="ProposeCompensationHire_Step2">Automation_Lookups!$AP$2</definedName>
    <definedName name="Proxy_EmployeeFullTitle">Test_Data!#REF!</definedName>
    <definedName name="Proxy_EmployeeID">Test_Data!$F$15</definedName>
    <definedName name="Proxy_OnBehalfOf" localSheetId="1">Test_Data!#REF!</definedName>
    <definedName name="Proxy_OnBehalfOf">Automation_Lookups!$AJ$2:$AJ$20</definedName>
    <definedName name="Proxy_OnBehalfOf2">Automation_Lookups!$AJ$2:$AJ$3</definedName>
    <definedName name="Proxy_PCManagerFullTitle">Test_Data!#REF!</definedName>
    <definedName name="Proxy_PCManagerID">Test_Data!#REF!</definedName>
    <definedName name="Proxy_ProxyNumber" localSheetId="1">Test_Data!#REF!</definedName>
    <definedName name="Proxy_ProxyNumber">Automation_Lookups!$AI$2:$AI$20</definedName>
    <definedName name="Proxy_ProxyNumber2">Automation_Lookups!$AI$2:$AI$3</definedName>
    <definedName name="QAComments">Test_Data!$F$10</definedName>
    <definedName name="SkillsAndExperience_AddEducation_School">Test_Data!#REF!</definedName>
    <definedName name="SkillsAndExperience_AddEducation_School2">Automation_Lookups!$BA$2:$BA$3</definedName>
    <definedName name="SupervisoryOrganisation_SupervisoryOrganisation" localSheetId="1">Test_Data!#REF!</definedName>
    <definedName name="SupervisoryOrganisation_SupervisoryOrganisation">Automation_Lookups!$Q$2:$Q$2</definedName>
    <definedName name="SupervisoryOrganisation_SupervisoryOrganisation2">Automation_Lookups!$Q$2:$Q$5</definedName>
    <definedName name="Test_1">Test_Data!$H$2:$H$1048576</definedName>
    <definedName name="Test_10">Test_Data!$Q$2:$Q$1048576</definedName>
    <definedName name="Test_11">Test_Data!#REF!</definedName>
    <definedName name="Test_12">Test_Data!#REF!</definedName>
    <definedName name="Test_13">Test_Data!$R$2:$R$1048576</definedName>
    <definedName name="Test_14">Test_Data!$S$2:$S$1048576</definedName>
    <definedName name="Test_15">Test_Data!#REF!</definedName>
    <definedName name="Test_16">Test_Data!$T$2:$T$1048576</definedName>
    <definedName name="Test_17">Test_Data!$U$2:$U$1048576</definedName>
    <definedName name="Test_18">Test_Data!#REF!</definedName>
    <definedName name="Test_19">Test_Data!#REF!</definedName>
    <definedName name="Test_2">Test_Data!$I$2:$I$1048576</definedName>
    <definedName name="Test_20">Test_Data!#REF!</definedName>
    <definedName name="Test_21">Test_Data!#REF!</definedName>
    <definedName name="Test_22">Test_Data!#REF!</definedName>
    <definedName name="Test_23">Test_Data!#REF!</definedName>
    <definedName name="Test_24">Test_Data!#REF!</definedName>
    <definedName name="Test_25">Test_Data!#REF!</definedName>
    <definedName name="Test_26">Test_Data!#REF!</definedName>
    <definedName name="Test_27">Test_Data!#REF!</definedName>
    <definedName name="Test_28">Test_Data!#REF!</definedName>
    <definedName name="Test_29">Test_Data!#REF!</definedName>
    <definedName name="Test_3">Test_Data!$J$2:$J$1048576</definedName>
    <definedName name="Test_30">Test_Data!#REF!</definedName>
    <definedName name="Test_4">Test_Data!$K$2:$K$1048576</definedName>
    <definedName name="Test_5">Test_Data!$L$2:$L$1048576</definedName>
    <definedName name="Test_6">Test_Data!$M$2:$M$1048576</definedName>
    <definedName name="Test_7">Test_Data!$N$2:$N$1048576</definedName>
    <definedName name="Test_8">Test_Data!$O$2:$O$1048576</definedName>
    <definedName name="Test_9">Test_Data!$P$2:$P$1048576</definedName>
    <definedName name="Test_ID">Test_Data!$F$1</definedName>
    <definedName name="Version_Number">Test_Data!$B$3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38" l="1"/>
  <c r="F33" i="38" s="1"/>
  <c r="E34" i="38" l="1"/>
  <c r="F34" i="38" s="1"/>
  <c r="E42" i="38" l="1"/>
  <c r="F42" i="38" s="1"/>
  <c r="E43" i="38"/>
  <c r="A33" i="40" s="1"/>
  <c r="G33" i="40" l="1"/>
  <c r="H33" i="40"/>
  <c r="B33" i="40"/>
  <c r="C33" i="40" s="1"/>
  <c r="D33" i="40"/>
  <c r="F33" i="40"/>
  <c r="F43" i="38"/>
  <c r="A32" i="40"/>
  <c r="B32" i="40" s="1"/>
  <c r="C32" i="40" s="1"/>
  <c r="E22" i="38"/>
  <c r="F22" i="38" s="1"/>
  <c r="E41" i="38"/>
  <c r="F41" i="38" s="1"/>
  <c r="H32" i="40" l="1"/>
  <c r="D32" i="40"/>
  <c r="G32" i="40"/>
  <c r="F32" i="40"/>
  <c r="A9" i="40"/>
  <c r="A10" i="40"/>
  <c r="E36" i="38"/>
  <c r="E35" i="38"/>
  <c r="F35" i="38" s="1"/>
  <c r="F36" i="38" l="1"/>
  <c r="A31" i="40"/>
  <c r="A30" i="40"/>
  <c r="E5" i="38"/>
  <c r="F5" i="38" s="1"/>
  <c r="A4" i="40" l="1"/>
  <c r="B4" i="40" s="1"/>
  <c r="C4" i="40" s="1"/>
  <c r="H4" i="40" l="1"/>
  <c r="D4" i="40"/>
  <c r="F4" i="40"/>
  <c r="G4" i="40"/>
  <c r="E1" i="38"/>
  <c r="F1" i="38" s="1"/>
  <c r="E13" i="38" l="1"/>
  <c r="A7" i="40" s="1"/>
  <c r="E14" i="38"/>
  <c r="A8" i="40" s="1"/>
  <c r="E15" i="38"/>
  <c r="A11" i="40" s="1"/>
  <c r="A12" i="40"/>
  <c r="E16" i="38"/>
  <c r="E17" i="38"/>
  <c r="A14" i="40" s="1"/>
  <c r="E18" i="38"/>
  <c r="A15" i="40" s="1"/>
  <c r="E19" i="38"/>
  <c r="A16" i="40" s="1"/>
  <c r="E20" i="38"/>
  <c r="A17" i="40" s="1"/>
  <c r="E21" i="38"/>
  <c r="A18" i="40" s="1"/>
  <c r="A19" i="40"/>
  <c r="E23" i="38"/>
  <c r="E24" i="38"/>
  <c r="E25" i="38"/>
  <c r="A22" i="40" s="1"/>
  <c r="E26" i="38"/>
  <c r="E27" i="38"/>
  <c r="A24" i="40" s="1"/>
  <c r="E28" i="38"/>
  <c r="E29" i="38"/>
  <c r="A26" i="40" s="1"/>
  <c r="E30" i="38"/>
  <c r="A27" i="40" s="1"/>
  <c r="E31" i="38"/>
  <c r="A28" i="40" s="1"/>
  <c r="E32" i="38"/>
  <c r="A29" i="40" s="1"/>
  <c r="E37" i="38"/>
  <c r="E38" i="38"/>
  <c r="E39" i="38"/>
  <c r="E40" i="38"/>
  <c r="F26" i="38" l="1"/>
  <c r="A23" i="40"/>
  <c r="H19" i="40"/>
  <c r="B19" i="40"/>
  <c r="C19" i="40" s="1"/>
  <c r="G19" i="40"/>
  <c r="F19" i="40"/>
  <c r="D19" i="40"/>
  <c r="H11" i="40"/>
  <c r="G11" i="40"/>
  <c r="D11" i="40"/>
  <c r="F11" i="40"/>
  <c r="B11" i="40"/>
  <c r="C11" i="40" s="1"/>
  <c r="F28" i="38"/>
  <c r="A25" i="40"/>
  <c r="F24" i="38"/>
  <c r="A21" i="40"/>
  <c r="B18" i="40"/>
  <c r="C18" i="40" s="1"/>
  <c r="D18" i="40"/>
  <c r="G18" i="40"/>
  <c r="H18" i="40"/>
  <c r="F18" i="40"/>
  <c r="F23" i="38"/>
  <c r="A20" i="40"/>
  <c r="F16" i="38"/>
  <c r="A13" i="40"/>
  <c r="F39" i="38"/>
  <c r="F37" i="38"/>
  <c r="F29" i="38"/>
  <c r="F25" i="38"/>
  <c r="F21" i="38"/>
  <c r="F17" i="38"/>
  <c r="F32" i="38"/>
  <c r="F20" i="38"/>
  <c r="F40" i="38"/>
  <c r="F31" i="38"/>
  <c r="F27" i="38"/>
  <c r="F19" i="38"/>
  <c r="F38" i="38"/>
  <c r="F30" i="38"/>
  <c r="F18" i="38"/>
  <c r="F15" i="38"/>
  <c r="F14" i="38"/>
  <c r="F13" i="38"/>
  <c r="E9" i="38"/>
  <c r="B21" i="40" l="1"/>
  <c r="C21" i="40" s="1"/>
  <c r="D21" i="40"/>
  <c r="H21" i="40"/>
  <c r="G21" i="40"/>
  <c r="F21" i="40"/>
  <c r="H23" i="40"/>
  <c r="D23" i="40"/>
  <c r="B23" i="40"/>
  <c r="C23" i="40" s="1"/>
  <c r="G23" i="40"/>
  <c r="F23" i="40"/>
  <c r="B9" i="40"/>
  <c r="C9" i="40" s="1"/>
  <c r="H9" i="40"/>
  <c r="D9" i="40"/>
  <c r="G9" i="40"/>
  <c r="F9" i="40"/>
  <c r="B17" i="40"/>
  <c r="C17" i="40" s="1"/>
  <c r="D17" i="40"/>
  <c r="F17" i="40"/>
  <c r="H17" i="40"/>
  <c r="G17" i="40"/>
  <c r="B29" i="40"/>
  <c r="C29" i="40" s="1"/>
  <c r="F29" i="40"/>
  <c r="H29" i="40"/>
  <c r="G29" i="40"/>
  <c r="D29" i="40"/>
  <c r="B14" i="40"/>
  <c r="C14" i="40" s="1"/>
  <c r="F14" i="40"/>
  <c r="D14" i="40"/>
  <c r="H14" i="40"/>
  <c r="G14" i="40"/>
  <c r="B26" i="40"/>
  <c r="C26" i="40" s="1"/>
  <c r="F26" i="40"/>
  <c r="D26" i="40"/>
  <c r="H26" i="40"/>
  <c r="G26" i="40"/>
  <c r="H7" i="40"/>
  <c r="G7" i="40"/>
  <c r="B7" i="40"/>
  <c r="C7" i="40" s="1"/>
  <c r="F7" i="40"/>
  <c r="D7" i="40"/>
  <c r="H27" i="40"/>
  <c r="G27" i="40"/>
  <c r="B27" i="40"/>
  <c r="C27" i="40" s="1"/>
  <c r="D27" i="40"/>
  <c r="F27" i="40"/>
  <c r="B12" i="40"/>
  <c r="C12" i="40" s="1"/>
  <c r="G12" i="40"/>
  <c r="D12" i="40"/>
  <c r="F12" i="40"/>
  <c r="H12" i="40"/>
  <c r="B20" i="40"/>
  <c r="C20" i="40" s="1"/>
  <c r="G20" i="40"/>
  <c r="D20" i="40"/>
  <c r="H20" i="40"/>
  <c r="F20" i="40"/>
  <c r="B28" i="40"/>
  <c r="C28" i="40" s="1"/>
  <c r="G28" i="40"/>
  <c r="D28" i="40"/>
  <c r="F28" i="40"/>
  <c r="H28" i="40"/>
  <c r="B13" i="40"/>
  <c r="C13" i="40" s="1"/>
  <c r="F13" i="40"/>
  <c r="H13" i="40"/>
  <c r="G13" i="40"/>
  <c r="D13" i="40"/>
  <c r="B25" i="40"/>
  <c r="C25" i="40" s="1"/>
  <c r="F25" i="40"/>
  <c r="H25" i="40"/>
  <c r="G25" i="40"/>
  <c r="D25" i="40"/>
  <c r="B10" i="40"/>
  <c r="C10" i="40" s="1"/>
  <c r="F10" i="40"/>
  <c r="D10" i="40"/>
  <c r="H10" i="40"/>
  <c r="G10" i="40"/>
  <c r="B22" i="40"/>
  <c r="C22" i="40" s="1"/>
  <c r="H22" i="40"/>
  <c r="F22" i="40"/>
  <c r="D22" i="40"/>
  <c r="G22" i="40"/>
  <c r="H31" i="40"/>
  <c r="B31" i="40"/>
  <c r="C31" i="40" s="1"/>
  <c r="D31" i="40"/>
  <c r="G31" i="40"/>
  <c r="F31" i="40"/>
  <c r="H15" i="40"/>
  <c r="B15" i="40"/>
  <c r="C15" i="40" s="1"/>
  <c r="D15" i="40"/>
  <c r="G15" i="40"/>
  <c r="F15" i="40"/>
  <c r="B8" i="40"/>
  <c r="C8" i="40" s="1"/>
  <c r="G8" i="40"/>
  <c r="D8" i="40"/>
  <c r="F8" i="40"/>
  <c r="H8" i="40"/>
  <c r="B16" i="40"/>
  <c r="C16" i="40" s="1"/>
  <c r="G16" i="40"/>
  <c r="D16" i="40"/>
  <c r="F16" i="40"/>
  <c r="H16" i="40"/>
  <c r="B24" i="40"/>
  <c r="C24" i="40" s="1"/>
  <c r="G24" i="40"/>
  <c r="D24" i="40"/>
  <c r="F24" i="40"/>
  <c r="H24" i="40"/>
  <c r="B30" i="40"/>
  <c r="C30" i="40" s="1"/>
  <c r="F30" i="40"/>
  <c r="D30" i="40"/>
  <c r="H30" i="40"/>
  <c r="G30" i="40"/>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B2" i="38"/>
  <c r="G16" i="44" l="1"/>
  <c r="C17" i="44"/>
  <c r="F15" i="44"/>
  <c r="H16" i="44"/>
  <c r="D17" i="44"/>
  <c r="H17" i="44" l="1"/>
  <c r="D18" i="44"/>
  <c r="F16" i="44"/>
  <c r="C18" i="44"/>
  <c r="G17" i="44"/>
  <c r="C19" i="44" l="1"/>
  <c r="G18" i="44"/>
  <c r="F17" i="44"/>
  <c r="D19" i="44"/>
  <c r="H18" i="44"/>
  <c r="D20" i="44" l="1"/>
  <c r="H19" i="44"/>
  <c r="F18" i="44"/>
  <c r="C20" i="44"/>
  <c r="G19" i="44"/>
  <c r="C21" i="44" l="1"/>
  <c r="G20" i="44"/>
  <c r="F19" i="44"/>
  <c r="H20" i="44"/>
  <c r="D21" i="44"/>
  <c r="C22" i="44" l="1"/>
  <c r="G21" i="44"/>
  <c r="H21" i="44"/>
  <c r="D22" i="44"/>
  <c r="F20" i="44"/>
  <c r="C23" i="44" l="1"/>
  <c r="G22" i="44"/>
  <c r="F21" i="44"/>
  <c r="D23" i="44"/>
  <c r="H22" i="44"/>
  <c r="C24" i="44" l="1"/>
  <c r="G23" i="44"/>
  <c r="D24" i="44"/>
  <c r="H23" i="44"/>
  <c r="F22" i="44"/>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E10" i="38"/>
  <c r="E8" i="38"/>
  <c r="F27" i="44" l="1"/>
  <c r="F28" i="44"/>
  <c r="F8" i="38"/>
  <c r="F9" i="38"/>
  <c r="F10" i="38"/>
  <c r="BB3" i="39" l="1"/>
  <c r="BB2" i="39"/>
  <c r="AN4" i="39"/>
  <c r="AN3" i="39"/>
  <c r="AN2" i="39"/>
  <c r="AF4" i="39"/>
  <c r="AF3" i="39"/>
  <c r="AF2" i="39"/>
  <c r="X4" i="39"/>
  <c r="X3" i="39"/>
  <c r="X2" i="39"/>
  <c r="E4" i="38" l="1"/>
  <c r="A3" i="40" s="1"/>
  <c r="E6" i="38"/>
  <c r="A5" i="40" s="1"/>
  <c r="E7" i="38"/>
  <c r="A6" i="40" s="1"/>
  <c r="E3" i="38"/>
  <c r="B6" i="40" l="1"/>
  <c r="C6" i="40" s="1"/>
  <c r="F6" i="40"/>
  <c r="H6" i="40"/>
  <c r="G6" i="40"/>
  <c r="D6" i="40"/>
  <c r="H5" i="40"/>
  <c r="B5" i="40"/>
  <c r="C5" i="40" s="1"/>
  <c r="G5" i="40"/>
  <c r="D5" i="40"/>
  <c r="F5" i="40"/>
  <c r="B3" i="40"/>
  <c r="C3" i="40" s="1"/>
  <c r="H3" i="40"/>
  <c r="F3" i="40"/>
  <c r="D3" i="40"/>
  <c r="G3" i="40"/>
  <c r="A2" i="40"/>
  <c r="B2" i="40" s="1"/>
  <c r="C2" i="40" s="1"/>
  <c r="F3" i="38"/>
  <c r="F7" i="38"/>
  <c r="F6" i="38"/>
  <c r="F4" i="38"/>
  <c r="G2" i="40" l="1"/>
  <c r="H2" i="40"/>
  <c r="D2" i="40"/>
  <c r="E2" i="40" s="1"/>
  <c r="E3" i="40" s="1"/>
  <c r="E4" i="40" s="1"/>
  <c r="E5" i="40" s="1"/>
  <c r="E6" i="40" s="1"/>
  <c r="E7" i="40" s="1"/>
  <c r="E8" i="40" s="1"/>
  <c r="E9" i="40" s="1"/>
  <c r="E10" i="40" s="1"/>
  <c r="E11" i="40" s="1"/>
  <c r="E12" i="40" s="1"/>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F2" i="40"/>
</calcChain>
</file>

<file path=xl/sharedStrings.xml><?xml version="1.0" encoding="utf-8"?>
<sst xmlns="http://schemas.openxmlformats.org/spreadsheetml/2006/main" count="1519" uniqueCount="876">
  <si>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</si>
  <si>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</si>
  <si>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</si>
  <si>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</si>
  <si>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</si>
  <si>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</si>
  <si>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</si>
  <si>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</si>
  <si>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</si>
  <si>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</si>
  <si>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</si>
  <si>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</si>
  <si>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</si>
  <si>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</si>
  <si>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</si>
  <si>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</si>
  <si>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</si>
  <si>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</si>
  <si>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</si>
  <si>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Notes</t>
  </si>
  <si>
    <t>Test_1</t>
  </si>
  <si>
    <t>Test_2</t>
  </si>
  <si>
    <t>Test_3</t>
  </si>
  <si>
    <t>Test_4</t>
  </si>
  <si>
    <t>Test_5</t>
  </si>
  <si>
    <t>Test_6</t>
  </si>
  <si>
    <t>Test_7</t>
  </si>
  <si>
    <t>Test_8</t>
  </si>
  <si>
    <t>Test_9</t>
  </si>
  <si>
    <t>Test_10</t>
  </si>
  <si>
    <t>Test_11</t>
  </si>
  <si>
    <t>Test_12</t>
  </si>
  <si>
    <t>Test_13</t>
  </si>
  <si>
    <t>Test_14</t>
  </si>
  <si>
    <t>Test_27</t>
  </si>
  <si>
    <t>Test_28</t>
  </si>
  <si>
    <t>Reporting_ID</t>
  </si>
  <si>
    <t>Process</t>
  </si>
  <si>
    <t>If a manager hire and new role is required then select "New Role and New Hire" otherwise select "New Hire</t>
  </si>
  <si>
    <t>FullTime_To_PartTime</t>
  </si>
  <si>
    <t>PartTime_To_FullTime</t>
  </si>
  <si>
    <t>Permanent</t>
  </si>
  <si>
    <t>Promotion_To_Manager</t>
  </si>
  <si>
    <t>Demotion</t>
  </si>
  <si>
    <t>Execution Flag</t>
  </si>
  <si>
    <t>If set to No will not execute in next automation run</t>
  </si>
  <si>
    <t>Yes</t>
  </si>
  <si>
    <t>No</t>
  </si>
  <si>
    <t>Country</t>
  </si>
  <si>
    <t>Hungary</t>
  </si>
  <si>
    <t>Last Run Time and Status</t>
  </si>
  <si>
    <t>Once test is executed the Execution Timestamp and Pass/Fail status will be recorded here</t>
  </si>
  <si>
    <t>Portugal-Fixed_To_Permanent</t>
  </si>
  <si>
    <t>Last Run Error Message</t>
  </si>
  <si>
    <t>If Automation throws errors, the details will be placed here</t>
  </si>
  <si>
    <t>Defect Description</t>
  </si>
  <si>
    <t>After error investigation by the automation team, the defect description will be completed here</t>
  </si>
  <si>
    <t>Automation Comments</t>
  </si>
  <si>
    <t>Automation team free text field</t>
  </si>
  <si>
    <t>QA Comments</t>
  </si>
  <si>
    <t>QA team free text field</t>
  </si>
  <si>
    <t>Fix term to permenunt</t>
  </si>
  <si>
    <t>Fixed term</t>
  </si>
  <si>
    <t>Dept Manager to Store Manager</t>
  </si>
  <si>
    <t>Team Managet to Retail Assistant</t>
  </si>
  <si>
    <t>Extend Fixed term contract</t>
  </si>
  <si>
    <t>Retail Assisstant in to New dept</t>
  </si>
  <si>
    <t>Regular Employee to a Irregular (Effective the next pay period).</t>
  </si>
  <si>
    <t>Fixed Term Employee to a Permanent (Effective the next pay period)</t>
  </si>
  <si>
    <t>Screen</t>
  </si>
  <si>
    <t>Subscreen</t>
  </si>
  <si>
    <t>Field</t>
  </si>
  <si>
    <t>Automation Ref</t>
  </si>
  <si>
    <t>Lookups Ref</t>
  </si>
  <si>
    <t>Romania-Promotion, 
Portugal-PT_To_FT, 
Portugal-Fixed_To_Permanent</t>
  </si>
  <si>
    <t>Login</t>
  </si>
  <si>
    <t>N/A</t>
  </si>
  <si>
    <t>Username</t>
  </si>
  <si>
    <t>Password</t>
  </si>
  <si>
    <t>Proxy</t>
  </si>
  <si>
    <t>Employee ID</t>
  </si>
  <si>
    <t>Change Job</t>
  </si>
  <si>
    <t>Start</t>
  </si>
  <si>
    <t>Effective Date</t>
  </si>
  <si>
    <t>Reason</t>
  </si>
  <si>
    <t>Choice of Contractual Change/Promotion</t>
  </si>
  <si>
    <t>Change of Hours, Employee Type, Time Type, End Employment Date</t>
  </si>
  <si>
    <t>Promotion</t>
  </si>
  <si>
    <t>Step Back</t>
  </si>
  <si>
    <t>Romania-Promotion</t>
  </si>
  <si>
    <t>New Manager</t>
  </si>
  <si>
    <t>Only needed if promoted to manager. Otherwise N/A</t>
  </si>
  <si>
    <t>New Team</t>
  </si>
  <si>
    <t>Only needed if changing store. Otherwise N/A</t>
  </si>
  <si>
    <t>970 Store Management (Hungary StoreMgr (10698630))</t>
  </si>
  <si>
    <t>970 Recruitment (Hungary PCManager (10698631))</t>
  </si>
  <si>
    <t>New Location</t>
  </si>
  <si>
    <t>Next Pay Period</t>
  </si>
  <si>
    <t>Job Profile</t>
  </si>
  <si>
    <t>Store Manager_NEW</t>
  </si>
  <si>
    <t xml:space="preserve">Retail Assistant_NEW </t>
  </si>
  <si>
    <t>Job Title</t>
  </si>
  <si>
    <t>Location Details</t>
  </si>
  <si>
    <t>Location</t>
  </si>
  <si>
    <t>Scheduled Weekly Hours</t>
  </si>
  <si>
    <t>Set to 100 for full time for Spain &amp; 40 For FT Portugal</t>
  </si>
  <si>
    <t>Work Shift</t>
  </si>
  <si>
    <t>Should be 5 days for full time</t>
  </si>
  <si>
    <t>Job Classifications</t>
  </si>
  <si>
    <t>Additional Job Classifications</t>
  </si>
  <si>
    <t>REGULAR</t>
  </si>
  <si>
    <t>IRREGULER</t>
  </si>
  <si>
    <t>Romania-Promotion, Portugal-Fixed_To_Permanent</t>
  </si>
  <si>
    <t>Employee Type</t>
  </si>
  <si>
    <t>Choice of Permanent/Fixed</t>
  </si>
  <si>
    <t>Romania-Promotion, Portugal-PT_To_FT</t>
  </si>
  <si>
    <t>Time Type</t>
  </si>
  <si>
    <t>Choice of Full Time/Part Time</t>
  </si>
  <si>
    <t>Part Time</t>
  </si>
  <si>
    <t>Full Time</t>
  </si>
  <si>
    <t>Pay Rate Type</t>
  </si>
  <si>
    <t>Choice of Salary/Hourly/</t>
  </si>
  <si>
    <t>Default Weekly Hours</t>
  </si>
  <si>
    <t>End Employment Date</t>
  </si>
  <si>
    <t>ContractType</t>
  </si>
  <si>
    <t>Fixed Term</t>
  </si>
  <si>
    <t>MaintainEmployeeContract</t>
  </si>
  <si>
    <t>EndContractDate</t>
  </si>
  <si>
    <t>Set to N/A when field not present otherwise automation will throw error</t>
  </si>
  <si>
    <t>Assignment Type</t>
  </si>
  <si>
    <t>First Day of Work</t>
  </si>
  <si>
    <t>Company</t>
  </si>
  <si>
    <t>Cost Centre</t>
  </si>
  <si>
    <t>Set to N/A if not promotion</t>
  </si>
  <si>
    <t>92 Retail Management </t>
  </si>
  <si>
    <t>94 Retail Operatives</t>
  </si>
  <si>
    <t>Department</t>
  </si>
  <si>
    <t>Set to N/A if department is the same</t>
  </si>
  <si>
    <t>251 Management Retail</t>
  </si>
  <si>
    <t>01 Accessories</t>
  </si>
  <si>
    <t>15 Children’s Accessories</t>
  </si>
  <si>
    <t>Add Probation Period</t>
  </si>
  <si>
    <t>Start Date</t>
  </si>
  <si>
    <t>End Date</t>
  </si>
  <si>
    <t>For promotion must have value</t>
  </si>
  <si>
    <t>Propose Compensation Change</t>
  </si>
  <si>
    <t>Salary</t>
  </si>
  <si>
    <t>Portugal Supervisor needs amount = €1234</t>
  </si>
  <si>
    <t>ProposeCompensationHire</t>
  </si>
  <si>
    <t>Grade Profile</t>
  </si>
  <si>
    <t>for Demotion</t>
  </si>
  <si>
    <t>Step</t>
  </si>
  <si>
    <t>Job Change Test_ID</t>
  </si>
  <si>
    <t>Hire Test_ID</t>
  </si>
  <si>
    <t>E2E002_HU_JBC_TC01</t>
  </si>
  <si>
    <t>E2E001_HU_HIR_TC001</t>
  </si>
  <si>
    <t>E2E002_HU_JBC_TC02</t>
  </si>
  <si>
    <t>E2E001_HU_HIR_TC002</t>
  </si>
  <si>
    <t>E2E002_HU_JBC_TC03</t>
  </si>
  <si>
    <t>E2E002_HU_JBC_TC04</t>
  </si>
  <si>
    <t>E2E002_HU_JBC_TC05</t>
  </si>
  <si>
    <t>E2E002_HU_JBC_TC06</t>
  </si>
  <si>
    <t>E2E002_HU_JBC_TC07</t>
  </si>
  <si>
    <t>E2E002_HU_JBC_TC08</t>
  </si>
  <si>
    <t>E2E002_HU_JBC_TC09</t>
  </si>
  <si>
    <t>E2E002_HU_JBC_TC10</t>
  </si>
  <si>
    <t>E2E002_HU_JBC_TC11</t>
  </si>
  <si>
    <t>E2E002_HU_JBC_TC12</t>
  </si>
  <si>
    <t>E2E002_HU_JBC_TC13</t>
  </si>
  <si>
    <t>E2E002_HU_JBC_TC14</t>
  </si>
  <si>
    <t>E2E002_HU_JBC_TC15</t>
  </si>
  <si>
    <t>E2E002_HU_JBC_TC16</t>
  </si>
  <si>
    <t>E2E002_HU_JBC_TC17</t>
  </si>
  <si>
    <t>E2E002_HU_JBC_TC18</t>
  </si>
  <si>
    <t>E2E002_HU_JBC_TC19</t>
  </si>
  <si>
    <t>E2E002_HU_JBC_TC20</t>
  </si>
  <si>
    <t>E2E002_HU_JBC_TC21</t>
  </si>
  <si>
    <t>E2E002_HU_JBC_TC22</t>
  </si>
  <si>
    <t>E2E002_HU_JBC_TC23</t>
  </si>
  <si>
    <t>E2E002_HU_JBC_TC24</t>
  </si>
  <si>
    <t>E2E002_HU_JBC_TC25</t>
  </si>
  <si>
    <t>E2E002_HU_JBC_TC26</t>
  </si>
  <si>
    <t>E2E002_HU_JBC_TC27</t>
  </si>
  <si>
    <t>E2E002_HU_JBC_TC28</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</si>
  <si>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</si>
  <si>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</si>
  <si>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</si>
  <si>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</si>
  <si>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</si>
  <si>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</si>
  <si>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</si>
  <si>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</si>
  <si>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</si>
  <si>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</si>
  <si>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</si>
  <si>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</si>
  <si>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</si>
  <si>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</si>
  <si>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</si>
  <si>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</si>
  <si>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</si>
  <si>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</si>
  <si>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</si>
  <si>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</si>
  <si>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</si>
  <si>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</si>
  <si>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</si>
  <si>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</si>
  <si>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Process2</t>
  </si>
  <si>
    <t>ExecutionFlag2</t>
  </si>
  <si>
    <t>Country2</t>
  </si>
  <si>
    <t>ChangeJob_Start_Reason2</t>
  </si>
  <si>
    <t>ChangeJob_Start_NewManager2</t>
  </si>
  <si>
    <t>ChangeJob_Start_NewTeam2</t>
  </si>
  <si>
    <t>ChangeJob_Start_NewLocation2</t>
  </si>
  <si>
    <t>ChangeJob_Start_NextPayPeriod2</t>
  </si>
  <si>
    <t>ChangeJob_LocationDetails_WorkShift2</t>
  </si>
  <si>
    <t>SupervisoryOrganisation_SupervisoryOrganisation2</t>
  </si>
  <si>
    <t>LegalNameInformation_Country2</t>
  </si>
  <si>
    <t>ContactInformation_Phone_CountryPhoneCode2</t>
  </si>
  <si>
    <t>ContactInformation_Phone_PhoneDevice2</t>
  </si>
  <si>
    <t>ContactInformation_Phone_Type2</t>
  </si>
  <si>
    <t>ContactInformation_Address_Type2</t>
  </si>
  <si>
    <t>ContactInformation_Email_Type2</t>
  </si>
  <si>
    <t>JobDetails_HireDate2</t>
  </si>
  <si>
    <t>JobDetails_Reason2</t>
  </si>
  <si>
    <t>JobDetails_Position2</t>
  </si>
  <si>
    <t>JobDetails_EmployeeType2</t>
  </si>
  <si>
    <t>JobDetails_JobProfile2</t>
  </si>
  <si>
    <t>JobDetails_TimeType2</t>
  </si>
  <si>
    <t>JobDetails_Location2</t>
  </si>
  <si>
    <t>JobDetails_AdditionalInformation_WorkShift2</t>
  </si>
  <si>
    <t>JobDetails_AdditionalInformation_EndEmploymentDate2</t>
  </si>
  <si>
    <t>ChangeOrganizationAssignments_DepartmentSection2</t>
  </si>
  <si>
    <t>AssignPayGroup_ProposedPayGroup2</t>
  </si>
  <si>
    <t>Proxy_ProxyNumber2</t>
  </si>
  <si>
    <t>Proxy_OnBehalfOf2</t>
  </si>
  <si>
    <t>MaintainEmployeeContract_Reason2</t>
  </si>
  <si>
    <t>MaintainEmployeeContract_Status2</t>
  </si>
  <si>
    <t>MaintainEmployeeContract_ContractType2</t>
  </si>
  <si>
    <t>MaintainEmployeeContract_ContractEndDate2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</si>
  <si>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</si>
  <si>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</si>
  <si>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</si>
  <si>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</si>
  <si>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</si>
  <si>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</si>
  <si>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</si>
  <si>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ChangeMyPersonalInformation_MaritalStatus2</t>
  </si>
  <si>
    <t>ChangeMyEmergencyContacts_Relationship2</t>
  </si>
  <si>
    <t>ChangeMyEmergencyContacts_PhoneDevice2</t>
  </si>
  <si>
    <t>ChangeMyGovernmentIDs_NationalIDs_NationalIDType2</t>
  </si>
  <si>
    <t>PaymentElectionOption_AccountType2</t>
  </si>
  <si>
    <t>SkillsAndExperience_AddEducation_School2</t>
  </si>
  <si>
    <t>AddProbationPeriod_ProbationEndDate2</t>
  </si>
  <si>
    <t>EditAdditionalData_PayrollTaxDeduction</t>
  </si>
  <si>
    <t>HealthCareProvider_MealVoucher2</t>
  </si>
  <si>
    <t>School1</t>
  </si>
  <si>
    <t>School2</t>
  </si>
  <si>
    <t>ContactInformation_Address_Province2</t>
  </si>
  <si>
    <t>ChangeMyGovernmentIDs_NationalIDs_NationalIDType12</t>
  </si>
  <si>
    <t>ChangeMyGovernmentIDs_NationalIDs_NationalIDType22</t>
  </si>
  <si>
    <t>EditAdditionalData_EstadolIRPF2</t>
  </si>
  <si>
    <t>EditAdditionalData_MinusvaliaRH2</t>
  </si>
  <si>
    <t>Slovakia</t>
  </si>
  <si>
    <t>1 Day</t>
  </si>
  <si>
    <t>362 Recruitment (Carolina De La Barrera Crespo (375))</t>
  </si>
  <si>
    <t>Czechia</t>
  </si>
  <si>
    <t>Czechia (+420)</t>
  </si>
  <si>
    <t>Mobile</t>
  </si>
  <si>
    <t>Home</t>
  </si>
  <si>
    <t>New Hire</t>
  </si>
  <si>
    <t>Assistant Manager-2</t>
  </si>
  <si>
    <t>DPP/DPC</t>
  </si>
  <si>
    <t>Full time</t>
  </si>
  <si>
    <t>362 Algeciras</t>
  </si>
  <si>
    <t>Accessories</t>
  </si>
  <si>
    <t>Please select a Spanish Pay Group</t>
  </si>
  <si>
    <t>Iwona Chrostowska (10223439)</t>
  </si>
  <si>
    <t>for the purposes of performing any work of casual or seasonal nature</t>
  </si>
  <si>
    <t>1st Fixed Term Contract</t>
  </si>
  <si>
    <t>Employment Agreement</t>
  </si>
  <si>
    <t>Defaulted</t>
  </si>
  <si>
    <t>Single</t>
  </si>
  <si>
    <t>Father</t>
  </si>
  <si>
    <t>Mobile/Cell</t>
  </si>
  <si>
    <t>Social Security Number (NSS)</t>
  </si>
  <si>
    <t>Savings</t>
  </si>
  <si>
    <t>Střední bez maturity či výučního listu</t>
  </si>
  <si>
    <t>stredni bez maturity ci vyucniho listu</t>
  </si>
  <si>
    <t>Madrid</t>
  </si>
  <si>
    <t>ID Card (DNI) Number</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</si>
  <si>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</si>
  <si>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Del 33% hasta el 65%</t>
  </si>
  <si>
    <t>Slovenia</t>
  </si>
  <si>
    <t>2 Days</t>
  </si>
  <si>
    <t>895 Store Management (Male Teststmanager (10224969))</t>
  </si>
  <si>
    <t>Landline</t>
  </si>
  <si>
    <t>Work</t>
  </si>
  <si>
    <t>Assistant Manager-3</t>
  </si>
  <si>
    <t>Intern</t>
  </si>
  <si>
    <t>Retail Assistant</t>
  </si>
  <si>
    <t>Part time</t>
  </si>
  <si>
    <t>ES Monthly - 15 payments</t>
  </si>
  <si>
    <t>Kocour Mikeš (10225553)</t>
  </si>
  <si>
    <t>for the purposes of performing work during the term of office</t>
  </si>
  <si>
    <t>2nd Fixed Term Contract</t>
  </si>
  <si>
    <t>Agreement to perform work</t>
  </si>
  <si>
    <t>Married</t>
  </si>
  <si>
    <t>Mother</t>
  </si>
  <si>
    <t>Telephone - Landline</t>
  </si>
  <si>
    <t>Checking</t>
  </si>
  <si>
    <t>Vseobecne stredni s maturitou</t>
  </si>
  <si>
    <t>Střední odborné vzdělání s výučním listem</t>
  </si>
  <si>
    <t>stredni odborne vzdelani s vyucnim listem</t>
  </si>
  <si>
    <t>USA</t>
  </si>
  <si>
    <t>3 Days</t>
  </si>
  <si>
    <t>Poland</t>
  </si>
  <si>
    <t>Poland (+48)</t>
  </si>
  <si>
    <t>Test Store Manager-2</t>
  </si>
  <si>
    <t>Department Manager</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</si>
  <si>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</si>
  <si>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</si>
  <si>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</si>
  <si>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</si>
  <si>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</si>
  <si>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</si>
  <si>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</si>
  <si>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UK</t>
  </si>
  <si>
    <t>4 Days</t>
  </si>
  <si>
    <t>Students</t>
  </si>
  <si>
    <t>Senior Department Manager</t>
  </si>
  <si>
    <t>No reason necessary</t>
  </si>
  <si>
    <t>Active</t>
  </si>
  <si>
    <t>Partner</t>
  </si>
  <si>
    <t>Vysokoškolské Bc.</t>
  </si>
  <si>
    <t>Vysokoskolske Bc</t>
  </si>
  <si>
    <t>5 Days</t>
  </si>
  <si>
    <t>Supervisor</t>
  </si>
  <si>
    <t>Inactive</t>
  </si>
  <si>
    <t>Vysokoškolské MUDr., JUDr., Mgr., MgA., Ing.</t>
  </si>
  <si>
    <t>vysokoskolske MUDR., JUDr., Mgr., MgA., Ing.</t>
  </si>
  <si>
    <t>Italy</t>
  </si>
  <si>
    <t>P&amp;C Supervisor</t>
  </si>
  <si>
    <t>Vysokoškolské PhDr, PhD, JUDr, MUDr</t>
  </si>
  <si>
    <t>vysokoskolske PhDr, PhD, JUDr, MUDr</t>
  </si>
  <si>
    <t>Portugal</t>
  </si>
  <si>
    <t>P&amp;C Assistant</t>
  </si>
  <si>
    <t>vyšší odborné DiS</t>
  </si>
  <si>
    <t>vyssi odborne DiS</t>
  </si>
  <si>
    <t>France</t>
  </si>
  <si>
    <t>Trainee Manager</t>
  </si>
  <si>
    <t>Základní</t>
  </si>
  <si>
    <t>Zakladni</t>
  </si>
  <si>
    <t>Assistant Manager</t>
  </si>
  <si>
    <t>Romania</t>
  </si>
  <si>
    <t>P&amp;C Manager</t>
  </si>
  <si>
    <t>Ireland</t>
  </si>
  <si>
    <t>Store Manager</t>
  </si>
  <si>
    <t>Belgium</t>
  </si>
  <si>
    <t>Visual Merchandiser Manager</t>
  </si>
  <si>
    <t>Netherlands</t>
  </si>
  <si>
    <t>Visual Merchandising Supervisor</t>
  </si>
  <si>
    <t>Spain</t>
  </si>
  <si>
    <t>Visual Merchandising Assistant</t>
  </si>
  <si>
    <t>Rehire</t>
  </si>
  <si>
    <t>Lisanne Kluinhaar (8701839)</t>
  </si>
  <si>
    <t>Defined contract end date (Determined)</t>
  </si>
  <si>
    <t>Netherlands Retail Assistant</t>
  </si>
  <si>
    <t>701 Recruitment (Lisanne Kluinhaar (8701839))</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</si>
  <si>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</si>
  <si>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</si>
  <si>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</si>
  <si>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</si>
  <si>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</si>
  <si>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</si>
  <si>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</si>
  <si>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</si>
  <si>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</si>
  <si>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</si>
  <si>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</si>
  <si>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</si>
  <si>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</si>
  <si>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</si>
  <si>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</si>
  <si>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</si>
  <si>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</si>
  <si>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</si>
  <si>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</si>
  <si>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</si>
  <si>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</si>
  <si>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</si>
  <si>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</si>
  <si>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</si>
  <si>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</si>
  <si>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</si>
  <si>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</si>
  <si>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Abigail</t>
  </si>
  <si>
    <t>Abraham</t>
  </si>
  <si>
    <t>NUL8H1001</t>
  </si>
  <si>
    <t>Adam</t>
  </si>
  <si>
    <t>Allan</t>
  </si>
  <si>
    <t>NUL8H1002</t>
  </si>
  <si>
    <t>Adrian</t>
  </si>
  <si>
    <t>Alsop</t>
  </si>
  <si>
    <t>NUL8H1003</t>
  </si>
  <si>
    <t>Alan</t>
  </si>
  <si>
    <t>Anderson</t>
  </si>
  <si>
    <t>NUL8H1004</t>
  </si>
  <si>
    <t>Alexander</t>
  </si>
  <si>
    <t>Arnold</t>
  </si>
  <si>
    <t>NUL8H1005</t>
  </si>
  <si>
    <t>Alexandra</t>
  </si>
  <si>
    <t>Alison</t>
  </si>
  <si>
    <t>Amanda</t>
  </si>
  <si>
    <t>Amelia</t>
  </si>
  <si>
    <t>Amy</t>
  </si>
  <si>
    <t>Andrea</t>
  </si>
  <si>
    <t>Andrew</t>
  </si>
  <si>
    <t>Angela</t>
  </si>
  <si>
    <t>Anna</t>
  </si>
  <si>
    <t>Anne</t>
  </si>
  <si>
    <t>Anthony</t>
  </si>
  <si>
    <t>Audrey</t>
  </si>
  <si>
    <t>Austin</t>
  </si>
  <si>
    <t>Ava</t>
  </si>
  <si>
    <t>Bella</t>
  </si>
  <si>
    <t>Avery</t>
  </si>
  <si>
    <t>NUL8H1006</t>
  </si>
  <si>
    <t>Bailey</t>
  </si>
  <si>
    <t>NUL8H1007</t>
  </si>
  <si>
    <t>Baker</t>
  </si>
  <si>
    <t>Ball</t>
  </si>
  <si>
    <t>Bell</t>
  </si>
  <si>
    <t>Berry</t>
  </si>
  <si>
    <t>Black</t>
  </si>
  <si>
    <t>Blake</t>
  </si>
  <si>
    <t>Bond</t>
  </si>
  <si>
    <t>Bower</t>
  </si>
  <si>
    <t>Brown</t>
  </si>
  <si>
    <t>Buckland</t>
  </si>
  <si>
    <t>Burgess</t>
  </si>
  <si>
    <t>Butler</t>
  </si>
  <si>
    <t>Cameron</t>
  </si>
  <si>
    <t>NUL8H1008</t>
  </si>
  <si>
    <t>NUL8H1009</t>
  </si>
  <si>
    <t>NUL8H1010</t>
  </si>
  <si>
    <t>NUL8H1011</t>
  </si>
  <si>
    <t>NUL8H1012</t>
  </si>
  <si>
    <t>NUL8H1013</t>
  </si>
  <si>
    <t>NUL8H1014</t>
  </si>
  <si>
    <t>NUL8H1015</t>
  </si>
  <si>
    <t>NUL8H1016</t>
  </si>
  <si>
    <t>NUL8H1017</t>
  </si>
  <si>
    <t>NUL8H1018</t>
  </si>
  <si>
    <t>NUL8H1019</t>
  </si>
  <si>
    <t>NUL8H1020</t>
  </si>
  <si>
    <t>Benjamin</t>
  </si>
  <si>
    <t>Campbell</t>
  </si>
  <si>
    <t>NUL8H1021</t>
  </si>
  <si>
    <t>Bernadette</t>
  </si>
  <si>
    <t>Carr</t>
  </si>
  <si>
    <t>NUL8H1022</t>
  </si>
  <si>
    <t>Chapman</t>
  </si>
  <si>
    <t>NUL8H1023</t>
  </si>
  <si>
    <t>Boris</t>
  </si>
  <si>
    <t>Churchill</t>
  </si>
  <si>
    <t>NUL8H1024</t>
  </si>
  <si>
    <t>Brandon</t>
  </si>
  <si>
    <t>Clark</t>
  </si>
  <si>
    <t>NUL8H1025</t>
  </si>
  <si>
    <t>Brian</t>
  </si>
  <si>
    <t>Clarkson</t>
  </si>
  <si>
    <t>NUL8H1026</t>
  </si>
  <si>
    <t>Coleman</t>
  </si>
  <si>
    <t>NUL8H1027</t>
  </si>
  <si>
    <t>Carl</t>
  </si>
  <si>
    <t>Cornish</t>
  </si>
  <si>
    <t>NUL8H1028</t>
  </si>
  <si>
    <t>Carol</t>
  </si>
  <si>
    <t>Davidson</t>
  </si>
  <si>
    <t>NUL8H1029</t>
  </si>
  <si>
    <t>Caroline</t>
  </si>
  <si>
    <t>Davies</t>
  </si>
  <si>
    <t>NUL8H1030</t>
  </si>
  <si>
    <t>Carolyn</t>
  </si>
  <si>
    <t>Dickens</t>
  </si>
  <si>
    <t>NUL8H1031</t>
  </si>
  <si>
    <t>Charles</t>
  </si>
  <si>
    <t>Dowd</t>
  </si>
  <si>
    <t>NUL8H1032</t>
  </si>
  <si>
    <t>Chloe</t>
  </si>
  <si>
    <t>Duncan</t>
  </si>
  <si>
    <t>NUL8H1033</t>
  </si>
  <si>
    <t>Christian</t>
  </si>
  <si>
    <t>Dyer</t>
  </si>
  <si>
    <t>NUL8H1034</t>
  </si>
  <si>
    <t>Christopher</t>
  </si>
  <si>
    <t>Edmunds</t>
  </si>
  <si>
    <t>NUL8H1035</t>
  </si>
  <si>
    <t>Claire</t>
  </si>
  <si>
    <t>Ellison</t>
  </si>
  <si>
    <t>NUL8H1036</t>
  </si>
  <si>
    <t>Colin</t>
  </si>
  <si>
    <t>Ferguson</t>
  </si>
  <si>
    <t>NUL8H1037</t>
  </si>
  <si>
    <t>Connor</t>
  </si>
  <si>
    <t>Fisher</t>
  </si>
  <si>
    <t>NUL8H1038</t>
  </si>
  <si>
    <t>Dan</t>
  </si>
  <si>
    <t>Forsyth</t>
  </si>
  <si>
    <t>NUL8H1039</t>
  </si>
  <si>
    <t>David</t>
  </si>
  <si>
    <t>Fraser</t>
  </si>
  <si>
    <t>NUL8H1040</t>
  </si>
  <si>
    <t>Deirdre</t>
  </si>
  <si>
    <t>Gibson</t>
  </si>
  <si>
    <t>NUL8H1041</t>
  </si>
  <si>
    <t>Diana</t>
  </si>
  <si>
    <t>Gill</t>
  </si>
  <si>
    <t>NUL8H1042</t>
  </si>
  <si>
    <t>Diane</t>
  </si>
  <si>
    <t>Glover</t>
  </si>
  <si>
    <t>NUL8H1043</t>
  </si>
  <si>
    <t>Dominic</t>
  </si>
  <si>
    <t>Graham</t>
  </si>
  <si>
    <t>NUL8H1044</t>
  </si>
  <si>
    <t>Donna</t>
  </si>
  <si>
    <t>Grant</t>
  </si>
  <si>
    <t>NUL8H1045</t>
  </si>
  <si>
    <t>Dorothy</t>
  </si>
  <si>
    <t>Gray</t>
  </si>
  <si>
    <t>NUL8H1046</t>
  </si>
  <si>
    <t>Dylan</t>
  </si>
  <si>
    <t>Greene</t>
  </si>
  <si>
    <t>NUL8H1047</t>
  </si>
  <si>
    <t>Edward</t>
  </si>
  <si>
    <t>Hamilton</t>
  </si>
  <si>
    <t>NUL8H1048</t>
  </si>
  <si>
    <t>Elizabeth</t>
  </si>
  <si>
    <t>Hardacre</t>
  </si>
  <si>
    <t>NUL8H1049</t>
  </si>
  <si>
    <t>Ella</t>
  </si>
  <si>
    <t>Harris</t>
  </si>
  <si>
    <t>NUL8H1050</t>
  </si>
  <si>
    <t>Emily</t>
  </si>
  <si>
    <t>Hart</t>
  </si>
  <si>
    <t>NUL8H1051</t>
  </si>
  <si>
    <t>Emma</t>
  </si>
  <si>
    <t>Hemmings</t>
  </si>
  <si>
    <t>NUL8H1052</t>
  </si>
  <si>
    <t>Eric</t>
  </si>
  <si>
    <t>Henderson</t>
  </si>
  <si>
    <t>NUL8H1053</t>
  </si>
  <si>
    <t>Evan</t>
  </si>
  <si>
    <t>Hill</t>
  </si>
  <si>
    <t>NUL8H1054</t>
  </si>
  <si>
    <t>Faith</t>
  </si>
  <si>
    <t>Hodges</t>
  </si>
  <si>
    <t>NUL8H1055</t>
  </si>
  <si>
    <t>Felicity</t>
  </si>
  <si>
    <t>Howard</t>
  </si>
  <si>
    <t>NUL8H1056</t>
  </si>
  <si>
    <t>Fiona</t>
  </si>
  <si>
    <t>Hudson</t>
  </si>
  <si>
    <t>NUL8H1057</t>
  </si>
  <si>
    <t>First Names</t>
  </si>
  <si>
    <t>Hughes</t>
  </si>
  <si>
    <t>NUL8H1058</t>
  </si>
  <si>
    <t>Frank</t>
  </si>
  <si>
    <t>Hunter</t>
  </si>
  <si>
    <t>NUL8H1059</t>
  </si>
  <si>
    <t>Gabrielle</t>
  </si>
  <si>
    <t>Ince</t>
  </si>
  <si>
    <t>NUL8H1060</t>
  </si>
  <si>
    <t>Gavin</t>
  </si>
  <si>
    <t>Jackson</t>
  </si>
  <si>
    <t>NUL8H1061</t>
  </si>
  <si>
    <t>Gordon</t>
  </si>
  <si>
    <t>James</t>
  </si>
  <si>
    <t>NUL8H1062</t>
  </si>
  <si>
    <t>Grace</t>
  </si>
  <si>
    <t>Johnston</t>
  </si>
  <si>
    <t>NUL8H1063</t>
  </si>
  <si>
    <t>Hannah</t>
  </si>
  <si>
    <t>Jones</t>
  </si>
  <si>
    <t>NUL8H1064</t>
  </si>
  <si>
    <t>Harry</t>
  </si>
  <si>
    <t>Kelly</t>
  </si>
  <si>
    <t>NUL8H1065</t>
  </si>
  <si>
    <t>Heather</t>
  </si>
  <si>
    <t>Kerr</t>
  </si>
  <si>
    <t>NUL8H1066</t>
  </si>
  <si>
    <t>Ian</t>
  </si>
  <si>
    <t>King</t>
  </si>
  <si>
    <t>NUL8H1067</t>
  </si>
  <si>
    <t>Irene</t>
  </si>
  <si>
    <t>Knox</t>
  </si>
  <si>
    <t>NUL8H1068</t>
  </si>
  <si>
    <t>Isaac</t>
  </si>
  <si>
    <t>Lambert</t>
  </si>
  <si>
    <t>NUL8H1069</t>
  </si>
  <si>
    <t>Jack</t>
  </si>
  <si>
    <t>Langdon</t>
  </si>
  <si>
    <t>NUL8H1070</t>
  </si>
  <si>
    <t>Jacob</t>
  </si>
  <si>
    <t>Lawrence</t>
  </si>
  <si>
    <t>NUL8H1071</t>
  </si>
  <si>
    <t>Jake</t>
  </si>
  <si>
    <t>Lee</t>
  </si>
  <si>
    <t>NUL8H1072</t>
  </si>
  <si>
    <t>Lewis</t>
  </si>
  <si>
    <t>NUL8H1073</t>
  </si>
  <si>
    <t>Jan</t>
  </si>
  <si>
    <t>Lyman</t>
  </si>
  <si>
    <t>NUL8H1074</t>
  </si>
  <si>
    <t>Jane</t>
  </si>
  <si>
    <t>MacDonald</t>
  </si>
  <si>
    <t>NUL8H1075</t>
  </si>
  <si>
    <t>Jasmine</t>
  </si>
  <si>
    <t>Mackay</t>
  </si>
  <si>
    <t>NUL8H1076</t>
  </si>
  <si>
    <t>Jason</t>
  </si>
  <si>
    <t>Mackenzie</t>
  </si>
  <si>
    <t>NUL8H1077</t>
  </si>
  <si>
    <t>Jennifer</t>
  </si>
  <si>
    <t>MacLeod</t>
  </si>
  <si>
    <t>NUL8H1078</t>
  </si>
  <si>
    <t>Jessica</t>
  </si>
  <si>
    <t>Manning</t>
  </si>
  <si>
    <t>NUL8H1079</t>
  </si>
  <si>
    <t>Joan</t>
  </si>
  <si>
    <t>Marshall</t>
  </si>
  <si>
    <t>NUL8H1080</t>
  </si>
  <si>
    <t>Joanne</t>
  </si>
  <si>
    <t>Martin</t>
  </si>
  <si>
    <t>NUL8H1081</t>
  </si>
  <si>
    <t>Joe</t>
  </si>
  <si>
    <t>Mathis</t>
  </si>
  <si>
    <t>NUL8H1082</t>
  </si>
  <si>
    <t>John</t>
  </si>
  <si>
    <t>May</t>
  </si>
  <si>
    <t>NUL8H1083</t>
  </si>
  <si>
    <t>Jonathan</t>
  </si>
  <si>
    <t>McDonald</t>
  </si>
  <si>
    <t>NUL8H1084</t>
  </si>
  <si>
    <t>Joseph</t>
  </si>
  <si>
    <t>McLean</t>
  </si>
  <si>
    <t>NUL8H1085</t>
  </si>
  <si>
    <t>Joshua</t>
  </si>
  <si>
    <t>McGrath</t>
  </si>
  <si>
    <t>NUL8H1086</t>
  </si>
  <si>
    <t>Julia</t>
  </si>
  <si>
    <t>Metcalfe</t>
  </si>
  <si>
    <t>NUL8H1087</t>
  </si>
  <si>
    <t>Julian</t>
  </si>
  <si>
    <t>Miller</t>
  </si>
  <si>
    <t>NUL8H1088</t>
  </si>
  <si>
    <t>Justin</t>
  </si>
  <si>
    <t>Mills</t>
  </si>
  <si>
    <t>NUL8H1089</t>
  </si>
  <si>
    <t>Karen</t>
  </si>
  <si>
    <t>Mitchell</t>
  </si>
  <si>
    <t>NUL8H1090</t>
  </si>
  <si>
    <t>Katherine</t>
  </si>
  <si>
    <t>Morgan</t>
  </si>
  <si>
    <t>NUL8H1091</t>
  </si>
  <si>
    <t>Keith</t>
  </si>
  <si>
    <t>Morrison</t>
  </si>
  <si>
    <t>NUL8H1092</t>
  </si>
  <si>
    <t>Kevin</t>
  </si>
  <si>
    <t>Murray</t>
  </si>
  <si>
    <t>NUL8H1093</t>
  </si>
  <si>
    <t>Kimberly</t>
  </si>
  <si>
    <t>Nash</t>
  </si>
  <si>
    <t>NUL8H1094</t>
  </si>
  <si>
    <t>Kylie</t>
  </si>
  <si>
    <t>Newman</t>
  </si>
  <si>
    <t>NUL8H1095</t>
  </si>
  <si>
    <t>Lauren</t>
  </si>
  <si>
    <t>Nolan</t>
  </si>
  <si>
    <t>NUL8H1096</t>
  </si>
  <si>
    <t>Leah</t>
  </si>
  <si>
    <t>North</t>
  </si>
  <si>
    <t>NUL8H1097</t>
  </si>
  <si>
    <t>Leonard</t>
  </si>
  <si>
    <t>Ogden</t>
  </si>
  <si>
    <t>NUL8H1098</t>
  </si>
  <si>
    <t>Liam</t>
  </si>
  <si>
    <t>Oliver</t>
  </si>
  <si>
    <t>NUL8H1099</t>
  </si>
  <si>
    <t>Lillian</t>
  </si>
  <si>
    <t>Paige</t>
  </si>
  <si>
    <t>NUL8H1100</t>
  </si>
  <si>
    <t>Lily</t>
  </si>
  <si>
    <t>Parr</t>
  </si>
  <si>
    <t>NUL8H1101</t>
  </si>
  <si>
    <t>Lisa</t>
  </si>
  <si>
    <t>Parsons</t>
  </si>
  <si>
    <t>NUL8H1102</t>
  </si>
  <si>
    <t>Lucas</t>
  </si>
  <si>
    <t>Paterson</t>
  </si>
  <si>
    <t>NUL8H1103</t>
  </si>
  <si>
    <t>Luke</t>
  </si>
  <si>
    <t>Payne</t>
  </si>
  <si>
    <t>NUL8H1104</t>
  </si>
  <si>
    <t>Madeleine</t>
  </si>
  <si>
    <t>Peake</t>
  </si>
  <si>
    <t>NUL8H1105</t>
  </si>
  <si>
    <t>Maria</t>
  </si>
  <si>
    <t>Peters</t>
  </si>
  <si>
    <t>NUL8H1106</t>
  </si>
  <si>
    <t>Mary</t>
  </si>
  <si>
    <t>Piper</t>
  </si>
  <si>
    <t>NUL8H1107</t>
  </si>
  <si>
    <t>Matt</t>
  </si>
  <si>
    <t>Poole</t>
  </si>
  <si>
    <t>NUL8H1108</t>
  </si>
  <si>
    <t>Max</t>
  </si>
  <si>
    <t>Powell</t>
  </si>
  <si>
    <t>NUL8H1109</t>
  </si>
  <si>
    <t>Megan</t>
  </si>
  <si>
    <t>Pullman</t>
  </si>
  <si>
    <t>NUL8H1110</t>
  </si>
  <si>
    <t>Melanie</t>
  </si>
  <si>
    <t>Quinn</t>
  </si>
  <si>
    <t>NUL8H1111</t>
  </si>
  <si>
    <t>Michael</t>
  </si>
  <si>
    <t>Rampling</t>
  </si>
  <si>
    <t>NUL8H1112</t>
  </si>
  <si>
    <t>Michelle</t>
  </si>
  <si>
    <t>Randall</t>
  </si>
  <si>
    <t>NUL8H1113</t>
  </si>
  <si>
    <t>Molly</t>
  </si>
  <si>
    <t>Rees</t>
  </si>
  <si>
    <t>NUL8H1114</t>
  </si>
  <si>
    <t>Natalie</t>
  </si>
  <si>
    <t>Reid</t>
  </si>
  <si>
    <t>NUL8H1115</t>
  </si>
  <si>
    <t>Nathan</t>
  </si>
  <si>
    <t>Roberts</t>
  </si>
  <si>
    <t>NUL8H1116</t>
  </si>
  <si>
    <t>Neil</t>
  </si>
  <si>
    <t>Robertson</t>
  </si>
  <si>
    <t>NUL8H1117</t>
  </si>
  <si>
    <t>Nicholas</t>
  </si>
  <si>
    <t>Ross</t>
  </si>
  <si>
    <t>NUL8H1118</t>
  </si>
  <si>
    <t>Nicola</t>
  </si>
  <si>
    <t>Russell</t>
  </si>
  <si>
    <t>NUL8H1119</t>
  </si>
  <si>
    <t>Rutherford</t>
  </si>
  <si>
    <t>NUL8H1120</t>
  </si>
  <si>
    <t>Olivia</t>
  </si>
  <si>
    <t>Sanderson</t>
  </si>
  <si>
    <t>NUL8H1121</t>
  </si>
  <si>
    <t>Owen</t>
  </si>
  <si>
    <t>Scott</t>
  </si>
  <si>
    <t>NUL8H1122</t>
  </si>
  <si>
    <t>Paul</t>
  </si>
  <si>
    <t>Sharp</t>
  </si>
  <si>
    <t>NUL8H1123</t>
  </si>
  <si>
    <t>Penelope</t>
  </si>
  <si>
    <t>Short</t>
  </si>
  <si>
    <t>NUL8H1124</t>
  </si>
  <si>
    <t>Peter</t>
  </si>
  <si>
    <t>Simpson</t>
  </si>
  <si>
    <t>NUL8H1125</t>
  </si>
  <si>
    <t>Phil</t>
  </si>
  <si>
    <t>Skinner</t>
  </si>
  <si>
    <t>NUL8H1126</t>
  </si>
  <si>
    <t>Piers</t>
  </si>
  <si>
    <t>Slater</t>
  </si>
  <si>
    <t>NUL8H1127</t>
  </si>
  <si>
    <t>Pippa</t>
  </si>
  <si>
    <t>Smith</t>
  </si>
  <si>
    <t>NUL8H1128</t>
  </si>
  <si>
    <t>Rachel</t>
  </si>
  <si>
    <t>Springer</t>
  </si>
  <si>
    <t>NUL8H1129</t>
  </si>
  <si>
    <t>Rebecca</t>
  </si>
  <si>
    <t>Stewart</t>
  </si>
  <si>
    <t>NUL8H1130</t>
  </si>
  <si>
    <t>Richard</t>
  </si>
  <si>
    <t>Sutherland</t>
  </si>
  <si>
    <t>NUL8H1131</t>
  </si>
  <si>
    <t>Robert</t>
  </si>
  <si>
    <t>Taylor</t>
  </si>
  <si>
    <t>NUL8H1132</t>
  </si>
  <si>
    <t>Rose</t>
  </si>
  <si>
    <t>Terry</t>
  </si>
  <si>
    <t>NUL8H1133</t>
  </si>
  <si>
    <t>Ruth</t>
  </si>
  <si>
    <t>Thomson</t>
  </si>
  <si>
    <t>NUL8H1134</t>
  </si>
  <si>
    <t>Ryan</t>
  </si>
  <si>
    <t>Tucker</t>
  </si>
  <si>
    <t>NUL8H1135</t>
  </si>
  <si>
    <t>Sally</t>
  </si>
  <si>
    <t>Turner</t>
  </si>
  <si>
    <t>NUL8H1136</t>
  </si>
  <si>
    <t>Sam</t>
  </si>
  <si>
    <t>Underwood</t>
  </si>
  <si>
    <t>NUL8H1137</t>
  </si>
  <si>
    <t>Samantha</t>
  </si>
  <si>
    <t>Vance</t>
  </si>
  <si>
    <t>NUL8H1138</t>
  </si>
  <si>
    <t>Sarah</t>
  </si>
  <si>
    <t>Vaughan</t>
  </si>
  <si>
    <t>NUL8H1139</t>
  </si>
  <si>
    <t>Sean</t>
  </si>
  <si>
    <t>Walker</t>
  </si>
  <si>
    <t>NUL8H1140</t>
  </si>
  <si>
    <t>Sebastian</t>
  </si>
  <si>
    <t>Wallace</t>
  </si>
  <si>
    <t>NUL8H1141</t>
  </si>
  <si>
    <t>Simon</t>
  </si>
  <si>
    <t>Walsh</t>
  </si>
  <si>
    <t>NUL8H1142</t>
  </si>
  <si>
    <t>Sonia</t>
  </si>
  <si>
    <t>Watson</t>
  </si>
  <si>
    <t>NUL8H1143</t>
  </si>
  <si>
    <t>Sophie</t>
  </si>
  <si>
    <t>Welch</t>
  </si>
  <si>
    <t>NUL8H1144</t>
  </si>
  <si>
    <t>Stephanie</t>
  </si>
  <si>
    <t>White</t>
  </si>
  <si>
    <t>NUL8H1145</t>
  </si>
  <si>
    <t>Stephen</t>
  </si>
  <si>
    <t>Wilkins</t>
  </si>
  <si>
    <t>NUL8H1146</t>
  </si>
  <si>
    <t>Steven</t>
  </si>
  <si>
    <t>Wilson</t>
  </si>
  <si>
    <t>NUL8H1147</t>
  </si>
  <si>
    <t>Wright</t>
  </si>
  <si>
    <t>NUL8H1148</t>
  </si>
  <si>
    <t>Sue</t>
  </si>
  <si>
    <t>Young</t>
  </si>
  <si>
    <t>NUL8H1149</t>
  </si>
  <si>
    <t>Theresa</t>
  </si>
  <si>
    <t>NUL8H1150</t>
  </si>
  <si>
    <t>Thomas</t>
  </si>
  <si>
    <t>NUL8H1151</t>
  </si>
  <si>
    <t>Tim</t>
  </si>
  <si>
    <t>NUL8H1152</t>
  </si>
  <si>
    <t>Tracey</t>
  </si>
  <si>
    <t>NUL8H1153</t>
  </si>
  <si>
    <t>Trevor</t>
  </si>
  <si>
    <t>NUL8H1154</t>
  </si>
  <si>
    <t>Una</t>
  </si>
  <si>
    <t>NUL8H1155</t>
  </si>
  <si>
    <t>Vanessa</t>
  </si>
  <si>
    <t>NUL8H1156</t>
  </si>
  <si>
    <t>Victor</t>
  </si>
  <si>
    <t>NUL8H1157</t>
  </si>
  <si>
    <t>Victoria</t>
  </si>
  <si>
    <t>NUL8H1158</t>
  </si>
  <si>
    <t>Virginia</t>
  </si>
  <si>
    <t>NUL8H1159</t>
  </si>
  <si>
    <t>Wanda</t>
  </si>
  <si>
    <t>NUL8H1160</t>
  </si>
  <si>
    <t>Warren</t>
  </si>
  <si>
    <t>NUL8H1161</t>
  </si>
  <si>
    <t>Wendy</t>
  </si>
  <si>
    <t>NUL8H1162</t>
  </si>
  <si>
    <t>William</t>
  </si>
  <si>
    <t>NUL8H1163</t>
  </si>
  <si>
    <t>Yvonne</t>
  </si>
  <si>
    <t>NUL8H1164</t>
  </si>
  <si>
    <t>Zoe</t>
  </si>
  <si>
    <t>NUL8H1165</t>
  </si>
  <si>
    <t>Permanent to Fixed term</t>
  </si>
  <si>
    <t>IRREGULAR</t>
  </si>
  <si>
    <t>Regular to Irregular</t>
  </si>
  <si>
    <t>Irregular to Regular</t>
  </si>
  <si>
    <t>682e0aa7f09c8f62da00e2760c7d42eab76e6a47dd9e23c820d4607d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</si>
</sst>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1"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sz val="11"/>
      <color rgb="FF800000"/>
      <name val="Calibri"/>
      <family val="2"/>
      <scheme val="minor"/>
    </font>
    <font>
      <u/>
      <sz val="11"/>
      <color theme="10"/>
      <name val="Calibri"/>
      <family val="2"/>
      <scheme val="minor"/>
    </font>
    <font>
      <sz val="8"/>
      <name val="Calibri"/>
      <family val="2"/>
      <scheme val="minor"/>
    </font>
    <font>
      <sz val="11"/>
      <name val="Calibri"/>
      <family val="2"/>
      <scheme val="minor"/>
    </font>
    <font>
      <b/>
      <sz val="10"/>
      <color rgb="FF000000"/>
      <name val="Calibri"/>
      <family val="2"/>
      <scheme val="minor"/>
    </font>
    <font>
      <sz val="11"/>
      <color theme="1"/>
      <name val="Calibri"/>
      <family val="2"/>
    </font>
    <font>
      <b/>
      <sz val="11"/>
      <color rgb="FFFFFFFF"/>
      <name val="Calibri"/>
      <family val="2"/>
    </font>
    <font>
      <sz val="11"/>
      <color rgb="FF000000"/>
      <name val="Calibri"/>
      <family val="2"/>
    </font>
    <font>
      <b/>
      <sz val="1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00B0F0"/>
        <bgColor indexed="64"/>
      </patternFill>
    </fill>
  </fills>
  <borders count="5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style="medium">
        <color auto="1"/>
      </left>
      <right style="medium">
        <color auto="1"/>
      </right>
      <top style="thin">
        <color auto="1"/>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3" fillId="0" borderId="0" applyNumberFormat="0" applyFill="0" applyBorder="0" applyAlignment="0" applyProtection="0"/>
  </cellStyleXfs>
  <cellXfs count="220">
    <xf numFmtId="0" fontId="0" fillId="0" borderId="0" xfId="0"/>
    <xf numFmtId="0" fontId="0" fillId="0" borderId="1" xfId="0" applyBorder="1"/>
    <xf numFmtId="0" fontId="0" fillId="0" borderId="7" xfId="0" applyBorder="1"/>
    <xf numFmtId="0" fontId="0" fillId="0" borderId="9" xfId="0" applyBorder="1"/>
    <xf numFmtId="0" fontId="0" fillId="0" borderId="11" xfId="0" applyBorder="1"/>
    <xf numFmtId="0" fontId="0" fillId="0" borderId="17"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4" borderId="0" xfId="0" applyFill="1" applyAlignment="1">
      <alignment horizontal="left"/>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31" xfId="0" applyFont="1" applyFill="1" applyBorder="1" applyAlignment="1">
      <alignment horizontal="center" vertical="center"/>
    </xf>
    <xf numFmtId="0" fontId="0" fillId="2" borderId="0" xfId="0" applyFill="1"/>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0" fillId="0" borderId="0" xfId="0" quotePrefix="1" applyAlignment="1" applyProtection="1">
      <alignment horizontal="left"/>
      <protection locked="0"/>
    </xf>
    <xf numFmtId="0" fontId="4" fillId="3" borderId="32" xfId="0" applyFont="1" applyFill="1" applyBorder="1" applyAlignment="1">
      <alignment horizontal="center" vertical="center"/>
    </xf>
    <xf numFmtId="0" fontId="6" fillId="0" borderId="21" xfId="0" applyFont="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164" fontId="0" fillId="0" borderId="7" xfId="0" quotePrefix="1" applyNumberFormat="1" applyBorder="1" applyAlignment="1" applyProtection="1">
      <alignment horizontal="left"/>
      <protection locked="0"/>
    </xf>
    <xf numFmtId="0" fontId="8" fillId="0" borderId="2" xfId="0" applyFont="1" applyBorder="1"/>
    <xf numFmtId="0" fontId="8" fillId="0" borderId="15" xfId="0" quotePrefix="1" applyFont="1" applyBorder="1"/>
    <xf numFmtId="0" fontId="0" fillId="0" borderId="31" xfId="0" quotePrefix="1" applyBorder="1"/>
    <xf numFmtId="0" fontId="0" fillId="0" borderId="1" xfId="0" quotePrefix="1" applyBorder="1"/>
    <xf numFmtId="14" fontId="0" fillId="0" borderId="34" xfId="0" applyNumberFormat="1" applyBorder="1"/>
    <xf numFmtId="0" fontId="0" fillId="0" borderId="35" xfId="0" applyBorder="1"/>
    <xf numFmtId="0" fontId="0" fillId="0" borderId="36" xfId="0" applyBorder="1"/>
    <xf numFmtId="0" fontId="0" fillId="0" borderId="5" xfId="0" applyBorder="1"/>
    <xf numFmtId="0" fontId="0" fillId="0" borderId="37" xfId="0" applyBorder="1"/>
    <xf numFmtId="0" fontId="0" fillId="0" borderId="38" xfId="0" applyBorder="1"/>
    <xf numFmtId="0" fontId="0" fillId="0" borderId="39" xfId="0" applyBorder="1"/>
    <xf numFmtId="0" fontId="0" fillId="0" borderId="4" xfId="0" applyBorder="1"/>
    <xf numFmtId="0" fontId="0" fillId="0" borderId="40" xfId="0" applyBorder="1"/>
    <xf numFmtId="0" fontId="0" fillId="0" borderId="36"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33" xfId="0" applyFont="1" applyFill="1" applyBorder="1" applyAlignment="1">
      <alignment horizontal="center" vertical="center"/>
    </xf>
    <xf numFmtId="0" fontId="5" fillId="3" borderId="7" xfId="0" applyFont="1" applyFill="1" applyBorder="1" applyAlignment="1" applyProtection="1">
      <alignment horizontal="center" vertical="center" wrapText="1"/>
      <protection locked="0"/>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0" xfId="0" applyFill="1" applyBorder="1" applyAlignment="1">
      <alignment horizontal="center"/>
    </xf>
    <xf numFmtId="0" fontId="0" fillId="7" borderId="5" xfId="0" applyFill="1" applyBorder="1"/>
    <xf numFmtId="0" fontId="0" fillId="7" borderId="36" xfId="0" applyFill="1" applyBorder="1" applyAlignment="1">
      <alignment horizontal="center"/>
    </xf>
    <xf numFmtId="0" fontId="0" fillId="7" borderId="45" xfId="0" applyFill="1" applyBorder="1"/>
    <xf numFmtId="0" fontId="0" fillId="7" borderId="46" xfId="0" applyFill="1" applyBorder="1" applyAlignment="1">
      <alignment horizontal="center"/>
    </xf>
    <xf numFmtId="0" fontId="0" fillId="7" borderId="34" xfId="0" applyFill="1" applyBorder="1" applyAlignment="1">
      <alignment wrapText="1"/>
    </xf>
    <xf numFmtId="0" fontId="0" fillId="7" borderId="35" xfId="0" applyFill="1" applyBorder="1" applyAlignment="1">
      <alignment horizontal="center"/>
    </xf>
    <xf numFmtId="0" fontId="0" fillId="7" borderId="5" xfId="0" applyFill="1" applyBorder="1" applyAlignment="1">
      <alignment wrapText="1"/>
    </xf>
    <xf numFmtId="1" fontId="0" fillId="6" borderId="35"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6" xfId="0" applyNumberFormat="1" applyFill="1" applyBorder="1" applyAlignment="1">
      <alignment horizontal="center"/>
    </xf>
    <xf numFmtId="1" fontId="0" fillId="6" borderId="46"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0" xfId="0" applyNumberFormat="1" applyFill="1" applyBorder="1" applyAlignment="1">
      <alignment horizontal="center"/>
    </xf>
    <xf numFmtId="0" fontId="0" fillId="6" borderId="47" xfId="0" applyFill="1" applyBorder="1" applyAlignment="1">
      <alignment horizontal="center"/>
    </xf>
    <xf numFmtId="0" fontId="0" fillId="6" borderId="18" xfId="0" applyFill="1" applyBorder="1" applyAlignment="1">
      <alignment horizontal="center"/>
    </xf>
    <xf numFmtId="0" fontId="0" fillId="6" borderId="43" xfId="0" applyFill="1" applyBorder="1" applyAlignment="1">
      <alignment horizontal="center"/>
    </xf>
    <xf numFmtId="0" fontId="0" fillId="6" borderId="6" xfId="0" applyFill="1" applyBorder="1"/>
    <xf numFmtId="0" fontId="0" fillId="6" borderId="7" xfId="0" applyFill="1" applyBorder="1"/>
    <xf numFmtId="0" fontId="0" fillId="6" borderId="44"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8" xfId="0" applyFont="1" applyFill="1" applyBorder="1"/>
    <xf numFmtId="0" fontId="3" fillId="7" borderId="49" xfId="0" applyFont="1" applyFill="1" applyBorder="1" applyAlignment="1">
      <alignment horizontal="center"/>
    </xf>
    <xf numFmtId="0" fontId="0" fillId="7" borderId="4" xfId="0" applyFill="1" applyBorder="1" applyAlignment="1">
      <alignment wrapText="1"/>
    </xf>
    <xf numFmtId="0" fontId="3" fillId="7" borderId="39" xfId="0" applyFont="1" applyFill="1" applyBorder="1" applyAlignment="1">
      <alignment horizontal="center"/>
    </xf>
    <xf numFmtId="0" fontId="0" fillId="7" borderId="37" xfId="0" applyFill="1" applyBorder="1"/>
    <xf numFmtId="0" fontId="0" fillId="6" borderId="33" xfId="0" applyFill="1" applyBorder="1" applyAlignment="1">
      <alignment horizontal="center"/>
    </xf>
    <xf numFmtId="0" fontId="3" fillId="6" borderId="44"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51" xfId="0" applyFont="1" applyFill="1" applyBorder="1" applyAlignment="1">
      <alignment horizontal="center" vertical="center"/>
    </xf>
    <xf numFmtId="0" fontId="4" fillId="3" borderId="41" xfId="0" applyFont="1" applyFill="1" applyBorder="1" applyAlignment="1">
      <alignment horizontal="center" vertical="center"/>
    </xf>
    <xf numFmtId="0" fontId="4" fillId="3" borderId="52" xfId="0" applyFont="1" applyFill="1" applyBorder="1" applyAlignment="1">
      <alignment horizontal="center" vertical="center"/>
    </xf>
    <xf numFmtId="0" fontId="1" fillId="3" borderId="21" xfId="0" applyFont="1" applyFill="1" applyBorder="1" applyAlignment="1">
      <alignment horizontal="center" vertical="center"/>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5" fillId="4" borderId="0" xfId="0" applyFont="1" applyFill="1" applyAlignment="1" applyProtection="1">
      <alignment horizontal="center" vertical="center" wrapText="1"/>
      <protection locked="0"/>
    </xf>
    <xf numFmtId="0" fontId="4" fillId="3" borderId="13" xfId="0" applyFont="1" applyFill="1" applyBorder="1" applyAlignment="1">
      <alignment horizontal="center" vertical="center"/>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54" xfId="0" applyFont="1" applyBorder="1" applyAlignment="1" applyProtection="1">
      <alignment horizontal="center" vertical="center"/>
      <protection locked="0"/>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1" fillId="3" borderId="1" xfId="0" applyFont="1" applyFill="1" applyBorder="1" applyAlignment="1">
      <alignment horizontal="center" vertical="center"/>
    </xf>
    <xf numFmtId="0" fontId="3" fillId="0" borderId="0" xfId="0" applyFont="1"/>
    <xf numFmtId="14" fontId="3" fillId="0" borderId="0" xfId="0" applyNumberFormat="1" applyFont="1"/>
    <xf numFmtId="0" fontId="11"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0" fillId="2" borderId="20" xfId="0" applyFill="1" applyBorder="1"/>
    <xf numFmtId="0" fontId="0" fillId="0" borderId="0" xfId="0" applyAlignment="1">
      <alignment wrapText="1"/>
    </xf>
    <xf numFmtId="0" fontId="0" fillId="0" borderId="17" xfId="0" applyBorder="1" applyAlignment="1">
      <alignment wrapText="1"/>
    </xf>
    <xf numFmtId="0" fontId="0" fillId="11" borderId="0" xfId="0" applyFill="1"/>
    <xf numFmtId="0" fontId="0" fillId="12" borderId="1" xfId="0" applyFill="1" applyBorder="1" applyAlignment="1" applyProtection="1">
      <alignment horizontal="left"/>
      <protection locked="0"/>
    </xf>
    <xf numFmtId="0" fontId="12" fillId="0" borderId="0" xfId="0" applyFont="1"/>
    <xf numFmtId="49" fontId="13" fillId="0" borderId="0" xfId="2" applyNumberFormat="1" applyFill="1"/>
    <xf numFmtId="49" fontId="13" fillId="0" borderId="0" xfId="2" applyNumberFormat="1"/>
    <xf numFmtId="0" fontId="5" fillId="0" borderId="7" xfId="0" applyFont="1" applyBorder="1" applyAlignment="1" applyProtection="1">
      <alignment horizontal="center" vertical="center"/>
      <protection locked="0"/>
    </xf>
    <xf numFmtId="0" fontId="0" fillId="0" borderId="1" xfId="0" applyBorder="1" applyAlignment="1" applyProtection="1">
      <alignment horizontal="left"/>
      <protection locked="0"/>
    </xf>
    <xf numFmtId="0" fontId="0" fillId="8" borderId="17" xfId="0" applyFill="1" applyBorder="1"/>
    <xf numFmtId="0" fontId="0" fillId="8" borderId="0" xfId="0" applyFill="1"/>
    <xf numFmtId="0" fontId="16" fillId="3" borderId="28" xfId="0" applyFont="1" applyFill="1" applyBorder="1" applyAlignment="1">
      <alignment horizontal="left" vertical="center"/>
    </xf>
    <xf numFmtId="0" fontId="16" fillId="3" borderId="50"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0" fillId="3" borderId="4" xfId="0" applyFill="1" applyBorder="1" applyAlignment="1">
      <alignment horizontal="left"/>
    </xf>
    <xf numFmtId="0" fontId="0" fillId="3" borderId="30" xfId="0" applyFill="1" applyBorder="1" applyAlignment="1">
      <alignment horizontal="left"/>
    </xf>
    <xf numFmtId="0" fontId="0" fillId="10" borderId="6" xfId="0" applyFill="1" applyBorder="1" applyAlignment="1">
      <alignment horizontal="left"/>
    </xf>
    <xf numFmtId="0" fontId="0" fillId="3" borderId="53" xfId="0" applyFill="1" applyBorder="1"/>
    <xf numFmtId="0" fontId="16" fillId="3" borderId="32" xfId="0" applyFont="1" applyFill="1" applyBorder="1" applyAlignment="1">
      <alignment horizontal="center" vertical="center"/>
    </xf>
    <xf numFmtId="0" fontId="16" fillId="3" borderId="10" xfId="0" applyFont="1" applyFill="1" applyBorder="1" applyAlignment="1">
      <alignment horizontal="center" vertical="center"/>
    </xf>
    <xf numFmtId="0" fontId="0" fillId="8" borderId="1" xfId="0" applyFill="1" applyBorder="1" applyAlignment="1" applyProtection="1">
      <alignment horizontal="left"/>
      <protection locked="0"/>
    </xf>
    <xf numFmtId="0" fontId="0" fillId="3" borderId="5" xfId="0" applyFill="1" applyBorder="1" applyAlignment="1">
      <alignment horizontal="left"/>
    </xf>
    <xf numFmtId="0" fontId="0" fillId="3" borderId="23" xfId="0" applyFill="1" applyBorder="1" applyAlignment="1">
      <alignment horizontal="left"/>
    </xf>
    <xf numFmtId="0" fontId="0" fillId="10" borderId="7" xfId="0" applyFill="1" applyBorder="1" applyAlignment="1">
      <alignment horizontal="left"/>
    </xf>
    <xf numFmtId="0" fontId="0" fillId="3" borderId="43" xfId="0" applyFill="1" applyBorder="1"/>
    <xf numFmtId="0" fontId="16" fillId="3" borderId="11" xfId="0" applyFont="1" applyFill="1" applyBorder="1" applyAlignment="1">
      <alignment horizontal="center" vertical="center"/>
    </xf>
    <xf numFmtId="14" fontId="0" fillId="8" borderId="1" xfId="0" applyNumberFormat="1" applyFill="1" applyBorder="1" applyAlignment="1">
      <alignment horizontal="left"/>
    </xf>
    <xf numFmtId="0" fontId="16" fillId="3" borderId="55" xfId="0" applyFont="1" applyFill="1" applyBorder="1" applyAlignment="1">
      <alignment horizontal="center" vertical="center"/>
    </xf>
    <xf numFmtId="0" fontId="0" fillId="2" borderId="5" xfId="0" applyFill="1" applyBorder="1" applyAlignment="1">
      <alignment horizontal="left"/>
    </xf>
    <xf numFmtId="0" fontId="0" fillId="2" borderId="23" xfId="0" applyFill="1" applyBorder="1" applyAlignment="1">
      <alignment horizontal="left"/>
    </xf>
    <xf numFmtId="0" fontId="0" fillId="2" borderId="43" xfId="0" applyFill="1" applyBorder="1"/>
    <xf numFmtId="0" fontId="16" fillId="2" borderId="32" xfId="0" applyFont="1" applyFill="1" applyBorder="1" applyAlignment="1">
      <alignment horizontal="center" vertical="center"/>
    </xf>
    <xf numFmtId="0" fontId="16" fillId="2" borderId="55" xfId="0" applyFont="1" applyFill="1" applyBorder="1" applyAlignment="1">
      <alignment horizontal="center" vertical="center"/>
    </xf>
    <xf numFmtId="0" fontId="0" fillId="2" borderId="1" xfId="0" applyFill="1" applyBorder="1" applyAlignment="1" applyProtection="1">
      <alignment horizontal="left"/>
      <protection locked="0"/>
    </xf>
    <xf numFmtId="14" fontId="0" fillId="2" borderId="1" xfId="0" applyNumberFormat="1" applyFill="1" applyBorder="1" applyAlignment="1" applyProtection="1">
      <alignment horizontal="left"/>
      <protection locked="0"/>
    </xf>
    <xf numFmtId="0" fontId="16" fillId="3" borderId="11" xfId="0" applyFont="1" applyFill="1" applyBorder="1" applyAlignment="1">
      <alignment horizontal="center" vertical="center" wrapText="1"/>
    </xf>
    <xf numFmtId="0" fontId="0" fillId="3" borderId="0" xfId="0" applyFill="1" applyAlignment="1">
      <alignment horizontal="left"/>
    </xf>
    <xf numFmtId="4" fontId="0" fillId="8" borderId="1" xfId="0" applyNumberFormat="1" applyFill="1" applyBorder="1" applyAlignment="1" applyProtection="1">
      <alignment horizontal="left"/>
      <protection locked="0"/>
    </xf>
    <xf numFmtId="0" fontId="18" fillId="13" borderId="1" xfId="0" applyFont="1" applyFill="1" applyBorder="1" applyAlignment="1">
      <alignment vertical="center" wrapText="1"/>
    </xf>
    <xf numFmtId="0" fontId="19" fillId="0" borderId="1" xfId="0" applyFont="1" applyBorder="1" applyAlignment="1">
      <alignment vertical="center"/>
    </xf>
    <xf numFmtId="0" fontId="17" fillId="0" borderId="1" xfId="0" applyFont="1" applyBorder="1" applyAlignment="1">
      <alignment vertical="center"/>
    </xf>
    <xf numFmtId="0" fontId="0" fillId="5" borderId="1" xfId="0" applyFill="1" applyBorder="1" applyAlignment="1" applyProtection="1">
      <alignment horizontal="left"/>
      <protection locked="0"/>
    </xf>
    <xf numFmtId="0" fontId="0" fillId="5" borderId="1" xfId="0" applyFill="1" applyBorder="1"/>
    <xf numFmtId="0" fontId="7" fillId="0" borderId="1" xfId="0" applyFont="1" applyBorder="1"/>
    <xf numFmtId="0" fontId="7" fillId="2" borderId="1" xfId="0" applyFont="1" applyFill="1" applyBorder="1"/>
    <xf numFmtId="0" fontId="0" fillId="12" borderId="0" xfId="0" applyFill="1"/>
    <xf numFmtId="0" fontId="0" fillId="12" borderId="5" xfId="0" applyFill="1" applyBorder="1" applyAlignment="1">
      <alignment horizontal="left"/>
    </xf>
    <xf numFmtId="0" fontId="0" fillId="12" borderId="23" xfId="0" applyFill="1" applyBorder="1" applyAlignment="1">
      <alignment horizontal="left"/>
    </xf>
    <xf numFmtId="0" fontId="0" fillId="12" borderId="7" xfId="0" applyFill="1" applyBorder="1" applyAlignment="1">
      <alignment horizontal="left"/>
    </xf>
    <xf numFmtId="0" fontId="0" fillId="12" borderId="43" xfId="0" applyFill="1" applyBorder="1"/>
    <xf numFmtId="0" fontId="16" fillId="12" borderId="32" xfId="0" applyFont="1" applyFill="1" applyBorder="1" applyAlignment="1">
      <alignment horizontal="center" vertical="center"/>
    </xf>
    <xf numFmtId="0" fontId="16" fillId="12" borderId="55" xfId="0" applyFont="1" applyFill="1" applyBorder="1" applyAlignment="1">
      <alignment horizontal="center" vertical="center"/>
    </xf>
    <xf numFmtId="0" fontId="7" fillId="0" borderId="0" xfId="0" applyFont="1"/>
    <xf numFmtId="0" fontId="6" fillId="3" borderId="56" xfId="0" applyFont="1" applyFill="1" applyBorder="1" applyAlignment="1" applyProtection="1">
      <alignment horizontal="center" vertical="center"/>
      <protection locked="0"/>
    </xf>
    <xf numFmtId="0" fontId="19" fillId="0" borderId="1" xfId="0" applyFont="1" applyBorder="1" applyAlignment="1">
      <alignment horizontal="left" vertical="top"/>
    </xf>
    <xf numFmtId="0" fontId="7" fillId="2" borderId="1" xfId="0" applyFont="1" applyFill="1" applyBorder="1" applyAlignment="1">
      <alignment horizontal="left"/>
    </xf>
    <xf numFmtId="0" fontId="0" fillId="2" borderId="1" xfId="0" applyFill="1" applyBorder="1"/>
    <xf numFmtId="0" fontId="0" fillId="2" borderId="1" xfId="0" applyFill="1" applyBorder="1" applyAlignment="1">
      <alignment horizontal="left" vertical="top"/>
    </xf>
    <xf numFmtId="0" fontId="15" fillId="2" borderId="1" xfId="0" applyFont="1" applyFill="1" applyBorder="1" applyAlignment="1">
      <alignment horizontal="left" vertical="top"/>
    </xf>
    <xf numFmtId="0" fontId="5" fillId="2" borderId="8" xfId="0" applyFont="1" applyFill="1" applyBorder="1" applyAlignment="1" applyProtection="1">
      <alignment horizontal="center" vertical="center"/>
      <protection locked="0"/>
    </xf>
    <xf numFmtId="0" fontId="5" fillId="2" borderId="8" xfId="0" applyFont="1" applyFill="1" applyBorder="1" applyAlignment="1" applyProtection="1">
      <alignment horizontal="center" vertical="center" wrapText="1"/>
      <protection locked="0"/>
    </xf>
    <xf numFmtId="0" fontId="20" fillId="3" borderId="57" xfId="0" applyFont="1" applyFill="1" applyBorder="1" applyAlignment="1">
      <alignment horizontal="center" vertical="center" wrapText="1"/>
    </xf>
    <xf numFmtId="0" fontId="5" fillId="3" borderId="56" xfId="0" applyFont="1" applyFill="1" applyBorder="1" applyAlignment="1" applyProtection="1">
      <alignment horizontal="center" vertical="center" wrapText="1"/>
      <protection locked="0"/>
    </xf>
    <xf numFmtId="0" fontId="3" fillId="3" borderId="56" xfId="0" applyFont="1" applyFill="1" applyBorder="1" applyAlignment="1" applyProtection="1">
      <alignment horizontal="center" vertical="center"/>
      <protection locked="0"/>
    </xf>
    <xf numFmtId="0" fontId="5" fillId="3" borderId="56" xfId="0" applyFont="1" applyFill="1" applyBorder="1" applyAlignment="1" applyProtection="1">
      <alignment horizontal="center" vertical="center"/>
      <protection locked="0"/>
    </xf>
    <xf numFmtId="0" fontId="5" fillId="5" borderId="56" xfId="0" applyFont="1" applyFill="1" applyBorder="1" applyAlignment="1" applyProtection="1">
      <alignment horizontal="center" vertical="center"/>
      <protection locked="0"/>
    </xf>
    <xf numFmtId="0" fontId="0" fillId="6" borderId="56" xfId="0" applyFill="1" applyBorder="1"/>
    <xf numFmtId="0" fontId="0" fillId="6" borderId="56" xfId="0" applyFill="1" applyBorder="1" applyAlignment="1">
      <alignment wrapText="1"/>
    </xf>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workbookViewId="0">
      <selection activeCell="E23" sqref="E23"/>
    </sheetView>
  </sheetViews>
  <sheetFormatPr defaultRowHeight="14.5" x14ac:dyDescent="0.35"/>
  <cols>
    <col min="1" max="1" width="15" bestFit="1" customWidth="1"/>
    <col min="3" max="3" width="36" customWidth="1"/>
    <col min="4" max="4" width="13.26953125" customWidth="1"/>
    <col min="5" max="5" width="13.81640625" customWidth="1"/>
    <col min="6" max="6" width="21.54296875" bestFit="1" customWidth="1"/>
    <col min="7" max="7" width="99.1796875" customWidth="1"/>
  </cols>
  <sheetData>
    <row r="1" spans="1:7" x14ac:dyDescent="0.35">
      <c r="A1" s="214" t="s">
        <v>0</v>
      </c>
      <c r="B1" s="215"/>
      <c r="C1" s="216"/>
      <c r="F1" s="214" t="s">
        <v>1</v>
      </c>
      <c r="G1" s="216"/>
    </row>
    <row r="2" spans="1:7" ht="15" thickBot="1" x14ac:dyDescent="0.4">
      <c r="A2" s="217"/>
      <c r="B2" s="218"/>
      <c r="C2" s="219"/>
      <c r="F2" s="217"/>
      <c r="G2" s="219"/>
    </row>
    <row r="5" spans="1:7" ht="15" thickBot="1" x14ac:dyDescent="0.4"/>
    <row r="6" spans="1:7" ht="19" thickBot="1" x14ac:dyDescent="0.5">
      <c r="A6" s="30" t="s">
        <v>0</v>
      </c>
      <c r="B6" s="39" t="s">
        <v>2</v>
      </c>
      <c r="F6" s="38" t="s">
        <v>1</v>
      </c>
    </row>
    <row r="7" spans="1:7" ht="15" thickBot="1" x14ac:dyDescent="0.4">
      <c r="F7" s="49" t="s">
        <v>3</v>
      </c>
      <c r="G7" s="50" t="s">
        <v>4</v>
      </c>
    </row>
    <row r="8" spans="1:7" ht="19" thickBot="1" x14ac:dyDescent="0.5">
      <c r="A8" s="31" t="s">
        <v>5</v>
      </c>
      <c r="F8" s="45" t="s">
        <v>6</v>
      </c>
      <c r="G8" s="44" t="s">
        <v>7</v>
      </c>
    </row>
    <row r="9" spans="1:7" ht="15" thickBot="1" x14ac:dyDescent="0.4">
      <c r="A9" s="6" t="s">
        <v>8</v>
      </c>
      <c r="B9" s="55" t="s">
        <v>0</v>
      </c>
      <c r="C9" s="54" t="s">
        <v>9</v>
      </c>
      <c r="F9" s="45" t="s">
        <v>10</v>
      </c>
      <c r="G9" s="44" t="s">
        <v>11</v>
      </c>
    </row>
    <row r="10" spans="1:7" x14ac:dyDescent="0.35">
      <c r="A10" s="42">
        <v>44061</v>
      </c>
      <c r="B10" s="40" t="s">
        <v>2</v>
      </c>
      <c r="C10" s="43" t="s">
        <v>12</v>
      </c>
      <c r="F10" s="45" t="s">
        <v>13</v>
      </c>
      <c r="G10" s="44" t="s">
        <v>14</v>
      </c>
    </row>
    <row r="11" spans="1:7" ht="29" x14ac:dyDescent="0.35">
      <c r="A11" s="42"/>
      <c r="B11" s="41"/>
      <c r="C11" s="44"/>
      <c r="F11" s="52" t="s">
        <v>15</v>
      </c>
      <c r="G11" s="51" t="s">
        <v>16</v>
      </c>
    </row>
    <row r="12" spans="1:7" ht="15" thickBot="1" x14ac:dyDescent="0.4">
      <c r="A12" s="42"/>
      <c r="B12" s="41"/>
      <c r="C12" s="51"/>
      <c r="F12" s="46"/>
      <c r="G12" s="48"/>
    </row>
    <row r="13" spans="1:7" x14ac:dyDescent="0.35">
      <c r="A13" s="53"/>
      <c r="B13" s="41"/>
      <c r="C13" s="51"/>
    </row>
    <row r="14" spans="1:7" x14ac:dyDescent="0.35">
      <c r="A14" s="53"/>
      <c r="B14" s="41"/>
      <c r="C14" s="51"/>
    </row>
    <row r="15" spans="1:7" x14ac:dyDescent="0.35">
      <c r="A15" s="53"/>
      <c r="B15" s="41"/>
      <c r="C15" s="51"/>
    </row>
    <row r="16" spans="1:7" x14ac:dyDescent="0.35">
      <c r="A16" s="53"/>
      <c r="B16" s="41"/>
      <c r="C16" s="51"/>
    </row>
    <row r="17" spans="1:3" x14ac:dyDescent="0.35">
      <c r="A17" s="45"/>
      <c r="B17" s="1"/>
      <c r="C17" s="44"/>
    </row>
    <row r="18" spans="1:3" x14ac:dyDescent="0.35">
      <c r="A18" s="45"/>
      <c r="B18" s="1"/>
      <c r="C18" s="44"/>
    </row>
    <row r="19" spans="1:3" x14ac:dyDescent="0.35">
      <c r="A19" s="45"/>
      <c r="B19" s="1"/>
      <c r="C19" s="44"/>
    </row>
    <row r="20" spans="1:3" x14ac:dyDescent="0.35">
      <c r="A20" s="45"/>
      <c r="B20" s="1"/>
      <c r="C20" s="44"/>
    </row>
    <row r="21" spans="1:3" x14ac:dyDescent="0.35">
      <c r="A21" s="45"/>
      <c r="B21" s="1"/>
      <c r="C21" s="44"/>
    </row>
    <row r="22" spans="1:3" x14ac:dyDescent="0.35">
      <c r="A22" s="45"/>
      <c r="B22" s="1"/>
      <c r="C22" s="44"/>
    </row>
    <row r="23" spans="1:3" x14ac:dyDescent="0.35">
      <c r="A23" s="45"/>
      <c r="B23" s="1"/>
      <c r="C23" s="44"/>
    </row>
    <row r="24" spans="1:3" x14ac:dyDescent="0.35">
      <c r="A24" s="45"/>
      <c r="B24" s="1"/>
      <c r="C24" s="44"/>
    </row>
    <row r="25" spans="1:3" x14ac:dyDescent="0.35">
      <c r="A25" s="45"/>
      <c r="B25" s="1"/>
      <c r="C25" s="44"/>
    </row>
    <row r="26" spans="1:3" ht="15" thickBot="1" x14ac:dyDescent="0.4">
      <c r="A26" s="46"/>
      <c r="B26" s="47"/>
      <c r="C26" s="48"/>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A56"/>
  <sheetViews>
    <sheetView tabSelected="1" topLeftCell="B12" zoomScale="66" zoomScaleNormal="66" workbookViewId="0">
      <pane xSplit="6" topLeftCell="H1" activePane="topRight" state="frozen"/>
      <selection activeCell="B1" sqref="B1"/>
      <selection pane="topRight" activeCell="I6" sqref="I6"/>
    </sheetView>
  </sheetViews>
  <sheetFormatPr defaultRowHeight="14.5" x14ac:dyDescent="0.35"/>
  <cols>
    <col min="1" max="1" width="25.54296875" customWidth="1"/>
    <col min="2" max="2" width="30.1796875" style="8" bestFit="1" customWidth="1"/>
    <col min="3" max="3" width="22.7265625" style="8" customWidth="1"/>
    <col min="4" max="4" width="33.7265625" style="118" customWidth="1"/>
    <col min="5" max="5" width="18.7265625" hidden="1" customWidth="1"/>
    <col min="6" max="6" width="20.26953125" hidden="1" customWidth="1"/>
    <col min="7" max="7" width="14.7265625" style="5" hidden="1" customWidth="1"/>
    <col min="8" max="8" width="71.81640625" style="5" customWidth="1"/>
    <col min="9" max="9" width="70.1796875" customWidth="1"/>
    <col min="10" max="10" width="68.81640625" style="5" customWidth="1"/>
    <col min="11" max="11" width="70" customWidth="1"/>
    <col min="12" max="12" width="71.81640625" bestFit="1" customWidth="1"/>
    <col min="13" max="13" width="63" bestFit="1" customWidth="1"/>
    <col min="14" max="14" width="64.26953125" customWidth="1"/>
    <col min="15" max="15" width="57.54296875" bestFit="1" customWidth="1"/>
    <col min="16" max="16" width="71.81640625" bestFit="1" customWidth="1"/>
    <col min="17" max="17" width="65.81640625" customWidth="1"/>
    <col min="18" max="18" width="71.81640625" bestFit="1" customWidth="1"/>
    <col min="19" max="19" width="63" bestFit="1" customWidth="1"/>
    <col min="20" max="20" width="57.54296875" bestFit="1" customWidth="1"/>
    <col min="21" max="21" width="71.81640625" bestFit="1" customWidth="1"/>
  </cols>
  <sheetData>
    <row r="1" spans="1:21" ht="15" thickBot="1" x14ac:dyDescent="0.4">
      <c r="B1" s="32" t="s">
        <v>17</v>
      </c>
      <c r="C1" s="9"/>
      <c r="D1" s="117" t="s">
        <v>18</v>
      </c>
      <c r="E1" s="114" t="str">
        <f>SUBSTITUTE(D1," ","")</f>
        <v>Test_ID</v>
      </c>
      <c r="F1" s="61" t="str">
        <f>E1&amp;2</f>
        <v>Test_ID2</v>
      </c>
      <c r="G1" s="111" t="s">
        <v>19</v>
      </c>
      <c r="H1" s="10" t="s">
        <v>20</v>
      </c>
      <c r="I1" s="11" t="s">
        <v>21</v>
      </c>
      <c r="J1" s="10" t="s">
        <v>22</v>
      </c>
      <c r="K1" s="11" t="s">
        <v>23</v>
      </c>
      <c r="L1" s="10" t="s">
        <v>24</v>
      </c>
      <c r="M1" s="11" t="s">
        <v>25</v>
      </c>
      <c r="N1" s="10" t="s">
        <v>26</v>
      </c>
      <c r="O1" s="11" t="s">
        <v>27</v>
      </c>
      <c r="P1" s="10" t="s">
        <v>28</v>
      </c>
      <c r="Q1" s="11" t="s">
        <v>29</v>
      </c>
      <c r="R1" s="10" t="s">
        <v>30</v>
      </c>
      <c r="S1" s="11" t="s">
        <v>31</v>
      </c>
      <c r="T1" s="10" t="s">
        <v>32</v>
      </c>
      <c r="U1" s="11" t="s">
        <v>33</v>
      </c>
    </row>
    <row r="2" spans="1:21" ht="15" thickBot="1" x14ac:dyDescent="0.4">
      <c r="B2" s="32" t="str">
        <f>Information!B6</f>
        <v>0.3</v>
      </c>
      <c r="C2" s="9"/>
      <c r="D2" s="117" t="s">
        <v>36</v>
      </c>
      <c r="E2" s="122"/>
      <c r="F2" s="129"/>
      <c r="G2" s="130"/>
      <c r="H2" s="117">
        <v>1</v>
      </c>
      <c r="I2" s="117">
        <v>2</v>
      </c>
      <c r="J2" s="117">
        <v>3</v>
      </c>
      <c r="K2" s="117">
        <v>4</v>
      </c>
      <c r="L2" s="117">
        <v>5</v>
      </c>
      <c r="M2" s="117">
        <v>6</v>
      </c>
      <c r="N2" s="117">
        <v>7</v>
      </c>
      <c r="O2" s="117">
        <v>8</v>
      </c>
      <c r="P2" s="117">
        <v>9</v>
      </c>
      <c r="Q2" s="117">
        <v>10</v>
      </c>
      <c r="R2" s="117">
        <v>11</v>
      </c>
      <c r="S2" s="117">
        <v>12</v>
      </c>
      <c r="T2" s="117">
        <v>13</v>
      </c>
      <c r="U2" s="117">
        <v>14</v>
      </c>
    </row>
    <row r="3" spans="1:21" ht="91" x14ac:dyDescent="0.35">
      <c r="B3" s="32"/>
      <c r="C3" s="9"/>
      <c r="D3" s="60" t="s">
        <v>37</v>
      </c>
      <c r="E3" s="114" t="str">
        <f>SUBSTITUTE(D3," ","")</f>
        <v>Process</v>
      </c>
      <c r="F3" s="61" t="str">
        <f>E3&amp;2</f>
        <v>Process2</v>
      </c>
      <c r="G3" s="112" t="s">
        <v>38</v>
      </c>
      <c r="H3" s="35" t="s">
        <v>39</v>
      </c>
      <c r="I3" s="35" t="s">
        <v>39</v>
      </c>
      <c r="J3" s="35" t="s">
        <v>40</v>
      </c>
      <c r="K3" s="35" t="s">
        <v>40</v>
      </c>
      <c r="L3" s="35" t="s">
        <v>41</v>
      </c>
      <c r="M3" s="35" t="s">
        <v>41</v>
      </c>
      <c r="N3" s="35" t="s">
        <v>41</v>
      </c>
      <c r="O3" s="35" t="s">
        <v>41</v>
      </c>
      <c r="P3" s="35" t="s">
        <v>42</v>
      </c>
      <c r="Q3" s="35" t="s">
        <v>43</v>
      </c>
      <c r="R3" s="35" t="s">
        <v>41</v>
      </c>
      <c r="S3" s="35" t="s">
        <v>41</v>
      </c>
      <c r="T3" s="35" t="s">
        <v>41</v>
      </c>
      <c r="U3" s="35" t="s">
        <v>41</v>
      </c>
    </row>
    <row r="4" spans="1:21" x14ac:dyDescent="0.35">
      <c r="B4" s="9"/>
      <c r="C4" s="9"/>
      <c r="D4" s="56" t="s">
        <v>44</v>
      </c>
      <c r="E4" s="115" t="str">
        <f t="shared" ref="E4:E10" si="0">SUBSTITUTE(D4," ","")</f>
        <v>ExecutionFlag</v>
      </c>
      <c r="F4" s="58" t="str">
        <f t="shared" ref="F4:F10" si="1">E4&amp;2</f>
        <v>ExecutionFlag2</v>
      </c>
      <c r="G4" s="56" t="s">
        <v>45</v>
      </c>
      <c r="H4" s="151" t="s">
        <v>46</v>
      </c>
      <c r="I4" s="151" t="s">
        <v>46</v>
      </c>
      <c r="J4" s="151" t="s">
        <v>46</v>
      </c>
      <c r="K4" s="151" t="s">
        <v>46</v>
      </c>
      <c r="L4" s="151" t="s">
        <v>46</v>
      </c>
      <c r="M4" s="151" t="s">
        <v>46</v>
      </c>
      <c r="N4" s="151" t="s">
        <v>46</v>
      </c>
      <c r="O4" s="151" t="s">
        <v>46</v>
      </c>
      <c r="P4" s="151" t="s">
        <v>46</v>
      </c>
      <c r="Q4" s="151" t="s">
        <v>46</v>
      </c>
      <c r="R4" s="151" t="s">
        <v>46</v>
      </c>
      <c r="S4" s="151" t="s">
        <v>46</v>
      </c>
      <c r="T4" s="151" t="s">
        <v>46</v>
      </c>
      <c r="U4" s="151" t="s">
        <v>46</v>
      </c>
    </row>
    <row r="5" spans="1:21" x14ac:dyDescent="0.35">
      <c r="B5" s="9"/>
      <c r="C5" s="9"/>
      <c r="D5" s="56" t="s">
        <v>48</v>
      </c>
      <c r="E5" s="115" t="str">
        <f t="shared" ref="E5" si="2">SUBSTITUTE(D5," ","")</f>
        <v>Country</v>
      </c>
      <c r="F5" s="58" t="str">
        <f t="shared" ref="F5" si="3">E5&amp;2</f>
        <v>Country2</v>
      </c>
      <c r="G5" s="56"/>
      <c r="H5" s="151" t="s">
        <v>49</v>
      </c>
      <c r="I5" s="151" t="s">
        <v>49</v>
      </c>
      <c r="J5" s="151" t="s">
        <v>49</v>
      </c>
      <c r="K5" s="151" t="s">
        <v>49</v>
      </c>
      <c r="L5" s="151" t="s">
        <v>49</v>
      </c>
      <c r="M5" s="151" t="s">
        <v>49</v>
      </c>
      <c r="N5" s="151" t="s">
        <v>49</v>
      </c>
      <c r="O5" s="151" t="s">
        <v>49</v>
      </c>
      <c r="P5" s="151" t="s">
        <v>49</v>
      </c>
      <c r="Q5" s="151" t="s">
        <v>49</v>
      </c>
      <c r="R5" s="151" t="s">
        <v>49</v>
      </c>
      <c r="S5" s="151"/>
      <c r="T5" s="151"/>
      <c r="U5" s="151"/>
    </row>
    <row r="6" spans="1:21" ht="91" x14ac:dyDescent="0.35">
      <c r="B6" s="9"/>
      <c r="C6" s="9"/>
      <c r="D6" s="56" t="s">
        <v>50</v>
      </c>
      <c r="E6" s="115" t="str">
        <f t="shared" si="0"/>
        <v>LastRunTimeandStatus</v>
      </c>
      <c r="F6" s="58" t="str">
        <f t="shared" si="1"/>
        <v>LastRunTimeandStatus2</v>
      </c>
      <c r="G6" s="113" t="s">
        <v>51</v>
      </c>
      <c r="H6" s="36"/>
      <c r="I6" s="36"/>
      <c r="J6" s="36"/>
      <c r="K6" s="36"/>
      <c r="L6" s="36"/>
      <c r="M6" s="36"/>
      <c r="N6" s="36"/>
      <c r="O6" s="36"/>
      <c r="P6" s="36"/>
      <c r="Q6" s="36"/>
      <c r="R6" s="36"/>
      <c r="S6" s="36"/>
      <c r="T6" s="36"/>
      <c r="U6" s="36"/>
    </row>
    <row r="7" spans="1:21" ht="15" thickBot="1" x14ac:dyDescent="0.4">
      <c r="A7" t="s">
        <v>52</v>
      </c>
      <c r="B7" s="9"/>
      <c r="C7" s="9"/>
      <c r="D7" s="56" t="s">
        <v>53</v>
      </c>
      <c r="E7" s="115" t="str">
        <f t="shared" si="0"/>
        <v>LastRunErrorMessage</v>
      </c>
      <c r="F7" s="62" t="str">
        <f t="shared" si="1"/>
        <v>LastRunErrorMessage2</v>
      </c>
      <c r="G7" s="56" t="s">
        <v>54</v>
      </c>
      <c r="H7" s="145"/>
      <c r="I7" s="144"/>
      <c r="J7" s="145"/>
      <c r="K7" s="144"/>
      <c r="L7" s="208"/>
      <c r="M7" s="144"/>
      <c r="N7" s="144"/>
      <c r="O7" s="144"/>
      <c r="P7" s="144"/>
      <c r="Q7" s="144"/>
    </row>
    <row r="8" spans="1:21" ht="91" x14ac:dyDescent="0.35">
      <c r="B8" s="9"/>
      <c r="C8" s="9"/>
      <c r="D8" s="56" t="s">
        <v>55</v>
      </c>
      <c r="E8" s="115" t="str">
        <f t="shared" si="0"/>
        <v>DefectDescription</v>
      </c>
      <c r="F8" s="58" t="str">
        <f t="shared" si="1"/>
        <v>DefectDescription2</v>
      </c>
      <c r="G8" s="113" t="s">
        <v>56</v>
      </c>
      <c r="H8" s="123"/>
      <c r="I8" s="145"/>
      <c r="J8" s="123"/>
      <c r="K8" s="123"/>
      <c r="L8" s="35"/>
      <c r="M8" s="35"/>
      <c r="N8" s="35"/>
      <c r="O8" s="35"/>
      <c r="P8" s="35"/>
      <c r="Q8" s="35"/>
      <c r="R8" s="35"/>
      <c r="S8" s="35"/>
      <c r="T8" s="35"/>
      <c r="U8" s="35"/>
    </row>
    <row r="9" spans="1:21" ht="62.25" customHeight="1" x14ac:dyDescent="0.35">
      <c r="B9" s="9"/>
      <c r="C9" s="9"/>
      <c r="D9" s="56" t="s">
        <v>57</v>
      </c>
      <c r="E9" s="115" t="str">
        <f>SUBSTITUTE(D9," ","")</f>
        <v>AutomationComments</v>
      </c>
      <c r="F9" s="58" t="str">
        <f t="shared" si="1"/>
        <v>AutomationComments2</v>
      </c>
      <c r="G9" s="56" t="s">
        <v>58</v>
      </c>
      <c r="H9" s="63"/>
      <c r="I9" s="63"/>
      <c r="J9" s="63"/>
      <c r="K9" s="63"/>
      <c r="L9" s="63"/>
      <c r="M9" s="63"/>
      <c r="N9" s="63"/>
      <c r="O9" s="63"/>
      <c r="P9" s="63"/>
      <c r="Q9" s="63"/>
      <c r="R9" s="63"/>
      <c r="S9" s="63"/>
      <c r="T9" s="63"/>
      <c r="U9" s="63"/>
    </row>
    <row r="10" spans="1:21" ht="26.25" customHeight="1" thickBot="1" x14ac:dyDescent="0.4">
      <c r="B10" s="9"/>
      <c r="C10" s="9"/>
      <c r="D10" s="57" t="s">
        <v>59</v>
      </c>
      <c r="E10" s="116" t="str">
        <f t="shared" si="0"/>
        <v>QAComments</v>
      </c>
      <c r="F10" s="59" t="str">
        <f t="shared" si="1"/>
        <v>QAComments2</v>
      </c>
      <c r="G10" s="57" t="s">
        <v>60</v>
      </c>
      <c r="H10" s="124" t="s">
        <v>39</v>
      </c>
      <c r="I10" s="125" t="s">
        <v>39</v>
      </c>
      <c r="J10" s="127" t="s">
        <v>40</v>
      </c>
      <c r="K10" s="126" t="s">
        <v>40</v>
      </c>
      <c r="L10" s="126" t="s">
        <v>61</v>
      </c>
      <c r="M10" s="125" t="s">
        <v>871</v>
      </c>
      <c r="N10" s="127" t="s">
        <v>874</v>
      </c>
      <c r="O10" s="126" t="s">
        <v>873</v>
      </c>
      <c r="P10" s="124" t="s">
        <v>63</v>
      </c>
      <c r="Q10" s="125" t="s">
        <v>64</v>
      </c>
      <c r="R10" s="124" t="s">
        <v>65</v>
      </c>
      <c r="S10" s="125" t="s">
        <v>66</v>
      </c>
      <c r="T10" s="205" t="s">
        <v>67</v>
      </c>
      <c r="U10" s="206" t="s">
        <v>68</v>
      </c>
    </row>
    <row r="11" spans="1:21" ht="31.5" customHeight="1" thickBot="1" x14ac:dyDescent="0.4">
      <c r="B11" s="9"/>
      <c r="C11" s="9"/>
      <c r="D11" s="120"/>
      <c r="E11" s="120"/>
      <c r="F11" s="120"/>
      <c r="G11" s="120"/>
      <c r="H11" s="121"/>
      <c r="I11" s="119"/>
      <c r="J11" s="119"/>
      <c r="K11" s="119"/>
      <c r="L11" s="119"/>
      <c r="M11" s="119"/>
      <c r="N11" s="119"/>
      <c r="O11" s="119"/>
      <c r="P11" s="121"/>
      <c r="Q11" s="119"/>
      <c r="R11" s="121"/>
      <c r="S11" s="119"/>
      <c r="T11" s="119"/>
      <c r="U11" s="121"/>
    </row>
    <row r="12" spans="1:21" ht="15" thickBot="1" x14ac:dyDescent="0.4">
      <c r="B12" s="155" t="s">
        <v>69</v>
      </c>
      <c r="C12" s="156" t="s">
        <v>70</v>
      </c>
      <c r="D12" s="157" t="s">
        <v>71</v>
      </c>
      <c r="E12" s="158" t="s">
        <v>72</v>
      </c>
      <c r="F12" s="159" t="s">
        <v>73</v>
      </c>
      <c r="G12" s="159"/>
      <c r="H12" s="131" t="s">
        <v>20</v>
      </c>
      <c r="I12" s="131" t="s">
        <v>21</v>
      </c>
      <c r="J12" s="131" t="s">
        <v>22</v>
      </c>
      <c r="K12" s="131" t="s">
        <v>23</v>
      </c>
      <c r="L12" s="131" t="s">
        <v>24</v>
      </c>
      <c r="M12" s="131" t="s">
        <v>25</v>
      </c>
      <c r="N12" s="131" t="s">
        <v>26</v>
      </c>
      <c r="O12" s="131" t="s">
        <v>27</v>
      </c>
      <c r="P12" s="131" t="s">
        <v>28</v>
      </c>
      <c r="Q12" s="131" t="s">
        <v>29</v>
      </c>
      <c r="R12" s="131" t="s">
        <v>32</v>
      </c>
      <c r="S12" s="131" t="s">
        <v>33</v>
      </c>
      <c r="T12" s="131" t="s">
        <v>34</v>
      </c>
      <c r="U12" s="131" t="s">
        <v>35</v>
      </c>
    </row>
    <row r="13" spans="1:21" ht="58" x14ac:dyDescent="0.35">
      <c r="A13" s="144" t="s">
        <v>74</v>
      </c>
      <c r="B13" s="160" t="s">
        <v>75</v>
      </c>
      <c r="C13" s="161" t="s">
        <v>76</v>
      </c>
      <c r="D13" s="162" t="s">
        <v>77</v>
      </c>
      <c r="E13" s="163" t="str">
        <f>SUBSTITUTE(B13," ","") &amp; "_" &amp; SUBSTITUTE(IF(C13="N/A","",C13&amp; "_")," ","")  &amp; SUBSTITUTE(SUBSTITUTE(D13," ",""),"/","")</f>
        <v>Login_Username</v>
      </c>
      <c r="F13" s="164" t="str">
        <f>E13&amp;2</f>
        <v>Login_Username2</v>
      </c>
      <c r="G13" s="165"/>
      <c r="H13" s="187">
        <v>90001655</v>
      </c>
      <c r="I13" s="187">
        <v>90001655</v>
      </c>
      <c r="J13" s="187">
        <v>90001655</v>
      </c>
      <c r="K13" s="187">
        <v>90001655</v>
      </c>
      <c r="L13" s="187">
        <v>90001655</v>
      </c>
      <c r="M13" s="187">
        <v>90001655</v>
      </c>
      <c r="N13" s="187">
        <v>90001655</v>
      </c>
      <c r="O13" s="187">
        <v>90001655</v>
      </c>
      <c r="P13" s="187">
        <v>90001655</v>
      </c>
      <c r="Q13" s="187">
        <v>90001655</v>
      </c>
      <c r="R13" s="187">
        <v>90001655</v>
      </c>
      <c r="S13" s="187">
        <v>90001655</v>
      </c>
      <c r="T13" s="187">
        <v>90001655</v>
      </c>
      <c r="U13" s="187">
        <v>90001655</v>
      </c>
    </row>
    <row r="14" spans="1:21" ht="58" x14ac:dyDescent="0.35">
      <c r="A14" s="144" t="s">
        <v>74</v>
      </c>
      <c r="B14" s="167" t="s">
        <v>75</v>
      </c>
      <c r="C14" s="168" t="s">
        <v>76</v>
      </c>
      <c r="D14" s="169" t="s">
        <v>78</v>
      </c>
      <c r="E14" s="170" t="str">
        <f t="shared" ref="E14:E40" si="4">SUBSTITUTE(B14," ","") &amp; "_" &amp; SUBSTITUTE(IF(C14="N/A","",C14&amp; "_")," ","")  &amp; SUBSTITUTE(SUBSTITUTE(D14," ",""),"/","")</f>
        <v>Login_Password</v>
      </c>
      <c r="F14" s="164" t="str">
        <f t="shared" ref="F14:F40" si="5">E14&amp;2</f>
        <v>Login_Password2</v>
      </c>
      <c r="G14" s="171"/>
      <c r="H14" s="188" t="s">
        <v>875</v>
      </c>
      <c r="I14" s="188" t="s">
        <v>875</v>
      </c>
      <c r="J14" s="188" t="s">
        <v>875</v>
      </c>
      <c r="K14" s="188" t="s">
        <v>875</v>
      </c>
      <c r="L14" s="188" t="s">
        <v>875</v>
      </c>
      <c r="M14" s="188" t="s">
        <v>875</v>
      </c>
      <c r="N14" s="188" t="s">
        <v>875</v>
      </c>
      <c r="O14" s="188" t="s">
        <v>875</v>
      </c>
      <c r="P14" s="188" t="s">
        <v>875</v>
      </c>
      <c r="Q14" s="188" t="s">
        <v>875</v>
      </c>
      <c r="R14" s="188" t="s">
        <v>875</v>
      </c>
      <c r="S14" s="188" t="s">
        <v>875</v>
      </c>
      <c r="T14" s="188" t="s">
        <v>875</v>
      </c>
      <c r="U14" s="188" t="s">
        <v>875</v>
      </c>
    </row>
    <row r="15" spans="1:21" ht="58" x14ac:dyDescent="0.35">
      <c r="A15" s="144" t="s">
        <v>74</v>
      </c>
      <c r="B15" s="167" t="s">
        <v>79</v>
      </c>
      <c r="C15" s="168" t="s">
        <v>76</v>
      </c>
      <c r="D15" s="169" t="s">
        <v>80</v>
      </c>
      <c r="E15" s="170" t="str">
        <f t="shared" si="4"/>
        <v>Proxy_EmployeeID</v>
      </c>
      <c r="F15" s="164" t="str">
        <f t="shared" si="5"/>
        <v>Proxy_EmployeeID2</v>
      </c>
      <c r="G15" s="171"/>
      <c r="H15" s="199">
        <v>10699195</v>
      </c>
      <c r="I15" s="199">
        <v>10699177</v>
      </c>
      <c r="J15" s="207">
        <v>10699178</v>
      </c>
      <c r="K15" s="199">
        <v>10699165</v>
      </c>
      <c r="L15" s="199">
        <v>10699179</v>
      </c>
      <c r="M15" s="199">
        <v>10699126</v>
      </c>
      <c r="N15" s="199">
        <v>10699127</v>
      </c>
      <c r="O15" s="199">
        <v>10699162</v>
      </c>
      <c r="P15" s="199">
        <v>10699119</v>
      </c>
      <c r="Q15" s="199">
        <v>10699118</v>
      </c>
      <c r="R15" s="209">
        <v>10699128</v>
      </c>
      <c r="S15" s="209">
        <v>10699197</v>
      </c>
      <c r="T15" s="209">
        <v>10699139</v>
      </c>
      <c r="U15" s="209">
        <v>10699185</v>
      </c>
    </row>
    <row r="16" spans="1:21" ht="58" x14ac:dyDescent="0.35">
      <c r="A16" s="144" t="s">
        <v>74</v>
      </c>
      <c r="B16" s="167" t="s">
        <v>81</v>
      </c>
      <c r="C16" s="168" t="s">
        <v>82</v>
      </c>
      <c r="D16" s="169" t="s">
        <v>83</v>
      </c>
      <c r="E16" s="170" t="str">
        <f t="shared" ref="E16" si="6">SUBSTITUTE(B16," ","") &amp; "_" &amp; SUBSTITUTE(IF(C16="N/A","",C16&amp; "_")," ","")  &amp; SUBSTITUTE(SUBSTITUTE(D16," ",""),"/","")</f>
        <v>ChangeJob_Start_EffectiveDate</v>
      </c>
      <c r="F16" s="164" t="str">
        <f t="shared" ref="F16" si="7">E16&amp;2</f>
        <v>ChangeJob_Start_EffectiveDate2</v>
      </c>
      <c r="G16" s="171"/>
      <c r="H16" s="172">
        <v>45778</v>
      </c>
      <c r="I16" s="172">
        <v>45778</v>
      </c>
      <c r="J16" s="172">
        <v>45778</v>
      </c>
      <c r="K16" s="172">
        <v>45778</v>
      </c>
      <c r="L16" s="172">
        <v>45778</v>
      </c>
      <c r="M16" s="172">
        <v>45778</v>
      </c>
      <c r="N16" s="172">
        <v>45778</v>
      </c>
      <c r="O16" s="172">
        <v>45778</v>
      </c>
      <c r="P16" s="172">
        <v>45778</v>
      </c>
      <c r="Q16" s="172">
        <v>45778</v>
      </c>
      <c r="R16" s="172">
        <v>45778</v>
      </c>
      <c r="S16" s="172">
        <v>45778</v>
      </c>
      <c r="T16" s="172">
        <v>45839</v>
      </c>
      <c r="U16" s="172">
        <v>45839</v>
      </c>
    </row>
    <row r="17" spans="1:32" ht="58" x14ac:dyDescent="0.35">
      <c r="A17" s="144" t="s">
        <v>74</v>
      </c>
      <c r="B17" s="167" t="s">
        <v>81</v>
      </c>
      <c r="C17" s="168" t="s">
        <v>82</v>
      </c>
      <c r="D17" s="169" t="s">
        <v>84</v>
      </c>
      <c r="E17" s="170" t="str">
        <f t="shared" si="4"/>
        <v>ChangeJob_Start_Reason</v>
      </c>
      <c r="F17" s="164" t="str">
        <f t="shared" si="5"/>
        <v>ChangeJob_Start_Reason2</v>
      </c>
      <c r="G17" s="173" t="s">
        <v>85</v>
      </c>
      <c r="H17" s="166" t="s">
        <v>86</v>
      </c>
      <c r="I17" s="166" t="s">
        <v>86</v>
      </c>
      <c r="J17" s="166" t="s">
        <v>86</v>
      </c>
      <c r="K17" s="166" t="s">
        <v>86</v>
      </c>
      <c r="L17" s="166" t="s">
        <v>86</v>
      </c>
      <c r="M17" s="166" t="s">
        <v>86</v>
      </c>
      <c r="N17" s="166" t="s">
        <v>86</v>
      </c>
      <c r="O17" s="166" t="s">
        <v>86</v>
      </c>
      <c r="P17" s="166" t="s">
        <v>87</v>
      </c>
      <c r="Q17" s="166" t="s">
        <v>88</v>
      </c>
      <c r="R17" s="166" t="s">
        <v>86</v>
      </c>
      <c r="S17" s="166" t="s">
        <v>86</v>
      </c>
      <c r="T17" s="166" t="s">
        <v>86</v>
      </c>
      <c r="U17" s="166" t="s">
        <v>86</v>
      </c>
    </row>
    <row r="18" spans="1:32" x14ac:dyDescent="0.35">
      <c r="A18" t="s">
        <v>89</v>
      </c>
      <c r="B18" s="167" t="s">
        <v>81</v>
      </c>
      <c r="C18" s="168" t="s">
        <v>82</v>
      </c>
      <c r="D18" s="169" t="s">
        <v>90</v>
      </c>
      <c r="E18" s="170" t="str">
        <f t="shared" si="4"/>
        <v>ChangeJob_Start_NewManager</v>
      </c>
      <c r="F18" s="164" t="str">
        <f t="shared" si="5"/>
        <v>ChangeJob_Start_NewManager2</v>
      </c>
      <c r="G18" s="173" t="s">
        <v>91</v>
      </c>
      <c r="H18" s="166" t="s">
        <v>76</v>
      </c>
      <c r="I18" s="166" t="s">
        <v>76</v>
      </c>
      <c r="J18" s="166" t="s">
        <v>76</v>
      </c>
      <c r="K18" s="166" t="s">
        <v>76</v>
      </c>
      <c r="L18" s="166" t="s">
        <v>76</v>
      </c>
      <c r="M18" s="166" t="s">
        <v>76</v>
      </c>
      <c r="N18" s="166" t="s">
        <v>76</v>
      </c>
      <c r="O18" s="166" t="s">
        <v>76</v>
      </c>
      <c r="P18" s="166" t="s">
        <v>76</v>
      </c>
      <c r="Q18" s="166" t="s">
        <v>76</v>
      </c>
      <c r="R18" s="166" t="s">
        <v>76</v>
      </c>
      <c r="S18" s="166" t="s">
        <v>76</v>
      </c>
      <c r="T18" s="166" t="s">
        <v>76</v>
      </c>
      <c r="U18" s="166" t="s">
        <v>76</v>
      </c>
    </row>
    <row r="19" spans="1:32" s="21" customFormat="1" x14ac:dyDescent="0.35">
      <c r="A19" s="21" t="s">
        <v>89</v>
      </c>
      <c r="B19" s="174" t="s">
        <v>81</v>
      </c>
      <c r="C19" s="175" t="s">
        <v>82</v>
      </c>
      <c r="D19" s="7" t="s">
        <v>92</v>
      </c>
      <c r="E19" s="176" t="str">
        <f t="shared" si="4"/>
        <v>ChangeJob_Start_NewTeam</v>
      </c>
      <c r="F19" s="177" t="str">
        <f t="shared" si="5"/>
        <v>ChangeJob_Start_NewTeam2</v>
      </c>
      <c r="G19" s="178" t="s">
        <v>93</v>
      </c>
      <c r="H19" s="166" t="s">
        <v>76</v>
      </c>
      <c r="I19" s="166" t="s">
        <v>76</v>
      </c>
      <c r="J19" s="166" t="s">
        <v>76</v>
      </c>
      <c r="K19" s="166" t="s">
        <v>76</v>
      </c>
      <c r="L19" s="166" t="s">
        <v>76</v>
      </c>
      <c r="M19" s="166" t="s">
        <v>76</v>
      </c>
      <c r="N19" s="166" t="s">
        <v>76</v>
      </c>
      <c r="O19" s="166" t="s">
        <v>76</v>
      </c>
      <c r="P19" s="203" t="s">
        <v>94</v>
      </c>
      <c r="Q19" s="204" t="s">
        <v>95</v>
      </c>
      <c r="R19" s="166" t="s">
        <v>76</v>
      </c>
      <c r="S19" s="166" t="s">
        <v>76</v>
      </c>
      <c r="T19" s="166" t="s">
        <v>76</v>
      </c>
      <c r="U19" s="166" t="s">
        <v>76</v>
      </c>
      <c r="V19"/>
      <c r="W19"/>
      <c r="X19"/>
      <c r="Y19"/>
      <c r="Z19"/>
      <c r="AA19"/>
      <c r="AB19"/>
      <c r="AC19"/>
      <c r="AD19"/>
      <c r="AE19"/>
      <c r="AF19"/>
    </row>
    <row r="20" spans="1:32" x14ac:dyDescent="0.35">
      <c r="A20" t="s">
        <v>89</v>
      </c>
      <c r="B20" s="167" t="s">
        <v>81</v>
      </c>
      <c r="C20" s="168" t="s">
        <v>82</v>
      </c>
      <c r="D20" s="169" t="s">
        <v>96</v>
      </c>
      <c r="E20" s="170" t="str">
        <f t="shared" si="4"/>
        <v>ChangeJob_Start_NewLocation</v>
      </c>
      <c r="F20" s="164" t="str">
        <f t="shared" si="5"/>
        <v>ChangeJob_Start_NewLocation2</v>
      </c>
      <c r="G20" s="173" t="s">
        <v>93</v>
      </c>
      <c r="H20" s="166" t="s">
        <v>76</v>
      </c>
      <c r="I20" s="166" t="s">
        <v>76</v>
      </c>
      <c r="J20" s="166" t="s">
        <v>76</v>
      </c>
      <c r="K20" s="166" t="s">
        <v>76</v>
      </c>
      <c r="L20" s="166" t="s">
        <v>76</v>
      </c>
      <c r="M20" s="166" t="s">
        <v>76</v>
      </c>
      <c r="N20" s="166" t="s">
        <v>76</v>
      </c>
      <c r="O20" s="166" t="s">
        <v>76</v>
      </c>
      <c r="P20" s="179">
        <v>970</v>
      </c>
      <c r="Q20" s="179">
        <v>970</v>
      </c>
      <c r="R20" s="166" t="s">
        <v>76</v>
      </c>
      <c r="S20" s="166" t="s">
        <v>76</v>
      </c>
      <c r="T20" s="166" t="s">
        <v>76</v>
      </c>
      <c r="U20" s="166" t="s">
        <v>76</v>
      </c>
    </row>
    <row r="21" spans="1:32" x14ac:dyDescent="0.35">
      <c r="A21" t="s">
        <v>89</v>
      </c>
      <c r="B21" s="167" t="s">
        <v>81</v>
      </c>
      <c r="C21" s="168" t="s">
        <v>82</v>
      </c>
      <c r="D21" s="169" t="s">
        <v>97</v>
      </c>
      <c r="E21" s="170" t="str">
        <f t="shared" si="4"/>
        <v>ChangeJob_Start_NextPayPeriod</v>
      </c>
      <c r="F21" s="164" t="str">
        <f t="shared" si="5"/>
        <v>ChangeJob_Start_NextPayPeriod2</v>
      </c>
      <c r="G21" s="173"/>
      <c r="H21" s="166" t="s">
        <v>76</v>
      </c>
      <c r="I21" s="166" t="s">
        <v>76</v>
      </c>
      <c r="J21" s="166" t="s">
        <v>76</v>
      </c>
      <c r="K21" s="166" t="s">
        <v>76</v>
      </c>
      <c r="L21" s="166" t="s">
        <v>76</v>
      </c>
      <c r="M21" s="166" t="s">
        <v>76</v>
      </c>
      <c r="N21" s="166" t="s">
        <v>76</v>
      </c>
      <c r="O21" s="166" t="s">
        <v>76</v>
      </c>
      <c r="P21" s="166" t="s">
        <v>76</v>
      </c>
      <c r="Q21" s="166" t="s">
        <v>76</v>
      </c>
      <c r="R21" s="166" t="s">
        <v>76</v>
      </c>
      <c r="S21" s="166" t="s">
        <v>76</v>
      </c>
      <c r="T21" s="166" t="s">
        <v>76</v>
      </c>
      <c r="U21" s="166" t="s">
        <v>76</v>
      </c>
    </row>
    <row r="22" spans="1:32" s="21" customFormat="1" x14ac:dyDescent="0.35">
      <c r="A22" s="21" t="s">
        <v>89</v>
      </c>
      <c r="B22" s="167" t="s">
        <v>81</v>
      </c>
      <c r="C22" s="168" t="s">
        <v>98</v>
      </c>
      <c r="D22" s="169" t="s">
        <v>98</v>
      </c>
      <c r="E22" s="170" t="str">
        <f t="shared" si="4"/>
        <v>ChangeJob_JobProfile_JobProfile</v>
      </c>
      <c r="F22" s="164" t="str">
        <f t="shared" si="5"/>
        <v>ChangeJob_JobProfile_JobProfile2</v>
      </c>
      <c r="G22" s="173"/>
      <c r="H22" s="166" t="s">
        <v>76</v>
      </c>
      <c r="I22" s="166" t="s">
        <v>76</v>
      </c>
      <c r="J22" s="166" t="s">
        <v>76</v>
      </c>
      <c r="K22" s="166" t="s">
        <v>76</v>
      </c>
      <c r="L22" s="189" t="s">
        <v>76</v>
      </c>
      <c r="M22" s="166" t="s">
        <v>76</v>
      </c>
      <c r="N22" s="189" t="s">
        <v>76</v>
      </c>
      <c r="O22" s="189" t="s">
        <v>76</v>
      </c>
      <c r="P22" s="190" t="s">
        <v>99</v>
      </c>
      <c r="Q22" s="179" t="s">
        <v>100</v>
      </c>
      <c r="R22" s="166" t="s">
        <v>76</v>
      </c>
      <c r="S22" s="166" t="s">
        <v>76</v>
      </c>
      <c r="T22" s="166" t="s">
        <v>76</v>
      </c>
      <c r="U22" s="166" t="s">
        <v>76</v>
      </c>
      <c r="V22"/>
      <c r="W22"/>
      <c r="X22"/>
      <c r="Y22"/>
      <c r="Z22"/>
      <c r="AA22"/>
      <c r="AB22"/>
      <c r="AC22"/>
      <c r="AD22"/>
      <c r="AE22"/>
      <c r="AF22"/>
    </row>
    <row r="23" spans="1:32" x14ac:dyDescent="0.35">
      <c r="A23" t="s">
        <v>89</v>
      </c>
      <c r="B23" s="167" t="s">
        <v>81</v>
      </c>
      <c r="C23" s="168" t="s">
        <v>98</v>
      </c>
      <c r="D23" s="169" t="s">
        <v>101</v>
      </c>
      <c r="E23" s="170" t="str">
        <f t="shared" ref="E23" si="8">SUBSTITUTE(B23," ","") &amp; "_" &amp; SUBSTITUTE(IF(C23="N/A","",C23&amp; "_")," ","")  &amp; SUBSTITUTE(SUBSTITUTE(D23," ",""),"/","")</f>
        <v>ChangeJob_JobProfile_JobTitle</v>
      </c>
      <c r="F23" s="164" t="str">
        <f t="shared" ref="F23" si="9">E23&amp;2</f>
        <v>ChangeJob_JobProfile_JobTitle2</v>
      </c>
      <c r="G23" s="173"/>
      <c r="H23" s="166" t="s">
        <v>76</v>
      </c>
      <c r="I23" s="166" t="s">
        <v>76</v>
      </c>
      <c r="J23" s="166" t="s">
        <v>76</v>
      </c>
      <c r="K23" s="166" t="s">
        <v>76</v>
      </c>
      <c r="L23" s="166" t="s">
        <v>76</v>
      </c>
      <c r="M23" s="166" t="s">
        <v>76</v>
      </c>
      <c r="N23" s="166" t="s">
        <v>76</v>
      </c>
      <c r="O23" s="166" t="s">
        <v>76</v>
      </c>
      <c r="P23" s="190" t="s">
        <v>99</v>
      </c>
      <c r="Q23" s="179" t="s">
        <v>100</v>
      </c>
      <c r="R23" s="166" t="s">
        <v>76</v>
      </c>
      <c r="S23" s="166" t="s">
        <v>76</v>
      </c>
      <c r="T23" s="166" t="s">
        <v>76</v>
      </c>
      <c r="U23" s="166" t="s">
        <v>76</v>
      </c>
    </row>
    <row r="24" spans="1:32" x14ac:dyDescent="0.35">
      <c r="A24" t="s">
        <v>89</v>
      </c>
      <c r="B24" s="167" t="s">
        <v>81</v>
      </c>
      <c r="C24" s="168" t="s">
        <v>102</v>
      </c>
      <c r="D24" s="169" t="s">
        <v>103</v>
      </c>
      <c r="E24" s="170" t="str">
        <f>SUBSTITUTE(B24," ","") &amp; "_" &amp; SUBSTITUTE(IF(C24="N/A","",C24&amp; "_")," ","")  &amp; SUBSTITUTE(SUBSTITUTE(D24," ",""),"/","")</f>
        <v>ChangeJob_LocationDetails_Location</v>
      </c>
      <c r="F24" s="164" t="str">
        <f>E24&amp;2</f>
        <v>ChangeJob_LocationDetails_Location2</v>
      </c>
      <c r="G24" s="173"/>
      <c r="H24" s="166" t="s">
        <v>76</v>
      </c>
      <c r="I24" s="166" t="s">
        <v>76</v>
      </c>
      <c r="J24" s="166" t="s">
        <v>76</v>
      </c>
      <c r="K24" s="166" t="s">
        <v>76</v>
      </c>
      <c r="L24" s="166" t="s">
        <v>76</v>
      </c>
      <c r="M24" s="166" t="s">
        <v>76</v>
      </c>
      <c r="N24" s="166" t="s">
        <v>76</v>
      </c>
      <c r="O24" s="166" t="s">
        <v>76</v>
      </c>
      <c r="P24" s="179">
        <v>970</v>
      </c>
      <c r="Q24" s="179">
        <v>970</v>
      </c>
      <c r="R24" s="166" t="s">
        <v>76</v>
      </c>
      <c r="S24" s="166" t="s">
        <v>76</v>
      </c>
      <c r="T24" s="166" t="s">
        <v>76</v>
      </c>
      <c r="U24" s="166" t="s">
        <v>76</v>
      </c>
    </row>
    <row r="25" spans="1:32" s="21" customFormat="1" x14ac:dyDescent="0.35">
      <c r="A25" s="21" t="s">
        <v>89</v>
      </c>
      <c r="B25" s="167" t="s">
        <v>81</v>
      </c>
      <c r="C25" s="168" t="s">
        <v>102</v>
      </c>
      <c r="D25" s="169" t="s">
        <v>104</v>
      </c>
      <c r="E25" s="170" t="str">
        <f t="shared" si="4"/>
        <v>ChangeJob_LocationDetails_ScheduledWeeklyHours</v>
      </c>
      <c r="F25" s="164" t="str">
        <f t="shared" si="5"/>
        <v>ChangeJob_LocationDetails_ScheduledWeeklyHours2</v>
      </c>
      <c r="G25" s="173" t="s">
        <v>105</v>
      </c>
      <c r="H25" s="179">
        <v>15</v>
      </c>
      <c r="I25" s="179">
        <v>30</v>
      </c>
      <c r="J25" s="179">
        <v>40</v>
      </c>
      <c r="K25" s="179">
        <v>40</v>
      </c>
      <c r="L25" s="166" t="s">
        <v>76</v>
      </c>
      <c r="M25" s="166" t="s">
        <v>76</v>
      </c>
      <c r="N25" s="166" t="s">
        <v>76</v>
      </c>
      <c r="O25" s="166" t="s">
        <v>76</v>
      </c>
      <c r="P25" s="166" t="s">
        <v>76</v>
      </c>
      <c r="Q25" s="166" t="s">
        <v>76</v>
      </c>
      <c r="R25" s="166" t="s">
        <v>76</v>
      </c>
      <c r="S25" s="166" t="s">
        <v>76</v>
      </c>
      <c r="T25" s="166" t="s">
        <v>76</v>
      </c>
      <c r="U25" s="166" t="s">
        <v>76</v>
      </c>
      <c r="V25"/>
      <c r="W25"/>
      <c r="X25"/>
      <c r="Y25"/>
      <c r="Z25"/>
      <c r="AA25"/>
      <c r="AB25"/>
      <c r="AC25"/>
      <c r="AD25"/>
      <c r="AE25"/>
      <c r="AF25"/>
    </row>
    <row r="26" spans="1:32" x14ac:dyDescent="0.35">
      <c r="A26" t="s">
        <v>89</v>
      </c>
      <c r="B26" s="167" t="s">
        <v>81</v>
      </c>
      <c r="C26" s="168" t="s">
        <v>102</v>
      </c>
      <c r="D26" s="169" t="s">
        <v>106</v>
      </c>
      <c r="E26" s="170" t="str">
        <f t="shared" ref="E26" si="10">SUBSTITUTE(B26," ","") &amp; "_" &amp; SUBSTITUTE(IF(C26="N/A","",C26&amp; "_")," ","")  &amp; SUBSTITUTE(SUBSTITUTE(D26," ",""),"/","")</f>
        <v>ChangeJob_LocationDetails_WorkShift</v>
      </c>
      <c r="F26" s="164" t="str">
        <f t="shared" ref="F26" si="11">E26&amp;2</f>
        <v>ChangeJob_LocationDetails_WorkShift2</v>
      </c>
      <c r="G26" s="173" t="s">
        <v>107</v>
      </c>
      <c r="H26" s="179">
        <v>5</v>
      </c>
      <c r="I26" s="179">
        <v>5</v>
      </c>
      <c r="J26" s="179">
        <v>5</v>
      </c>
      <c r="K26" s="29">
        <v>5</v>
      </c>
      <c r="L26" s="166" t="s">
        <v>76</v>
      </c>
      <c r="M26" s="166" t="s">
        <v>76</v>
      </c>
      <c r="N26" s="166" t="s">
        <v>76</v>
      </c>
      <c r="O26" s="166" t="s">
        <v>76</v>
      </c>
      <c r="P26" s="166" t="s">
        <v>76</v>
      </c>
      <c r="Q26" s="166" t="s">
        <v>76</v>
      </c>
      <c r="R26" s="166" t="s">
        <v>76</v>
      </c>
      <c r="S26" s="166" t="s">
        <v>76</v>
      </c>
      <c r="T26" s="166" t="s">
        <v>76</v>
      </c>
      <c r="U26" s="166" t="s">
        <v>76</v>
      </c>
    </row>
    <row r="27" spans="1:32" x14ac:dyDescent="0.35">
      <c r="A27" t="s">
        <v>89</v>
      </c>
      <c r="B27" s="167" t="s">
        <v>81</v>
      </c>
      <c r="C27" s="168" t="s">
        <v>108</v>
      </c>
      <c r="D27" s="169" t="s">
        <v>109</v>
      </c>
      <c r="E27" s="170" t="str">
        <f t="shared" si="4"/>
        <v>ChangeJob_JobClassifications_AdditionalJobClassifications</v>
      </c>
      <c r="F27" s="164" t="str">
        <f t="shared" si="5"/>
        <v>ChangeJob_JobClassifications_AdditionalJobClassifications2</v>
      </c>
      <c r="G27" s="173"/>
      <c r="H27" s="166" t="s">
        <v>76</v>
      </c>
      <c r="I27" s="166" t="s">
        <v>76</v>
      </c>
      <c r="J27" s="166" t="s">
        <v>76</v>
      </c>
      <c r="K27" s="166" t="s">
        <v>76</v>
      </c>
      <c r="L27" s="166" t="s">
        <v>76</v>
      </c>
      <c r="M27" s="166" t="s">
        <v>76</v>
      </c>
      <c r="N27" s="179" t="s">
        <v>110</v>
      </c>
      <c r="O27" s="179" t="s">
        <v>872</v>
      </c>
      <c r="P27" s="166" t="s">
        <v>76</v>
      </c>
      <c r="Q27" s="166" t="s">
        <v>76</v>
      </c>
      <c r="R27" s="166" t="s">
        <v>76</v>
      </c>
      <c r="S27" s="166" t="s">
        <v>76</v>
      </c>
      <c r="T27" s="179" t="s">
        <v>111</v>
      </c>
      <c r="U27" s="166" t="s">
        <v>76</v>
      </c>
    </row>
    <row r="28" spans="1:32" s="21" customFormat="1" x14ac:dyDescent="0.35">
      <c r="A28" s="21" t="s">
        <v>112</v>
      </c>
      <c r="B28" s="174" t="s">
        <v>81</v>
      </c>
      <c r="C28" s="175" t="s">
        <v>108</v>
      </c>
      <c r="D28" s="7" t="s">
        <v>113</v>
      </c>
      <c r="E28" s="176" t="str">
        <f t="shared" ref="E28" si="12">SUBSTITUTE(B28," ","") &amp; "_" &amp; SUBSTITUTE(IF(C28="N/A","",C28&amp; "_")," ","")  &amp; SUBSTITUTE(SUBSTITUTE(D28," ",""),"/","")</f>
        <v>ChangeJob_JobClassifications_EmployeeType</v>
      </c>
      <c r="F28" s="177" t="str">
        <f t="shared" ref="F28" si="13">E28&amp;2</f>
        <v>ChangeJob_JobClassifications_EmployeeType2</v>
      </c>
      <c r="G28" s="178" t="s">
        <v>114</v>
      </c>
      <c r="H28" s="166" t="s">
        <v>76</v>
      </c>
      <c r="I28" s="166" t="s">
        <v>76</v>
      </c>
      <c r="J28" s="166" t="s">
        <v>76</v>
      </c>
      <c r="K28" s="166" t="s">
        <v>76</v>
      </c>
      <c r="L28" s="179" t="s">
        <v>41</v>
      </c>
      <c r="M28" s="179" t="s">
        <v>62</v>
      </c>
      <c r="N28" s="166" t="s">
        <v>76</v>
      </c>
      <c r="O28" s="166" t="s">
        <v>76</v>
      </c>
      <c r="P28" s="166" t="s">
        <v>76</v>
      </c>
      <c r="Q28" s="166" t="s">
        <v>76</v>
      </c>
      <c r="R28" s="166" t="s">
        <v>76</v>
      </c>
      <c r="S28" s="166" t="s">
        <v>76</v>
      </c>
      <c r="T28" s="166" t="s">
        <v>76</v>
      </c>
      <c r="U28" s="179" t="s">
        <v>41</v>
      </c>
      <c r="V28"/>
      <c r="W28"/>
      <c r="X28"/>
      <c r="Y28"/>
      <c r="Z28"/>
      <c r="AA28"/>
      <c r="AB28"/>
      <c r="AC28"/>
      <c r="AD28"/>
      <c r="AE28"/>
      <c r="AF28"/>
    </row>
    <row r="29" spans="1:32" x14ac:dyDescent="0.35">
      <c r="A29" t="s">
        <v>115</v>
      </c>
      <c r="B29" s="167" t="s">
        <v>81</v>
      </c>
      <c r="C29" s="168" t="s">
        <v>108</v>
      </c>
      <c r="D29" s="169" t="s">
        <v>116</v>
      </c>
      <c r="E29" s="170" t="str">
        <f t="shared" si="4"/>
        <v>ChangeJob_JobClassifications_TimeType</v>
      </c>
      <c r="F29" s="164" t="str">
        <f t="shared" si="5"/>
        <v>ChangeJob_JobClassifications_TimeType2</v>
      </c>
      <c r="G29" s="173" t="s">
        <v>117</v>
      </c>
      <c r="H29" s="179" t="s">
        <v>118</v>
      </c>
      <c r="I29" s="179" t="s">
        <v>118</v>
      </c>
      <c r="J29" s="179" t="s">
        <v>119</v>
      </c>
      <c r="K29" s="179" t="s">
        <v>119</v>
      </c>
      <c r="L29" s="166" t="s">
        <v>76</v>
      </c>
      <c r="M29" s="166" t="s">
        <v>76</v>
      </c>
      <c r="N29" s="166" t="s">
        <v>76</v>
      </c>
      <c r="O29" s="198" t="s">
        <v>76</v>
      </c>
      <c r="P29" s="166" t="s">
        <v>76</v>
      </c>
      <c r="Q29" s="166" t="s">
        <v>76</v>
      </c>
      <c r="R29" s="166" t="s">
        <v>76</v>
      </c>
      <c r="S29" s="166" t="s">
        <v>76</v>
      </c>
      <c r="T29" s="166" t="s">
        <v>76</v>
      </c>
      <c r="U29" s="166" t="s">
        <v>76</v>
      </c>
    </row>
    <row r="30" spans="1:32" x14ac:dyDescent="0.35">
      <c r="A30" t="s">
        <v>89</v>
      </c>
      <c r="B30" s="167" t="s">
        <v>81</v>
      </c>
      <c r="C30" s="168" t="s">
        <v>108</v>
      </c>
      <c r="D30" s="169" t="s">
        <v>120</v>
      </c>
      <c r="E30" s="170" t="str">
        <f t="shared" si="4"/>
        <v>ChangeJob_JobClassifications_PayRateType</v>
      </c>
      <c r="F30" s="164" t="str">
        <f t="shared" si="5"/>
        <v>ChangeJob_JobClassifications_PayRateType2</v>
      </c>
      <c r="G30" s="173" t="s">
        <v>121</v>
      </c>
      <c r="H30" s="166" t="s">
        <v>76</v>
      </c>
      <c r="I30" s="166" t="s">
        <v>76</v>
      </c>
      <c r="J30" s="166" t="s">
        <v>76</v>
      </c>
      <c r="K30" s="166" t="s">
        <v>76</v>
      </c>
      <c r="L30" s="166" t="s">
        <v>76</v>
      </c>
      <c r="M30" s="166" t="s">
        <v>76</v>
      </c>
      <c r="N30" s="166" t="s">
        <v>76</v>
      </c>
      <c r="O30" s="166" t="s">
        <v>76</v>
      </c>
      <c r="P30" s="166" t="s">
        <v>76</v>
      </c>
      <c r="Q30" s="166" t="s">
        <v>76</v>
      </c>
      <c r="R30" s="166" t="s">
        <v>76</v>
      </c>
      <c r="S30" s="166" t="s">
        <v>76</v>
      </c>
      <c r="T30" s="166" t="s">
        <v>76</v>
      </c>
      <c r="U30" s="166" t="s">
        <v>76</v>
      </c>
    </row>
    <row r="31" spans="1:32" s="146" customFormat="1" x14ac:dyDescent="0.35">
      <c r="A31" s="146" t="s">
        <v>89</v>
      </c>
      <c r="B31" s="167" t="s">
        <v>81</v>
      </c>
      <c r="C31" s="168" t="s">
        <v>108</v>
      </c>
      <c r="D31" s="169" t="s">
        <v>122</v>
      </c>
      <c r="E31" s="170" t="str">
        <f t="shared" si="4"/>
        <v>ChangeJob_JobClassifications_DefaultWeeklyHours</v>
      </c>
      <c r="F31" s="164" t="str">
        <f t="shared" si="5"/>
        <v>ChangeJob_JobClassifications_DefaultWeeklyHours2</v>
      </c>
      <c r="G31" s="173"/>
      <c r="H31" s="179">
        <v>40</v>
      </c>
      <c r="I31" s="179">
        <v>40</v>
      </c>
      <c r="J31" s="179">
        <v>40</v>
      </c>
      <c r="K31" s="179">
        <v>40</v>
      </c>
      <c r="L31" s="166" t="s">
        <v>76</v>
      </c>
      <c r="M31" s="166" t="s">
        <v>76</v>
      </c>
      <c r="N31" s="166" t="s">
        <v>76</v>
      </c>
      <c r="O31" s="166" t="s">
        <v>76</v>
      </c>
      <c r="P31" s="166" t="s">
        <v>76</v>
      </c>
      <c r="Q31" s="166" t="s">
        <v>76</v>
      </c>
      <c r="R31" s="166" t="s">
        <v>76</v>
      </c>
      <c r="S31" s="166" t="s">
        <v>76</v>
      </c>
      <c r="T31" s="166" t="s">
        <v>76</v>
      </c>
      <c r="U31" s="166" t="s">
        <v>76</v>
      </c>
      <c r="V31"/>
      <c r="W31"/>
      <c r="X31"/>
      <c r="Y31"/>
      <c r="Z31"/>
      <c r="AA31"/>
      <c r="AB31"/>
      <c r="AC31"/>
      <c r="AD31"/>
      <c r="AE31"/>
      <c r="AF31"/>
    </row>
    <row r="32" spans="1:32" s="21" customFormat="1" x14ac:dyDescent="0.35">
      <c r="A32" s="21" t="s">
        <v>89</v>
      </c>
      <c r="B32" s="174" t="s">
        <v>81</v>
      </c>
      <c r="C32" s="175" t="s">
        <v>108</v>
      </c>
      <c r="D32" s="7" t="s">
        <v>123</v>
      </c>
      <c r="E32" s="176" t="str">
        <f t="shared" si="4"/>
        <v>ChangeJob_JobClassifications_EndEmploymentDate</v>
      </c>
      <c r="F32" s="177" t="str">
        <f t="shared" si="5"/>
        <v>ChangeJob_JobClassifications_EndEmploymentDate2</v>
      </c>
      <c r="G32" s="178"/>
      <c r="H32" s="166" t="s">
        <v>76</v>
      </c>
      <c r="I32" s="166" t="s">
        <v>76</v>
      </c>
      <c r="J32" s="166" t="s">
        <v>76</v>
      </c>
      <c r="K32" s="166" t="s">
        <v>76</v>
      </c>
      <c r="L32" s="166" t="s">
        <v>76</v>
      </c>
      <c r="M32" s="166" t="s">
        <v>76</v>
      </c>
      <c r="N32" s="166" t="s">
        <v>76</v>
      </c>
      <c r="O32" s="166" t="s">
        <v>76</v>
      </c>
      <c r="P32" s="166" t="s">
        <v>76</v>
      </c>
      <c r="Q32" s="166" t="s">
        <v>76</v>
      </c>
      <c r="R32" s="180">
        <v>46722</v>
      </c>
      <c r="S32" s="166" t="s">
        <v>76</v>
      </c>
      <c r="T32" s="166" t="s">
        <v>76</v>
      </c>
      <c r="U32" s="166" t="s">
        <v>76</v>
      </c>
      <c r="V32"/>
      <c r="W32"/>
      <c r="X32"/>
      <c r="Y32"/>
      <c r="Z32"/>
      <c r="AA32"/>
      <c r="AB32"/>
      <c r="AC32"/>
      <c r="AD32"/>
      <c r="AE32"/>
      <c r="AF32"/>
    </row>
    <row r="33" spans="1:32" s="191" customFormat="1" x14ac:dyDescent="0.35">
      <c r="A33" s="191" t="s">
        <v>81</v>
      </c>
      <c r="B33" s="192" t="s">
        <v>81</v>
      </c>
      <c r="C33" s="193" t="s">
        <v>76</v>
      </c>
      <c r="D33" s="194" t="s">
        <v>124</v>
      </c>
      <c r="E33" s="195" t="str">
        <f t="shared" ref="E33" si="14">SUBSTITUTE(B33," ","") &amp; "_" &amp; SUBSTITUTE(IF(C33="N/A","",C33&amp; "_")," ","")  &amp; SUBSTITUTE(SUBSTITUTE(D33," ",""),"/","")</f>
        <v>ChangeJob_ContractType</v>
      </c>
      <c r="F33" s="196" t="str">
        <f t="shared" ref="F33" si="15">E33&amp;2</f>
        <v>ChangeJob_ContractType2</v>
      </c>
      <c r="G33" s="197" t="s">
        <v>41</v>
      </c>
      <c r="H33" s="166" t="s">
        <v>76</v>
      </c>
      <c r="I33" s="166" t="s">
        <v>76</v>
      </c>
      <c r="J33" s="166" t="s">
        <v>76</v>
      </c>
      <c r="K33" s="166" t="s">
        <v>76</v>
      </c>
      <c r="L33" s="179" t="s">
        <v>41</v>
      </c>
      <c r="M33" s="179" t="s">
        <v>125</v>
      </c>
      <c r="N33" s="166" t="s">
        <v>76</v>
      </c>
      <c r="O33" s="166" t="s">
        <v>76</v>
      </c>
      <c r="P33" s="166" t="s">
        <v>76</v>
      </c>
      <c r="Q33" s="166" t="s">
        <v>76</v>
      </c>
      <c r="R33" s="179" t="s">
        <v>125</v>
      </c>
      <c r="S33" s="166" t="s">
        <v>76</v>
      </c>
      <c r="T33" s="166" t="s">
        <v>76</v>
      </c>
      <c r="U33" s="166" t="s">
        <v>76</v>
      </c>
      <c r="V33"/>
      <c r="W33"/>
      <c r="X33"/>
      <c r="Y33"/>
      <c r="Z33"/>
      <c r="AA33"/>
      <c r="AB33"/>
      <c r="AC33"/>
      <c r="AD33"/>
      <c r="AE33"/>
      <c r="AF33"/>
    </row>
    <row r="34" spans="1:32" s="21" customFormat="1" x14ac:dyDescent="0.35">
      <c r="B34" s="174" t="s">
        <v>126</v>
      </c>
      <c r="C34" s="175" t="s">
        <v>76</v>
      </c>
      <c r="D34" s="7" t="s">
        <v>127</v>
      </c>
      <c r="E34" s="176" t="str">
        <f t="shared" si="4"/>
        <v>MaintainEmployeeContract_EndContractDate</v>
      </c>
      <c r="F34" s="177" t="str">
        <f t="shared" si="5"/>
        <v>MaintainEmployeeContract_EndContractDate2</v>
      </c>
      <c r="G34" s="178" t="s">
        <v>128</v>
      </c>
      <c r="H34" s="166" t="s">
        <v>76</v>
      </c>
      <c r="I34" s="166" t="s">
        <v>76</v>
      </c>
      <c r="J34" s="166" t="s">
        <v>76</v>
      </c>
      <c r="K34" s="166" t="s">
        <v>76</v>
      </c>
      <c r="L34" s="166" t="s">
        <v>76</v>
      </c>
      <c r="M34" s="180">
        <v>46508</v>
      </c>
      <c r="N34" s="166" t="s">
        <v>76</v>
      </c>
      <c r="O34" s="166" t="s">
        <v>76</v>
      </c>
      <c r="P34" s="166" t="s">
        <v>76</v>
      </c>
      <c r="Q34" s="166" t="s">
        <v>76</v>
      </c>
      <c r="R34" s="180">
        <v>46722</v>
      </c>
      <c r="S34" s="166" t="s">
        <v>76</v>
      </c>
      <c r="T34" s="166" t="s">
        <v>76</v>
      </c>
      <c r="U34" s="166" t="s">
        <v>76</v>
      </c>
      <c r="V34"/>
      <c r="W34"/>
      <c r="X34"/>
      <c r="Y34"/>
      <c r="Z34"/>
      <c r="AA34"/>
      <c r="AB34"/>
      <c r="AC34"/>
      <c r="AD34"/>
      <c r="AE34"/>
      <c r="AF34"/>
    </row>
    <row r="35" spans="1:32" x14ac:dyDescent="0.35">
      <c r="A35" t="s">
        <v>89</v>
      </c>
      <c r="B35" s="167" t="s">
        <v>81</v>
      </c>
      <c r="C35" s="168" t="s">
        <v>108</v>
      </c>
      <c r="D35" s="169" t="s">
        <v>129</v>
      </c>
      <c r="E35" s="170" t="str">
        <f t="shared" si="4"/>
        <v>ChangeJob_JobClassifications_AssignmentType</v>
      </c>
      <c r="F35" s="164" t="str">
        <f t="shared" si="5"/>
        <v>ChangeJob_JobClassifications_AssignmentType2</v>
      </c>
      <c r="G35" s="173"/>
      <c r="H35" s="166" t="s">
        <v>76</v>
      </c>
      <c r="I35" s="166" t="s">
        <v>76</v>
      </c>
      <c r="J35" s="166" t="s">
        <v>76</v>
      </c>
      <c r="K35" s="166" t="s">
        <v>76</v>
      </c>
      <c r="L35" s="166" t="s">
        <v>76</v>
      </c>
      <c r="M35" s="166" t="s">
        <v>76</v>
      </c>
      <c r="N35" s="166" t="s">
        <v>76</v>
      </c>
      <c r="O35" s="166" t="s">
        <v>76</v>
      </c>
      <c r="P35" s="166" t="s">
        <v>76</v>
      </c>
      <c r="Q35" s="166" t="s">
        <v>76</v>
      </c>
      <c r="R35" s="166" t="s">
        <v>76</v>
      </c>
      <c r="S35" s="166" t="s">
        <v>76</v>
      </c>
      <c r="T35" s="166" t="s">
        <v>76</v>
      </c>
      <c r="U35" s="166" t="s">
        <v>76</v>
      </c>
    </row>
    <row r="36" spans="1:32" x14ac:dyDescent="0.35">
      <c r="A36" t="s">
        <v>89</v>
      </c>
      <c r="B36" s="167" t="s">
        <v>81</v>
      </c>
      <c r="C36" s="168" t="s">
        <v>108</v>
      </c>
      <c r="D36" s="169" t="s">
        <v>130</v>
      </c>
      <c r="E36" s="170" t="str">
        <f t="shared" ref="E36" si="16">SUBSTITUTE(B36," ","") &amp; "_" &amp; SUBSTITUTE(IF(C36="N/A","",C36&amp; "_")," ","")  &amp; SUBSTITUTE(SUBSTITUTE(D36," ",""),"/","")</f>
        <v>ChangeJob_JobClassifications_FirstDayofWork</v>
      </c>
      <c r="F36" s="164" t="str">
        <f t="shared" ref="F36" si="17">E36&amp;2</f>
        <v>ChangeJob_JobClassifications_FirstDayofWork2</v>
      </c>
      <c r="G36" s="173"/>
      <c r="H36" s="166" t="s">
        <v>76</v>
      </c>
      <c r="I36" s="166" t="s">
        <v>76</v>
      </c>
      <c r="J36" s="166" t="s">
        <v>76</v>
      </c>
      <c r="K36" s="166" t="s">
        <v>76</v>
      </c>
      <c r="L36" s="166" t="s">
        <v>76</v>
      </c>
      <c r="M36" s="166" t="s">
        <v>76</v>
      </c>
      <c r="N36" s="166" t="s">
        <v>76</v>
      </c>
      <c r="O36" s="166" t="s">
        <v>76</v>
      </c>
      <c r="P36" s="166" t="s">
        <v>76</v>
      </c>
      <c r="Q36" s="166" t="s">
        <v>76</v>
      </c>
      <c r="R36" s="166" t="s">
        <v>76</v>
      </c>
      <c r="S36" s="166" t="s">
        <v>76</v>
      </c>
      <c r="T36" s="166" t="s">
        <v>76</v>
      </c>
      <c r="U36" s="166" t="s">
        <v>76</v>
      </c>
    </row>
    <row r="37" spans="1:32" ht="26" x14ac:dyDescent="0.35">
      <c r="A37" t="s">
        <v>89</v>
      </c>
      <c r="B37" s="167" t="s">
        <v>81</v>
      </c>
      <c r="C37" s="168" t="s">
        <v>131</v>
      </c>
      <c r="D37" s="169" t="s">
        <v>132</v>
      </c>
      <c r="E37" s="170" t="str">
        <f t="shared" si="4"/>
        <v>ChangeJob_Company_CostCentre</v>
      </c>
      <c r="F37" s="164" t="str">
        <f t="shared" si="5"/>
        <v>ChangeJob_Company_CostCentre2</v>
      </c>
      <c r="G37" s="181" t="s">
        <v>133</v>
      </c>
      <c r="H37" s="166" t="s">
        <v>76</v>
      </c>
      <c r="I37" s="166" t="s">
        <v>76</v>
      </c>
      <c r="J37" s="166" t="s">
        <v>76</v>
      </c>
      <c r="K37" s="166" t="s">
        <v>76</v>
      </c>
      <c r="L37" s="166" t="s">
        <v>76</v>
      </c>
      <c r="M37" s="166" t="s">
        <v>76</v>
      </c>
      <c r="N37" s="166" t="s">
        <v>76</v>
      </c>
      <c r="O37" s="189" t="s">
        <v>76</v>
      </c>
      <c r="P37" s="190" t="s">
        <v>134</v>
      </c>
      <c r="Q37" s="201" t="s">
        <v>135</v>
      </c>
      <c r="R37" s="166" t="s">
        <v>76</v>
      </c>
      <c r="S37" s="166" t="s">
        <v>76</v>
      </c>
      <c r="T37" s="166" t="s">
        <v>76</v>
      </c>
      <c r="U37" s="166" t="s">
        <v>76</v>
      </c>
    </row>
    <row r="38" spans="1:32" ht="39" x14ac:dyDescent="0.35">
      <c r="A38" t="s">
        <v>89</v>
      </c>
      <c r="B38" s="167" t="s">
        <v>81</v>
      </c>
      <c r="C38" s="168" t="s">
        <v>131</v>
      </c>
      <c r="D38" s="169" t="s">
        <v>136</v>
      </c>
      <c r="E38" s="170" t="str">
        <f t="shared" si="4"/>
        <v>ChangeJob_Company_Department</v>
      </c>
      <c r="F38" s="164" t="str">
        <f t="shared" si="5"/>
        <v>ChangeJob_Company_Department2</v>
      </c>
      <c r="G38" s="181" t="s">
        <v>137</v>
      </c>
      <c r="H38" s="166" t="s">
        <v>76</v>
      </c>
      <c r="I38" s="166" t="s">
        <v>76</v>
      </c>
      <c r="J38" s="166" t="s">
        <v>76</v>
      </c>
      <c r="K38" s="166" t="s">
        <v>76</v>
      </c>
      <c r="L38" s="166" t="s">
        <v>76</v>
      </c>
      <c r="M38" s="166" t="s">
        <v>76</v>
      </c>
      <c r="N38" s="166" t="s">
        <v>76</v>
      </c>
      <c r="O38" s="1" t="s">
        <v>76</v>
      </c>
      <c r="P38" s="202" t="s">
        <v>138</v>
      </c>
      <c r="Q38" s="202" t="s">
        <v>139</v>
      </c>
      <c r="R38" s="166" t="s">
        <v>76</v>
      </c>
      <c r="S38" s="202" t="s">
        <v>140</v>
      </c>
      <c r="T38" s="166" t="s">
        <v>76</v>
      </c>
      <c r="U38" s="166" t="s">
        <v>76</v>
      </c>
    </row>
    <row r="39" spans="1:32" x14ac:dyDescent="0.35">
      <c r="A39" t="s">
        <v>89</v>
      </c>
      <c r="B39" s="167" t="s">
        <v>141</v>
      </c>
      <c r="C39" s="168" t="s">
        <v>76</v>
      </c>
      <c r="D39" s="169" t="s">
        <v>142</v>
      </c>
      <c r="E39" s="170" t="str">
        <f t="shared" si="4"/>
        <v>AddProbationPeriod_StartDate</v>
      </c>
      <c r="F39" s="164" t="str">
        <f t="shared" si="5"/>
        <v>AddProbationPeriod_StartDate2</v>
      </c>
      <c r="G39" s="171"/>
      <c r="H39" s="166" t="s">
        <v>76</v>
      </c>
      <c r="I39" s="166" t="s">
        <v>76</v>
      </c>
      <c r="J39" s="166" t="s">
        <v>76</v>
      </c>
      <c r="K39" s="166" t="s">
        <v>76</v>
      </c>
      <c r="L39" s="166" t="s">
        <v>76</v>
      </c>
      <c r="M39" s="166" t="s">
        <v>76</v>
      </c>
      <c r="N39" s="166" t="s">
        <v>76</v>
      </c>
      <c r="O39" s="166" t="s">
        <v>76</v>
      </c>
      <c r="P39" s="166" t="s">
        <v>76</v>
      </c>
      <c r="Q39" s="166" t="s">
        <v>76</v>
      </c>
      <c r="R39" s="166" t="s">
        <v>76</v>
      </c>
      <c r="S39" s="166" t="s">
        <v>76</v>
      </c>
      <c r="T39" s="166" t="s">
        <v>76</v>
      </c>
      <c r="U39" s="166" t="s">
        <v>76</v>
      </c>
    </row>
    <row r="40" spans="1:32" x14ac:dyDescent="0.35">
      <c r="A40" t="s">
        <v>89</v>
      </c>
      <c r="B40" s="167" t="s">
        <v>141</v>
      </c>
      <c r="C40" s="168" t="s">
        <v>76</v>
      </c>
      <c r="D40" s="169" t="s">
        <v>143</v>
      </c>
      <c r="E40" s="170" t="str">
        <f t="shared" si="4"/>
        <v>AddProbationPeriod_EndDate</v>
      </c>
      <c r="F40" s="164" t="str">
        <f t="shared" si="5"/>
        <v>AddProbationPeriod_EndDate2</v>
      </c>
      <c r="G40" s="171" t="s">
        <v>144</v>
      </c>
      <c r="H40" s="166" t="s">
        <v>76</v>
      </c>
      <c r="I40" s="166" t="s">
        <v>76</v>
      </c>
      <c r="J40" s="166" t="s">
        <v>76</v>
      </c>
      <c r="K40" s="166" t="s">
        <v>76</v>
      </c>
      <c r="L40" s="166" t="s">
        <v>76</v>
      </c>
      <c r="M40" s="166" t="s">
        <v>76</v>
      </c>
      <c r="N40" s="166" t="s">
        <v>76</v>
      </c>
      <c r="O40" s="166" t="s">
        <v>76</v>
      </c>
      <c r="P40" s="166" t="s">
        <v>76</v>
      </c>
      <c r="Q40" s="166" t="s">
        <v>76</v>
      </c>
      <c r="R40" s="166" t="s">
        <v>76</v>
      </c>
      <c r="S40" s="166" t="s">
        <v>76</v>
      </c>
      <c r="T40" s="166" t="s">
        <v>76</v>
      </c>
      <c r="U40" s="166" t="s">
        <v>76</v>
      </c>
    </row>
    <row r="41" spans="1:32" x14ac:dyDescent="0.35">
      <c r="B41" s="167" t="s">
        <v>145</v>
      </c>
      <c r="C41" s="168" t="s">
        <v>76</v>
      </c>
      <c r="D41" s="169" t="s">
        <v>146</v>
      </c>
      <c r="E41" s="170" t="str">
        <f t="shared" ref="E41" si="18">SUBSTITUTE(B41," ","") &amp; "_" &amp; SUBSTITUTE(IF(C41="N/A","",C41&amp; "_")," ","")  &amp; SUBSTITUTE(SUBSTITUTE(D41," ",""),"/","")</f>
        <v>ProposeCompensationChange_Salary</v>
      </c>
      <c r="F41" s="164" t="str">
        <f t="shared" ref="F41" si="19">E41&amp;2</f>
        <v>ProposeCompensationChange_Salary2</v>
      </c>
      <c r="G41" s="171" t="s">
        <v>147</v>
      </c>
      <c r="H41" s="166" t="s">
        <v>76</v>
      </c>
      <c r="I41" s="166" t="s">
        <v>76</v>
      </c>
      <c r="J41" s="166" t="s">
        <v>76</v>
      </c>
      <c r="K41" s="183" t="s">
        <v>76</v>
      </c>
      <c r="L41" s="166" t="s">
        <v>76</v>
      </c>
      <c r="M41" s="166" t="s">
        <v>76</v>
      </c>
      <c r="N41" s="166" t="s">
        <v>76</v>
      </c>
      <c r="O41" s="166" t="s">
        <v>76</v>
      </c>
      <c r="P41" s="166" t="s">
        <v>76</v>
      </c>
      <c r="Q41" s="166" t="s">
        <v>76</v>
      </c>
      <c r="R41" s="166" t="s">
        <v>76</v>
      </c>
      <c r="S41" s="166" t="s">
        <v>76</v>
      </c>
      <c r="T41" s="166" t="s">
        <v>76</v>
      </c>
      <c r="U41" s="166" t="s">
        <v>76</v>
      </c>
    </row>
    <row r="42" spans="1:32" s="146" customFormat="1" x14ac:dyDescent="0.35">
      <c r="B42" s="182" t="s">
        <v>148</v>
      </c>
      <c r="C42" s="182" t="s">
        <v>76</v>
      </c>
      <c r="D42" s="169" t="s">
        <v>149</v>
      </c>
      <c r="E42" s="170" t="str">
        <f t="shared" ref="E42:E43" si="20">SUBSTITUTE(B42," ","") &amp; "_" &amp; SUBSTITUTE(IF(C42="N/A","",C42&amp; "_")," ","")  &amp; SUBSTITUTE(SUBSTITUTE(D42," ",""),"/","")</f>
        <v>ProposeCompensationHire_GradeProfile</v>
      </c>
      <c r="F42" s="164" t="str">
        <f t="shared" ref="F42:F43" si="21">E42&amp;2</f>
        <v>ProposeCompensationHire_GradeProfile2</v>
      </c>
      <c r="G42" s="171" t="s">
        <v>150</v>
      </c>
      <c r="H42" s="166" t="s">
        <v>76</v>
      </c>
      <c r="I42" s="166" t="s">
        <v>76</v>
      </c>
      <c r="J42" s="166" t="s">
        <v>76</v>
      </c>
      <c r="K42" s="166" t="s">
        <v>76</v>
      </c>
      <c r="L42" s="166" t="s">
        <v>76</v>
      </c>
      <c r="M42" s="166" t="s">
        <v>76</v>
      </c>
      <c r="N42" s="166" t="s">
        <v>76</v>
      </c>
      <c r="O42" s="166" t="s">
        <v>76</v>
      </c>
      <c r="P42" s="166" t="s">
        <v>76</v>
      </c>
      <c r="Q42" s="166" t="s">
        <v>76</v>
      </c>
      <c r="R42" s="166" t="s">
        <v>76</v>
      </c>
      <c r="S42" s="166" t="s">
        <v>76</v>
      </c>
      <c r="T42" s="166" t="s">
        <v>76</v>
      </c>
      <c r="U42" s="166" t="s">
        <v>76</v>
      </c>
      <c r="V42"/>
      <c r="W42"/>
      <c r="X42"/>
      <c r="Y42"/>
      <c r="Z42"/>
      <c r="AA42"/>
      <c r="AB42"/>
      <c r="AC42"/>
      <c r="AD42"/>
      <c r="AE42"/>
      <c r="AF42"/>
    </row>
    <row r="43" spans="1:32" x14ac:dyDescent="0.35">
      <c r="B43" s="182" t="s">
        <v>148</v>
      </c>
      <c r="C43" s="182" t="s">
        <v>76</v>
      </c>
      <c r="D43" s="169" t="s">
        <v>151</v>
      </c>
      <c r="E43" s="170" t="str">
        <f t="shared" si="20"/>
        <v>ProposeCompensationHire_Step</v>
      </c>
      <c r="F43" s="164" t="str">
        <f t="shared" si="21"/>
        <v>ProposeCompensationHire_Step2</v>
      </c>
      <c r="G43" s="171" t="s">
        <v>150</v>
      </c>
      <c r="H43" s="166" t="s">
        <v>76</v>
      </c>
      <c r="I43" s="166" t="s">
        <v>76</v>
      </c>
      <c r="J43" s="166" t="s">
        <v>76</v>
      </c>
      <c r="K43" s="166" t="s">
        <v>76</v>
      </c>
      <c r="L43" s="166" t="s">
        <v>76</v>
      </c>
      <c r="M43" s="166" t="s">
        <v>76</v>
      </c>
      <c r="N43" s="166" t="s">
        <v>76</v>
      </c>
      <c r="O43" s="166" t="s">
        <v>76</v>
      </c>
      <c r="P43" s="166" t="s">
        <v>76</v>
      </c>
      <c r="Q43" s="166" t="s">
        <v>76</v>
      </c>
      <c r="R43" s="166" t="s">
        <v>76</v>
      </c>
      <c r="S43" s="166" t="s">
        <v>76</v>
      </c>
      <c r="T43" s="166" t="s">
        <v>76</v>
      </c>
      <c r="U43" s="166" t="s">
        <v>76</v>
      </c>
    </row>
    <row r="45" spans="1:32" x14ac:dyDescent="0.35">
      <c r="H45" s="153"/>
      <c r="I45" s="154"/>
      <c r="J45" s="153"/>
      <c r="K45" s="154"/>
      <c r="L45" s="154"/>
      <c r="M45" s="154"/>
      <c r="N45" s="154"/>
      <c r="O45" s="154"/>
      <c r="P45" s="154"/>
      <c r="Q45" s="154"/>
      <c r="R45" s="154"/>
      <c r="S45" s="154"/>
      <c r="T45" s="154"/>
      <c r="U45" s="154"/>
    </row>
    <row r="46" spans="1:32" x14ac:dyDescent="0.35">
      <c r="H46" s="153"/>
      <c r="I46" s="154"/>
      <c r="J46" s="153"/>
      <c r="K46" s="154"/>
      <c r="L46" s="154"/>
      <c r="M46" s="154"/>
      <c r="N46" s="154"/>
      <c r="O46" s="154"/>
      <c r="P46" s="154"/>
      <c r="Q46" s="154"/>
      <c r="R46" s="154"/>
      <c r="S46" s="154"/>
      <c r="T46" s="154"/>
      <c r="U46" s="154"/>
    </row>
    <row r="47" spans="1:32" x14ac:dyDescent="0.35">
      <c r="H47" s="153"/>
      <c r="I47" s="154"/>
      <c r="J47" s="153"/>
      <c r="K47" s="154"/>
      <c r="L47" s="154"/>
      <c r="M47" s="154"/>
      <c r="N47" s="154"/>
      <c r="O47" s="154"/>
      <c r="P47" s="154"/>
      <c r="Q47" s="154"/>
      <c r="R47" s="154"/>
      <c r="S47" s="154"/>
      <c r="T47" s="154"/>
      <c r="U47" s="154"/>
    </row>
    <row r="48" spans="1:32" x14ac:dyDescent="0.35">
      <c r="H48" s="153"/>
      <c r="I48" s="154"/>
      <c r="J48" s="153"/>
      <c r="K48" s="154"/>
      <c r="L48" s="154"/>
      <c r="M48" s="154"/>
      <c r="N48" s="154"/>
      <c r="O48" s="154"/>
      <c r="P48" s="154"/>
      <c r="Q48" s="154"/>
      <c r="R48" s="154"/>
      <c r="S48" s="154"/>
      <c r="T48" s="154"/>
      <c r="U48" s="154"/>
    </row>
    <row r="49" spans="8:21" x14ac:dyDescent="0.35">
      <c r="H49" s="153"/>
      <c r="I49" s="154"/>
      <c r="J49" s="153"/>
      <c r="K49" s="154"/>
      <c r="L49" s="154"/>
      <c r="M49" s="154"/>
      <c r="N49" s="154"/>
      <c r="O49" s="154"/>
      <c r="P49" s="154"/>
      <c r="Q49" s="154"/>
      <c r="R49" s="154"/>
      <c r="S49" s="154"/>
      <c r="T49" s="154"/>
      <c r="U49" s="154"/>
    </row>
    <row r="50" spans="8:21" x14ac:dyDescent="0.35">
      <c r="H50" s="153"/>
      <c r="I50" s="154"/>
      <c r="J50" s="153"/>
      <c r="K50" s="154"/>
      <c r="L50" s="154"/>
      <c r="M50" s="154"/>
      <c r="N50" s="154"/>
      <c r="O50" s="154"/>
      <c r="P50" s="154"/>
      <c r="Q50" s="154"/>
      <c r="R50" s="154"/>
      <c r="S50" s="154"/>
      <c r="T50" s="154"/>
      <c r="U50" s="154"/>
    </row>
    <row r="51" spans="8:21" x14ac:dyDescent="0.35">
      <c r="H51" s="153"/>
      <c r="I51" s="154"/>
      <c r="J51" s="153"/>
      <c r="K51" s="154"/>
      <c r="L51" s="154"/>
      <c r="M51" s="154"/>
      <c r="N51" s="154"/>
      <c r="O51" s="154"/>
      <c r="P51" s="154"/>
      <c r="Q51" s="154"/>
      <c r="R51" s="154"/>
      <c r="S51" s="154"/>
      <c r="T51" s="154"/>
      <c r="U51" s="154"/>
    </row>
    <row r="52" spans="8:21" x14ac:dyDescent="0.35">
      <c r="H52" s="153"/>
      <c r="I52" s="154"/>
      <c r="J52" s="153"/>
      <c r="K52" s="154"/>
      <c r="L52" s="154"/>
      <c r="M52" s="154"/>
      <c r="N52" s="154"/>
      <c r="O52" s="154"/>
      <c r="P52" s="154"/>
      <c r="Q52" s="154"/>
      <c r="R52" s="154"/>
      <c r="S52" s="154"/>
      <c r="T52" s="154"/>
      <c r="U52" s="154"/>
    </row>
    <row r="53" spans="8:21" x14ac:dyDescent="0.35">
      <c r="H53" s="153"/>
      <c r="I53" s="154"/>
      <c r="J53" s="153"/>
      <c r="K53" s="154"/>
      <c r="L53" s="154"/>
      <c r="M53" s="154"/>
      <c r="N53" s="154"/>
      <c r="O53" s="154"/>
      <c r="P53" s="154"/>
      <c r="Q53" s="154"/>
      <c r="R53" s="154"/>
      <c r="S53" s="154"/>
      <c r="T53" s="154"/>
      <c r="U53" s="154"/>
    </row>
    <row r="54" spans="8:21" x14ac:dyDescent="0.35">
      <c r="H54" s="153"/>
      <c r="I54" s="154"/>
      <c r="J54" s="153"/>
      <c r="K54" s="154"/>
      <c r="L54" s="154"/>
      <c r="M54" s="154"/>
      <c r="N54" s="154"/>
      <c r="O54" s="154"/>
      <c r="P54" s="154"/>
      <c r="Q54" s="154"/>
      <c r="R54" s="154"/>
      <c r="S54" s="154"/>
      <c r="T54" s="154"/>
      <c r="U54" s="154"/>
    </row>
    <row r="55" spans="8:21" x14ac:dyDescent="0.35">
      <c r="H55" s="153"/>
      <c r="I55" s="154"/>
      <c r="J55" s="153"/>
      <c r="K55" s="154"/>
      <c r="L55" s="154"/>
      <c r="M55" s="154"/>
      <c r="N55" s="154"/>
      <c r="O55" s="154"/>
      <c r="P55" s="154"/>
      <c r="Q55" s="154"/>
      <c r="R55" s="154"/>
      <c r="S55" s="154"/>
      <c r="T55" s="154"/>
      <c r="U55" s="154"/>
    </row>
    <row r="56" spans="8:21" x14ac:dyDescent="0.35">
      <c r="J56" s="152"/>
    </row>
  </sheetData>
  <phoneticPr fontId="14" type="noConversion"/>
  <conditionalFormatting sqref="H6:U6">
    <cfRule type="containsText" dxfId="1" priority="1" operator="containsText" text="Pass">
      <formula>NOT(ISERROR(SEARCH("Pass",H6)))</formula>
    </cfRule>
    <cfRule type="containsText" dxfId="0" priority="2" operator="containsText" text="Fail">
      <formula>NOT(ISERROR(SEARCH("Fail",H6)))</formula>
    </cfRule>
  </conditionalFormatting>
  <dataValidations count="1">
    <dataValidation type="list" allowBlank="1" showInputMessage="1" showErrorMessage="1" sqref="U8 S8 M8:O8 Q8 H4:U4" xr:uid="{00000000-0002-0000-0100-000000000000}">
      <formula1>INDIRECT($F4)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Automation_Lookups!$A$2:$A$7</xm:f>
          </x14:formula1>
          <xm:sqref>H3:U3</xm:sqref>
        </x14:dataValidation>
        <x14:dataValidation type="list" allowBlank="1" showInputMessage="1" showErrorMessage="1" xr:uid="{00000000-0002-0000-0100-000002000000}">
          <x14:formula1>
            <xm:f>Automation_Lookups!$D$2:$D$4</xm:f>
          </x14:formula1>
          <xm:sqref>R17:U17</xm:sqref>
        </x14:dataValidation>
        <x14:dataValidation type="list" allowBlank="1" showInputMessage="1" showErrorMessage="1" xr:uid="{00000000-0002-0000-0100-000003000000}">
          <x14:formula1>
            <xm:f>Automation_Lookups!$C$2:$C$16</xm:f>
          </x14:formula1>
          <xm:sqref>H5:U5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4:H33"/>
  <sheetViews>
    <sheetView workbookViewId="0">
      <selection activeCell="G6" sqref="G6"/>
    </sheetView>
  </sheetViews>
  <sheetFormatPr defaultRowHeight="14.5" x14ac:dyDescent="0.35"/>
  <cols>
    <col min="5" max="5" width="14" customWidth="1"/>
    <col min="6" max="6" width="13" customWidth="1"/>
    <col min="7" max="7" width="36.1796875" customWidth="1"/>
    <col min="8" max="8" width="28.453125" customWidth="1"/>
  </cols>
  <sheetData>
    <row r="4" spans="5:8" x14ac:dyDescent="0.35">
      <c r="G4" t="s">
        <v>49</v>
      </c>
    </row>
    <row r="5" spans="5:8" ht="29" x14ac:dyDescent="0.35">
      <c r="E5" s="184" t="s">
        <v>152</v>
      </c>
      <c r="F5" s="184" t="s">
        <v>153</v>
      </c>
      <c r="G5" s="184" t="s">
        <v>152</v>
      </c>
      <c r="H5" s="184" t="s">
        <v>153</v>
      </c>
    </row>
    <row r="6" spans="5:8" x14ac:dyDescent="0.35">
      <c r="E6" s="185" t="s">
        <v>20</v>
      </c>
      <c r="F6" s="185" t="s">
        <v>22</v>
      </c>
      <c r="G6" s="200" t="s">
        <v>154</v>
      </c>
      <c r="H6" s="136" t="s">
        <v>155</v>
      </c>
    </row>
    <row r="7" spans="5:8" x14ac:dyDescent="0.35">
      <c r="E7" s="185" t="s">
        <v>21</v>
      </c>
      <c r="F7" s="185" t="s">
        <v>21</v>
      </c>
      <c r="G7" s="200" t="s">
        <v>156</v>
      </c>
      <c r="H7" s="136" t="s">
        <v>157</v>
      </c>
    </row>
    <row r="8" spans="5:8" x14ac:dyDescent="0.35">
      <c r="E8" s="185" t="s">
        <v>22</v>
      </c>
      <c r="F8" s="185" t="s">
        <v>25</v>
      </c>
      <c r="G8" s="200" t="s">
        <v>158</v>
      </c>
    </row>
    <row r="9" spans="5:8" x14ac:dyDescent="0.35">
      <c r="E9" s="185" t="s">
        <v>23</v>
      </c>
      <c r="F9" s="185" t="s">
        <v>22</v>
      </c>
      <c r="G9" s="200" t="s">
        <v>159</v>
      </c>
    </row>
    <row r="10" spans="5:8" x14ac:dyDescent="0.35">
      <c r="E10" s="185" t="s">
        <v>24</v>
      </c>
      <c r="F10" s="185" t="s">
        <v>27</v>
      </c>
      <c r="G10" s="200" t="s">
        <v>160</v>
      </c>
    </row>
    <row r="11" spans="5:8" x14ac:dyDescent="0.35">
      <c r="E11" s="185" t="s">
        <v>25</v>
      </c>
      <c r="F11" s="185" t="s">
        <v>31</v>
      </c>
      <c r="G11" s="200" t="s">
        <v>161</v>
      </c>
    </row>
    <row r="12" spans="5:8" x14ac:dyDescent="0.35">
      <c r="E12" s="185" t="s">
        <v>26</v>
      </c>
      <c r="F12" s="186" t="s">
        <v>28</v>
      </c>
      <c r="G12" s="200" t="s">
        <v>162</v>
      </c>
    </row>
    <row r="13" spans="5:8" x14ac:dyDescent="0.35">
      <c r="E13" s="185" t="s">
        <v>27</v>
      </c>
      <c r="F13" s="185" t="s">
        <v>76</v>
      </c>
      <c r="G13" s="200" t="s">
        <v>163</v>
      </c>
    </row>
    <row r="14" spans="5:8" x14ac:dyDescent="0.35">
      <c r="E14" s="185" t="s">
        <v>28</v>
      </c>
      <c r="F14" s="185" t="s">
        <v>29</v>
      </c>
      <c r="G14" s="200" t="s">
        <v>164</v>
      </c>
    </row>
    <row r="15" spans="5:8" x14ac:dyDescent="0.35">
      <c r="E15" s="185" t="s">
        <v>29</v>
      </c>
      <c r="F15" s="185" t="s">
        <v>23</v>
      </c>
      <c r="G15" s="200" t="s">
        <v>165</v>
      </c>
    </row>
    <row r="16" spans="5:8" x14ac:dyDescent="0.35">
      <c r="E16" s="185" t="s">
        <v>30</v>
      </c>
      <c r="F16" s="185" t="s">
        <v>76</v>
      </c>
      <c r="G16" s="200" t="s">
        <v>166</v>
      </c>
    </row>
    <row r="17" spans="7:7" x14ac:dyDescent="0.35">
      <c r="G17" s="200" t="s">
        <v>167</v>
      </c>
    </row>
    <row r="18" spans="7:7" x14ac:dyDescent="0.35">
      <c r="G18" s="200" t="s">
        <v>168</v>
      </c>
    </row>
    <row r="19" spans="7:7" x14ac:dyDescent="0.35">
      <c r="G19" s="200" t="s">
        <v>169</v>
      </c>
    </row>
    <row r="20" spans="7:7" x14ac:dyDescent="0.35">
      <c r="G20" s="200" t="s">
        <v>170</v>
      </c>
    </row>
    <row r="21" spans="7:7" x14ac:dyDescent="0.35">
      <c r="G21" s="200" t="s">
        <v>171</v>
      </c>
    </row>
    <row r="22" spans="7:7" x14ac:dyDescent="0.35">
      <c r="G22" s="200" t="s">
        <v>172</v>
      </c>
    </row>
    <row r="23" spans="7:7" x14ac:dyDescent="0.35">
      <c r="G23" s="200" t="s">
        <v>173</v>
      </c>
    </row>
    <row r="24" spans="7:7" x14ac:dyDescent="0.35">
      <c r="G24" s="200" t="s">
        <v>174</v>
      </c>
    </row>
    <row r="25" spans="7:7" x14ac:dyDescent="0.35">
      <c r="G25" s="200" t="s">
        <v>175</v>
      </c>
    </row>
    <row r="26" spans="7:7" x14ac:dyDescent="0.35">
      <c r="G26" s="200" t="s">
        <v>176</v>
      </c>
    </row>
    <row r="27" spans="7:7" x14ac:dyDescent="0.35">
      <c r="G27" s="200" t="s">
        <v>177</v>
      </c>
    </row>
    <row r="28" spans="7:7" x14ac:dyDescent="0.35">
      <c r="G28" s="200" t="s">
        <v>178</v>
      </c>
    </row>
    <row r="29" spans="7:7" x14ac:dyDescent="0.35">
      <c r="G29" s="200" t="s">
        <v>179</v>
      </c>
    </row>
    <row r="30" spans="7:7" x14ac:dyDescent="0.35">
      <c r="G30" s="200" t="s">
        <v>180</v>
      </c>
    </row>
    <row r="31" spans="7:7" x14ac:dyDescent="0.35">
      <c r="G31" s="200" t="s">
        <v>181</v>
      </c>
    </row>
    <row r="32" spans="7:7" x14ac:dyDescent="0.35">
      <c r="G32" s="200" t="s">
        <v>182</v>
      </c>
    </row>
    <row r="33" spans="7:7" x14ac:dyDescent="0.35">
      <c r="G33" s="200" t="s">
        <v>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E17" sqref="E17"/>
    </sheetView>
  </sheetViews>
  <sheetFormatPr defaultRowHeight="14.5" x14ac:dyDescent="0.35"/>
  <sheetData>
    <row r="1" spans="1:2" x14ac:dyDescent="0.35">
      <c r="A1" s="5">
        <v>10286580</v>
      </c>
      <c r="B1" s="210">
        <v>10286658</v>
      </c>
    </row>
    <row r="2" spans="1:2" x14ac:dyDescent="0.35">
      <c r="A2" s="5">
        <v>10286586</v>
      </c>
      <c r="B2" s="210">
        <v>10286659</v>
      </c>
    </row>
    <row r="3" spans="1:2" x14ac:dyDescent="0.35">
      <c r="A3" s="5">
        <v>10286587</v>
      </c>
      <c r="B3" s="210">
        <v>10286660</v>
      </c>
    </row>
    <row r="4" spans="1:2" x14ac:dyDescent="0.35">
      <c r="A4" s="5">
        <v>10286588</v>
      </c>
      <c r="B4" s="211">
        <v>10286661</v>
      </c>
    </row>
    <row r="5" spans="1:2" x14ac:dyDescent="0.35">
      <c r="A5" s="5">
        <v>10286589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17"/>
  <sheetViews>
    <sheetView zoomScale="90" zoomScaleNormal="90" workbookViewId="0">
      <selection activeCell="B20" sqref="B20"/>
    </sheetView>
  </sheetViews>
  <sheetFormatPr defaultRowHeight="14.5" x14ac:dyDescent="0.35"/>
  <cols>
    <col min="2" max="2" width="41.81640625" customWidth="1"/>
    <col min="3" max="3" width="9.1796875" style="64"/>
    <col min="5" max="5" width="28.453125" customWidth="1"/>
    <col min="6" max="7" width="9.1796875" style="64"/>
    <col min="8" max="8" width="28.453125" style="64" customWidth="1"/>
    <col min="9" max="9" width="9.1796875" style="64"/>
    <col min="11" max="11" width="43.1796875" customWidth="1"/>
    <col min="12" max="12" width="13" style="64" customWidth="1"/>
    <col min="13" max="13" width="9.1796875" style="64"/>
  </cols>
  <sheetData>
    <row r="2" spans="2:13" ht="21.5" thickBot="1" x14ac:dyDescent="0.55000000000000004">
      <c r="B2" s="69" t="s">
        <v>184</v>
      </c>
      <c r="C2" s="70"/>
      <c r="D2" s="71"/>
      <c r="E2" s="69" t="s">
        <v>185</v>
      </c>
      <c r="F2" s="70"/>
      <c r="G2" s="70"/>
      <c r="H2" s="69" t="s">
        <v>186</v>
      </c>
      <c r="I2" s="70"/>
      <c r="K2" s="65" t="s">
        <v>187</v>
      </c>
      <c r="L2" s="66"/>
      <c r="M2" s="66"/>
    </row>
    <row r="3" spans="2:13" ht="15" thickBot="1" x14ac:dyDescent="0.4">
      <c r="B3" s="72" t="s">
        <v>188</v>
      </c>
      <c r="C3" s="73" t="s">
        <v>189</v>
      </c>
      <c r="D3" s="74"/>
      <c r="E3" s="75" t="s">
        <v>188</v>
      </c>
      <c r="F3" s="76" t="s">
        <v>189</v>
      </c>
      <c r="G3" s="101"/>
      <c r="H3" s="75" t="s">
        <v>188</v>
      </c>
      <c r="I3" s="76" t="s">
        <v>189</v>
      </c>
      <c r="K3" s="87" t="s">
        <v>188</v>
      </c>
      <c r="L3" s="88" t="s">
        <v>190</v>
      </c>
      <c r="M3" s="68" t="s">
        <v>191</v>
      </c>
    </row>
    <row r="4" spans="2:13" x14ac:dyDescent="0.35">
      <c r="B4" s="77" t="s">
        <v>192</v>
      </c>
      <c r="C4" s="78">
        <v>35</v>
      </c>
      <c r="D4" s="71"/>
      <c r="E4" s="77" t="s">
        <v>192</v>
      </c>
      <c r="F4" s="78">
        <v>141</v>
      </c>
      <c r="G4" s="70"/>
      <c r="H4" s="77" t="s">
        <v>192</v>
      </c>
      <c r="I4" s="78">
        <v>0</v>
      </c>
      <c r="K4" s="96" t="s">
        <v>192</v>
      </c>
      <c r="L4" s="93">
        <f>C4+F4+I4</f>
        <v>176</v>
      </c>
      <c r="M4" s="92">
        <f>L4/L8*100</f>
        <v>72.131147540983605</v>
      </c>
    </row>
    <row r="5" spans="2:13" x14ac:dyDescent="0.35">
      <c r="B5" s="79" t="s">
        <v>193</v>
      </c>
      <c r="C5" s="80">
        <v>17</v>
      </c>
      <c r="D5" s="71"/>
      <c r="E5" s="79" t="s">
        <v>193</v>
      </c>
      <c r="F5" s="80">
        <v>27</v>
      </c>
      <c r="G5" s="70"/>
      <c r="H5" s="79" t="s">
        <v>193</v>
      </c>
      <c r="I5" s="80">
        <v>24</v>
      </c>
      <c r="K5" s="97" t="s">
        <v>193</v>
      </c>
      <c r="L5" s="94">
        <f>C5+F5+I5</f>
        <v>68</v>
      </c>
      <c r="M5" s="86">
        <f>L5/L8*100</f>
        <v>27.868852459016392</v>
      </c>
    </row>
    <row r="6" spans="2:13" x14ac:dyDescent="0.35">
      <c r="B6" s="79" t="s">
        <v>194</v>
      </c>
      <c r="C6" s="80">
        <v>0</v>
      </c>
      <c r="D6" s="71"/>
      <c r="E6" s="79" t="s">
        <v>194</v>
      </c>
      <c r="F6" s="80">
        <v>0</v>
      </c>
      <c r="G6" s="70"/>
      <c r="H6" s="79" t="s">
        <v>194</v>
      </c>
      <c r="I6" s="80">
        <v>0</v>
      </c>
      <c r="K6" s="97" t="s">
        <v>194</v>
      </c>
      <c r="L6" s="95">
        <f>C6+F6+I6</f>
        <v>0</v>
      </c>
      <c r="M6" s="89">
        <f>L6/L8*100</f>
        <v>0</v>
      </c>
    </row>
    <row r="7" spans="2:13" ht="15" thickBot="1" x14ac:dyDescent="0.4">
      <c r="B7" s="81" t="s">
        <v>195</v>
      </c>
      <c r="C7" s="82">
        <v>52</v>
      </c>
      <c r="D7" s="71"/>
      <c r="E7" s="81" t="s">
        <v>195</v>
      </c>
      <c r="F7" s="82">
        <v>168</v>
      </c>
      <c r="G7" s="70"/>
      <c r="H7" s="81" t="s">
        <v>195</v>
      </c>
      <c r="I7" s="82">
        <v>24</v>
      </c>
      <c r="K7" s="212" t="s">
        <v>195</v>
      </c>
      <c r="L7" s="98">
        <f>C7+F7+I7</f>
        <v>244</v>
      </c>
      <c r="M7" s="90">
        <f>L7/L8*100</f>
        <v>100</v>
      </c>
    </row>
    <row r="8" spans="2:13" ht="15" thickBot="1" x14ac:dyDescent="0.4">
      <c r="B8" s="75" t="s">
        <v>189</v>
      </c>
      <c r="C8" s="76">
        <v>52</v>
      </c>
      <c r="D8" s="74"/>
      <c r="E8" s="75" t="s">
        <v>189</v>
      </c>
      <c r="F8" s="76">
        <v>168</v>
      </c>
      <c r="G8" s="101"/>
      <c r="H8" s="75" t="s">
        <v>189</v>
      </c>
      <c r="I8" s="76">
        <v>24</v>
      </c>
      <c r="K8" s="99" t="s">
        <v>189</v>
      </c>
      <c r="L8" s="100">
        <f>C8+F8+I8</f>
        <v>244</v>
      </c>
      <c r="M8" s="91">
        <f>M4+M5+M6</f>
        <v>100</v>
      </c>
    </row>
    <row r="9" spans="2:13" x14ac:dyDescent="0.35">
      <c r="B9" s="71"/>
      <c r="C9" s="70"/>
      <c r="D9" s="71"/>
      <c r="E9" s="71"/>
      <c r="F9" s="70"/>
      <c r="G9" s="70"/>
      <c r="H9" s="71"/>
      <c r="I9" s="70"/>
      <c r="K9" s="67"/>
      <c r="L9" s="66"/>
      <c r="M9" s="66"/>
    </row>
    <row r="10" spans="2:13" ht="21.5" thickBot="1" x14ac:dyDescent="0.55000000000000004">
      <c r="B10" s="69" t="s">
        <v>196</v>
      </c>
      <c r="C10" s="70"/>
      <c r="D10" s="71"/>
      <c r="E10" s="69" t="s">
        <v>197</v>
      </c>
      <c r="F10" s="70"/>
      <c r="G10" s="70"/>
      <c r="H10" s="69" t="s">
        <v>198</v>
      </c>
      <c r="I10" s="70"/>
      <c r="K10" s="65" t="s">
        <v>199</v>
      </c>
      <c r="L10" s="66"/>
      <c r="M10" s="66"/>
    </row>
    <row r="11" spans="2:13" ht="15" thickBot="1" x14ac:dyDescent="0.4">
      <c r="B11" s="75" t="s">
        <v>200</v>
      </c>
      <c r="C11" s="76" t="s">
        <v>189</v>
      </c>
      <c r="D11" s="71"/>
      <c r="E11" s="72" t="s">
        <v>200</v>
      </c>
      <c r="F11" s="73" t="s">
        <v>189</v>
      </c>
      <c r="G11" s="101"/>
      <c r="H11" s="75" t="s">
        <v>200</v>
      </c>
      <c r="I11" s="76" t="s">
        <v>189</v>
      </c>
      <c r="K11" s="87" t="s">
        <v>200</v>
      </c>
      <c r="L11" s="88" t="s">
        <v>190</v>
      </c>
      <c r="M11" s="68" t="s">
        <v>191</v>
      </c>
    </row>
    <row r="12" spans="2:13" ht="44" thickBot="1" x14ac:dyDescent="0.4">
      <c r="B12" s="83" t="s">
        <v>201</v>
      </c>
      <c r="C12" s="84">
        <v>12</v>
      </c>
      <c r="D12" s="71"/>
      <c r="E12" s="104" t="s">
        <v>202</v>
      </c>
      <c r="F12" s="78">
        <v>24</v>
      </c>
      <c r="G12" s="70"/>
      <c r="H12" s="83" t="s">
        <v>203</v>
      </c>
      <c r="I12" s="84">
        <v>24</v>
      </c>
      <c r="K12" s="109" t="s">
        <v>204</v>
      </c>
      <c r="L12" s="93">
        <v>44</v>
      </c>
      <c r="M12" s="92">
        <f>L12/L17*100</f>
        <v>35.199999999999996</v>
      </c>
    </row>
    <row r="13" spans="2:13" ht="29.5" thickBot="1" x14ac:dyDescent="0.4">
      <c r="B13" s="85" t="s">
        <v>205</v>
      </c>
      <c r="C13" s="80">
        <v>5</v>
      </c>
      <c r="D13" s="71"/>
      <c r="E13" s="106" t="s">
        <v>206</v>
      </c>
      <c r="F13" s="105">
        <v>3</v>
      </c>
      <c r="G13" s="101"/>
      <c r="H13" s="75" t="s">
        <v>189</v>
      </c>
      <c r="I13" s="76">
        <v>24</v>
      </c>
      <c r="K13" s="110" t="s">
        <v>207</v>
      </c>
      <c r="L13" s="94">
        <v>20</v>
      </c>
      <c r="M13" s="89">
        <f>L13/L17*100</f>
        <v>16</v>
      </c>
    </row>
    <row r="14" spans="2:13" ht="29.5" thickBot="1" x14ac:dyDescent="0.4">
      <c r="B14" s="75" t="s">
        <v>189</v>
      </c>
      <c r="C14" s="76">
        <f>C12+C13</f>
        <v>17</v>
      </c>
      <c r="D14" s="71"/>
      <c r="E14" s="102" t="s">
        <v>189</v>
      </c>
      <c r="F14" s="103">
        <v>27</v>
      </c>
      <c r="G14" s="70"/>
      <c r="H14" s="70"/>
      <c r="I14" s="70"/>
      <c r="K14" s="213" t="s">
        <v>202</v>
      </c>
      <c r="L14" s="107">
        <v>34</v>
      </c>
      <c r="M14" s="90">
        <f>L14/L17*100</f>
        <v>27.200000000000003</v>
      </c>
    </row>
    <row r="15" spans="2:13" x14ac:dyDescent="0.35">
      <c r="D15" s="71"/>
      <c r="E15" s="71"/>
      <c r="F15" s="70"/>
      <c r="G15" s="70"/>
      <c r="H15" s="70"/>
      <c r="I15" s="70"/>
      <c r="K15" s="110" t="s">
        <v>203</v>
      </c>
      <c r="L15" s="95">
        <v>24</v>
      </c>
      <c r="M15" s="90">
        <f>L15/L17*100</f>
        <v>19.2</v>
      </c>
    </row>
    <row r="16" spans="2:13" ht="15" thickBot="1" x14ac:dyDescent="0.4">
      <c r="K16" s="212" t="s">
        <v>206</v>
      </c>
      <c r="L16" s="108">
        <v>3</v>
      </c>
      <c r="M16" s="90">
        <f>L16/L17*100</f>
        <v>2.4</v>
      </c>
    </row>
    <row r="17" spans="11:13" ht="15" thickBot="1" x14ac:dyDescent="0.4">
      <c r="K17" s="99" t="s">
        <v>189</v>
      </c>
      <c r="L17" s="100">
        <f>SUM(L12:L16)</f>
        <v>125</v>
      </c>
      <c r="M17" s="91">
        <f>SUM(M12:M16)</f>
        <v>100.00000000000001</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28"/>
  <sheetViews>
    <sheetView topLeftCell="A2" zoomScale="110" zoomScaleNormal="110" workbookViewId="0">
      <selection activeCell="C22" sqref="C22"/>
    </sheetView>
  </sheetViews>
  <sheetFormatPr defaultRowHeight="14.5" x14ac:dyDescent="0.35"/>
  <cols>
    <col min="1" max="1" width="21.1796875" bestFit="1" customWidth="1"/>
    <col min="2" max="2" width="14.453125" bestFit="1" customWidth="1"/>
    <col min="3" max="3" width="9" bestFit="1" customWidth="1"/>
    <col min="4" max="4" width="24.54296875" bestFit="1" customWidth="1"/>
    <col min="5" max="5" width="30.26953125" bestFit="1" customWidth="1"/>
    <col min="6" max="6" width="27.26953125" bestFit="1" customWidth="1"/>
    <col min="7" max="7" width="30" bestFit="1" customWidth="1"/>
    <col min="8" max="8" width="31.7265625" bestFit="1" customWidth="1"/>
    <col min="9" max="12" width="31.7265625" customWidth="1"/>
    <col min="13" max="16" width="14.453125" customWidth="1"/>
    <col min="17" max="17" width="67.453125" bestFit="1" customWidth="1"/>
    <col min="18" max="18" width="31.1796875" bestFit="1" customWidth="1"/>
    <col min="19" max="19" width="45.453125" bestFit="1" customWidth="1"/>
    <col min="20" max="20" width="39.7265625" bestFit="1" customWidth="1"/>
    <col min="21" max="21" width="32" bestFit="1" customWidth="1"/>
    <col min="22" max="22" width="33.453125" bestFit="1" customWidth="1"/>
    <col min="23" max="23" width="31.1796875" bestFit="1" customWidth="1"/>
    <col min="24" max="24" width="20.26953125" bestFit="1" customWidth="1"/>
    <col min="25" max="25" width="18.81640625" bestFit="1" customWidth="1"/>
    <col min="26" max="26" width="20" bestFit="1" customWidth="1"/>
    <col min="27" max="27" width="25.81640625" bestFit="1" customWidth="1"/>
    <col min="28" max="28" width="30.453125" bestFit="1" customWidth="1"/>
    <col min="29" max="29" width="21.1796875" bestFit="1" customWidth="1"/>
    <col min="30" max="30" width="19.81640625" bestFit="1" customWidth="1"/>
    <col min="31" max="31" width="43" bestFit="1" customWidth="1"/>
    <col min="32" max="32" width="48.1796875" bestFit="1" customWidth="1"/>
    <col min="33" max="33" width="46" bestFit="1" customWidth="1"/>
    <col min="34" max="34" width="35.1796875" bestFit="1" customWidth="1"/>
    <col min="35" max="35" width="20.54296875" bestFit="1" customWidth="1"/>
    <col min="36" max="36" width="28.54296875" bestFit="1" customWidth="1"/>
    <col min="37" max="37" width="78.54296875" bestFit="1" customWidth="1"/>
    <col min="38" max="38" width="33.26953125" bestFit="1" customWidth="1"/>
    <col min="39" max="39" width="39.81640625" bestFit="1" customWidth="1"/>
    <col min="40" max="40" width="43.1796875" bestFit="1" customWidth="1"/>
    <col min="41" max="41" width="39.1796875" bestFit="1" customWidth="1"/>
    <col min="42" max="42" width="31.54296875" bestFit="1" customWidth="1"/>
    <col min="43" max="43" width="30.453125" bestFit="1" customWidth="1"/>
    <col min="44" max="44" width="37.26953125" bestFit="1" customWidth="1"/>
    <col min="45" max="45" width="38.26953125" bestFit="1" customWidth="1"/>
    <col min="46" max="46" width="33.26953125" bestFit="1" customWidth="1"/>
    <col min="47" max="47" width="36.7265625" bestFit="1" customWidth="1"/>
    <col min="48" max="48" width="43.453125" bestFit="1" customWidth="1"/>
    <col min="49" max="49" width="41.7265625" bestFit="1" customWidth="1"/>
    <col min="50" max="50" width="42.453125" bestFit="1" customWidth="1"/>
    <col min="51" max="51" width="52.54296875" bestFit="1" customWidth="1"/>
    <col min="52" max="52" width="36.453125" bestFit="1" customWidth="1"/>
    <col min="53" max="53" width="37.26953125" bestFit="1" customWidth="1"/>
    <col min="54" max="54" width="38.26953125" bestFit="1" customWidth="1"/>
    <col min="55" max="55" width="38" bestFit="1" customWidth="1"/>
    <col min="56" max="56" width="37.26953125" bestFit="1" customWidth="1"/>
    <col min="57" max="57" width="41.453125" style="137" bestFit="1" customWidth="1"/>
    <col min="58" max="58" width="41.54296875" style="137" bestFit="1" customWidth="1"/>
    <col min="59" max="59" width="37" style="137" bestFit="1" customWidth="1"/>
    <col min="60" max="61" width="53.54296875" style="137" bestFit="1" customWidth="1"/>
    <col min="62" max="62" width="31.7265625" bestFit="1" customWidth="1"/>
    <col min="63" max="63" width="32.453125" bestFit="1" customWidth="1"/>
  </cols>
  <sheetData>
    <row r="1" spans="1:63" ht="15" thickBot="1" x14ac:dyDescent="0.4">
      <c r="A1" s="3" t="s">
        <v>208</v>
      </c>
      <c r="B1" s="6" t="s">
        <v>209</v>
      </c>
      <c r="C1" s="3" t="s">
        <v>210</v>
      </c>
      <c r="D1" t="s">
        <v>211</v>
      </c>
      <c r="E1" t="s">
        <v>212</v>
      </c>
      <c r="F1" t="s">
        <v>213</v>
      </c>
      <c r="G1" t="s">
        <v>214</v>
      </c>
      <c r="H1" t="s">
        <v>215</v>
      </c>
      <c r="I1" s="34" t="s">
        <v>216</v>
      </c>
      <c r="M1" s="3"/>
      <c r="N1" s="3"/>
      <c r="O1" s="3"/>
      <c r="P1" s="3"/>
      <c r="Q1" s="3" t="s">
        <v>217</v>
      </c>
      <c r="R1" s="18" t="s">
        <v>218</v>
      </c>
      <c r="S1" s="19" t="s">
        <v>219</v>
      </c>
      <c r="T1" s="1" t="s">
        <v>220</v>
      </c>
      <c r="U1" s="1" t="s">
        <v>221</v>
      </c>
      <c r="V1" s="1" t="s">
        <v>222</v>
      </c>
      <c r="W1" s="1" t="s">
        <v>223</v>
      </c>
      <c r="X1" s="1" t="s">
        <v>224</v>
      </c>
      <c r="Y1" s="1" t="s">
        <v>225</v>
      </c>
      <c r="Z1" s="1" t="s">
        <v>226</v>
      </c>
      <c r="AA1" s="1" t="s">
        <v>227</v>
      </c>
      <c r="AB1" s="1" t="s">
        <v>228</v>
      </c>
      <c r="AC1" s="1" t="s">
        <v>229</v>
      </c>
      <c r="AD1" s="1" t="s">
        <v>230</v>
      </c>
      <c r="AE1" s="1" t="s">
        <v>231</v>
      </c>
      <c r="AF1" s="20" t="s">
        <v>232</v>
      </c>
      <c r="AG1" s="34" t="s">
        <v>233</v>
      </c>
      <c r="AH1" s="1" t="s">
        <v>234</v>
      </c>
      <c r="AI1" s="1" t="s">
        <v>235</v>
      </c>
      <c r="AJ1" s="1" t="s">
        <v>236</v>
      </c>
      <c r="AK1" s="1" t="s">
        <v>237</v>
      </c>
      <c r="AL1" s="1" t="s">
        <v>238</v>
      </c>
      <c r="AM1" s="1" t="s">
        <v>239</v>
      </c>
      <c r="AN1" s="1" t="s">
        <v>240</v>
      </c>
      <c r="AO1" s="1" t="s">
        <v>241</v>
      </c>
      <c r="AP1" s="1" t="s">
        <v>242</v>
      </c>
      <c r="AQ1" s="1" t="s">
        <v>243</v>
      </c>
      <c r="AR1" t="s">
        <v>244</v>
      </c>
      <c r="AS1" s="28" t="s">
        <v>245</v>
      </c>
      <c r="AT1" s="28" t="s">
        <v>246</v>
      </c>
      <c r="AU1" s="21" t="s">
        <v>247</v>
      </c>
      <c r="AV1" s="21" t="s">
        <v>248</v>
      </c>
      <c r="AW1" s="21" t="s">
        <v>249</v>
      </c>
      <c r="AX1" s="21" t="s">
        <v>250</v>
      </c>
      <c r="AY1" s="21" t="s">
        <v>251</v>
      </c>
      <c r="AZ1" s="21" t="s">
        <v>252</v>
      </c>
      <c r="BA1" s="34" t="s">
        <v>253</v>
      </c>
      <c r="BB1" s="1" t="s">
        <v>254</v>
      </c>
      <c r="BC1" s="1" t="s">
        <v>255</v>
      </c>
      <c r="BD1" t="s">
        <v>256</v>
      </c>
      <c r="BE1" s="137" t="s">
        <v>257</v>
      </c>
      <c r="BF1" s="137" t="s">
        <v>258</v>
      </c>
      <c r="BG1" s="137" t="s">
        <v>259</v>
      </c>
      <c r="BH1" s="138" t="s">
        <v>260</v>
      </c>
      <c r="BI1" s="138" t="s">
        <v>261</v>
      </c>
      <c r="BJ1" t="s">
        <v>262</v>
      </c>
      <c r="BK1" t="s">
        <v>263</v>
      </c>
    </row>
    <row r="2" spans="1:63" ht="218" thickBot="1" x14ac:dyDescent="0.4">
      <c r="A2" s="148" t="s">
        <v>42</v>
      </c>
      <c r="B2" s="25" t="s">
        <v>46</v>
      </c>
      <c r="C2" s="149" t="s">
        <v>264</v>
      </c>
      <c r="D2" s="143" t="s">
        <v>87</v>
      </c>
      <c r="E2" s="143"/>
      <c r="F2" s="143"/>
      <c r="G2" s="143"/>
      <c r="H2" s="143" t="b">
        <v>1</v>
      </c>
      <c r="I2" s="21" t="s">
        <v>265</v>
      </c>
      <c r="J2" s="143"/>
      <c r="K2" s="143"/>
      <c r="L2" s="143"/>
      <c r="M2" s="143"/>
      <c r="N2" s="143"/>
      <c r="O2" s="143"/>
      <c r="P2" s="143"/>
      <c r="Q2" s="24" t="s">
        <v>266</v>
      </c>
      <c r="R2" s="22" t="s">
        <v>267</v>
      </c>
      <c r="S2" s="23" t="s">
        <v>268</v>
      </c>
      <c r="T2" s="7" t="s">
        <v>269</v>
      </c>
      <c r="U2" s="21" t="s">
        <v>270</v>
      </c>
      <c r="V2" s="21" t="s">
        <v>270</v>
      </c>
      <c r="W2" s="21" t="s">
        <v>270</v>
      </c>
      <c r="X2" s="28" t="str">
        <f ca="1">IF(MONTH(TODAY())&lt;10,"0"&amp;MONTH(TODAY())&amp;"/",MONTH(TODAY())&amp;"/") &amp; IF(DAY(TODAY())&lt;10,"0"&amp;DAY(TODAY())&amp;"/",DAY(TODAY())&amp;"/") &amp; YEAR(TODAY())</f>
        <v>05/21/2025</v>
      </c>
      <c r="Y2" s="21" t="s">
        <v>271</v>
      </c>
      <c r="Z2" s="21" t="s">
        <v>272</v>
      </c>
      <c r="AA2" s="21" t="s">
        <v>125</v>
      </c>
      <c r="AB2" s="21" t="s">
        <v>273</v>
      </c>
      <c r="AC2" s="21" t="s">
        <v>274</v>
      </c>
      <c r="AD2" t="s">
        <v>275</v>
      </c>
      <c r="AE2" s="21" t="s">
        <v>265</v>
      </c>
      <c r="AF2" s="28" t="str">
        <f ca="1">IF(MONTH(TODAY())&lt;10,"0"&amp;MONTH(TODAY())&amp;"/",MONTH(TODAY())&amp;"/") &amp; IF(DAY(TODAY())&lt;10,"0"&amp;DAY(TODAY())&amp;"/",DAY(TODAY())&amp;"/") &amp; YEAR(TODAY())</f>
        <v>05/21/2025</v>
      </c>
      <c r="AG2" s="21" t="s">
        <v>276</v>
      </c>
      <c r="AH2" s="21" t="s">
        <v>277</v>
      </c>
      <c r="AI2" s="21">
        <v>10223439</v>
      </c>
      <c r="AJ2" s="21" t="s">
        <v>278</v>
      </c>
      <c r="AK2" s="21" t="s">
        <v>279</v>
      </c>
      <c r="AL2" s="21" t="s">
        <v>280</v>
      </c>
      <c r="AM2" s="21" t="s">
        <v>281</v>
      </c>
      <c r="AN2" s="28" t="str">
        <f ca="1">IF(MONTH(TODAY())&lt;10,"0"&amp;MONTH(TODAY())&amp;"/",MONTH(TODAY())&amp;"/") &amp; IF(DAY(TODAY())&lt;10,"0"&amp;DAY(TODAY())&amp;"/",DAY(TODAY())&amp;"/") &amp; YEAR(TODAY())</f>
        <v>05/21/2025</v>
      </c>
      <c r="AO2" t="s">
        <v>282</v>
      </c>
      <c r="AP2" t="s">
        <v>282</v>
      </c>
      <c r="AV2" t="s">
        <v>283</v>
      </c>
      <c r="AW2" t="s">
        <v>284</v>
      </c>
      <c r="AX2" s="7" t="s">
        <v>285</v>
      </c>
      <c r="AY2" s="21" t="s">
        <v>286</v>
      </c>
      <c r="AZ2" s="29" t="s">
        <v>287</v>
      </c>
      <c r="BA2" t="s">
        <v>76</v>
      </c>
      <c r="BB2" s="28" t="str">
        <f ca="1">IF(MONTH(TODAY()+100)&lt;10,"0"&amp;MONTH(TODAY()+100)&amp;"/",MONTH(TODAY()+100)&amp;"/") &amp; IF(DAY(TODAY()+100)&lt;10,"0"&amp;DAY(TODAY()+100)&amp;"/",DAY(TODAY()+100)&amp;"/") &amp; YEAR(TODAY()+100)</f>
        <v>08/29/2025</v>
      </c>
      <c r="BC2" t="s">
        <v>46</v>
      </c>
      <c r="BD2" t="s">
        <v>46</v>
      </c>
      <c r="BE2" s="139" t="s">
        <v>288</v>
      </c>
      <c r="BF2" s="140" t="s">
        <v>289</v>
      </c>
      <c r="BG2" s="137" t="s">
        <v>290</v>
      </c>
      <c r="BH2" s="138" t="s">
        <v>286</v>
      </c>
      <c r="BI2" s="138" t="s">
        <v>291</v>
      </c>
      <c r="BJ2" s="136" t="s">
        <v>292</v>
      </c>
      <c r="BK2" s="137" t="s">
        <v>293</v>
      </c>
    </row>
    <row r="3" spans="1:63" ht="15" thickBot="1" x14ac:dyDescent="0.4">
      <c r="A3" s="4" t="s">
        <v>40</v>
      </c>
      <c r="B3" s="26" t="s">
        <v>47</v>
      </c>
      <c r="C3" s="150" t="s">
        <v>294</v>
      </c>
      <c r="D3" s="143" t="s">
        <v>86</v>
      </c>
      <c r="E3" s="143"/>
      <c r="F3" s="143"/>
      <c r="G3" s="143"/>
      <c r="H3" s="143" t="b">
        <v>0</v>
      </c>
      <c r="I3" s="21" t="s">
        <v>295</v>
      </c>
      <c r="J3" s="143"/>
      <c r="K3" s="143"/>
      <c r="L3" s="143"/>
      <c r="M3" s="143"/>
      <c r="N3" s="143"/>
      <c r="O3" s="143"/>
      <c r="P3" s="143"/>
      <c r="Q3" s="12" t="s">
        <v>296</v>
      </c>
      <c r="R3" s="22" t="s">
        <v>267</v>
      </c>
      <c r="S3" s="23" t="s">
        <v>268</v>
      </c>
      <c r="T3" s="21" t="s">
        <v>297</v>
      </c>
      <c r="U3" s="21" t="s">
        <v>298</v>
      </c>
      <c r="V3" s="21" t="s">
        <v>298</v>
      </c>
      <c r="W3" s="21" t="s">
        <v>298</v>
      </c>
      <c r="X3" s="28" t="str">
        <f ca="1">IF(MONTH(TODAY()-10)&lt;10,"0"&amp;MONTH(TODAY()-10)&amp;"/",MONTH(TODAY()-10))&amp;"/" &amp; IF(DAY(TODAY()-10)&lt;10,"0"&amp;DAY(TODAY()-10)&amp;"/",DAY(TODAY()-10)&amp;"/") &amp; YEAR(TODAY()-10)</f>
        <v>05//11/2025</v>
      </c>
      <c r="Z3" s="21" t="s">
        <v>299</v>
      </c>
      <c r="AA3" s="21" t="s">
        <v>300</v>
      </c>
      <c r="AB3" s="27" t="s">
        <v>301</v>
      </c>
      <c r="AC3" s="21" t="s">
        <v>302</v>
      </c>
      <c r="AD3" s="21"/>
      <c r="AE3" s="21" t="s">
        <v>295</v>
      </c>
      <c r="AF3" s="28" t="str">
        <f ca="1">IF(MONTH(TODAY()+100)&lt;10,"0"&amp;MONTH(TODAY()+100)&amp;"/",MONTH(TODAY()+100)&amp;"/") &amp; IF(DAY(TODAY()+100)&lt;10,"0"&amp;DAY(TODAY()+100)&amp;"/",DAY(TODAY()+100)&amp;"/") &amp; YEAR(TODAY()+100)</f>
        <v>08/29/2025</v>
      </c>
      <c r="AH3" s="21" t="s">
        <v>303</v>
      </c>
      <c r="AI3">
        <v>10225553</v>
      </c>
      <c r="AJ3" s="21" t="s">
        <v>304</v>
      </c>
      <c r="AK3" s="21" t="s">
        <v>305</v>
      </c>
      <c r="AL3" s="21" t="s">
        <v>306</v>
      </c>
      <c r="AM3" s="21" t="s">
        <v>307</v>
      </c>
      <c r="AN3" s="28" t="str">
        <f ca="1">IF(MONTH(TODAY()+100)&lt;10,"0"&amp;MONTH(TODAY()+100)&amp;"/",MONTH(TODAY()+100)&amp;"/") &amp; IF(DAY(TODAY()+100)&lt;10,"0"&amp;DAY(TODAY()+100)&amp;"/",DAY(TODAY()+100)&amp;"/") &amp; YEAR(TODAY()+100)</f>
        <v>08/29/2025</v>
      </c>
      <c r="AO3" s="28"/>
      <c r="AP3" s="28"/>
      <c r="AQ3" s="28"/>
      <c r="AR3" s="28"/>
      <c r="AS3" s="28"/>
      <c r="AT3" s="28"/>
      <c r="AU3" s="28"/>
      <c r="AV3" s="28" t="s">
        <v>308</v>
      </c>
      <c r="AW3" s="28" t="s">
        <v>309</v>
      </c>
      <c r="AX3" s="21" t="s">
        <v>310</v>
      </c>
      <c r="AY3" s="21" t="s">
        <v>291</v>
      </c>
      <c r="AZ3" s="21" t="s">
        <v>311</v>
      </c>
      <c r="BA3" s="37" t="s">
        <v>312</v>
      </c>
      <c r="BB3" s="28" t="str">
        <f ca="1">IF(MONTH(TODAY()+1000)&lt;10,"0"&amp;MONTH(TODAY()+1000)&amp;"/",MONTH(TODAY()+1000)&amp;"/") &amp; IF(DAY(TODAY()+1000)&lt;10,"0"&amp;DAY(TODAY()+1000)&amp;"/",DAY(TODAY()+1000)&amp;"/") &amp; YEAR(TODAY()+1000)</f>
        <v>02/15/2028</v>
      </c>
      <c r="BC3" t="s">
        <v>47</v>
      </c>
      <c r="BD3" t="s">
        <v>47</v>
      </c>
      <c r="BE3" s="139" t="s">
        <v>313</v>
      </c>
      <c r="BF3" s="138" t="s">
        <v>314</v>
      </c>
    </row>
    <row r="4" spans="1:63" ht="15" thickBot="1" x14ac:dyDescent="0.4">
      <c r="A4" s="2" t="s">
        <v>39</v>
      </c>
      <c r="C4" t="s">
        <v>315</v>
      </c>
      <c r="D4" t="s">
        <v>88</v>
      </c>
      <c r="I4" s="21" t="s">
        <v>316</v>
      </c>
      <c r="Q4" s="12"/>
      <c r="R4" s="22" t="s">
        <v>317</v>
      </c>
      <c r="S4" s="23" t="s">
        <v>318</v>
      </c>
      <c r="X4" s="28" t="str">
        <f ca="1">IF(MONTH(TODAY()+10)&lt;10,"0"&amp;MONTH(TODAY()+10)&amp;"/",MONTH(TODAY()+10)&amp;"/") &amp; IF(DAY(TODAY()+10)&lt;10,"0"&amp;DAY(TODAY()+10)&amp;"/",DAY(TODAY()+10)&amp;"/") &amp; YEAR(TODAY()+10)</f>
        <v>05/31/2025</v>
      </c>
      <c r="Z4" s="21" t="s">
        <v>319</v>
      </c>
      <c r="AA4" s="21" t="s">
        <v>41</v>
      </c>
      <c r="AB4" s="27" t="s">
        <v>320</v>
      </c>
      <c r="AE4" s="21" t="s">
        <v>316</v>
      </c>
      <c r="AF4" s="28" t="str">
        <f ca="1">IF(MONTH(TODAY()+1000)&lt;10,"0"&amp;MONTH(TODAY()+1000)&amp;"/",MONTH(TODAY()+1000)&amp;"/") &amp; IF(DAY(TODAY()+1000)&lt;10,"0"&amp;DAY(TODAY()+1000)&amp;"/",DAY(TODAY()+1000)&amp;"/") &amp; YEAR(TODAY()+1000)</f>
        <v>02/15/2028</v>
      </c>
      <c r="AK4" s="21" t="s">
        <v>321</v>
      </c>
      <c r="AL4" s="21" t="s">
        <v>322</v>
      </c>
      <c r="AM4" s="21" t="s">
        <v>323</v>
      </c>
      <c r="AN4" s="28" t="str">
        <f ca="1">IF(MONTH(TODAY()+1000)&lt;10,"0"&amp;MONTH(TODAY()+1000)&amp;"/",MONTH(TODAY()+1000)&amp;"/") &amp; IF(DAY(TODAY()+1000)&lt;10,"0"&amp;DAY(TODAY()+1000)&amp;"/",DAY(TODAY()+1000)&amp;"/") &amp; YEAR(TODAY()+1000)</f>
        <v>02/15/2028</v>
      </c>
      <c r="AO4" s="28"/>
      <c r="AP4" s="28"/>
      <c r="AQ4" s="28"/>
      <c r="AR4" s="28"/>
      <c r="AS4" s="28"/>
      <c r="AT4" s="28"/>
      <c r="AU4" s="28"/>
      <c r="AV4" s="28" t="s">
        <v>324</v>
      </c>
      <c r="AW4" s="28" t="s">
        <v>325</v>
      </c>
      <c r="AX4" s="28"/>
      <c r="AY4" s="28"/>
      <c r="AZ4" s="28"/>
      <c r="BA4" s="28"/>
      <c r="BB4" s="21" t="s">
        <v>76</v>
      </c>
      <c r="BE4" s="139" t="s">
        <v>326</v>
      </c>
      <c r="BF4" s="140" t="s">
        <v>327</v>
      </c>
    </row>
    <row r="5" spans="1:63" x14ac:dyDescent="0.35">
      <c r="A5" s="2" t="s">
        <v>43</v>
      </c>
      <c r="C5" t="s">
        <v>328</v>
      </c>
      <c r="I5" s="21" t="s">
        <v>329</v>
      </c>
      <c r="Q5" s="12"/>
      <c r="R5" s="22" t="s">
        <v>317</v>
      </c>
      <c r="S5" s="23" t="s">
        <v>318</v>
      </c>
      <c r="Z5" s="21" t="s">
        <v>76</v>
      </c>
      <c r="AA5" s="21" t="s">
        <v>330</v>
      </c>
      <c r="AB5" s="27" t="s">
        <v>331</v>
      </c>
      <c r="AE5" s="21" t="s">
        <v>329</v>
      </c>
      <c r="AF5" s="21" t="s">
        <v>76</v>
      </c>
      <c r="AK5" s="21" t="s">
        <v>332</v>
      </c>
      <c r="AL5" s="21" t="s">
        <v>333</v>
      </c>
      <c r="AN5" s="21" t="s">
        <v>76</v>
      </c>
      <c r="AO5" s="21"/>
      <c r="AP5" s="21"/>
      <c r="AQ5" s="21"/>
      <c r="AR5" s="21"/>
      <c r="AS5" s="21"/>
      <c r="AT5" s="21"/>
      <c r="AU5" s="21"/>
      <c r="AV5" s="21"/>
      <c r="AW5" s="21" t="s">
        <v>334</v>
      </c>
      <c r="AX5" s="21"/>
      <c r="AY5" s="21"/>
      <c r="AZ5" s="21"/>
      <c r="BA5" s="21"/>
      <c r="BE5" s="139" t="s">
        <v>335</v>
      </c>
      <c r="BF5" s="138" t="s">
        <v>336</v>
      </c>
    </row>
    <row r="6" spans="1:63" x14ac:dyDescent="0.35">
      <c r="A6" s="148" t="s">
        <v>87</v>
      </c>
      <c r="C6" t="s">
        <v>267</v>
      </c>
      <c r="I6" s="21" t="s">
        <v>337</v>
      </c>
      <c r="S6" s="13"/>
      <c r="AB6" s="27" t="s">
        <v>338</v>
      </c>
      <c r="AE6" s="21" t="s">
        <v>337</v>
      </c>
      <c r="AF6" s="21"/>
      <c r="AL6" s="21" t="s">
        <v>339</v>
      </c>
      <c r="BE6" s="139" t="s">
        <v>340</v>
      </c>
      <c r="BF6" s="138" t="s">
        <v>341</v>
      </c>
    </row>
    <row r="7" spans="1:63" x14ac:dyDescent="0.35">
      <c r="A7" s="147" t="s">
        <v>41</v>
      </c>
      <c r="C7" t="s">
        <v>342</v>
      </c>
      <c r="Q7" s="12"/>
      <c r="S7" s="13"/>
      <c r="AB7" s="27" t="s">
        <v>343</v>
      </c>
      <c r="BE7" s="139" t="s">
        <v>344</v>
      </c>
      <c r="BF7" s="138" t="s">
        <v>345</v>
      </c>
    </row>
    <row r="8" spans="1:63" x14ac:dyDescent="0.35">
      <c r="C8" t="s">
        <v>346</v>
      </c>
      <c r="Q8" s="12"/>
      <c r="S8" s="13"/>
      <c r="AB8" s="27" t="s">
        <v>347</v>
      </c>
      <c r="BE8" s="137" t="s">
        <v>348</v>
      </c>
      <c r="BF8" s="138" t="s">
        <v>349</v>
      </c>
    </row>
    <row r="9" spans="1:63" ht="15" thickBot="1" x14ac:dyDescent="0.4">
      <c r="C9" t="s">
        <v>350</v>
      </c>
      <c r="Q9" s="14"/>
      <c r="R9" s="15"/>
      <c r="S9" s="16"/>
      <c r="AB9" s="27" t="s">
        <v>351</v>
      </c>
      <c r="BE9" s="139" t="s">
        <v>352</v>
      </c>
      <c r="BF9" s="141" t="s">
        <v>353</v>
      </c>
    </row>
    <row r="10" spans="1:63" x14ac:dyDescent="0.35">
      <c r="C10" t="s">
        <v>317</v>
      </c>
      <c r="AB10" s="27" t="s">
        <v>354</v>
      </c>
    </row>
    <row r="11" spans="1:63" x14ac:dyDescent="0.35">
      <c r="C11" t="s">
        <v>355</v>
      </c>
      <c r="AB11" s="27" t="s">
        <v>356</v>
      </c>
      <c r="BE11" s="142"/>
    </row>
    <row r="12" spans="1:63" x14ac:dyDescent="0.35">
      <c r="C12" t="s">
        <v>357</v>
      </c>
      <c r="AB12" s="27" t="s">
        <v>358</v>
      </c>
    </row>
    <row r="13" spans="1:63" x14ac:dyDescent="0.35">
      <c r="C13" t="s">
        <v>359</v>
      </c>
      <c r="AB13" s="27" t="s">
        <v>360</v>
      </c>
    </row>
    <row r="14" spans="1:63" x14ac:dyDescent="0.35">
      <c r="C14" t="s">
        <v>361</v>
      </c>
      <c r="AB14" s="27" t="s">
        <v>362</v>
      </c>
    </row>
    <row r="15" spans="1:63" x14ac:dyDescent="0.35">
      <c r="C15" t="s">
        <v>363</v>
      </c>
      <c r="AB15" s="27" t="s">
        <v>364</v>
      </c>
    </row>
    <row r="16" spans="1:63" x14ac:dyDescent="0.35">
      <c r="C16" t="s">
        <v>49</v>
      </c>
    </row>
    <row r="21" spans="17:57" x14ac:dyDescent="0.35">
      <c r="Y21" t="s">
        <v>365</v>
      </c>
      <c r="AI21">
        <v>8701839</v>
      </c>
      <c r="AJ21" t="s">
        <v>366</v>
      </c>
      <c r="AK21" t="s">
        <v>367</v>
      </c>
      <c r="BD21" t="s">
        <v>368</v>
      </c>
    </row>
    <row r="22" spans="17:57" x14ac:dyDescent="0.35">
      <c r="Q22" t="s">
        <v>369</v>
      </c>
      <c r="R22" t="s">
        <v>361</v>
      </c>
      <c r="S22" t="s">
        <v>370</v>
      </c>
      <c r="Y22" t="s">
        <v>371</v>
      </c>
      <c r="AK22" t="s">
        <v>372</v>
      </c>
      <c r="AM22" t="s">
        <v>373</v>
      </c>
      <c r="BD22" t="s">
        <v>374</v>
      </c>
      <c r="BE22" s="137" t="s">
        <v>375</v>
      </c>
    </row>
    <row r="23" spans="17:57" x14ac:dyDescent="0.35">
      <c r="AK23" t="s">
        <v>300</v>
      </c>
      <c r="AM23" t="s">
        <v>376</v>
      </c>
      <c r="BE23" s="137" t="s">
        <v>377</v>
      </c>
    </row>
    <row r="24" spans="17:57" x14ac:dyDescent="0.35">
      <c r="Q24" s="17" t="s">
        <v>378</v>
      </c>
      <c r="R24" t="s">
        <v>317</v>
      </c>
      <c r="S24" s="13" t="s">
        <v>318</v>
      </c>
      <c r="BE24" s="137" t="s">
        <v>379</v>
      </c>
    </row>
    <row r="25" spans="17:57" x14ac:dyDescent="0.35">
      <c r="Q25" s="17" t="s">
        <v>380</v>
      </c>
      <c r="R25" t="s">
        <v>317</v>
      </c>
      <c r="S25" s="13" t="s">
        <v>318</v>
      </c>
      <c r="BE25" s="137" t="s">
        <v>381</v>
      </c>
    </row>
    <row r="26" spans="17:57" x14ac:dyDescent="0.35">
      <c r="BE26" s="137" t="s">
        <v>382</v>
      </c>
    </row>
    <row r="27" spans="17:57" x14ac:dyDescent="0.35">
      <c r="BE27" s="137" t="s">
        <v>383</v>
      </c>
    </row>
    <row r="28" spans="17:57" x14ac:dyDescent="0.35">
      <c r="BE28" s="137" t="s">
        <v>384</v>
      </c>
    </row>
  </sheetData>
  <hyperlinks>
    <hyperlink ref="C2" location="Slovakia!A1" display="Slovakia" xr:uid="{00000000-0004-0000-0500-000000000000}"/>
    <hyperlink ref="C3" location="Slovenia!A1" display="Slovenia" xr:uid="{00000000-0004-0000-0500-000001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33"/>
  <sheetViews>
    <sheetView workbookViewId="0">
      <selection activeCell="R125" sqref="P125:R129"/>
    </sheetView>
  </sheetViews>
  <sheetFormatPr defaultColWidth="8.726562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32" t="s">
        <v>385</v>
      </c>
      <c r="B1" s="133">
        <v>35139</v>
      </c>
      <c r="C1" s="133">
        <v>33054</v>
      </c>
      <c r="D1" s="133">
        <v>31390</v>
      </c>
      <c r="F1" s="134" t="s">
        <v>386</v>
      </c>
      <c r="G1" s="134" t="s">
        <v>387</v>
      </c>
      <c r="H1" s="134" t="s">
        <v>388</v>
      </c>
    </row>
    <row r="2" spans="1:8" x14ac:dyDescent="0.35">
      <c r="B2" s="21">
        <v>9603150007</v>
      </c>
      <c r="C2">
        <v>9006300006</v>
      </c>
      <c r="D2">
        <v>8512090004</v>
      </c>
      <c r="F2" s="134">
        <f>B2/11</f>
        <v>873013637</v>
      </c>
      <c r="G2" s="134">
        <f>C2/11</f>
        <v>818754546</v>
      </c>
      <c r="H2" s="134">
        <f>D2/11</f>
        <v>773826364</v>
      </c>
    </row>
    <row r="3" spans="1:8" x14ac:dyDescent="0.35">
      <c r="B3" s="21">
        <f>B2+11</f>
        <v>9603150018</v>
      </c>
      <c r="C3">
        <f>C2+11</f>
        <v>9006300017</v>
      </c>
      <c r="D3">
        <f>D2+11</f>
        <v>8512090015</v>
      </c>
      <c r="F3" s="134">
        <f t="shared" ref="F3:H28" si="0">B3/11</f>
        <v>873013638</v>
      </c>
      <c r="G3" s="134">
        <f t="shared" si="0"/>
        <v>818754547</v>
      </c>
      <c r="H3" s="134">
        <f t="shared" si="0"/>
        <v>773826365</v>
      </c>
    </row>
    <row r="4" spans="1:8" x14ac:dyDescent="0.35">
      <c r="B4" s="21">
        <f t="shared" ref="B4:B67" si="1">B3+11</f>
        <v>9603150029</v>
      </c>
      <c r="C4">
        <f t="shared" ref="C4:D19" si="2">C3+11</f>
        <v>9006300028</v>
      </c>
      <c r="D4">
        <f t="shared" si="2"/>
        <v>8512090026</v>
      </c>
      <c r="F4" s="134">
        <f t="shared" si="0"/>
        <v>873013639</v>
      </c>
      <c r="G4" s="134">
        <f t="shared" si="0"/>
        <v>818754548</v>
      </c>
      <c r="H4" s="134">
        <f t="shared" si="0"/>
        <v>773826366</v>
      </c>
    </row>
    <row r="5" spans="1:8" x14ac:dyDescent="0.35">
      <c r="B5" s="21">
        <f t="shared" si="1"/>
        <v>9603150040</v>
      </c>
      <c r="C5">
        <f t="shared" si="2"/>
        <v>9006300039</v>
      </c>
      <c r="D5">
        <f t="shared" si="2"/>
        <v>8512090037</v>
      </c>
      <c r="F5" s="134">
        <f t="shared" si="0"/>
        <v>873013640</v>
      </c>
      <c r="G5" s="134">
        <f t="shared" si="0"/>
        <v>818754549</v>
      </c>
      <c r="H5" s="134">
        <f t="shared" si="0"/>
        <v>773826367</v>
      </c>
    </row>
    <row r="6" spans="1:8" x14ac:dyDescent="0.35">
      <c r="B6" s="21">
        <f t="shared" si="1"/>
        <v>9603150051</v>
      </c>
      <c r="C6">
        <f t="shared" si="2"/>
        <v>9006300050</v>
      </c>
      <c r="D6">
        <f t="shared" si="2"/>
        <v>8512090048</v>
      </c>
      <c r="F6" s="134">
        <f t="shared" si="0"/>
        <v>873013641</v>
      </c>
      <c r="G6" s="134">
        <f t="shared" si="0"/>
        <v>818754550</v>
      </c>
      <c r="H6" s="134">
        <f t="shared" si="0"/>
        <v>773826368</v>
      </c>
    </row>
    <row r="7" spans="1:8" x14ac:dyDescent="0.35">
      <c r="B7" s="21">
        <f t="shared" si="1"/>
        <v>9603150062</v>
      </c>
      <c r="C7">
        <f t="shared" si="2"/>
        <v>9006300061</v>
      </c>
      <c r="D7">
        <f t="shared" si="2"/>
        <v>8512090059</v>
      </c>
      <c r="F7" s="134">
        <f t="shared" si="0"/>
        <v>873013642</v>
      </c>
      <c r="G7" s="134">
        <f t="shared" si="0"/>
        <v>818754551</v>
      </c>
      <c r="H7" s="134">
        <f t="shared" si="0"/>
        <v>773826369</v>
      </c>
    </row>
    <row r="8" spans="1:8" x14ac:dyDescent="0.35">
      <c r="B8" s="21">
        <f t="shared" si="1"/>
        <v>9603150073</v>
      </c>
      <c r="C8">
        <f t="shared" si="2"/>
        <v>9006300072</v>
      </c>
      <c r="D8">
        <f t="shared" si="2"/>
        <v>8512090070</v>
      </c>
      <c r="F8" s="134">
        <f t="shared" si="0"/>
        <v>873013643</v>
      </c>
      <c r="G8" s="134">
        <f t="shared" si="0"/>
        <v>818754552</v>
      </c>
      <c r="H8" s="134">
        <f t="shared" si="0"/>
        <v>773826370</v>
      </c>
    </row>
    <row r="9" spans="1:8" x14ac:dyDescent="0.35">
      <c r="B9" s="21">
        <f t="shared" si="1"/>
        <v>9603150084</v>
      </c>
      <c r="C9">
        <f t="shared" si="2"/>
        <v>9006300083</v>
      </c>
      <c r="D9">
        <f t="shared" si="2"/>
        <v>8512090081</v>
      </c>
      <c r="F9" s="134">
        <f t="shared" si="0"/>
        <v>873013644</v>
      </c>
      <c r="G9" s="134">
        <f t="shared" si="0"/>
        <v>818754553</v>
      </c>
      <c r="H9" s="134">
        <f t="shared" si="0"/>
        <v>773826371</v>
      </c>
    </row>
    <row r="10" spans="1:8" x14ac:dyDescent="0.35">
      <c r="B10" s="21">
        <f t="shared" si="1"/>
        <v>9603150095</v>
      </c>
      <c r="C10">
        <f t="shared" si="2"/>
        <v>9006300094</v>
      </c>
      <c r="D10">
        <f t="shared" si="2"/>
        <v>8512090092</v>
      </c>
      <c r="F10" s="134">
        <f t="shared" si="0"/>
        <v>873013645</v>
      </c>
      <c r="G10" s="134">
        <f t="shared" si="0"/>
        <v>818754554</v>
      </c>
      <c r="H10" s="134">
        <f t="shared" si="0"/>
        <v>773826372</v>
      </c>
    </row>
    <row r="11" spans="1:8" x14ac:dyDescent="0.35">
      <c r="B11" s="21">
        <f t="shared" si="1"/>
        <v>9603150106</v>
      </c>
      <c r="C11">
        <f t="shared" si="2"/>
        <v>9006300105</v>
      </c>
      <c r="D11">
        <f t="shared" si="2"/>
        <v>8512090103</v>
      </c>
      <c r="F11" s="134">
        <f t="shared" si="0"/>
        <v>873013646</v>
      </c>
      <c r="G11" s="134">
        <f t="shared" si="0"/>
        <v>818754555</v>
      </c>
      <c r="H11" s="134">
        <f t="shared" si="0"/>
        <v>773826373</v>
      </c>
    </row>
    <row r="12" spans="1:8" x14ac:dyDescent="0.35">
      <c r="B12" s="21">
        <f t="shared" si="1"/>
        <v>9603150117</v>
      </c>
      <c r="C12">
        <f t="shared" si="2"/>
        <v>9006300116</v>
      </c>
      <c r="D12">
        <f t="shared" si="2"/>
        <v>8512090114</v>
      </c>
      <c r="F12" s="134">
        <f t="shared" si="0"/>
        <v>873013647</v>
      </c>
      <c r="G12" s="134">
        <f t="shared" si="0"/>
        <v>818754556</v>
      </c>
      <c r="H12" s="134">
        <f t="shared" si="0"/>
        <v>773826374</v>
      </c>
    </row>
    <row r="13" spans="1:8" x14ac:dyDescent="0.35">
      <c r="B13" s="21">
        <f t="shared" si="1"/>
        <v>9603150128</v>
      </c>
      <c r="C13">
        <f t="shared" si="2"/>
        <v>9006300127</v>
      </c>
      <c r="D13">
        <f t="shared" si="2"/>
        <v>8512090125</v>
      </c>
      <c r="F13" s="134">
        <f t="shared" si="0"/>
        <v>873013648</v>
      </c>
      <c r="G13" s="134">
        <f t="shared" si="0"/>
        <v>818754557</v>
      </c>
      <c r="H13" s="134">
        <f t="shared" si="0"/>
        <v>773826375</v>
      </c>
    </row>
    <row r="14" spans="1:8" x14ac:dyDescent="0.35">
      <c r="B14" s="21">
        <f t="shared" si="1"/>
        <v>9603150139</v>
      </c>
      <c r="C14">
        <f t="shared" si="2"/>
        <v>9006300138</v>
      </c>
      <c r="D14">
        <f t="shared" si="2"/>
        <v>8512090136</v>
      </c>
      <c r="F14" s="134">
        <f t="shared" si="0"/>
        <v>873013649</v>
      </c>
      <c r="G14" s="134">
        <f t="shared" si="0"/>
        <v>818754558</v>
      </c>
      <c r="H14" s="134">
        <f t="shared" si="0"/>
        <v>773826376</v>
      </c>
    </row>
    <row r="15" spans="1:8" x14ac:dyDescent="0.35">
      <c r="B15" s="21">
        <f t="shared" si="1"/>
        <v>9603150150</v>
      </c>
      <c r="C15">
        <f t="shared" si="2"/>
        <v>9006300149</v>
      </c>
      <c r="D15">
        <f t="shared" si="2"/>
        <v>8512090147</v>
      </c>
      <c r="F15" s="134">
        <f t="shared" si="0"/>
        <v>873013650</v>
      </c>
      <c r="G15" s="134">
        <f t="shared" si="0"/>
        <v>818754559</v>
      </c>
      <c r="H15" s="134">
        <f t="shared" si="0"/>
        <v>773826377</v>
      </c>
    </row>
    <row r="16" spans="1:8" x14ac:dyDescent="0.35">
      <c r="B16" s="21">
        <f t="shared" si="1"/>
        <v>9603150161</v>
      </c>
      <c r="C16">
        <f t="shared" si="2"/>
        <v>9006300160</v>
      </c>
      <c r="D16">
        <f t="shared" si="2"/>
        <v>8512090158</v>
      </c>
      <c r="F16" s="134">
        <f t="shared" si="0"/>
        <v>873013651</v>
      </c>
      <c r="G16" s="134">
        <f t="shared" si="0"/>
        <v>818754560</v>
      </c>
      <c r="H16" s="134">
        <f t="shared" si="0"/>
        <v>773826378</v>
      </c>
    </row>
    <row r="17" spans="2:8" x14ac:dyDescent="0.35">
      <c r="B17" s="21">
        <f t="shared" si="1"/>
        <v>9603150172</v>
      </c>
      <c r="C17">
        <f t="shared" si="2"/>
        <v>9006300171</v>
      </c>
      <c r="D17">
        <f t="shared" si="2"/>
        <v>8512090169</v>
      </c>
      <c r="F17" s="134">
        <f t="shared" si="0"/>
        <v>873013652</v>
      </c>
      <c r="G17" s="134">
        <f t="shared" si="0"/>
        <v>818754561</v>
      </c>
      <c r="H17" s="134">
        <f t="shared" si="0"/>
        <v>773826379</v>
      </c>
    </row>
    <row r="18" spans="2:8" x14ac:dyDescent="0.35">
      <c r="B18" s="21">
        <f t="shared" si="1"/>
        <v>9603150183</v>
      </c>
      <c r="C18">
        <f t="shared" si="2"/>
        <v>9006300182</v>
      </c>
      <c r="D18">
        <f t="shared" si="2"/>
        <v>8512090180</v>
      </c>
      <c r="F18" s="134">
        <f t="shared" si="0"/>
        <v>873013653</v>
      </c>
      <c r="G18" s="134">
        <f t="shared" si="0"/>
        <v>818754562</v>
      </c>
      <c r="H18" s="134">
        <f t="shared" si="0"/>
        <v>773826380</v>
      </c>
    </row>
    <row r="19" spans="2:8" x14ac:dyDescent="0.35">
      <c r="B19" s="21">
        <f t="shared" si="1"/>
        <v>9603150194</v>
      </c>
      <c r="C19">
        <f t="shared" si="2"/>
        <v>9006300193</v>
      </c>
      <c r="D19">
        <f t="shared" si="2"/>
        <v>8512090191</v>
      </c>
      <c r="F19" s="134">
        <f t="shared" si="0"/>
        <v>873013654</v>
      </c>
      <c r="G19" s="134">
        <f t="shared" si="0"/>
        <v>818754563</v>
      </c>
      <c r="H19" s="134">
        <f t="shared" si="0"/>
        <v>773826381</v>
      </c>
    </row>
    <row r="20" spans="2:8" x14ac:dyDescent="0.35">
      <c r="B20" s="21">
        <f t="shared" si="1"/>
        <v>9603150205</v>
      </c>
      <c r="C20">
        <f t="shared" ref="C20:D28" si="3">C19+11</f>
        <v>9006300204</v>
      </c>
      <c r="D20">
        <f t="shared" si="3"/>
        <v>8512090202</v>
      </c>
      <c r="F20" s="134">
        <f t="shared" si="0"/>
        <v>873013655</v>
      </c>
      <c r="G20" s="134">
        <f t="shared" si="0"/>
        <v>818754564</v>
      </c>
      <c r="H20" s="134">
        <f t="shared" si="0"/>
        <v>773826382</v>
      </c>
    </row>
    <row r="21" spans="2:8" x14ac:dyDescent="0.35">
      <c r="B21" s="21">
        <f t="shared" si="1"/>
        <v>9603150216</v>
      </c>
      <c r="C21">
        <f t="shared" si="3"/>
        <v>9006300215</v>
      </c>
      <c r="D21">
        <f t="shared" si="3"/>
        <v>8512090213</v>
      </c>
      <c r="F21" s="134">
        <f t="shared" si="0"/>
        <v>873013656</v>
      </c>
      <c r="G21" s="134">
        <f t="shared" si="0"/>
        <v>818754565</v>
      </c>
      <c r="H21" s="134">
        <f t="shared" si="0"/>
        <v>773826383</v>
      </c>
    </row>
    <row r="22" spans="2:8" x14ac:dyDescent="0.35">
      <c r="B22" s="21">
        <f t="shared" si="1"/>
        <v>9603150227</v>
      </c>
      <c r="C22">
        <f t="shared" si="3"/>
        <v>9006300226</v>
      </c>
      <c r="D22">
        <f t="shared" si="3"/>
        <v>8512090224</v>
      </c>
      <c r="F22" s="134">
        <f t="shared" si="0"/>
        <v>873013657</v>
      </c>
      <c r="G22" s="134">
        <f t="shared" si="0"/>
        <v>818754566</v>
      </c>
      <c r="H22" s="134">
        <f t="shared" si="0"/>
        <v>773826384</v>
      </c>
    </row>
    <row r="23" spans="2:8" x14ac:dyDescent="0.35">
      <c r="B23" s="21">
        <f t="shared" si="1"/>
        <v>9603150238</v>
      </c>
      <c r="C23">
        <f t="shared" si="3"/>
        <v>9006300237</v>
      </c>
      <c r="D23">
        <f t="shared" si="3"/>
        <v>8512090235</v>
      </c>
      <c r="F23" s="134">
        <f t="shared" si="0"/>
        <v>873013658</v>
      </c>
      <c r="G23" s="134">
        <f t="shared" si="0"/>
        <v>818754567</v>
      </c>
      <c r="H23" s="134">
        <f t="shared" si="0"/>
        <v>773826385</v>
      </c>
    </row>
    <row r="24" spans="2:8" x14ac:dyDescent="0.35">
      <c r="B24" s="21">
        <f t="shared" si="1"/>
        <v>9603150249</v>
      </c>
      <c r="C24">
        <f t="shared" si="3"/>
        <v>9006300248</v>
      </c>
      <c r="D24">
        <f t="shared" si="3"/>
        <v>8512090246</v>
      </c>
      <c r="F24" s="134">
        <f t="shared" si="0"/>
        <v>873013659</v>
      </c>
      <c r="G24" s="134">
        <f t="shared" si="0"/>
        <v>818754568</v>
      </c>
      <c r="H24" s="134">
        <f t="shared" si="0"/>
        <v>773826386</v>
      </c>
    </row>
    <row r="25" spans="2:8" x14ac:dyDescent="0.35">
      <c r="B25" s="21">
        <f t="shared" si="1"/>
        <v>9603150260</v>
      </c>
      <c r="C25">
        <f t="shared" si="3"/>
        <v>9006300259</v>
      </c>
      <c r="D25">
        <f t="shared" si="3"/>
        <v>8512090257</v>
      </c>
      <c r="F25" s="134">
        <f t="shared" si="0"/>
        <v>873013660</v>
      </c>
      <c r="G25" s="134">
        <f t="shared" si="0"/>
        <v>818754569</v>
      </c>
      <c r="H25" s="134">
        <f t="shared" si="0"/>
        <v>773826387</v>
      </c>
    </row>
    <row r="26" spans="2:8" x14ac:dyDescent="0.35">
      <c r="B26" s="21">
        <f t="shared" si="1"/>
        <v>9603150271</v>
      </c>
      <c r="C26">
        <f t="shared" si="3"/>
        <v>9006300270</v>
      </c>
      <c r="D26">
        <f t="shared" si="3"/>
        <v>8512090268</v>
      </c>
      <c r="F26" s="134">
        <f t="shared" si="0"/>
        <v>873013661</v>
      </c>
      <c r="G26" s="134">
        <f t="shared" si="0"/>
        <v>818754570</v>
      </c>
      <c r="H26" s="134">
        <f t="shared" si="0"/>
        <v>773826388</v>
      </c>
    </row>
    <row r="27" spans="2:8" x14ac:dyDescent="0.35">
      <c r="B27" s="21">
        <f t="shared" si="1"/>
        <v>9603150282</v>
      </c>
      <c r="C27">
        <f t="shared" si="3"/>
        <v>9006300281</v>
      </c>
      <c r="D27">
        <f t="shared" si="3"/>
        <v>8512090279</v>
      </c>
      <c r="F27" s="134">
        <f t="shared" si="0"/>
        <v>873013662</v>
      </c>
      <c r="G27" s="134">
        <f t="shared" si="0"/>
        <v>818754571</v>
      </c>
      <c r="H27" s="134">
        <f t="shared" si="0"/>
        <v>773826389</v>
      </c>
    </row>
    <row r="28" spans="2:8" x14ac:dyDescent="0.35">
      <c r="B28" s="21">
        <f t="shared" si="1"/>
        <v>9603150293</v>
      </c>
      <c r="C28">
        <f t="shared" si="3"/>
        <v>9006300292</v>
      </c>
      <c r="D28">
        <f t="shared" si="3"/>
        <v>8512090290</v>
      </c>
      <c r="F28" s="134">
        <f t="shared" si="0"/>
        <v>873013663</v>
      </c>
      <c r="G28" s="134">
        <f t="shared" si="0"/>
        <v>818754572</v>
      </c>
      <c r="H28" s="134">
        <f t="shared" si="0"/>
        <v>773826390</v>
      </c>
    </row>
    <row r="29" spans="2:8" x14ac:dyDescent="0.35">
      <c r="B29" s="21">
        <f t="shared" si="1"/>
        <v>9603150304</v>
      </c>
    </row>
    <row r="30" spans="2:8" x14ac:dyDescent="0.35">
      <c r="B30" s="21">
        <f t="shared" si="1"/>
        <v>9603150315</v>
      </c>
    </row>
    <row r="31" spans="2:8" x14ac:dyDescent="0.35">
      <c r="B31" s="21">
        <f t="shared" si="1"/>
        <v>9603150326</v>
      </c>
    </row>
    <row r="32" spans="2:8" x14ac:dyDescent="0.35">
      <c r="B32" s="21">
        <f t="shared" si="1"/>
        <v>9603150337</v>
      </c>
    </row>
    <row r="33" spans="2:2" x14ac:dyDescent="0.35">
      <c r="B33" s="21">
        <f t="shared" si="1"/>
        <v>9603150348</v>
      </c>
    </row>
    <row r="34" spans="2:2" x14ac:dyDescent="0.35">
      <c r="B34" s="21">
        <f t="shared" si="1"/>
        <v>9603150359</v>
      </c>
    </row>
    <row r="35" spans="2:2" x14ac:dyDescent="0.35">
      <c r="B35" s="21">
        <f t="shared" si="1"/>
        <v>9603150370</v>
      </c>
    </row>
    <row r="36" spans="2:2" x14ac:dyDescent="0.35">
      <c r="B36" s="21">
        <f t="shared" si="1"/>
        <v>9603150381</v>
      </c>
    </row>
    <row r="37" spans="2:2" x14ac:dyDescent="0.35">
      <c r="B37" s="21">
        <f t="shared" si="1"/>
        <v>9603150392</v>
      </c>
    </row>
    <row r="38" spans="2:2" x14ac:dyDescent="0.35">
      <c r="B38" s="21">
        <f t="shared" si="1"/>
        <v>9603150403</v>
      </c>
    </row>
    <row r="39" spans="2:2" x14ac:dyDescent="0.35">
      <c r="B39" s="21">
        <f t="shared" si="1"/>
        <v>9603150414</v>
      </c>
    </row>
    <row r="40" spans="2:2" x14ac:dyDescent="0.35">
      <c r="B40" s="21">
        <f t="shared" si="1"/>
        <v>9603150425</v>
      </c>
    </row>
    <row r="41" spans="2:2" x14ac:dyDescent="0.35">
      <c r="B41" s="21">
        <f t="shared" si="1"/>
        <v>9603150436</v>
      </c>
    </row>
    <row r="42" spans="2:2" x14ac:dyDescent="0.35">
      <c r="B42" s="21">
        <f t="shared" si="1"/>
        <v>9603150447</v>
      </c>
    </row>
    <row r="43" spans="2:2" x14ac:dyDescent="0.35">
      <c r="B43" s="21">
        <f t="shared" si="1"/>
        <v>9603150458</v>
      </c>
    </row>
    <row r="44" spans="2:2" x14ac:dyDescent="0.35">
      <c r="B44" s="21">
        <f t="shared" si="1"/>
        <v>9603150469</v>
      </c>
    </row>
    <row r="45" spans="2:2" x14ac:dyDescent="0.35">
      <c r="B45" s="21">
        <f t="shared" si="1"/>
        <v>9603150480</v>
      </c>
    </row>
    <row r="46" spans="2:2" x14ac:dyDescent="0.35">
      <c r="B46" s="21">
        <f t="shared" si="1"/>
        <v>9603150491</v>
      </c>
    </row>
    <row r="47" spans="2:2" x14ac:dyDescent="0.35">
      <c r="B47" s="21">
        <f t="shared" si="1"/>
        <v>9603150502</v>
      </c>
    </row>
    <row r="48" spans="2:2" x14ac:dyDescent="0.35">
      <c r="B48" s="21">
        <f t="shared" si="1"/>
        <v>9603150513</v>
      </c>
    </row>
    <row r="49" spans="2:2" x14ac:dyDescent="0.35">
      <c r="B49" s="21">
        <f t="shared" si="1"/>
        <v>9603150524</v>
      </c>
    </row>
    <row r="50" spans="2:2" x14ac:dyDescent="0.35">
      <c r="B50" s="21">
        <f t="shared" si="1"/>
        <v>9603150535</v>
      </c>
    </row>
    <row r="51" spans="2:2" x14ac:dyDescent="0.35">
      <c r="B51" s="21">
        <f t="shared" si="1"/>
        <v>9603150546</v>
      </c>
    </row>
    <row r="52" spans="2:2" x14ac:dyDescent="0.35">
      <c r="B52" s="21">
        <f t="shared" si="1"/>
        <v>9603150557</v>
      </c>
    </row>
    <row r="53" spans="2:2" x14ac:dyDescent="0.35">
      <c r="B53" s="21">
        <f t="shared" si="1"/>
        <v>9603150568</v>
      </c>
    </row>
    <row r="54" spans="2:2" x14ac:dyDescent="0.35">
      <c r="B54" s="21">
        <f t="shared" si="1"/>
        <v>9603150579</v>
      </c>
    </row>
    <row r="55" spans="2:2" x14ac:dyDescent="0.35">
      <c r="B55" s="21">
        <f t="shared" si="1"/>
        <v>9603150590</v>
      </c>
    </row>
    <row r="56" spans="2:2" x14ac:dyDescent="0.35">
      <c r="B56" s="21">
        <f t="shared" si="1"/>
        <v>9603150601</v>
      </c>
    </row>
    <row r="57" spans="2:2" x14ac:dyDescent="0.35">
      <c r="B57" s="21">
        <f t="shared" si="1"/>
        <v>9603150612</v>
      </c>
    </row>
    <row r="58" spans="2:2" x14ac:dyDescent="0.35">
      <c r="B58" s="21">
        <f t="shared" si="1"/>
        <v>9603150623</v>
      </c>
    </row>
    <row r="59" spans="2:2" x14ac:dyDescent="0.35">
      <c r="B59" s="21">
        <f t="shared" si="1"/>
        <v>9603150634</v>
      </c>
    </row>
    <row r="60" spans="2:2" x14ac:dyDescent="0.35">
      <c r="B60" s="21">
        <f t="shared" si="1"/>
        <v>9603150645</v>
      </c>
    </row>
    <row r="61" spans="2:2" x14ac:dyDescent="0.35">
      <c r="B61" s="21">
        <f t="shared" si="1"/>
        <v>9603150656</v>
      </c>
    </row>
    <row r="62" spans="2:2" x14ac:dyDescent="0.35">
      <c r="B62" s="21">
        <f t="shared" si="1"/>
        <v>9603150667</v>
      </c>
    </row>
    <row r="63" spans="2:2" x14ac:dyDescent="0.35">
      <c r="B63" s="21">
        <f t="shared" si="1"/>
        <v>9603150678</v>
      </c>
    </row>
    <row r="64" spans="2:2" x14ac:dyDescent="0.35">
      <c r="B64" s="21">
        <f t="shared" si="1"/>
        <v>9603150689</v>
      </c>
    </row>
    <row r="65" spans="2:24" x14ac:dyDescent="0.35">
      <c r="B65" s="21">
        <f t="shared" si="1"/>
        <v>9603150700</v>
      </c>
    </row>
    <row r="66" spans="2:24" x14ac:dyDescent="0.35">
      <c r="B66" s="21">
        <f t="shared" si="1"/>
        <v>9603150711</v>
      </c>
    </row>
    <row r="67" spans="2:24" x14ac:dyDescent="0.35">
      <c r="B67" s="21">
        <f t="shared" si="1"/>
        <v>9603150722</v>
      </c>
    </row>
    <row r="68" spans="2:24" x14ac:dyDescent="0.35">
      <c r="B68" s="21">
        <f t="shared" ref="B68:B86" si="4">B67+11</f>
        <v>9603150733</v>
      </c>
    </row>
    <row r="69" spans="2:24" x14ac:dyDescent="0.35">
      <c r="B69" s="21">
        <f t="shared" si="4"/>
        <v>9603150744</v>
      </c>
    </row>
    <row r="70" spans="2:24" x14ac:dyDescent="0.35">
      <c r="B70" s="21">
        <f t="shared" si="4"/>
        <v>9603150755</v>
      </c>
    </row>
    <row r="71" spans="2:24" x14ac:dyDescent="0.35">
      <c r="B71" s="21">
        <f t="shared" si="4"/>
        <v>9603150766</v>
      </c>
    </row>
    <row r="72" spans="2:24" x14ac:dyDescent="0.35">
      <c r="B72" s="21">
        <f t="shared" si="4"/>
        <v>9603150777</v>
      </c>
    </row>
    <row r="73" spans="2:24" x14ac:dyDescent="0.35">
      <c r="B73" s="21">
        <f t="shared" si="4"/>
        <v>9603150788</v>
      </c>
    </row>
    <row r="74" spans="2:24" x14ac:dyDescent="0.35">
      <c r="B74" s="21">
        <f t="shared" si="4"/>
        <v>9603150799</v>
      </c>
    </row>
    <row r="75" spans="2:24" x14ac:dyDescent="0.35">
      <c r="B75" s="21">
        <f t="shared" si="4"/>
        <v>9603150810</v>
      </c>
    </row>
    <row r="76" spans="2:24" x14ac:dyDescent="0.35">
      <c r="B76" s="21">
        <f t="shared" si="4"/>
        <v>9603150821</v>
      </c>
      <c r="X76" s="132" t="s">
        <v>389</v>
      </c>
    </row>
    <row r="77" spans="2:24" x14ac:dyDescent="0.35">
      <c r="B77" s="21">
        <f t="shared" si="4"/>
        <v>9603150832</v>
      </c>
      <c r="X77" s="135">
        <v>9202101337</v>
      </c>
    </row>
    <row r="78" spans="2:24" x14ac:dyDescent="0.35">
      <c r="B78" s="21">
        <f t="shared" si="4"/>
        <v>9603150843</v>
      </c>
      <c r="X78" s="135">
        <f>SUM(X77)+11</f>
        <v>9202101348</v>
      </c>
    </row>
    <row r="79" spans="2:24" x14ac:dyDescent="0.35">
      <c r="B79" s="21">
        <f t="shared" si="4"/>
        <v>9603150854</v>
      </c>
      <c r="X79" s="21">
        <f t="shared" ref="X79:X133" si="5">SUM(X78)+11</f>
        <v>9202101359</v>
      </c>
    </row>
    <row r="80" spans="2:24" x14ac:dyDescent="0.35">
      <c r="B80" s="21">
        <f t="shared" si="4"/>
        <v>9603150865</v>
      </c>
      <c r="X80" s="21">
        <f t="shared" si="5"/>
        <v>9202101370</v>
      </c>
    </row>
    <row r="81" spans="2:24" x14ac:dyDescent="0.35">
      <c r="B81" s="21">
        <f t="shared" si="4"/>
        <v>9603150876</v>
      </c>
      <c r="X81" s="21">
        <f t="shared" si="5"/>
        <v>9202101381</v>
      </c>
    </row>
    <row r="82" spans="2:24" x14ac:dyDescent="0.35">
      <c r="B82" s="21">
        <f t="shared" si="4"/>
        <v>9603150887</v>
      </c>
      <c r="X82" s="21">
        <f t="shared" si="5"/>
        <v>9202101392</v>
      </c>
    </row>
    <row r="83" spans="2:24" x14ac:dyDescent="0.35">
      <c r="B83" s="21">
        <f t="shared" si="4"/>
        <v>9603150898</v>
      </c>
      <c r="X83" s="21">
        <f t="shared" si="5"/>
        <v>9202101403</v>
      </c>
    </row>
    <row r="84" spans="2:24" x14ac:dyDescent="0.35">
      <c r="B84" s="21">
        <f t="shared" si="4"/>
        <v>9603150909</v>
      </c>
      <c r="X84" s="21">
        <f t="shared" si="5"/>
        <v>9202101414</v>
      </c>
    </row>
    <row r="85" spans="2:24" x14ac:dyDescent="0.35">
      <c r="B85" s="21">
        <f t="shared" si="4"/>
        <v>9603150920</v>
      </c>
      <c r="X85" s="21">
        <f t="shared" si="5"/>
        <v>9202101425</v>
      </c>
    </row>
    <row r="86" spans="2:24" x14ac:dyDescent="0.35">
      <c r="B86" s="21">
        <f t="shared" si="4"/>
        <v>9603150931</v>
      </c>
      <c r="D86" s="21">
        <v>9603170269</v>
      </c>
      <c r="X86" s="21">
        <f t="shared" si="5"/>
        <v>9202101436</v>
      </c>
    </row>
    <row r="87" spans="2:24" x14ac:dyDescent="0.35">
      <c r="D87">
        <f>D86+11</f>
        <v>9603170280</v>
      </c>
      <c r="F87">
        <v>9603170280</v>
      </c>
      <c r="H87" s="21">
        <v>9603170280</v>
      </c>
      <c r="I87" s="21">
        <v>9603170291</v>
      </c>
      <c r="J87" s="21">
        <v>9603170302</v>
      </c>
      <c r="K87" s="21">
        <v>9603170313</v>
      </c>
      <c r="L87" s="21">
        <v>9603170324</v>
      </c>
      <c r="M87" s="21">
        <v>9603170335</v>
      </c>
      <c r="N87" s="21">
        <v>9603170346</v>
      </c>
      <c r="O87" s="21">
        <v>9603170357</v>
      </c>
      <c r="P87" s="21">
        <v>9603170368</v>
      </c>
      <c r="Q87" s="21">
        <v>9603170379</v>
      </c>
      <c r="R87" s="21">
        <v>9603170390</v>
      </c>
      <c r="S87" s="21">
        <v>9603170401</v>
      </c>
      <c r="T87" s="21">
        <v>9603170412</v>
      </c>
      <c r="X87" s="21">
        <f t="shared" si="5"/>
        <v>9202101447</v>
      </c>
    </row>
    <row r="88" spans="2:24" x14ac:dyDescent="0.35">
      <c r="D88">
        <f t="shared" ref="D88:D99" si="6">D87+11</f>
        <v>9603170291</v>
      </c>
      <c r="F88">
        <v>9603170291</v>
      </c>
      <c r="X88" s="21">
        <f t="shared" si="5"/>
        <v>9202101458</v>
      </c>
    </row>
    <row r="89" spans="2:24" x14ac:dyDescent="0.35">
      <c r="D89">
        <f t="shared" si="6"/>
        <v>9603170302</v>
      </c>
      <c r="F89">
        <v>9603170302</v>
      </c>
      <c r="H89" s="21">
        <v>9603170412</v>
      </c>
      <c r="I89" s="21">
        <f>H89+11</f>
        <v>9603170423</v>
      </c>
      <c r="J89" s="21">
        <f t="shared" ref="J89:T89" si="7">I89+11</f>
        <v>9603170434</v>
      </c>
      <c r="K89" s="21">
        <f t="shared" si="7"/>
        <v>9603170445</v>
      </c>
      <c r="L89" s="21">
        <f t="shared" si="7"/>
        <v>9603170456</v>
      </c>
      <c r="M89" s="21">
        <f t="shared" si="7"/>
        <v>9603170467</v>
      </c>
      <c r="N89" s="21">
        <f t="shared" si="7"/>
        <v>9603170478</v>
      </c>
      <c r="O89" s="21">
        <f t="shared" si="7"/>
        <v>9603170489</v>
      </c>
      <c r="P89">
        <f t="shared" si="7"/>
        <v>9603170500</v>
      </c>
      <c r="Q89">
        <f t="shared" si="7"/>
        <v>9603170511</v>
      </c>
      <c r="R89">
        <f t="shared" si="7"/>
        <v>9603170522</v>
      </c>
      <c r="S89">
        <f t="shared" si="7"/>
        <v>9603170533</v>
      </c>
      <c r="T89">
        <f t="shared" si="7"/>
        <v>9603170544</v>
      </c>
      <c r="X89" s="21">
        <f t="shared" si="5"/>
        <v>9202101469</v>
      </c>
    </row>
    <row r="90" spans="2:24" x14ac:dyDescent="0.35">
      <c r="D90">
        <f t="shared" si="6"/>
        <v>9603170313</v>
      </c>
      <c r="F90">
        <v>9603170313</v>
      </c>
      <c r="X90" s="21">
        <f t="shared" si="5"/>
        <v>9202101480</v>
      </c>
    </row>
    <row r="91" spans="2:24" x14ac:dyDescent="0.35">
      <c r="D91">
        <f t="shared" si="6"/>
        <v>9603170324</v>
      </c>
      <c r="F91">
        <v>9603170324</v>
      </c>
      <c r="X91" s="21">
        <f t="shared" si="5"/>
        <v>9202101491</v>
      </c>
    </row>
    <row r="92" spans="2:24" x14ac:dyDescent="0.35">
      <c r="D92">
        <f t="shared" si="6"/>
        <v>9603170335</v>
      </c>
      <c r="F92">
        <v>9603170335</v>
      </c>
      <c r="X92" s="21">
        <f t="shared" si="5"/>
        <v>9202101502</v>
      </c>
    </row>
    <row r="93" spans="2:24" x14ac:dyDescent="0.35">
      <c r="D93">
        <f t="shared" si="6"/>
        <v>9603170346</v>
      </c>
      <c r="F93">
        <v>9603170346</v>
      </c>
      <c r="X93" s="21">
        <f t="shared" si="5"/>
        <v>9202101513</v>
      </c>
    </row>
    <row r="94" spans="2:24" x14ac:dyDescent="0.35">
      <c r="D94">
        <f t="shared" si="6"/>
        <v>9603170357</v>
      </c>
      <c r="F94">
        <v>9603170357</v>
      </c>
      <c r="X94" s="21">
        <f t="shared" si="5"/>
        <v>9202101524</v>
      </c>
    </row>
    <row r="95" spans="2:24" x14ac:dyDescent="0.35">
      <c r="D95">
        <f t="shared" si="6"/>
        <v>9603170368</v>
      </c>
      <c r="F95">
        <v>9603170368</v>
      </c>
      <c r="X95" s="21">
        <f t="shared" si="5"/>
        <v>9202101535</v>
      </c>
    </row>
    <row r="96" spans="2:24" x14ac:dyDescent="0.35">
      <c r="D96">
        <f t="shared" si="6"/>
        <v>9603170379</v>
      </c>
      <c r="F96">
        <v>9603170379</v>
      </c>
      <c r="X96" s="21">
        <f t="shared" si="5"/>
        <v>9202101546</v>
      </c>
    </row>
    <row r="97" spans="4:24" x14ac:dyDescent="0.35">
      <c r="D97">
        <f t="shared" si="6"/>
        <v>9603170390</v>
      </c>
      <c r="F97">
        <v>9603170390</v>
      </c>
      <c r="X97" s="21">
        <f t="shared" si="5"/>
        <v>9202101557</v>
      </c>
    </row>
    <row r="98" spans="4:24" x14ac:dyDescent="0.35">
      <c r="D98">
        <f t="shared" si="6"/>
        <v>9603170401</v>
      </c>
      <c r="F98">
        <v>9603170401</v>
      </c>
      <c r="X98" s="21">
        <f t="shared" si="5"/>
        <v>9202101568</v>
      </c>
    </row>
    <row r="99" spans="4:24" x14ac:dyDescent="0.35">
      <c r="D99">
        <f t="shared" si="6"/>
        <v>9603170412</v>
      </c>
      <c r="F99">
        <v>9603170412</v>
      </c>
      <c r="X99" s="21">
        <f t="shared" si="5"/>
        <v>9202101579</v>
      </c>
    </row>
    <row r="100" spans="4:24" x14ac:dyDescent="0.35">
      <c r="X100" s="21">
        <f t="shared" si="5"/>
        <v>9202101590</v>
      </c>
    </row>
    <row r="101" spans="4:24" x14ac:dyDescent="0.35">
      <c r="X101" s="21">
        <f t="shared" si="5"/>
        <v>9202101601</v>
      </c>
    </row>
    <row r="102" spans="4:24" x14ac:dyDescent="0.35">
      <c r="X102" s="21">
        <f t="shared" si="5"/>
        <v>9202101612</v>
      </c>
    </row>
    <row r="103" spans="4:24" x14ac:dyDescent="0.35">
      <c r="X103" s="21">
        <f t="shared" si="5"/>
        <v>9202101623</v>
      </c>
    </row>
    <row r="104" spans="4:24" x14ac:dyDescent="0.35">
      <c r="X104" s="21">
        <f t="shared" si="5"/>
        <v>9202101634</v>
      </c>
    </row>
    <row r="105" spans="4:24" x14ac:dyDescent="0.35">
      <c r="X105" s="21">
        <f t="shared" si="5"/>
        <v>9202101645</v>
      </c>
    </row>
    <row r="106" spans="4:24" x14ac:dyDescent="0.35">
      <c r="X106" s="21">
        <f t="shared" si="5"/>
        <v>9202101656</v>
      </c>
    </row>
    <row r="107" spans="4:24" x14ac:dyDescent="0.35">
      <c r="X107" s="21">
        <f t="shared" si="5"/>
        <v>9202101667</v>
      </c>
    </row>
    <row r="108" spans="4:24" x14ac:dyDescent="0.35">
      <c r="X108" s="21">
        <f t="shared" si="5"/>
        <v>9202101678</v>
      </c>
    </row>
    <row r="109" spans="4:24" x14ac:dyDescent="0.35">
      <c r="X109" s="21">
        <f t="shared" si="5"/>
        <v>9202101689</v>
      </c>
    </row>
    <row r="110" spans="4:24" x14ac:dyDescent="0.35">
      <c r="X110" s="21">
        <f t="shared" si="5"/>
        <v>9202101700</v>
      </c>
    </row>
    <row r="111" spans="4:24" x14ac:dyDescent="0.35">
      <c r="X111" s="21">
        <f t="shared" si="5"/>
        <v>9202101711</v>
      </c>
    </row>
    <row r="112" spans="4:24" x14ac:dyDescent="0.35">
      <c r="X112" s="21">
        <f t="shared" si="5"/>
        <v>9202101722</v>
      </c>
    </row>
    <row r="113" spans="24:24" x14ac:dyDescent="0.35">
      <c r="X113" s="21">
        <f t="shared" si="5"/>
        <v>9202101733</v>
      </c>
    </row>
    <row r="114" spans="24:24" x14ac:dyDescent="0.35">
      <c r="X114" s="21">
        <f t="shared" si="5"/>
        <v>9202101744</v>
      </c>
    </row>
    <row r="115" spans="24:24" x14ac:dyDescent="0.35">
      <c r="X115" s="21">
        <f t="shared" si="5"/>
        <v>9202101755</v>
      </c>
    </row>
    <row r="116" spans="24:24" x14ac:dyDescent="0.35">
      <c r="X116" s="21">
        <f t="shared" si="5"/>
        <v>9202101766</v>
      </c>
    </row>
    <row r="117" spans="24:24" x14ac:dyDescent="0.35">
      <c r="X117" s="21">
        <f t="shared" si="5"/>
        <v>9202101777</v>
      </c>
    </row>
    <row r="118" spans="24:24" x14ac:dyDescent="0.35">
      <c r="X118" s="21">
        <f t="shared" si="5"/>
        <v>9202101788</v>
      </c>
    </row>
    <row r="119" spans="24:24" x14ac:dyDescent="0.35">
      <c r="X119" s="21">
        <f t="shared" si="5"/>
        <v>9202101799</v>
      </c>
    </row>
    <row r="120" spans="24:24" x14ac:dyDescent="0.35">
      <c r="X120" s="21">
        <f t="shared" si="5"/>
        <v>9202101810</v>
      </c>
    </row>
    <row r="121" spans="24:24" x14ac:dyDescent="0.35">
      <c r="X121" s="21">
        <f t="shared" si="5"/>
        <v>9202101821</v>
      </c>
    </row>
    <row r="122" spans="24:24" x14ac:dyDescent="0.35">
      <c r="X122" s="21">
        <f t="shared" si="5"/>
        <v>9202101832</v>
      </c>
    </row>
    <row r="123" spans="24:24" x14ac:dyDescent="0.35">
      <c r="X123" s="21">
        <f t="shared" si="5"/>
        <v>9202101843</v>
      </c>
    </row>
    <row r="124" spans="24:24" x14ac:dyDescent="0.35">
      <c r="X124" s="21">
        <f t="shared" si="5"/>
        <v>9202101854</v>
      </c>
    </row>
    <row r="125" spans="24:24" x14ac:dyDescent="0.35">
      <c r="X125" s="21">
        <f t="shared" si="5"/>
        <v>9202101865</v>
      </c>
    </row>
    <row r="126" spans="24:24" x14ac:dyDescent="0.35">
      <c r="X126" s="21">
        <f t="shared" si="5"/>
        <v>9202101876</v>
      </c>
    </row>
    <row r="127" spans="24:24" x14ac:dyDescent="0.35">
      <c r="X127" s="21">
        <f t="shared" si="5"/>
        <v>9202101887</v>
      </c>
    </row>
    <row r="128" spans="24:24" x14ac:dyDescent="0.35">
      <c r="X128" s="21">
        <f t="shared" si="5"/>
        <v>9202101898</v>
      </c>
    </row>
    <row r="129" spans="24:24" x14ac:dyDescent="0.35">
      <c r="X129" s="21">
        <f t="shared" si="5"/>
        <v>9202101909</v>
      </c>
    </row>
    <row r="130" spans="24:24" x14ac:dyDescent="0.35">
      <c r="X130" s="21">
        <f t="shared" si="5"/>
        <v>9202101920</v>
      </c>
    </row>
    <row r="131" spans="24:24" x14ac:dyDescent="0.35">
      <c r="X131" s="21">
        <f t="shared" si="5"/>
        <v>9202101931</v>
      </c>
    </row>
    <row r="132" spans="24:24" x14ac:dyDescent="0.35">
      <c r="X132" s="21">
        <f t="shared" si="5"/>
        <v>9202101942</v>
      </c>
    </row>
    <row r="133" spans="24:24" x14ac:dyDescent="0.35">
      <c r="X133" s="21">
        <f t="shared" si="5"/>
        <v>9202101953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3"/>
  <sheetViews>
    <sheetView topLeftCell="H7" zoomScale="70" zoomScaleNormal="70" workbookViewId="0">
      <selection activeCell="A32" sqref="A32:H33"/>
    </sheetView>
  </sheetViews>
  <sheetFormatPr defaultColWidth="9.1796875" defaultRowHeight="14.5" x14ac:dyDescent="0.35"/>
  <cols>
    <col min="1" max="1" width="55" bestFit="1" customWidth="1"/>
    <col min="2" max="2" width="62.81640625" customWidth="1"/>
    <col min="3" max="3" width="35.26953125" customWidth="1"/>
    <col min="4" max="4" width="38.1796875" customWidth="1"/>
    <col min="5" max="5" width="64.453125" customWidth="1"/>
    <col min="6" max="6" width="153" style="5" bestFit="1" customWidth="1"/>
    <col min="7" max="7" width="137.7265625" style="5" customWidth="1"/>
    <col min="8" max="8" width="211.7265625" customWidth="1"/>
    <col min="9" max="9" width="22" customWidth="1"/>
  </cols>
  <sheetData>
    <row r="1" spans="1:8" ht="74.25" customHeight="1" thickBot="1" x14ac:dyDescent="0.5">
      <c r="A1" s="6"/>
      <c r="B1" s="6" t="s">
        <v>390</v>
      </c>
      <c r="C1" s="6" t="s">
        <v>391</v>
      </c>
      <c r="D1" s="6" t="s">
        <v>392</v>
      </c>
      <c r="E1" s="6" t="s">
        <v>393</v>
      </c>
      <c r="F1" s="128" t="s">
        <v>394</v>
      </c>
      <c r="G1" s="128" t="s">
        <v>395</v>
      </c>
      <c r="H1" s="38" t="s">
        <v>396</v>
      </c>
    </row>
    <row r="2" spans="1:8" x14ac:dyDescent="0.35">
      <c r="A2" t="str">
        <f>Test_Data!E3</f>
        <v>Process</v>
      </c>
      <c r="B2" t="str">
        <f>"intRow" &amp; A2 &amp; ", "</f>
        <v xml:space="preserve">intRowProcess, </v>
      </c>
      <c r="C2" t="str">
        <f>B2</f>
        <v xml:space="preserve">intRowProcess, </v>
      </c>
      <c r="D2" t="str">
        <f>"str" &amp; A2 &amp; ", "</f>
        <v xml:space="preserve">strProcess, </v>
      </c>
      <c r="E2" t="str">
        <f>D2</f>
        <v xml:space="preserve">strProcess, </v>
      </c>
      <c r="F2" s="5" t="str">
        <f>"intRow" &amp; A2 &amp; " = comExcelWorksheet.Range(""" &amp; A2 &amp; """).Row"</f>
        <v>intRowProcess = comExcelWorksheet.Range("Process").Row</v>
      </c>
      <c r="G2" s="5"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Test_Data!E4</f>
        <v>ExecutionFlag</v>
      </c>
      <c r="B3" t="str">
        <f t="shared" ref="B3:B31" si="0">"intRow" &amp; A3 &amp; ", "</f>
        <v xml:space="preserve">intRowExecutionFlag, </v>
      </c>
      <c r="C3" t="str">
        <f t="shared" ref="C3:C31" si="1">B3</f>
        <v xml:space="preserve">intRowExecutionFlag, </v>
      </c>
      <c r="D3" t="str">
        <f t="shared" ref="D3:D31" si="2">"str" &amp; A3 &amp; ", "</f>
        <v xml:space="preserve">strExecutionFlag, </v>
      </c>
      <c r="E3" t="str">
        <f>E2 &amp; " " &amp; D3</f>
        <v xml:space="preserve">strProcess,  strExecutionFlag, </v>
      </c>
      <c r="F3" s="5" t="str">
        <f t="shared" ref="F3:F31" si="3">"intRow" &amp; A3 &amp; " = comExcelWorksheet.Range(""" &amp; A3 &amp; """).Row"</f>
        <v>intRowExecutionFlag = comExcelWorksheet.Range("ExecutionFlag").Row</v>
      </c>
      <c r="G3" s="5" t="str">
        <f t="shared" ref="G3:G31" si="4">"str" &amp; A3 &amp; " = comExcelWorksheet.Cells(intRow" &amp; A3 &amp; ", intColTestColumn).Value"</f>
        <v>strExecutionFlag = comExcelWorksheet.Cells(intRowExecutionFlag, intColTestColumn).Value</v>
      </c>
      <c r="H3" t="str">
        <f t="shared" ref="H3:H31" si="5">"Public Property Get get" &amp; A3 &amp; "() : get" &amp; A3 &amp; " = str" &amp; A3 &amp; " : End Property"</f>
        <v>Public Property Get getExecutionFlag() : getExecutionFlag = strExecutionFlag : End Property</v>
      </c>
    </row>
    <row r="4" spans="1:8" x14ac:dyDescent="0.35">
      <c r="A4" t="str">
        <f>Test_Data!E5</f>
        <v>Country</v>
      </c>
      <c r="B4" t="str">
        <f t="shared" si="0"/>
        <v xml:space="preserve">intRowCountry, </v>
      </c>
      <c r="C4" t="str">
        <f t="shared" si="1"/>
        <v xml:space="preserve">intRowCountry, </v>
      </c>
      <c r="D4" t="str">
        <f t="shared" si="2"/>
        <v xml:space="preserve">strCountry, </v>
      </c>
      <c r="E4" t="str">
        <f t="shared" ref="E4:E31" si="6">E3 &amp; " " &amp; D4</f>
        <v xml:space="preserve">strProcess,  strExecutionFlag,  strCountry, </v>
      </c>
      <c r="F4" s="5" t="str">
        <f t="shared" si="3"/>
        <v>intRowCountry = comExcelWorksheet.Range("Country").Row</v>
      </c>
      <c r="G4" s="5" t="str">
        <f t="shared" si="4"/>
        <v>strCountry = comExcelWorksheet.Cells(intRowCountry, intColTestColumn).Value</v>
      </c>
      <c r="H4" t="str">
        <f t="shared" si="5"/>
        <v>Public Property Get getCountry() : getCountry = strCountry : End Property</v>
      </c>
    </row>
    <row r="5" spans="1:8" x14ac:dyDescent="0.35">
      <c r="A5" t="str">
        <f>Test_Data!E6</f>
        <v>LastRunTimeandStatus</v>
      </c>
      <c r="B5" t="str">
        <f t="shared" si="0"/>
        <v xml:space="preserve">intRowLastRunTimeandStatus, </v>
      </c>
      <c r="C5" t="str">
        <f t="shared" si="1"/>
        <v xml:space="preserve">intRowLastRunTimeandStatus, </v>
      </c>
      <c r="D5" t="str">
        <f t="shared" si="2"/>
        <v xml:space="preserve">strLastRunTimeandStatus, </v>
      </c>
      <c r="E5" t="str">
        <f t="shared" si="6"/>
        <v xml:space="preserve">strProcess,  strExecutionFlag,  strCountry,  strLastRunTimeandStatus, </v>
      </c>
      <c r="F5" s="5" t="str">
        <f t="shared" si="3"/>
        <v>intRowLastRunTimeandStatus = comExcelWorksheet.Range("LastRunTimeandStatus").Row</v>
      </c>
      <c r="G5" s="5" t="str">
        <f t="shared" si="4"/>
        <v>strLastRunTimeandStatus = comExcelWorksheet.Cells(intRowLastRunTimeandStatus, intColTestColumn).Value</v>
      </c>
      <c r="H5" t="str">
        <f t="shared" si="5"/>
        <v>Public Property Get getLastRunTimeandStatus() : getLastRunTimeandStatus = strLastRunTimeandStatus : End Property</v>
      </c>
    </row>
    <row r="6" spans="1:8" x14ac:dyDescent="0.35">
      <c r="A6" t="str">
        <f>Test_Data!E7</f>
        <v>LastRunErrorMessage</v>
      </c>
      <c r="B6" t="str">
        <f t="shared" si="0"/>
        <v xml:space="preserve">intRowLastRunErrorMessage, </v>
      </c>
      <c r="C6" t="str">
        <f t="shared" si="1"/>
        <v xml:space="preserve">intRowLastRunErrorMessage, </v>
      </c>
      <c r="D6" t="str">
        <f t="shared" si="2"/>
        <v xml:space="preserve">strLastRunErrorMessage, </v>
      </c>
      <c r="E6" t="str">
        <f t="shared" si="6"/>
        <v xml:space="preserve">strProcess,  strExecutionFlag,  strCountry,  strLastRunTimeandStatus,  strLastRunErrorMessage, </v>
      </c>
      <c r="F6" s="5" t="str">
        <f t="shared" si="3"/>
        <v>intRowLastRunErrorMessage = comExcelWorksheet.Range("LastRunErrorMessage").Row</v>
      </c>
      <c r="G6" s="5" t="str">
        <f t="shared" si="4"/>
        <v>strLastRunErrorMessage = comExcelWorksheet.Cells(intRowLastRunErrorMessage, intColTestColumn).Value</v>
      </c>
      <c r="H6" t="str">
        <f t="shared" si="5"/>
        <v>Public Property Get getLastRunErrorMessage() : getLastRunErrorMessage = strLastRunErrorMessage : End Property</v>
      </c>
    </row>
    <row r="7" spans="1:8" x14ac:dyDescent="0.35">
      <c r="A7" t="str">
        <f>Test_Data!E13</f>
        <v>Login_Username</v>
      </c>
      <c r="B7" t="str">
        <f t="shared" si="0"/>
        <v xml:space="preserve">intRowLogin_Username, </v>
      </c>
      <c r="C7" t="str">
        <f t="shared" si="1"/>
        <v xml:space="preserve">intRowLogin_Username, </v>
      </c>
      <c r="D7" t="str">
        <f t="shared" si="2"/>
        <v xml:space="preserve">strLogin_Username, </v>
      </c>
      <c r="E7" t="str">
        <f t="shared" si="6"/>
        <v xml:space="preserve">strProcess,  strExecutionFlag,  strCountry,  strLastRunTimeandStatus,  strLastRunErrorMessage,  strLogin_Username, </v>
      </c>
      <c r="F7" s="5" t="str">
        <f t="shared" si="3"/>
        <v>intRowLogin_Username = comExcelWorksheet.Range("Login_Username").Row</v>
      </c>
      <c r="G7" s="5" t="str">
        <f t="shared" si="4"/>
        <v>strLogin_Username = comExcelWorksheet.Cells(intRowLogin_Username, intColTestColumn).Value</v>
      </c>
      <c r="H7" t="str">
        <f t="shared" si="5"/>
        <v>Public Property Get getLogin_Username() : getLogin_Username = strLogin_Username : End Property</v>
      </c>
    </row>
    <row r="8" spans="1:8" x14ac:dyDescent="0.35">
      <c r="A8" t="str">
        <f>Test_Data!E14</f>
        <v>Login_Password</v>
      </c>
      <c r="B8" t="str">
        <f t="shared" si="0"/>
        <v xml:space="preserve">intRowLogin_Password, </v>
      </c>
      <c r="C8" t="str">
        <f t="shared" si="1"/>
        <v xml:space="preserve">intRowLogin_Password, </v>
      </c>
      <c r="D8" t="str">
        <f t="shared" si="2"/>
        <v xml:space="preserve">strLogin_Password, </v>
      </c>
      <c r="E8" t="str">
        <f t="shared" si="6"/>
        <v xml:space="preserve">strProcess,  strExecutionFlag,  strCountry,  strLastRunTimeandStatus,  strLastRunErrorMessage,  strLogin_Username,  strLogin_Password, </v>
      </c>
      <c r="F8" s="5" t="str">
        <f t="shared" si="3"/>
        <v>intRowLogin_Password = comExcelWorksheet.Range("Login_Password").Row</v>
      </c>
      <c r="G8" s="5" t="str">
        <f t="shared" si="4"/>
        <v>strLogin_Password = comExcelWorksheet.Cells(intRowLogin_Password, intColTestColumn).Value</v>
      </c>
      <c r="H8" t="str">
        <f t="shared" si="5"/>
        <v>Public Property Get getLogin_Password() : getLogin_Password = strLogin_Password : End Property</v>
      </c>
    </row>
    <row r="9" spans="1:8" x14ac:dyDescent="0.35">
      <c r="A9" t="e">
        <f>Test_Data!#REF!</f>
        <v>#REF!</v>
      </c>
      <c r="B9" t="e">
        <f t="shared" si="0"/>
        <v>#REF!</v>
      </c>
      <c r="C9" t="e">
        <f t="shared" si="1"/>
        <v>#REF!</v>
      </c>
      <c r="D9" t="e">
        <f t="shared" si="2"/>
        <v>#REF!</v>
      </c>
      <c r="E9" t="e">
        <f t="shared" si="6"/>
        <v>#REF!</v>
      </c>
      <c r="F9" s="5" t="e">
        <f t="shared" si="3"/>
        <v>#REF!</v>
      </c>
      <c r="G9" s="5" t="e">
        <f t="shared" si="4"/>
        <v>#REF!</v>
      </c>
      <c r="H9" t="e">
        <f t="shared" si="5"/>
        <v>#REF!</v>
      </c>
    </row>
    <row r="10" spans="1:8" x14ac:dyDescent="0.35">
      <c r="A10" t="e">
        <f>Test_Data!#REF!</f>
        <v>#REF!</v>
      </c>
      <c r="B10" t="e">
        <f t="shared" si="0"/>
        <v>#REF!</v>
      </c>
      <c r="C10" t="e">
        <f t="shared" si="1"/>
        <v>#REF!</v>
      </c>
      <c r="D10" t="e">
        <f t="shared" si="2"/>
        <v>#REF!</v>
      </c>
      <c r="E10" t="e">
        <f t="shared" si="6"/>
        <v>#REF!</v>
      </c>
      <c r="F10" s="5" t="e">
        <f t="shared" si="3"/>
        <v>#REF!</v>
      </c>
      <c r="G10" s="5" t="e">
        <f t="shared" si="4"/>
        <v>#REF!</v>
      </c>
      <c r="H10" t="e">
        <f t="shared" si="5"/>
        <v>#REF!</v>
      </c>
    </row>
    <row r="11" spans="1:8" x14ac:dyDescent="0.35">
      <c r="A11" t="str">
        <f>Test_Data!E15</f>
        <v>Proxy_EmployeeID</v>
      </c>
      <c r="B11" t="str">
        <f t="shared" si="0"/>
        <v xml:space="preserve">intRowProxy_EmployeeID, </v>
      </c>
      <c r="C11" t="str">
        <f t="shared" si="1"/>
        <v xml:space="preserve">intRowProxy_EmployeeID, </v>
      </c>
      <c r="D11" t="str">
        <f t="shared" si="2"/>
        <v xml:space="preserve">strProxy_EmployeeID, </v>
      </c>
      <c r="E11" t="e">
        <f t="shared" si="6"/>
        <v>#REF!</v>
      </c>
      <c r="F11" s="5" t="str">
        <f t="shared" si="3"/>
        <v>intRowProxy_EmployeeID = comExcelWorksheet.Range("Proxy_EmployeeID").Row</v>
      </c>
      <c r="G11" s="5" t="str">
        <f t="shared" si="4"/>
        <v>strProxy_EmployeeID = comExcelWorksheet.Cells(intRowProxy_EmployeeID, intColTestColumn).Value</v>
      </c>
      <c r="H11" t="str">
        <f t="shared" si="5"/>
        <v>Public Property Get getProxy_EmployeeID() : getProxy_EmployeeID = strProxy_EmployeeID : End Property</v>
      </c>
    </row>
    <row r="12" spans="1:8" x14ac:dyDescent="0.35">
      <c r="A12" t="e">
        <f>Test_Data!#REF!</f>
        <v>#REF!</v>
      </c>
      <c r="B12" t="e">
        <f t="shared" si="0"/>
        <v>#REF!</v>
      </c>
      <c r="C12" t="e">
        <f t="shared" si="1"/>
        <v>#REF!</v>
      </c>
      <c r="D12" t="e">
        <f t="shared" si="2"/>
        <v>#REF!</v>
      </c>
      <c r="E12" t="e">
        <f t="shared" si="6"/>
        <v>#REF!</v>
      </c>
      <c r="F12" s="5" t="e">
        <f t="shared" si="3"/>
        <v>#REF!</v>
      </c>
      <c r="G12" s="5" t="e">
        <f t="shared" si="4"/>
        <v>#REF!</v>
      </c>
      <c r="H12" t="e">
        <f t="shared" si="5"/>
        <v>#REF!</v>
      </c>
    </row>
    <row r="13" spans="1:8" x14ac:dyDescent="0.35">
      <c r="A13" t="str">
        <f>Test_Data!E16</f>
        <v>ChangeJob_Start_EffectiveDate</v>
      </c>
      <c r="B13" t="str">
        <f t="shared" si="0"/>
        <v xml:space="preserve">intRowChangeJob_Start_EffectiveDate, </v>
      </c>
      <c r="C13" t="str">
        <f t="shared" si="1"/>
        <v xml:space="preserve">intRowChangeJob_Start_EffectiveDate, </v>
      </c>
      <c r="D13" t="str">
        <f t="shared" si="2"/>
        <v xml:space="preserve">strChangeJob_Start_EffectiveDate, </v>
      </c>
      <c r="E13" t="e">
        <f t="shared" si="6"/>
        <v>#REF!</v>
      </c>
      <c r="F13" s="5" t="str">
        <f t="shared" si="3"/>
        <v>intRowChangeJob_Start_EffectiveDate = comExcelWorksheet.Range("ChangeJob_Start_EffectiveDate").Row</v>
      </c>
      <c r="G13" s="5" t="str">
        <f t="shared" si="4"/>
        <v>strChangeJob_Start_EffectiveDate = comExcelWorksheet.Cells(intRowChangeJob_Start_EffectiveDate, intColTestColumn).Value</v>
      </c>
      <c r="H13" t="str">
        <f t="shared" si="5"/>
        <v>Public Property Get getChangeJob_Start_EffectiveDate() : getChangeJob_Start_EffectiveDate = strChangeJob_Start_EffectiveDate : End Property</v>
      </c>
    </row>
    <row r="14" spans="1:8" x14ac:dyDescent="0.35">
      <c r="A14" t="str">
        <f>Test_Data!E17</f>
        <v>ChangeJob_Start_Reason</v>
      </c>
      <c r="B14" t="str">
        <f t="shared" si="0"/>
        <v xml:space="preserve">intRowChangeJob_Start_Reason, </v>
      </c>
      <c r="C14" t="str">
        <f t="shared" si="1"/>
        <v xml:space="preserve">intRowChangeJob_Start_Reason, </v>
      </c>
      <c r="D14" t="str">
        <f t="shared" si="2"/>
        <v xml:space="preserve">strChangeJob_Start_Reason, </v>
      </c>
      <c r="E14" t="e">
        <f t="shared" si="6"/>
        <v>#REF!</v>
      </c>
      <c r="F14" s="5" t="str">
        <f t="shared" si="3"/>
        <v>intRowChangeJob_Start_Reason = comExcelWorksheet.Range("ChangeJob_Start_Reason").Row</v>
      </c>
      <c r="G14" s="5" t="str">
        <f t="shared" si="4"/>
        <v>strChangeJob_Start_Reason = comExcelWorksheet.Cells(intRowChangeJob_Start_Reason, intColTestColumn).Value</v>
      </c>
      <c r="H14" t="str">
        <f t="shared" si="5"/>
        <v>Public Property Get getChangeJob_Start_Reason() : getChangeJob_Start_Reason = strChangeJob_Start_Reason : End Property</v>
      </c>
    </row>
    <row r="15" spans="1:8" x14ac:dyDescent="0.35">
      <c r="A15" t="str">
        <f>Test_Data!E18</f>
        <v>ChangeJob_Start_NewManager</v>
      </c>
      <c r="B15" t="str">
        <f t="shared" si="0"/>
        <v xml:space="preserve">intRowChangeJob_Start_NewManager, </v>
      </c>
      <c r="C15" t="str">
        <f t="shared" si="1"/>
        <v xml:space="preserve">intRowChangeJob_Start_NewManager, </v>
      </c>
      <c r="D15" t="str">
        <f t="shared" si="2"/>
        <v xml:space="preserve">strChangeJob_Start_NewManager, </v>
      </c>
      <c r="E15" t="e">
        <f t="shared" si="6"/>
        <v>#REF!</v>
      </c>
      <c r="F15" s="5" t="str">
        <f t="shared" si="3"/>
        <v>intRowChangeJob_Start_NewManager = comExcelWorksheet.Range("ChangeJob_Start_NewManager").Row</v>
      </c>
      <c r="G15" s="5" t="str">
        <f t="shared" si="4"/>
        <v>strChangeJob_Start_NewManager = comExcelWorksheet.Cells(intRowChangeJob_Start_NewManager, intColTestColumn).Value</v>
      </c>
      <c r="H15" t="str">
        <f t="shared" si="5"/>
        <v>Public Property Get getChangeJob_Start_NewManager() : getChangeJob_Start_NewManager = strChangeJob_Start_NewManager : End Property</v>
      </c>
    </row>
    <row r="16" spans="1:8" x14ac:dyDescent="0.35">
      <c r="A16" t="str">
        <f>Test_Data!E19</f>
        <v>ChangeJob_Start_NewTeam</v>
      </c>
      <c r="B16" t="str">
        <f t="shared" si="0"/>
        <v xml:space="preserve">intRowChangeJob_Start_NewTeam, </v>
      </c>
      <c r="C16" t="str">
        <f t="shared" si="1"/>
        <v xml:space="preserve">intRowChangeJob_Start_NewTeam, </v>
      </c>
      <c r="D16" t="str">
        <f t="shared" si="2"/>
        <v xml:space="preserve">strChangeJob_Start_NewTeam, </v>
      </c>
      <c r="E16" t="e">
        <f t="shared" si="6"/>
        <v>#REF!</v>
      </c>
      <c r="F16" s="5" t="str">
        <f t="shared" si="3"/>
        <v>intRowChangeJob_Start_NewTeam = comExcelWorksheet.Range("ChangeJob_Start_NewTeam").Row</v>
      </c>
      <c r="G16" s="5" t="str">
        <f t="shared" si="4"/>
        <v>strChangeJob_Start_NewTeam = comExcelWorksheet.Cells(intRowChangeJob_Start_NewTeam, intColTestColumn).Value</v>
      </c>
      <c r="H16" t="str">
        <f t="shared" si="5"/>
        <v>Public Property Get getChangeJob_Start_NewTeam() : getChangeJob_Start_NewTeam = strChangeJob_Start_NewTeam : End Property</v>
      </c>
    </row>
    <row r="17" spans="1:8" x14ac:dyDescent="0.35">
      <c r="A17" t="str">
        <f>Test_Data!E20</f>
        <v>ChangeJob_Start_NewLocation</v>
      </c>
      <c r="B17" t="str">
        <f t="shared" si="0"/>
        <v xml:space="preserve">intRowChangeJob_Start_NewLocation, </v>
      </c>
      <c r="C17" t="str">
        <f t="shared" si="1"/>
        <v xml:space="preserve">intRowChangeJob_Start_NewLocation, </v>
      </c>
      <c r="D17" t="str">
        <f t="shared" si="2"/>
        <v xml:space="preserve">strChangeJob_Start_NewLocation, </v>
      </c>
      <c r="E17" t="e">
        <f t="shared" si="6"/>
        <v>#REF!</v>
      </c>
      <c r="F17" s="5" t="str">
        <f t="shared" si="3"/>
        <v>intRowChangeJob_Start_NewLocation = comExcelWorksheet.Range("ChangeJob_Start_NewLocation").Row</v>
      </c>
      <c r="G17" s="5" t="str">
        <f t="shared" si="4"/>
        <v>strChangeJob_Start_NewLocation = comExcelWorksheet.Cells(intRowChangeJob_Start_NewLocation, intColTestColumn).Value</v>
      </c>
      <c r="H17" t="str">
        <f t="shared" si="5"/>
        <v>Public Property Get getChangeJob_Start_NewLocation() : getChangeJob_Start_NewLocation = strChangeJob_Start_NewLocation : End Property</v>
      </c>
    </row>
    <row r="18" spans="1:8" x14ac:dyDescent="0.35">
      <c r="A18" t="str">
        <f>Test_Data!E21</f>
        <v>ChangeJob_Start_NextPayPeriod</v>
      </c>
      <c r="B18" t="str">
        <f t="shared" si="0"/>
        <v xml:space="preserve">intRowChangeJob_Start_NextPayPeriod, </v>
      </c>
      <c r="C18" t="str">
        <f t="shared" si="1"/>
        <v xml:space="preserve">intRowChangeJob_Start_NextPayPeriod, </v>
      </c>
      <c r="D18" t="str">
        <f t="shared" si="2"/>
        <v xml:space="preserve">strChangeJob_Start_NextPayPeriod, </v>
      </c>
      <c r="E18" t="e">
        <f t="shared" si="6"/>
        <v>#REF!</v>
      </c>
      <c r="F18" s="5" t="str">
        <f t="shared" si="3"/>
        <v>intRowChangeJob_Start_NextPayPeriod = comExcelWorksheet.Range("ChangeJob_Start_NextPayPeriod").Row</v>
      </c>
      <c r="G18" s="5" t="str">
        <f t="shared" si="4"/>
        <v>strChangeJob_Start_NextPayPeriod = comExcelWorksheet.Cells(intRowChangeJob_Start_NextPayPeriod, intColTestColumn).Value</v>
      </c>
      <c r="H18" t="str">
        <f t="shared" si="5"/>
        <v>Public Property Get getChangeJob_Start_NextPayPeriod() : getChangeJob_Start_NextPayPeriod = strChangeJob_Start_NextPayPeriod : End Property</v>
      </c>
    </row>
    <row r="19" spans="1:8" x14ac:dyDescent="0.35">
      <c r="A19" t="str">
        <f>Test_Data!E22</f>
        <v>ChangeJob_JobProfile_JobProfile</v>
      </c>
      <c r="B19" t="str">
        <f t="shared" si="0"/>
        <v xml:space="preserve">intRowChangeJob_JobProfile_JobProfile, </v>
      </c>
      <c r="C19" t="str">
        <f t="shared" si="1"/>
        <v xml:space="preserve">intRowChangeJob_JobProfile_JobProfile, </v>
      </c>
      <c r="D19" t="str">
        <f t="shared" si="2"/>
        <v xml:space="preserve">strChangeJob_JobProfile_JobProfile, </v>
      </c>
      <c r="E19" t="e">
        <f t="shared" si="6"/>
        <v>#REF!</v>
      </c>
      <c r="F19" s="5" t="str">
        <f t="shared" si="3"/>
        <v>intRowChangeJob_JobProfile_JobProfile = comExcelWorksheet.Range("ChangeJob_JobProfile_JobProfile").Row</v>
      </c>
      <c r="G19" s="5" t="str">
        <f t="shared" si="4"/>
        <v>strChangeJob_JobProfile_JobProfile = comExcelWorksheet.Cells(intRowChangeJob_JobProfile_JobProfile, intColTestColumn).Value</v>
      </c>
      <c r="H19" t="str">
        <f t="shared" si="5"/>
        <v>Public Property Get getChangeJob_JobProfile_JobProfile() : getChangeJob_JobProfile_JobProfile = strChangeJob_JobProfile_JobProfile : End Property</v>
      </c>
    </row>
    <row r="20" spans="1:8" x14ac:dyDescent="0.35">
      <c r="A20" t="str">
        <f>Test_Data!E23</f>
        <v>ChangeJob_JobProfile_JobTitle</v>
      </c>
      <c r="B20" t="str">
        <f t="shared" si="0"/>
        <v xml:space="preserve">intRowChangeJob_JobProfile_JobTitle, </v>
      </c>
      <c r="C20" t="str">
        <f t="shared" si="1"/>
        <v xml:space="preserve">intRowChangeJob_JobProfile_JobTitle, </v>
      </c>
      <c r="D20" t="str">
        <f t="shared" si="2"/>
        <v xml:space="preserve">strChangeJob_JobProfile_JobTitle, </v>
      </c>
      <c r="E20" t="e">
        <f t="shared" si="6"/>
        <v>#REF!</v>
      </c>
      <c r="F20" s="5" t="str">
        <f t="shared" si="3"/>
        <v>intRowChangeJob_JobProfile_JobTitle = comExcelWorksheet.Range("ChangeJob_JobProfile_JobTitle").Row</v>
      </c>
      <c r="G20" s="5" t="str">
        <f t="shared" si="4"/>
        <v>strChangeJob_JobProfile_JobTitle = comExcelWorksheet.Cells(intRowChangeJob_JobProfile_JobTitle, intColTestColumn).Value</v>
      </c>
      <c r="H20" t="str">
        <f t="shared" si="5"/>
        <v>Public Property Get getChangeJob_JobProfile_JobTitle() : getChangeJob_JobProfile_JobTitle = strChangeJob_JobProfile_JobTitle : End Property</v>
      </c>
    </row>
    <row r="21" spans="1:8" x14ac:dyDescent="0.35">
      <c r="A21" t="str">
        <f>Test_Data!E24</f>
        <v>ChangeJob_LocationDetails_Location</v>
      </c>
      <c r="B21" t="str">
        <f t="shared" si="0"/>
        <v xml:space="preserve">intRowChangeJob_LocationDetails_Location, </v>
      </c>
      <c r="C21" t="str">
        <f t="shared" si="1"/>
        <v xml:space="preserve">intRowChangeJob_LocationDetails_Location, </v>
      </c>
      <c r="D21" t="str">
        <f t="shared" si="2"/>
        <v xml:space="preserve">strChangeJob_LocationDetails_Location, </v>
      </c>
      <c r="E21" t="e">
        <f t="shared" si="6"/>
        <v>#REF!</v>
      </c>
      <c r="F21" s="5" t="str">
        <f t="shared" si="3"/>
        <v>intRowChangeJob_LocationDetails_Location = comExcelWorksheet.Range("ChangeJob_LocationDetails_Location").Row</v>
      </c>
      <c r="G21" s="5" t="str">
        <f t="shared" si="4"/>
        <v>strChangeJob_LocationDetails_Location = comExcelWorksheet.Cells(intRowChangeJob_LocationDetails_Location, intColTestColumn).Value</v>
      </c>
      <c r="H21" t="str">
        <f t="shared" si="5"/>
        <v>Public Property Get getChangeJob_LocationDetails_Location() : getChangeJob_LocationDetails_Location = strChangeJob_LocationDetails_Location : End Property</v>
      </c>
    </row>
    <row r="22" spans="1:8" x14ac:dyDescent="0.35">
      <c r="A22" t="str">
        <f>Test_Data!E25</f>
        <v>ChangeJob_LocationDetails_ScheduledWeeklyHours</v>
      </c>
      <c r="B22" t="str">
        <f t="shared" si="0"/>
        <v xml:space="preserve">intRowChangeJob_LocationDetails_ScheduledWeeklyHours, </v>
      </c>
      <c r="C22" t="str">
        <f>B22</f>
        <v xml:space="preserve">intRowChangeJob_LocationDetails_ScheduledWeeklyHours, </v>
      </c>
      <c r="D22" t="str">
        <f t="shared" si="2"/>
        <v xml:space="preserve">strChangeJob_LocationDetails_ScheduledWeeklyHours, </v>
      </c>
      <c r="E22" t="e">
        <f t="shared" si="6"/>
        <v>#REF!</v>
      </c>
      <c r="F22" s="5" t="str">
        <f t="shared" si="3"/>
        <v>intRowChangeJob_LocationDetails_ScheduledWeeklyHours = comExcelWorksheet.Range("ChangeJob_LocationDetails_ScheduledWeeklyHours").Row</v>
      </c>
      <c r="G22" s="5" t="str">
        <f t="shared" si="4"/>
        <v>strChangeJob_LocationDetails_ScheduledWeeklyHours = comExcelWorksheet.Cells(intRowChangeJob_LocationDetails_ScheduledWeeklyHours, intColTestColumn).Value</v>
      </c>
      <c r="H22" t="str">
        <f t="shared" si="5"/>
        <v>Public Property Get getChangeJob_LocationDetails_ScheduledWeeklyHours() : getChangeJob_LocationDetails_ScheduledWeeklyHours = strChangeJob_LocationDetails_ScheduledWeeklyHours : End Property</v>
      </c>
    </row>
    <row r="23" spans="1:8" x14ac:dyDescent="0.35">
      <c r="A23" t="str">
        <f>Test_Data!E26</f>
        <v>ChangeJob_LocationDetails_WorkShift</v>
      </c>
      <c r="B23" t="str">
        <f t="shared" si="0"/>
        <v xml:space="preserve">intRowChangeJob_LocationDetails_WorkShift, </v>
      </c>
      <c r="C23" t="str">
        <f t="shared" si="1"/>
        <v xml:space="preserve">intRowChangeJob_LocationDetails_WorkShift, </v>
      </c>
      <c r="D23" t="str">
        <f t="shared" si="2"/>
        <v xml:space="preserve">strChangeJob_LocationDetails_WorkShift, </v>
      </c>
      <c r="E23" t="e">
        <f t="shared" si="6"/>
        <v>#REF!</v>
      </c>
      <c r="F23" s="5" t="str">
        <f t="shared" si="3"/>
        <v>intRowChangeJob_LocationDetails_WorkShift = comExcelWorksheet.Range("ChangeJob_LocationDetails_WorkShift").Row</v>
      </c>
      <c r="G23" s="5" t="str">
        <f t="shared" si="4"/>
        <v>strChangeJob_LocationDetails_WorkShift = comExcelWorksheet.Cells(intRowChangeJob_LocationDetails_WorkShift, intColTestColumn).Value</v>
      </c>
      <c r="H23" t="str">
        <f t="shared" si="5"/>
        <v>Public Property Get getChangeJob_LocationDetails_WorkShift() : getChangeJob_LocationDetails_WorkShift = strChangeJob_LocationDetails_WorkShift : End Property</v>
      </c>
    </row>
    <row r="24" spans="1:8" x14ac:dyDescent="0.35">
      <c r="A24" t="str">
        <f>Test_Data!E27</f>
        <v>ChangeJob_JobClassifications_AdditionalJobClassifications</v>
      </c>
      <c r="B24" t="str">
        <f t="shared" si="0"/>
        <v xml:space="preserve">intRowChangeJob_JobClassifications_AdditionalJobClassifications, </v>
      </c>
      <c r="C24" t="str">
        <f t="shared" si="1"/>
        <v xml:space="preserve">intRowChangeJob_JobClassifications_AdditionalJobClassifications, </v>
      </c>
      <c r="D24" t="str">
        <f t="shared" si="2"/>
        <v xml:space="preserve">strChangeJob_JobClassifications_AdditionalJobClassifications, </v>
      </c>
      <c r="E24" t="e">
        <f t="shared" si="6"/>
        <v>#REF!</v>
      </c>
      <c r="F24" s="5" t="str">
        <f t="shared" si="3"/>
        <v>intRowChangeJob_JobClassifications_AdditionalJobClassifications = comExcelWorksheet.Range("ChangeJob_JobClassifications_AdditionalJobClassifications").Row</v>
      </c>
      <c r="G24" s="5" t="str">
        <f t="shared" si="4"/>
        <v>strChangeJob_JobClassifications_AdditionalJobClassifications = comExcelWorksheet.Cells(intRowChangeJob_JobClassifications_AdditionalJobClassifications, intColTestColumn).Value</v>
      </c>
      <c r="H24" t="str">
        <f t="shared" si="5"/>
        <v>Public Property Get getChangeJob_JobClassifications_AdditionalJobClassifications() : getChangeJob_JobClassifications_AdditionalJobClassifications = strChangeJob_JobClassifications_AdditionalJobClassifications : End Property</v>
      </c>
    </row>
    <row r="25" spans="1:8" x14ac:dyDescent="0.35">
      <c r="A25" t="str">
        <f>Test_Data!E28</f>
        <v>ChangeJob_JobClassifications_EmployeeType</v>
      </c>
      <c r="B25" t="str">
        <f t="shared" si="0"/>
        <v xml:space="preserve">intRowChangeJob_JobClassifications_EmployeeType, </v>
      </c>
      <c r="C25" t="str">
        <f t="shared" si="1"/>
        <v xml:space="preserve">intRowChangeJob_JobClassifications_EmployeeType, </v>
      </c>
      <c r="D25" t="str">
        <f t="shared" si="2"/>
        <v xml:space="preserve">strChangeJob_JobClassifications_EmployeeType, </v>
      </c>
      <c r="E25" t="e">
        <f t="shared" si="6"/>
        <v>#REF!</v>
      </c>
      <c r="F25" s="5" t="str">
        <f t="shared" si="3"/>
        <v>intRowChangeJob_JobClassifications_EmployeeType = comExcelWorksheet.Range("ChangeJob_JobClassifications_EmployeeType").Row</v>
      </c>
      <c r="G25" s="5" t="str">
        <f t="shared" si="4"/>
        <v>strChangeJob_JobClassifications_EmployeeType = comExcelWorksheet.Cells(intRowChangeJob_JobClassifications_EmployeeType, intColTestColumn).Value</v>
      </c>
      <c r="H25" t="str">
        <f t="shared" si="5"/>
        <v>Public Property Get getChangeJob_JobClassifications_EmployeeType() : getChangeJob_JobClassifications_EmployeeType = strChangeJob_JobClassifications_EmployeeType : End Property</v>
      </c>
    </row>
    <row r="26" spans="1:8" x14ac:dyDescent="0.35">
      <c r="A26" t="str">
        <f>Test_Data!E29</f>
        <v>ChangeJob_JobClassifications_TimeType</v>
      </c>
      <c r="B26" t="str">
        <f t="shared" si="0"/>
        <v xml:space="preserve">intRowChangeJob_JobClassifications_TimeType, </v>
      </c>
      <c r="C26" t="str">
        <f t="shared" si="1"/>
        <v xml:space="preserve">intRowChangeJob_JobClassifications_TimeType, </v>
      </c>
      <c r="D26" t="str">
        <f t="shared" si="2"/>
        <v xml:space="preserve">strChangeJob_JobClassifications_TimeType, </v>
      </c>
      <c r="E26" t="e">
        <f t="shared" si="6"/>
        <v>#REF!</v>
      </c>
      <c r="F26" s="5" t="str">
        <f t="shared" si="3"/>
        <v>intRowChangeJob_JobClassifications_TimeType = comExcelWorksheet.Range("ChangeJob_JobClassifications_TimeType").Row</v>
      </c>
      <c r="G26" s="5" t="str">
        <f t="shared" si="4"/>
        <v>strChangeJob_JobClassifications_TimeType = comExcelWorksheet.Cells(intRowChangeJob_JobClassifications_TimeType, intColTestColumn).Value</v>
      </c>
      <c r="H26" t="str">
        <f t="shared" si="5"/>
        <v>Public Property Get getChangeJob_JobClassifications_TimeType() : getChangeJob_JobClassifications_TimeType = strChangeJob_JobClassifications_TimeType : End Property</v>
      </c>
    </row>
    <row r="27" spans="1:8" x14ac:dyDescent="0.35">
      <c r="A27" t="str">
        <f>Test_Data!E30</f>
        <v>ChangeJob_JobClassifications_PayRateType</v>
      </c>
      <c r="B27" t="str">
        <f t="shared" si="0"/>
        <v xml:space="preserve">intRowChangeJob_JobClassifications_PayRateType, </v>
      </c>
      <c r="C27" t="str">
        <f t="shared" si="1"/>
        <v xml:space="preserve">intRowChangeJob_JobClassifications_PayRateType, </v>
      </c>
      <c r="D27" t="str">
        <f t="shared" si="2"/>
        <v xml:space="preserve">strChangeJob_JobClassifications_PayRateType, </v>
      </c>
      <c r="E27" t="e">
        <f t="shared" si="6"/>
        <v>#REF!</v>
      </c>
      <c r="F27" s="5" t="str">
        <f t="shared" si="3"/>
        <v>intRowChangeJob_JobClassifications_PayRateType = comExcelWorksheet.Range("ChangeJob_JobClassifications_PayRateType").Row</v>
      </c>
      <c r="G27" s="5" t="str">
        <f t="shared" si="4"/>
        <v>strChangeJob_JobClassifications_PayRateType = comExcelWorksheet.Cells(intRowChangeJob_JobClassifications_PayRateType, intColTestColumn).Value</v>
      </c>
      <c r="H27" t="str">
        <f t="shared" si="5"/>
        <v>Public Property Get getChangeJob_JobClassifications_PayRateType() : getChangeJob_JobClassifications_PayRateType = strChangeJob_JobClassifications_PayRateType : End Property</v>
      </c>
    </row>
    <row r="28" spans="1:8" x14ac:dyDescent="0.35">
      <c r="A28" t="str">
        <f>Test_Data!E31</f>
        <v>ChangeJob_JobClassifications_DefaultWeeklyHours</v>
      </c>
      <c r="B28" t="str">
        <f t="shared" si="0"/>
        <v xml:space="preserve">intRowChangeJob_JobClassifications_DefaultWeeklyHours, </v>
      </c>
      <c r="C28" t="str">
        <f t="shared" si="1"/>
        <v xml:space="preserve">intRowChangeJob_JobClassifications_DefaultWeeklyHours, </v>
      </c>
      <c r="D28" t="str">
        <f t="shared" si="2"/>
        <v xml:space="preserve">strChangeJob_JobClassifications_DefaultWeeklyHours, </v>
      </c>
      <c r="E28" t="e">
        <f t="shared" si="6"/>
        <v>#REF!</v>
      </c>
      <c r="F28" s="5" t="str">
        <f t="shared" si="3"/>
        <v>intRowChangeJob_JobClassifications_DefaultWeeklyHours = comExcelWorksheet.Range("ChangeJob_JobClassifications_DefaultWeeklyHours").Row</v>
      </c>
      <c r="G28" s="5" t="str">
        <f t="shared" si="4"/>
        <v>strChangeJob_JobClassifications_DefaultWeeklyHours = comExcelWorksheet.Cells(intRowChangeJob_JobClassifications_DefaultWeeklyHours, intColTestColumn).Value</v>
      </c>
      <c r="H28" t="str">
        <f t="shared" si="5"/>
        <v>Public Property Get getChangeJob_JobClassifications_DefaultWeeklyHours() : getChangeJob_JobClassifications_DefaultWeeklyHours = strChangeJob_JobClassifications_DefaultWeeklyHours : End Property</v>
      </c>
    </row>
    <row r="29" spans="1:8" x14ac:dyDescent="0.35">
      <c r="A29" t="str">
        <f>Test_Data!E32</f>
        <v>ChangeJob_JobClassifications_EndEmploymentDate</v>
      </c>
      <c r="B29" t="str">
        <f t="shared" si="0"/>
        <v xml:space="preserve">intRowChangeJob_JobClassifications_EndEmploymentDate, </v>
      </c>
      <c r="C29" t="str">
        <f t="shared" si="1"/>
        <v xml:space="preserve">intRowChangeJob_JobClassifications_EndEmploymentDate, </v>
      </c>
      <c r="D29" t="str">
        <f t="shared" si="2"/>
        <v xml:space="preserve">strChangeJob_JobClassifications_EndEmploymentDate, </v>
      </c>
      <c r="E29" t="e">
        <f t="shared" si="6"/>
        <v>#REF!</v>
      </c>
      <c r="F29" s="5" t="str">
        <f t="shared" si="3"/>
        <v>intRowChangeJob_JobClassifications_EndEmploymentDate = comExcelWorksheet.Range("ChangeJob_JobClassifications_EndEmploymentDate").Row</v>
      </c>
      <c r="G29" s="5" t="str">
        <f t="shared" si="4"/>
        <v>strChangeJob_JobClassifications_EndEmploymentDate = comExcelWorksheet.Cells(intRowChangeJob_JobClassifications_EndEmploymentDate, intColTestColumn).Value</v>
      </c>
      <c r="H29" t="str">
        <f t="shared" si="5"/>
        <v>Public Property Get getChangeJob_JobClassifications_EndEmploymentDate() : getChangeJob_JobClassifications_EndEmploymentDate = strChangeJob_JobClassifications_EndEmploymentDate : End Property</v>
      </c>
    </row>
    <row r="30" spans="1:8" x14ac:dyDescent="0.35">
      <c r="A30" t="str">
        <f>Test_Data!E35</f>
        <v>ChangeJob_JobClassifications_AssignmentType</v>
      </c>
      <c r="B30" t="str">
        <f t="shared" si="0"/>
        <v xml:space="preserve">intRowChangeJob_JobClassifications_AssignmentType, </v>
      </c>
      <c r="C30" t="str">
        <f t="shared" si="1"/>
        <v xml:space="preserve">intRowChangeJob_JobClassifications_AssignmentType, </v>
      </c>
      <c r="D30" t="str">
        <f t="shared" si="2"/>
        <v xml:space="preserve">strChangeJob_JobClassifications_AssignmentType, </v>
      </c>
      <c r="E30" t="e">
        <f t="shared" si="6"/>
        <v>#REF!</v>
      </c>
      <c r="F30" s="5" t="str">
        <f t="shared" si="3"/>
        <v>intRowChangeJob_JobClassifications_AssignmentType = comExcelWorksheet.Range("ChangeJob_JobClassifications_AssignmentType").Row</v>
      </c>
      <c r="G30" s="5" t="str">
        <f t="shared" si="4"/>
        <v>strChangeJob_JobClassifications_AssignmentType = comExcelWorksheet.Cells(intRowChangeJob_JobClassifications_AssignmentType, intColTestColumn).Value</v>
      </c>
      <c r="H30" t="str">
        <f t="shared" si="5"/>
        <v>Public Property Get getChangeJob_JobClassifications_AssignmentType() : getChangeJob_JobClassifications_AssignmentType = strChangeJob_JobClassifications_AssignmentType : End Property</v>
      </c>
    </row>
    <row r="31" spans="1:8" x14ac:dyDescent="0.35">
      <c r="A31" t="str">
        <f>Test_Data!E36</f>
        <v>ChangeJob_JobClassifications_FirstDayofWork</v>
      </c>
      <c r="B31" t="str">
        <f t="shared" si="0"/>
        <v xml:space="preserve">intRowChangeJob_JobClassifications_FirstDayofWork, </v>
      </c>
      <c r="C31" t="str">
        <f t="shared" si="1"/>
        <v xml:space="preserve">intRowChangeJob_JobClassifications_FirstDayofWork, </v>
      </c>
      <c r="D31" t="str">
        <f t="shared" si="2"/>
        <v xml:space="preserve">strChangeJob_JobClassifications_FirstDayofWork, </v>
      </c>
      <c r="E31" t="e">
        <f t="shared" si="6"/>
        <v>#REF!</v>
      </c>
      <c r="F31" s="5" t="str">
        <f t="shared" si="3"/>
        <v>intRowChangeJob_JobClassifications_FirstDayofWork = comExcelWorksheet.Range("ChangeJob_JobClassifications_FirstDayofWork").Row</v>
      </c>
      <c r="G31" s="5" t="str">
        <f t="shared" si="4"/>
        <v>strChangeJob_JobClassifications_FirstDayofWork = comExcelWorksheet.Cells(intRowChangeJob_JobClassifications_FirstDayofWork, intColTestColumn).Value</v>
      </c>
      <c r="H31" t="str">
        <f t="shared" si="5"/>
        <v>Public Property Get getChangeJob_JobClassifications_FirstDayofWork() : getChangeJob_JobClassifications_FirstDayofWork = strChangeJob_JobClassifications_FirstDayofWork : End Property</v>
      </c>
    </row>
    <row r="32" spans="1:8" x14ac:dyDescent="0.35">
      <c r="A32" t="str">
        <f>Test_Data!E42</f>
        <v>ProposeCompensationHire_GradeProfile</v>
      </c>
      <c r="B32" t="str">
        <f>"intRow" &amp; A32 &amp; ", "</f>
        <v xml:space="preserve">intRowProposeCompensationHire_GradeProfile, </v>
      </c>
      <c r="C32" t="str">
        <f t="shared" ref="C32" si="7">B32</f>
        <v xml:space="preserve">intRowProposeCompensationHire_GradeProfile, </v>
      </c>
      <c r="D32" t="str">
        <f t="shared" ref="D32" si="8">"str" &amp; A32 &amp; ", "</f>
        <v xml:space="preserve">strProposeCompensationHire_GradeProfile, </v>
      </c>
      <c r="E32" t="e">
        <f t="shared" ref="E32" si="9">E31 &amp; " " &amp; D32</f>
        <v>#REF!</v>
      </c>
      <c r="F32" s="5" t="str">
        <f t="shared" ref="F32" si="10">"intRow" &amp; A32 &amp; " = comExcelWorksheet.Range(""" &amp; A32 &amp; """).Row"</f>
        <v>intRowProposeCompensationHire_GradeProfile = comExcelWorksheet.Range("ProposeCompensationHire_GradeProfile").Row</v>
      </c>
      <c r="G32" s="5" t="str">
        <f t="shared" ref="G32" si="11">"str" &amp; A32 &amp; " = comExcelWorksheet.Cells(intRow" &amp; A32 &amp; ", intColTestColumn).Value"</f>
        <v>strProposeCompensationHire_GradeProfile = comExcelWorksheet.Cells(intRowProposeCompensationHire_GradeProfile, intColTestColumn).Value</v>
      </c>
      <c r="H32" t="str">
        <f t="shared" ref="H32" si="12">"Public Property Get get" &amp; A32 &amp; "() : get" &amp; A32 &amp; " = str" &amp; A32 &amp; " : End Property"</f>
        <v>Public Property Get getProposeCompensationHire_GradeProfile() : getProposeCompensationHire_GradeProfile = strProposeCompensationHire_GradeProfile : End Property</v>
      </c>
    </row>
    <row r="33" spans="1:8" x14ac:dyDescent="0.35">
      <c r="A33" t="str">
        <f>Test_Data!E43</f>
        <v>ProposeCompensationHire_Step</v>
      </c>
      <c r="B33" t="str">
        <f>"intRow" &amp; A33 &amp; ", "</f>
        <v xml:space="preserve">intRowProposeCompensationHire_Step, </v>
      </c>
      <c r="C33" t="str">
        <f t="shared" ref="C33" si="13">B33</f>
        <v xml:space="preserve">intRowProposeCompensationHire_Step, </v>
      </c>
      <c r="D33" t="str">
        <f t="shared" ref="D33" si="14">"str" &amp; A33 &amp; ", "</f>
        <v xml:space="preserve">strProposeCompensationHire_Step, </v>
      </c>
      <c r="E33" t="e">
        <f t="shared" ref="E33" si="15">E32 &amp; " " &amp; D33</f>
        <v>#REF!</v>
      </c>
      <c r="F33" s="5" t="str">
        <f t="shared" ref="F33" si="16">"intRow" &amp; A33 &amp; " = comExcelWorksheet.Range(""" &amp; A33 &amp; """).Row"</f>
        <v>intRowProposeCompensationHire_Step = comExcelWorksheet.Range("ProposeCompensationHire_Step").Row</v>
      </c>
      <c r="G33" s="5" t="str">
        <f t="shared" ref="G33" si="17">"str" &amp; A33 &amp; " = comExcelWorksheet.Cells(intRow" &amp; A33 &amp; ", intColTestColumn).Value"</f>
        <v>strProposeCompensationHire_Step = comExcelWorksheet.Cells(intRowProposeCompensationHire_Step, intColTestColumn).Value</v>
      </c>
      <c r="H33" t="str">
        <f t="shared" ref="H33" si="18">"Public Property Get get" &amp; A33 &amp; "() : get" &amp; A33 &amp; " = str" &amp; A33 &amp; " : End Property"</f>
        <v>Public Property Get getProposeCompensationHire_Step() : getProposeCompensationHire_Step = strProposeCompensationHire_Step : End Property</v>
      </c>
    </row>
  </sheetData>
  <sheetProtection selectLockedCells="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65"/>
  <sheetViews>
    <sheetView workbookViewId="0">
      <selection activeCell="F5" sqref="F5"/>
    </sheetView>
  </sheetViews>
  <sheetFormatPr defaultRowHeight="14.5" x14ac:dyDescent="0.35"/>
  <cols>
    <col min="1" max="1" width="11.453125" bestFit="1" customWidth="1"/>
    <col min="3" max="3" width="15.54296875" customWidth="1"/>
    <col min="4" max="4" width="23" customWidth="1"/>
  </cols>
  <sheetData>
    <row r="1" spans="1:27" x14ac:dyDescent="0.35">
      <c r="A1" t="s">
        <v>397</v>
      </c>
      <c r="B1" t="s">
        <v>398</v>
      </c>
      <c r="C1" t="s">
        <v>399</v>
      </c>
      <c r="D1" s="33">
        <v>44444441001</v>
      </c>
    </row>
    <row r="2" spans="1:27" x14ac:dyDescent="0.35">
      <c r="A2" t="s">
        <v>400</v>
      </c>
      <c r="B2" t="s">
        <v>401</v>
      </c>
      <c r="C2" t="s">
        <v>402</v>
      </c>
      <c r="D2" s="33">
        <v>44444441002</v>
      </c>
    </row>
    <row r="3" spans="1:27" x14ac:dyDescent="0.35">
      <c r="A3" t="s">
        <v>403</v>
      </c>
      <c r="B3" t="s">
        <v>404</v>
      </c>
      <c r="C3" t="s">
        <v>405</v>
      </c>
      <c r="D3" s="33">
        <v>44444441003</v>
      </c>
    </row>
    <row r="4" spans="1:27" x14ac:dyDescent="0.35">
      <c r="A4" t="s">
        <v>406</v>
      </c>
      <c r="B4" t="s">
        <v>407</v>
      </c>
      <c r="C4" t="s">
        <v>408</v>
      </c>
      <c r="D4" s="33">
        <v>44444441004</v>
      </c>
    </row>
    <row r="5" spans="1:27" x14ac:dyDescent="0.35">
      <c r="A5" t="s">
        <v>409</v>
      </c>
      <c r="B5" t="s">
        <v>410</v>
      </c>
      <c r="C5" t="s">
        <v>411</v>
      </c>
      <c r="D5" s="33">
        <v>44444441005</v>
      </c>
      <c r="H5" t="s">
        <v>397</v>
      </c>
      <c r="I5" t="s">
        <v>400</v>
      </c>
      <c r="J5" t="s">
        <v>403</v>
      </c>
      <c r="K5" t="s">
        <v>406</v>
      </c>
      <c r="L5" t="s">
        <v>409</v>
      </c>
      <c r="M5" t="s">
        <v>412</v>
      </c>
      <c r="N5" t="s">
        <v>413</v>
      </c>
      <c r="O5" t="s">
        <v>414</v>
      </c>
      <c r="P5" t="s">
        <v>415</v>
      </c>
      <c r="Q5" t="s">
        <v>416</v>
      </c>
      <c r="R5" t="s">
        <v>417</v>
      </c>
      <c r="S5" t="s">
        <v>418</v>
      </c>
      <c r="T5" t="s">
        <v>419</v>
      </c>
      <c r="U5" t="s">
        <v>420</v>
      </c>
      <c r="V5" t="s">
        <v>421</v>
      </c>
      <c r="W5" t="s">
        <v>422</v>
      </c>
      <c r="X5" t="s">
        <v>423</v>
      </c>
      <c r="Y5" t="s">
        <v>424</v>
      </c>
      <c r="Z5" t="s">
        <v>425</v>
      </c>
      <c r="AA5" t="s">
        <v>426</v>
      </c>
    </row>
    <row r="6" spans="1:27" x14ac:dyDescent="0.35">
      <c r="A6" t="s">
        <v>412</v>
      </c>
      <c r="B6" t="s">
        <v>427</v>
      </c>
      <c r="C6" t="s">
        <v>428</v>
      </c>
      <c r="D6" s="33">
        <v>44444441006</v>
      </c>
    </row>
    <row r="7" spans="1:27" x14ac:dyDescent="0.35">
      <c r="A7" t="s">
        <v>413</v>
      </c>
      <c r="B7" t="s">
        <v>429</v>
      </c>
      <c r="C7" t="s">
        <v>430</v>
      </c>
      <c r="D7" s="33">
        <v>44444441007</v>
      </c>
      <c r="H7" t="s">
        <v>398</v>
      </c>
      <c r="I7" t="s">
        <v>401</v>
      </c>
      <c r="J7" t="s">
        <v>404</v>
      </c>
      <c r="K7" t="s">
        <v>407</v>
      </c>
      <c r="L7" t="s">
        <v>410</v>
      </c>
      <c r="M7" t="s">
        <v>427</v>
      </c>
      <c r="N7" t="s">
        <v>429</v>
      </c>
      <c r="O7" t="s">
        <v>431</v>
      </c>
      <c r="P7" t="s">
        <v>432</v>
      </c>
      <c r="Q7" t="s">
        <v>433</v>
      </c>
      <c r="R7" t="s">
        <v>434</v>
      </c>
      <c r="S7" t="s">
        <v>435</v>
      </c>
      <c r="T7" t="s">
        <v>436</v>
      </c>
      <c r="U7" t="s">
        <v>437</v>
      </c>
      <c r="V7" t="s">
        <v>438</v>
      </c>
      <c r="W7" t="s">
        <v>439</v>
      </c>
      <c r="X7" t="s">
        <v>440</v>
      </c>
      <c r="Y7" t="s">
        <v>441</v>
      </c>
      <c r="Z7" t="s">
        <v>442</v>
      </c>
      <c r="AA7" t="s">
        <v>443</v>
      </c>
    </row>
    <row r="8" spans="1:27" x14ac:dyDescent="0.35">
      <c r="A8" t="s">
        <v>414</v>
      </c>
      <c r="B8" t="s">
        <v>431</v>
      </c>
      <c r="C8" t="s">
        <v>444</v>
      </c>
      <c r="D8" s="33">
        <v>44444441008</v>
      </c>
    </row>
    <row r="9" spans="1:27" x14ac:dyDescent="0.35">
      <c r="A9" t="s">
        <v>415</v>
      </c>
      <c r="B9" t="s">
        <v>432</v>
      </c>
      <c r="C9" t="s">
        <v>445</v>
      </c>
      <c r="D9" s="33">
        <v>44444441009</v>
      </c>
      <c r="H9" t="s">
        <v>399</v>
      </c>
      <c r="I9" t="s">
        <v>402</v>
      </c>
      <c r="J9" t="s">
        <v>405</v>
      </c>
      <c r="K9" t="s">
        <v>408</v>
      </c>
      <c r="L9" t="s">
        <v>411</v>
      </c>
      <c r="M9" t="s">
        <v>428</v>
      </c>
      <c r="N9" t="s">
        <v>430</v>
      </c>
      <c r="O9" t="s">
        <v>444</v>
      </c>
      <c r="P9" t="s">
        <v>445</v>
      </c>
      <c r="Q9" t="s">
        <v>446</v>
      </c>
    </row>
    <row r="10" spans="1:27" x14ac:dyDescent="0.35">
      <c r="A10" t="s">
        <v>416</v>
      </c>
      <c r="B10" t="s">
        <v>433</v>
      </c>
      <c r="C10" t="s">
        <v>446</v>
      </c>
      <c r="D10" s="33">
        <v>44444441010</v>
      </c>
    </row>
    <row r="11" spans="1:27" x14ac:dyDescent="0.35">
      <c r="A11" t="s">
        <v>417</v>
      </c>
      <c r="B11" t="s">
        <v>434</v>
      </c>
      <c r="C11" t="s">
        <v>447</v>
      </c>
      <c r="D11" s="33">
        <v>44444441011</v>
      </c>
      <c r="H11" s="33">
        <v>44444441001</v>
      </c>
      <c r="I11" s="33">
        <v>44444441002</v>
      </c>
      <c r="J11" s="33">
        <v>44444441003</v>
      </c>
      <c r="K11" s="33">
        <v>44444441004</v>
      </c>
      <c r="L11" s="33">
        <v>44444441005</v>
      </c>
      <c r="M11" s="33">
        <v>44444441006</v>
      </c>
      <c r="N11" s="33">
        <v>44444441007</v>
      </c>
      <c r="O11" s="33">
        <v>44444441008</v>
      </c>
      <c r="P11" s="33">
        <v>44444441009</v>
      </c>
      <c r="Q11" s="33">
        <v>44444441010</v>
      </c>
      <c r="R11" s="33">
        <v>44444441011</v>
      </c>
      <c r="S11" s="33">
        <v>44444441012</v>
      </c>
      <c r="T11" s="33">
        <v>44444441013</v>
      </c>
      <c r="U11" s="33">
        <v>44444441014</v>
      </c>
      <c r="V11" s="33">
        <v>44444441015</v>
      </c>
      <c r="W11" s="33">
        <v>44444441016</v>
      </c>
      <c r="X11" s="33">
        <v>44444441017</v>
      </c>
      <c r="Y11" s="33">
        <v>44444441018</v>
      </c>
      <c r="Z11" s="33">
        <v>44444441019</v>
      </c>
      <c r="AA11" s="33">
        <v>44444441020</v>
      </c>
    </row>
    <row r="12" spans="1:27" x14ac:dyDescent="0.35">
      <c r="A12" t="s">
        <v>418</v>
      </c>
      <c r="B12" t="s">
        <v>435</v>
      </c>
      <c r="C12" t="s">
        <v>448</v>
      </c>
      <c r="D12" s="33">
        <v>44444441012</v>
      </c>
    </row>
    <row r="13" spans="1:27" x14ac:dyDescent="0.35">
      <c r="A13" t="s">
        <v>419</v>
      </c>
      <c r="B13" t="s">
        <v>436</v>
      </c>
      <c r="C13" t="s">
        <v>449</v>
      </c>
      <c r="D13" s="33">
        <v>44444441013</v>
      </c>
    </row>
    <row r="14" spans="1:27" x14ac:dyDescent="0.35">
      <c r="A14" t="s">
        <v>420</v>
      </c>
      <c r="B14" t="s">
        <v>437</v>
      </c>
      <c r="C14" t="s">
        <v>450</v>
      </c>
      <c r="D14" s="33">
        <v>44444441014</v>
      </c>
    </row>
    <row r="15" spans="1:27" x14ac:dyDescent="0.35">
      <c r="A15" t="s">
        <v>421</v>
      </c>
      <c r="B15" t="s">
        <v>438</v>
      </c>
      <c r="C15" t="s">
        <v>451</v>
      </c>
      <c r="D15" s="33">
        <v>44444441015</v>
      </c>
    </row>
    <row r="16" spans="1:27" x14ac:dyDescent="0.35">
      <c r="A16" t="s">
        <v>422</v>
      </c>
      <c r="B16" t="s">
        <v>439</v>
      </c>
      <c r="C16" t="s">
        <v>452</v>
      </c>
      <c r="D16" s="33">
        <v>44444441016</v>
      </c>
    </row>
    <row r="17" spans="1:4" x14ac:dyDescent="0.35">
      <c r="A17" t="s">
        <v>423</v>
      </c>
      <c r="B17" t="s">
        <v>440</v>
      </c>
      <c r="C17" t="s">
        <v>453</v>
      </c>
      <c r="D17" s="33">
        <v>44444441017</v>
      </c>
    </row>
    <row r="18" spans="1:4" x14ac:dyDescent="0.35">
      <c r="A18" t="s">
        <v>424</v>
      </c>
      <c r="B18" t="s">
        <v>441</v>
      </c>
      <c r="C18" t="s">
        <v>454</v>
      </c>
      <c r="D18" s="33">
        <v>44444441018</v>
      </c>
    </row>
    <row r="19" spans="1:4" x14ac:dyDescent="0.35">
      <c r="A19" t="s">
        <v>425</v>
      </c>
      <c r="B19" t="s">
        <v>442</v>
      </c>
      <c r="C19" t="s">
        <v>455</v>
      </c>
      <c r="D19" s="33">
        <v>44444441019</v>
      </c>
    </row>
    <row r="20" spans="1:4" x14ac:dyDescent="0.35">
      <c r="A20" t="s">
        <v>426</v>
      </c>
      <c r="B20" t="s">
        <v>443</v>
      </c>
      <c r="C20" t="s">
        <v>456</v>
      </c>
      <c r="D20" s="33">
        <v>44444441020</v>
      </c>
    </row>
    <row r="21" spans="1:4" x14ac:dyDescent="0.35">
      <c r="A21" t="s">
        <v>457</v>
      </c>
      <c r="B21" t="s">
        <v>458</v>
      </c>
      <c r="C21" t="s">
        <v>459</v>
      </c>
      <c r="D21" s="33">
        <v>44444441021</v>
      </c>
    </row>
    <row r="22" spans="1:4" x14ac:dyDescent="0.35">
      <c r="A22" t="s">
        <v>460</v>
      </c>
      <c r="B22" t="s">
        <v>461</v>
      </c>
      <c r="C22" t="s">
        <v>462</v>
      </c>
      <c r="D22" s="33">
        <v>44444441022</v>
      </c>
    </row>
    <row r="23" spans="1:4" x14ac:dyDescent="0.35">
      <c r="A23" t="s">
        <v>436</v>
      </c>
      <c r="B23" t="s">
        <v>463</v>
      </c>
      <c r="C23" t="s">
        <v>464</v>
      </c>
      <c r="D23" s="33">
        <v>44444441023</v>
      </c>
    </row>
    <row r="24" spans="1:4" x14ac:dyDescent="0.35">
      <c r="A24" t="s">
        <v>465</v>
      </c>
      <c r="B24" t="s">
        <v>466</v>
      </c>
      <c r="C24" t="s">
        <v>467</v>
      </c>
      <c r="D24" s="33">
        <v>44444441024</v>
      </c>
    </row>
    <row r="25" spans="1:4" x14ac:dyDescent="0.35">
      <c r="A25" t="s">
        <v>468</v>
      </c>
      <c r="B25" t="s">
        <v>469</v>
      </c>
      <c r="C25" t="s">
        <v>470</v>
      </c>
      <c r="D25" s="33">
        <v>44444441025</v>
      </c>
    </row>
    <row r="26" spans="1:4" x14ac:dyDescent="0.35">
      <c r="A26" t="s">
        <v>471</v>
      </c>
      <c r="B26" t="s">
        <v>472</v>
      </c>
      <c r="C26" t="s">
        <v>473</v>
      </c>
      <c r="D26" s="33">
        <v>44444441026</v>
      </c>
    </row>
    <row r="27" spans="1:4" x14ac:dyDescent="0.35">
      <c r="A27" t="s">
        <v>443</v>
      </c>
      <c r="B27" t="s">
        <v>474</v>
      </c>
      <c r="C27" t="s">
        <v>475</v>
      </c>
      <c r="D27" s="33">
        <v>44444441027</v>
      </c>
    </row>
    <row r="28" spans="1:4" x14ac:dyDescent="0.35">
      <c r="A28" t="s">
        <v>476</v>
      </c>
      <c r="B28" t="s">
        <v>477</v>
      </c>
      <c r="C28" t="s">
        <v>478</v>
      </c>
      <c r="D28" s="33">
        <v>44444441028</v>
      </c>
    </row>
    <row r="29" spans="1:4" x14ac:dyDescent="0.35">
      <c r="A29" t="s">
        <v>479</v>
      </c>
      <c r="B29" t="s">
        <v>480</v>
      </c>
      <c r="C29" t="s">
        <v>481</v>
      </c>
      <c r="D29" s="33">
        <v>44444441029</v>
      </c>
    </row>
    <row r="30" spans="1:4" x14ac:dyDescent="0.35">
      <c r="A30" t="s">
        <v>482</v>
      </c>
      <c r="B30" t="s">
        <v>483</v>
      </c>
      <c r="C30" t="s">
        <v>484</v>
      </c>
      <c r="D30" s="33">
        <v>44444441030</v>
      </c>
    </row>
    <row r="31" spans="1:4" x14ac:dyDescent="0.35">
      <c r="A31" t="s">
        <v>485</v>
      </c>
      <c r="B31" t="s">
        <v>486</v>
      </c>
      <c r="C31" t="s">
        <v>487</v>
      </c>
      <c r="D31" s="33">
        <v>44444441031</v>
      </c>
    </row>
    <row r="32" spans="1:4" x14ac:dyDescent="0.35">
      <c r="A32" t="s">
        <v>488</v>
      </c>
      <c r="B32" t="s">
        <v>489</v>
      </c>
      <c r="C32" t="s">
        <v>490</v>
      </c>
      <c r="D32" s="33">
        <v>44444441032</v>
      </c>
    </row>
    <row r="33" spans="1:4" x14ac:dyDescent="0.35">
      <c r="A33" t="s">
        <v>491</v>
      </c>
      <c r="B33" t="s">
        <v>492</v>
      </c>
      <c r="C33" t="s">
        <v>493</v>
      </c>
      <c r="D33" s="33">
        <v>44444441033</v>
      </c>
    </row>
    <row r="34" spans="1:4" x14ac:dyDescent="0.35">
      <c r="A34" t="s">
        <v>494</v>
      </c>
      <c r="B34" t="s">
        <v>495</v>
      </c>
      <c r="C34" t="s">
        <v>496</v>
      </c>
      <c r="D34" s="33">
        <v>44444441034</v>
      </c>
    </row>
    <row r="35" spans="1:4" x14ac:dyDescent="0.35">
      <c r="A35" t="s">
        <v>497</v>
      </c>
      <c r="B35" t="s">
        <v>498</v>
      </c>
      <c r="C35" t="s">
        <v>499</v>
      </c>
      <c r="D35" s="33">
        <v>44444441035</v>
      </c>
    </row>
    <row r="36" spans="1:4" x14ac:dyDescent="0.35">
      <c r="A36" t="s">
        <v>500</v>
      </c>
      <c r="B36" t="s">
        <v>501</v>
      </c>
      <c r="C36" t="s">
        <v>502</v>
      </c>
      <c r="D36" s="33">
        <v>44444441036</v>
      </c>
    </row>
    <row r="37" spans="1:4" x14ac:dyDescent="0.35">
      <c r="A37" t="s">
        <v>503</v>
      </c>
      <c r="B37" t="s">
        <v>504</v>
      </c>
      <c r="C37" t="s">
        <v>505</v>
      </c>
      <c r="D37" s="33">
        <v>44444441037</v>
      </c>
    </row>
    <row r="38" spans="1:4" x14ac:dyDescent="0.35">
      <c r="A38" t="s">
        <v>506</v>
      </c>
      <c r="B38" t="s">
        <v>507</v>
      </c>
      <c r="C38" t="s">
        <v>508</v>
      </c>
      <c r="D38" s="33">
        <v>44444441038</v>
      </c>
    </row>
    <row r="39" spans="1:4" x14ac:dyDescent="0.35">
      <c r="A39" t="s">
        <v>509</v>
      </c>
      <c r="B39" t="s">
        <v>510</v>
      </c>
      <c r="C39" t="s">
        <v>511</v>
      </c>
      <c r="D39" s="33">
        <v>44444441039</v>
      </c>
    </row>
    <row r="40" spans="1:4" x14ac:dyDescent="0.35">
      <c r="A40" t="s">
        <v>512</v>
      </c>
      <c r="B40" t="s">
        <v>513</v>
      </c>
      <c r="C40" t="s">
        <v>514</v>
      </c>
      <c r="D40" s="33">
        <v>44444441040</v>
      </c>
    </row>
    <row r="41" spans="1:4" x14ac:dyDescent="0.35">
      <c r="A41" t="s">
        <v>515</v>
      </c>
      <c r="B41" t="s">
        <v>516</v>
      </c>
      <c r="C41" t="s">
        <v>517</v>
      </c>
      <c r="D41" s="33">
        <v>44444441041</v>
      </c>
    </row>
    <row r="42" spans="1:4" x14ac:dyDescent="0.35">
      <c r="A42" t="s">
        <v>518</v>
      </c>
      <c r="B42" t="s">
        <v>519</v>
      </c>
      <c r="C42" t="s">
        <v>520</v>
      </c>
      <c r="D42" s="33">
        <v>44444441042</v>
      </c>
    </row>
    <row r="43" spans="1:4" x14ac:dyDescent="0.35">
      <c r="A43" t="s">
        <v>521</v>
      </c>
      <c r="B43" t="s">
        <v>522</v>
      </c>
      <c r="C43" t="s">
        <v>523</v>
      </c>
      <c r="D43" s="33">
        <v>44444441043</v>
      </c>
    </row>
    <row r="44" spans="1:4" x14ac:dyDescent="0.35">
      <c r="A44" t="s">
        <v>524</v>
      </c>
      <c r="B44" t="s">
        <v>525</v>
      </c>
      <c r="C44" t="s">
        <v>526</v>
      </c>
      <c r="D44" s="33">
        <v>44444441044</v>
      </c>
    </row>
    <row r="45" spans="1:4" x14ac:dyDescent="0.35">
      <c r="A45" t="s">
        <v>527</v>
      </c>
      <c r="B45" t="s">
        <v>528</v>
      </c>
      <c r="C45" t="s">
        <v>529</v>
      </c>
      <c r="D45" s="33">
        <v>44444441045</v>
      </c>
    </row>
    <row r="46" spans="1:4" x14ac:dyDescent="0.35">
      <c r="A46" t="s">
        <v>530</v>
      </c>
      <c r="B46" t="s">
        <v>531</v>
      </c>
      <c r="C46" t="s">
        <v>532</v>
      </c>
      <c r="D46" s="33">
        <v>44444441046</v>
      </c>
    </row>
    <row r="47" spans="1:4" x14ac:dyDescent="0.35">
      <c r="A47" t="s">
        <v>533</v>
      </c>
      <c r="B47" t="s">
        <v>534</v>
      </c>
      <c r="C47" t="s">
        <v>535</v>
      </c>
      <c r="D47" s="33">
        <v>44444441047</v>
      </c>
    </row>
    <row r="48" spans="1:4" x14ac:dyDescent="0.35">
      <c r="A48" t="s">
        <v>536</v>
      </c>
      <c r="B48" t="s">
        <v>537</v>
      </c>
      <c r="C48" t="s">
        <v>538</v>
      </c>
      <c r="D48" s="33">
        <v>44444441048</v>
      </c>
    </row>
    <row r="49" spans="1:4" x14ac:dyDescent="0.35">
      <c r="A49" t="s">
        <v>539</v>
      </c>
      <c r="B49" t="s">
        <v>540</v>
      </c>
      <c r="C49" t="s">
        <v>541</v>
      </c>
      <c r="D49" s="33">
        <v>44444441049</v>
      </c>
    </row>
    <row r="50" spans="1:4" x14ac:dyDescent="0.35">
      <c r="A50" t="s">
        <v>542</v>
      </c>
      <c r="B50" t="s">
        <v>543</v>
      </c>
      <c r="C50" t="s">
        <v>544</v>
      </c>
      <c r="D50" s="33">
        <v>44444441050</v>
      </c>
    </row>
    <row r="51" spans="1:4" x14ac:dyDescent="0.35">
      <c r="A51" t="s">
        <v>545</v>
      </c>
      <c r="B51" t="s">
        <v>546</v>
      </c>
      <c r="C51" t="s">
        <v>547</v>
      </c>
      <c r="D51" s="33">
        <v>44444441051</v>
      </c>
    </row>
    <row r="52" spans="1:4" x14ac:dyDescent="0.35">
      <c r="A52" t="s">
        <v>548</v>
      </c>
      <c r="B52" t="s">
        <v>549</v>
      </c>
      <c r="C52" t="s">
        <v>550</v>
      </c>
      <c r="D52" s="33">
        <v>44444441052</v>
      </c>
    </row>
    <row r="53" spans="1:4" x14ac:dyDescent="0.35">
      <c r="A53" t="s">
        <v>551</v>
      </c>
      <c r="B53" t="s">
        <v>552</v>
      </c>
      <c r="C53" t="s">
        <v>553</v>
      </c>
      <c r="D53" s="33">
        <v>44444441053</v>
      </c>
    </row>
    <row r="54" spans="1:4" x14ac:dyDescent="0.35">
      <c r="A54" t="s">
        <v>554</v>
      </c>
      <c r="B54" t="s">
        <v>555</v>
      </c>
      <c r="C54" t="s">
        <v>556</v>
      </c>
      <c r="D54" s="33">
        <v>44444441054</v>
      </c>
    </row>
    <row r="55" spans="1:4" x14ac:dyDescent="0.35">
      <c r="A55" t="s">
        <v>557</v>
      </c>
      <c r="B55" t="s">
        <v>558</v>
      </c>
      <c r="C55" t="s">
        <v>559</v>
      </c>
      <c r="D55" s="33">
        <v>44444441055</v>
      </c>
    </row>
    <row r="56" spans="1:4" x14ac:dyDescent="0.35">
      <c r="A56" t="s">
        <v>560</v>
      </c>
      <c r="B56" t="s">
        <v>561</v>
      </c>
      <c r="C56" t="s">
        <v>562</v>
      </c>
      <c r="D56" s="33">
        <v>44444441056</v>
      </c>
    </row>
    <row r="57" spans="1:4" x14ac:dyDescent="0.35">
      <c r="A57" t="s">
        <v>563</v>
      </c>
      <c r="B57" t="s">
        <v>564</v>
      </c>
      <c r="C57" t="s">
        <v>565</v>
      </c>
      <c r="D57" s="33">
        <v>44444441057</v>
      </c>
    </row>
    <row r="58" spans="1:4" x14ac:dyDescent="0.35">
      <c r="A58" t="s">
        <v>566</v>
      </c>
      <c r="B58" t="s">
        <v>567</v>
      </c>
      <c r="C58" t="s">
        <v>568</v>
      </c>
      <c r="D58" s="33">
        <v>44444441058</v>
      </c>
    </row>
    <row r="59" spans="1:4" x14ac:dyDescent="0.35">
      <c r="A59" t="s">
        <v>569</v>
      </c>
      <c r="B59" t="s">
        <v>570</v>
      </c>
      <c r="C59" t="s">
        <v>571</v>
      </c>
      <c r="D59" s="33">
        <v>44444441059</v>
      </c>
    </row>
    <row r="60" spans="1:4" x14ac:dyDescent="0.35">
      <c r="A60" t="s">
        <v>572</v>
      </c>
      <c r="B60" t="s">
        <v>573</v>
      </c>
      <c r="C60" t="s">
        <v>574</v>
      </c>
      <c r="D60" s="33">
        <v>44444441060</v>
      </c>
    </row>
    <row r="61" spans="1:4" x14ac:dyDescent="0.35">
      <c r="A61" t="s">
        <v>575</v>
      </c>
      <c r="B61" t="s">
        <v>576</v>
      </c>
      <c r="C61" t="s">
        <v>577</v>
      </c>
      <c r="D61" s="33">
        <v>44444441061</v>
      </c>
    </row>
    <row r="62" spans="1:4" x14ac:dyDescent="0.35">
      <c r="A62" t="s">
        <v>578</v>
      </c>
      <c r="B62" t="s">
        <v>579</v>
      </c>
      <c r="C62" t="s">
        <v>580</v>
      </c>
      <c r="D62" s="33">
        <v>44444441062</v>
      </c>
    </row>
    <row r="63" spans="1:4" x14ac:dyDescent="0.35">
      <c r="A63" t="s">
        <v>581</v>
      </c>
      <c r="B63" t="s">
        <v>582</v>
      </c>
      <c r="C63" t="s">
        <v>583</v>
      </c>
      <c r="D63" s="33">
        <v>44444441063</v>
      </c>
    </row>
    <row r="64" spans="1:4" x14ac:dyDescent="0.35">
      <c r="A64" t="s">
        <v>584</v>
      </c>
      <c r="B64" t="s">
        <v>585</v>
      </c>
      <c r="C64" t="s">
        <v>586</v>
      </c>
      <c r="D64" s="33">
        <v>44444441064</v>
      </c>
    </row>
    <row r="65" spans="1:4" x14ac:dyDescent="0.35">
      <c r="A65" t="s">
        <v>587</v>
      </c>
      <c r="B65" t="s">
        <v>588</v>
      </c>
      <c r="C65" t="s">
        <v>589</v>
      </c>
      <c r="D65" s="33">
        <v>44444441065</v>
      </c>
    </row>
    <row r="66" spans="1:4" x14ac:dyDescent="0.35">
      <c r="A66" t="s">
        <v>590</v>
      </c>
      <c r="B66" t="s">
        <v>591</v>
      </c>
      <c r="C66" t="s">
        <v>592</v>
      </c>
      <c r="D66" s="33">
        <v>44444441066</v>
      </c>
    </row>
    <row r="67" spans="1:4" x14ac:dyDescent="0.35">
      <c r="A67" t="s">
        <v>593</v>
      </c>
      <c r="B67" t="s">
        <v>594</v>
      </c>
      <c r="C67" t="s">
        <v>595</v>
      </c>
      <c r="D67" s="33">
        <v>44444441067</v>
      </c>
    </row>
    <row r="68" spans="1:4" x14ac:dyDescent="0.35">
      <c r="A68" t="s">
        <v>596</v>
      </c>
      <c r="B68" t="s">
        <v>597</v>
      </c>
      <c r="C68" t="s">
        <v>598</v>
      </c>
      <c r="D68" s="33">
        <v>44444441068</v>
      </c>
    </row>
    <row r="69" spans="1:4" x14ac:dyDescent="0.35">
      <c r="A69" t="s">
        <v>599</v>
      </c>
      <c r="B69" t="s">
        <v>600</v>
      </c>
      <c r="C69" t="s">
        <v>601</v>
      </c>
      <c r="D69" s="33">
        <v>44444441069</v>
      </c>
    </row>
    <row r="70" spans="1:4" x14ac:dyDescent="0.35">
      <c r="A70" t="s">
        <v>602</v>
      </c>
      <c r="B70" t="s">
        <v>603</v>
      </c>
      <c r="C70" t="s">
        <v>604</v>
      </c>
      <c r="D70" s="33">
        <v>44444441070</v>
      </c>
    </row>
    <row r="71" spans="1:4" x14ac:dyDescent="0.35">
      <c r="A71" t="s">
        <v>605</v>
      </c>
      <c r="B71" t="s">
        <v>606</v>
      </c>
      <c r="C71" t="s">
        <v>607</v>
      </c>
      <c r="D71" s="33">
        <v>44444441071</v>
      </c>
    </row>
    <row r="72" spans="1:4" x14ac:dyDescent="0.35">
      <c r="A72" t="s">
        <v>608</v>
      </c>
      <c r="B72" t="s">
        <v>609</v>
      </c>
      <c r="C72" t="s">
        <v>610</v>
      </c>
      <c r="D72" s="33">
        <v>44444441072</v>
      </c>
    </row>
    <row r="73" spans="1:4" x14ac:dyDescent="0.35">
      <c r="A73" t="s">
        <v>579</v>
      </c>
      <c r="B73" t="s">
        <v>611</v>
      </c>
      <c r="C73" t="s">
        <v>612</v>
      </c>
      <c r="D73" s="33">
        <v>44444441073</v>
      </c>
    </row>
    <row r="74" spans="1:4" x14ac:dyDescent="0.35">
      <c r="A74" t="s">
        <v>613</v>
      </c>
      <c r="B74" t="s">
        <v>614</v>
      </c>
      <c r="C74" t="s">
        <v>615</v>
      </c>
      <c r="D74" s="33">
        <v>44444441074</v>
      </c>
    </row>
    <row r="75" spans="1:4" x14ac:dyDescent="0.35">
      <c r="A75" t="s">
        <v>616</v>
      </c>
      <c r="B75" t="s">
        <v>617</v>
      </c>
      <c r="C75" t="s">
        <v>618</v>
      </c>
      <c r="D75" s="33">
        <v>44444441075</v>
      </c>
    </row>
    <row r="76" spans="1:4" x14ac:dyDescent="0.35">
      <c r="A76" t="s">
        <v>619</v>
      </c>
      <c r="B76" t="s">
        <v>620</v>
      </c>
      <c r="C76" t="s">
        <v>621</v>
      </c>
      <c r="D76" s="33">
        <v>44444441076</v>
      </c>
    </row>
    <row r="77" spans="1:4" x14ac:dyDescent="0.35">
      <c r="A77" t="s">
        <v>622</v>
      </c>
      <c r="B77" t="s">
        <v>623</v>
      </c>
      <c r="C77" t="s">
        <v>624</v>
      </c>
      <c r="D77" s="33">
        <v>44444441077</v>
      </c>
    </row>
    <row r="78" spans="1:4" x14ac:dyDescent="0.35">
      <c r="A78" t="s">
        <v>625</v>
      </c>
      <c r="B78" t="s">
        <v>626</v>
      </c>
      <c r="C78" t="s">
        <v>627</v>
      </c>
      <c r="D78" s="33">
        <v>44444441078</v>
      </c>
    </row>
    <row r="79" spans="1:4" x14ac:dyDescent="0.35">
      <c r="A79" t="s">
        <v>628</v>
      </c>
      <c r="B79" t="s">
        <v>629</v>
      </c>
      <c r="C79" t="s">
        <v>630</v>
      </c>
      <c r="D79" s="33">
        <v>44444441079</v>
      </c>
    </row>
    <row r="80" spans="1:4" x14ac:dyDescent="0.35">
      <c r="A80" t="s">
        <v>631</v>
      </c>
      <c r="B80" t="s">
        <v>632</v>
      </c>
      <c r="C80" t="s">
        <v>633</v>
      </c>
      <c r="D80" s="33">
        <v>44444441080</v>
      </c>
    </row>
    <row r="81" spans="1:4" x14ac:dyDescent="0.35">
      <c r="A81" t="s">
        <v>634</v>
      </c>
      <c r="B81" t="s">
        <v>635</v>
      </c>
      <c r="C81" t="s">
        <v>636</v>
      </c>
      <c r="D81" s="33">
        <v>44444441081</v>
      </c>
    </row>
    <row r="82" spans="1:4" x14ac:dyDescent="0.35">
      <c r="A82" t="s">
        <v>637</v>
      </c>
      <c r="B82" t="s">
        <v>638</v>
      </c>
      <c r="C82" t="s">
        <v>639</v>
      </c>
      <c r="D82" s="33">
        <v>44444441082</v>
      </c>
    </row>
    <row r="83" spans="1:4" x14ac:dyDescent="0.35">
      <c r="A83" t="s">
        <v>640</v>
      </c>
      <c r="B83" t="s">
        <v>641</v>
      </c>
      <c r="C83" t="s">
        <v>642</v>
      </c>
      <c r="D83" s="33">
        <v>44444441083</v>
      </c>
    </row>
    <row r="84" spans="1:4" x14ac:dyDescent="0.35">
      <c r="A84" t="s">
        <v>643</v>
      </c>
      <c r="B84" t="s">
        <v>644</v>
      </c>
      <c r="C84" t="s">
        <v>645</v>
      </c>
      <c r="D84" s="33">
        <v>44444441084</v>
      </c>
    </row>
    <row r="85" spans="1:4" x14ac:dyDescent="0.35">
      <c r="A85" t="s">
        <v>646</v>
      </c>
      <c r="B85" t="s">
        <v>647</v>
      </c>
      <c r="C85" t="s">
        <v>648</v>
      </c>
      <c r="D85" s="33">
        <v>44444441085</v>
      </c>
    </row>
    <row r="86" spans="1:4" x14ac:dyDescent="0.35">
      <c r="A86" t="s">
        <v>649</v>
      </c>
      <c r="B86" t="s">
        <v>650</v>
      </c>
      <c r="C86" t="s">
        <v>651</v>
      </c>
      <c r="D86" s="33">
        <v>44444441086</v>
      </c>
    </row>
    <row r="87" spans="1:4" x14ac:dyDescent="0.35">
      <c r="A87" t="s">
        <v>652</v>
      </c>
      <c r="B87" t="s">
        <v>653</v>
      </c>
      <c r="C87" t="s">
        <v>654</v>
      </c>
      <c r="D87" s="33">
        <v>44444441087</v>
      </c>
    </row>
    <row r="88" spans="1:4" x14ac:dyDescent="0.35">
      <c r="A88" t="s">
        <v>655</v>
      </c>
      <c r="B88" t="s">
        <v>656</v>
      </c>
      <c r="C88" t="s">
        <v>657</v>
      </c>
      <c r="D88" s="33">
        <v>44444441088</v>
      </c>
    </row>
    <row r="89" spans="1:4" x14ac:dyDescent="0.35">
      <c r="A89" t="s">
        <v>658</v>
      </c>
      <c r="B89" t="s">
        <v>659</v>
      </c>
      <c r="C89" t="s">
        <v>660</v>
      </c>
      <c r="D89" s="33">
        <v>44444441089</v>
      </c>
    </row>
    <row r="90" spans="1:4" x14ac:dyDescent="0.35">
      <c r="A90" t="s">
        <v>661</v>
      </c>
      <c r="B90" t="s">
        <v>662</v>
      </c>
      <c r="C90" t="s">
        <v>663</v>
      </c>
      <c r="D90" s="33">
        <v>44444441090</v>
      </c>
    </row>
    <row r="91" spans="1:4" x14ac:dyDescent="0.35">
      <c r="A91" t="s">
        <v>664</v>
      </c>
      <c r="B91" t="s">
        <v>665</v>
      </c>
      <c r="C91" t="s">
        <v>666</v>
      </c>
      <c r="D91" s="33">
        <v>44444441091</v>
      </c>
    </row>
    <row r="92" spans="1:4" x14ac:dyDescent="0.35">
      <c r="A92" t="s">
        <v>667</v>
      </c>
      <c r="B92" t="s">
        <v>668</v>
      </c>
      <c r="C92" t="s">
        <v>669</v>
      </c>
      <c r="D92" s="33">
        <v>44444441092</v>
      </c>
    </row>
    <row r="93" spans="1:4" x14ac:dyDescent="0.35">
      <c r="A93" t="s">
        <v>670</v>
      </c>
      <c r="B93" t="s">
        <v>671</v>
      </c>
      <c r="C93" t="s">
        <v>672</v>
      </c>
      <c r="D93" s="33">
        <v>44444441093</v>
      </c>
    </row>
    <row r="94" spans="1:4" x14ac:dyDescent="0.35">
      <c r="A94" t="s">
        <v>673</v>
      </c>
      <c r="B94" t="s">
        <v>674</v>
      </c>
      <c r="C94" t="s">
        <v>675</v>
      </c>
      <c r="D94" s="33">
        <v>44444441094</v>
      </c>
    </row>
    <row r="95" spans="1:4" x14ac:dyDescent="0.35">
      <c r="A95" t="s">
        <v>676</v>
      </c>
      <c r="B95" t="s">
        <v>677</v>
      </c>
      <c r="C95" t="s">
        <v>678</v>
      </c>
      <c r="D95" s="33">
        <v>44444441095</v>
      </c>
    </row>
    <row r="96" spans="1:4" x14ac:dyDescent="0.35">
      <c r="A96" t="s">
        <v>679</v>
      </c>
      <c r="B96" t="s">
        <v>680</v>
      </c>
      <c r="C96" t="s">
        <v>681</v>
      </c>
      <c r="D96" s="33">
        <v>44444441096</v>
      </c>
    </row>
    <row r="97" spans="1:4" x14ac:dyDescent="0.35">
      <c r="A97" t="s">
        <v>682</v>
      </c>
      <c r="B97" t="s">
        <v>683</v>
      </c>
      <c r="C97" t="s">
        <v>684</v>
      </c>
      <c r="D97" s="33">
        <v>44444441097</v>
      </c>
    </row>
    <row r="98" spans="1:4" x14ac:dyDescent="0.35">
      <c r="A98" t="s">
        <v>685</v>
      </c>
      <c r="B98" t="s">
        <v>686</v>
      </c>
      <c r="C98" t="s">
        <v>687</v>
      </c>
      <c r="D98" s="33">
        <v>44444441098</v>
      </c>
    </row>
    <row r="99" spans="1:4" x14ac:dyDescent="0.35">
      <c r="A99" t="s">
        <v>688</v>
      </c>
      <c r="B99" t="s">
        <v>689</v>
      </c>
      <c r="C99" t="s">
        <v>690</v>
      </c>
      <c r="D99" s="33">
        <v>44444441099</v>
      </c>
    </row>
    <row r="100" spans="1:4" x14ac:dyDescent="0.35">
      <c r="A100" t="s">
        <v>691</v>
      </c>
      <c r="B100" t="s">
        <v>692</v>
      </c>
      <c r="C100" t="s">
        <v>693</v>
      </c>
      <c r="D100" s="33">
        <v>44444441100</v>
      </c>
    </row>
    <row r="101" spans="1:4" x14ac:dyDescent="0.35">
      <c r="A101" t="s">
        <v>694</v>
      </c>
      <c r="B101" t="s">
        <v>695</v>
      </c>
      <c r="C101" t="s">
        <v>696</v>
      </c>
      <c r="D101" s="33">
        <v>44444441101</v>
      </c>
    </row>
    <row r="102" spans="1:4" x14ac:dyDescent="0.35">
      <c r="A102" t="s">
        <v>697</v>
      </c>
      <c r="B102" t="s">
        <v>698</v>
      </c>
      <c r="C102" t="s">
        <v>699</v>
      </c>
      <c r="D102" s="33">
        <v>44444441102</v>
      </c>
    </row>
    <row r="103" spans="1:4" x14ac:dyDescent="0.35">
      <c r="A103" t="s">
        <v>700</v>
      </c>
      <c r="B103" t="s">
        <v>701</v>
      </c>
      <c r="C103" t="s">
        <v>702</v>
      </c>
      <c r="D103" s="33">
        <v>44444441103</v>
      </c>
    </row>
    <row r="104" spans="1:4" x14ac:dyDescent="0.35">
      <c r="A104" t="s">
        <v>703</v>
      </c>
      <c r="B104" t="s">
        <v>704</v>
      </c>
      <c r="C104" t="s">
        <v>705</v>
      </c>
      <c r="D104" s="33">
        <v>44444441104</v>
      </c>
    </row>
    <row r="105" spans="1:4" x14ac:dyDescent="0.35">
      <c r="A105" t="s">
        <v>706</v>
      </c>
      <c r="B105" t="s">
        <v>707</v>
      </c>
      <c r="C105" t="s">
        <v>708</v>
      </c>
      <c r="D105" s="33">
        <v>44444441105</v>
      </c>
    </row>
    <row r="106" spans="1:4" x14ac:dyDescent="0.35">
      <c r="A106" t="s">
        <v>709</v>
      </c>
      <c r="B106" t="s">
        <v>710</v>
      </c>
      <c r="C106" t="s">
        <v>711</v>
      </c>
      <c r="D106" s="33">
        <v>44444441106</v>
      </c>
    </row>
    <row r="107" spans="1:4" x14ac:dyDescent="0.35">
      <c r="A107" t="s">
        <v>712</v>
      </c>
      <c r="B107" t="s">
        <v>713</v>
      </c>
      <c r="C107" t="s">
        <v>714</v>
      </c>
      <c r="D107" s="33">
        <v>44444441107</v>
      </c>
    </row>
    <row r="108" spans="1:4" x14ac:dyDescent="0.35">
      <c r="A108" t="s">
        <v>715</v>
      </c>
      <c r="B108" t="s">
        <v>716</v>
      </c>
      <c r="C108" t="s">
        <v>717</v>
      </c>
      <c r="D108" s="33">
        <v>44444441108</v>
      </c>
    </row>
    <row r="109" spans="1:4" x14ac:dyDescent="0.35">
      <c r="A109" t="s">
        <v>718</v>
      </c>
      <c r="B109" t="s">
        <v>719</v>
      </c>
      <c r="C109" t="s">
        <v>720</v>
      </c>
      <c r="D109" s="33">
        <v>44444441109</v>
      </c>
    </row>
    <row r="110" spans="1:4" x14ac:dyDescent="0.35">
      <c r="A110" t="s">
        <v>721</v>
      </c>
      <c r="B110" t="s">
        <v>722</v>
      </c>
      <c r="C110" t="s">
        <v>723</v>
      </c>
      <c r="D110" s="33">
        <v>44444441110</v>
      </c>
    </row>
    <row r="111" spans="1:4" x14ac:dyDescent="0.35">
      <c r="A111" t="s">
        <v>724</v>
      </c>
      <c r="B111" t="s">
        <v>725</v>
      </c>
      <c r="C111" t="s">
        <v>726</v>
      </c>
      <c r="D111" s="33">
        <v>44444441111</v>
      </c>
    </row>
    <row r="112" spans="1:4" x14ac:dyDescent="0.35">
      <c r="A112" t="s">
        <v>727</v>
      </c>
      <c r="B112" t="s">
        <v>728</v>
      </c>
      <c r="C112" t="s">
        <v>729</v>
      </c>
      <c r="D112" s="33">
        <v>44444441112</v>
      </c>
    </row>
    <row r="113" spans="1:4" x14ac:dyDescent="0.35">
      <c r="A113" t="s">
        <v>730</v>
      </c>
      <c r="B113" t="s">
        <v>731</v>
      </c>
      <c r="C113" t="s">
        <v>732</v>
      </c>
      <c r="D113" s="33">
        <v>44444441113</v>
      </c>
    </row>
    <row r="114" spans="1:4" x14ac:dyDescent="0.35">
      <c r="A114" t="s">
        <v>733</v>
      </c>
      <c r="B114" t="s">
        <v>734</v>
      </c>
      <c r="C114" t="s">
        <v>735</v>
      </c>
      <c r="D114" s="33">
        <v>44444441114</v>
      </c>
    </row>
    <row r="115" spans="1:4" x14ac:dyDescent="0.35">
      <c r="A115" t="s">
        <v>736</v>
      </c>
      <c r="B115" t="s">
        <v>737</v>
      </c>
      <c r="C115" t="s">
        <v>738</v>
      </c>
      <c r="D115" s="33">
        <v>44444441115</v>
      </c>
    </row>
    <row r="116" spans="1:4" x14ac:dyDescent="0.35">
      <c r="A116" t="s">
        <v>739</v>
      </c>
      <c r="B116" t="s">
        <v>740</v>
      </c>
      <c r="C116" t="s">
        <v>741</v>
      </c>
      <c r="D116" s="33">
        <v>44444441116</v>
      </c>
    </row>
    <row r="117" spans="1:4" x14ac:dyDescent="0.35">
      <c r="A117" t="s">
        <v>742</v>
      </c>
      <c r="B117" t="s">
        <v>743</v>
      </c>
      <c r="C117" t="s">
        <v>744</v>
      </c>
      <c r="D117" s="33">
        <v>44444441117</v>
      </c>
    </row>
    <row r="118" spans="1:4" x14ac:dyDescent="0.35">
      <c r="A118" t="s">
        <v>745</v>
      </c>
      <c r="B118" t="s">
        <v>746</v>
      </c>
      <c r="C118" t="s">
        <v>747</v>
      </c>
      <c r="D118" s="33">
        <v>44444441118</v>
      </c>
    </row>
    <row r="119" spans="1:4" x14ac:dyDescent="0.35">
      <c r="A119" t="s">
        <v>748</v>
      </c>
      <c r="B119" t="s">
        <v>749</v>
      </c>
      <c r="C119" t="s">
        <v>750</v>
      </c>
      <c r="D119" s="33">
        <v>44444441119</v>
      </c>
    </row>
    <row r="120" spans="1:4" x14ac:dyDescent="0.35">
      <c r="A120" t="s">
        <v>689</v>
      </c>
      <c r="B120" t="s">
        <v>751</v>
      </c>
      <c r="C120" t="s">
        <v>752</v>
      </c>
      <c r="D120" s="33">
        <v>44444441120</v>
      </c>
    </row>
    <row r="121" spans="1:4" x14ac:dyDescent="0.35">
      <c r="A121" t="s">
        <v>753</v>
      </c>
      <c r="B121" t="s">
        <v>754</v>
      </c>
      <c r="C121" t="s">
        <v>755</v>
      </c>
      <c r="D121" s="33">
        <v>44444441121</v>
      </c>
    </row>
    <row r="122" spans="1:4" x14ac:dyDescent="0.35">
      <c r="A122" t="s">
        <v>756</v>
      </c>
      <c r="B122" t="s">
        <v>757</v>
      </c>
      <c r="C122" t="s">
        <v>758</v>
      </c>
      <c r="D122" s="33">
        <v>44444441122</v>
      </c>
    </row>
    <row r="123" spans="1:4" x14ac:dyDescent="0.35">
      <c r="A123" t="s">
        <v>759</v>
      </c>
      <c r="B123" t="s">
        <v>760</v>
      </c>
      <c r="C123" t="s">
        <v>761</v>
      </c>
      <c r="D123" s="33">
        <v>44444441123</v>
      </c>
    </row>
    <row r="124" spans="1:4" x14ac:dyDescent="0.35">
      <c r="A124" t="s">
        <v>762</v>
      </c>
      <c r="B124" t="s">
        <v>763</v>
      </c>
      <c r="C124" t="s">
        <v>764</v>
      </c>
      <c r="D124" s="33">
        <v>44444441124</v>
      </c>
    </row>
    <row r="125" spans="1:4" x14ac:dyDescent="0.35">
      <c r="A125" t="s">
        <v>765</v>
      </c>
      <c r="B125" t="s">
        <v>766</v>
      </c>
      <c r="C125" t="s">
        <v>767</v>
      </c>
      <c r="D125" s="33">
        <v>44444441125</v>
      </c>
    </row>
    <row r="126" spans="1:4" x14ac:dyDescent="0.35">
      <c r="A126" t="s">
        <v>768</v>
      </c>
      <c r="B126" t="s">
        <v>769</v>
      </c>
      <c r="C126" t="s">
        <v>770</v>
      </c>
      <c r="D126" s="33">
        <v>44444441126</v>
      </c>
    </row>
    <row r="127" spans="1:4" x14ac:dyDescent="0.35">
      <c r="A127" t="s">
        <v>771</v>
      </c>
      <c r="B127" t="s">
        <v>772</v>
      </c>
      <c r="C127" t="s">
        <v>773</v>
      </c>
      <c r="D127" s="33">
        <v>44444441127</v>
      </c>
    </row>
    <row r="128" spans="1:4" x14ac:dyDescent="0.35">
      <c r="A128" t="s">
        <v>774</v>
      </c>
      <c r="B128" t="s">
        <v>775</v>
      </c>
      <c r="C128" t="s">
        <v>776</v>
      </c>
      <c r="D128" s="33">
        <v>44444441128</v>
      </c>
    </row>
    <row r="129" spans="1:4" x14ac:dyDescent="0.35">
      <c r="A129" t="s">
        <v>777</v>
      </c>
      <c r="B129" t="s">
        <v>778</v>
      </c>
      <c r="C129" t="s">
        <v>779</v>
      </c>
      <c r="D129" s="33">
        <v>44444441129</v>
      </c>
    </row>
    <row r="130" spans="1:4" x14ac:dyDescent="0.35">
      <c r="A130" t="s">
        <v>780</v>
      </c>
      <c r="B130" t="s">
        <v>781</v>
      </c>
      <c r="C130" t="s">
        <v>782</v>
      </c>
      <c r="D130" s="33">
        <v>44444441130</v>
      </c>
    </row>
    <row r="131" spans="1:4" x14ac:dyDescent="0.35">
      <c r="A131" t="s">
        <v>783</v>
      </c>
      <c r="B131" t="s">
        <v>784</v>
      </c>
      <c r="C131" t="s">
        <v>785</v>
      </c>
      <c r="D131" s="33">
        <v>44444441131</v>
      </c>
    </row>
    <row r="132" spans="1:4" x14ac:dyDescent="0.35">
      <c r="A132" t="s">
        <v>786</v>
      </c>
      <c r="B132" t="s">
        <v>787</v>
      </c>
      <c r="C132" t="s">
        <v>788</v>
      </c>
      <c r="D132" s="33">
        <v>44444441132</v>
      </c>
    </row>
    <row r="133" spans="1:4" x14ac:dyDescent="0.35">
      <c r="A133" t="s">
        <v>789</v>
      </c>
      <c r="B133" t="s">
        <v>790</v>
      </c>
      <c r="C133" t="s">
        <v>791</v>
      </c>
      <c r="D133" s="33">
        <v>44444441133</v>
      </c>
    </row>
    <row r="134" spans="1:4" x14ac:dyDescent="0.35">
      <c r="A134" t="s">
        <v>792</v>
      </c>
      <c r="B134" t="s">
        <v>793</v>
      </c>
      <c r="C134" t="s">
        <v>794</v>
      </c>
      <c r="D134" s="33">
        <v>44444441134</v>
      </c>
    </row>
    <row r="135" spans="1:4" x14ac:dyDescent="0.35">
      <c r="A135" t="s">
        <v>795</v>
      </c>
      <c r="B135" t="s">
        <v>796</v>
      </c>
      <c r="C135" t="s">
        <v>797</v>
      </c>
      <c r="D135" s="33">
        <v>44444441135</v>
      </c>
    </row>
    <row r="136" spans="1:4" x14ac:dyDescent="0.35">
      <c r="A136" t="s">
        <v>798</v>
      </c>
      <c r="B136" t="s">
        <v>799</v>
      </c>
      <c r="C136" t="s">
        <v>800</v>
      </c>
      <c r="D136" s="33">
        <v>44444441136</v>
      </c>
    </row>
    <row r="137" spans="1:4" x14ac:dyDescent="0.35">
      <c r="A137" t="s">
        <v>801</v>
      </c>
      <c r="B137" t="s">
        <v>802</v>
      </c>
      <c r="C137" t="s">
        <v>803</v>
      </c>
      <c r="D137" s="33">
        <v>44444441137</v>
      </c>
    </row>
    <row r="138" spans="1:4" x14ac:dyDescent="0.35">
      <c r="A138" t="s">
        <v>804</v>
      </c>
      <c r="B138" t="s">
        <v>805</v>
      </c>
      <c r="C138" t="s">
        <v>806</v>
      </c>
      <c r="D138" s="33">
        <v>44444441138</v>
      </c>
    </row>
    <row r="139" spans="1:4" x14ac:dyDescent="0.35">
      <c r="A139" t="s">
        <v>807</v>
      </c>
      <c r="B139" t="s">
        <v>808</v>
      </c>
      <c r="C139" t="s">
        <v>809</v>
      </c>
      <c r="D139" s="33">
        <v>44444441139</v>
      </c>
    </row>
    <row r="140" spans="1:4" x14ac:dyDescent="0.35">
      <c r="A140" t="s">
        <v>810</v>
      </c>
      <c r="B140" t="s">
        <v>811</v>
      </c>
      <c r="C140" t="s">
        <v>812</v>
      </c>
      <c r="D140" s="33">
        <v>44444441140</v>
      </c>
    </row>
    <row r="141" spans="1:4" x14ac:dyDescent="0.35">
      <c r="A141" t="s">
        <v>813</v>
      </c>
      <c r="B141" t="s">
        <v>814</v>
      </c>
      <c r="C141" t="s">
        <v>815</v>
      </c>
      <c r="D141" s="33">
        <v>44444441141</v>
      </c>
    </row>
    <row r="142" spans="1:4" x14ac:dyDescent="0.35">
      <c r="A142" t="s">
        <v>816</v>
      </c>
      <c r="B142" t="s">
        <v>817</v>
      </c>
      <c r="C142" t="s">
        <v>818</v>
      </c>
      <c r="D142" s="33">
        <v>44444441142</v>
      </c>
    </row>
    <row r="143" spans="1:4" x14ac:dyDescent="0.35">
      <c r="A143" t="s">
        <v>819</v>
      </c>
      <c r="B143" t="s">
        <v>820</v>
      </c>
      <c r="C143" t="s">
        <v>821</v>
      </c>
      <c r="D143" s="33">
        <v>44444441143</v>
      </c>
    </row>
    <row r="144" spans="1:4" x14ac:dyDescent="0.35">
      <c r="A144" t="s">
        <v>822</v>
      </c>
      <c r="B144" t="s">
        <v>823</v>
      </c>
      <c r="C144" t="s">
        <v>824</v>
      </c>
      <c r="D144" s="33">
        <v>44444441144</v>
      </c>
    </row>
    <row r="145" spans="1:4" x14ac:dyDescent="0.35">
      <c r="A145" t="s">
        <v>825</v>
      </c>
      <c r="B145" t="s">
        <v>826</v>
      </c>
      <c r="C145" t="s">
        <v>827</v>
      </c>
      <c r="D145" s="33">
        <v>44444441145</v>
      </c>
    </row>
    <row r="146" spans="1:4" x14ac:dyDescent="0.35">
      <c r="A146" t="s">
        <v>828</v>
      </c>
      <c r="B146" t="s">
        <v>829</v>
      </c>
      <c r="C146" t="s">
        <v>830</v>
      </c>
      <c r="D146" s="33">
        <v>44444441146</v>
      </c>
    </row>
    <row r="147" spans="1:4" x14ac:dyDescent="0.35">
      <c r="A147" t="s">
        <v>831</v>
      </c>
      <c r="B147" t="s">
        <v>832</v>
      </c>
      <c r="C147" t="s">
        <v>833</v>
      </c>
      <c r="D147" s="33">
        <v>44444441147</v>
      </c>
    </row>
    <row r="148" spans="1:4" x14ac:dyDescent="0.35">
      <c r="A148" t="s">
        <v>781</v>
      </c>
      <c r="B148" t="s">
        <v>834</v>
      </c>
      <c r="C148" t="s">
        <v>835</v>
      </c>
      <c r="D148" s="33">
        <v>44444441148</v>
      </c>
    </row>
    <row r="149" spans="1:4" x14ac:dyDescent="0.35">
      <c r="A149" t="s">
        <v>836</v>
      </c>
      <c r="B149" t="s">
        <v>837</v>
      </c>
      <c r="C149" t="s">
        <v>838</v>
      </c>
      <c r="D149" s="33">
        <v>44444441149</v>
      </c>
    </row>
    <row r="150" spans="1:4" x14ac:dyDescent="0.35">
      <c r="A150" t="s">
        <v>839</v>
      </c>
      <c r="C150" t="s">
        <v>840</v>
      </c>
      <c r="D150" s="33">
        <v>44444441150</v>
      </c>
    </row>
    <row r="151" spans="1:4" x14ac:dyDescent="0.35">
      <c r="A151" t="s">
        <v>841</v>
      </c>
      <c r="C151" t="s">
        <v>842</v>
      </c>
      <c r="D151" s="33">
        <v>44444441151</v>
      </c>
    </row>
    <row r="152" spans="1:4" x14ac:dyDescent="0.35">
      <c r="A152" t="s">
        <v>843</v>
      </c>
      <c r="C152" t="s">
        <v>844</v>
      </c>
      <c r="D152" s="33">
        <v>44444441152</v>
      </c>
    </row>
    <row r="153" spans="1:4" x14ac:dyDescent="0.35">
      <c r="A153" t="s">
        <v>845</v>
      </c>
      <c r="C153" t="s">
        <v>846</v>
      </c>
      <c r="D153" s="33">
        <v>44444441153</v>
      </c>
    </row>
    <row r="154" spans="1:4" x14ac:dyDescent="0.35">
      <c r="A154" t="s">
        <v>847</v>
      </c>
      <c r="C154" t="s">
        <v>848</v>
      </c>
      <c r="D154" s="33">
        <v>44444441154</v>
      </c>
    </row>
    <row r="155" spans="1:4" x14ac:dyDescent="0.35">
      <c r="A155" t="s">
        <v>849</v>
      </c>
      <c r="C155" t="s">
        <v>850</v>
      </c>
      <c r="D155" s="33">
        <v>44444441155</v>
      </c>
    </row>
    <row r="156" spans="1:4" x14ac:dyDescent="0.35">
      <c r="A156" t="s">
        <v>851</v>
      </c>
      <c r="C156" t="s">
        <v>852</v>
      </c>
      <c r="D156" s="33">
        <v>44444441156</v>
      </c>
    </row>
    <row r="157" spans="1:4" x14ac:dyDescent="0.35">
      <c r="A157" t="s">
        <v>853</v>
      </c>
      <c r="C157" t="s">
        <v>854</v>
      </c>
      <c r="D157" s="33">
        <v>44444441157</v>
      </c>
    </row>
    <row r="158" spans="1:4" x14ac:dyDescent="0.35">
      <c r="A158" t="s">
        <v>855</v>
      </c>
      <c r="C158" t="s">
        <v>856</v>
      </c>
      <c r="D158" s="33">
        <v>44444441158</v>
      </c>
    </row>
    <row r="159" spans="1:4" x14ac:dyDescent="0.35">
      <c r="A159" t="s">
        <v>857</v>
      </c>
      <c r="C159" t="s">
        <v>858</v>
      </c>
      <c r="D159" s="33">
        <v>44444441159</v>
      </c>
    </row>
    <row r="160" spans="1:4" x14ac:dyDescent="0.35">
      <c r="A160" t="s">
        <v>859</v>
      </c>
      <c r="C160" t="s">
        <v>860</v>
      </c>
      <c r="D160" s="33">
        <v>44444441160</v>
      </c>
    </row>
    <row r="161" spans="1:4" x14ac:dyDescent="0.35">
      <c r="A161" t="s">
        <v>861</v>
      </c>
      <c r="C161" t="s">
        <v>862</v>
      </c>
      <c r="D161" s="33">
        <v>44444441161</v>
      </c>
    </row>
    <row r="162" spans="1:4" x14ac:dyDescent="0.35">
      <c r="A162" t="s">
        <v>863</v>
      </c>
      <c r="C162" t="s">
        <v>864</v>
      </c>
      <c r="D162" s="33">
        <v>44444441162</v>
      </c>
    </row>
    <row r="163" spans="1:4" x14ac:dyDescent="0.35">
      <c r="A163" t="s">
        <v>865</v>
      </c>
      <c r="C163" t="s">
        <v>866</v>
      </c>
      <c r="D163" s="33">
        <v>44444441163</v>
      </c>
    </row>
    <row r="164" spans="1:4" x14ac:dyDescent="0.35">
      <c r="A164" t="s">
        <v>867</v>
      </c>
      <c r="C164" t="s">
        <v>868</v>
      </c>
      <c r="D164" s="33">
        <v>44444441164</v>
      </c>
    </row>
    <row r="165" spans="1:4" x14ac:dyDescent="0.35">
      <c r="A165" t="s">
        <v>869</v>
      </c>
      <c r="C165" t="s">
        <v>870</v>
      </c>
      <c r="D165" s="33">
        <v>44444441165</v>
      </c>
    </row>
  </sheetData>
  <sortState xmlns:xlrd2="http://schemas.microsoft.com/office/spreadsheetml/2017/richdata2" ref="A1:A165">
    <sortCondition ref="A4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115b7ff-bbd9-4694-9ab1-6e7aae14bb2b" xsi:nil="true"/>
    <lcf76f155ced4ddcb4097134ff3c332f xmlns="f796e01f-e823-4fc5-b2c6-0ce6966e68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96B03BE2E6C3D4F926157469EF11E41" ma:contentTypeVersion="17" ma:contentTypeDescription="Create a new document." ma:contentTypeScope="" ma:versionID="7d75b717911e06a79febccd8ba806640">
  <xsd:schema xmlns:xsd="http://www.w3.org/2001/XMLSchema" xmlns:xs="http://www.w3.org/2001/XMLSchema" xmlns:p="http://schemas.microsoft.com/office/2006/metadata/properties" xmlns:ns2="f796e01f-e823-4fc5-b2c6-0ce6966e6865" xmlns:ns3="f115b7ff-bbd9-4694-9ab1-6e7aae14bb2b" targetNamespace="http://schemas.microsoft.com/office/2006/metadata/properties" ma:root="true" ma:fieldsID="228fdeae36829d8a828a310ac5890575" ns2:_="" ns3:_="">
    <xsd:import namespace="f796e01f-e823-4fc5-b2c6-0ce6966e6865"/>
    <xsd:import namespace="f115b7ff-bbd9-4694-9ab1-6e7aae14bb2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96e01f-e823-4fc5-b2c6-0ce6966e68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fbae590-2f25-4493-9578-3d9d13a641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15b7ff-bbd9-4694-9ab1-6e7aae14bb2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15ce283-ed94-4574-bdb8-3bcb45e6ff25}" ma:internalName="TaxCatchAll" ma:showField="CatchAllData" ma:web="f115b7ff-bbd9-4694-9ab1-6e7aae14bb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2.xml><?xml version="1.0" encoding="utf-8"?>
<ds:datastoreItem xmlns:ds="http://schemas.openxmlformats.org/officeDocument/2006/customXml" ds:itemID="{06B61484-8E96-4333-AEC2-06329464E92F}">
  <ds:schemaRefs>
    <ds:schemaRef ds:uri="http://schemas.microsoft.com/office/2006/metadata/properties"/>
    <ds:schemaRef ds:uri="http://schemas.microsoft.com/office/infopath/2007/PartnerControls"/>
    <ds:schemaRef ds:uri="f115b7ff-bbd9-4694-9ab1-6e7aae14bb2b"/>
    <ds:schemaRef ds:uri="f796e01f-e823-4fc5-b2c6-0ce6966e6865"/>
  </ds:schemaRefs>
</ds:datastoreItem>
</file>

<file path=customXml/itemProps3.xml><?xml version="1.0" encoding="utf-8"?>
<ds:datastoreItem xmlns:ds="http://schemas.openxmlformats.org/officeDocument/2006/customXml" ds:itemID="{343ABDB9-0538-46F3-8CD1-EB932CF1C1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96e01f-e823-4fc5-b2c6-0ce6966e6865"/>
    <ds:schemaRef ds:uri="f115b7ff-bbd9-4694-9ab1-6e7aae14bb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170</vt:i4>
      </vt:variant>
    </vt:vector>
  </HeadingPairs>
  <TitlesOfParts>
    <vt:vector size="179" baseType="lpstr">
      <vt:lpstr>Information</vt:lpstr>
      <vt:lpstr>Test_Data</vt:lpstr>
      <vt:lpstr>Mapping Table</vt:lpstr>
      <vt:lpstr>Sheet1</vt:lpstr>
      <vt:lpstr>Defects</vt:lpstr>
      <vt:lpstr>Automation_Lookups</vt:lpstr>
      <vt:lpstr>RC. No</vt:lpstr>
      <vt:lpstr>Code_11122019_1000</vt:lpstr>
      <vt:lpstr>Names</vt:lpstr>
      <vt:lpstr>AddProbationPeriod_EndDate</vt:lpstr>
      <vt:lpstr>AddProbationPeriod_ProbationEndDate2</vt:lpstr>
      <vt:lpstr>AddProbationPeriod_StartDate</vt:lpstr>
      <vt:lpstr>AssignPayGroup_ProposedPayGroup</vt:lpstr>
      <vt:lpstr>AssignPayGroup_ProposedPayGroup2</vt:lpstr>
      <vt:lpstr>Automation_Ref</vt:lpstr>
      <vt:lpstr>AutomationComments</vt:lpstr>
      <vt:lpstr>ChangeJob_AssignCollectiveAgreement_CollectiveAgreement</vt:lpstr>
      <vt:lpstr>ChangeJob_AssignCollectiveAgreement_Level</vt:lpstr>
      <vt:lpstr>ChangeJob_AssignCollectiveAgreement_ProfessionalCategory</vt:lpstr>
      <vt:lpstr>ChangeJob_Company_CostCentre</vt:lpstr>
      <vt:lpstr>ChangeJob_Company_Department</vt:lpstr>
      <vt:lpstr>ChangeJob_ContractType</vt:lpstr>
      <vt:lpstr>ChangeJob_JobClassifications_AdditionalJobClassifications</vt:lpstr>
      <vt:lpstr>ChangeJob_JobClassifications_AssignmentType</vt:lpstr>
      <vt:lpstr>ChangeJob_JobClassifications_DefaultWeeklyHours</vt:lpstr>
      <vt:lpstr>ChangeJob_JobClassifications_EmployeeType</vt:lpstr>
      <vt:lpstr>ChangeJob_JobClassifications_EndEmploymentDate</vt:lpstr>
      <vt:lpstr>ChangeJob_JobClassifications_FirstDayofWork</vt:lpstr>
      <vt:lpstr>ChangeJob_JobClassifications_PayRateType</vt:lpstr>
      <vt:lpstr>ChangeJob_JobClassifications_TimeType</vt:lpstr>
      <vt:lpstr>ChangeJob_JobProfile_JobProfile</vt:lpstr>
      <vt:lpstr>ChangeJob_JobProfile_JobTitle</vt:lpstr>
      <vt:lpstr>ChangeJob_LocationDetails_Location</vt:lpstr>
      <vt:lpstr>ChangeJob_LocationDetails_ScheduledWeeklyHours</vt:lpstr>
      <vt:lpstr>ChangeJob_LocationDetails_WorkShift</vt:lpstr>
      <vt:lpstr>ChangeJob_LocationDetails_WorkShift2</vt:lpstr>
      <vt:lpstr>ChangeJob_Start_EffectiveDate</vt:lpstr>
      <vt:lpstr>ChangeJob_Start_NewLocation</vt:lpstr>
      <vt:lpstr>ChangeJob_Start_NewLocation2</vt:lpstr>
      <vt:lpstr>ChangeJob_Start_NewManager</vt:lpstr>
      <vt:lpstr>ChangeJob_Start_NewManager2</vt:lpstr>
      <vt:lpstr>ChangeJob_Start_NewTeam</vt:lpstr>
      <vt:lpstr>ChangeJob_Start_NewTeam2</vt:lpstr>
      <vt:lpstr>ChangeJob_Start_NextPayPeriod</vt:lpstr>
      <vt:lpstr>ChangeJob_Start_NextPayPeriod2</vt:lpstr>
      <vt:lpstr>ChangeJob_Start_NextPayPeriod22</vt:lpstr>
      <vt:lpstr>ChangeJob_Start_Reason</vt:lpstr>
      <vt:lpstr>ChangeJob_Start_Reason2</vt:lpstr>
      <vt:lpstr>ChangeMyEmergencyContacts_PhoneDevice2</vt:lpstr>
      <vt:lpstr>ChangeMyEmergencyContacts_Relationship2</vt:lpstr>
      <vt:lpstr>ChangeMyGovernmentIDs_NationalIDs_NationalIDType12</vt:lpstr>
      <vt:lpstr>ChangeMyGovernmentIDs_NationalIDs_NationalIDType22</vt:lpstr>
      <vt:lpstr>ChangeMyPersonalInformation_MaritalStatus2</vt:lpstr>
      <vt:lpstr>ChangeOrganizationAssignments_DepartmentSection2</vt:lpstr>
      <vt:lpstr>ChangeOrganizationAssignments_Other_Organizations</vt:lpstr>
      <vt:lpstr>ChangeOrganizationAssignments_Other_Organizations2</vt:lpstr>
      <vt:lpstr>ContactInformation_Address_City</vt:lpstr>
      <vt:lpstr>ContactInformation_Address_Country</vt:lpstr>
      <vt:lpstr>ContactInformation_Address_EffectiveDate</vt:lpstr>
      <vt:lpstr>ContactInformation_Address_HouseNumber</vt:lpstr>
      <vt:lpstr>ContactInformation_Address_NameOfStreet</vt:lpstr>
      <vt:lpstr>ContactInformation_Address_PostalCode</vt:lpstr>
      <vt:lpstr>ContactInformation_Address_Province</vt:lpstr>
      <vt:lpstr>ContactInformation_Address_Province2</vt:lpstr>
      <vt:lpstr>Test_Data!ContactInformation_Address_Type</vt:lpstr>
      <vt:lpstr>ContactInformation_Address_Type</vt:lpstr>
      <vt:lpstr>ContactInformation_Address_Type2</vt:lpstr>
      <vt:lpstr>ContactInformation_Address_UseFor</vt:lpstr>
      <vt:lpstr>ContactInformation_Email_EmailAddress</vt:lpstr>
      <vt:lpstr>Test_Data!ContactInformation_Email_Type</vt:lpstr>
      <vt:lpstr>ContactInformation_Email_Type</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ContactInformation_Phone_PhoneDevice2</vt:lpstr>
      <vt:lpstr>ContactInformation_Phone_PhoneNumber</vt:lpstr>
      <vt:lpstr>Test_Data!ContactInformation_Phone_Type</vt:lpstr>
      <vt:lpstr>ContactInformation_Phone_Type</vt:lpstr>
      <vt:lpstr>ContactInformation_Phone_Type2</vt:lpstr>
      <vt:lpstr>ContractAddendumInfo_AddendumCreationDate</vt:lpstr>
      <vt:lpstr>ContractAddendumInfo_AddendumEndDate</vt:lpstr>
      <vt:lpstr>ContractAddendumInfo_TerminateAddendumEffectiveDate</vt:lpstr>
      <vt:lpstr>ContractAddendumInfo_TerminateAddendumEffectiveDate2</vt:lpstr>
      <vt:lpstr>Country</vt:lpstr>
      <vt:lpstr>Country2</vt:lpstr>
      <vt:lpstr>DefectDescription</vt:lpstr>
      <vt:lpstr>EditAdditionalData_EstadolIRPF2</vt:lpstr>
      <vt:lpstr>EditAdditionalData_HourlyRegime</vt:lpstr>
      <vt:lpstr>EditAdditionalData_MinusvaliaRH2</vt:lpstr>
      <vt:lpstr>EditAdditionalData_PayrollTaxDeduction</vt:lpstr>
      <vt:lpstr>Execution_Flag</vt:lpstr>
      <vt:lpstr>Execution_Status</vt:lpstr>
      <vt:lpstr>Test_Data!ExecutionFlag</vt:lpstr>
      <vt:lpstr>ExecutionFlag</vt:lpstr>
      <vt:lpstr>ExecutionFlag2</vt:lpstr>
      <vt:lpstr>HealthCareProvider_MealVoucher2</vt:lpstr>
      <vt:lpstr>JobDetails_AdditionalInformation_EndEmploymentDate2</vt:lpstr>
      <vt:lpstr>JobDetails_AdditionalInformation_WorkShift</vt:lpstr>
      <vt:lpstr>JobDetails_AdditionalInformation_WorkShift2</vt:lpstr>
      <vt:lpstr>Test_Data!JobDetails_EmployeeType</vt:lpstr>
      <vt:lpstr>JobDetails_EmployeeType</vt:lpstr>
      <vt:lpstr>JobDetails_EmployeeType2</vt:lpstr>
      <vt:lpstr>JobDetails_HireDate</vt:lpstr>
      <vt:lpstr>JobDetails_HireDate2</vt:lpstr>
      <vt:lpstr>Test_Data!JobDetails_JobProfile</vt:lpstr>
      <vt:lpstr>JobDetails_JobProfile</vt:lpstr>
      <vt:lpstr>JobDetails_JobProfile2</vt:lpstr>
      <vt:lpstr>JobDetails_Location2</vt:lpstr>
      <vt:lpstr>JobDetails_Position</vt:lpstr>
      <vt:lpstr>JobDetails_Position2</vt:lpstr>
      <vt:lpstr>Test_Data!JobDetails_Reason</vt:lpstr>
      <vt:lpstr>JobDetails_Reason</vt:lpstr>
      <vt:lpstr>JobDetails_Reason2</vt:lpstr>
      <vt:lpstr>Test_Data!JobDetails_TimeType</vt:lpstr>
      <vt:lpstr>JobDetails_TimeType</vt:lpstr>
      <vt:lpstr>JobDetails_TimeType2</vt:lpstr>
      <vt:lpstr>LastRunErrorMessage</vt:lpstr>
      <vt:lpstr>LastRunTimeandStatus</vt:lpstr>
      <vt:lpstr>LegalNameInformation_Country</vt:lpstr>
      <vt:lpstr>LegalNameInformation_Country2</vt:lpstr>
      <vt:lpstr>LegalNameInformation_GivenName</vt:lpstr>
      <vt:lpstr>LegalNameInformation_SecondLastName</vt:lpstr>
      <vt:lpstr>Login_Password</vt:lpstr>
      <vt:lpstr>Login_Username</vt:lpstr>
      <vt:lpstr>Login_Username2</vt:lpstr>
      <vt:lpstr>MaintainEmployeeContract_ContractEndDate</vt:lpstr>
      <vt:lpstr>MaintainEmployeeContract_ContractEndDate2</vt:lpstr>
      <vt:lpstr>MaintainEmployeeContract_ContractType</vt:lpstr>
      <vt:lpstr>MaintainEmployeeContract_ContractType2</vt:lpstr>
      <vt:lpstr>MaintainEmployeeContract_EndContractDate</vt:lpstr>
      <vt:lpstr>MaintainEmployeeContract_Reason</vt:lpstr>
      <vt:lpstr>MaintainEmployeeContract_Reason2</vt:lpstr>
      <vt:lpstr>MaintainEmployeeContract_Status</vt:lpstr>
      <vt:lpstr>MaintainEmployeeContract_Status2</vt:lpstr>
      <vt:lpstr>Order_BuyingOfficeZone</vt:lpstr>
      <vt:lpstr>Order_Department</vt:lpstr>
      <vt:lpstr>PaymentElectionOption_AccountType2</vt:lpstr>
      <vt:lpstr>PaymentElectionOption_AccountType22</vt:lpstr>
      <vt:lpstr>Please_select_a_Spanish_Pay_Group</vt:lpstr>
      <vt:lpstr>PO_No</vt:lpstr>
      <vt:lpstr>Poland</vt:lpstr>
      <vt:lpstr>Test_Data!Process</vt:lpstr>
      <vt:lpstr>Process</vt:lpstr>
      <vt:lpstr>Process2</vt:lpstr>
      <vt:lpstr>ProposeCompensationChange_Salary</vt:lpstr>
      <vt:lpstr>Test_Data!ProposeCompensationHire_GradeProfile</vt:lpstr>
      <vt:lpstr>ProposeCompensationHire_GradeProfile</vt:lpstr>
      <vt:lpstr>Test_Data!ProposeCompensationHire_GradeProfile2</vt:lpstr>
      <vt:lpstr>ProposeCompensationHire_GradeProfile2</vt:lpstr>
      <vt:lpstr>Test_Data!ProposeCompensationHire_Step</vt:lpstr>
      <vt:lpstr>ProposeCompensationHire_Step</vt:lpstr>
      <vt:lpstr>ProposeCompensationHire_Step2</vt:lpstr>
      <vt:lpstr>Proxy_EmployeeID</vt:lpstr>
      <vt:lpstr>Proxy_OnBehalfOf</vt:lpstr>
      <vt:lpstr>Proxy_OnBehalfOf2</vt:lpstr>
      <vt:lpstr>Proxy_ProxyNumber</vt:lpstr>
      <vt:lpstr>Proxy_ProxyNumber2</vt:lpstr>
      <vt:lpstr>QAComments</vt:lpstr>
      <vt:lpstr>SkillsAndExperience_AddEducation_School2</vt:lpstr>
      <vt:lpstr>SupervisoryOrganisation_SupervisoryOrganisation</vt:lpstr>
      <vt:lpstr>SupervisoryOrganisation_SupervisoryOrganisation2</vt:lpstr>
      <vt:lpstr>Test_1</vt:lpstr>
      <vt:lpstr>Test_10</vt:lpstr>
      <vt:lpstr>Test_13</vt:lpstr>
      <vt:lpstr>Test_14</vt:lpstr>
      <vt:lpstr>Test_16</vt:lpstr>
      <vt:lpstr>Test_17</vt:lpstr>
      <vt:lpstr>Test_2</vt:lpstr>
      <vt:lpstr>Test_3</vt:lpstr>
      <vt:lpstr>Test_4</vt:lpstr>
      <vt:lpstr>Test_5</vt:lpstr>
      <vt:lpstr>Test_6</vt:lpstr>
      <vt:lpstr>Test_7</vt:lpstr>
      <vt:lpstr>Test_8</vt:lpstr>
      <vt:lpstr>Test_9</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dcterms:created xsi:type="dcterms:W3CDTF">2018-11-23T13:00:49Z</dcterms:created>
  <dcterms:modified xsi:type="dcterms:W3CDTF">2025-05-21T17:20:37Z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0x01010073FE2B026CE99841A72239090BB8B94D</vt:lpwstr>
  </property>
  <property fmtid="{D5CDD505-2E9C-101B-9397-08002B2CF9AE}" pid="3" name="MediaServiceImageTags">
    <vt:lpwstr/>
  </property>
</Properties>
</file>