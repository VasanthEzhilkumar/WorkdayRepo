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FB5899E0-CCFE-4191-971C-0C73D1E885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Sheet1!$A$1:$CU$27</definedName>
    <definedName name="_xlnm._FilterDatabase">Sheet1!$A$1:$CU$27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3" i="1" l="1"/>
  <c r="AW23" i="1"/>
  <c r="AK23" i="1"/>
  <c r="AJ23" i="1"/>
  <c r="AY23" i="1" s="1"/>
  <c r="K23" i="1"/>
  <c r="CR22" i="1"/>
  <c r="AY22" i="1"/>
  <c r="AX22" i="1"/>
  <c r="AW22" i="1"/>
  <c r="AU22" i="1"/>
  <c r="AK22" i="1"/>
  <c r="K22" i="1"/>
  <c r="AY21" i="1"/>
  <c r="AX21" i="1"/>
  <c r="AW21" i="1"/>
  <c r="AU21" i="1"/>
  <c r="AK21" i="1"/>
  <c r="K21" i="1"/>
  <c r="AX20" i="1"/>
  <c r="AW20" i="1"/>
  <c r="AK20" i="1"/>
  <c r="AJ20" i="1"/>
  <c r="AY20" i="1" s="1"/>
  <c r="K20" i="1"/>
  <c r="CR19" i="1"/>
  <c r="AX19" i="1"/>
  <c r="AW19" i="1"/>
  <c r="AK19" i="1"/>
  <c r="AJ19" i="1"/>
  <c r="AY19" i="1" s="1"/>
  <c r="K19" i="1"/>
  <c r="AY18" i="1"/>
  <c r="AX18" i="1"/>
  <c r="AW18" i="1"/>
  <c r="AU18" i="1"/>
  <c r="AK18" i="1"/>
  <c r="K18" i="1"/>
  <c r="AY17" i="1"/>
  <c r="AX17" i="1"/>
  <c r="AW17" i="1"/>
  <c r="AU17" i="1"/>
  <c r="AK17" i="1"/>
  <c r="K17" i="1"/>
  <c r="AX16" i="1"/>
  <c r="AW16" i="1"/>
  <c r="AK16" i="1"/>
  <c r="AJ16" i="1"/>
  <c r="AY16" i="1" s="1"/>
  <c r="K16" i="1"/>
  <c r="AY15" i="1"/>
  <c r="AX15" i="1"/>
  <c r="AW15" i="1"/>
  <c r="AU15" i="1"/>
  <c r="AK15" i="1"/>
  <c r="K15" i="1"/>
  <c r="CR14" i="1"/>
  <c r="AY14" i="1"/>
  <c r="AX14" i="1"/>
  <c r="AW14" i="1"/>
  <c r="AU14" i="1"/>
  <c r="AK14" i="1"/>
  <c r="K14" i="1"/>
  <c r="AX13" i="1"/>
  <c r="AW13" i="1"/>
  <c r="AK13" i="1"/>
  <c r="AJ13" i="1"/>
  <c r="AY13" i="1" s="1"/>
  <c r="K13" i="1"/>
  <c r="CR12" i="1"/>
  <c r="AX12" i="1"/>
  <c r="AW12" i="1"/>
  <c r="AK12" i="1"/>
  <c r="AJ12" i="1"/>
  <c r="AY12" i="1" s="1"/>
  <c r="K12" i="1"/>
  <c r="AY11" i="1"/>
  <c r="AX11" i="1"/>
  <c r="AW11" i="1"/>
  <c r="AU11" i="1"/>
  <c r="AK11" i="1"/>
  <c r="K11" i="1"/>
  <c r="AX10" i="1"/>
  <c r="AW10" i="1"/>
  <c r="AU10" i="1"/>
  <c r="AK10" i="1"/>
  <c r="AJ10" i="1"/>
  <c r="AY10" i="1" s="1"/>
  <c r="K10" i="1"/>
  <c r="AX9" i="1"/>
  <c r="AW9" i="1"/>
  <c r="AU9" i="1"/>
  <c r="AK9" i="1"/>
  <c r="AJ9" i="1"/>
  <c r="AY9" i="1" s="1"/>
  <c r="K9" i="1"/>
  <c r="AX8" i="1"/>
  <c r="AW8" i="1"/>
  <c r="AU8" i="1"/>
  <c r="AK8" i="1"/>
  <c r="AJ8" i="1"/>
  <c r="AY8" i="1" s="1"/>
  <c r="K8" i="1"/>
  <c r="CR7" i="1"/>
  <c r="AY7" i="1"/>
  <c r="AX7" i="1"/>
  <c r="AW7" i="1"/>
  <c r="AU7" i="1"/>
  <c r="AK7" i="1"/>
  <c r="K7" i="1"/>
  <c r="AY6" i="1"/>
  <c r="AX6" i="1"/>
  <c r="AW6" i="1"/>
  <c r="AU6" i="1"/>
  <c r="AK6" i="1"/>
  <c r="K6" i="1"/>
  <c r="CR5" i="1"/>
  <c r="AY5" i="1"/>
  <c r="AX5" i="1"/>
  <c r="AW5" i="1"/>
  <c r="AU5" i="1"/>
  <c r="AK5" i="1"/>
  <c r="K5" i="1"/>
  <c r="CR4" i="1"/>
  <c r="AY4" i="1"/>
  <c r="AX4" i="1"/>
  <c r="AW4" i="1"/>
  <c r="AU4" i="1"/>
  <c r="AK4" i="1"/>
  <c r="K4" i="1"/>
  <c r="AY3" i="1"/>
  <c r="AX3" i="1"/>
  <c r="AW3" i="1"/>
  <c r="AU3" i="1"/>
  <c r="AK3" i="1"/>
  <c r="K3" i="1"/>
  <c r="CR2" i="1"/>
  <c r="AX2" i="1"/>
  <c r="AW2" i="1"/>
  <c r="AK2" i="1"/>
  <c r="AJ2" i="1"/>
  <c r="AY2" i="1" s="1"/>
  <c r="K2" i="1"/>
</calcChain>
</file>

<file path=xl/sharedStrings.xml><?xml version="1.0" encoding="utf-8"?>
<sst xmlns="http://schemas.openxmlformats.org/spreadsheetml/2006/main" count="2492" uniqueCount="514">
  <si>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</si>
  <si>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</si>
  <si>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</si>
  <si>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</si>
  <si>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</si>
  <si>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</si>
  <si>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</si>
  <si>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</si>
  <si>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</si>
  <si>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</si>
  <si>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</si>
  <si>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</si>
  <si>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</si>
  <si>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</si>
  <si>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</si>
  <si>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</si>
  <si>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</si>
  <si>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</si>
  <si>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</si>
  <si>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</si>
  <si>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</si>
  <si>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</si>
  <si>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</si>
  <si>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</si>
  <si>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</si>
  <si>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</si>
  <si>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</si>
  <si>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</si>
  <si>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</si>
  <si>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</si>
  <si>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</si>
  <si>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</si>
  <si>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</si>
  <si>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</si>
  <si>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</si>
  <si>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</si>
  <si>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</si>
  <si>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</si>
  <si>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</si>
  <si>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</si>
  <si>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</si>
  <si>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</si>
  <si>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</si>
  <si>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</si>
  <si>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</si>
  <si>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</si>
  <si>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</si>
  <si>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</si>
  <si>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</si>
  <si>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</si>
  <si>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</si>
  <si>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</si>
  <si>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</si>
  <si>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</si>
  <si>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</si>
  <si>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</si>
  <si>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</si>
  <si>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</si>
  <si>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</si>
  <si>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</si>
  <si>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</si>
  <si>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</si>
  <si>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</si>
  <si>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</si>
  <si>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</si>
  <si>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</si>
  <si>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</si>
  <si>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</si>
  <si>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</si>
  <si>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</si>
  <si>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</si>
  <si>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</si>
  <si>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</si>
  <si>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</si>
  <si>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</si>
  <si>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</si>
  <si>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</si>
  <si>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</si>
  <si>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</si>
  <si>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</si>
  <si>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</si>
  <si>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</si>
  <si>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</si>
  <si>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</si>
  <si>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</si>
  <si>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</si>
  <si>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</si>
  <si>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</si>
  <si>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</si>
  <si>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</si>
  <si>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</si>
  <si>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</si>
  <si>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</si>
  <si>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</si>
  <si>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970 Recruitment (Hungary PCManager (10698631))</t>
  </si>
  <si>
    <t>Hungary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</si>
  <si>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</si>
  <si>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</si>
  <si>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</si>
  <si>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</si>
  <si>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</si>
  <si>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</si>
  <si>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</si>
  <si>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</si>
  <si>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</si>
  <si>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</si>
  <si>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</si>
  <si>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</si>
  <si>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</si>
  <si>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</si>
  <si>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Fixed Term (Fixed Term)</t>
  </si>
  <si>
    <t>Retail Assistant_NEW</t>
  </si>
  <si>
    <t>Part Time</t>
  </si>
  <si>
    <t>IRREGULAR - Irregular Shift Pattern (Hungary Regular &amp; Irregular Shift Pattern-Hungary)</t>
  </si>
  <si>
    <t>5 Days</t>
  </si>
  <si>
    <t>Automation Comments here….</t>
  </si>
  <si>
    <t>94 Retail Operatives </t>
  </si>
  <si>
    <t>16 Men’s Accessories</t>
  </si>
  <si>
    <t>HU Monthly</t>
  </si>
  <si>
    <t>Yes</t>
  </si>
  <si>
    <t>No</t>
  </si>
  <si>
    <t xml:space="preserve">Defaulted
</t>
  </si>
  <si>
    <t>Fixed Term</t>
  </si>
  <si>
    <t>Active</t>
  </si>
  <si>
    <t>Social Security (TAJ) Number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</si>
  <si>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</si>
  <si>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</si>
  <si>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</si>
  <si>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</si>
  <si>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</si>
  <si>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</si>
  <si>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</si>
  <si>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</si>
  <si>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</si>
  <si>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</si>
  <si>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</si>
  <si>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</si>
  <si>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</si>
  <si>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</si>
  <si>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</si>
  <si>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</si>
  <si>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</si>
  <si>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</si>
  <si>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</si>
  <si>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</si>
  <si>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</si>
  <si>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B</t>
  </si>
  <si>
    <t>F</t>
  </si>
  <si>
    <t>635696251</t>
  </si>
  <si>
    <t>Female</t>
  </si>
  <si>
    <t>0000000098624423</t>
  </si>
  <si>
    <t>AutoMaiden</t>
  </si>
  <si>
    <t>Child</t>
  </si>
  <si>
    <t>ChildOne</t>
  </si>
  <si>
    <t>Mammy</t>
  </si>
  <si>
    <t>05 Children's Wear</t>
  </si>
  <si>
    <t>635696252</t>
  </si>
  <si>
    <t>REGULAR - Regular Shift Pattern (Hungary Regular &amp; Irregular Shift Pattern-Hungary)</t>
  </si>
  <si>
    <t>635696253</t>
  </si>
  <si>
    <t>HUSITRerun</t>
  </si>
  <si>
    <t>02 Hosiery</t>
  </si>
  <si>
    <t>635696356</t>
  </si>
  <si>
    <t>Retail Assistant Stockroom_NEW</t>
  </si>
  <si>
    <t>255 Stockroom</t>
  </si>
  <si>
    <t>HUSITStockRerun</t>
  </si>
  <si>
    <t>Test_16</t>
  </si>
  <si>
    <t>635696265</t>
  </si>
  <si>
    <t>Permanent</t>
  </si>
  <si>
    <t>Test_25</t>
  </si>
  <si>
    <t>HUSITVMone</t>
  </si>
  <si>
    <t>Visual Merchandiser_NEW</t>
  </si>
  <si>
    <t>256 Visual Merchandising</t>
  </si>
  <si>
    <t>Test_26</t>
  </si>
  <si>
    <t>635696276</t>
  </si>
  <si>
    <t>Test_28</t>
  </si>
  <si>
    <t>970 Store Management (Hungary StoreMgr (10698630))</t>
  </si>
  <si>
    <t>Full Time</t>
  </si>
  <si>
    <t>92 Retail Management </t>
  </si>
  <si>
    <t>251 Management Retail</t>
  </si>
  <si>
    <t>HUSITASMOne</t>
  </si>
  <si>
    <t>Test_37</t>
  </si>
  <si>
    <t>Auto 42118317</t>
  </si>
  <si>
    <t>In-Store P&amp;C Manager_NEW</t>
  </si>
  <si>
    <t>Department Manager_NEW</t>
  </si>
  <si>
    <t>Test_40</t>
  </si>
  <si>
    <t>HUSITDMone</t>
  </si>
  <si>
    <t>Auto 76856452</t>
  </si>
  <si>
    <t>HUSITMnrONe</t>
  </si>
  <si>
    <t>Test_47</t>
  </si>
  <si>
    <t>Test_48</t>
  </si>
  <si>
    <t>Test_50</t>
  </si>
  <si>
    <t>Test_54</t>
  </si>
  <si>
    <t>HUSITNew</t>
  </si>
  <si>
    <t>Test_57</t>
  </si>
  <si>
    <t>Test_58</t>
  </si>
  <si>
    <t>Test_59</t>
  </si>
  <si>
    <t>Test_60</t>
  </si>
  <si>
    <t>Test_61</t>
  </si>
  <si>
    <t>Test_62</t>
  </si>
  <si>
    <t>635696255</t>
  </si>
  <si>
    <t>Test_63</t>
  </si>
  <si>
    <t>Test_64</t>
  </si>
  <si>
    <t>Test_65</t>
  </si>
  <si>
    <t>Test_66</t>
  </si>
  <si>
    <t>Test_67</t>
  </si>
  <si>
    <t>Test_68</t>
  </si>
  <si>
    <t>Test_69</t>
  </si>
  <si>
    <t>635696355</t>
  </si>
  <si>
    <t>Test_72</t>
  </si>
  <si>
    <t>635696285</t>
  </si>
  <si>
    <t>Test_73</t>
  </si>
  <si>
    <t>635696291</t>
  </si>
  <si>
    <t>Test_74</t>
  </si>
  <si>
    <t>Test_75</t>
  </si>
  <si>
    <t>Test_76</t>
  </si>
  <si>
    <t>HUSITRASixAa</t>
  </si>
  <si>
    <t>HUSITRAFiveBa</t>
  </si>
  <si>
    <t>HUSITRASixBa</t>
  </si>
  <si>
    <t>HUSITRAEightBa</t>
  </si>
  <si>
    <t>HUSITSevenCa</t>
  </si>
  <si>
    <t>HUSITTenCa</t>
  </si>
  <si>
    <t>HUSITRASevenDa</t>
  </si>
  <si>
    <t>HUSITRAEightDa</t>
  </si>
  <si>
    <t>HUSITRATenDa</t>
  </si>
  <si>
    <t>HUSITVMFourEa</t>
  </si>
  <si>
    <t>HUSITRASevenEa</t>
  </si>
  <si>
    <t>HUSITRAEightEa</t>
  </si>
  <si>
    <t>HUSITRANineEa</t>
  </si>
  <si>
    <t>HUSITRATenEa</t>
  </si>
  <si>
    <t>HUSITRAOneFa</t>
  </si>
  <si>
    <t>HUSITRATwoFa</t>
  </si>
  <si>
    <t>HUSITRAThreeFa</t>
  </si>
  <si>
    <t>HUSITRAFourFa</t>
  </si>
  <si>
    <t>HUSITRAFiveFa</t>
  </si>
  <si>
    <t>HUSITRASixFa</t>
  </si>
  <si>
    <t>HUSITRSevenFa</t>
  </si>
  <si>
    <t>HUSITREightFa</t>
  </si>
  <si>
    <t>HUSITRNineFa</t>
  </si>
  <si>
    <t>HUSITRFourGa</t>
  </si>
  <si>
    <t>HUSITRFiveGa</t>
  </si>
  <si>
    <t>HUSITRSixGa</t>
  </si>
  <si>
    <t>635696233</t>
  </si>
  <si>
    <t>635696333</t>
  </si>
  <si>
    <t>635696234</t>
  </si>
  <si>
    <t>635696235</t>
  </si>
  <si>
    <t>635696236</t>
  </si>
  <si>
    <t>635696237</t>
  </si>
  <si>
    <t>635696238</t>
  </si>
  <si>
    <t>635696239</t>
  </si>
  <si>
    <t>635696240</t>
  </si>
  <si>
    <t>635696241</t>
  </si>
  <si>
    <t>635696242</t>
  </si>
  <si>
    <t>635696243</t>
  </si>
  <si>
    <t>635696244</t>
  </si>
  <si>
    <t>635696245</t>
  </si>
  <si>
    <t>635696246</t>
  </si>
  <si>
    <t>635696247</t>
  </si>
  <si>
    <t>635696248</t>
  </si>
  <si>
    <t>635696249</t>
  </si>
  <si>
    <t>635696250</t>
  </si>
  <si>
    <t>635696254</t>
  </si>
  <si>
    <t>635696256</t>
  </si>
  <si>
    <t>635696257</t>
  </si>
  <si>
    <t>635696258</t>
  </si>
  <si>
    <t>635696259</t>
  </si>
  <si>
    <t>635696260</t>
  </si>
  <si>
    <t>635696261</t>
  </si>
  <si>
    <t>635696262</t>
  </si>
  <si>
    <t>635696263</t>
  </si>
  <si>
    <t>635696264</t>
  </si>
  <si>
    <t>635696266</t>
  </si>
  <si>
    <t>635696267</t>
  </si>
  <si>
    <t>635696268</t>
  </si>
  <si>
    <t>635696269</t>
  </si>
  <si>
    <t>635696270</t>
  </si>
  <si>
    <t>635696271</t>
  </si>
  <si>
    <t>635696272</t>
  </si>
  <si>
    <t>635696273</t>
  </si>
  <si>
    <t>635696274</t>
  </si>
  <si>
    <t>635696275</t>
  </si>
  <si>
    <t>635696277</t>
  </si>
  <si>
    <t>635696278</t>
  </si>
  <si>
    <t>635696279</t>
  </si>
  <si>
    <t>635696280</t>
  </si>
  <si>
    <t>635696281</t>
  </si>
  <si>
    <t>635696282</t>
  </si>
  <si>
    <t>635696283</t>
  </si>
  <si>
    <t>635696284</t>
  </si>
  <si>
    <t>635696286</t>
  </si>
  <si>
    <t>635696287</t>
  </si>
  <si>
    <t>635696288</t>
  </si>
  <si>
    <t>635696289</t>
  </si>
  <si>
    <t>635696290</t>
  </si>
  <si>
    <t>635696292</t>
  </si>
  <si>
    <t>635696293</t>
  </si>
  <si>
    <t>635696294</t>
  </si>
  <si>
    <t>635696295</t>
  </si>
  <si>
    <t>635696296</t>
  </si>
  <si>
    <t>635696297</t>
  </si>
  <si>
    <t>635696298</t>
  </si>
  <si>
    <t>635696299</t>
  </si>
  <si>
    <t>635696300</t>
  </si>
  <si>
    <t>635696301</t>
  </si>
  <si>
    <t>635696302</t>
  </si>
  <si>
    <t>635696303</t>
  </si>
  <si>
    <t>635696304</t>
  </si>
  <si>
    <t>635696305</t>
  </si>
  <si>
    <t>635696306</t>
  </si>
  <si>
    <t>635696307</t>
  </si>
  <si>
    <t>635696308</t>
  </si>
  <si>
    <t>635696309</t>
  </si>
  <si>
    <t>635696310</t>
  </si>
  <si>
    <t>635696311</t>
  </si>
  <si>
    <t>635696312</t>
  </si>
  <si>
    <t>635696313</t>
  </si>
  <si>
    <t>635696314</t>
  </si>
  <si>
    <t>635696315</t>
  </si>
  <si>
    <t>635696316</t>
  </si>
  <si>
    <t>635696317</t>
  </si>
  <si>
    <t>635696318</t>
  </si>
  <si>
    <t>635696319</t>
  </si>
  <si>
    <t>635696320</t>
  </si>
  <si>
    <t>635696321</t>
  </si>
  <si>
    <t>635696322</t>
  </si>
  <si>
    <t>635696323</t>
  </si>
  <si>
    <t>635696324</t>
  </si>
  <si>
    <t>635696325</t>
  </si>
  <si>
    <t>635696326</t>
  </si>
  <si>
    <t>635696327</t>
  </si>
  <si>
    <t>635696328</t>
  </si>
  <si>
    <t>635696329</t>
  </si>
  <si>
    <t>635696330</t>
  </si>
  <si>
    <t>635696331</t>
  </si>
  <si>
    <t>635696332</t>
  </si>
  <si>
    <t>635696334</t>
  </si>
  <si>
    <t>635696335</t>
  </si>
  <si>
    <t>635696336</t>
  </si>
  <si>
    <t>635696337</t>
  </si>
  <si>
    <t>635696338</t>
  </si>
  <si>
    <t>635696339</t>
  </si>
  <si>
    <t>635696340</t>
  </si>
  <si>
    <t>635696341</t>
  </si>
  <si>
    <t>635696342</t>
  </si>
  <si>
    <t>635696343</t>
  </si>
  <si>
    <t>635696344</t>
  </si>
  <si>
    <t>635696345</t>
  </si>
  <si>
    <t>635696346</t>
  </si>
  <si>
    <t>635696347</t>
  </si>
  <si>
    <t>635696348</t>
  </si>
  <si>
    <t>635696349</t>
  </si>
  <si>
    <t>635696350</t>
  </si>
  <si>
    <t>635696351</t>
  </si>
  <si>
    <t>635696352</t>
  </si>
  <si>
    <t>635696353</t>
  </si>
  <si>
    <t>635696354</t>
  </si>
  <si>
    <t>635696357</t>
  </si>
  <si>
    <t>635696358</t>
  </si>
  <si>
    <t>635696359</t>
  </si>
  <si>
    <t>635696360</t>
  </si>
  <si>
    <t>635696361</t>
  </si>
  <si>
    <t>635696362</t>
  </si>
  <si>
    <t>635696363</t>
  </si>
  <si>
    <t>635696364</t>
  </si>
  <si>
    <t>635696365</t>
  </si>
  <si>
    <t>635696366</t>
  </si>
  <si>
    <t>635696367</t>
  </si>
  <si>
    <t>635696368</t>
  </si>
  <si>
    <t>635696369</t>
  </si>
  <si>
    <t>635696370</t>
  </si>
  <si>
    <t>635696371</t>
  </si>
  <si>
    <t>635696372</t>
  </si>
  <si>
    <t>635696373</t>
  </si>
  <si>
    <t>635696374</t>
  </si>
  <si>
    <t>635696375</t>
  </si>
  <si>
    <t>635696376</t>
  </si>
  <si>
    <t>635696377</t>
  </si>
  <si>
    <t>635696378</t>
  </si>
  <si>
    <t>635696379</t>
  </si>
  <si>
    <t>635696380</t>
  </si>
  <si>
    <t>635696381</t>
  </si>
  <si>
    <t>635696382</t>
  </si>
  <si>
    <t>635696383</t>
  </si>
  <si>
    <t>635696384</t>
  </si>
  <si>
    <t>635696385</t>
  </si>
  <si>
    <t>635696386</t>
  </si>
  <si>
    <t>635696387</t>
  </si>
  <si>
    <t>635696388</t>
  </si>
  <si>
    <t>635696389</t>
  </si>
  <si>
    <t>635696390</t>
  </si>
  <si>
    <t>635696391</t>
  </si>
  <si>
    <t>635696392</t>
  </si>
  <si>
    <t>635696393</t>
  </si>
  <si>
    <t>635696394</t>
  </si>
  <si>
    <t>635696395</t>
  </si>
  <si>
    <t>635696396</t>
  </si>
  <si>
    <t>635696397</t>
  </si>
  <si>
    <t>635696398</t>
  </si>
  <si>
    <t>635696399</t>
  </si>
  <si>
    <t>635696400</t>
  </si>
  <si>
    <t>635696401</t>
  </si>
  <si>
    <t>635696402</t>
  </si>
  <si>
    <t>635696403</t>
  </si>
  <si>
    <t>635696404</t>
  </si>
  <si>
    <t>635696405</t>
  </si>
  <si>
    <t>635696406</t>
  </si>
  <si>
    <t>635696407</t>
  </si>
  <si>
    <t>635696408</t>
  </si>
  <si>
    <t>635696409</t>
  </si>
  <si>
    <t>635696410</t>
  </si>
  <si>
    <t>635696411</t>
  </si>
  <si>
    <t>635696412</t>
  </si>
  <si>
    <t>635696413</t>
  </si>
  <si>
    <t>635696414</t>
  </si>
  <si>
    <t>635696415</t>
  </si>
  <si>
    <t>635696416</t>
  </si>
  <si>
    <t>635696417</t>
  </si>
  <si>
    <t>635696418</t>
  </si>
  <si>
    <t>635696419</t>
  </si>
  <si>
    <t>635696420</t>
  </si>
  <si>
    <t>635696421</t>
  </si>
  <si>
    <t>635696422</t>
  </si>
  <si>
    <t>635696423</t>
  </si>
  <si>
    <t>635696424</t>
  </si>
  <si>
    <t>635696425</t>
  </si>
  <si>
    <t>635696426</t>
  </si>
  <si>
    <t>635696427</t>
  </si>
  <si>
    <t>635696428</t>
  </si>
  <si>
    <t>635696429</t>
  </si>
  <si>
    <t>635696430</t>
  </si>
  <si>
    <t>635696431</t>
  </si>
  <si>
    <t>635696432</t>
  </si>
  <si>
    <t>635696433</t>
  </si>
  <si>
    <t>635696434</t>
  </si>
  <si>
    <t>635696435</t>
  </si>
  <si>
    <t>635696436</t>
  </si>
  <si>
    <t>635696437</t>
  </si>
  <si>
    <t>635696438</t>
  </si>
  <si>
    <t>635696439</t>
  </si>
  <si>
    <t>635696440</t>
  </si>
  <si>
    <t>635696441</t>
  </si>
  <si>
    <t>635696442</t>
  </si>
  <si>
    <t>635696443</t>
  </si>
  <si>
    <t>635696444</t>
  </si>
  <si>
    <t>635696445</t>
  </si>
  <si>
    <t>635696446</t>
  </si>
  <si>
    <t>635696447</t>
  </si>
  <si>
    <t>635696448</t>
  </si>
  <si>
    <t>635696449</t>
  </si>
  <si>
    <t>635696450</t>
  </si>
  <si>
    <t>635696451</t>
  </si>
  <si>
    <t>635696452</t>
  </si>
  <si>
    <t>635696453</t>
  </si>
  <si>
    <t>635696454</t>
  </si>
  <si>
    <t>635696455</t>
  </si>
  <si>
    <t>635696456</t>
  </si>
  <si>
    <t>635696457</t>
  </si>
  <si>
    <t>635696458</t>
  </si>
  <si>
    <t>635696459</t>
  </si>
  <si>
    <t>635696460</t>
  </si>
  <si>
    <t>635696461</t>
  </si>
  <si>
    <t>635696462</t>
  </si>
  <si>
    <t>635696463</t>
  </si>
  <si>
    <t>635696464</t>
  </si>
  <si>
    <t>635696465</t>
  </si>
  <si>
    <t>635696466</t>
  </si>
  <si>
    <t>635696467</t>
  </si>
  <si>
    <t>635696468</t>
  </si>
  <si>
    <t>635696469</t>
  </si>
  <si>
    <t>635696470</t>
  </si>
  <si>
    <t>635696471</t>
  </si>
  <si>
    <t>635696472</t>
  </si>
  <si>
    <t>635696473</t>
  </si>
  <si>
    <t>635696474</t>
  </si>
  <si>
    <t>635696475</t>
  </si>
  <si>
    <t>635696476</t>
  </si>
  <si>
    <t>635696477</t>
  </si>
  <si>
    <t>635696478</t>
  </si>
  <si>
    <t>635696479</t>
  </si>
  <si>
    <t>635696480</t>
  </si>
  <si>
    <t>635696481</t>
  </si>
  <si>
    <t>635696482</t>
  </si>
  <si>
    <t>635696483</t>
  </si>
  <si>
    <t>635696484</t>
  </si>
  <si>
    <t>635696485</t>
  </si>
  <si>
    <t>635696486</t>
  </si>
  <si>
    <t>635696487</t>
  </si>
  <si>
    <t>635696488</t>
  </si>
  <si>
    <t>635696489</t>
  </si>
  <si>
    <t>635696490</t>
  </si>
  <si>
    <t>635696491</t>
  </si>
  <si>
    <t>635696492</t>
  </si>
  <si>
    <t>635696493</t>
  </si>
  <si>
    <t>635696494</t>
  </si>
  <si>
    <t>635696495</t>
  </si>
  <si>
    <t>635696496</t>
  </si>
  <si>
    <t>635696497</t>
  </si>
  <si>
    <t>635696498</t>
  </si>
  <si>
    <t>635696499</t>
  </si>
  <si>
    <t>635696500</t>
  </si>
  <si>
    <t>635696501</t>
  </si>
  <si>
    <t>635696502</t>
  </si>
  <si>
    <t>635696503</t>
  </si>
  <si>
    <t>635696504</t>
  </si>
  <si>
    <t>635696505</t>
  </si>
  <si>
    <t>635696506</t>
  </si>
  <si>
    <t>635696507</t>
  </si>
  <si>
    <t>635696508</t>
  </si>
  <si>
    <t>635696509</t>
  </si>
  <si>
    <t>635696510</t>
  </si>
  <si>
    <t>635696511</t>
  </si>
  <si>
    <t>635696512</t>
  </si>
  <si>
    <t>635696513</t>
  </si>
  <si>
    <t>635696514</t>
  </si>
  <si>
    <t>635696515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</si>
</sst>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3" fillId="6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3" fillId="2" borderId="1" xfId="0" applyFont="1" applyFill="1" applyBorder="1" applyAlignment="1" applyProtection="1">
      <alignment horizontal="left"/>
      <protection locked="0"/>
    </xf>
    <xf numFmtId="14" fontId="2" fillId="0" borderId="1" xfId="0" applyNumberFormat="1" applyFont="1" applyBorder="1" applyAlignment="1">
      <alignment horizontal="left"/>
    </xf>
    <xf numFmtId="0" fontId="3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Protection="1">
      <protection locked="0"/>
    </xf>
    <xf numFmtId="14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5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5" fillId="0" borderId="1" xfId="0" applyFont="1" applyBorder="1"/>
    <xf numFmtId="14" fontId="1" fillId="2" borderId="1" xfId="0" applyNumberFormat="1" applyFont="1" applyFill="1" applyBorder="1"/>
    <xf numFmtId="14" fontId="2" fillId="2" borderId="1" xfId="0" applyNumberFormat="1" applyFont="1" applyFill="1" applyBorder="1"/>
    <xf numFmtId="49" fontId="5" fillId="0" borderId="1" xfId="0" applyNumberFormat="1" applyFont="1" applyBorder="1" applyAlignment="1">
      <alignment horizontal="right"/>
    </xf>
    <xf numFmtId="14" fontId="5" fillId="3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3" fillId="2" borderId="1" xfId="0" applyFont="1" applyFill="1" applyBorder="1"/>
    <xf numFmtId="15" fontId="3" fillId="2" borderId="1" xfId="0" applyNumberFormat="1" applyFont="1" applyFill="1" applyBorder="1"/>
    <xf numFmtId="49" fontId="3" fillId="2" borderId="1" xfId="0" applyNumberFormat="1" applyFont="1" applyFill="1" applyBorder="1" applyAlignment="1" applyProtection="1">
      <alignment horizontal="left"/>
      <protection locked="0"/>
    </xf>
    <xf numFmtId="1" fontId="3" fillId="2" borderId="1" xfId="0" applyNumberFormat="1" applyFont="1" applyFill="1" applyBorder="1" applyAlignment="1" applyProtection="1">
      <alignment horizontal="left"/>
      <protection locked="0"/>
    </xf>
    <xf numFmtId="14" fontId="3" fillId="3" borderId="1" xfId="0" applyNumberFormat="1" applyFont="1" applyFill="1" applyBorder="1" applyAlignment="1" applyProtection="1">
      <alignment horizontal="left" wrapText="1"/>
      <protection locked="0"/>
    </xf>
    <xf numFmtId="14" fontId="5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 applyProtection="1">
      <alignment horizontal="left"/>
      <protection locked="0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8" fillId="0" borderId="1" xfId="0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>
      <alignment horizontal="left" vertical="top"/>
    </xf>
    <xf numFmtId="0" fontId="0" fillId="0" borderId="1" xfId="0" applyBorder="1" applyAlignment="1" applyProtection="1">
      <alignment horizontal="left" vertical="top"/>
      <protection locked="0"/>
    </xf>
    <xf numFmtId="164" fontId="8" fillId="0" borderId="1" xfId="0" applyNumberFormat="1" applyFont="1" applyBorder="1" applyAlignment="1" applyProtection="1">
      <alignment horizontal="left" vertical="top"/>
      <protection locked="0"/>
    </xf>
    <xf numFmtId="14" fontId="8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 applyProtection="1">
      <alignment horizontal="left" vertical="top"/>
      <protection locked="0"/>
    </xf>
    <xf numFmtId="14" fontId="7" fillId="3" borderId="1" xfId="0" applyNumberFormat="1" applyFont="1" applyFill="1" applyBorder="1" applyAlignment="1">
      <alignment horizontal="left" vertical="top"/>
    </xf>
    <xf numFmtId="14" fontId="8" fillId="5" borderId="1" xfId="0" applyNumberFormat="1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10" fillId="3" borderId="1" xfId="0" applyNumberFormat="1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15" fontId="8" fillId="0" borderId="1" xfId="0" applyNumberFormat="1" applyFont="1" applyBorder="1" applyAlignment="1">
      <alignment horizontal="left" vertical="top"/>
    </xf>
    <xf numFmtId="49" fontId="8" fillId="0" borderId="1" xfId="0" applyNumberFormat="1" applyFont="1" applyBorder="1" applyAlignment="1" applyProtection="1">
      <alignment horizontal="left" vertical="top"/>
      <protection locked="0"/>
    </xf>
    <xf numFmtId="1" fontId="8" fillId="0" borderId="1" xfId="0" applyNumberFormat="1" applyFont="1" applyBorder="1" applyAlignment="1" applyProtection="1">
      <alignment horizontal="left" vertical="top"/>
      <protection locked="0"/>
    </xf>
    <xf numFmtId="14" fontId="8" fillId="3" borderId="1" xfId="0" applyNumberFormat="1" applyFont="1" applyFill="1" applyBorder="1" applyAlignment="1" applyProtection="1">
      <alignment horizontal="left" vertical="top" wrapText="1"/>
      <protection locked="0"/>
    </xf>
    <xf numFmtId="1" fontId="8" fillId="3" borderId="1" xfId="0" applyNumberFormat="1" applyFont="1" applyFill="1" applyBorder="1" applyAlignment="1" applyProtection="1">
      <alignment horizontal="left" vertical="top"/>
      <protection locked="0"/>
    </xf>
    <xf numFmtId="0" fontId="10" fillId="7" borderId="1" xfId="0" applyFont="1" applyFill="1" applyBorder="1" applyAlignment="1">
      <alignment horizontal="left" vertical="top"/>
    </xf>
    <xf numFmtId="49" fontId="10" fillId="7" borderId="1" xfId="0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49" fontId="10" fillId="0" borderId="1" xfId="0" applyNumberFormat="1" applyFont="1" applyBorder="1" applyAlignment="1">
      <alignment horizontal="left" vertical="top"/>
    </xf>
    <xf numFmtId="0" fontId="0" fillId="3" borderId="0" xfId="0" applyFill="1"/>
    <xf numFmtId="0" fontId="12" fillId="0" borderId="1" xfId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18" Type="http://schemas.openxmlformats.org/officeDocument/2006/relationships/hyperlink" Target="mailto:automation@qe.com" TargetMode="External"/><Relationship Id="rId26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21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7" Type="http://schemas.openxmlformats.org/officeDocument/2006/relationships/hyperlink" Target="mailto:automation@qe.com" TargetMode="External"/><Relationship Id="rId25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6" Type="http://schemas.openxmlformats.org/officeDocument/2006/relationships/hyperlink" Target="mailto:automation@qe.com" TargetMode="External"/><Relationship Id="rId20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24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23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19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Relationship Id="rId22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7"/>
  <sheetViews>
    <sheetView tabSelected="1" zoomScale="90" zoomScaleNormal="90" workbookViewId="0">
      <selection activeCell="C7" sqref="C7"/>
    </sheetView>
  </sheetViews>
  <sheetFormatPr defaultColWidth="8.7109375" defaultRowHeight="14.45" customHeight="1" x14ac:dyDescent="0.25"/>
  <cols>
    <col min="1" max="1" width="11.7109375" customWidth="1"/>
    <col min="2" max="2" width="20.140625" customWidth="1"/>
    <col min="3" max="3" width="10.42578125" customWidth="1"/>
    <col min="4" max="4" width="21.28515625" customWidth="1"/>
    <col min="5" max="5" width="28.85546875" customWidth="1"/>
    <col min="6" max="6" width="15" customWidth="1"/>
    <col min="7" max="7" width="12.140625" customWidth="1"/>
    <col min="8" max="8" width="13.85546875" customWidth="1"/>
    <col min="9" max="10" width="8.7109375" customWidth="1"/>
    <col min="11" max="11" width="21.5703125" customWidth="1"/>
    <col min="12" max="12" width="8.7109375" customWidth="1"/>
    <col min="13" max="17" width="26.7109375" customWidth="1"/>
    <col min="18" max="24" width="8.7109375" customWidth="1"/>
    <col min="25" max="25" width="23.28515625" customWidth="1"/>
    <col min="26" max="26" width="11.42578125" customWidth="1"/>
    <col min="27" max="27" width="13.85546875" customWidth="1"/>
    <col min="28" max="28" width="20.5703125" customWidth="1"/>
    <col min="29" max="29" width="30.85546875" style="63" customWidth="1"/>
    <col min="30" max="30" width="19.5703125" style="63" customWidth="1"/>
    <col min="31" max="31" width="8.7109375" customWidth="1"/>
    <col min="32" max="32" width="18" customWidth="1"/>
    <col min="33" max="33" width="8.7109375" style="63"/>
    <col min="34" max="34" width="75.42578125" style="63" customWidth="1"/>
    <col min="35" max="35" width="13.140625" style="63" customWidth="1"/>
    <col min="36" max="36" width="19.140625" style="63" customWidth="1"/>
    <col min="37" max="37" width="28" customWidth="1"/>
    <col min="38" max="38" width="26.42578125" customWidth="1"/>
    <col min="39" max="39" width="19.85546875" style="63" customWidth="1"/>
    <col min="40" max="40" width="31.7109375" style="63" customWidth="1"/>
    <col min="41" max="41" width="26.42578125" customWidth="1"/>
    <col min="42" max="42" width="8.7109375" customWidth="1"/>
    <col min="43" max="43" width="12.140625" customWidth="1"/>
    <col min="44" max="44" width="7.85546875" customWidth="1"/>
    <col min="45" max="45" width="7.5703125" customWidth="1"/>
    <col min="46" max="46" width="10.140625" customWidth="1"/>
    <col min="47" max="47" width="21.140625" customWidth="1"/>
    <col min="48" max="48" width="6.140625" customWidth="1"/>
    <col min="49" max="49" width="18.85546875" customWidth="1"/>
    <col min="50" max="50" width="18.5703125" customWidth="1"/>
    <col min="51" max="51" width="13.85546875" customWidth="1"/>
    <col min="52" max="52" width="15.140625" customWidth="1"/>
    <col min="53" max="53" width="24.85546875" customWidth="1"/>
    <col min="54" max="54" width="22.140625" customWidth="1"/>
    <col min="55" max="55" width="11.140625" customWidth="1"/>
    <col min="56" max="56" width="14.5703125" customWidth="1"/>
    <col min="57" max="57" width="8.7109375" customWidth="1"/>
    <col min="58" max="58" width="14.85546875" customWidth="1"/>
    <col min="59" max="59" width="16.42578125" customWidth="1"/>
    <col min="60" max="60" width="11.140625" customWidth="1"/>
    <col min="61" max="61" width="14.5703125" customWidth="1"/>
    <col min="62" max="62" width="9.140625" customWidth="1"/>
    <col min="63" max="63" width="7.140625" customWidth="1"/>
    <col min="64" max="64" width="15.140625" style="63" customWidth="1"/>
    <col min="65" max="65" width="14" customWidth="1"/>
    <col min="66" max="66" width="12.5703125" customWidth="1"/>
    <col min="67" max="70" width="8.7109375" customWidth="1"/>
    <col min="71" max="71" width="8.7109375" style="63"/>
    <col min="72" max="72" width="14.7109375" style="63" customWidth="1"/>
    <col min="73" max="73" width="12.85546875" customWidth="1"/>
    <col min="74" max="74" width="10.5703125" customWidth="1"/>
    <col min="75" max="77" width="8.7109375" customWidth="1"/>
    <col min="78" max="78" width="21.5703125" customWidth="1"/>
    <col min="79" max="79" width="23.28515625" customWidth="1"/>
    <col min="80" max="88" width="8.7109375" customWidth="1"/>
    <col min="89" max="89" width="29.42578125" customWidth="1"/>
    <col min="90" max="90" width="8.7109375" customWidth="1"/>
    <col min="91" max="91" width="20.5703125" customWidth="1"/>
    <col min="92" max="92" width="24.140625" customWidth="1"/>
    <col min="93" max="93" width="15.5703125" style="63" customWidth="1"/>
    <col min="94" max="94" width="15.7109375" style="63" customWidth="1"/>
    <col min="95" max="95" width="16.85546875" style="63" customWidth="1"/>
    <col min="96" max="96" width="25.140625" style="63" customWidth="1"/>
    <col min="97" max="97" width="35.42578125" style="63" customWidth="1"/>
    <col min="98" max="98" width="54.85546875" style="63" customWidth="1"/>
    <col min="99" max="99" width="34.42578125" style="63" customWidth="1"/>
  </cols>
  <sheetData>
    <row r="1" spans="1:100" s="1" customFormat="1" ht="14.45" customHeight="1" x14ac:dyDescent="0.25">
      <c r="A1" s="2" t="s">
        <v>0</v>
      </c>
      <c r="B1" s="3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5" t="s">
        <v>4</v>
      </c>
      <c r="M1" s="9" t="s">
        <v>11</v>
      </c>
      <c r="N1" s="7" t="s">
        <v>12</v>
      </c>
      <c r="O1" s="10" t="s">
        <v>13</v>
      </c>
      <c r="P1" s="11" t="s">
        <v>14</v>
      </c>
      <c r="Q1" s="7" t="s">
        <v>15</v>
      </c>
      <c r="R1" s="7" t="s">
        <v>16</v>
      </c>
      <c r="S1" s="12" t="s">
        <v>17</v>
      </c>
      <c r="T1" s="12" t="s">
        <v>18</v>
      </c>
      <c r="U1" s="7" t="s">
        <v>9</v>
      </c>
      <c r="V1" s="13" t="s">
        <v>19</v>
      </c>
      <c r="W1" s="14" t="s">
        <v>20</v>
      </c>
      <c r="X1" s="7" t="s">
        <v>9</v>
      </c>
      <c r="Y1" s="15" t="s">
        <v>21</v>
      </c>
      <c r="Z1" s="7" t="s">
        <v>22</v>
      </c>
      <c r="AA1" s="13" t="s">
        <v>23</v>
      </c>
      <c r="AB1" s="16" t="s">
        <v>24</v>
      </c>
      <c r="AC1" s="16" t="s">
        <v>25</v>
      </c>
      <c r="AD1" s="16" t="s">
        <v>26</v>
      </c>
      <c r="AE1" s="5" t="s">
        <v>27</v>
      </c>
      <c r="AF1" s="5" t="s">
        <v>28</v>
      </c>
      <c r="AG1" s="16" t="s">
        <v>29</v>
      </c>
      <c r="AH1" s="17" t="s">
        <v>30</v>
      </c>
      <c r="AI1" s="18" t="s">
        <v>31</v>
      </c>
      <c r="AJ1" s="19" t="s">
        <v>32</v>
      </c>
      <c r="AK1" s="20" t="s">
        <v>33</v>
      </c>
      <c r="AL1" s="7" t="s">
        <v>34</v>
      </c>
      <c r="AM1" s="17" t="s">
        <v>35</v>
      </c>
      <c r="AN1" s="16" t="s">
        <v>36</v>
      </c>
      <c r="AO1" s="7" t="s">
        <v>37</v>
      </c>
      <c r="AP1" s="21" t="s">
        <v>38</v>
      </c>
      <c r="AQ1" s="7" t="s">
        <v>39</v>
      </c>
      <c r="AR1" s="22" t="s">
        <v>40</v>
      </c>
      <c r="AS1" s="13" t="s">
        <v>22</v>
      </c>
      <c r="AT1" s="7" t="s">
        <v>41</v>
      </c>
      <c r="AU1" s="22" t="s">
        <v>42</v>
      </c>
      <c r="AV1" s="13" t="s">
        <v>43</v>
      </c>
      <c r="AW1" s="23" t="s">
        <v>44</v>
      </c>
      <c r="AX1" s="23" t="s">
        <v>45</v>
      </c>
      <c r="AY1" s="24" t="s">
        <v>46</v>
      </c>
      <c r="AZ1" s="12" t="s">
        <v>47</v>
      </c>
      <c r="BA1" s="12" t="s">
        <v>48</v>
      </c>
      <c r="BB1" s="25" t="s">
        <v>49</v>
      </c>
      <c r="BC1" s="13" t="s">
        <v>50</v>
      </c>
      <c r="BD1" s="13" t="s">
        <v>51</v>
      </c>
      <c r="BE1" s="12" t="s">
        <v>52</v>
      </c>
      <c r="BF1" s="12" t="s">
        <v>53</v>
      </c>
      <c r="BG1" s="22" t="s">
        <v>54</v>
      </c>
      <c r="BH1" s="13" t="s">
        <v>55</v>
      </c>
      <c r="BI1" s="13" t="s">
        <v>56</v>
      </c>
      <c r="BJ1" s="5" t="s">
        <v>57</v>
      </c>
      <c r="BK1" s="21" t="s">
        <v>58</v>
      </c>
      <c r="BL1" s="26" t="s">
        <v>59</v>
      </c>
      <c r="BM1" s="27" t="s">
        <v>60</v>
      </c>
      <c r="BN1" s="12" t="s">
        <v>61</v>
      </c>
      <c r="BO1" s="28" t="s">
        <v>62</v>
      </c>
      <c r="BP1" s="29" t="s">
        <v>63</v>
      </c>
      <c r="BQ1" s="12" t="s">
        <v>64</v>
      </c>
      <c r="BR1" s="12" t="s">
        <v>65</v>
      </c>
      <c r="BS1" s="17" t="s">
        <v>66</v>
      </c>
      <c r="BT1" s="17" t="s">
        <v>67</v>
      </c>
      <c r="BU1" s="28" t="s">
        <v>68</v>
      </c>
      <c r="BV1" s="28" t="s">
        <v>69</v>
      </c>
      <c r="BW1" s="12" t="s">
        <v>70</v>
      </c>
      <c r="BX1" s="30" t="s">
        <v>71</v>
      </c>
      <c r="BY1" s="12" t="s">
        <v>72</v>
      </c>
      <c r="BZ1" s="12" t="s">
        <v>73</v>
      </c>
      <c r="CA1" s="12" t="s">
        <v>74</v>
      </c>
      <c r="CB1" s="12" t="s">
        <v>75</v>
      </c>
      <c r="CC1" s="30" t="s">
        <v>76</v>
      </c>
      <c r="CD1" s="7" t="s">
        <v>77</v>
      </c>
      <c r="CE1" s="12" t="s">
        <v>78</v>
      </c>
      <c r="CF1" s="12" t="s">
        <v>79</v>
      </c>
      <c r="CG1" s="12" t="s">
        <v>80</v>
      </c>
      <c r="CH1" s="12" t="s">
        <v>81</v>
      </c>
      <c r="CI1" s="31" t="s">
        <v>82</v>
      </c>
      <c r="CJ1" s="12" t="s">
        <v>83</v>
      </c>
      <c r="CK1" s="12" t="s">
        <v>84</v>
      </c>
      <c r="CL1" s="12" t="s">
        <v>4</v>
      </c>
      <c r="CM1" s="12" t="s">
        <v>85</v>
      </c>
      <c r="CN1" s="12" t="s">
        <v>86</v>
      </c>
      <c r="CO1" s="17" t="s">
        <v>87</v>
      </c>
      <c r="CP1" s="17" t="s">
        <v>88</v>
      </c>
      <c r="CQ1" s="32" t="s">
        <v>89</v>
      </c>
      <c r="CR1" s="33" t="s">
        <v>90</v>
      </c>
      <c r="CS1" s="17" t="s">
        <v>91</v>
      </c>
      <c r="CT1" s="34" t="s">
        <v>92</v>
      </c>
      <c r="CU1" s="34" t="s">
        <v>93</v>
      </c>
    </row>
    <row r="2" spans="1:100" ht="47.25" customHeight="1" x14ac:dyDescent="0.25">
      <c r="A2" s="64" t="s">
        <v>165</v>
      </c>
      <c r="B2" s="36"/>
      <c r="C2" s="61"/>
      <c r="D2" s="37" t="s">
        <v>94</v>
      </c>
      <c r="E2" s="38" t="s">
        <v>95</v>
      </c>
      <c r="F2" s="39" t="s">
        <v>215</v>
      </c>
      <c r="G2" s="39" t="s">
        <v>164</v>
      </c>
      <c r="H2" s="40" t="s">
        <v>96</v>
      </c>
      <c r="I2" s="40" t="s">
        <v>97</v>
      </c>
      <c r="J2" s="40" t="s">
        <v>98</v>
      </c>
      <c r="K2" s="41">
        <f t="shared" ref="K2:K7" si="0">Y2</f>
        <v>45658</v>
      </c>
      <c r="L2" s="38" t="s">
        <v>95</v>
      </c>
      <c r="M2" s="40" t="s">
        <v>99</v>
      </c>
      <c r="N2" s="40" t="s">
        <v>146</v>
      </c>
      <c r="O2" s="42" t="s">
        <v>101</v>
      </c>
      <c r="P2" s="38" t="s">
        <v>147</v>
      </c>
      <c r="Q2" s="40" t="s">
        <v>103</v>
      </c>
      <c r="R2" s="40" t="s">
        <v>104</v>
      </c>
      <c r="S2" s="43" t="s">
        <v>105</v>
      </c>
      <c r="T2" s="43" t="s">
        <v>105</v>
      </c>
      <c r="U2" s="40" t="s">
        <v>98</v>
      </c>
      <c r="V2" s="44" t="s">
        <v>106</v>
      </c>
      <c r="W2" s="45" t="s">
        <v>107</v>
      </c>
      <c r="X2" s="40" t="s">
        <v>98</v>
      </c>
      <c r="Y2" s="46">
        <v>45658</v>
      </c>
      <c r="Z2" s="40" t="s">
        <v>108</v>
      </c>
      <c r="AA2" s="44" t="s">
        <v>109</v>
      </c>
      <c r="AB2" s="48" t="s">
        <v>110</v>
      </c>
      <c r="AC2" s="48" t="s">
        <v>162</v>
      </c>
      <c r="AD2" s="39" t="s">
        <v>112</v>
      </c>
      <c r="AE2" s="38">
        <v>970</v>
      </c>
      <c r="AF2" s="38" t="s">
        <v>57</v>
      </c>
      <c r="AG2" s="39">
        <v>25</v>
      </c>
      <c r="AH2" s="49" t="s">
        <v>157</v>
      </c>
      <c r="AI2" s="48" t="s">
        <v>114</v>
      </c>
      <c r="AJ2" s="46">
        <f t="shared" ref="AJ2" si="1">Y2+365</f>
        <v>46023</v>
      </c>
      <c r="AK2" s="41">
        <f t="shared" ref="AK2:AK11" si="2">Y2+90</f>
        <v>45748</v>
      </c>
      <c r="AL2" s="40" t="s">
        <v>115</v>
      </c>
      <c r="AM2" s="49" t="s">
        <v>116</v>
      </c>
      <c r="AN2" s="39" t="s">
        <v>163</v>
      </c>
      <c r="AO2" s="40" t="s">
        <v>118</v>
      </c>
      <c r="AP2" s="50" t="s">
        <v>119</v>
      </c>
      <c r="AQ2" s="40" t="s">
        <v>120</v>
      </c>
      <c r="AR2" s="61" t="s">
        <v>120</v>
      </c>
      <c r="AS2" s="44" t="s">
        <v>109</v>
      </c>
      <c r="AT2" s="40" t="s">
        <v>121</v>
      </c>
      <c r="AU2" s="50" t="s">
        <v>122</v>
      </c>
      <c r="AV2" s="44" t="s">
        <v>123</v>
      </c>
      <c r="AW2" s="51">
        <f t="shared" ref="AW2:AW20" si="3">Y2-1</f>
        <v>45657</v>
      </c>
      <c r="AX2" s="51">
        <f t="shared" ref="AX2:AX19" si="4">Y2-1</f>
        <v>45657</v>
      </c>
      <c r="AY2" s="41">
        <f t="shared" ref="AY2:AY19" si="5">AJ2</f>
        <v>46023</v>
      </c>
      <c r="AZ2" s="43" t="s">
        <v>95</v>
      </c>
      <c r="BA2" s="43" t="s">
        <v>124</v>
      </c>
      <c r="BB2" s="62" t="s">
        <v>495</v>
      </c>
      <c r="BC2" s="44">
        <v>36526</v>
      </c>
      <c r="BD2" s="44">
        <v>51136</v>
      </c>
      <c r="BE2" s="43" t="s">
        <v>95</v>
      </c>
      <c r="BF2" s="43" t="s">
        <v>127</v>
      </c>
      <c r="BG2" s="50">
        <v>8542365987</v>
      </c>
      <c r="BH2" s="44">
        <v>36526</v>
      </c>
      <c r="BI2" s="44">
        <v>51136</v>
      </c>
      <c r="BJ2" s="38" t="s">
        <v>128</v>
      </c>
      <c r="BK2" s="50" t="s">
        <v>149</v>
      </c>
      <c r="BL2" s="52">
        <v>32144</v>
      </c>
      <c r="BM2" s="53" t="s">
        <v>95</v>
      </c>
      <c r="BN2" s="43" t="s">
        <v>105</v>
      </c>
      <c r="BO2" s="38" t="s">
        <v>130</v>
      </c>
      <c r="BP2" s="54" t="s">
        <v>109</v>
      </c>
      <c r="BQ2" s="43" t="s">
        <v>131</v>
      </c>
      <c r="BR2" s="43" t="s">
        <v>95</v>
      </c>
      <c r="BS2" s="39" t="s">
        <v>120</v>
      </c>
      <c r="BT2" s="39" t="s">
        <v>109</v>
      </c>
      <c r="BU2" s="38" t="s">
        <v>132</v>
      </c>
      <c r="BV2" s="38" t="s">
        <v>133</v>
      </c>
      <c r="BW2" s="43" t="s">
        <v>134</v>
      </c>
      <c r="BX2" s="55" t="s">
        <v>150</v>
      </c>
      <c r="BY2" s="43" t="s">
        <v>136</v>
      </c>
      <c r="BZ2" s="43" t="s">
        <v>137</v>
      </c>
      <c r="CA2" s="43" t="s">
        <v>138</v>
      </c>
      <c r="CB2" s="43" t="s">
        <v>139</v>
      </c>
      <c r="CC2" s="55" t="s">
        <v>134</v>
      </c>
      <c r="CD2" s="40" t="s">
        <v>135</v>
      </c>
      <c r="CE2" s="43" t="s">
        <v>136</v>
      </c>
      <c r="CF2" s="43" t="s">
        <v>140</v>
      </c>
      <c r="CG2" s="43" t="s">
        <v>141</v>
      </c>
      <c r="CH2" s="43" t="s">
        <v>140</v>
      </c>
      <c r="CI2" s="56">
        <v>100</v>
      </c>
      <c r="CJ2" s="43" t="s">
        <v>142</v>
      </c>
      <c r="CK2" s="43" t="s">
        <v>143</v>
      </c>
      <c r="CL2" s="43" t="s">
        <v>95</v>
      </c>
      <c r="CM2" s="43" t="s">
        <v>151</v>
      </c>
      <c r="CN2" s="43" t="s">
        <v>145</v>
      </c>
      <c r="CO2" s="39" t="s">
        <v>152</v>
      </c>
      <c r="CP2" s="39" t="s">
        <v>153</v>
      </c>
      <c r="CQ2" s="39" t="s">
        <v>105</v>
      </c>
      <c r="CR2" s="52">
        <f ca="1">TODAY()-1500</f>
        <v>44271</v>
      </c>
      <c r="CS2" s="39" t="s">
        <v>154</v>
      </c>
      <c r="CT2" s="58">
        <v>1234027</v>
      </c>
      <c r="CU2" s="58">
        <v>123456020</v>
      </c>
      <c r="CV2" s="61" t="s">
        <v>165</v>
      </c>
    </row>
    <row r="3" spans="1:100" ht="34.5" customHeight="1" x14ac:dyDescent="0.25">
      <c r="A3" s="64" t="s">
        <v>168</v>
      </c>
      <c r="B3" s="36"/>
      <c r="C3" s="61"/>
      <c r="D3" s="37" t="s">
        <v>94</v>
      </c>
      <c r="E3" s="38" t="s">
        <v>95</v>
      </c>
      <c r="F3" s="39" t="s">
        <v>216</v>
      </c>
      <c r="G3" s="39" t="s">
        <v>169</v>
      </c>
      <c r="H3" s="40" t="s">
        <v>96</v>
      </c>
      <c r="I3" s="40" t="s">
        <v>97</v>
      </c>
      <c r="J3" s="40" t="s">
        <v>98</v>
      </c>
      <c r="K3" s="41">
        <f t="shared" si="0"/>
        <v>45658</v>
      </c>
      <c r="L3" s="38" t="s">
        <v>95</v>
      </c>
      <c r="M3" s="40" t="s">
        <v>99</v>
      </c>
      <c r="N3" s="40" t="s">
        <v>100</v>
      </c>
      <c r="O3" s="42" t="s">
        <v>101</v>
      </c>
      <c r="P3" s="38" t="s">
        <v>102</v>
      </c>
      <c r="Q3" s="40" t="s">
        <v>103</v>
      </c>
      <c r="R3" s="40" t="s">
        <v>104</v>
      </c>
      <c r="S3" s="43" t="s">
        <v>105</v>
      </c>
      <c r="T3" s="43" t="s">
        <v>105</v>
      </c>
      <c r="U3" s="40" t="s">
        <v>98</v>
      </c>
      <c r="V3" s="44" t="s">
        <v>106</v>
      </c>
      <c r="W3" s="45" t="s">
        <v>107</v>
      </c>
      <c r="X3" s="40" t="s">
        <v>98</v>
      </c>
      <c r="Y3" s="46">
        <v>45658</v>
      </c>
      <c r="Z3" s="40" t="s">
        <v>108</v>
      </c>
      <c r="AA3" s="44" t="s">
        <v>109</v>
      </c>
      <c r="AB3" s="48" t="s">
        <v>167</v>
      </c>
      <c r="AC3" s="48" t="s">
        <v>170</v>
      </c>
      <c r="AD3" s="39" t="s">
        <v>176</v>
      </c>
      <c r="AE3" s="38">
        <v>970</v>
      </c>
      <c r="AF3" s="38" t="s">
        <v>57</v>
      </c>
      <c r="AG3" s="39">
        <v>40</v>
      </c>
      <c r="AH3" s="49" t="s">
        <v>113</v>
      </c>
      <c r="AI3" s="48" t="s">
        <v>114</v>
      </c>
      <c r="AJ3" s="46" t="s">
        <v>109</v>
      </c>
      <c r="AK3" s="41">
        <f t="shared" si="2"/>
        <v>45748</v>
      </c>
      <c r="AL3" s="40" t="s">
        <v>115</v>
      </c>
      <c r="AM3" s="49" t="s">
        <v>116</v>
      </c>
      <c r="AN3" s="39" t="s">
        <v>171</v>
      </c>
      <c r="AO3" s="40" t="s">
        <v>118</v>
      </c>
      <c r="AP3" s="50" t="s">
        <v>119</v>
      </c>
      <c r="AQ3" s="40" t="s">
        <v>120</v>
      </c>
      <c r="AR3" s="61" t="s">
        <v>120</v>
      </c>
      <c r="AS3" s="44" t="s">
        <v>109</v>
      </c>
      <c r="AT3" s="40" t="s">
        <v>121</v>
      </c>
      <c r="AU3" s="50" t="str">
        <f t="shared" ref="AU3:AU11" si="6">AB3</f>
        <v>Permanent</v>
      </c>
      <c r="AV3" s="44" t="s">
        <v>123</v>
      </c>
      <c r="AW3" s="51">
        <f t="shared" si="3"/>
        <v>45657</v>
      </c>
      <c r="AX3" s="51">
        <f t="shared" si="4"/>
        <v>45657</v>
      </c>
      <c r="AY3" s="41" t="str">
        <f t="shared" si="5"/>
        <v>N/A</v>
      </c>
      <c r="AZ3" s="43" t="s">
        <v>95</v>
      </c>
      <c r="BA3" s="43" t="s">
        <v>124</v>
      </c>
      <c r="BB3" s="62" t="s">
        <v>504</v>
      </c>
      <c r="BC3" s="44" t="s">
        <v>125</v>
      </c>
      <c r="BD3" s="44" t="s">
        <v>126</v>
      </c>
      <c r="BE3" s="43" t="s">
        <v>95</v>
      </c>
      <c r="BF3" s="43" t="s">
        <v>127</v>
      </c>
      <c r="BG3" s="50">
        <v>8542365996</v>
      </c>
      <c r="BH3" s="44">
        <v>36526</v>
      </c>
      <c r="BI3" s="44">
        <v>51136</v>
      </c>
      <c r="BJ3" s="38" t="s">
        <v>128</v>
      </c>
      <c r="BK3" s="50" t="s">
        <v>129</v>
      </c>
      <c r="BL3" s="52">
        <v>32144</v>
      </c>
      <c r="BM3" s="53" t="s">
        <v>95</v>
      </c>
      <c r="BN3" s="43" t="s">
        <v>105</v>
      </c>
      <c r="BO3" s="38" t="s">
        <v>130</v>
      </c>
      <c r="BP3" s="54" t="s">
        <v>109</v>
      </c>
      <c r="BQ3" s="43" t="s">
        <v>131</v>
      </c>
      <c r="BR3" s="43" t="s">
        <v>95</v>
      </c>
      <c r="BS3" s="49" t="s">
        <v>120</v>
      </c>
      <c r="BT3" s="49" t="s">
        <v>109</v>
      </c>
      <c r="BU3" s="38" t="s">
        <v>132</v>
      </c>
      <c r="BV3" s="38" t="s">
        <v>133</v>
      </c>
      <c r="BW3" s="43" t="s">
        <v>134</v>
      </c>
      <c r="BX3" s="55" t="s">
        <v>135</v>
      </c>
      <c r="BY3" s="43" t="s">
        <v>136</v>
      </c>
      <c r="BZ3" s="43" t="s">
        <v>137</v>
      </c>
      <c r="CA3" s="43" t="s">
        <v>138</v>
      </c>
      <c r="CB3" s="43" t="s">
        <v>139</v>
      </c>
      <c r="CC3" s="55" t="s">
        <v>134</v>
      </c>
      <c r="CD3" s="40" t="s">
        <v>135</v>
      </c>
      <c r="CE3" s="43" t="s">
        <v>136</v>
      </c>
      <c r="CF3" s="43" t="s">
        <v>140</v>
      </c>
      <c r="CG3" s="43" t="s">
        <v>141</v>
      </c>
      <c r="CH3" s="43" t="s">
        <v>140</v>
      </c>
      <c r="CI3" s="56">
        <v>100</v>
      </c>
      <c r="CJ3" s="43" t="s">
        <v>142</v>
      </c>
      <c r="CK3" s="43" t="s">
        <v>143</v>
      </c>
      <c r="CL3" s="43" t="s">
        <v>95</v>
      </c>
      <c r="CM3" s="43" t="s">
        <v>144</v>
      </c>
      <c r="CN3" s="43" t="s">
        <v>145</v>
      </c>
      <c r="CO3" s="49" t="s">
        <v>109</v>
      </c>
      <c r="CP3" s="49" t="s">
        <v>109</v>
      </c>
      <c r="CQ3" s="57" t="s">
        <v>109</v>
      </c>
      <c r="CR3" s="52" t="s">
        <v>109</v>
      </c>
      <c r="CS3" s="49" t="s">
        <v>109</v>
      </c>
      <c r="CT3" s="58" t="s">
        <v>109</v>
      </c>
      <c r="CU3" s="58" t="s">
        <v>109</v>
      </c>
      <c r="CV3" s="61" t="s">
        <v>168</v>
      </c>
    </row>
    <row r="4" spans="1:100" ht="14.45" customHeight="1" x14ac:dyDescent="0.25">
      <c r="A4" s="64" t="s">
        <v>172</v>
      </c>
      <c r="B4" s="61"/>
      <c r="C4" s="61"/>
      <c r="D4" s="37" t="s">
        <v>94</v>
      </c>
      <c r="E4" s="38" t="s">
        <v>95</v>
      </c>
      <c r="F4" s="39" t="s">
        <v>217</v>
      </c>
      <c r="G4" s="39" t="s">
        <v>169</v>
      </c>
      <c r="H4" s="40" t="s">
        <v>96</v>
      </c>
      <c r="I4" s="40" t="s">
        <v>97</v>
      </c>
      <c r="J4" s="40" t="s">
        <v>98</v>
      </c>
      <c r="K4" s="41">
        <f t="shared" si="0"/>
        <v>45658</v>
      </c>
      <c r="L4" s="38" t="s">
        <v>95</v>
      </c>
      <c r="M4" s="40" t="s">
        <v>99</v>
      </c>
      <c r="N4" s="40" t="s">
        <v>146</v>
      </c>
      <c r="O4" s="42" t="s">
        <v>101</v>
      </c>
      <c r="P4" s="38" t="s">
        <v>147</v>
      </c>
      <c r="Q4" s="40" t="s">
        <v>103</v>
      </c>
      <c r="R4" s="40" t="s">
        <v>104</v>
      </c>
      <c r="S4" s="43" t="s">
        <v>105</v>
      </c>
      <c r="T4" s="43" t="s">
        <v>105</v>
      </c>
      <c r="U4" s="40" t="s">
        <v>98</v>
      </c>
      <c r="V4" s="44" t="s">
        <v>106</v>
      </c>
      <c r="W4" s="45" t="s">
        <v>107</v>
      </c>
      <c r="X4" s="40" t="s">
        <v>98</v>
      </c>
      <c r="Y4" s="46">
        <v>45658</v>
      </c>
      <c r="Z4" s="40" t="s">
        <v>108</v>
      </c>
      <c r="AA4" s="44" t="s">
        <v>109</v>
      </c>
      <c r="AB4" s="48" t="s">
        <v>167</v>
      </c>
      <c r="AC4" s="48" t="s">
        <v>170</v>
      </c>
      <c r="AD4" s="39" t="s">
        <v>176</v>
      </c>
      <c r="AE4" s="38">
        <v>970</v>
      </c>
      <c r="AF4" s="38" t="s">
        <v>57</v>
      </c>
      <c r="AG4" s="39">
        <v>40</v>
      </c>
      <c r="AH4" s="49" t="s">
        <v>113</v>
      </c>
      <c r="AI4" s="48" t="s">
        <v>114</v>
      </c>
      <c r="AJ4" s="46" t="s">
        <v>109</v>
      </c>
      <c r="AK4" s="41">
        <f t="shared" si="2"/>
        <v>45748</v>
      </c>
      <c r="AL4" s="40" t="s">
        <v>115</v>
      </c>
      <c r="AM4" s="49" t="s">
        <v>116</v>
      </c>
      <c r="AN4" s="39" t="s">
        <v>171</v>
      </c>
      <c r="AO4" s="40" t="s">
        <v>118</v>
      </c>
      <c r="AP4" s="50" t="s">
        <v>119</v>
      </c>
      <c r="AQ4" s="40" t="s">
        <v>120</v>
      </c>
      <c r="AR4" s="61" t="s">
        <v>120</v>
      </c>
      <c r="AS4" s="44" t="s">
        <v>109</v>
      </c>
      <c r="AT4" s="40" t="s">
        <v>121</v>
      </c>
      <c r="AU4" s="50" t="str">
        <f t="shared" si="6"/>
        <v>Permanent</v>
      </c>
      <c r="AV4" s="44" t="s">
        <v>123</v>
      </c>
      <c r="AW4" s="51">
        <f t="shared" si="3"/>
        <v>45657</v>
      </c>
      <c r="AX4" s="51">
        <f t="shared" si="4"/>
        <v>45657</v>
      </c>
      <c r="AY4" s="41" t="str">
        <f t="shared" si="5"/>
        <v>N/A</v>
      </c>
      <c r="AZ4" s="43" t="s">
        <v>95</v>
      </c>
      <c r="BA4" s="43" t="s">
        <v>124</v>
      </c>
      <c r="BB4" s="62" t="s">
        <v>505</v>
      </c>
      <c r="BC4" s="44">
        <v>36526</v>
      </c>
      <c r="BD4" s="44">
        <v>51136</v>
      </c>
      <c r="BE4" s="43" t="s">
        <v>95</v>
      </c>
      <c r="BF4" s="43" t="s">
        <v>127</v>
      </c>
      <c r="BG4" s="50">
        <v>8542365997</v>
      </c>
      <c r="BH4" s="44">
        <v>36526</v>
      </c>
      <c r="BI4" s="44">
        <v>51136</v>
      </c>
      <c r="BJ4" s="38" t="s">
        <v>128</v>
      </c>
      <c r="BK4" s="50" t="s">
        <v>149</v>
      </c>
      <c r="BL4" s="52">
        <v>26666</v>
      </c>
      <c r="BM4" s="53" t="s">
        <v>95</v>
      </c>
      <c r="BN4" s="43" t="s">
        <v>105</v>
      </c>
      <c r="BO4" s="38" t="s">
        <v>130</v>
      </c>
      <c r="BP4" s="54" t="s">
        <v>109</v>
      </c>
      <c r="BQ4" s="43" t="s">
        <v>131</v>
      </c>
      <c r="BR4" s="43" t="s">
        <v>95</v>
      </c>
      <c r="BS4" s="49" t="s">
        <v>120</v>
      </c>
      <c r="BT4" s="49" t="s">
        <v>109</v>
      </c>
      <c r="BU4" s="38" t="s">
        <v>132</v>
      </c>
      <c r="BV4" s="38" t="s">
        <v>133</v>
      </c>
      <c r="BW4" s="43" t="s">
        <v>134</v>
      </c>
      <c r="BX4" s="55" t="s">
        <v>150</v>
      </c>
      <c r="BY4" s="43" t="s">
        <v>136</v>
      </c>
      <c r="BZ4" s="43" t="s">
        <v>137</v>
      </c>
      <c r="CA4" s="43" t="s">
        <v>138</v>
      </c>
      <c r="CB4" s="43" t="s">
        <v>139</v>
      </c>
      <c r="CC4" s="55" t="s">
        <v>134</v>
      </c>
      <c r="CD4" s="40" t="s">
        <v>135</v>
      </c>
      <c r="CE4" s="43" t="s">
        <v>136</v>
      </c>
      <c r="CF4" s="43" t="s">
        <v>140</v>
      </c>
      <c r="CG4" s="43" t="s">
        <v>141</v>
      </c>
      <c r="CH4" s="43" t="s">
        <v>140</v>
      </c>
      <c r="CI4" s="56">
        <v>100</v>
      </c>
      <c r="CJ4" s="43" t="s">
        <v>142</v>
      </c>
      <c r="CK4" s="43" t="s">
        <v>143</v>
      </c>
      <c r="CL4" s="43" t="s">
        <v>95</v>
      </c>
      <c r="CM4" s="43" t="s">
        <v>151</v>
      </c>
      <c r="CN4" s="43" t="s">
        <v>145</v>
      </c>
      <c r="CO4" s="49" t="s">
        <v>152</v>
      </c>
      <c r="CP4" s="49" t="s">
        <v>153</v>
      </c>
      <c r="CQ4" s="57" t="s">
        <v>105</v>
      </c>
      <c r="CR4" s="52">
        <f ca="1">TODAY()-1500</f>
        <v>44271</v>
      </c>
      <c r="CS4" s="49" t="s">
        <v>154</v>
      </c>
      <c r="CT4" s="58">
        <v>1234030</v>
      </c>
      <c r="CU4" s="58">
        <v>123456023</v>
      </c>
      <c r="CV4" s="61" t="s">
        <v>172</v>
      </c>
    </row>
    <row r="5" spans="1:100" ht="33.75" customHeight="1" x14ac:dyDescent="0.25">
      <c r="A5" s="64" t="s">
        <v>174</v>
      </c>
      <c r="B5" s="36"/>
      <c r="C5" s="61"/>
      <c r="D5" s="37" t="s">
        <v>94</v>
      </c>
      <c r="E5" s="38" t="s">
        <v>95</v>
      </c>
      <c r="F5" s="39" t="s">
        <v>218</v>
      </c>
      <c r="G5" s="39" t="s">
        <v>169</v>
      </c>
      <c r="H5" s="40" t="s">
        <v>96</v>
      </c>
      <c r="I5" s="40" t="s">
        <v>97</v>
      </c>
      <c r="J5" s="40" t="s">
        <v>98</v>
      </c>
      <c r="K5" s="41">
        <f t="shared" si="0"/>
        <v>45658</v>
      </c>
      <c r="L5" s="38" t="s">
        <v>95</v>
      </c>
      <c r="M5" s="40" t="s">
        <v>99</v>
      </c>
      <c r="N5" s="40" t="s">
        <v>146</v>
      </c>
      <c r="O5" s="42" t="s">
        <v>101</v>
      </c>
      <c r="P5" s="38" t="s">
        <v>147</v>
      </c>
      <c r="Q5" s="40" t="s">
        <v>103</v>
      </c>
      <c r="R5" s="40" t="s">
        <v>104</v>
      </c>
      <c r="S5" s="43" t="s">
        <v>105</v>
      </c>
      <c r="T5" s="43" t="s">
        <v>105</v>
      </c>
      <c r="U5" s="40" t="s">
        <v>98</v>
      </c>
      <c r="V5" s="44" t="s">
        <v>106</v>
      </c>
      <c r="W5" s="45" t="s">
        <v>107</v>
      </c>
      <c r="X5" s="40" t="s">
        <v>98</v>
      </c>
      <c r="Y5" s="46">
        <v>45658</v>
      </c>
      <c r="Z5" s="40" t="s">
        <v>108</v>
      </c>
      <c r="AA5" s="44" t="s">
        <v>109</v>
      </c>
      <c r="AB5" s="48" t="s">
        <v>167</v>
      </c>
      <c r="AC5" s="48" t="s">
        <v>170</v>
      </c>
      <c r="AD5" s="39" t="s">
        <v>176</v>
      </c>
      <c r="AE5" s="38">
        <v>970</v>
      </c>
      <c r="AF5" s="38" t="s">
        <v>57</v>
      </c>
      <c r="AG5" s="39">
        <v>40</v>
      </c>
      <c r="AH5" s="49" t="s">
        <v>157</v>
      </c>
      <c r="AI5" s="48" t="s">
        <v>114</v>
      </c>
      <c r="AJ5" s="46" t="s">
        <v>109</v>
      </c>
      <c r="AK5" s="41">
        <f t="shared" si="2"/>
        <v>45748</v>
      </c>
      <c r="AL5" s="40" t="s">
        <v>115</v>
      </c>
      <c r="AM5" s="49" t="s">
        <v>116</v>
      </c>
      <c r="AN5" s="39" t="s">
        <v>171</v>
      </c>
      <c r="AO5" s="40" t="s">
        <v>118</v>
      </c>
      <c r="AP5" s="50" t="s">
        <v>119</v>
      </c>
      <c r="AQ5" s="40" t="s">
        <v>120</v>
      </c>
      <c r="AR5" s="61" t="s">
        <v>120</v>
      </c>
      <c r="AS5" s="44" t="s">
        <v>109</v>
      </c>
      <c r="AT5" s="40" t="s">
        <v>121</v>
      </c>
      <c r="AU5" s="50" t="str">
        <f t="shared" si="6"/>
        <v>Permanent</v>
      </c>
      <c r="AV5" s="44" t="s">
        <v>123</v>
      </c>
      <c r="AW5" s="51">
        <f t="shared" si="3"/>
        <v>45657</v>
      </c>
      <c r="AX5" s="51">
        <f t="shared" si="4"/>
        <v>45657</v>
      </c>
      <c r="AY5" s="41" t="str">
        <f t="shared" si="5"/>
        <v>N/A</v>
      </c>
      <c r="AZ5" s="43" t="s">
        <v>95</v>
      </c>
      <c r="BA5" s="43" t="s">
        <v>124</v>
      </c>
      <c r="BB5" s="62" t="s">
        <v>507</v>
      </c>
      <c r="BC5" s="44">
        <v>36526</v>
      </c>
      <c r="BD5" s="44">
        <v>51136</v>
      </c>
      <c r="BE5" s="43" t="s">
        <v>95</v>
      </c>
      <c r="BF5" s="43" t="s">
        <v>127</v>
      </c>
      <c r="BG5" s="50">
        <v>8542365999</v>
      </c>
      <c r="BH5" s="44">
        <v>36526</v>
      </c>
      <c r="BI5" s="44">
        <v>51136</v>
      </c>
      <c r="BJ5" s="38" t="s">
        <v>128</v>
      </c>
      <c r="BK5" s="50" t="s">
        <v>149</v>
      </c>
      <c r="BL5" s="52">
        <v>28857</v>
      </c>
      <c r="BM5" s="53" t="s">
        <v>95</v>
      </c>
      <c r="BN5" s="43" t="s">
        <v>105</v>
      </c>
      <c r="BO5" s="38" t="s">
        <v>130</v>
      </c>
      <c r="BP5" s="54" t="s">
        <v>109</v>
      </c>
      <c r="BQ5" s="43" t="s">
        <v>131</v>
      </c>
      <c r="BR5" s="43" t="s">
        <v>95</v>
      </c>
      <c r="BS5" s="39" t="s">
        <v>120</v>
      </c>
      <c r="BT5" s="39" t="s">
        <v>109</v>
      </c>
      <c r="BU5" s="38" t="s">
        <v>132</v>
      </c>
      <c r="BV5" s="38" t="s">
        <v>133</v>
      </c>
      <c r="BW5" s="43" t="s">
        <v>134</v>
      </c>
      <c r="BX5" s="55" t="s">
        <v>150</v>
      </c>
      <c r="BY5" s="43" t="s">
        <v>136</v>
      </c>
      <c r="BZ5" s="43" t="s">
        <v>137</v>
      </c>
      <c r="CA5" s="43" t="s">
        <v>138</v>
      </c>
      <c r="CB5" s="43" t="s">
        <v>139</v>
      </c>
      <c r="CC5" s="55" t="s">
        <v>134</v>
      </c>
      <c r="CD5" s="40" t="s">
        <v>135</v>
      </c>
      <c r="CE5" s="43" t="s">
        <v>136</v>
      </c>
      <c r="CF5" s="43" t="s">
        <v>140</v>
      </c>
      <c r="CG5" s="43" t="s">
        <v>141</v>
      </c>
      <c r="CH5" s="43" t="s">
        <v>140</v>
      </c>
      <c r="CI5" s="56">
        <v>100</v>
      </c>
      <c r="CJ5" s="43" t="s">
        <v>142</v>
      </c>
      <c r="CK5" s="43" t="s">
        <v>143</v>
      </c>
      <c r="CL5" s="43" t="s">
        <v>95</v>
      </c>
      <c r="CM5" s="43" t="s">
        <v>151</v>
      </c>
      <c r="CN5" s="43" t="s">
        <v>145</v>
      </c>
      <c r="CO5" s="39" t="s">
        <v>152</v>
      </c>
      <c r="CP5" s="39" t="s">
        <v>153</v>
      </c>
      <c r="CQ5" s="39" t="s">
        <v>105</v>
      </c>
      <c r="CR5" s="52">
        <f ca="1">TODAY()-1500</f>
        <v>44271</v>
      </c>
      <c r="CS5" s="39" t="s">
        <v>154</v>
      </c>
      <c r="CT5" s="58">
        <v>1234031</v>
      </c>
      <c r="CU5" s="58">
        <v>123456024</v>
      </c>
      <c r="CV5" s="61" t="s">
        <v>174</v>
      </c>
    </row>
    <row r="6" spans="1:100" ht="14.45" customHeight="1" x14ac:dyDescent="0.25">
      <c r="A6" s="64" t="s">
        <v>180</v>
      </c>
      <c r="B6" s="36"/>
      <c r="C6" s="61"/>
      <c r="D6" s="61" t="s">
        <v>175</v>
      </c>
      <c r="E6" s="38" t="s">
        <v>95</v>
      </c>
      <c r="F6" s="39" t="s">
        <v>219</v>
      </c>
      <c r="G6" s="39" t="s">
        <v>179</v>
      </c>
      <c r="H6" s="40" t="s">
        <v>96</v>
      </c>
      <c r="I6" s="40" t="s">
        <v>97</v>
      </c>
      <c r="J6" s="40" t="s">
        <v>98</v>
      </c>
      <c r="K6" s="41">
        <f t="shared" si="0"/>
        <v>45658</v>
      </c>
      <c r="L6" s="38" t="s">
        <v>95</v>
      </c>
      <c r="M6" s="40" t="s">
        <v>99</v>
      </c>
      <c r="N6" s="40" t="s">
        <v>100</v>
      </c>
      <c r="O6" s="42" t="s">
        <v>101</v>
      </c>
      <c r="P6" s="38" t="s">
        <v>102</v>
      </c>
      <c r="Q6" s="40" t="s">
        <v>103</v>
      </c>
      <c r="R6" s="40" t="s">
        <v>104</v>
      </c>
      <c r="S6" s="43" t="s">
        <v>105</v>
      </c>
      <c r="T6" s="43" t="s">
        <v>105</v>
      </c>
      <c r="U6" s="40" t="s">
        <v>98</v>
      </c>
      <c r="V6" s="44" t="s">
        <v>106</v>
      </c>
      <c r="W6" s="45" t="s">
        <v>107</v>
      </c>
      <c r="X6" s="40" t="s">
        <v>98</v>
      </c>
      <c r="Y6" s="46">
        <v>45658</v>
      </c>
      <c r="Z6" s="40" t="s">
        <v>108</v>
      </c>
      <c r="AA6" s="44" t="s">
        <v>181</v>
      </c>
      <c r="AB6" s="48" t="s">
        <v>167</v>
      </c>
      <c r="AC6" s="48" t="s">
        <v>182</v>
      </c>
      <c r="AD6" s="39" t="s">
        <v>176</v>
      </c>
      <c r="AE6" s="38">
        <v>970</v>
      </c>
      <c r="AF6" s="38" t="s">
        <v>57</v>
      </c>
      <c r="AG6" s="39">
        <v>40</v>
      </c>
      <c r="AH6" s="49" t="s">
        <v>113</v>
      </c>
      <c r="AI6" s="48" t="s">
        <v>114</v>
      </c>
      <c r="AJ6" s="46" t="s">
        <v>109</v>
      </c>
      <c r="AK6" s="41">
        <f t="shared" si="2"/>
        <v>45748</v>
      </c>
      <c r="AL6" s="40" t="s">
        <v>115</v>
      </c>
      <c r="AM6" s="39" t="s">
        <v>177</v>
      </c>
      <c r="AN6" s="39" t="s">
        <v>178</v>
      </c>
      <c r="AO6" s="40" t="s">
        <v>118</v>
      </c>
      <c r="AP6" s="50" t="s">
        <v>119</v>
      </c>
      <c r="AQ6" s="40" t="s">
        <v>120</v>
      </c>
      <c r="AR6" s="61" t="s">
        <v>120</v>
      </c>
      <c r="AS6" s="44" t="s">
        <v>109</v>
      </c>
      <c r="AT6" s="40" t="s">
        <v>121</v>
      </c>
      <c r="AU6" s="50" t="str">
        <f t="shared" si="6"/>
        <v>Permanent</v>
      </c>
      <c r="AV6" s="44" t="s">
        <v>123</v>
      </c>
      <c r="AW6" s="51">
        <f t="shared" si="3"/>
        <v>45657</v>
      </c>
      <c r="AX6" s="51">
        <f t="shared" si="4"/>
        <v>45657</v>
      </c>
      <c r="AY6" s="41" t="str">
        <f t="shared" si="5"/>
        <v>N/A</v>
      </c>
      <c r="AZ6" s="43" t="s">
        <v>95</v>
      </c>
      <c r="BA6" s="43" t="s">
        <v>124</v>
      </c>
      <c r="BB6" s="62" t="s">
        <v>478</v>
      </c>
      <c r="BC6" s="44" t="s">
        <v>125</v>
      </c>
      <c r="BD6" s="44" t="s">
        <v>126</v>
      </c>
      <c r="BE6" s="43" t="s">
        <v>95</v>
      </c>
      <c r="BF6" s="43" t="s">
        <v>127</v>
      </c>
      <c r="BG6" s="50">
        <v>8542366177</v>
      </c>
      <c r="BH6" s="44">
        <v>36526</v>
      </c>
      <c r="BI6" s="44">
        <v>51136</v>
      </c>
      <c r="BJ6" s="38" t="s">
        <v>128</v>
      </c>
      <c r="BK6" s="50" t="s">
        <v>129</v>
      </c>
      <c r="BL6" s="52">
        <v>32144</v>
      </c>
      <c r="BM6" s="53" t="s">
        <v>95</v>
      </c>
      <c r="BN6" s="43" t="s">
        <v>105</v>
      </c>
      <c r="BO6" s="38" t="s">
        <v>130</v>
      </c>
      <c r="BP6" s="54" t="s">
        <v>109</v>
      </c>
      <c r="BQ6" s="43" t="s">
        <v>131</v>
      </c>
      <c r="BR6" s="43" t="s">
        <v>95</v>
      </c>
      <c r="BS6" s="49" t="s">
        <v>120</v>
      </c>
      <c r="BT6" s="49" t="s">
        <v>109</v>
      </c>
      <c r="BU6" s="38" t="s">
        <v>132</v>
      </c>
      <c r="BV6" s="38" t="s">
        <v>133</v>
      </c>
      <c r="BW6" s="43" t="s">
        <v>134</v>
      </c>
      <c r="BX6" s="55" t="s">
        <v>135</v>
      </c>
      <c r="BY6" s="43" t="s">
        <v>136</v>
      </c>
      <c r="BZ6" s="43" t="s">
        <v>137</v>
      </c>
      <c r="CA6" s="43" t="s">
        <v>138</v>
      </c>
      <c r="CB6" s="43" t="s">
        <v>139</v>
      </c>
      <c r="CC6" s="55" t="s">
        <v>134</v>
      </c>
      <c r="CD6" s="40" t="s">
        <v>135</v>
      </c>
      <c r="CE6" s="43" t="s">
        <v>136</v>
      </c>
      <c r="CF6" s="43" t="s">
        <v>140</v>
      </c>
      <c r="CG6" s="43" t="s">
        <v>141</v>
      </c>
      <c r="CH6" s="43" t="s">
        <v>140</v>
      </c>
      <c r="CI6" s="56">
        <v>100</v>
      </c>
      <c r="CJ6" s="43" t="s">
        <v>142</v>
      </c>
      <c r="CK6" s="43" t="s">
        <v>143</v>
      </c>
      <c r="CL6" s="43" t="s">
        <v>95</v>
      </c>
      <c r="CM6" s="43" t="s">
        <v>144</v>
      </c>
      <c r="CN6" s="43" t="s">
        <v>145</v>
      </c>
      <c r="CO6" s="49" t="s">
        <v>109</v>
      </c>
      <c r="CP6" s="49" t="s">
        <v>109</v>
      </c>
      <c r="CQ6" s="57" t="s">
        <v>109</v>
      </c>
      <c r="CR6" s="52" t="s">
        <v>109</v>
      </c>
      <c r="CS6" s="49" t="s">
        <v>109</v>
      </c>
      <c r="CT6" s="58" t="s">
        <v>109</v>
      </c>
      <c r="CU6" s="58" t="s">
        <v>109</v>
      </c>
      <c r="CV6" s="61" t="s">
        <v>180</v>
      </c>
    </row>
    <row r="7" spans="1:100" ht="47.25" customHeight="1" x14ac:dyDescent="0.25">
      <c r="A7" s="64" t="s">
        <v>184</v>
      </c>
      <c r="B7" s="61"/>
      <c r="C7" s="61"/>
      <c r="D7" s="61" t="s">
        <v>175</v>
      </c>
      <c r="E7" s="38" t="s">
        <v>95</v>
      </c>
      <c r="F7" s="39" t="s">
        <v>220</v>
      </c>
      <c r="G7" s="39" t="s">
        <v>185</v>
      </c>
      <c r="H7" s="40" t="s">
        <v>96</v>
      </c>
      <c r="I7" s="40" t="s">
        <v>97</v>
      </c>
      <c r="J7" s="40" t="s">
        <v>98</v>
      </c>
      <c r="K7" s="41">
        <f t="shared" si="0"/>
        <v>45658</v>
      </c>
      <c r="L7" s="38" t="s">
        <v>95</v>
      </c>
      <c r="M7" s="40" t="s">
        <v>99</v>
      </c>
      <c r="N7" s="40" t="s">
        <v>146</v>
      </c>
      <c r="O7" s="42" t="s">
        <v>101</v>
      </c>
      <c r="P7" s="38" t="s">
        <v>147</v>
      </c>
      <c r="Q7" s="40" t="s">
        <v>103</v>
      </c>
      <c r="R7" s="40" t="s">
        <v>104</v>
      </c>
      <c r="S7" s="43" t="s">
        <v>105</v>
      </c>
      <c r="T7" s="43" t="s">
        <v>105</v>
      </c>
      <c r="U7" s="40" t="s">
        <v>98</v>
      </c>
      <c r="V7" s="44" t="s">
        <v>106</v>
      </c>
      <c r="W7" s="45" t="s">
        <v>107</v>
      </c>
      <c r="X7" s="40" t="s">
        <v>98</v>
      </c>
      <c r="Y7" s="46">
        <v>45658</v>
      </c>
      <c r="Z7" s="40" t="s">
        <v>108</v>
      </c>
      <c r="AA7" s="44" t="s">
        <v>186</v>
      </c>
      <c r="AB7" s="48" t="s">
        <v>167</v>
      </c>
      <c r="AC7" s="48" t="s">
        <v>183</v>
      </c>
      <c r="AD7" s="39" t="s">
        <v>176</v>
      </c>
      <c r="AE7" s="38">
        <v>970</v>
      </c>
      <c r="AF7" s="38" t="s">
        <v>57</v>
      </c>
      <c r="AG7" s="39">
        <v>40</v>
      </c>
      <c r="AH7" s="49" t="s">
        <v>157</v>
      </c>
      <c r="AI7" s="48" t="s">
        <v>114</v>
      </c>
      <c r="AJ7" s="46" t="s">
        <v>109</v>
      </c>
      <c r="AK7" s="41">
        <f t="shared" si="2"/>
        <v>45748</v>
      </c>
      <c r="AL7" s="40" t="s">
        <v>115</v>
      </c>
      <c r="AM7" s="39" t="s">
        <v>177</v>
      </c>
      <c r="AN7" s="39" t="s">
        <v>178</v>
      </c>
      <c r="AO7" s="40" t="s">
        <v>118</v>
      </c>
      <c r="AP7" s="50" t="s">
        <v>119</v>
      </c>
      <c r="AQ7" s="40" t="s">
        <v>120</v>
      </c>
      <c r="AR7" s="61" t="s">
        <v>120</v>
      </c>
      <c r="AS7" s="44" t="s">
        <v>109</v>
      </c>
      <c r="AT7" s="40" t="s">
        <v>121</v>
      </c>
      <c r="AU7" s="50" t="str">
        <f t="shared" si="6"/>
        <v>Permanent</v>
      </c>
      <c r="AV7" s="44" t="s">
        <v>123</v>
      </c>
      <c r="AW7" s="51">
        <f t="shared" si="3"/>
        <v>45657</v>
      </c>
      <c r="AX7" s="51">
        <f t="shared" si="4"/>
        <v>45657</v>
      </c>
      <c r="AY7" s="41" t="str">
        <f t="shared" si="5"/>
        <v>N/A</v>
      </c>
      <c r="AZ7" s="43" t="s">
        <v>95</v>
      </c>
      <c r="BA7" s="43" t="s">
        <v>124</v>
      </c>
      <c r="BB7" s="62" t="s">
        <v>481</v>
      </c>
      <c r="BC7" s="44">
        <v>36526</v>
      </c>
      <c r="BD7" s="44">
        <v>51136</v>
      </c>
      <c r="BE7" s="43" t="s">
        <v>95</v>
      </c>
      <c r="BF7" s="43" t="s">
        <v>127</v>
      </c>
      <c r="BG7" s="50">
        <v>8542366180</v>
      </c>
      <c r="BH7" s="44">
        <v>36526</v>
      </c>
      <c r="BI7" s="44">
        <v>51136</v>
      </c>
      <c r="BJ7" s="38" t="s">
        <v>128</v>
      </c>
      <c r="BK7" s="50" t="s">
        <v>149</v>
      </c>
      <c r="BL7" s="52">
        <v>32144</v>
      </c>
      <c r="BM7" s="53" t="s">
        <v>95</v>
      </c>
      <c r="BN7" s="43" t="s">
        <v>105</v>
      </c>
      <c r="BO7" s="38" t="s">
        <v>130</v>
      </c>
      <c r="BP7" s="54" t="s">
        <v>109</v>
      </c>
      <c r="BQ7" s="43" t="s">
        <v>131</v>
      </c>
      <c r="BR7" s="43" t="s">
        <v>95</v>
      </c>
      <c r="BS7" s="39" t="s">
        <v>120</v>
      </c>
      <c r="BT7" s="39" t="s">
        <v>109</v>
      </c>
      <c r="BU7" s="38" t="s">
        <v>132</v>
      </c>
      <c r="BV7" s="38" t="s">
        <v>133</v>
      </c>
      <c r="BW7" s="43" t="s">
        <v>134</v>
      </c>
      <c r="BX7" s="55" t="s">
        <v>150</v>
      </c>
      <c r="BY7" s="43" t="s">
        <v>136</v>
      </c>
      <c r="BZ7" s="43" t="s">
        <v>137</v>
      </c>
      <c r="CA7" s="43" t="s">
        <v>138</v>
      </c>
      <c r="CB7" s="43" t="s">
        <v>139</v>
      </c>
      <c r="CC7" s="55" t="s">
        <v>134</v>
      </c>
      <c r="CD7" s="40" t="s">
        <v>135</v>
      </c>
      <c r="CE7" s="43" t="s">
        <v>136</v>
      </c>
      <c r="CF7" s="43" t="s">
        <v>140</v>
      </c>
      <c r="CG7" s="43" t="s">
        <v>141</v>
      </c>
      <c r="CH7" s="43" t="s">
        <v>140</v>
      </c>
      <c r="CI7" s="56">
        <v>100</v>
      </c>
      <c r="CJ7" s="43" t="s">
        <v>142</v>
      </c>
      <c r="CK7" s="43" t="s">
        <v>143</v>
      </c>
      <c r="CL7" s="43" t="s">
        <v>95</v>
      </c>
      <c r="CM7" s="43" t="s">
        <v>151</v>
      </c>
      <c r="CN7" s="43" t="s">
        <v>145</v>
      </c>
      <c r="CO7" s="39" t="s">
        <v>152</v>
      </c>
      <c r="CP7" s="39" t="s">
        <v>153</v>
      </c>
      <c r="CQ7" s="39" t="s">
        <v>105</v>
      </c>
      <c r="CR7" s="52">
        <f t="shared" ref="CR7" ca="1" si="7">TODAY()-1500</f>
        <v>44271</v>
      </c>
      <c r="CS7" s="39" t="s">
        <v>154</v>
      </c>
      <c r="CT7" s="58">
        <v>1234035</v>
      </c>
      <c r="CU7" s="58">
        <v>123456028</v>
      </c>
      <c r="CV7" s="61" t="s">
        <v>184</v>
      </c>
    </row>
    <row r="8" spans="1:100" ht="51" customHeight="1" x14ac:dyDescent="0.25">
      <c r="A8" s="64" t="s">
        <v>188</v>
      </c>
      <c r="B8" s="61"/>
      <c r="C8" s="61"/>
      <c r="D8" s="37" t="s">
        <v>94</v>
      </c>
      <c r="E8" s="38" t="s">
        <v>95</v>
      </c>
      <c r="F8" s="39" t="s">
        <v>221</v>
      </c>
      <c r="G8" s="39" t="s">
        <v>187</v>
      </c>
      <c r="H8" s="40" t="s">
        <v>96</v>
      </c>
      <c r="I8" s="40" t="s">
        <v>97</v>
      </c>
      <c r="J8" s="40" t="s">
        <v>98</v>
      </c>
      <c r="K8" s="41">
        <f t="shared" ref="K8:K11" si="8">Y8</f>
        <v>45658</v>
      </c>
      <c r="L8" s="38" t="s">
        <v>95</v>
      </c>
      <c r="M8" s="40" t="s">
        <v>99</v>
      </c>
      <c r="N8" s="40" t="s">
        <v>100</v>
      </c>
      <c r="O8" s="42" t="s">
        <v>101</v>
      </c>
      <c r="P8" s="38" t="s">
        <v>102</v>
      </c>
      <c r="Q8" s="40" t="s">
        <v>103</v>
      </c>
      <c r="R8" s="40" t="s">
        <v>104</v>
      </c>
      <c r="S8" s="43" t="s">
        <v>105</v>
      </c>
      <c r="T8" s="43" t="s">
        <v>105</v>
      </c>
      <c r="U8" s="40" t="s">
        <v>98</v>
      </c>
      <c r="V8" s="44" t="s">
        <v>106</v>
      </c>
      <c r="W8" s="45" t="s">
        <v>107</v>
      </c>
      <c r="X8" s="40" t="s">
        <v>98</v>
      </c>
      <c r="Y8" s="46">
        <v>45658</v>
      </c>
      <c r="Z8" s="40" t="s">
        <v>108</v>
      </c>
      <c r="AA8" s="44" t="s">
        <v>109</v>
      </c>
      <c r="AB8" s="48" t="s">
        <v>110</v>
      </c>
      <c r="AC8" s="48" t="s">
        <v>111</v>
      </c>
      <c r="AD8" s="39" t="s">
        <v>112</v>
      </c>
      <c r="AE8" s="38">
        <v>970</v>
      </c>
      <c r="AF8" s="38" t="s">
        <v>57</v>
      </c>
      <c r="AG8" s="39">
        <v>20</v>
      </c>
      <c r="AH8" s="49" t="s">
        <v>113</v>
      </c>
      <c r="AI8" s="48" t="s">
        <v>114</v>
      </c>
      <c r="AJ8" s="46">
        <f t="shared" ref="AJ8:AJ10" si="9">Y8+365</f>
        <v>46023</v>
      </c>
      <c r="AK8" s="41">
        <f t="shared" si="2"/>
        <v>45748</v>
      </c>
      <c r="AL8" s="40" t="s">
        <v>115</v>
      </c>
      <c r="AM8" s="49" t="s">
        <v>116</v>
      </c>
      <c r="AN8" s="39" t="s">
        <v>160</v>
      </c>
      <c r="AO8" s="40" t="s">
        <v>118</v>
      </c>
      <c r="AP8" s="50" t="s">
        <v>119</v>
      </c>
      <c r="AQ8" s="40" t="s">
        <v>120</v>
      </c>
      <c r="AR8" s="61" t="s">
        <v>120</v>
      </c>
      <c r="AS8" s="44" t="s">
        <v>109</v>
      </c>
      <c r="AT8" s="40" t="s">
        <v>121</v>
      </c>
      <c r="AU8" s="50" t="str">
        <f t="shared" si="6"/>
        <v>Fixed Term (Fixed Term)</v>
      </c>
      <c r="AV8" s="44" t="s">
        <v>123</v>
      </c>
      <c r="AW8" s="51">
        <f t="shared" si="3"/>
        <v>45657</v>
      </c>
      <c r="AX8" s="51">
        <f t="shared" si="4"/>
        <v>45657</v>
      </c>
      <c r="AY8" s="41">
        <f t="shared" si="5"/>
        <v>46023</v>
      </c>
      <c r="AZ8" s="43" t="s">
        <v>95</v>
      </c>
      <c r="BA8" s="43" t="s">
        <v>124</v>
      </c>
      <c r="BB8" s="62" t="s">
        <v>488</v>
      </c>
      <c r="BC8" s="44" t="s">
        <v>125</v>
      </c>
      <c r="BD8" s="44" t="s">
        <v>126</v>
      </c>
      <c r="BE8" s="43" t="s">
        <v>95</v>
      </c>
      <c r="BF8" s="43" t="s">
        <v>127</v>
      </c>
      <c r="BG8" s="50">
        <v>8542366187</v>
      </c>
      <c r="BH8" s="44">
        <v>36526</v>
      </c>
      <c r="BI8" s="44">
        <v>51136</v>
      </c>
      <c r="BJ8" s="38" t="s">
        <v>128</v>
      </c>
      <c r="BK8" s="50" t="s">
        <v>129</v>
      </c>
      <c r="BL8" s="52">
        <v>39449</v>
      </c>
      <c r="BM8" s="53" t="s">
        <v>95</v>
      </c>
      <c r="BN8" s="43" t="s">
        <v>105</v>
      </c>
      <c r="BO8" s="38" t="s">
        <v>130</v>
      </c>
      <c r="BP8" s="54" t="s">
        <v>109</v>
      </c>
      <c r="BQ8" s="43" t="s">
        <v>131</v>
      </c>
      <c r="BR8" s="43" t="s">
        <v>95</v>
      </c>
      <c r="BS8" s="49" t="s">
        <v>120</v>
      </c>
      <c r="BT8" s="49" t="s">
        <v>109</v>
      </c>
      <c r="BU8" s="38" t="s">
        <v>132</v>
      </c>
      <c r="BV8" s="38" t="s">
        <v>133</v>
      </c>
      <c r="BW8" s="43" t="s">
        <v>134</v>
      </c>
      <c r="BX8" s="55" t="s">
        <v>135</v>
      </c>
      <c r="BY8" s="43" t="s">
        <v>136</v>
      </c>
      <c r="BZ8" s="43" t="s">
        <v>137</v>
      </c>
      <c r="CA8" s="43" t="s">
        <v>138</v>
      </c>
      <c r="CB8" s="43" t="s">
        <v>139</v>
      </c>
      <c r="CC8" s="55" t="s">
        <v>134</v>
      </c>
      <c r="CD8" s="40" t="s">
        <v>135</v>
      </c>
      <c r="CE8" s="43" t="s">
        <v>136</v>
      </c>
      <c r="CF8" s="43" t="s">
        <v>140</v>
      </c>
      <c r="CG8" s="43" t="s">
        <v>141</v>
      </c>
      <c r="CH8" s="43" t="s">
        <v>140</v>
      </c>
      <c r="CI8" s="56">
        <v>100</v>
      </c>
      <c r="CJ8" s="43" t="s">
        <v>142</v>
      </c>
      <c r="CK8" s="43" t="s">
        <v>143</v>
      </c>
      <c r="CL8" s="43" t="s">
        <v>95</v>
      </c>
      <c r="CM8" s="43" t="s">
        <v>144</v>
      </c>
      <c r="CN8" s="43" t="s">
        <v>145</v>
      </c>
      <c r="CO8" s="49" t="s">
        <v>109</v>
      </c>
      <c r="CP8" s="49" t="s">
        <v>109</v>
      </c>
      <c r="CQ8" s="57" t="s">
        <v>109</v>
      </c>
      <c r="CR8" s="52" t="s">
        <v>109</v>
      </c>
      <c r="CS8" s="49" t="s">
        <v>109</v>
      </c>
      <c r="CT8" s="58" t="s">
        <v>109</v>
      </c>
      <c r="CU8" s="58" t="s">
        <v>109</v>
      </c>
      <c r="CV8" s="61" t="s">
        <v>188</v>
      </c>
    </row>
    <row r="9" spans="1:100" ht="53.25" customHeight="1" x14ac:dyDescent="0.25">
      <c r="A9" s="64" t="s">
        <v>189</v>
      </c>
      <c r="B9" s="61"/>
      <c r="C9" s="61"/>
      <c r="D9" s="37" t="s">
        <v>94</v>
      </c>
      <c r="E9" s="38" t="s">
        <v>95</v>
      </c>
      <c r="F9" s="39" t="s">
        <v>222</v>
      </c>
      <c r="G9" s="39" t="s">
        <v>187</v>
      </c>
      <c r="H9" s="40" t="s">
        <v>96</v>
      </c>
      <c r="I9" s="40" t="s">
        <v>97</v>
      </c>
      <c r="J9" s="40" t="s">
        <v>98</v>
      </c>
      <c r="K9" s="41">
        <f t="shared" si="8"/>
        <v>45658</v>
      </c>
      <c r="L9" s="38" t="s">
        <v>95</v>
      </c>
      <c r="M9" s="40" t="s">
        <v>99</v>
      </c>
      <c r="N9" s="40" t="s">
        <v>146</v>
      </c>
      <c r="O9" s="42" t="s">
        <v>101</v>
      </c>
      <c r="P9" s="38" t="s">
        <v>147</v>
      </c>
      <c r="Q9" s="40" t="s">
        <v>103</v>
      </c>
      <c r="R9" s="40" t="s">
        <v>104</v>
      </c>
      <c r="S9" s="43" t="s">
        <v>105</v>
      </c>
      <c r="T9" s="43" t="s">
        <v>105</v>
      </c>
      <c r="U9" s="40" t="s">
        <v>98</v>
      </c>
      <c r="V9" s="44" t="s">
        <v>106</v>
      </c>
      <c r="W9" s="45" t="s">
        <v>107</v>
      </c>
      <c r="X9" s="40" t="s">
        <v>98</v>
      </c>
      <c r="Y9" s="46">
        <v>45658</v>
      </c>
      <c r="Z9" s="40" t="s">
        <v>108</v>
      </c>
      <c r="AA9" s="44" t="s">
        <v>109</v>
      </c>
      <c r="AB9" s="48" t="s">
        <v>110</v>
      </c>
      <c r="AC9" s="48" t="s">
        <v>111</v>
      </c>
      <c r="AD9" s="39" t="s">
        <v>112</v>
      </c>
      <c r="AE9" s="38">
        <v>970</v>
      </c>
      <c r="AF9" s="38" t="s">
        <v>57</v>
      </c>
      <c r="AG9" s="39">
        <v>20</v>
      </c>
      <c r="AH9" s="49" t="s">
        <v>113</v>
      </c>
      <c r="AI9" s="48" t="s">
        <v>114</v>
      </c>
      <c r="AJ9" s="46">
        <f t="shared" si="9"/>
        <v>46023</v>
      </c>
      <c r="AK9" s="41">
        <f t="shared" si="2"/>
        <v>45748</v>
      </c>
      <c r="AL9" s="40" t="s">
        <v>115</v>
      </c>
      <c r="AM9" s="49" t="s">
        <v>116</v>
      </c>
      <c r="AN9" s="39" t="s">
        <v>160</v>
      </c>
      <c r="AO9" s="40" t="s">
        <v>118</v>
      </c>
      <c r="AP9" s="50" t="s">
        <v>119</v>
      </c>
      <c r="AQ9" s="40" t="s">
        <v>120</v>
      </c>
      <c r="AR9" s="61" t="s">
        <v>120</v>
      </c>
      <c r="AS9" s="44" t="s">
        <v>109</v>
      </c>
      <c r="AT9" s="40" t="s">
        <v>121</v>
      </c>
      <c r="AU9" s="50" t="str">
        <f t="shared" si="6"/>
        <v>Fixed Term (Fixed Term)</v>
      </c>
      <c r="AV9" s="44" t="s">
        <v>123</v>
      </c>
      <c r="AW9" s="51">
        <f t="shared" si="3"/>
        <v>45657</v>
      </c>
      <c r="AX9" s="51">
        <f t="shared" si="4"/>
        <v>45657</v>
      </c>
      <c r="AY9" s="41">
        <f t="shared" si="5"/>
        <v>46023</v>
      </c>
      <c r="AZ9" s="43" t="s">
        <v>95</v>
      </c>
      <c r="BA9" s="43" t="s">
        <v>124</v>
      </c>
      <c r="BB9" s="62" t="s">
        <v>489</v>
      </c>
      <c r="BC9" s="44">
        <v>36526</v>
      </c>
      <c r="BD9" s="44">
        <v>51136</v>
      </c>
      <c r="BE9" s="43" t="s">
        <v>95</v>
      </c>
      <c r="BF9" s="43" t="s">
        <v>127</v>
      </c>
      <c r="BG9" s="50">
        <v>8542366188</v>
      </c>
      <c r="BH9" s="44">
        <v>36526</v>
      </c>
      <c r="BI9" s="44">
        <v>51136</v>
      </c>
      <c r="BJ9" s="38" t="s">
        <v>128</v>
      </c>
      <c r="BK9" s="50" t="s">
        <v>149</v>
      </c>
      <c r="BL9" s="52">
        <v>39449</v>
      </c>
      <c r="BM9" s="53" t="s">
        <v>95</v>
      </c>
      <c r="BN9" s="43" t="s">
        <v>105</v>
      </c>
      <c r="BO9" s="38" t="s">
        <v>130</v>
      </c>
      <c r="BP9" s="54" t="s">
        <v>109</v>
      </c>
      <c r="BQ9" s="43" t="s">
        <v>131</v>
      </c>
      <c r="BR9" s="43" t="s">
        <v>95</v>
      </c>
      <c r="BS9" s="49" t="s">
        <v>119</v>
      </c>
      <c r="BT9" s="49">
        <v>10</v>
      </c>
      <c r="BU9" s="38" t="s">
        <v>132</v>
      </c>
      <c r="BV9" s="38" t="s">
        <v>133</v>
      </c>
      <c r="BW9" s="43" t="s">
        <v>134</v>
      </c>
      <c r="BX9" s="55" t="s">
        <v>150</v>
      </c>
      <c r="BY9" s="43" t="s">
        <v>136</v>
      </c>
      <c r="BZ9" s="43" t="s">
        <v>137</v>
      </c>
      <c r="CA9" s="43" t="s">
        <v>138</v>
      </c>
      <c r="CB9" s="43" t="s">
        <v>139</v>
      </c>
      <c r="CC9" s="55" t="s">
        <v>134</v>
      </c>
      <c r="CD9" s="40" t="s">
        <v>135</v>
      </c>
      <c r="CE9" s="43" t="s">
        <v>136</v>
      </c>
      <c r="CF9" s="43" t="s">
        <v>140</v>
      </c>
      <c r="CG9" s="43" t="s">
        <v>141</v>
      </c>
      <c r="CH9" s="43" t="s">
        <v>140</v>
      </c>
      <c r="CI9" s="56">
        <v>100</v>
      </c>
      <c r="CJ9" s="43" t="s">
        <v>142</v>
      </c>
      <c r="CK9" s="43" t="s">
        <v>143</v>
      </c>
      <c r="CL9" s="43" t="s">
        <v>95</v>
      </c>
      <c r="CM9" s="43" t="s">
        <v>151</v>
      </c>
      <c r="CN9" s="43" t="s">
        <v>145</v>
      </c>
      <c r="CO9" s="49" t="s">
        <v>109</v>
      </c>
      <c r="CP9" s="49" t="s">
        <v>109</v>
      </c>
      <c r="CQ9" s="57" t="s">
        <v>109</v>
      </c>
      <c r="CR9" s="52" t="s">
        <v>109</v>
      </c>
      <c r="CS9" s="49" t="s">
        <v>109</v>
      </c>
      <c r="CT9" s="58" t="s">
        <v>109</v>
      </c>
      <c r="CU9" s="58" t="s">
        <v>109</v>
      </c>
      <c r="CV9" s="61" t="s">
        <v>189</v>
      </c>
    </row>
    <row r="10" spans="1:100" ht="50.25" customHeight="1" x14ac:dyDescent="0.25">
      <c r="A10" s="64" t="s">
        <v>190</v>
      </c>
      <c r="B10" s="61"/>
      <c r="C10" s="61"/>
      <c r="D10" s="37" t="s">
        <v>94</v>
      </c>
      <c r="E10" s="38" t="s">
        <v>95</v>
      </c>
      <c r="F10" s="39" t="s">
        <v>223</v>
      </c>
      <c r="G10" s="39" t="s">
        <v>187</v>
      </c>
      <c r="H10" s="40" t="s">
        <v>96</v>
      </c>
      <c r="I10" s="40" t="s">
        <v>97</v>
      </c>
      <c r="J10" s="40" t="s">
        <v>98</v>
      </c>
      <c r="K10" s="41">
        <f t="shared" si="8"/>
        <v>45658</v>
      </c>
      <c r="L10" s="38" t="s">
        <v>95</v>
      </c>
      <c r="M10" s="40" t="s">
        <v>99</v>
      </c>
      <c r="N10" s="40" t="s">
        <v>146</v>
      </c>
      <c r="O10" s="42" t="s">
        <v>101</v>
      </c>
      <c r="P10" s="38" t="s">
        <v>147</v>
      </c>
      <c r="Q10" s="40" t="s">
        <v>103</v>
      </c>
      <c r="R10" s="40" t="s">
        <v>104</v>
      </c>
      <c r="S10" s="43" t="s">
        <v>105</v>
      </c>
      <c r="T10" s="43" t="s">
        <v>105</v>
      </c>
      <c r="U10" s="40" t="s">
        <v>98</v>
      </c>
      <c r="V10" s="44" t="s">
        <v>106</v>
      </c>
      <c r="W10" s="45" t="s">
        <v>107</v>
      </c>
      <c r="X10" s="40" t="s">
        <v>98</v>
      </c>
      <c r="Y10" s="46">
        <v>45658</v>
      </c>
      <c r="Z10" s="40" t="s">
        <v>108</v>
      </c>
      <c r="AA10" s="44" t="s">
        <v>109</v>
      </c>
      <c r="AB10" s="48" t="s">
        <v>110</v>
      </c>
      <c r="AC10" s="48" t="s">
        <v>162</v>
      </c>
      <c r="AD10" s="48" t="s">
        <v>112</v>
      </c>
      <c r="AE10" s="38">
        <v>970</v>
      </c>
      <c r="AF10" s="38" t="s">
        <v>57</v>
      </c>
      <c r="AG10" s="39">
        <v>25</v>
      </c>
      <c r="AH10" s="49" t="s">
        <v>113</v>
      </c>
      <c r="AI10" s="48" t="s">
        <v>114</v>
      </c>
      <c r="AJ10" s="46">
        <f t="shared" si="9"/>
        <v>46023</v>
      </c>
      <c r="AK10" s="41">
        <f t="shared" si="2"/>
        <v>45748</v>
      </c>
      <c r="AL10" s="40" t="s">
        <v>115</v>
      </c>
      <c r="AM10" s="49" t="s">
        <v>116</v>
      </c>
      <c r="AN10" s="39" t="s">
        <v>163</v>
      </c>
      <c r="AO10" s="40" t="s">
        <v>118</v>
      </c>
      <c r="AP10" s="50" t="s">
        <v>119</v>
      </c>
      <c r="AQ10" s="40" t="s">
        <v>120</v>
      </c>
      <c r="AR10" s="61" t="s">
        <v>120</v>
      </c>
      <c r="AS10" s="44" t="s">
        <v>109</v>
      </c>
      <c r="AT10" s="40" t="s">
        <v>121</v>
      </c>
      <c r="AU10" s="50" t="str">
        <f t="shared" si="6"/>
        <v>Fixed Term (Fixed Term)</v>
      </c>
      <c r="AV10" s="44" t="s">
        <v>123</v>
      </c>
      <c r="AW10" s="51">
        <f t="shared" si="3"/>
        <v>45657</v>
      </c>
      <c r="AX10" s="51">
        <f t="shared" si="4"/>
        <v>45657</v>
      </c>
      <c r="AY10" s="41">
        <f t="shared" si="5"/>
        <v>46023</v>
      </c>
      <c r="AZ10" s="43" t="s">
        <v>95</v>
      </c>
      <c r="BA10" s="43" t="s">
        <v>124</v>
      </c>
      <c r="BB10" s="62" t="s">
        <v>491</v>
      </c>
      <c r="BC10" s="44">
        <v>36526</v>
      </c>
      <c r="BD10" s="44">
        <v>51136</v>
      </c>
      <c r="BE10" s="43" t="s">
        <v>95</v>
      </c>
      <c r="BF10" s="43" t="s">
        <v>127</v>
      </c>
      <c r="BG10" s="50">
        <v>8542366190</v>
      </c>
      <c r="BH10" s="44">
        <v>36526</v>
      </c>
      <c r="BI10" s="44">
        <v>51136</v>
      </c>
      <c r="BJ10" s="38" t="s">
        <v>128</v>
      </c>
      <c r="BK10" s="50" t="s">
        <v>149</v>
      </c>
      <c r="BL10" s="52">
        <v>39449</v>
      </c>
      <c r="BM10" s="53" t="s">
        <v>95</v>
      </c>
      <c r="BN10" s="43" t="s">
        <v>105</v>
      </c>
      <c r="BO10" s="38" t="s">
        <v>130</v>
      </c>
      <c r="BP10" s="54" t="s">
        <v>109</v>
      </c>
      <c r="BQ10" s="43" t="s">
        <v>131</v>
      </c>
      <c r="BR10" s="43" t="s">
        <v>95</v>
      </c>
      <c r="BS10" s="49" t="s">
        <v>120</v>
      </c>
      <c r="BT10" s="49" t="s">
        <v>109</v>
      </c>
      <c r="BU10" s="38" t="s">
        <v>132</v>
      </c>
      <c r="BV10" s="38" t="s">
        <v>133</v>
      </c>
      <c r="BW10" s="43" t="s">
        <v>134</v>
      </c>
      <c r="BX10" s="55" t="s">
        <v>150</v>
      </c>
      <c r="BY10" s="43" t="s">
        <v>136</v>
      </c>
      <c r="BZ10" s="43" t="s">
        <v>137</v>
      </c>
      <c r="CA10" s="43" t="s">
        <v>138</v>
      </c>
      <c r="CB10" s="43" t="s">
        <v>139</v>
      </c>
      <c r="CC10" s="55" t="s">
        <v>134</v>
      </c>
      <c r="CD10" s="40" t="s">
        <v>135</v>
      </c>
      <c r="CE10" s="43" t="s">
        <v>136</v>
      </c>
      <c r="CF10" s="43" t="s">
        <v>140</v>
      </c>
      <c r="CG10" s="43" t="s">
        <v>141</v>
      </c>
      <c r="CH10" s="43" t="s">
        <v>140</v>
      </c>
      <c r="CI10" s="56">
        <v>100</v>
      </c>
      <c r="CJ10" s="43" t="s">
        <v>142</v>
      </c>
      <c r="CK10" s="43" t="s">
        <v>143</v>
      </c>
      <c r="CL10" s="43" t="s">
        <v>95</v>
      </c>
      <c r="CM10" s="43" t="s">
        <v>151</v>
      </c>
      <c r="CN10" s="43" t="s">
        <v>145</v>
      </c>
      <c r="CO10" s="49" t="s">
        <v>109</v>
      </c>
      <c r="CP10" s="49" t="s">
        <v>109</v>
      </c>
      <c r="CQ10" s="57" t="s">
        <v>109</v>
      </c>
      <c r="CR10" s="52" t="s">
        <v>109</v>
      </c>
      <c r="CS10" s="49" t="s">
        <v>109</v>
      </c>
      <c r="CT10" s="58" t="s">
        <v>109</v>
      </c>
      <c r="CU10" s="58" t="s">
        <v>109</v>
      </c>
      <c r="CV10" s="61" t="s">
        <v>190</v>
      </c>
    </row>
    <row r="11" spans="1:100" ht="14.45" customHeight="1" x14ac:dyDescent="0.25">
      <c r="A11" s="64" t="s">
        <v>191</v>
      </c>
      <c r="B11" s="36"/>
      <c r="C11" s="61"/>
      <c r="D11" s="37" t="s">
        <v>94</v>
      </c>
      <c r="E11" s="38" t="s">
        <v>95</v>
      </c>
      <c r="F11" s="39" t="s">
        <v>224</v>
      </c>
      <c r="G11" s="39" t="s">
        <v>187</v>
      </c>
      <c r="H11" s="40" t="s">
        <v>96</v>
      </c>
      <c r="I11" s="40" t="s">
        <v>97</v>
      </c>
      <c r="J11" s="40" t="s">
        <v>98</v>
      </c>
      <c r="K11" s="41">
        <f t="shared" si="8"/>
        <v>45658</v>
      </c>
      <c r="L11" s="38" t="s">
        <v>95</v>
      </c>
      <c r="M11" s="40" t="s">
        <v>99</v>
      </c>
      <c r="N11" s="40" t="s">
        <v>146</v>
      </c>
      <c r="O11" s="42" t="s">
        <v>101</v>
      </c>
      <c r="P11" s="38" t="s">
        <v>147</v>
      </c>
      <c r="Q11" s="40" t="s">
        <v>103</v>
      </c>
      <c r="R11" s="40" t="s">
        <v>104</v>
      </c>
      <c r="S11" s="43" t="s">
        <v>105</v>
      </c>
      <c r="T11" s="43" t="s">
        <v>105</v>
      </c>
      <c r="U11" s="40" t="s">
        <v>98</v>
      </c>
      <c r="V11" s="44" t="s">
        <v>106</v>
      </c>
      <c r="W11" s="45" t="s">
        <v>107</v>
      </c>
      <c r="X11" s="40" t="s">
        <v>98</v>
      </c>
      <c r="Y11" s="46">
        <v>45658</v>
      </c>
      <c r="Z11" s="40" t="s">
        <v>108</v>
      </c>
      <c r="AA11" s="44" t="s">
        <v>109</v>
      </c>
      <c r="AB11" s="48" t="s">
        <v>167</v>
      </c>
      <c r="AC11" s="48" t="s">
        <v>170</v>
      </c>
      <c r="AD11" s="39" t="s">
        <v>176</v>
      </c>
      <c r="AE11" s="38">
        <v>970</v>
      </c>
      <c r="AF11" s="38" t="s">
        <v>57</v>
      </c>
      <c r="AG11" s="39">
        <v>40</v>
      </c>
      <c r="AH11" s="49" t="s">
        <v>113</v>
      </c>
      <c r="AI11" s="48" t="s">
        <v>114</v>
      </c>
      <c r="AJ11" s="46" t="s">
        <v>109</v>
      </c>
      <c r="AK11" s="41">
        <f t="shared" si="2"/>
        <v>45748</v>
      </c>
      <c r="AL11" s="40" t="s">
        <v>115</v>
      </c>
      <c r="AM11" s="49" t="s">
        <v>116</v>
      </c>
      <c r="AN11" s="39" t="s">
        <v>171</v>
      </c>
      <c r="AO11" s="40" t="s">
        <v>118</v>
      </c>
      <c r="AP11" s="50" t="s">
        <v>119</v>
      </c>
      <c r="AQ11" s="40" t="s">
        <v>120</v>
      </c>
      <c r="AR11" s="61" t="s">
        <v>120</v>
      </c>
      <c r="AS11" s="44" t="s">
        <v>109</v>
      </c>
      <c r="AT11" s="40" t="s">
        <v>121</v>
      </c>
      <c r="AU11" s="50" t="str">
        <f t="shared" si="6"/>
        <v>Permanent</v>
      </c>
      <c r="AV11" s="44" t="s">
        <v>123</v>
      </c>
      <c r="AW11" s="51">
        <f t="shared" si="3"/>
        <v>45657</v>
      </c>
      <c r="AX11" s="51">
        <f t="shared" si="4"/>
        <v>45657</v>
      </c>
      <c r="AY11" s="41" t="str">
        <f t="shared" si="5"/>
        <v>N/A</v>
      </c>
      <c r="AZ11" s="43" t="s">
        <v>95</v>
      </c>
      <c r="BA11" s="43" t="s">
        <v>124</v>
      </c>
      <c r="BB11" s="62" t="s">
        <v>460</v>
      </c>
      <c r="BC11" s="44">
        <v>36526</v>
      </c>
      <c r="BD11" s="44">
        <v>51136</v>
      </c>
      <c r="BE11" s="43" t="s">
        <v>95</v>
      </c>
      <c r="BF11" s="43" t="s">
        <v>127</v>
      </c>
      <c r="BG11" s="50">
        <v>8542366010</v>
      </c>
      <c r="BH11" s="44">
        <v>36526</v>
      </c>
      <c r="BI11" s="44">
        <v>51136</v>
      </c>
      <c r="BJ11" s="38" t="s">
        <v>128</v>
      </c>
      <c r="BK11" s="50" t="s">
        <v>149</v>
      </c>
      <c r="BL11" s="52">
        <v>39449</v>
      </c>
      <c r="BM11" s="53" t="s">
        <v>95</v>
      </c>
      <c r="BN11" s="43" t="s">
        <v>105</v>
      </c>
      <c r="BO11" s="38" t="s">
        <v>130</v>
      </c>
      <c r="BP11" s="54" t="s">
        <v>109</v>
      </c>
      <c r="BQ11" s="43" t="s">
        <v>131</v>
      </c>
      <c r="BR11" s="43" t="s">
        <v>95</v>
      </c>
      <c r="BS11" s="49" t="s">
        <v>120</v>
      </c>
      <c r="BT11" s="49" t="s">
        <v>109</v>
      </c>
      <c r="BU11" s="38" t="s">
        <v>132</v>
      </c>
      <c r="BV11" s="38" t="s">
        <v>133</v>
      </c>
      <c r="BW11" s="43" t="s">
        <v>134</v>
      </c>
      <c r="BX11" s="55" t="s">
        <v>150</v>
      </c>
      <c r="BY11" s="43" t="s">
        <v>136</v>
      </c>
      <c r="BZ11" s="43" t="s">
        <v>137</v>
      </c>
      <c r="CA11" s="43" t="s">
        <v>138</v>
      </c>
      <c r="CB11" s="43" t="s">
        <v>139</v>
      </c>
      <c r="CC11" s="55" t="s">
        <v>134</v>
      </c>
      <c r="CD11" s="40" t="s">
        <v>135</v>
      </c>
      <c r="CE11" s="43" t="s">
        <v>136</v>
      </c>
      <c r="CF11" s="43" t="s">
        <v>140</v>
      </c>
      <c r="CG11" s="43" t="s">
        <v>141</v>
      </c>
      <c r="CH11" s="43" t="s">
        <v>140</v>
      </c>
      <c r="CI11" s="56">
        <v>100</v>
      </c>
      <c r="CJ11" s="43" t="s">
        <v>142</v>
      </c>
      <c r="CK11" s="43" t="s">
        <v>143</v>
      </c>
      <c r="CL11" s="43" t="s">
        <v>95</v>
      </c>
      <c r="CM11" s="43" t="s">
        <v>151</v>
      </c>
      <c r="CN11" s="43" t="s">
        <v>145</v>
      </c>
      <c r="CO11" s="49" t="s">
        <v>109</v>
      </c>
      <c r="CP11" s="49" t="s">
        <v>109</v>
      </c>
      <c r="CQ11" s="57" t="s">
        <v>109</v>
      </c>
      <c r="CR11" s="52" t="s">
        <v>109</v>
      </c>
      <c r="CS11" s="49" t="s">
        <v>109</v>
      </c>
      <c r="CT11" s="58" t="s">
        <v>109</v>
      </c>
      <c r="CU11" s="58" t="s">
        <v>109</v>
      </c>
      <c r="CV11" s="61" t="s">
        <v>191</v>
      </c>
    </row>
    <row r="12" spans="1:100" ht="14.45" customHeight="1" x14ac:dyDescent="0.25">
      <c r="A12" s="64" t="s">
        <v>193</v>
      </c>
      <c r="B12" s="36"/>
      <c r="C12" s="61"/>
      <c r="D12" s="37" t="s">
        <v>94</v>
      </c>
      <c r="E12" s="38" t="s">
        <v>95</v>
      </c>
      <c r="F12" s="39" t="s">
        <v>225</v>
      </c>
      <c r="G12" s="39" t="s">
        <v>192</v>
      </c>
      <c r="H12" s="40" t="s">
        <v>96</v>
      </c>
      <c r="I12" s="40" t="s">
        <v>97</v>
      </c>
      <c r="J12" s="40" t="s">
        <v>98</v>
      </c>
      <c r="K12" s="41">
        <f>Y12</f>
        <v>45658</v>
      </c>
      <c r="L12" s="38" t="s">
        <v>95</v>
      </c>
      <c r="M12" s="40" t="s">
        <v>99</v>
      </c>
      <c r="N12" s="40" t="s">
        <v>100</v>
      </c>
      <c r="O12" s="42" t="s">
        <v>101</v>
      </c>
      <c r="P12" s="38" t="s">
        <v>102</v>
      </c>
      <c r="Q12" s="40" t="s">
        <v>103</v>
      </c>
      <c r="R12" s="40" t="s">
        <v>104</v>
      </c>
      <c r="S12" s="43" t="s">
        <v>105</v>
      </c>
      <c r="T12" s="43" t="s">
        <v>105</v>
      </c>
      <c r="U12" s="40" t="s">
        <v>98</v>
      </c>
      <c r="V12" s="44" t="s">
        <v>106</v>
      </c>
      <c r="W12" s="45" t="s">
        <v>107</v>
      </c>
      <c r="X12" s="40" t="s">
        <v>98</v>
      </c>
      <c r="Y12" s="46">
        <v>45658</v>
      </c>
      <c r="Z12" s="40" t="s">
        <v>108</v>
      </c>
      <c r="AA12" s="47" t="s">
        <v>109</v>
      </c>
      <c r="AB12" s="48" t="s">
        <v>110</v>
      </c>
      <c r="AC12" s="48" t="s">
        <v>111</v>
      </c>
      <c r="AD12" s="48" t="s">
        <v>112</v>
      </c>
      <c r="AE12" s="38">
        <v>970</v>
      </c>
      <c r="AF12" s="38" t="s">
        <v>57</v>
      </c>
      <c r="AG12" s="48">
        <v>40</v>
      </c>
      <c r="AH12" s="49" t="s">
        <v>113</v>
      </c>
      <c r="AI12" s="48" t="s">
        <v>114</v>
      </c>
      <c r="AJ12" s="46">
        <f>Y12+365</f>
        <v>46023</v>
      </c>
      <c r="AK12" s="41">
        <f t="shared" ref="AK12:AK23" si="10">Y12+90</f>
        <v>45748</v>
      </c>
      <c r="AL12" s="40" t="s">
        <v>115</v>
      </c>
      <c r="AM12" s="49" t="s">
        <v>116</v>
      </c>
      <c r="AN12" s="48" t="s">
        <v>117</v>
      </c>
      <c r="AO12" s="40" t="s">
        <v>118</v>
      </c>
      <c r="AP12" s="50" t="s">
        <v>119</v>
      </c>
      <c r="AQ12" s="40" t="s">
        <v>120</v>
      </c>
      <c r="AR12" s="61" t="s">
        <v>120</v>
      </c>
      <c r="AS12" s="44" t="s">
        <v>109</v>
      </c>
      <c r="AT12" s="40" t="s">
        <v>121</v>
      </c>
      <c r="AU12" t="s">
        <v>122</v>
      </c>
      <c r="AV12" s="44" t="s">
        <v>123</v>
      </c>
      <c r="AW12" s="51">
        <f t="shared" si="3"/>
        <v>45657</v>
      </c>
      <c r="AX12" s="51">
        <f t="shared" si="4"/>
        <v>45657</v>
      </c>
      <c r="AY12" s="41">
        <f t="shared" si="5"/>
        <v>46023</v>
      </c>
      <c r="AZ12" s="43" t="s">
        <v>95</v>
      </c>
      <c r="BA12" s="43" t="s">
        <v>124</v>
      </c>
      <c r="BB12" s="62" t="s">
        <v>463</v>
      </c>
      <c r="BC12" s="44" t="s">
        <v>125</v>
      </c>
      <c r="BD12" s="44" t="s">
        <v>126</v>
      </c>
      <c r="BE12" s="43" t="s">
        <v>95</v>
      </c>
      <c r="BF12" s="43" t="s">
        <v>127</v>
      </c>
      <c r="BG12" s="50">
        <v>8542366013</v>
      </c>
      <c r="BH12" s="44">
        <v>36526</v>
      </c>
      <c r="BI12" s="44">
        <v>51136</v>
      </c>
      <c r="BJ12" s="38" t="s">
        <v>128</v>
      </c>
      <c r="BK12" s="50" t="s">
        <v>129</v>
      </c>
      <c r="BL12" s="52">
        <v>32144</v>
      </c>
      <c r="BM12" s="53" t="s">
        <v>95</v>
      </c>
      <c r="BN12" s="43" t="s">
        <v>105</v>
      </c>
      <c r="BO12" s="38" t="s">
        <v>130</v>
      </c>
      <c r="BP12" s="54" t="s">
        <v>109</v>
      </c>
      <c r="BQ12" s="43" t="s">
        <v>131</v>
      </c>
      <c r="BR12" s="43" t="s">
        <v>95</v>
      </c>
      <c r="BS12" s="49" t="s">
        <v>119</v>
      </c>
      <c r="BT12" s="49">
        <v>10</v>
      </c>
      <c r="BU12" s="38" t="s">
        <v>132</v>
      </c>
      <c r="BV12" s="38" t="s">
        <v>133</v>
      </c>
      <c r="BW12" s="43" t="s">
        <v>134</v>
      </c>
      <c r="BX12" s="55" t="s">
        <v>135</v>
      </c>
      <c r="BY12" s="43" t="s">
        <v>136</v>
      </c>
      <c r="BZ12" s="43" t="s">
        <v>137</v>
      </c>
      <c r="CA12" s="43" t="s">
        <v>138</v>
      </c>
      <c r="CB12" s="43" t="s">
        <v>139</v>
      </c>
      <c r="CC12" s="55" t="s">
        <v>134</v>
      </c>
      <c r="CD12" s="40" t="s">
        <v>135</v>
      </c>
      <c r="CE12" s="43" t="s">
        <v>136</v>
      </c>
      <c r="CF12" s="43" t="s">
        <v>140</v>
      </c>
      <c r="CG12" s="43" t="s">
        <v>141</v>
      </c>
      <c r="CH12" s="43" t="s">
        <v>140</v>
      </c>
      <c r="CI12" s="56">
        <v>100</v>
      </c>
      <c r="CJ12" s="43" t="s">
        <v>142</v>
      </c>
      <c r="CK12" s="43" t="s">
        <v>143</v>
      </c>
      <c r="CL12" s="43" t="s">
        <v>95</v>
      </c>
      <c r="CM12" s="43" t="s">
        <v>144</v>
      </c>
      <c r="CN12" s="43" t="s">
        <v>145</v>
      </c>
      <c r="CO12" s="49" t="s">
        <v>152</v>
      </c>
      <c r="CP12" s="49" t="s">
        <v>153</v>
      </c>
      <c r="CQ12" s="57" t="s">
        <v>105</v>
      </c>
      <c r="CR12" s="52">
        <f ca="1">TODAY()-1500</f>
        <v>44271</v>
      </c>
      <c r="CS12" s="49" t="s">
        <v>154</v>
      </c>
      <c r="CT12" s="58">
        <v>1234037</v>
      </c>
      <c r="CU12" s="58">
        <v>123456030</v>
      </c>
      <c r="CV12" s="35" t="s">
        <v>193</v>
      </c>
    </row>
    <row r="13" spans="1:100" ht="14.45" customHeight="1" x14ac:dyDescent="0.25">
      <c r="A13" s="64" t="s">
        <v>194</v>
      </c>
      <c r="B13" s="36"/>
      <c r="C13" s="61"/>
      <c r="D13" s="37" t="s">
        <v>94</v>
      </c>
      <c r="E13" s="38" t="s">
        <v>95</v>
      </c>
      <c r="F13" s="39" t="s">
        <v>226</v>
      </c>
      <c r="G13" s="39" t="s">
        <v>192</v>
      </c>
      <c r="H13" s="40" t="s">
        <v>96</v>
      </c>
      <c r="I13" s="40" t="s">
        <v>97</v>
      </c>
      <c r="J13" s="40" t="s">
        <v>98</v>
      </c>
      <c r="K13" s="41">
        <f t="shared" ref="K13:K23" si="11">Y13</f>
        <v>45658</v>
      </c>
      <c r="L13" s="38" t="s">
        <v>95</v>
      </c>
      <c r="M13" s="40" t="s">
        <v>99</v>
      </c>
      <c r="N13" s="40" t="s">
        <v>146</v>
      </c>
      <c r="O13" s="42" t="s">
        <v>101</v>
      </c>
      <c r="P13" s="38" t="s">
        <v>147</v>
      </c>
      <c r="Q13" s="40" t="s">
        <v>103</v>
      </c>
      <c r="R13" s="40" t="s">
        <v>104</v>
      </c>
      <c r="S13" s="43" t="s">
        <v>105</v>
      </c>
      <c r="T13" s="43" t="s">
        <v>105</v>
      </c>
      <c r="U13" s="40" t="s">
        <v>98</v>
      </c>
      <c r="V13" s="44" t="s">
        <v>106</v>
      </c>
      <c r="W13" s="45" t="s">
        <v>107</v>
      </c>
      <c r="X13" s="40" t="s">
        <v>98</v>
      </c>
      <c r="Y13" s="46">
        <v>45658</v>
      </c>
      <c r="Z13" s="40" t="s">
        <v>108</v>
      </c>
      <c r="AA13" s="47" t="s">
        <v>109</v>
      </c>
      <c r="AB13" s="48" t="s">
        <v>110</v>
      </c>
      <c r="AC13" s="48" t="s">
        <v>111</v>
      </c>
      <c r="AD13" s="48" t="s">
        <v>112</v>
      </c>
      <c r="AE13" s="38">
        <v>970</v>
      </c>
      <c r="AF13" s="38" t="s">
        <v>57</v>
      </c>
      <c r="AG13" s="48">
        <v>40</v>
      </c>
      <c r="AH13" s="49" t="s">
        <v>113</v>
      </c>
      <c r="AI13" s="48" t="s">
        <v>114</v>
      </c>
      <c r="AJ13" s="46">
        <f t="shared" ref="AJ13" si="12">Y13+365</f>
        <v>46023</v>
      </c>
      <c r="AK13" s="41">
        <f t="shared" si="10"/>
        <v>45748</v>
      </c>
      <c r="AL13" s="40" t="s">
        <v>115</v>
      </c>
      <c r="AM13" s="49" t="s">
        <v>116</v>
      </c>
      <c r="AN13" s="48" t="s">
        <v>155</v>
      </c>
      <c r="AO13" s="40" t="s">
        <v>118</v>
      </c>
      <c r="AP13" s="50" t="s">
        <v>119</v>
      </c>
      <c r="AQ13" s="40" t="s">
        <v>120</v>
      </c>
      <c r="AR13" s="61" t="s">
        <v>120</v>
      </c>
      <c r="AS13" s="44" t="s">
        <v>109</v>
      </c>
      <c r="AT13" s="40" t="s">
        <v>121</v>
      </c>
      <c r="AU13" t="s">
        <v>122</v>
      </c>
      <c r="AV13" s="44" t="s">
        <v>123</v>
      </c>
      <c r="AW13" s="51">
        <f t="shared" si="3"/>
        <v>45657</v>
      </c>
      <c r="AX13" s="51">
        <f t="shared" si="4"/>
        <v>45657</v>
      </c>
      <c r="AY13" s="41">
        <f t="shared" si="5"/>
        <v>46023</v>
      </c>
      <c r="AZ13" s="43" t="s">
        <v>95</v>
      </c>
      <c r="BA13" s="43" t="s">
        <v>124</v>
      </c>
      <c r="BB13" s="62" t="s">
        <v>464</v>
      </c>
      <c r="BC13" s="44">
        <v>36526</v>
      </c>
      <c r="BD13" s="44">
        <v>51136</v>
      </c>
      <c r="BE13" s="43" t="s">
        <v>95</v>
      </c>
      <c r="BF13" s="43" t="s">
        <v>127</v>
      </c>
      <c r="BG13" s="50">
        <v>8542366014</v>
      </c>
      <c r="BH13" s="44">
        <v>36526</v>
      </c>
      <c r="BI13" s="44">
        <v>51136</v>
      </c>
      <c r="BJ13" s="38" t="s">
        <v>128</v>
      </c>
      <c r="BK13" s="50" t="s">
        <v>149</v>
      </c>
      <c r="BL13" s="52">
        <v>32144</v>
      </c>
      <c r="BM13" s="53" t="s">
        <v>95</v>
      </c>
      <c r="BN13" s="43" t="s">
        <v>105</v>
      </c>
      <c r="BO13" s="38" t="s">
        <v>130</v>
      </c>
      <c r="BP13" s="54" t="s">
        <v>109</v>
      </c>
      <c r="BQ13" s="43" t="s">
        <v>131</v>
      </c>
      <c r="BR13" s="43" t="s">
        <v>95</v>
      </c>
      <c r="BS13" s="49" t="s">
        <v>120</v>
      </c>
      <c r="BT13" s="49" t="s">
        <v>109</v>
      </c>
      <c r="BU13" s="38" t="s">
        <v>132</v>
      </c>
      <c r="BV13" s="38" t="s">
        <v>133</v>
      </c>
      <c r="BW13" s="43" t="s">
        <v>134</v>
      </c>
      <c r="BX13" s="55" t="s">
        <v>150</v>
      </c>
      <c r="BY13" s="43" t="s">
        <v>136</v>
      </c>
      <c r="BZ13" s="43" t="s">
        <v>137</v>
      </c>
      <c r="CA13" s="43" t="s">
        <v>138</v>
      </c>
      <c r="CB13" s="43" t="s">
        <v>139</v>
      </c>
      <c r="CC13" s="55" t="s">
        <v>134</v>
      </c>
      <c r="CD13" s="40" t="s">
        <v>135</v>
      </c>
      <c r="CE13" s="43" t="s">
        <v>136</v>
      </c>
      <c r="CF13" s="43" t="s">
        <v>140</v>
      </c>
      <c r="CG13" s="43" t="s">
        <v>141</v>
      </c>
      <c r="CH13" s="43" t="s">
        <v>140</v>
      </c>
      <c r="CI13" s="56">
        <v>100</v>
      </c>
      <c r="CJ13" s="43" t="s">
        <v>142</v>
      </c>
      <c r="CK13" s="43" t="s">
        <v>143</v>
      </c>
      <c r="CL13" s="43" t="s">
        <v>95</v>
      </c>
      <c r="CM13" s="43" t="s">
        <v>151</v>
      </c>
      <c r="CN13" s="43" t="s">
        <v>145</v>
      </c>
      <c r="CO13" s="49" t="s">
        <v>152</v>
      </c>
      <c r="CP13" s="49" t="s">
        <v>153</v>
      </c>
      <c r="CQ13" s="57" t="s">
        <v>105</v>
      </c>
      <c r="CR13" s="52">
        <v>38790</v>
      </c>
      <c r="CS13" s="49" t="s">
        <v>154</v>
      </c>
      <c r="CT13" s="58">
        <v>1234038</v>
      </c>
      <c r="CU13" s="58">
        <v>123456031</v>
      </c>
      <c r="CV13" s="35" t="s">
        <v>194</v>
      </c>
    </row>
    <row r="14" spans="1:100" ht="14.45" customHeight="1" x14ac:dyDescent="0.25">
      <c r="A14" s="64" t="s">
        <v>195</v>
      </c>
      <c r="B14" s="36"/>
      <c r="C14" s="61"/>
      <c r="D14" s="37" t="s">
        <v>94</v>
      </c>
      <c r="E14" s="38" t="s">
        <v>95</v>
      </c>
      <c r="F14" s="39" t="s">
        <v>227</v>
      </c>
      <c r="G14" s="39" t="s">
        <v>192</v>
      </c>
      <c r="H14" s="40" t="s">
        <v>96</v>
      </c>
      <c r="I14" s="40" t="s">
        <v>97</v>
      </c>
      <c r="J14" s="40" t="s">
        <v>98</v>
      </c>
      <c r="K14" s="41">
        <f t="shared" si="11"/>
        <v>45292</v>
      </c>
      <c r="L14" s="38" t="s">
        <v>95</v>
      </c>
      <c r="M14" s="40" t="s">
        <v>99</v>
      </c>
      <c r="N14" s="40" t="s">
        <v>100</v>
      </c>
      <c r="O14" s="42" t="s">
        <v>101</v>
      </c>
      <c r="P14" s="38" t="s">
        <v>102</v>
      </c>
      <c r="Q14" s="40" t="s">
        <v>103</v>
      </c>
      <c r="R14" s="40" t="s">
        <v>104</v>
      </c>
      <c r="S14" s="43" t="s">
        <v>105</v>
      </c>
      <c r="T14" s="43" t="s">
        <v>105</v>
      </c>
      <c r="U14" s="40" t="s">
        <v>98</v>
      </c>
      <c r="V14" s="44" t="s">
        <v>106</v>
      </c>
      <c r="W14" s="45" t="s">
        <v>107</v>
      </c>
      <c r="X14" s="40" t="s">
        <v>98</v>
      </c>
      <c r="Y14" s="46">
        <v>45292</v>
      </c>
      <c r="Z14" s="40" t="s">
        <v>108</v>
      </c>
      <c r="AA14" s="44" t="s">
        <v>109</v>
      </c>
      <c r="AB14" s="48" t="s">
        <v>167</v>
      </c>
      <c r="AC14" s="48" t="s">
        <v>111</v>
      </c>
      <c r="AD14" s="39" t="s">
        <v>176</v>
      </c>
      <c r="AE14" s="38">
        <v>970</v>
      </c>
      <c r="AF14" s="38" t="s">
        <v>57</v>
      </c>
      <c r="AG14" s="39">
        <v>40</v>
      </c>
      <c r="AH14" s="49" t="s">
        <v>157</v>
      </c>
      <c r="AI14" s="48" t="s">
        <v>114</v>
      </c>
      <c r="AJ14" s="46" t="s">
        <v>109</v>
      </c>
      <c r="AK14" s="41">
        <f t="shared" si="10"/>
        <v>45382</v>
      </c>
      <c r="AL14" s="40" t="s">
        <v>115</v>
      </c>
      <c r="AM14" s="49" t="s">
        <v>116</v>
      </c>
      <c r="AN14" s="48" t="s">
        <v>155</v>
      </c>
      <c r="AO14" s="40" t="s">
        <v>118</v>
      </c>
      <c r="AP14" s="50" t="s">
        <v>119</v>
      </c>
      <c r="AQ14" s="40" t="s">
        <v>120</v>
      </c>
      <c r="AR14" s="61" t="s">
        <v>120</v>
      </c>
      <c r="AS14" s="44" t="s">
        <v>109</v>
      </c>
      <c r="AT14" s="40" t="s">
        <v>121</v>
      </c>
      <c r="AU14" s="50" t="str">
        <f t="shared" ref="AU14:AU15" si="13">AB14</f>
        <v>Permanent</v>
      </c>
      <c r="AV14" s="44" t="s">
        <v>123</v>
      </c>
      <c r="AW14" s="51">
        <f t="shared" si="3"/>
        <v>45291</v>
      </c>
      <c r="AX14" s="51">
        <f t="shared" si="4"/>
        <v>45291</v>
      </c>
      <c r="AY14" s="41" t="str">
        <f t="shared" si="5"/>
        <v>N/A</v>
      </c>
      <c r="AZ14" s="43" t="s">
        <v>95</v>
      </c>
      <c r="BA14" s="43" t="s">
        <v>124</v>
      </c>
      <c r="BB14" s="62" t="s">
        <v>465</v>
      </c>
      <c r="BC14" s="44" t="s">
        <v>125</v>
      </c>
      <c r="BD14" s="44" t="s">
        <v>126</v>
      </c>
      <c r="BE14" s="43" t="s">
        <v>95</v>
      </c>
      <c r="BF14" s="43" t="s">
        <v>127</v>
      </c>
      <c r="BG14" s="50">
        <v>8542366015</v>
      </c>
      <c r="BH14" s="44">
        <v>36526</v>
      </c>
      <c r="BI14" s="44">
        <v>51136</v>
      </c>
      <c r="BJ14" s="38" t="s">
        <v>128</v>
      </c>
      <c r="BK14" s="50" t="s">
        <v>129</v>
      </c>
      <c r="BL14" s="52">
        <v>32144</v>
      </c>
      <c r="BM14" s="53" t="s">
        <v>95</v>
      </c>
      <c r="BN14" s="43" t="s">
        <v>105</v>
      </c>
      <c r="BO14" s="38" t="s">
        <v>130</v>
      </c>
      <c r="BP14" s="54" t="s">
        <v>109</v>
      </c>
      <c r="BQ14" s="43" t="s">
        <v>131</v>
      </c>
      <c r="BR14" s="43" t="s">
        <v>95</v>
      </c>
      <c r="BS14" s="39" t="s">
        <v>119</v>
      </c>
      <c r="BT14" s="39">
        <v>10</v>
      </c>
      <c r="BU14" s="38" t="s">
        <v>132</v>
      </c>
      <c r="BV14" s="38" t="s">
        <v>133</v>
      </c>
      <c r="BW14" s="43" t="s">
        <v>134</v>
      </c>
      <c r="BX14" s="55" t="s">
        <v>135</v>
      </c>
      <c r="BY14" s="43" t="s">
        <v>136</v>
      </c>
      <c r="BZ14" s="43" t="s">
        <v>137</v>
      </c>
      <c r="CA14" s="43" t="s">
        <v>138</v>
      </c>
      <c r="CB14" s="43" t="s">
        <v>139</v>
      </c>
      <c r="CC14" s="55" t="s">
        <v>134</v>
      </c>
      <c r="CD14" s="40" t="s">
        <v>135</v>
      </c>
      <c r="CE14" s="43" t="s">
        <v>136</v>
      </c>
      <c r="CF14" s="43" t="s">
        <v>140</v>
      </c>
      <c r="CG14" s="43" t="s">
        <v>141</v>
      </c>
      <c r="CH14" s="43" t="s">
        <v>140</v>
      </c>
      <c r="CI14" s="56">
        <v>100</v>
      </c>
      <c r="CJ14" s="43" t="s">
        <v>142</v>
      </c>
      <c r="CK14" s="43" t="s">
        <v>143</v>
      </c>
      <c r="CL14" s="43" t="s">
        <v>95</v>
      </c>
      <c r="CM14" s="43" t="s">
        <v>144</v>
      </c>
      <c r="CN14" s="43" t="s">
        <v>145</v>
      </c>
      <c r="CO14" s="49" t="s">
        <v>152</v>
      </c>
      <c r="CP14" s="49" t="s">
        <v>153</v>
      </c>
      <c r="CQ14" s="57" t="s">
        <v>105</v>
      </c>
      <c r="CR14" s="52">
        <f ca="1">TODAY()-1500</f>
        <v>44271</v>
      </c>
      <c r="CS14" s="49" t="s">
        <v>154</v>
      </c>
      <c r="CT14" s="58">
        <v>1234039</v>
      </c>
      <c r="CU14" s="58">
        <v>123456032</v>
      </c>
      <c r="CV14" s="61" t="s">
        <v>195</v>
      </c>
    </row>
    <row r="15" spans="1:100" ht="14.45" customHeight="1" x14ac:dyDescent="0.25">
      <c r="A15" s="64" t="s">
        <v>196</v>
      </c>
      <c r="B15" s="61"/>
      <c r="C15" s="61"/>
      <c r="D15" s="37" t="s">
        <v>94</v>
      </c>
      <c r="E15" s="38" t="s">
        <v>95</v>
      </c>
      <c r="F15" s="39" t="s">
        <v>228</v>
      </c>
      <c r="G15" s="39" t="s">
        <v>192</v>
      </c>
      <c r="H15" s="40" t="s">
        <v>96</v>
      </c>
      <c r="I15" s="40" t="s">
        <v>97</v>
      </c>
      <c r="J15" s="40" t="s">
        <v>98</v>
      </c>
      <c r="K15" s="41">
        <f t="shared" si="11"/>
        <v>45658</v>
      </c>
      <c r="L15" s="38" t="s">
        <v>95</v>
      </c>
      <c r="M15" s="40" t="s">
        <v>99</v>
      </c>
      <c r="N15" s="40" t="s">
        <v>146</v>
      </c>
      <c r="O15" s="42" t="s">
        <v>101</v>
      </c>
      <c r="P15" s="38" t="s">
        <v>147</v>
      </c>
      <c r="Q15" s="40" t="s">
        <v>103</v>
      </c>
      <c r="R15" s="40" t="s">
        <v>104</v>
      </c>
      <c r="S15" s="43" t="s">
        <v>105</v>
      </c>
      <c r="T15" s="43" t="s">
        <v>105</v>
      </c>
      <c r="U15" s="40" t="s">
        <v>98</v>
      </c>
      <c r="V15" s="44" t="s">
        <v>106</v>
      </c>
      <c r="W15" s="45" t="s">
        <v>107</v>
      </c>
      <c r="X15" s="40" t="s">
        <v>98</v>
      </c>
      <c r="Y15" s="46">
        <v>45658</v>
      </c>
      <c r="Z15" s="40" t="s">
        <v>108</v>
      </c>
      <c r="AA15" s="44" t="s">
        <v>109</v>
      </c>
      <c r="AB15" s="48" t="s">
        <v>167</v>
      </c>
      <c r="AC15" s="48" t="s">
        <v>111</v>
      </c>
      <c r="AD15" s="39" t="s">
        <v>176</v>
      </c>
      <c r="AE15" s="38">
        <v>970</v>
      </c>
      <c r="AF15" s="38" t="s">
        <v>57</v>
      </c>
      <c r="AG15" s="48">
        <v>40</v>
      </c>
      <c r="AH15" s="49" t="s">
        <v>157</v>
      </c>
      <c r="AI15" s="48" t="s">
        <v>114</v>
      </c>
      <c r="AJ15" s="46" t="s">
        <v>109</v>
      </c>
      <c r="AK15" s="41">
        <f t="shared" si="10"/>
        <v>45748</v>
      </c>
      <c r="AL15" s="40" t="s">
        <v>115</v>
      </c>
      <c r="AM15" s="49" t="s">
        <v>116</v>
      </c>
      <c r="AN15" s="48" t="s">
        <v>117</v>
      </c>
      <c r="AO15" s="40" t="s">
        <v>118</v>
      </c>
      <c r="AP15" s="50" t="s">
        <v>119</v>
      </c>
      <c r="AQ15" s="40" t="s">
        <v>120</v>
      </c>
      <c r="AR15" s="61" t="s">
        <v>120</v>
      </c>
      <c r="AS15" s="44" t="s">
        <v>109</v>
      </c>
      <c r="AT15" s="40" t="s">
        <v>121</v>
      </c>
      <c r="AU15" s="50" t="str">
        <f t="shared" si="13"/>
        <v>Permanent</v>
      </c>
      <c r="AV15" s="44" t="s">
        <v>123</v>
      </c>
      <c r="AW15" s="51">
        <f t="shared" si="3"/>
        <v>45657</v>
      </c>
      <c r="AX15" s="51">
        <f t="shared" si="4"/>
        <v>45657</v>
      </c>
      <c r="AY15" s="41" t="str">
        <f t="shared" si="5"/>
        <v>N/A</v>
      </c>
      <c r="AZ15" s="43" t="s">
        <v>95</v>
      </c>
      <c r="BA15" s="43" t="s">
        <v>124</v>
      </c>
      <c r="BB15" s="62" t="s">
        <v>466</v>
      </c>
      <c r="BC15" s="44">
        <v>36526</v>
      </c>
      <c r="BD15" s="44">
        <v>51136</v>
      </c>
      <c r="BE15" s="43" t="s">
        <v>95</v>
      </c>
      <c r="BF15" s="43" t="s">
        <v>127</v>
      </c>
      <c r="BG15" s="50">
        <v>8542366016</v>
      </c>
      <c r="BH15" s="44">
        <v>36526</v>
      </c>
      <c r="BI15" s="44">
        <v>51136</v>
      </c>
      <c r="BJ15" s="38" t="s">
        <v>128</v>
      </c>
      <c r="BK15" s="50" t="s">
        <v>149</v>
      </c>
      <c r="BL15" s="52">
        <v>30683</v>
      </c>
      <c r="BM15" s="53" t="s">
        <v>95</v>
      </c>
      <c r="BN15" s="43" t="s">
        <v>105</v>
      </c>
      <c r="BO15" s="38" t="s">
        <v>130</v>
      </c>
      <c r="BP15" s="54" t="s">
        <v>109</v>
      </c>
      <c r="BQ15" s="43" t="s">
        <v>131</v>
      </c>
      <c r="BR15" s="43" t="s">
        <v>95</v>
      </c>
      <c r="BS15" s="39" t="s">
        <v>120</v>
      </c>
      <c r="BT15" s="39" t="s">
        <v>109</v>
      </c>
      <c r="BU15" s="38" t="s">
        <v>132</v>
      </c>
      <c r="BV15" s="38" t="s">
        <v>133</v>
      </c>
      <c r="BW15" s="43" t="s">
        <v>134</v>
      </c>
      <c r="BX15" s="55" t="s">
        <v>150</v>
      </c>
      <c r="BY15" s="43" t="s">
        <v>136</v>
      </c>
      <c r="BZ15" s="43" t="s">
        <v>137</v>
      </c>
      <c r="CA15" s="43" t="s">
        <v>138</v>
      </c>
      <c r="CB15" s="43" t="s">
        <v>139</v>
      </c>
      <c r="CC15" s="55" t="s">
        <v>134</v>
      </c>
      <c r="CD15" s="40" t="s">
        <v>135</v>
      </c>
      <c r="CE15" s="43" t="s">
        <v>136</v>
      </c>
      <c r="CF15" s="43" t="s">
        <v>140</v>
      </c>
      <c r="CG15" s="43" t="s">
        <v>141</v>
      </c>
      <c r="CH15" s="43" t="s">
        <v>140</v>
      </c>
      <c r="CI15" s="56">
        <v>100</v>
      </c>
      <c r="CJ15" s="43" t="s">
        <v>142</v>
      </c>
      <c r="CK15" s="43" t="s">
        <v>143</v>
      </c>
      <c r="CL15" s="43" t="s">
        <v>95</v>
      </c>
      <c r="CM15" s="43" t="s">
        <v>151</v>
      </c>
      <c r="CN15" s="43" t="s">
        <v>145</v>
      </c>
      <c r="CO15" s="49" t="s">
        <v>109</v>
      </c>
      <c r="CP15" s="49" t="s">
        <v>109</v>
      </c>
      <c r="CQ15" s="57" t="s">
        <v>109</v>
      </c>
      <c r="CR15" s="52" t="s">
        <v>109</v>
      </c>
      <c r="CS15" s="49" t="s">
        <v>109</v>
      </c>
      <c r="CT15" s="58" t="s">
        <v>109</v>
      </c>
      <c r="CU15" s="58" t="s">
        <v>109</v>
      </c>
      <c r="CV15" s="61" t="s">
        <v>196</v>
      </c>
    </row>
    <row r="16" spans="1:100" ht="36" customHeight="1" x14ac:dyDescent="0.25">
      <c r="A16" s="64" t="s">
        <v>197</v>
      </c>
      <c r="B16" s="61"/>
      <c r="C16" s="61"/>
      <c r="D16" s="37" t="s">
        <v>94</v>
      </c>
      <c r="E16" s="38" t="s">
        <v>95</v>
      </c>
      <c r="F16" s="39" t="s">
        <v>229</v>
      </c>
      <c r="G16" s="39" t="s">
        <v>159</v>
      </c>
      <c r="H16" s="40" t="s">
        <v>96</v>
      </c>
      <c r="I16" s="40" t="s">
        <v>97</v>
      </c>
      <c r="J16" s="40" t="s">
        <v>98</v>
      </c>
      <c r="K16" s="41">
        <f t="shared" si="11"/>
        <v>45658</v>
      </c>
      <c r="L16" s="38" t="s">
        <v>95</v>
      </c>
      <c r="M16" s="40" t="s">
        <v>99</v>
      </c>
      <c r="N16" s="40" t="s">
        <v>146</v>
      </c>
      <c r="O16" s="42" t="s">
        <v>101</v>
      </c>
      <c r="P16" s="38" t="s">
        <v>147</v>
      </c>
      <c r="Q16" s="40" t="s">
        <v>103</v>
      </c>
      <c r="R16" s="40" t="s">
        <v>104</v>
      </c>
      <c r="S16" s="43" t="s">
        <v>105</v>
      </c>
      <c r="T16" s="43" t="s">
        <v>105</v>
      </c>
      <c r="U16" s="40" t="s">
        <v>98</v>
      </c>
      <c r="V16" s="44" t="s">
        <v>106</v>
      </c>
      <c r="W16" s="45" t="s">
        <v>107</v>
      </c>
      <c r="X16" s="40" t="s">
        <v>98</v>
      </c>
      <c r="Y16" s="46">
        <v>45658</v>
      </c>
      <c r="Z16" s="40" t="s">
        <v>108</v>
      </c>
      <c r="AA16" s="44" t="s">
        <v>109</v>
      </c>
      <c r="AB16" s="48" t="s">
        <v>110</v>
      </c>
      <c r="AC16" s="48" t="s">
        <v>111</v>
      </c>
      <c r="AD16" s="39" t="s">
        <v>112</v>
      </c>
      <c r="AE16" s="38">
        <v>970</v>
      </c>
      <c r="AF16" s="38" t="s">
        <v>57</v>
      </c>
      <c r="AG16" s="48">
        <v>30</v>
      </c>
      <c r="AH16" s="49" t="s">
        <v>113</v>
      </c>
      <c r="AI16" s="48" t="s">
        <v>114</v>
      </c>
      <c r="AJ16" s="46">
        <f t="shared" ref="AJ16" si="14">Y16+365</f>
        <v>46023</v>
      </c>
      <c r="AK16" s="41">
        <f t="shared" si="10"/>
        <v>45748</v>
      </c>
      <c r="AL16" s="40" t="s">
        <v>115</v>
      </c>
      <c r="AM16" s="49" t="s">
        <v>116</v>
      </c>
      <c r="AN16" s="39" t="s">
        <v>160</v>
      </c>
      <c r="AO16" s="40" t="s">
        <v>118</v>
      </c>
      <c r="AP16" s="50" t="s">
        <v>119</v>
      </c>
      <c r="AQ16" s="40" t="s">
        <v>120</v>
      </c>
      <c r="AR16" s="61" t="s">
        <v>120</v>
      </c>
      <c r="AS16" s="44" t="s">
        <v>109</v>
      </c>
      <c r="AT16" s="40" t="s">
        <v>121</v>
      </c>
      <c r="AU16" t="s">
        <v>122</v>
      </c>
      <c r="AV16" s="44" t="s">
        <v>123</v>
      </c>
      <c r="AW16" s="51">
        <f t="shared" si="3"/>
        <v>45657</v>
      </c>
      <c r="AX16" s="51">
        <f t="shared" si="4"/>
        <v>45657</v>
      </c>
      <c r="AY16" s="41">
        <f t="shared" si="5"/>
        <v>46023</v>
      </c>
      <c r="AZ16" s="43" t="s">
        <v>95</v>
      </c>
      <c r="BA16" s="43" t="s">
        <v>124</v>
      </c>
      <c r="BB16" s="62" t="s">
        <v>467</v>
      </c>
      <c r="BC16" s="44" t="s">
        <v>125</v>
      </c>
      <c r="BD16" s="44" t="s">
        <v>126</v>
      </c>
      <c r="BE16" s="43" t="s">
        <v>95</v>
      </c>
      <c r="BF16" s="43" t="s">
        <v>127</v>
      </c>
      <c r="BG16" s="50">
        <v>8542366017</v>
      </c>
      <c r="BH16" s="44">
        <v>36526</v>
      </c>
      <c r="BI16" s="44">
        <v>51136</v>
      </c>
      <c r="BJ16" s="38" t="s">
        <v>128</v>
      </c>
      <c r="BK16" s="50" t="s">
        <v>129</v>
      </c>
      <c r="BL16" s="52">
        <v>31414</v>
      </c>
      <c r="BM16" s="53" t="s">
        <v>95</v>
      </c>
      <c r="BN16" s="43" t="s">
        <v>105</v>
      </c>
      <c r="BO16" s="38" t="s">
        <v>130</v>
      </c>
      <c r="BP16" s="54" t="s">
        <v>109</v>
      </c>
      <c r="BQ16" s="43" t="s">
        <v>131</v>
      </c>
      <c r="BR16" s="43" t="s">
        <v>95</v>
      </c>
      <c r="BS16" s="49" t="s">
        <v>120</v>
      </c>
      <c r="BT16" s="49" t="s">
        <v>109</v>
      </c>
      <c r="BU16" s="38" t="s">
        <v>132</v>
      </c>
      <c r="BV16" s="38" t="s">
        <v>133</v>
      </c>
      <c r="BW16" s="43" t="s">
        <v>134</v>
      </c>
      <c r="BX16" s="55" t="s">
        <v>150</v>
      </c>
      <c r="BY16" s="43" t="s">
        <v>136</v>
      </c>
      <c r="BZ16" s="43" t="s">
        <v>137</v>
      </c>
      <c r="CA16" s="43" t="s">
        <v>138</v>
      </c>
      <c r="CB16" s="43" t="s">
        <v>139</v>
      </c>
      <c r="CC16" s="55" t="s">
        <v>134</v>
      </c>
      <c r="CD16" s="40" t="s">
        <v>135</v>
      </c>
      <c r="CE16" s="43" t="s">
        <v>136</v>
      </c>
      <c r="CF16" s="43" t="s">
        <v>140</v>
      </c>
      <c r="CG16" s="43" t="s">
        <v>141</v>
      </c>
      <c r="CH16" s="43" t="s">
        <v>140</v>
      </c>
      <c r="CI16" s="56">
        <v>100</v>
      </c>
      <c r="CJ16" s="43" t="s">
        <v>142</v>
      </c>
      <c r="CK16" s="43" t="s">
        <v>143</v>
      </c>
      <c r="CL16" s="43" t="s">
        <v>95</v>
      </c>
      <c r="CM16" s="43" t="s">
        <v>151</v>
      </c>
      <c r="CN16" s="43" t="s">
        <v>145</v>
      </c>
      <c r="CO16" s="49" t="s">
        <v>109</v>
      </c>
      <c r="CP16" s="49" t="s">
        <v>109</v>
      </c>
      <c r="CQ16" s="57" t="s">
        <v>109</v>
      </c>
      <c r="CR16" s="49" t="s">
        <v>109</v>
      </c>
      <c r="CS16" s="49" t="s">
        <v>109</v>
      </c>
      <c r="CT16" s="49" t="s">
        <v>109</v>
      </c>
      <c r="CU16" s="49" t="s">
        <v>109</v>
      </c>
      <c r="CV16" s="61" t="s">
        <v>197</v>
      </c>
    </row>
    <row r="17" spans="1:100" ht="42.75" customHeight="1" x14ac:dyDescent="0.25">
      <c r="A17" s="64" t="s">
        <v>198</v>
      </c>
      <c r="B17" s="61"/>
      <c r="C17" s="61"/>
      <c r="D17" s="37" t="s">
        <v>94</v>
      </c>
      <c r="E17" s="38" t="s">
        <v>95</v>
      </c>
      <c r="F17" s="39" t="s">
        <v>230</v>
      </c>
      <c r="G17" s="39" t="s">
        <v>159</v>
      </c>
      <c r="H17" s="40" t="s">
        <v>96</v>
      </c>
      <c r="I17" s="40" t="s">
        <v>97</v>
      </c>
      <c r="J17" s="40" t="s">
        <v>98</v>
      </c>
      <c r="K17" s="41">
        <f t="shared" si="11"/>
        <v>45292</v>
      </c>
      <c r="L17" s="38" t="s">
        <v>95</v>
      </c>
      <c r="M17" s="40" t="s">
        <v>99</v>
      </c>
      <c r="N17" s="40" t="s">
        <v>100</v>
      </c>
      <c r="O17" s="42" t="s">
        <v>101</v>
      </c>
      <c r="P17" s="38" t="s">
        <v>102</v>
      </c>
      <c r="Q17" s="40" t="s">
        <v>103</v>
      </c>
      <c r="R17" s="40" t="s">
        <v>104</v>
      </c>
      <c r="S17" s="43" t="s">
        <v>105</v>
      </c>
      <c r="T17" s="43" t="s">
        <v>105</v>
      </c>
      <c r="U17" s="40" t="s">
        <v>98</v>
      </c>
      <c r="V17" s="44" t="s">
        <v>106</v>
      </c>
      <c r="W17" s="45" t="s">
        <v>107</v>
      </c>
      <c r="X17" s="40" t="s">
        <v>98</v>
      </c>
      <c r="Y17" s="46">
        <v>45292</v>
      </c>
      <c r="Z17" s="40" t="s">
        <v>108</v>
      </c>
      <c r="AA17" s="44" t="s">
        <v>109</v>
      </c>
      <c r="AB17" s="48" t="s">
        <v>167</v>
      </c>
      <c r="AC17" s="48" t="s">
        <v>111</v>
      </c>
      <c r="AD17" s="39" t="s">
        <v>112</v>
      </c>
      <c r="AE17" s="38">
        <v>970</v>
      </c>
      <c r="AF17" s="38" t="s">
        <v>57</v>
      </c>
      <c r="AG17" s="48">
        <v>25</v>
      </c>
      <c r="AH17" s="49" t="s">
        <v>113</v>
      </c>
      <c r="AI17" s="48" t="s">
        <v>114</v>
      </c>
      <c r="AJ17" s="46" t="s">
        <v>109</v>
      </c>
      <c r="AK17" s="41">
        <f t="shared" si="10"/>
        <v>45382</v>
      </c>
      <c r="AL17" s="40" t="s">
        <v>115</v>
      </c>
      <c r="AM17" s="49" t="s">
        <v>116</v>
      </c>
      <c r="AN17" s="48" t="s">
        <v>117</v>
      </c>
      <c r="AO17" s="40" t="s">
        <v>118</v>
      </c>
      <c r="AP17" s="50" t="s">
        <v>119</v>
      </c>
      <c r="AQ17" s="40" t="s">
        <v>120</v>
      </c>
      <c r="AR17" s="61" t="s">
        <v>120</v>
      </c>
      <c r="AS17" s="44" t="s">
        <v>109</v>
      </c>
      <c r="AT17" s="40" t="s">
        <v>121</v>
      </c>
      <c r="AU17" s="50" t="str">
        <f t="shared" ref="AU17:AU22" si="15">AB17</f>
        <v>Permanent</v>
      </c>
      <c r="AV17" s="44" t="s">
        <v>123</v>
      </c>
      <c r="AW17" s="51">
        <f t="shared" si="3"/>
        <v>45291</v>
      </c>
      <c r="AX17" s="51">
        <f t="shared" si="4"/>
        <v>45291</v>
      </c>
      <c r="AY17" s="41" t="str">
        <f t="shared" si="5"/>
        <v>N/A</v>
      </c>
      <c r="AZ17" s="43" t="s">
        <v>95</v>
      </c>
      <c r="BA17" s="43" t="s">
        <v>124</v>
      </c>
      <c r="BB17" s="62" t="s">
        <v>468</v>
      </c>
      <c r="BC17" s="44">
        <v>36526</v>
      </c>
      <c r="BD17" s="44">
        <v>51136</v>
      </c>
      <c r="BE17" s="43" t="s">
        <v>95</v>
      </c>
      <c r="BF17" s="43" t="s">
        <v>127</v>
      </c>
      <c r="BG17" s="50">
        <v>8542366018</v>
      </c>
      <c r="BH17" s="44">
        <v>36526</v>
      </c>
      <c r="BI17" s="44">
        <v>51136</v>
      </c>
      <c r="BJ17" s="38" t="s">
        <v>128</v>
      </c>
      <c r="BK17" s="50" t="s">
        <v>149</v>
      </c>
      <c r="BL17" s="52">
        <v>32875</v>
      </c>
      <c r="BM17" s="53" t="s">
        <v>95</v>
      </c>
      <c r="BN17" s="43" t="s">
        <v>105</v>
      </c>
      <c r="BO17" s="38" t="s">
        <v>130</v>
      </c>
      <c r="BP17" s="54" t="s">
        <v>109</v>
      </c>
      <c r="BQ17" s="43" t="s">
        <v>131</v>
      </c>
      <c r="BR17" s="43" t="s">
        <v>95</v>
      </c>
      <c r="BS17" s="49" t="s">
        <v>119</v>
      </c>
      <c r="BT17" s="39">
        <v>10</v>
      </c>
      <c r="BU17" s="38" t="s">
        <v>132</v>
      </c>
      <c r="BV17" s="38" t="s">
        <v>133</v>
      </c>
      <c r="BW17" s="43" t="s">
        <v>134</v>
      </c>
      <c r="BX17" s="55" t="s">
        <v>135</v>
      </c>
      <c r="BY17" s="43" t="s">
        <v>136</v>
      </c>
      <c r="BZ17" s="43" t="s">
        <v>137</v>
      </c>
      <c r="CA17" s="43" t="s">
        <v>138</v>
      </c>
      <c r="CB17" s="43" t="s">
        <v>139</v>
      </c>
      <c r="CC17" s="55" t="s">
        <v>134</v>
      </c>
      <c r="CD17" s="40" t="s">
        <v>135</v>
      </c>
      <c r="CE17" s="43" t="s">
        <v>136</v>
      </c>
      <c r="CF17" s="43" t="s">
        <v>140</v>
      </c>
      <c r="CG17" s="43" t="s">
        <v>141</v>
      </c>
      <c r="CH17" s="43" t="s">
        <v>140</v>
      </c>
      <c r="CI17" s="56">
        <v>100</v>
      </c>
      <c r="CJ17" s="43" t="s">
        <v>142</v>
      </c>
      <c r="CK17" s="43" t="s">
        <v>143</v>
      </c>
      <c r="CL17" s="43" t="s">
        <v>95</v>
      </c>
      <c r="CM17" s="43" t="s">
        <v>144</v>
      </c>
      <c r="CN17" s="43" t="s">
        <v>145</v>
      </c>
      <c r="CO17" s="49" t="s">
        <v>109</v>
      </c>
      <c r="CP17" s="49" t="s">
        <v>109</v>
      </c>
      <c r="CQ17" s="57" t="s">
        <v>109</v>
      </c>
      <c r="CR17" s="49" t="s">
        <v>109</v>
      </c>
      <c r="CS17" s="49" t="s">
        <v>109</v>
      </c>
      <c r="CT17" s="49" t="s">
        <v>109</v>
      </c>
      <c r="CU17" s="49" t="s">
        <v>109</v>
      </c>
      <c r="CV17" s="61" t="s">
        <v>198</v>
      </c>
    </row>
    <row r="18" spans="1:100" ht="14.45" customHeight="1" x14ac:dyDescent="0.25">
      <c r="A18" s="64" t="s">
        <v>200</v>
      </c>
      <c r="B18" s="36"/>
      <c r="C18" s="61"/>
      <c r="D18" s="37" t="s">
        <v>94</v>
      </c>
      <c r="E18" s="38" t="s">
        <v>95</v>
      </c>
      <c r="F18" s="39" t="s">
        <v>231</v>
      </c>
      <c r="G18" s="39" t="s">
        <v>192</v>
      </c>
      <c r="H18" s="40" t="s">
        <v>96</v>
      </c>
      <c r="I18" s="40" t="s">
        <v>97</v>
      </c>
      <c r="J18" s="40" t="s">
        <v>98</v>
      </c>
      <c r="K18" s="41">
        <f t="shared" si="11"/>
        <v>45658</v>
      </c>
      <c r="L18" s="38" t="s">
        <v>95</v>
      </c>
      <c r="M18" s="40" t="s">
        <v>99</v>
      </c>
      <c r="N18" s="40" t="s">
        <v>146</v>
      </c>
      <c r="O18" s="42" t="s">
        <v>101</v>
      </c>
      <c r="P18" s="38" t="s">
        <v>147</v>
      </c>
      <c r="Q18" s="40" t="s">
        <v>103</v>
      </c>
      <c r="R18" s="40" t="s">
        <v>104</v>
      </c>
      <c r="S18" s="43" t="s">
        <v>105</v>
      </c>
      <c r="T18" s="43" t="s">
        <v>105</v>
      </c>
      <c r="U18" s="40" t="s">
        <v>98</v>
      </c>
      <c r="V18" s="44" t="s">
        <v>106</v>
      </c>
      <c r="W18" s="45" t="s">
        <v>107</v>
      </c>
      <c r="X18" s="40" t="s">
        <v>98</v>
      </c>
      <c r="Y18" s="46">
        <v>45658</v>
      </c>
      <c r="Z18" s="40" t="s">
        <v>108</v>
      </c>
      <c r="AA18" s="44" t="s">
        <v>109</v>
      </c>
      <c r="AB18" s="48" t="s">
        <v>167</v>
      </c>
      <c r="AC18" s="48" t="s">
        <v>111</v>
      </c>
      <c r="AD18" s="39" t="s">
        <v>176</v>
      </c>
      <c r="AE18" s="38">
        <v>970</v>
      </c>
      <c r="AF18" s="38" t="s">
        <v>57</v>
      </c>
      <c r="AG18" s="48">
        <v>40</v>
      </c>
      <c r="AH18" s="49" t="s">
        <v>113</v>
      </c>
      <c r="AI18" s="48" t="s">
        <v>114</v>
      </c>
      <c r="AJ18" s="46" t="s">
        <v>109</v>
      </c>
      <c r="AK18" s="41">
        <f t="shared" si="10"/>
        <v>45748</v>
      </c>
      <c r="AL18" s="40" t="s">
        <v>115</v>
      </c>
      <c r="AM18" s="49" t="s">
        <v>116</v>
      </c>
      <c r="AN18" s="48" t="s">
        <v>155</v>
      </c>
      <c r="AO18" s="40" t="s">
        <v>118</v>
      </c>
      <c r="AP18" s="50" t="s">
        <v>119</v>
      </c>
      <c r="AQ18" s="40" t="s">
        <v>120</v>
      </c>
      <c r="AR18" s="61" t="s">
        <v>120</v>
      </c>
      <c r="AS18" s="44" t="s">
        <v>109</v>
      </c>
      <c r="AT18" s="40" t="s">
        <v>121</v>
      </c>
      <c r="AU18" s="50" t="str">
        <f t="shared" si="15"/>
        <v>Permanent</v>
      </c>
      <c r="AV18" s="44" t="s">
        <v>123</v>
      </c>
      <c r="AW18" s="51">
        <f t="shared" si="3"/>
        <v>45657</v>
      </c>
      <c r="AX18" s="51">
        <f t="shared" si="4"/>
        <v>45657</v>
      </c>
      <c r="AY18" s="41" t="str">
        <f t="shared" si="5"/>
        <v>N/A</v>
      </c>
      <c r="AZ18" s="43" t="s">
        <v>95</v>
      </c>
      <c r="BA18" s="43" t="s">
        <v>124</v>
      </c>
      <c r="BB18" s="62" t="s">
        <v>469</v>
      </c>
      <c r="BC18" s="44" t="s">
        <v>125</v>
      </c>
      <c r="BD18" s="44" t="s">
        <v>126</v>
      </c>
      <c r="BE18" s="43" t="s">
        <v>95</v>
      </c>
      <c r="BF18" s="43" t="s">
        <v>127</v>
      </c>
      <c r="BG18" s="50">
        <v>8542366019</v>
      </c>
      <c r="BH18" s="44">
        <v>36526</v>
      </c>
      <c r="BI18" s="44">
        <v>51136</v>
      </c>
      <c r="BJ18" s="38" t="s">
        <v>128</v>
      </c>
      <c r="BK18" s="50" t="s">
        <v>129</v>
      </c>
      <c r="BL18" s="52">
        <v>33605</v>
      </c>
      <c r="BM18" s="53" t="s">
        <v>95</v>
      </c>
      <c r="BN18" s="43" t="s">
        <v>105</v>
      </c>
      <c r="BO18" s="38" t="s">
        <v>130</v>
      </c>
      <c r="BP18" s="54" t="s">
        <v>109</v>
      </c>
      <c r="BQ18" s="43" t="s">
        <v>131</v>
      </c>
      <c r="BR18" s="43" t="s">
        <v>95</v>
      </c>
      <c r="BS18" s="49" t="s">
        <v>120</v>
      </c>
      <c r="BT18" s="39" t="s">
        <v>109</v>
      </c>
      <c r="BU18" s="38" t="s">
        <v>132</v>
      </c>
      <c r="BV18" s="38" t="s">
        <v>133</v>
      </c>
      <c r="BW18" s="43" t="s">
        <v>134</v>
      </c>
      <c r="BX18" s="55" t="s">
        <v>150</v>
      </c>
      <c r="BY18" s="43" t="s">
        <v>136</v>
      </c>
      <c r="BZ18" s="43" t="s">
        <v>137</v>
      </c>
      <c r="CA18" s="43" t="s">
        <v>138</v>
      </c>
      <c r="CB18" s="43" t="s">
        <v>139</v>
      </c>
      <c r="CC18" s="55" t="s">
        <v>134</v>
      </c>
      <c r="CD18" s="40" t="s">
        <v>135</v>
      </c>
      <c r="CE18" s="43" t="s">
        <v>136</v>
      </c>
      <c r="CF18" s="43" t="s">
        <v>140</v>
      </c>
      <c r="CG18" s="43" t="s">
        <v>141</v>
      </c>
      <c r="CH18" s="43" t="s">
        <v>140</v>
      </c>
      <c r="CI18" s="56">
        <v>100</v>
      </c>
      <c r="CJ18" s="43" t="s">
        <v>142</v>
      </c>
      <c r="CK18" s="43" t="s">
        <v>143</v>
      </c>
      <c r="CL18" s="43" t="s">
        <v>95</v>
      </c>
      <c r="CM18" s="43" t="s">
        <v>151</v>
      </c>
      <c r="CN18" s="43" t="s">
        <v>145</v>
      </c>
      <c r="CO18" s="49" t="s">
        <v>109</v>
      </c>
      <c r="CP18" s="49" t="s">
        <v>109</v>
      </c>
      <c r="CQ18" s="57" t="s">
        <v>109</v>
      </c>
      <c r="CR18" s="52" t="s">
        <v>109</v>
      </c>
      <c r="CS18" s="49" t="s">
        <v>109</v>
      </c>
      <c r="CT18" s="58" t="s">
        <v>109</v>
      </c>
      <c r="CU18" s="58" t="s">
        <v>109</v>
      </c>
      <c r="CV18" s="61" t="s">
        <v>200</v>
      </c>
    </row>
    <row r="19" spans="1:100" ht="47.25" customHeight="1" x14ac:dyDescent="0.25">
      <c r="A19" s="64" t="s">
        <v>201</v>
      </c>
      <c r="B19" s="61"/>
      <c r="C19" s="61"/>
      <c r="D19" s="37" t="s">
        <v>94</v>
      </c>
      <c r="E19" s="38" t="s">
        <v>95</v>
      </c>
      <c r="F19" s="39" t="s">
        <v>232</v>
      </c>
      <c r="G19" s="39" t="s">
        <v>159</v>
      </c>
      <c r="H19" s="40" t="s">
        <v>96</v>
      </c>
      <c r="I19" s="40" t="s">
        <v>97</v>
      </c>
      <c r="J19" s="40" t="s">
        <v>98</v>
      </c>
      <c r="K19" s="41">
        <f t="shared" si="11"/>
        <v>45658</v>
      </c>
      <c r="L19" s="38" t="s">
        <v>95</v>
      </c>
      <c r="M19" s="40" t="s">
        <v>99</v>
      </c>
      <c r="N19" s="40" t="s">
        <v>146</v>
      </c>
      <c r="O19" s="42" t="s">
        <v>101</v>
      </c>
      <c r="P19" s="38" t="s">
        <v>147</v>
      </c>
      <c r="Q19" s="40" t="s">
        <v>103</v>
      </c>
      <c r="R19" s="40" t="s">
        <v>104</v>
      </c>
      <c r="S19" s="43" t="s">
        <v>105</v>
      </c>
      <c r="T19" s="43" t="s">
        <v>105</v>
      </c>
      <c r="U19" s="40" t="s">
        <v>98</v>
      </c>
      <c r="V19" s="44" t="s">
        <v>106</v>
      </c>
      <c r="W19" s="45" t="s">
        <v>107</v>
      </c>
      <c r="X19" s="40" t="s">
        <v>98</v>
      </c>
      <c r="Y19" s="46">
        <v>45658</v>
      </c>
      <c r="Z19" s="40" t="s">
        <v>108</v>
      </c>
      <c r="AA19" s="44" t="s">
        <v>109</v>
      </c>
      <c r="AB19" s="48" t="s">
        <v>110</v>
      </c>
      <c r="AC19" s="48" t="s">
        <v>111</v>
      </c>
      <c r="AD19" s="39" t="s">
        <v>112</v>
      </c>
      <c r="AE19" s="38">
        <v>970</v>
      </c>
      <c r="AF19" s="38" t="s">
        <v>57</v>
      </c>
      <c r="AG19" s="48">
        <v>30</v>
      </c>
      <c r="AH19" s="49" t="s">
        <v>157</v>
      </c>
      <c r="AI19" s="48" t="s">
        <v>114</v>
      </c>
      <c r="AJ19" s="46">
        <f t="shared" ref="AJ19" si="16">Y19+365</f>
        <v>46023</v>
      </c>
      <c r="AK19" s="41">
        <f t="shared" si="10"/>
        <v>45748</v>
      </c>
      <c r="AL19" s="40" t="s">
        <v>115</v>
      </c>
      <c r="AM19" s="49" t="s">
        <v>116</v>
      </c>
      <c r="AN19" s="39" t="s">
        <v>160</v>
      </c>
      <c r="AO19" s="40" t="s">
        <v>118</v>
      </c>
      <c r="AP19" s="50" t="s">
        <v>119</v>
      </c>
      <c r="AQ19" s="40" t="s">
        <v>120</v>
      </c>
      <c r="AR19" s="61" t="s">
        <v>120</v>
      </c>
      <c r="AS19" s="44" t="s">
        <v>109</v>
      </c>
      <c r="AT19" s="40" t="s">
        <v>121</v>
      </c>
      <c r="AU19" t="s">
        <v>122</v>
      </c>
      <c r="AV19" s="44" t="s">
        <v>123</v>
      </c>
      <c r="AW19" s="51">
        <f t="shared" si="3"/>
        <v>45657</v>
      </c>
      <c r="AX19" s="51">
        <f t="shared" si="4"/>
        <v>45657</v>
      </c>
      <c r="AY19" s="41">
        <f t="shared" si="5"/>
        <v>46023</v>
      </c>
      <c r="AZ19" s="43" t="s">
        <v>95</v>
      </c>
      <c r="BA19" s="43" t="s">
        <v>124</v>
      </c>
      <c r="BB19" s="62" t="s">
        <v>470</v>
      </c>
      <c r="BC19" s="44">
        <v>36526</v>
      </c>
      <c r="BD19" s="44">
        <v>51136</v>
      </c>
      <c r="BE19" s="43" t="s">
        <v>95</v>
      </c>
      <c r="BF19" s="43" t="s">
        <v>127</v>
      </c>
      <c r="BG19" s="50">
        <v>8542366023</v>
      </c>
      <c r="BH19" s="44">
        <v>36526</v>
      </c>
      <c r="BI19" s="44">
        <v>51136</v>
      </c>
      <c r="BJ19" s="38" t="s">
        <v>128</v>
      </c>
      <c r="BK19" s="50" t="s">
        <v>149</v>
      </c>
      <c r="BL19" s="52">
        <v>34336</v>
      </c>
      <c r="BM19" s="53" t="s">
        <v>95</v>
      </c>
      <c r="BN19" s="43" t="s">
        <v>105</v>
      </c>
      <c r="BO19" s="38" t="s">
        <v>130</v>
      </c>
      <c r="BP19" s="54" t="s">
        <v>109</v>
      </c>
      <c r="BQ19" s="43" t="s">
        <v>131</v>
      </c>
      <c r="BR19" s="43" t="s">
        <v>95</v>
      </c>
      <c r="BS19" s="49" t="s">
        <v>120</v>
      </c>
      <c r="BT19" s="39" t="s">
        <v>109</v>
      </c>
      <c r="BU19" s="38" t="s">
        <v>132</v>
      </c>
      <c r="BV19" s="38" t="s">
        <v>133</v>
      </c>
      <c r="BW19" s="43" t="s">
        <v>134</v>
      </c>
      <c r="BX19" s="55" t="s">
        <v>150</v>
      </c>
      <c r="BY19" s="43" t="s">
        <v>136</v>
      </c>
      <c r="BZ19" s="43" t="s">
        <v>137</v>
      </c>
      <c r="CA19" s="43" t="s">
        <v>138</v>
      </c>
      <c r="CB19" s="43" t="s">
        <v>139</v>
      </c>
      <c r="CC19" s="55" t="s">
        <v>134</v>
      </c>
      <c r="CD19" s="40" t="s">
        <v>135</v>
      </c>
      <c r="CE19" s="43" t="s">
        <v>136</v>
      </c>
      <c r="CF19" s="43" t="s">
        <v>140</v>
      </c>
      <c r="CG19" s="43" t="s">
        <v>141</v>
      </c>
      <c r="CH19" s="43" t="s">
        <v>140</v>
      </c>
      <c r="CI19" s="56">
        <v>100</v>
      </c>
      <c r="CJ19" s="43" t="s">
        <v>142</v>
      </c>
      <c r="CK19" s="43" t="s">
        <v>143</v>
      </c>
      <c r="CL19" s="43" t="s">
        <v>95</v>
      </c>
      <c r="CM19" s="43" t="s">
        <v>151</v>
      </c>
      <c r="CN19" s="43" t="s">
        <v>145</v>
      </c>
      <c r="CO19" s="49" t="s">
        <v>152</v>
      </c>
      <c r="CP19" s="49" t="s">
        <v>153</v>
      </c>
      <c r="CQ19" s="57" t="s">
        <v>105</v>
      </c>
      <c r="CR19" s="52">
        <f ca="1">TODAY()-1500</f>
        <v>44271</v>
      </c>
      <c r="CS19" s="49" t="s">
        <v>154</v>
      </c>
      <c r="CT19" s="58">
        <v>1234040</v>
      </c>
      <c r="CU19" s="58">
        <v>123456033</v>
      </c>
      <c r="CV19" s="61" t="s">
        <v>201</v>
      </c>
    </row>
    <row r="20" spans="1:100" ht="47.25" customHeight="1" x14ac:dyDescent="0.25">
      <c r="A20" s="64" t="s">
        <v>202</v>
      </c>
      <c r="B20" s="36"/>
      <c r="C20" s="61"/>
      <c r="D20" s="37" t="s">
        <v>94</v>
      </c>
      <c r="E20" s="38" t="s">
        <v>95</v>
      </c>
      <c r="F20" s="39" t="s">
        <v>233</v>
      </c>
      <c r="G20" s="39" t="s">
        <v>159</v>
      </c>
      <c r="H20" s="40" t="s">
        <v>96</v>
      </c>
      <c r="I20" s="40" t="s">
        <v>97</v>
      </c>
      <c r="J20" s="40" t="s">
        <v>98</v>
      </c>
      <c r="K20" s="41">
        <f t="shared" si="11"/>
        <v>45292</v>
      </c>
      <c r="L20" s="38" t="s">
        <v>95</v>
      </c>
      <c r="M20" s="40" t="s">
        <v>99</v>
      </c>
      <c r="N20" s="40" t="s">
        <v>100</v>
      </c>
      <c r="O20" s="42" t="s">
        <v>101</v>
      </c>
      <c r="P20" s="38" t="s">
        <v>102</v>
      </c>
      <c r="Q20" s="40" t="s">
        <v>103</v>
      </c>
      <c r="R20" s="40" t="s">
        <v>104</v>
      </c>
      <c r="S20" s="43" t="s">
        <v>105</v>
      </c>
      <c r="T20" s="43" t="s">
        <v>105</v>
      </c>
      <c r="U20" s="40" t="s">
        <v>98</v>
      </c>
      <c r="V20" s="44" t="s">
        <v>106</v>
      </c>
      <c r="W20" s="45" t="s">
        <v>107</v>
      </c>
      <c r="X20" s="40" t="s">
        <v>98</v>
      </c>
      <c r="Y20" s="46">
        <v>45292</v>
      </c>
      <c r="Z20" s="40" t="s">
        <v>108</v>
      </c>
      <c r="AA20" s="44" t="s">
        <v>109</v>
      </c>
      <c r="AB20" s="48" t="s">
        <v>110</v>
      </c>
      <c r="AC20" s="48" t="s">
        <v>111</v>
      </c>
      <c r="AD20" s="39" t="s">
        <v>112</v>
      </c>
      <c r="AE20" s="38">
        <v>970</v>
      </c>
      <c r="AF20" s="38" t="s">
        <v>57</v>
      </c>
      <c r="AG20" s="48">
        <v>20</v>
      </c>
      <c r="AH20" s="49" t="s">
        <v>157</v>
      </c>
      <c r="AI20" s="48" t="s">
        <v>114</v>
      </c>
      <c r="AJ20" s="46">
        <f>Y20+740</f>
        <v>46032</v>
      </c>
      <c r="AK20" s="41">
        <f t="shared" si="10"/>
        <v>45382</v>
      </c>
      <c r="AL20" s="40" t="s">
        <v>115</v>
      </c>
      <c r="AM20" s="49" t="s">
        <v>116</v>
      </c>
      <c r="AN20" s="48" t="s">
        <v>117</v>
      </c>
      <c r="AO20" s="40" t="s">
        <v>118</v>
      </c>
      <c r="AP20" s="50" t="s">
        <v>119</v>
      </c>
      <c r="AQ20" s="40" t="s">
        <v>120</v>
      </c>
      <c r="AR20" s="61" t="s">
        <v>120</v>
      </c>
      <c r="AS20" s="44" t="s">
        <v>109</v>
      </c>
      <c r="AT20" s="40" t="s">
        <v>121</v>
      </c>
      <c r="AU20" t="s">
        <v>122</v>
      </c>
      <c r="AV20" s="44" t="s">
        <v>123</v>
      </c>
      <c r="AW20" s="51">
        <f t="shared" si="3"/>
        <v>45291</v>
      </c>
      <c r="AX20" s="51">
        <f t="shared" ref="AX20:AX23" si="17">Y20-1</f>
        <v>45291</v>
      </c>
      <c r="AY20" s="41">
        <f t="shared" ref="AY20:AY23" si="18">AJ20</f>
        <v>46032</v>
      </c>
      <c r="AZ20" s="43" t="s">
        <v>95</v>
      </c>
      <c r="BA20" s="43" t="s">
        <v>124</v>
      </c>
      <c r="BB20" s="62" t="s">
        <v>471</v>
      </c>
      <c r="BC20" s="44" t="s">
        <v>125</v>
      </c>
      <c r="BD20" s="44" t="s">
        <v>126</v>
      </c>
      <c r="BE20" s="43" t="s">
        <v>95</v>
      </c>
      <c r="BF20" s="43" t="s">
        <v>127</v>
      </c>
      <c r="BG20" s="50">
        <v>8542366024</v>
      </c>
      <c r="BH20" s="44">
        <v>36526</v>
      </c>
      <c r="BI20" s="44">
        <v>51136</v>
      </c>
      <c r="BJ20" s="38" t="s">
        <v>128</v>
      </c>
      <c r="BK20" s="50" t="s">
        <v>129</v>
      </c>
      <c r="BL20" s="52">
        <v>35109</v>
      </c>
      <c r="BM20" s="53" t="s">
        <v>95</v>
      </c>
      <c r="BN20" s="43" t="s">
        <v>105</v>
      </c>
      <c r="BO20" s="38" t="s">
        <v>130</v>
      </c>
      <c r="BP20" s="54" t="s">
        <v>109</v>
      </c>
      <c r="BQ20" s="43" t="s">
        <v>131</v>
      </c>
      <c r="BR20" s="43" t="s">
        <v>95</v>
      </c>
      <c r="BS20" s="49" t="s">
        <v>119</v>
      </c>
      <c r="BT20" s="39">
        <v>10</v>
      </c>
      <c r="BU20" s="38" t="s">
        <v>132</v>
      </c>
      <c r="BV20" s="38" t="s">
        <v>133</v>
      </c>
      <c r="BW20" s="43" t="s">
        <v>134</v>
      </c>
      <c r="BX20" s="55" t="s">
        <v>135</v>
      </c>
      <c r="BY20" s="43" t="s">
        <v>136</v>
      </c>
      <c r="BZ20" s="43" t="s">
        <v>137</v>
      </c>
      <c r="CA20" s="43" t="s">
        <v>138</v>
      </c>
      <c r="CB20" s="43" t="s">
        <v>139</v>
      </c>
      <c r="CC20" s="55" t="s">
        <v>134</v>
      </c>
      <c r="CD20" s="40" t="s">
        <v>135</v>
      </c>
      <c r="CE20" s="43" t="s">
        <v>136</v>
      </c>
      <c r="CF20" s="43" t="s">
        <v>140</v>
      </c>
      <c r="CG20" s="43" t="s">
        <v>141</v>
      </c>
      <c r="CH20" s="43" t="s">
        <v>140</v>
      </c>
      <c r="CI20" s="56">
        <v>100</v>
      </c>
      <c r="CJ20" s="43" t="s">
        <v>142</v>
      </c>
      <c r="CK20" s="43" t="s">
        <v>143</v>
      </c>
      <c r="CL20" s="43" t="s">
        <v>95</v>
      </c>
      <c r="CM20" s="43" t="s">
        <v>144</v>
      </c>
      <c r="CN20" s="43" t="s">
        <v>145</v>
      </c>
      <c r="CO20" s="49" t="s">
        <v>109</v>
      </c>
      <c r="CP20" s="49" t="s">
        <v>109</v>
      </c>
      <c r="CQ20" s="57" t="s">
        <v>109</v>
      </c>
      <c r="CR20" s="52" t="s">
        <v>109</v>
      </c>
      <c r="CS20" s="49" t="s">
        <v>109</v>
      </c>
      <c r="CT20" s="49" t="s">
        <v>109</v>
      </c>
      <c r="CU20" s="58" t="s">
        <v>109</v>
      </c>
      <c r="CV20" s="61" t="s">
        <v>202</v>
      </c>
    </row>
    <row r="21" spans="1:100" ht="47.25" customHeight="1" x14ac:dyDescent="0.25">
      <c r="A21" s="64" t="s">
        <v>203</v>
      </c>
      <c r="B21" s="61"/>
      <c r="C21" s="61"/>
      <c r="D21" s="37" t="s">
        <v>94</v>
      </c>
      <c r="E21" s="38" t="s">
        <v>95</v>
      </c>
      <c r="F21" s="39" t="s">
        <v>234</v>
      </c>
      <c r="G21" s="39" t="s">
        <v>159</v>
      </c>
      <c r="H21" s="40" t="s">
        <v>96</v>
      </c>
      <c r="I21" s="40" t="s">
        <v>97</v>
      </c>
      <c r="J21" s="40" t="s">
        <v>98</v>
      </c>
      <c r="K21" s="41">
        <f t="shared" si="11"/>
        <v>45658</v>
      </c>
      <c r="L21" s="38" t="s">
        <v>95</v>
      </c>
      <c r="M21" s="40" t="s">
        <v>99</v>
      </c>
      <c r="N21" s="40" t="s">
        <v>146</v>
      </c>
      <c r="O21" s="42" t="s">
        <v>101</v>
      </c>
      <c r="P21" s="38" t="s">
        <v>147</v>
      </c>
      <c r="Q21" s="40" t="s">
        <v>103</v>
      </c>
      <c r="R21" s="40" t="s">
        <v>104</v>
      </c>
      <c r="S21" s="43" t="s">
        <v>105</v>
      </c>
      <c r="T21" s="43" t="s">
        <v>105</v>
      </c>
      <c r="U21" s="40" t="s">
        <v>98</v>
      </c>
      <c r="V21" s="44" t="s">
        <v>106</v>
      </c>
      <c r="W21" s="45" t="s">
        <v>107</v>
      </c>
      <c r="X21" s="40" t="s">
        <v>98</v>
      </c>
      <c r="Y21" s="46">
        <v>45658</v>
      </c>
      <c r="Z21" s="40" t="s">
        <v>108</v>
      </c>
      <c r="AA21" s="44" t="s">
        <v>109</v>
      </c>
      <c r="AB21" s="48" t="s">
        <v>167</v>
      </c>
      <c r="AC21" s="48" t="s">
        <v>111</v>
      </c>
      <c r="AD21" s="39" t="s">
        <v>112</v>
      </c>
      <c r="AE21" s="38">
        <v>970</v>
      </c>
      <c r="AF21" s="38" t="s">
        <v>57</v>
      </c>
      <c r="AG21" s="48">
        <v>30</v>
      </c>
      <c r="AH21" s="49" t="s">
        <v>113</v>
      </c>
      <c r="AI21" s="48" t="s">
        <v>114</v>
      </c>
      <c r="AJ21" s="46" t="s">
        <v>109</v>
      </c>
      <c r="AK21" s="41">
        <f t="shared" si="10"/>
        <v>45748</v>
      </c>
      <c r="AL21" s="40" t="s">
        <v>115</v>
      </c>
      <c r="AM21" s="49" t="s">
        <v>116</v>
      </c>
      <c r="AN21" s="48" t="s">
        <v>155</v>
      </c>
      <c r="AO21" s="40" t="s">
        <v>118</v>
      </c>
      <c r="AP21" s="50" t="s">
        <v>119</v>
      </c>
      <c r="AQ21" s="40" t="s">
        <v>120</v>
      </c>
      <c r="AR21" s="61" t="s">
        <v>120</v>
      </c>
      <c r="AS21" s="44" t="s">
        <v>109</v>
      </c>
      <c r="AT21" s="40" t="s">
        <v>121</v>
      </c>
      <c r="AU21" s="50" t="str">
        <f t="shared" si="15"/>
        <v>Permanent</v>
      </c>
      <c r="AV21" s="44" t="s">
        <v>123</v>
      </c>
      <c r="AW21" s="51">
        <f t="shared" ref="AW21:AW23" si="19">Y21-1</f>
        <v>45657</v>
      </c>
      <c r="AX21" s="51">
        <f t="shared" si="17"/>
        <v>45657</v>
      </c>
      <c r="AY21" s="41" t="str">
        <f t="shared" si="18"/>
        <v>N/A</v>
      </c>
      <c r="AZ21" s="43" t="s">
        <v>95</v>
      </c>
      <c r="BA21" s="43" t="s">
        <v>124</v>
      </c>
      <c r="BB21" s="62" t="s">
        <v>472</v>
      </c>
      <c r="BC21" s="44">
        <v>36526</v>
      </c>
      <c r="BD21" s="44">
        <v>51136</v>
      </c>
      <c r="BE21" s="43" t="s">
        <v>95</v>
      </c>
      <c r="BF21" s="43" t="s">
        <v>127</v>
      </c>
      <c r="BG21" s="50">
        <v>8542366025</v>
      </c>
      <c r="BH21" s="44">
        <v>36526</v>
      </c>
      <c r="BI21" s="44">
        <v>51136</v>
      </c>
      <c r="BJ21" s="38" t="s">
        <v>128</v>
      </c>
      <c r="BK21" s="50" t="s">
        <v>149</v>
      </c>
      <c r="BL21" s="52">
        <v>36162</v>
      </c>
      <c r="BM21" s="53" t="s">
        <v>95</v>
      </c>
      <c r="BN21" s="43" t="s">
        <v>105</v>
      </c>
      <c r="BO21" s="38" t="s">
        <v>130</v>
      </c>
      <c r="BP21" s="54" t="s">
        <v>109</v>
      </c>
      <c r="BQ21" s="43" t="s">
        <v>131</v>
      </c>
      <c r="BR21" s="43" t="s">
        <v>95</v>
      </c>
      <c r="BS21" s="49" t="s">
        <v>120</v>
      </c>
      <c r="BT21" s="39" t="s">
        <v>109</v>
      </c>
      <c r="BU21" s="38" t="s">
        <v>132</v>
      </c>
      <c r="BV21" s="38" t="s">
        <v>133</v>
      </c>
      <c r="BW21" s="43" t="s">
        <v>134</v>
      </c>
      <c r="BX21" s="55" t="s">
        <v>150</v>
      </c>
      <c r="BY21" s="43" t="s">
        <v>136</v>
      </c>
      <c r="BZ21" s="43" t="s">
        <v>137</v>
      </c>
      <c r="CA21" s="43" t="s">
        <v>138</v>
      </c>
      <c r="CB21" s="43" t="s">
        <v>139</v>
      </c>
      <c r="CC21" s="55" t="s">
        <v>134</v>
      </c>
      <c r="CD21" s="40" t="s">
        <v>135</v>
      </c>
      <c r="CE21" s="43" t="s">
        <v>136</v>
      </c>
      <c r="CF21" s="43" t="s">
        <v>140</v>
      </c>
      <c r="CG21" s="43" t="s">
        <v>141</v>
      </c>
      <c r="CH21" s="43" t="s">
        <v>140</v>
      </c>
      <c r="CI21" s="56">
        <v>100</v>
      </c>
      <c r="CJ21" s="43" t="s">
        <v>142</v>
      </c>
      <c r="CK21" s="43" t="s">
        <v>143</v>
      </c>
      <c r="CL21" s="43" t="s">
        <v>95</v>
      </c>
      <c r="CM21" s="43" t="s">
        <v>151</v>
      </c>
      <c r="CN21" s="43" t="s">
        <v>145</v>
      </c>
      <c r="CO21" s="49" t="s">
        <v>109</v>
      </c>
      <c r="CP21" s="49" t="s">
        <v>109</v>
      </c>
      <c r="CQ21" s="57" t="s">
        <v>109</v>
      </c>
      <c r="CR21" s="52" t="s">
        <v>109</v>
      </c>
      <c r="CS21" s="49" t="s">
        <v>109</v>
      </c>
      <c r="CT21" s="49" t="s">
        <v>109</v>
      </c>
      <c r="CU21" s="58" t="s">
        <v>109</v>
      </c>
      <c r="CV21" s="61" t="s">
        <v>203</v>
      </c>
    </row>
    <row r="22" spans="1:100" ht="47.25" customHeight="1" x14ac:dyDescent="0.25">
      <c r="A22" s="64" t="s">
        <v>204</v>
      </c>
      <c r="B22" s="36"/>
      <c r="C22" s="61"/>
      <c r="D22" s="37" t="s">
        <v>94</v>
      </c>
      <c r="E22" s="38" t="s">
        <v>95</v>
      </c>
      <c r="F22" s="39" t="s">
        <v>235</v>
      </c>
      <c r="G22" s="39" t="s">
        <v>159</v>
      </c>
      <c r="H22" s="40" t="s">
        <v>96</v>
      </c>
      <c r="I22" s="40" t="s">
        <v>97</v>
      </c>
      <c r="J22" s="40" t="s">
        <v>98</v>
      </c>
      <c r="K22" s="41">
        <f t="shared" si="11"/>
        <v>45292</v>
      </c>
      <c r="L22" s="38" t="s">
        <v>95</v>
      </c>
      <c r="M22" s="40" t="s">
        <v>99</v>
      </c>
      <c r="N22" s="40" t="s">
        <v>146</v>
      </c>
      <c r="O22" s="42" t="s">
        <v>101</v>
      </c>
      <c r="P22" s="38" t="s">
        <v>147</v>
      </c>
      <c r="Q22" s="40" t="s">
        <v>103</v>
      </c>
      <c r="R22" s="40" t="s">
        <v>104</v>
      </c>
      <c r="S22" s="43" t="s">
        <v>105</v>
      </c>
      <c r="T22" s="43" t="s">
        <v>105</v>
      </c>
      <c r="U22" s="40" t="s">
        <v>98</v>
      </c>
      <c r="V22" s="44" t="s">
        <v>106</v>
      </c>
      <c r="W22" s="45" t="s">
        <v>107</v>
      </c>
      <c r="X22" s="40" t="s">
        <v>98</v>
      </c>
      <c r="Y22" s="46">
        <v>45292</v>
      </c>
      <c r="Z22" s="40" t="s">
        <v>108</v>
      </c>
      <c r="AA22" s="44" t="s">
        <v>109</v>
      </c>
      <c r="AB22" s="48" t="s">
        <v>167</v>
      </c>
      <c r="AC22" s="48" t="s">
        <v>111</v>
      </c>
      <c r="AD22" s="39" t="s">
        <v>112</v>
      </c>
      <c r="AE22" s="38">
        <v>970</v>
      </c>
      <c r="AF22" s="38" t="s">
        <v>57</v>
      </c>
      <c r="AG22" s="48">
        <v>30</v>
      </c>
      <c r="AH22" s="49" t="s">
        <v>113</v>
      </c>
      <c r="AI22" s="48" t="s">
        <v>114</v>
      </c>
      <c r="AJ22" s="46" t="s">
        <v>109</v>
      </c>
      <c r="AK22" s="41">
        <f t="shared" si="10"/>
        <v>45382</v>
      </c>
      <c r="AL22" s="40" t="s">
        <v>115</v>
      </c>
      <c r="AM22" s="49" t="s">
        <v>116</v>
      </c>
      <c r="AN22" s="39" t="s">
        <v>160</v>
      </c>
      <c r="AO22" s="40" t="s">
        <v>118</v>
      </c>
      <c r="AP22" s="50" t="s">
        <v>119</v>
      </c>
      <c r="AQ22" s="40" t="s">
        <v>120</v>
      </c>
      <c r="AR22" s="61" t="s">
        <v>120</v>
      </c>
      <c r="AS22" s="44" t="s">
        <v>109</v>
      </c>
      <c r="AT22" s="40" t="s">
        <v>121</v>
      </c>
      <c r="AU22" s="50" t="str">
        <f t="shared" si="15"/>
        <v>Permanent</v>
      </c>
      <c r="AV22" s="44" t="s">
        <v>123</v>
      </c>
      <c r="AW22" s="51">
        <f t="shared" si="19"/>
        <v>45291</v>
      </c>
      <c r="AX22" s="51">
        <f t="shared" si="17"/>
        <v>45291</v>
      </c>
      <c r="AY22" s="41" t="str">
        <f t="shared" si="18"/>
        <v>N/A</v>
      </c>
      <c r="AZ22" s="43" t="s">
        <v>95</v>
      </c>
      <c r="BA22" s="43" t="s">
        <v>124</v>
      </c>
      <c r="BB22" s="62" t="s">
        <v>473</v>
      </c>
      <c r="BC22" s="44" t="s">
        <v>125</v>
      </c>
      <c r="BD22" s="44" t="s">
        <v>126</v>
      </c>
      <c r="BE22" s="43" t="s">
        <v>95</v>
      </c>
      <c r="BF22" s="43" t="s">
        <v>127</v>
      </c>
      <c r="BG22" s="50">
        <v>8542366026</v>
      </c>
      <c r="BH22" s="44">
        <v>36526</v>
      </c>
      <c r="BI22" s="44">
        <v>51136</v>
      </c>
      <c r="BJ22" s="38" t="s">
        <v>128</v>
      </c>
      <c r="BK22" s="50" t="s">
        <v>129</v>
      </c>
      <c r="BL22" s="52">
        <v>37258</v>
      </c>
      <c r="BM22" s="53" t="s">
        <v>95</v>
      </c>
      <c r="BN22" s="43" t="s">
        <v>105</v>
      </c>
      <c r="BO22" s="38" t="s">
        <v>130</v>
      </c>
      <c r="BP22" s="54" t="s">
        <v>109</v>
      </c>
      <c r="BQ22" s="43" t="s">
        <v>131</v>
      </c>
      <c r="BR22" s="43" t="s">
        <v>95</v>
      </c>
      <c r="BS22" s="49" t="s">
        <v>119</v>
      </c>
      <c r="BT22" s="39">
        <v>10</v>
      </c>
      <c r="BU22" s="38" t="s">
        <v>132</v>
      </c>
      <c r="BV22" s="38" t="s">
        <v>133</v>
      </c>
      <c r="BW22" s="43" t="s">
        <v>134</v>
      </c>
      <c r="BX22" s="55" t="s">
        <v>150</v>
      </c>
      <c r="BY22" s="43" t="s">
        <v>136</v>
      </c>
      <c r="BZ22" s="43" t="s">
        <v>137</v>
      </c>
      <c r="CA22" s="43" t="s">
        <v>138</v>
      </c>
      <c r="CB22" s="43" t="s">
        <v>139</v>
      </c>
      <c r="CC22" s="55" t="s">
        <v>134</v>
      </c>
      <c r="CD22" s="40" t="s">
        <v>135</v>
      </c>
      <c r="CE22" s="43" t="s">
        <v>136</v>
      </c>
      <c r="CF22" s="43" t="s">
        <v>140</v>
      </c>
      <c r="CG22" s="43" t="s">
        <v>141</v>
      </c>
      <c r="CH22" s="43" t="s">
        <v>140</v>
      </c>
      <c r="CI22" s="56">
        <v>100</v>
      </c>
      <c r="CJ22" s="43" t="s">
        <v>142</v>
      </c>
      <c r="CK22" s="43" t="s">
        <v>143</v>
      </c>
      <c r="CL22" s="43" t="s">
        <v>95</v>
      </c>
      <c r="CM22" s="43" t="s">
        <v>151</v>
      </c>
      <c r="CN22" s="43" t="s">
        <v>145</v>
      </c>
      <c r="CO22" s="49" t="s">
        <v>152</v>
      </c>
      <c r="CP22" s="49" t="s">
        <v>153</v>
      </c>
      <c r="CQ22" s="57" t="s">
        <v>105</v>
      </c>
      <c r="CR22" s="52">
        <f ca="1">TODAY()-1500</f>
        <v>44271</v>
      </c>
      <c r="CS22" s="49" t="s">
        <v>154</v>
      </c>
      <c r="CT22" s="58">
        <v>1234041</v>
      </c>
      <c r="CU22" s="58">
        <v>123456034</v>
      </c>
      <c r="CV22" s="61" t="s">
        <v>204</v>
      </c>
    </row>
    <row r="23" spans="1:100" ht="47.25" customHeight="1" x14ac:dyDescent="0.25">
      <c r="A23" s="64" t="s">
        <v>205</v>
      </c>
      <c r="B23" s="36"/>
      <c r="C23" s="61"/>
      <c r="D23" s="37" t="s">
        <v>94</v>
      </c>
      <c r="E23" s="38" t="s">
        <v>95</v>
      </c>
      <c r="F23" s="39" t="s">
        <v>236</v>
      </c>
      <c r="G23" s="39" t="s">
        <v>192</v>
      </c>
      <c r="H23" s="40" t="s">
        <v>96</v>
      </c>
      <c r="I23" s="40" t="s">
        <v>97</v>
      </c>
      <c r="J23" s="40" t="s">
        <v>98</v>
      </c>
      <c r="K23" s="41">
        <f t="shared" si="11"/>
        <v>45658</v>
      </c>
      <c r="L23" s="38" t="s">
        <v>95</v>
      </c>
      <c r="M23" s="40" t="s">
        <v>99</v>
      </c>
      <c r="N23" s="40" t="s">
        <v>146</v>
      </c>
      <c r="O23" s="42" t="s">
        <v>101</v>
      </c>
      <c r="P23" s="38" t="s">
        <v>147</v>
      </c>
      <c r="Q23" s="40" t="s">
        <v>103</v>
      </c>
      <c r="R23" s="40" t="s">
        <v>104</v>
      </c>
      <c r="S23" s="43" t="s">
        <v>105</v>
      </c>
      <c r="T23" s="43" t="s">
        <v>105</v>
      </c>
      <c r="U23" s="40" t="s">
        <v>98</v>
      </c>
      <c r="V23" s="44" t="s">
        <v>106</v>
      </c>
      <c r="W23" s="45" t="s">
        <v>107</v>
      </c>
      <c r="X23" s="40" t="s">
        <v>98</v>
      </c>
      <c r="Y23" s="46">
        <v>45658</v>
      </c>
      <c r="Z23" s="40" t="s">
        <v>108</v>
      </c>
      <c r="AA23" s="44" t="s">
        <v>109</v>
      </c>
      <c r="AB23" s="48" t="s">
        <v>110</v>
      </c>
      <c r="AC23" s="48" t="s">
        <v>111</v>
      </c>
      <c r="AD23" s="39" t="s">
        <v>112</v>
      </c>
      <c r="AE23" s="38">
        <v>970</v>
      </c>
      <c r="AF23" s="38" t="s">
        <v>57</v>
      </c>
      <c r="AG23" s="48">
        <v>30</v>
      </c>
      <c r="AH23" s="49" t="s">
        <v>113</v>
      </c>
      <c r="AI23" s="48" t="s">
        <v>114</v>
      </c>
      <c r="AJ23" s="46">
        <f t="shared" ref="AJ23" si="20">Y23+365</f>
        <v>46023</v>
      </c>
      <c r="AK23" s="41">
        <f t="shared" si="10"/>
        <v>45748</v>
      </c>
      <c r="AL23" s="40" t="s">
        <v>115</v>
      </c>
      <c r="AM23" s="49" t="s">
        <v>116</v>
      </c>
      <c r="AN23" s="39" t="s">
        <v>160</v>
      </c>
      <c r="AO23" s="40" t="s">
        <v>118</v>
      </c>
      <c r="AP23" s="50" t="s">
        <v>119</v>
      </c>
      <c r="AQ23" s="40" t="s">
        <v>120</v>
      </c>
      <c r="AR23" s="61" t="s">
        <v>120</v>
      </c>
      <c r="AS23" s="44" t="s">
        <v>109</v>
      </c>
      <c r="AT23" s="40" t="s">
        <v>121</v>
      </c>
      <c r="AU23" t="s">
        <v>122</v>
      </c>
      <c r="AV23" s="44" t="s">
        <v>123</v>
      </c>
      <c r="AW23" s="51">
        <f t="shared" si="19"/>
        <v>45657</v>
      </c>
      <c r="AX23" s="51">
        <f t="shared" si="17"/>
        <v>45657</v>
      </c>
      <c r="AY23" s="41">
        <f t="shared" si="18"/>
        <v>46023</v>
      </c>
      <c r="AZ23" s="43" t="s">
        <v>95</v>
      </c>
      <c r="BA23" s="43" t="s">
        <v>124</v>
      </c>
      <c r="BB23" s="62" t="s">
        <v>474</v>
      </c>
      <c r="BC23" s="44" t="s">
        <v>125</v>
      </c>
      <c r="BD23" s="44" t="s">
        <v>126</v>
      </c>
      <c r="BE23" s="43" t="s">
        <v>95</v>
      </c>
      <c r="BF23" s="43" t="s">
        <v>127</v>
      </c>
      <c r="BG23" s="50">
        <v>8542366027</v>
      </c>
      <c r="BH23" s="44">
        <v>36526</v>
      </c>
      <c r="BI23" s="44">
        <v>51136</v>
      </c>
      <c r="BJ23" s="38" t="s">
        <v>128</v>
      </c>
      <c r="BK23" s="50" t="s">
        <v>129</v>
      </c>
      <c r="BL23" s="52">
        <v>39884</v>
      </c>
      <c r="BM23" s="53" t="s">
        <v>95</v>
      </c>
      <c r="BN23" s="43" t="s">
        <v>105</v>
      </c>
      <c r="BO23" s="38" t="s">
        <v>130</v>
      </c>
      <c r="BP23" s="54" t="s">
        <v>109</v>
      </c>
      <c r="BQ23" s="43" t="s">
        <v>131</v>
      </c>
      <c r="BR23" s="43" t="s">
        <v>95</v>
      </c>
      <c r="BS23" s="49" t="s">
        <v>120</v>
      </c>
      <c r="BT23" s="49" t="s">
        <v>109</v>
      </c>
      <c r="BU23" s="38" t="s">
        <v>132</v>
      </c>
      <c r="BV23" s="38" t="s">
        <v>133</v>
      </c>
      <c r="BW23" s="43" t="s">
        <v>134</v>
      </c>
      <c r="BX23" s="55" t="s">
        <v>150</v>
      </c>
      <c r="BY23" s="43" t="s">
        <v>136</v>
      </c>
      <c r="BZ23" s="43" t="s">
        <v>137</v>
      </c>
      <c r="CA23" s="43" t="s">
        <v>138</v>
      </c>
      <c r="CB23" s="43" t="s">
        <v>139</v>
      </c>
      <c r="CC23" s="55" t="s">
        <v>134</v>
      </c>
      <c r="CD23" s="40" t="s">
        <v>135</v>
      </c>
      <c r="CE23" s="43" t="s">
        <v>136</v>
      </c>
      <c r="CF23" s="43" t="s">
        <v>140</v>
      </c>
      <c r="CG23" s="43" t="s">
        <v>141</v>
      </c>
      <c r="CH23" s="43" t="s">
        <v>140</v>
      </c>
      <c r="CI23" s="56">
        <v>100</v>
      </c>
      <c r="CJ23" s="43" t="s">
        <v>142</v>
      </c>
      <c r="CK23" s="43" t="s">
        <v>143</v>
      </c>
      <c r="CL23" s="43" t="s">
        <v>95</v>
      </c>
      <c r="CM23" s="43" t="s">
        <v>151</v>
      </c>
      <c r="CN23" s="43" t="s">
        <v>145</v>
      </c>
      <c r="CO23" s="49" t="s">
        <v>109</v>
      </c>
      <c r="CP23" s="49" t="s">
        <v>109</v>
      </c>
      <c r="CQ23" s="57" t="s">
        <v>109</v>
      </c>
      <c r="CR23" s="49" t="s">
        <v>109</v>
      </c>
      <c r="CS23" s="49" t="s">
        <v>109</v>
      </c>
      <c r="CT23" s="49" t="s">
        <v>109</v>
      </c>
      <c r="CU23" s="49" t="s">
        <v>109</v>
      </c>
      <c r="CV23" s="61" t="s">
        <v>205</v>
      </c>
    </row>
    <row r="24" spans="1:100" ht="64.5" customHeight="1" x14ac:dyDescent="0.25">
      <c r="A24" s="64" t="s">
        <v>206</v>
      </c>
      <c r="B24" s="36"/>
      <c r="C24" s="61"/>
      <c r="D24" s="37" t="s">
        <v>94</v>
      </c>
      <c r="E24" s="38" t="s">
        <v>95</v>
      </c>
      <c r="F24" s="39" t="s">
        <v>237</v>
      </c>
      <c r="G24" s="39" t="s">
        <v>159</v>
      </c>
      <c r="H24" s="40" t="s">
        <v>96</v>
      </c>
      <c r="I24" s="40" t="s">
        <v>97</v>
      </c>
      <c r="J24" s="40" t="s">
        <v>98</v>
      </c>
      <c r="K24" s="41">
        <v>45658</v>
      </c>
      <c r="L24" s="38" t="s">
        <v>95</v>
      </c>
      <c r="M24" s="40" t="s">
        <v>99</v>
      </c>
      <c r="N24" s="40" t="s">
        <v>146</v>
      </c>
      <c r="O24" s="42" t="s">
        <v>101</v>
      </c>
      <c r="P24" s="38" t="s">
        <v>147</v>
      </c>
      <c r="Q24" s="40" t="s">
        <v>103</v>
      </c>
      <c r="R24" s="40" t="s">
        <v>104</v>
      </c>
      <c r="S24" s="43" t="s">
        <v>105</v>
      </c>
      <c r="T24" s="43" t="s">
        <v>105</v>
      </c>
      <c r="U24" s="40" t="s">
        <v>98</v>
      </c>
      <c r="V24" s="44" t="s">
        <v>106</v>
      </c>
      <c r="W24" s="45" t="s">
        <v>107</v>
      </c>
      <c r="X24" s="40" t="s">
        <v>98</v>
      </c>
      <c r="Y24" s="46">
        <v>45658</v>
      </c>
      <c r="Z24" s="40" t="s">
        <v>108</v>
      </c>
      <c r="AA24" s="44" t="s">
        <v>109</v>
      </c>
      <c r="AB24" s="48" t="s">
        <v>110</v>
      </c>
      <c r="AC24" s="48" t="s">
        <v>111</v>
      </c>
      <c r="AD24" s="39" t="s">
        <v>112</v>
      </c>
      <c r="AE24" s="38">
        <v>970</v>
      </c>
      <c r="AF24" s="38" t="s">
        <v>57</v>
      </c>
      <c r="AG24" s="39">
        <v>15</v>
      </c>
      <c r="AH24" s="49" t="s">
        <v>157</v>
      </c>
      <c r="AI24" s="48" t="s">
        <v>114</v>
      </c>
      <c r="AJ24" s="46">
        <v>46023</v>
      </c>
      <c r="AK24" s="41">
        <v>45748</v>
      </c>
      <c r="AL24" s="40" t="s">
        <v>115</v>
      </c>
      <c r="AM24" s="49" t="s">
        <v>116</v>
      </c>
      <c r="AN24" s="48" t="s">
        <v>117</v>
      </c>
      <c r="AO24" s="40" t="s">
        <v>118</v>
      </c>
      <c r="AP24" s="50" t="s">
        <v>119</v>
      </c>
      <c r="AQ24" s="40" t="s">
        <v>120</v>
      </c>
      <c r="AR24" s="61" t="s">
        <v>120</v>
      </c>
      <c r="AS24" s="44" t="s">
        <v>109</v>
      </c>
      <c r="AT24" s="40" t="s">
        <v>121</v>
      </c>
      <c r="AU24" t="s">
        <v>122</v>
      </c>
      <c r="AV24" s="44" t="s">
        <v>123</v>
      </c>
      <c r="AW24" s="51">
        <v>45657</v>
      </c>
      <c r="AX24" s="51">
        <v>45657</v>
      </c>
      <c r="AY24" s="41">
        <v>46023</v>
      </c>
      <c r="AZ24" s="43" t="s">
        <v>95</v>
      </c>
      <c r="BA24" s="43" t="s">
        <v>124</v>
      </c>
      <c r="BB24" s="62" t="s">
        <v>475</v>
      </c>
      <c r="BC24" s="44">
        <v>36526</v>
      </c>
      <c r="BD24" s="44">
        <v>51136</v>
      </c>
      <c r="BE24" s="43" t="s">
        <v>95</v>
      </c>
      <c r="BF24" s="43" t="s">
        <v>127</v>
      </c>
      <c r="BG24" s="50">
        <v>8542366028</v>
      </c>
      <c r="BH24" s="44">
        <v>36526</v>
      </c>
      <c r="BI24" s="44">
        <v>51136</v>
      </c>
      <c r="BJ24" s="38" t="s">
        <v>128</v>
      </c>
      <c r="BK24" s="50" t="s">
        <v>149</v>
      </c>
      <c r="BL24" s="52">
        <v>31049</v>
      </c>
      <c r="BM24" s="53" t="s">
        <v>95</v>
      </c>
      <c r="BN24" s="43" t="s">
        <v>105</v>
      </c>
      <c r="BO24" s="38" t="s">
        <v>130</v>
      </c>
      <c r="BP24" s="54" t="s">
        <v>109</v>
      </c>
      <c r="BQ24" s="43" t="s">
        <v>131</v>
      </c>
      <c r="BR24" s="43" t="s">
        <v>95</v>
      </c>
      <c r="BS24" s="39" t="s">
        <v>119</v>
      </c>
      <c r="BT24" s="39">
        <v>10</v>
      </c>
      <c r="BU24" s="38" t="s">
        <v>132</v>
      </c>
      <c r="BV24" s="38" t="s">
        <v>133</v>
      </c>
      <c r="BW24" s="43" t="s">
        <v>134</v>
      </c>
      <c r="BX24" s="55" t="s">
        <v>150</v>
      </c>
      <c r="BY24" s="43" t="s">
        <v>136</v>
      </c>
      <c r="BZ24" s="43" t="s">
        <v>137</v>
      </c>
      <c r="CA24" s="43" t="s">
        <v>138</v>
      </c>
      <c r="CB24" s="43" t="s">
        <v>139</v>
      </c>
      <c r="CC24" s="55" t="s">
        <v>134</v>
      </c>
      <c r="CD24" s="40" t="s">
        <v>135</v>
      </c>
      <c r="CE24" s="43" t="s">
        <v>136</v>
      </c>
      <c r="CF24" s="43" t="s">
        <v>140</v>
      </c>
      <c r="CG24" s="43" t="s">
        <v>141</v>
      </c>
      <c r="CH24" s="43" t="s">
        <v>140</v>
      </c>
      <c r="CI24" s="56">
        <v>100</v>
      </c>
      <c r="CJ24" s="43" t="s">
        <v>142</v>
      </c>
      <c r="CK24" s="43" t="s">
        <v>143</v>
      </c>
      <c r="CL24" s="43" t="s">
        <v>95</v>
      </c>
      <c r="CM24" s="43" t="s">
        <v>151</v>
      </c>
      <c r="CN24" s="43" t="s">
        <v>145</v>
      </c>
      <c r="CO24" s="49" t="s">
        <v>152</v>
      </c>
      <c r="CP24" s="49" t="s">
        <v>153</v>
      </c>
      <c r="CQ24" s="57" t="s">
        <v>105</v>
      </c>
      <c r="CR24" s="52">
        <v>39886</v>
      </c>
      <c r="CS24" s="49" t="s">
        <v>154</v>
      </c>
      <c r="CT24" s="58">
        <v>1634089</v>
      </c>
      <c r="CU24" s="58">
        <v>123416098</v>
      </c>
      <c r="CV24" s="61" t="s">
        <v>206</v>
      </c>
    </row>
    <row r="25" spans="1:100" ht="14.45" customHeight="1" x14ac:dyDescent="0.25">
      <c r="A25" s="64" t="s">
        <v>212</v>
      </c>
      <c r="B25" s="36"/>
      <c r="C25" s="61"/>
      <c r="D25" s="37" t="s">
        <v>94</v>
      </c>
      <c r="E25" s="38" t="s">
        <v>95</v>
      </c>
      <c r="F25" s="39" t="s">
        <v>238</v>
      </c>
      <c r="G25" s="39" t="s">
        <v>192</v>
      </c>
      <c r="H25" s="40" t="s">
        <v>96</v>
      </c>
      <c r="I25" s="40" t="s">
        <v>97</v>
      </c>
      <c r="J25" s="40" t="s">
        <v>98</v>
      </c>
      <c r="K25" s="41">
        <v>45658</v>
      </c>
      <c r="L25" s="38" t="s">
        <v>95</v>
      </c>
      <c r="M25" s="40" t="s">
        <v>99</v>
      </c>
      <c r="N25" s="40" t="s">
        <v>100</v>
      </c>
      <c r="O25" s="42" t="s">
        <v>101</v>
      </c>
      <c r="P25" s="38" t="s">
        <v>102</v>
      </c>
      <c r="Q25" s="40" t="s">
        <v>103</v>
      </c>
      <c r="R25" s="40" t="s">
        <v>104</v>
      </c>
      <c r="S25" s="43" t="s">
        <v>105</v>
      </c>
      <c r="T25" s="43" t="s">
        <v>105</v>
      </c>
      <c r="U25" s="40" t="s">
        <v>98</v>
      </c>
      <c r="V25" s="44" t="s">
        <v>106</v>
      </c>
      <c r="W25" s="45" t="s">
        <v>107</v>
      </c>
      <c r="X25" s="40" t="s">
        <v>98</v>
      </c>
      <c r="Y25" s="46">
        <v>45658</v>
      </c>
      <c r="Z25" s="40" t="s">
        <v>108</v>
      </c>
      <c r="AA25" s="47" t="s">
        <v>109</v>
      </c>
      <c r="AB25" s="48" t="s">
        <v>110</v>
      </c>
      <c r="AC25" s="48" t="s">
        <v>111</v>
      </c>
      <c r="AD25" s="48" t="s">
        <v>112</v>
      </c>
      <c r="AE25" s="38">
        <v>970</v>
      </c>
      <c r="AF25" s="38" t="s">
        <v>57</v>
      </c>
      <c r="AG25" s="48">
        <v>40</v>
      </c>
      <c r="AH25" s="49" t="s">
        <v>113</v>
      </c>
      <c r="AI25" s="48" t="s">
        <v>114</v>
      </c>
      <c r="AJ25" s="46">
        <v>46023</v>
      </c>
      <c r="AK25" s="41">
        <v>45748</v>
      </c>
      <c r="AL25" s="40" t="s">
        <v>115</v>
      </c>
      <c r="AM25" s="49" t="s">
        <v>116</v>
      </c>
      <c r="AN25" s="48" t="s">
        <v>117</v>
      </c>
      <c r="AO25" s="40" t="s">
        <v>118</v>
      </c>
      <c r="AP25" s="50" t="s">
        <v>119</v>
      </c>
      <c r="AQ25" s="40" t="s">
        <v>120</v>
      </c>
      <c r="AR25" s="35" t="s">
        <v>120</v>
      </c>
      <c r="AS25" s="44" t="s">
        <v>109</v>
      </c>
      <c r="AT25" s="40" t="s">
        <v>121</v>
      </c>
      <c r="AU25" t="s">
        <v>122</v>
      </c>
      <c r="AV25" s="44" t="s">
        <v>123</v>
      </c>
      <c r="AW25" s="51">
        <v>45657</v>
      </c>
      <c r="AX25" s="51">
        <v>45657</v>
      </c>
      <c r="AY25" s="41">
        <v>46023</v>
      </c>
      <c r="AZ25" s="43" t="s">
        <v>95</v>
      </c>
      <c r="BA25" s="43" t="s">
        <v>124</v>
      </c>
      <c r="BB25" s="60" t="s">
        <v>443</v>
      </c>
      <c r="BC25" s="44" t="s">
        <v>125</v>
      </c>
      <c r="BD25" s="44" t="s">
        <v>126</v>
      </c>
      <c r="BE25" s="43" t="s">
        <v>95</v>
      </c>
      <c r="BF25" s="43" t="s">
        <v>127</v>
      </c>
      <c r="BG25" s="59">
        <v>8542366020</v>
      </c>
      <c r="BH25" s="44">
        <v>36526</v>
      </c>
      <c r="BI25" s="44">
        <v>51136</v>
      </c>
      <c r="BJ25" s="38" t="s">
        <v>128</v>
      </c>
      <c r="BK25" s="50" t="s">
        <v>129</v>
      </c>
      <c r="BL25" s="52">
        <v>32144</v>
      </c>
      <c r="BM25" s="53" t="s">
        <v>95</v>
      </c>
      <c r="BN25" s="43" t="s">
        <v>105</v>
      </c>
      <c r="BO25" s="38" t="s">
        <v>130</v>
      </c>
      <c r="BP25" s="54" t="s">
        <v>109</v>
      </c>
      <c r="BQ25" s="43" t="s">
        <v>131</v>
      </c>
      <c r="BR25" s="43" t="s">
        <v>95</v>
      </c>
      <c r="BS25" s="49" t="s">
        <v>119</v>
      </c>
      <c r="BT25" s="49">
        <v>10</v>
      </c>
      <c r="BU25" s="38" t="s">
        <v>132</v>
      </c>
      <c r="BV25" s="38" t="s">
        <v>133</v>
      </c>
      <c r="BW25" s="43" t="s">
        <v>134</v>
      </c>
      <c r="BX25" s="55" t="s">
        <v>135</v>
      </c>
      <c r="BY25" s="43" t="s">
        <v>136</v>
      </c>
      <c r="BZ25" s="43" t="s">
        <v>137</v>
      </c>
      <c r="CA25" s="43" t="s">
        <v>138</v>
      </c>
      <c r="CB25" s="43" t="s">
        <v>139</v>
      </c>
      <c r="CC25" s="55" t="s">
        <v>134</v>
      </c>
      <c r="CD25" s="40" t="s">
        <v>135</v>
      </c>
      <c r="CE25" s="43" t="s">
        <v>136</v>
      </c>
      <c r="CF25" s="43" t="s">
        <v>140</v>
      </c>
      <c r="CG25" s="43" t="s">
        <v>141</v>
      </c>
      <c r="CH25" s="43" t="s">
        <v>140</v>
      </c>
      <c r="CI25" s="56">
        <v>100</v>
      </c>
      <c r="CJ25" s="43" t="s">
        <v>142</v>
      </c>
      <c r="CK25" s="43" t="s">
        <v>143</v>
      </c>
      <c r="CL25" s="43" t="s">
        <v>95</v>
      </c>
      <c r="CM25" s="43" t="s">
        <v>144</v>
      </c>
      <c r="CN25" s="43" t="s">
        <v>145</v>
      </c>
      <c r="CO25" s="49" t="s">
        <v>152</v>
      </c>
      <c r="CP25" s="49" t="s">
        <v>153</v>
      </c>
      <c r="CQ25" s="57" t="s">
        <v>105</v>
      </c>
      <c r="CR25" s="52">
        <v>44269</v>
      </c>
      <c r="CS25" s="49" t="s">
        <v>154</v>
      </c>
      <c r="CT25" s="58">
        <v>1634094</v>
      </c>
      <c r="CU25" s="58">
        <v>123416103</v>
      </c>
      <c r="CV25" s="35" t="s">
        <v>208</v>
      </c>
    </row>
    <row r="26" spans="1:100" ht="14.45" customHeight="1" x14ac:dyDescent="0.25">
      <c r="A26" s="64" t="s">
        <v>213</v>
      </c>
      <c r="B26" s="36"/>
      <c r="C26" s="61"/>
      <c r="D26" s="37" t="s">
        <v>94</v>
      </c>
      <c r="E26" s="38" t="s">
        <v>95</v>
      </c>
      <c r="F26" s="39" t="s">
        <v>239</v>
      </c>
      <c r="G26" s="39" t="s">
        <v>159</v>
      </c>
      <c r="H26" s="40" t="s">
        <v>96</v>
      </c>
      <c r="I26" s="40" t="s">
        <v>97</v>
      </c>
      <c r="J26" s="40" t="s">
        <v>98</v>
      </c>
      <c r="K26" s="41">
        <v>45292</v>
      </c>
      <c r="L26" s="38" t="s">
        <v>95</v>
      </c>
      <c r="M26" s="40" t="s">
        <v>99</v>
      </c>
      <c r="N26" s="40" t="s">
        <v>100</v>
      </c>
      <c r="O26" s="42" t="s">
        <v>101</v>
      </c>
      <c r="P26" s="38" t="s">
        <v>102</v>
      </c>
      <c r="Q26" s="40" t="s">
        <v>103</v>
      </c>
      <c r="R26" s="40" t="s">
        <v>104</v>
      </c>
      <c r="S26" s="43" t="s">
        <v>105</v>
      </c>
      <c r="T26" s="43" t="s">
        <v>105</v>
      </c>
      <c r="U26" s="40" t="s">
        <v>98</v>
      </c>
      <c r="V26" s="44" t="s">
        <v>106</v>
      </c>
      <c r="W26" s="45" t="s">
        <v>107</v>
      </c>
      <c r="X26" s="40" t="s">
        <v>98</v>
      </c>
      <c r="Y26" s="46">
        <v>45658</v>
      </c>
      <c r="Z26" s="40" t="s">
        <v>108</v>
      </c>
      <c r="AA26" s="44" t="s">
        <v>109</v>
      </c>
      <c r="AB26" s="48" t="s">
        <v>167</v>
      </c>
      <c r="AC26" s="48" t="s">
        <v>111</v>
      </c>
      <c r="AD26" s="39" t="s">
        <v>176</v>
      </c>
      <c r="AE26" s="38">
        <v>970</v>
      </c>
      <c r="AF26" s="38" t="s">
        <v>57</v>
      </c>
      <c r="AG26" s="39">
        <v>40</v>
      </c>
      <c r="AH26" s="49" t="s">
        <v>157</v>
      </c>
      <c r="AI26" s="48" t="s">
        <v>114</v>
      </c>
      <c r="AJ26" s="46" t="s">
        <v>109</v>
      </c>
      <c r="AK26" s="41">
        <v>45382</v>
      </c>
      <c r="AL26" s="40" t="s">
        <v>115</v>
      </c>
      <c r="AM26" s="49" t="s">
        <v>116</v>
      </c>
      <c r="AN26" s="48" t="s">
        <v>155</v>
      </c>
      <c r="AO26" s="40" t="s">
        <v>118</v>
      </c>
      <c r="AP26" s="50" t="s">
        <v>119</v>
      </c>
      <c r="AQ26" s="40" t="s">
        <v>120</v>
      </c>
      <c r="AR26" s="61" t="s">
        <v>120</v>
      </c>
      <c r="AS26" s="44" t="s">
        <v>109</v>
      </c>
      <c r="AT26" s="40" t="s">
        <v>121</v>
      </c>
      <c r="AU26" s="50" t="s">
        <v>167</v>
      </c>
      <c r="AV26" s="44" t="s">
        <v>123</v>
      </c>
      <c r="AW26" s="51">
        <v>45291</v>
      </c>
      <c r="AX26" s="51">
        <v>45291</v>
      </c>
      <c r="AY26" s="41" t="s">
        <v>109</v>
      </c>
      <c r="AZ26" s="43" t="s">
        <v>95</v>
      </c>
      <c r="BA26" s="43" t="s">
        <v>124</v>
      </c>
      <c r="BB26" s="62" t="s">
        <v>444</v>
      </c>
      <c r="BC26" s="44" t="s">
        <v>125</v>
      </c>
      <c r="BD26" s="44" t="s">
        <v>126</v>
      </c>
      <c r="BE26" s="43" t="s">
        <v>95</v>
      </c>
      <c r="BF26" s="43" t="s">
        <v>127</v>
      </c>
      <c r="BG26" s="50">
        <v>8542366021</v>
      </c>
      <c r="BH26" s="44">
        <v>36526</v>
      </c>
      <c r="BI26" s="44">
        <v>51136</v>
      </c>
      <c r="BJ26" s="38" t="s">
        <v>128</v>
      </c>
      <c r="BK26" s="50" t="s">
        <v>129</v>
      </c>
      <c r="BL26" s="52">
        <v>32144</v>
      </c>
      <c r="BM26" s="53" t="s">
        <v>95</v>
      </c>
      <c r="BN26" s="43" t="s">
        <v>105</v>
      </c>
      <c r="BO26" s="38" t="s">
        <v>130</v>
      </c>
      <c r="BP26" s="54" t="s">
        <v>109</v>
      </c>
      <c r="BQ26" s="43" t="s">
        <v>131</v>
      </c>
      <c r="BR26" s="43" t="s">
        <v>95</v>
      </c>
      <c r="BS26" s="39" t="s">
        <v>119</v>
      </c>
      <c r="BT26" s="39">
        <v>10</v>
      </c>
      <c r="BU26" s="38" t="s">
        <v>132</v>
      </c>
      <c r="BV26" s="38" t="s">
        <v>133</v>
      </c>
      <c r="BW26" s="43" t="s">
        <v>134</v>
      </c>
      <c r="BX26" s="55" t="s">
        <v>135</v>
      </c>
      <c r="BY26" s="43" t="s">
        <v>136</v>
      </c>
      <c r="BZ26" s="43" t="s">
        <v>137</v>
      </c>
      <c r="CA26" s="43" t="s">
        <v>138</v>
      </c>
      <c r="CB26" s="43" t="s">
        <v>139</v>
      </c>
      <c r="CC26" s="55" t="s">
        <v>134</v>
      </c>
      <c r="CD26" s="40" t="s">
        <v>135</v>
      </c>
      <c r="CE26" s="43" t="s">
        <v>136</v>
      </c>
      <c r="CF26" s="43" t="s">
        <v>140</v>
      </c>
      <c r="CG26" s="43" t="s">
        <v>141</v>
      </c>
      <c r="CH26" s="43" t="s">
        <v>140</v>
      </c>
      <c r="CI26" s="56">
        <v>100</v>
      </c>
      <c r="CJ26" s="43" t="s">
        <v>142</v>
      </c>
      <c r="CK26" s="43" t="s">
        <v>143</v>
      </c>
      <c r="CL26" s="43" t="s">
        <v>95</v>
      </c>
      <c r="CM26" s="43" t="s">
        <v>144</v>
      </c>
      <c r="CN26" s="43" t="s">
        <v>145</v>
      </c>
      <c r="CO26" s="49" t="s">
        <v>152</v>
      </c>
      <c r="CP26" s="49" t="s">
        <v>153</v>
      </c>
      <c r="CQ26" s="57" t="s">
        <v>105</v>
      </c>
      <c r="CR26" s="52">
        <v>39886</v>
      </c>
      <c r="CS26" s="49" t="s">
        <v>154</v>
      </c>
      <c r="CT26" s="58">
        <v>1634095</v>
      </c>
      <c r="CU26" s="58">
        <v>123416104</v>
      </c>
      <c r="CV26" s="61" t="s">
        <v>210</v>
      </c>
    </row>
    <row r="27" spans="1:100" ht="47.25" customHeight="1" x14ac:dyDescent="0.25">
      <c r="A27" s="64" t="s">
        <v>214</v>
      </c>
      <c r="B27" s="36"/>
      <c r="C27" s="61"/>
      <c r="D27" s="37" t="s">
        <v>94</v>
      </c>
      <c r="E27" s="38" t="s">
        <v>95</v>
      </c>
      <c r="F27" s="39" t="s">
        <v>240</v>
      </c>
      <c r="G27" s="39" t="s">
        <v>159</v>
      </c>
      <c r="H27" s="40" t="s">
        <v>96</v>
      </c>
      <c r="I27" s="40" t="s">
        <v>97</v>
      </c>
      <c r="J27" s="40" t="s">
        <v>98</v>
      </c>
      <c r="K27" s="41">
        <v>45292</v>
      </c>
      <c r="L27" s="38" t="s">
        <v>95</v>
      </c>
      <c r="M27" s="40" t="s">
        <v>99</v>
      </c>
      <c r="N27" s="40" t="s">
        <v>146</v>
      </c>
      <c r="O27" s="42" t="s">
        <v>101</v>
      </c>
      <c r="P27" s="38" t="s">
        <v>147</v>
      </c>
      <c r="Q27" s="40" t="s">
        <v>103</v>
      </c>
      <c r="R27" s="40" t="s">
        <v>104</v>
      </c>
      <c r="S27" s="43" t="s">
        <v>105</v>
      </c>
      <c r="T27" s="43" t="s">
        <v>105</v>
      </c>
      <c r="U27" s="40" t="s">
        <v>98</v>
      </c>
      <c r="V27" s="44" t="s">
        <v>106</v>
      </c>
      <c r="W27" s="45" t="s">
        <v>107</v>
      </c>
      <c r="X27" s="40" t="s">
        <v>98</v>
      </c>
      <c r="Y27" s="46">
        <v>45658</v>
      </c>
      <c r="Z27" s="40" t="s">
        <v>108</v>
      </c>
      <c r="AA27" s="44" t="s">
        <v>109</v>
      </c>
      <c r="AB27" s="48" t="s">
        <v>167</v>
      </c>
      <c r="AC27" s="48" t="s">
        <v>111</v>
      </c>
      <c r="AD27" s="39" t="s">
        <v>112</v>
      </c>
      <c r="AE27" s="38">
        <v>970</v>
      </c>
      <c r="AF27" s="38" t="s">
        <v>57</v>
      </c>
      <c r="AG27" s="48">
        <v>30</v>
      </c>
      <c r="AH27" s="49" t="s">
        <v>113</v>
      </c>
      <c r="AI27" s="48" t="s">
        <v>114</v>
      </c>
      <c r="AJ27" s="46" t="s">
        <v>109</v>
      </c>
      <c r="AK27" s="41">
        <v>45382</v>
      </c>
      <c r="AL27" s="40" t="s">
        <v>115</v>
      </c>
      <c r="AM27" s="49" t="s">
        <v>116</v>
      </c>
      <c r="AN27" s="39" t="s">
        <v>160</v>
      </c>
      <c r="AO27" s="40" t="s">
        <v>118</v>
      </c>
      <c r="AP27" s="50" t="s">
        <v>119</v>
      </c>
      <c r="AQ27" s="40" t="s">
        <v>120</v>
      </c>
      <c r="AR27" s="61" t="s">
        <v>120</v>
      </c>
      <c r="AS27" s="44" t="s">
        <v>109</v>
      </c>
      <c r="AT27" s="40" t="s">
        <v>121</v>
      </c>
      <c r="AU27" s="50" t="s">
        <v>167</v>
      </c>
      <c r="AV27" s="44" t="s">
        <v>123</v>
      </c>
      <c r="AW27" s="51">
        <v>45291</v>
      </c>
      <c r="AX27" s="51">
        <v>45291</v>
      </c>
      <c r="AY27" s="41" t="s">
        <v>109</v>
      </c>
      <c r="AZ27" s="43" t="s">
        <v>95</v>
      </c>
      <c r="BA27" s="43" t="s">
        <v>124</v>
      </c>
      <c r="BB27" s="62" t="s">
        <v>445</v>
      </c>
      <c r="BC27" s="44" t="s">
        <v>125</v>
      </c>
      <c r="BD27" s="44" t="s">
        <v>126</v>
      </c>
      <c r="BE27" s="43" t="s">
        <v>95</v>
      </c>
      <c r="BF27" s="43" t="s">
        <v>127</v>
      </c>
      <c r="BG27" s="50">
        <v>8542366022</v>
      </c>
      <c r="BH27" s="44">
        <v>36526</v>
      </c>
      <c r="BI27" s="44">
        <v>51136</v>
      </c>
      <c r="BJ27" s="38" t="s">
        <v>128</v>
      </c>
      <c r="BK27" s="50" t="s">
        <v>129</v>
      </c>
      <c r="BL27" s="52">
        <v>31414</v>
      </c>
      <c r="BM27" s="53" t="s">
        <v>95</v>
      </c>
      <c r="BN27" s="43" t="s">
        <v>105</v>
      </c>
      <c r="BO27" s="38" t="s">
        <v>130</v>
      </c>
      <c r="BP27" s="54" t="s">
        <v>109</v>
      </c>
      <c r="BQ27" s="43" t="s">
        <v>131</v>
      </c>
      <c r="BR27" s="43" t="s">
        <v>95</v>
      </c>
      <c r="BS27" s="49" t="s">
        <v>119</v>
      </c>
      <c r="BT27" s="39">
        <v>10</v>
      </c>
      <c r="BU27" s="38" t="s">
        <v>132</v>
      </c>
      <c r="BV27" s="38" t="s">
        <v>133</v>
      </c>
      <c r="BW27" s="43" t="s">
        <v>134</v>
      </c>
      <c r="BX27" s="55" t="s">
        <v>150</v>
      </c>
      <c r="BY27" s="43" t="s">
        <v>136</v>
      </c>
      <c r="BZ27" s="43" t="s">
        <v>137</v>
      </c>
      <c r="CA27" s="43" t="s">
        <v>138</v>
      </c>
      <c r="CB27" s="43" t="s">
        <v>139</v>
      </c>
      <c r="CC27" s="55" t="s">
        <v>134</v>
      </c>
      <c r="CD27" s="40" t="s">
        <v>135</v>
      </c>
      <c r="CE27" s="43" t="s">
        <v>136</v>
      </c>
      <c r="CF27" s="43" t="s">
        <v>140</v>
      </c>
      <c r="CG27" s="43" t="s">
        <v>141</v>
      </c>
      <c r="CH27" s="43" t="s">
        <v>140</v>
      </c>
      <c r="CI27" s="56">
        <v>100</v>
      </c>
      <c r="CJ27" s="43" t="s">
        <v>142</v>
      </c>
      <c r="CK27" s="43" t="s">
        <v>143</v>
      </c>
      <c r="CL27" s="43" t="s">
        <v>95</v>
      </c>
      <c r="CM27" s="43" t="s">
        <v>151</v>
      </c>
      <c r="CN27" s="43" t="s">
        <v>145</v>
      </c>
      <c r="CO27" s="49" t="s">
        <v>152</v>
      </c>
      <c r="CP27" s="49" t="s">
        <v>153</v>
      </c>
      <c r="CQ27" s="57" t="s">
        <v>105</v>
      </c>
      <c r="CR27" s="52">
        <v>44269</v>
      </c>
      <c r="CS27" s="49" t="s">
        <v>154</v>
      </c>
      <c r="CT27" s="58">
        <v>1634096</v>
      </c>
      <c r="CU27" s="58">
        <v>123416105</v>
      </c>
      <c r="CV27" s="61" t="s">
        <v>212</v>
      </c>
    </row>
  </sheetData>
  <autoFilter ref="A1:CU27" xr:uid="{00000000-0009-0000-0000-000000000000}"/>
  <conditionalFormatting sqref="BB1:BB1048576">
    <cfRule type="duplicateValues" dxfId="7" priority="1"/>
  </conditionalFormatting>
  <conditionalFormatting sqref="BB2:BB5">
    <cfRule type="duplicateValues" dxfId="6" priority="74"/>
  </conditionalFormatting>
  <conditionalFormatting sqref="BB6:BB10">
    <cfRule type="duplicateValues" dxfId="5" priority="51"/>
  </conditionalFormatting>
  <conditionalFormatting sqref="BB11:BB24">
    <cfRule type="duplicateValues" dxfId="4" priority="22"/>
  </conditionalFormatting>
  <conditionalFormatting sqref="BB25:BB41">
    <cfRule type="duplicateValues" dxfId="3" priority="2"/>
  </conditionalFormatting>
  <conditionalFormatting sqref="BG2:BG27">
    <cfRule type="duplicateValues" dxfId="2" priority="76"/>
  </conditionalFormatting>
  <conditionalFormatting sqref="BG25:BG27 BG2:BG18">
    <cfRule type="duplicateValues" dxfId="1" priority="10"/>
  </conditionalFormatting>
  <dataValidations disablePrompts="1" count="1">
    <dataValidation type="list" allowBlank="1" showInputMessage="1" showErrorMessage="1" sqref="BW2:BW27 CC2:CC27 I2:J27 U2:U27 X2:X27 Z2:Z27 AV2:AV27" xr:uid="{00000000-0002-0000-0000-000007000000}">
      <formula1>INDIRECT(#REF!)</formula1>
    </dataValidation>
  </dataValidations>
  <hyperlinks>
    <hyperlink ref="W2" r:id="rId1" xr:uid="{00000000-0004-0000-0000-00000F000000}"/>
    <hyperlink ref="W3" r:id="rId2" xr:uid="{00000000-0004-0000-0000-000018000000}"/>
    <hyperlink ref="W4" r:id="rId3" xr:uid="{00000000-0004-0000-0000-000019000000}"/>
    <hyperlink ref="W5" r:id="rId4" xr:uid="{00000000-0004-0000-0000-00001B000000}"/>
    <hyperlink ref="W6" r:id="rId5" xr:uid="{00000000-0004-0000-0000-000024000000}"/>
    <hyperlink ref="W7" r:id="rId6" xr:uid="{00000000-0004-0000-0000-000027000000}"/>
    <hyperlink ref="W8" r:id="rId7" xr:uid="{00000000-0004-0000-0000-00002E000000}"/>
    <hyperlink ref="W9" r:id="rId8" xr:uid="{00000000-0004-0000-0000-00002F000000}"/>
    <hyperlink ref="W10" r:id="rId9" xr:uid="{00000000-0004-0000-0000-000031000000}"/>
    <hyperlink ref="W11" r:id="rId10" xr:uid="{00000000-0004-0000-0000-000035000000}"/>
    <hyperlink ref="W12" r:id="rId11" xr:uid="{00000000-0004-0000-0000-000038000000}"/>
    <hyperlink ref="W13" r:id="rId12" xr:uid="{00000000-0004-0000-0000-000039000000}"/>
    <hyperlink ref="W14" r:id="rId13" xr:uid="{00000000-0004-0000-0000-00003A000000}"/>
    <hyperlink ref="W15" r:id="rId14" xr:uid="{00000000-0004-0000-0000-00003B000000}"/>
    <hyperlink ref="W16" r:id="rId15" xr:uid="{00000000-0004-0000-0000-00003C000000}"/>
    <hyperlink ref="W17" r:id="rId16" xr:uid="{00000000-0004-0000-0000-00003D000000}"/>
    <hyperlink ref="W18" r:id="rId17" xr:uid="{00000000-0004-0000-0000-00003E000000}"/>
    <hyperlink ref="W19" r:id="rId18" xr:uid="{00000000-0004-0000-0000-00003F000000}"/>
    <hyperlink ref="W20" r:id="rId19" xr:uid="{00000000-0004-0000-0000-000040000000}"/>
    <hyperlink ref="W21" r:id="rId20" xr:uid="{00000000-0004-0000-0000-000041000000}"/>
    <hyperlink ref="W22" r:id="rId21" xr:uid="{00000000-0004-0000-0000-000042000000}"/>
    <hyperlink ref="W23" r:id="rId22" xr:uid="{00000000-0004-0000-0000-000043000000}"/>
    <hyperlink ref="W24" r:id="rId23" xr:uid="{00000000-0004-0000-0000-000044000000}"/>
    <hyperlink ref="W25" r:id="rId24" xr:uid="{00000000-0004-0000-0000-000049000000}"/>
    <hyperlink ref="W26" r:id="rId25" xr:uid="{00000000-0004-0000-0000-00004A000000}"/>
    <hyperlink ref="W27" r:id="rId26" xr:uid="{00000000-0004-0000-0000-00004B000000}"/>
  </hyperlink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60B7-533F-4B23-9609-C02883AA28D3}">
  <dimension ref="H2:L419"/>
  <sheetViews>
    <sheetView topLeftCell="A125" workbookViewId="0">
      <selection activeCell="L365" sqref="L349:L365"/>
    </sheetView>
  </sheetViews>
  <sheetFormatPr defaultRowHeight="15" x14ac:dyDescent="0.25"/>
  <cols>
    <col min="8" max="8" width="22.85546875" customWidth="1"/>
    <col min="12" max="12" width="21.85546875" customWidth="1"/>
  </cols>
  <sheetData>
    <row r="2" spans="8:8" x14ac:dyDescent="0.25">
      <c r="H2" s="59">
        <v>8542365987</v>
      </c>
    </row>
    <row r="3" spans="8:8" x14ac:dyDescent="0.25">
      <c r="H3" s="59">
        <v>8542365988</v>
      </c>
    </row>
    <row r="4" spans="8:8" x14ac:dyDescent="0.25">
      <c r="H4" s="59">
        <v>8542365989</v>
      </c>
    </row>
    <row r="5" spans="8:8" x14ac:dyDescent="0.25">
      <c r="H5" s="59">
        <v>8542365990</v>
      </c>
    </row>
    <row r="6" spans="8:8" x14ac:dyDescent="0.25">
      <c r="H6" s="59">
        <v>8542365991</v>
      </c>
    </row>
    <row r="7" spans="8:8" x14ac:dyDescent="0.25">
      <c r="H7" s="59">
        <v>8542365992</v>
      </c>
    </row>
    <row r="8" spans="8:8" x14ac:dyDescent="0.25">
      <c r="H8" s="59">
        <v>8542365993</v>
      </c>
    </row>
    <row r="9" spans="8:8" x14ac:dyDescent="0.25">
      <c r="H9" s="59">
        <v>8542365994</v>
      </c>
    </row>
    <row r="10" spans="8:8" x14ac:dyDescent="0.25">
      <c r="H10" s="59">
        <v>8542365995</v>
      </c>
    </row>
    <row r="11" spans="8:8" x14ac:dyDescent="0.25">
      <c r="H11" s="59">
        <v>8542365996</v>
      </c>
    </row>
    <row r="12" spans="8:8" x14ac:dyDescent="0.25">
      <c r="H12" s="59">
        <v>8542365997</v>
      </c>
    </row>
    <row r="13" spans="8:8" x14ac:dyDescent="0.25">
      <c r="H13" s="59">
        <v>8542365998</v>
      </c>
    </row>
    <row r="14" spans="8:8" x14ac:dyDescent="0.25">
      <c r="H14" s="59">
        <v>8542365999</v>
      </c>
    </row>
    <row r="15" spans="8:8" x14ac:dyDescent="0.25">
      <c r="H15" s="59">
        <v>8542366000</v>
      </c>
    </row>
    <row r="16" spans="8:8" x14ac:dyDescent="0.25">
      <c r="H16" s="59">
        <v>8542366001</v>
      </c>
    </row>
    <row r="17" spans="8:8" x14ac:dyDescent="0.25">
      <c r="H17" s="59">
        <v>8542366002</v>
      </c>
    </row>
    <row r="18" spans="8:8" x14ac:dyDescent="0.25">
      <c r="H18" s="59">
        <v>8542366003</v>
      </c>
    </row>
    <row r="19" spans="8:8" x14ac:dyDescent="0.25">
      <c r="H19" s="59">
        <v>8542366004</v>
      </c>
    </row>
    <row r="20" spans="8:8" x14ac:dyDescent="0.25">
      <c r="H20" s="59">
        <v>8542366005</v>
      </c>
    </row>
    <row r="21" spans="8:8" x14ac:dyDescent="0.25">
      <c r="H21" s="59">
        <v>8542366006</v>
      </c>
    </row>
    <row r="22" spans="8:8" x14ac:dyDescent="0.25">
      <c r="H22" s="59">
        <v>8542366007</v>
      </c>
    </row>
    <row r="23" spans="8:8" x14ac:dyDescent="0.25">
      <c r="H23" s="59">
        <v>8542366008</v>
      </c>
    </row>
    <row r="24" spans="8:8" x14ac:dyDescent="0.25">
      <c r="H24" s="59">
        <v>8542366009</v>
      </c>
    </row>
    <row r="25" spans="8:8" x14ac:dyDescent="0.25">
      <c r="H25" s="59">
        <v>8542366010</v>
      </c>
    </row>
    <row r="26" spans="8:8" x14ac:dyDescent="0.25">
      <c r="H26" s="59">
        <v>8542366011</v>
      </c>
    </row>
    <row r="27" spans="8:8" x14ac:dyDescent="0.25">
      <c r="H27" s="59">
        <v>8542366012</v>
      </c>
    </row>
    <row r="28" spans="8:8" x14ac:dyDescent="0.25">
      <c r="H28" s="59">
        <v>8542366013</v>
      </c>
    </row>
    <row r="29" spans="8:8" x14ac:dyDescent="0.25">
      <c r="H29" s="59">
        <v>8542366014</v>
      </c>
    </row>
    <row r="30" spans="8:8" x14ac:dyDescent="0.25">
      <c r="H30" s="59">
        <v>8542366015</v>
      </c>
    </row>
    <row r="31" spans="8:8" x14ac:dyDescent="0.25">
      <c r="H31" s="59">
        <v>8542366016</v>
      </c>
    </row>
    <row r="32" spans="8:8" x14ac:dyDescent="0.25">
      <c r="H32" s="59">
        <v>8542366017</v>
      </c>
    </row>
    <row r="33" spans="8:8" x14ac:dyDescent="0.25">
      <c r="H33" s="59">
        <v>8542366018</v>
      </c>
    </row>
    <row r="34" spans="8:8" x14ac:dyDescent="0.25">
      <c r="H34" s="59">
        <v>8542366019</v>
      </c>
    </row>
    <row r="35" spans="8:8" x14ac:dyDescent="0.25">
      <c r="H35" s="59">
        <v>8542366020</v>
      </c>
    </row>
    <row r="36" spans="8:8" x14ac:dyDescent="0.25">
      <c r="H36" s="59">
        <v>8542366021</v>
      </c>
    </row>
    <row r="37" spans="8:8" x14ac:dyDescent="0.25">
      <c r="H37" s="59">
        <v>8542366022</v>
      </c>
    </row>
    <row r="38" spans="8:8" x14ac:dyDescent="0.25">
      <c r="H38" s="59">
        <v>8542366023</v>
      </c>
    </row>
    <row r="39" spans="8:8" x14ac:dyDescent="0.25">
      <c r="H39" s="59">
        <v>8542366024</v>
      </c>
    </row>
    <row r="40" spans="8:8" x14ac:dyDescent="0.25">
      <c r="H40" s="59">
        <v>8542366025</v>
      </c>
    </row>
    <row r="41" spans="8:8" x14ac:dyDescent="0.25">
      <c r="H41" s="59">
        <v>8542366026</v>
      </c>
    </row>
    <row r="42" spans="8:8" x14ac:dyDescent="0.25">
      <c r="H42" s="59">
        <v>8542366027</v>
      </c>
    </row>
    <row r="43" spans="8:8" x14ac:dyDescent="0.25">
      <c r="H43" s="59">
        <v>8542366028</v>
      </c>
    </row>
    <row r="44" spans="8:8" x14ac:dyDescent="0.25">
      <c r="H44" s="59">
        <v>8542366029</v>
      </c>
    </row>
    <row r="45" spans="8:8" x14ac:dyDescent="0.25">
      <c r="H45" s="59">
        <v>8542366030</v>
      </c>
    </row>
    <row r="46" spans="8:8" x14ac:dyDescent="0.25">
      <c r="H46" s="59">
        <v>8542366031</v>
      </c>
    </row>
    <row r="47" spans="8:8" x14ac:dyDescent="0.25">
      <c r="H47" s="59">
        <v>8542366032</v>
      </c>
    </row>
    <row r="48" spans="8:8" x14ac:dyDescent="0.25">
      <c r="H48" s="59">
        <v>8542366033</v>
      </c>
    </row>
    <row r="49" spans="8:8" x14ac:dyDescent="0.25">
      <c r="H49" s="59">
        <v>8542366034</v>
      </c>
    </row>
    <row r="50" spans="8:8" x14ac:dyDescent="0.25">
      <c r="H50" s="59">
        <v>8542366035</v>
      </c>
    </row>
    <row r="51" spans="8:8" x14ac:dyDescent="0.25">
      <c r="H51" s="59">
        <v>8542366036</v>
      </c>
    </row>
    <row r="52" spans="8:8" x14ac:dyDescent="0.25">
      <c r="H52" s="59">
        <v>8542366037</v>
      </c>
    </row>
    <row r="53" spans="8:8" x14ac:dyDescent="0.25">
      <c r="H53" s="59">
        <v>8542366038</v>
      </c>
    </row>
    <row r="54" spans="8:8" x14ac:dyDescent="0.25">
      <c r="H54" s="59">
        <v>8542366039</v>
      </c>
    </row>
    <row r="55" spans="8:8" x14ac:dyDescent="0.25">
      <c r="H55" s="59">
        <v>8542366040</v>
      </c>
    </row>
    <row r="56" spans="8:8" x14ac:dyDescent="0.25">
      <c r="H56" s="59">
        <v>8542366041</v>
      </c>
    </row>
    <row r="57" spans="8:8" x14ac:dyDescent="0.25">
      <c r="H57" s="59">
        <v>8542366042</v>
      </c>
    </row>
    <row r="58" spans="8:8" x14ac:dyDescent="0.25">
      <c r="H58" s="59">
        <v>8542366043</v>
      </c>
    </row>
    <row r="59" spans="8:8" x14ac:dyDescent="0.25">
      <c r="H59" s="59">
        <v>8542366044</v>
      </c>
    </row>
    <row r="60" spans="8:8" x14ac:dyDescent="0.25">
      <c r="H60" s="59">
        <v>8542366045</v>
      </c>
    </row>
    <row r="61" spans="8:8" x14ac:dyDescent="0.25">
      <c r="H61" s="59">
        <v>8542366046</v>
      </c>
    </row>
    <row r="62" spans="8:8" x14ac:dyDescent="0.25">
      <c r="H62" s="59">
        <v>8542366047</v>
      </c>
    </row>
    <row r="63" spans="8:8" x14ac:dyDescent="0.25">
      <c r="H63" s="59">
        <v>8542366048</v>
      </c>
    </row>
    <row r="64" spans="8:8" x14ac:dyDescent="0.25">
      <c r="H64" s="59">
        <v>8542366049</v>
      </c>
    </row>
    <row r="65" spans="8:8" x14ac:dyDescent="0.25">
      <c r="H65" s="59">
        <v>8542366050</v>
      </c>
    </row>
    <row r="66" spans="8:8" x14ac:dyDescent="0.25">
      <c r="H66" s="59">
        <v>8542366051</v>
      </c>
    </row>
    <row r="67" spans="8:8" x14ac:dyDescent="0.25">
      <c r="H67" s="59">
        <v>8542366052</v>
      </c>
    </row>
    <row r="68" spans="8:8" x14ac:dyDescent="0.25">
      <c r="H68" s="59">
        <v>8542366053</v>
      </c>
    </row>
    <row r="69" spans="8:8" x14ac:dyDescent="0.25">
      <c r="H69" s="59">
        <v>8542366054</v>
      </c>
    </row>
    <row r="70" spans="8:8" x14ac:dyDescent="0.25">
      <c r="H70" s="59">
        <v>8542366055</v>
      </c>
    </row>
    <row r="71" spans="8:8" x14ac:dyDescent="0.25">
      <c r="H71" s="59">
        <v>8542366056</v>
      </c>
    </row>
    <row r="72" spans="8:8" x14ac:dyDescent="0.25">
      <c r="H72" s="59">
        <v>8542366057</v>
      </c>
    </row>
    <row r="73" spans="8:8" x14ac:dyDescent="0.25">
      <c r="H73" s="59">
        <v>8542366058</v>
      </c>
    </row>
    <row r="74" spans="8:8" x14ac:dyDescent="0.25">
      <c r="H74" s="59">
        <v>8542366059</v>
      </c>
    </row>
    <row r="75" spans="8:8" x14ac:dyDescent="0.25">
      <c r="H75" s="59">
        <v>8542366060</v>
      </c>
    </row>
    <row r="76" spans="8:8" x14ac:dyDescent="0.25">
      <c r="H76" s="59">
        <v>8542366061</v>
      </c>
    </row>
    <row r="77" spans="8:8" x14ac:dyDescent="0.25">
      <c r="H77" s="59">
        <v>8542366062</v>
      </c>
    </row>
    <row r="78" spans="8:8" x14ac:dyDescent="0.25">
      <c r="H78" s="59">
        <v>8542366063</v>
      </c>
    </row>
    <row r="79" spans="8:8" x14ac:dyDescent="0.25">
      <c r="H79" s="59">
        <v>8542366064</v>
      </c>
    </row>
    <row r="80" spans="8:8" x14ac:dyDescent="0.25">
      <c r="H80" s="59">
        <v>8542366065</v>
      </c>
    </row>
    <row r="81" spans="8:8" x14ac:dyDescent="0.25">
      <c r="H81" s="59">
        <v>8542366066</v>
      </c>
    </row>
    <row r="82" spans="8:8" x14ac:dyDescent="0.25">
      <c r="H82" s="59">
        <v>8542366067</v>
      </c>
    </row>
    <row r="83" spans="8:8" x14ac:dyDescent="0.25">
      <c r="H83" s="59">
        <v>8542366068</v>
      </c>
    </row>
    <row r="84" spans="8:8" x14ac:dyDescent="0.25">
      <c r="H84" s="59">
        <v>8542366069</v>
      </c>
    </row>
    <row r="85" spans="8:8" x14ac:dyDescent="0.25">
      <c r="H85" s="59">
        <v>8542366070</v>
      </c>
    </row>
    <row r="86" spans="8:8" x14ac:dyDescent="0.25">
      <c r="H86" s="59">
        <v>8542366071</v>
      </c>
    </row>
    <row r="87" spans="8:8" x14ac:dyDescent="0.25">
      <c r="H87" s="59">
        <v>8542366072</v>
      </c>
    </row>
    <row r="88" spans="8:8" x14ac:dyDescent="0.25">
      <c r="H88" s="59">
        <v>8542366073</v>
      </c>
    </row>
    <row r="89" spans="8:8" x14ac:dyDescent="0.25">
      <c r="H89" s="59">
        <v>8542366074</v>
      </c>
    </row>
    <row r="90" spans="8:8" x14ac:dyDescent="0.25">
      <c r="H90" s="59">
        <v>8542366075</v>
      </c>
    </row>
    <row r="91" spans="8:8" x14ac:dyDescent="0.25">
      <c r="H91" s="59">
        <v>8542366076</v>
      </c>
    </row>
    <row r="92" spans="8:8" x14ac:dyDescent="0.25">
      <c r="H92" s="59">
        <v>8542366077</v>
      </c>
    </row>
    <row r="93" spans="8:8" x14ac:dyDescent="0.25">
      <c r="H93" s="59">
        <v>8542366078</v>
      </c>
    </row>
    <row r="94" spans="8:8" x14ac:dyDescent="0.25">
      <c r="H94" s="59">
        <v>8542366079</v>
      </c>
    </row>
    <row r="95" spans="8:8" x14ac:dyDescent="0.25">
      <c r="H95" s="59">
        <v>8542366080</v>
      </c>
    </row>
    <row r="96" spans="8:8" x14ac:dyDescent="0.25">
      <c r="H96" s="59">
        <v>8542366081</v>
      </c>
    </row>
    <row r="97" spans="8:8" x14ac:dyDescent="0.25">
      <c r="H97" s="59">
        <v>8542366082</v>
      </c>
    </row>
    <row r="98" spans="8:8" x14ac:dyDescent="0.25">
      <c r="H98" s="59">
        <v>8542366083</v>
      </c>
    </row>
    <row r="99" spans="8:8" x14ac:dyDescent="0.25">
      <c r="H99" s="59">
        <v>8542366084</v>
      </c>
    </row>
    <row r="100" spans="8:8" x14ac:dyDescent="0.25">
      <c r="H100" s="59">
        <v>8542366085</v>
      </c>
    </row>
    <row r="101" spans="8:8" x14ac:dyDescent="0.25">
      <c r="H101" s="59">
        <v>8542366086</v>
      </c>
    </row>
    <row r="102" spans="8:8" x14ac:dyDescent="0.25">
      <c r="H102" s="59">
        <v>8542366087</v>
      </c>
    </row>
    <row r="103" spans="8:8" x14ac:dyDescent="0.25">
      <c r="H103" s="59">
        <v>8542366088</v>
      </c>
    </row>
    <row r="104" spans="8:8" x14ac:dyDescent="0.25">
      <c r="H104" s="59">
        <v>8542366089</v>
      </c>
    </row>
    <row r="105" spans="8:8" x14ac:dyDescent="0.25">
      <c r="H105" s="59">
        <v>8542366090</v>
      </c>
    </row>
    <row r="106" spans="8:8" x14ac:dyDescent="0.25">
      <c r="H106" s="59">
        <v>8542366091</v>
      </c>
    </row>
    <row r="107" spans="8:8" x14ac:dyDescent="0.25">
      <c r="H107" s="59">
        <v>8542366092</v>
      </c>
    </row>
    <row r="108" spans="8:8" x14ac:dyDescent="0.25">
      <c r="H108" s="59">
        <v>8542366093</v>
      </c>
    </row>
    <row r="109" spans="8:8" x14ac:dyDescent="0.25">
      <c r="H109" s="59">
        <v>8542366094</v>
      </c>
    </row>
    <row r="110" spans="8:8" x14ac:dyDescent="0.25">
      <c r="H110" s="59">
        <v>8542366095</v>
      </c>
    </row>
    <row r="111" spans="8:8" x14ac:dyDescent="0.25">
      <c r="H111" s="59">
        <v>8542366096</v>
      </c>
    </row>
    <row r="112" spans="8:8" x14ac:dyDescent="0.25">
      <c r="H112" s="59">
        <v>8542366097</v>
      </c>
    </row>
    <row r="113" spans="8:8" x14ac:dyDescent="0.25">
      <c r="H113" s="59">
        <v>8542366098</v>
      </c>
    </row>
    <row r="114" spans="8:8" x14ac:dyDescent="0.25">
      <c r="H114" s="59">
        <v>8542366099</v>
      </c>
    </row>
    <row r="115" spans="8:8" x14ac:dyDescent="0.25">
      <c r="H115" s="59">
        <v>8542366100</v>
      </c>
    </row>
    <row r="116" spans="8:8" x14ac:dyDescent="0.25">
      <c r="H116" s="59">
        <v>8542366101</v>
      </c>
    </row>
    <row r="117" spans="8:8" x14ac:dyDescent="0.25">
      <c r="H117" s="59">
        <v>8542366102</v>
      </c>
    </row>
    <row r="118" spans="8:8" x14ac:dyDescent="0.25">
      <c r="H118" s="59">
        <v>8542366103</v>
      </c>
    </row>
    <row r="119" spans="8:8" x14ac:dyDescent="0.25">
      <c r="H119" s="59">
        <v>8542366104</v>
      </c>
    </row>
    <row r="120" spans="8:8" x14ac:dyDescent="0.25">
      <c r="H120" s="59">
        <v>8542366105</v>
      </c>
    </row>
    <row r="121" spans="8:8" x14ac:dyDescent="0.25">
      <c r="H121" s="59">
        <v>8542366106</v>
      </c>
    </row>
    <row r="122" spans="8:8" x14ac:dyDescent="0.25">
      <c r="H122" s="59">
        <v>8542366107</v>
      </c>
    </row>
    <row r="123" spans="8:8" x14ac:dyDescent="0.25">
      <c r="H123" s="59">
        <v>8542366108</v>
      </c>
    </row>
    <row r="124" spans="8:8" x14ac:dyDescent="0.25">
      <c r="H124" s="59">
        <v>8542366109</v>
      </c>
    </row>
    <row r="125" spans="8:8" x14ac:dyDescent="0.25">
      <c r="H125" s="59">
        <v>8542366110</v>
      </c>
    </row>
    <row r="126" spans="8:8" x14ac:dyDescent="0.25">
      <c r="H126" s="59">
        <v>8542366111</v>
      </c>
    </row>
    <row r="127" spans="8:8" x14ac:dyDescent="0.25">
      <c r="H127" s="59">
        <v>8542366112</v>
      </c>
    </row>
    <row r="128" spans="8:8" x14ac:dyDescent="0.25">
      <c r="H128" s="59">
        <v>8542366113</v>
      </c>
    </row>
    <row r="129" spans="8:12" x14ac:dyDescent="0.25">
      <c r="H129" s="59">
        <v>8542366114</v>
      </c>
    </row>
    <row r="130" spans="8:12" x14ac:dyDescent="0.25">
      <c r="H130" s="59">
        <v>8542366115</v>
      </c>
    </row>
    <row r="131" spans="8:12" x14ac:dyDescent="0.25">
      <c r="H131" s="59">
        <v>8542366116</v>
      </c>
    </row>
    <row r="132" spans="8:12" x14ac:dyDescent="0.25">
      <c r="H132" s="59">
        <v>8542366117</v>
      </c>
    </row>
    <row r="133" spans="8:12" x14ac:dyDescent="0.25">
      <c r="H133" s="59">
        <v>8542366118</v>
      </c>
    </row>
    <row r="134" spans="8:12" x14ac:dyDescent="0.25">
      <c r="H134" s="59">
        <v>8542366119</v>
      </c>
    </row>
    <row r="135" spans="8:12" x14ac:dyDescent="0.25">
      <c r="H135" s="59">
        <v>8542366120</v>
      </c>
    </row>
    <row r="136" spans="8:12" x14ac:dyDescent="0.25">
      <c r="H136" s="59">
        <v>8542366121</v>
      </c>
    </row>
    <row r="137" spans="8:12" x14ac:dyDescent="0.25">
      <c r="H137" s="59">
        <v>8542366122</v>
      </c>
      <c r="L137" s="60" t="s">
        <v>241</v>
      </c>
    </row>
    <row r="138" spans="8:12" x14ac:dyDescent="0.25">
      <c r="H138" s="59">
        <v>8542366123</v>
      </c>
      <c r="L138" s="60" t="s">
        <v>243</v>
      </c>
    </row>
    <row r="139" spans="8:12" x14ac:dyDescent="0.25">
      <c r="H139" s="59">
        <v>8542366124</v>
      </c>
      <c r="L139" s="60" t="s">
        <v>244</v>
      </c>
    </row>
    <row r="140" spans="8:12" x14ac:dyDescent="0.25">
      <c r="H140" s="59">
        <v>8542366125</v>
      </c>
      <c r="L140" s="60" t="s">
        <v>245</v>
      </c>
    </row>
    <row r="141" spans="8:12" x14ac:dyDescent="0.25">
      <c r="H141" s="59">
        <v>8542366126</v>
      </c>
      <c r="L141" s="60" t="s">
        <v>246</v>
      </c>
    </row>
    <row r="142" spans="8:12" x14ac:dyDescent="0.25">
      <c r="H142" s="59">
        <v>8542366127</v>
      </c>
      <c r="L142" s="60" t="s">
        <v>247</v>
      </c>
    </row>
    <row r="143" spans="8:12" x14ac:dyDescent="0.25">
      <c r="H143" s="59">
        <v>8542366128</v>
      </c>
      <c r="L143" s="60" t="s">
        <v>248</v>
      </c>
    </row>
    <row r="144" spans="8:12" x14ac:dyDescent="0.25">
      <c r="H144" s="59">
        <v>8542366129</v>
      </c>
      <c r="L144" s="60" t="s">
        <v>249</v>
      </c>
    </row>
    <row r="145" spans="8:12" x14ac:dyDescent="0.25">
      <c r="H145" s="59">
        <v>8542366130</v>
      </c>
      <c r="L145" s="60" t="s">
        <v>250</v>
      </c>
    </row>
    <row r="146" spans="8:12" x14ac:dyDescent="0.25">
      <c r="H146" s="59">
        <v>8542366131</v>
      </c>
      <c r="L146" s="60" t="s">
        <v>251</v>
      </c>
    </row>
    <row r="147" spans="8:12" x14ac:dyDescent="0.25">
      <c r="H147" s="59">
        <v>8542366132</v>
      </c>
      <c r="L147" s="60" t="s">
        <v>252</v>
      </c>
    </row>
    <row r="148" spans="8:12" x14ac:dyDescent="0.25">
      <c r="H148" s="59">
        <v>8542366133</v>
      </c>
      <c r="L148" s="60" t="s">
        <v>253</v>
      </c>
    </row>
    <row r="149" spans="8:12" x14ac:dyDescent="0.25">
      <c r="H149" s="59">
        <v>8542366134</v>
      </c>
      <c r="L149" s="60" t="s">
        <v>254</v>
      </c>
    </row>
    <row r="150" spans="8:12" x14ac:dyDescent="0.25">
      <c r="H150" s="59">
        <v>8542366135</v>
      </c>
      <c r="L150" s="60" t="s">
        <v>255</v>
      </c>
    </row>
    <row r="151" spans="8:12" x14ac:dyDescent="0.25">
      <c r="H151" s="59">
        <v>8542366136</v>
      </c>
      <c r="L151" s="60" t="s">
        <v>256</v>
      </c>
    </row>
    <row r="152" spans="8:12" x14ac:dyDescent="0.25">
      <c r="H152" s="59">
        <v>8542366137</v>
      </c>
      <c r="L152" s="60" t="s">
        <v>257</v>
      </c>
    </row>
    <row r="153" spans="8:12" x14ac:dyDescent="0.25">
      <c r="H153" s="59">
        <v>8542366138</v>
      </c>
      <c r="L153" s="60" t="s">
        <v>258</v>
      </c>
    </row>
    <row r="154" spans="8:12" x14ac:dyDescent="0.25">
      <c r="H154" s="59">
        <v>8542366139</v>
      </c>
      <c r="L154" s="60" t="s">
        <v>259</v>
      </c>
    </row>
    <row r="155" spans="8:12" x14ac:dyDescent="0.25">
      <c r="H155" s="59">
        <v>8542366140</v>
      </c>
      <c r="L155" s="60" t="s">
        <v>148</v>
      </c>
    </row>
    <row r="156" spans="8:12" x14ac:dyDescent="0.25">
      <c r="H156" s="59">
        <v>8542366141</v>
      </c>
      <c r="L156" s="60" t="s">
        <v>156</v>
      </c>
    </row>
    <row r="157" spans="8:12" x14ac:dyDescent="0.25">
      <c r="H157" s="59">
        <v>8542366142</v>
      </c>
      <c r="L157" s="60" t="s">
        <v>158</v>
      </c>
    </row>
    <row r="158" spans="8:12" x14ac:dyDescent="0.25">
      <c r="H158" s="59">
        <v>8542366143</v>
      </c>
      <c r="L158" s="60" t="s">
        <v>260</v>
      </c>
    </row>
    <row r="159" spans="8:12" x14ac:dyDescent="0.25">
      <c r="H159" s="59">
        <v>8542366144</v>
      </c>
      <c r="L159" s="60" t="s">
        <v>199</v>
      </c>
    </row>
    <row r="160" spans="8:12" x14ac:dyDescent="0.25">
      <c r="H160" s="59">
        <v>8542366145</v>
      </c>
      <c r="L160" s="60" t="s">
        <v>261</v>
      </c>
    </row>
    <row r="161" spans="8:12" x14ac:dyDescent="0.25">
      <c r="H161" s="59">
        <v>8542366146</v>
      </c>
      <c r="L161" s="60" t="s">
        <v>262</v>
      </c>
    </row>
    <row r="162" spans="8:12" x14ac:dyDescent="0.25">
      <c r="H162" s="59">
        <v>8542366147</v>
      </c>
      <c r="L162" s="60" t="s">
        <v>263</v>
      </c>
    </row>
    <row r="163" spans="8:12" x14ac:dyDescent="0.25">
      <c r="H163" s="59">
        <v>8542366148</v>
      </c>
      <c r="L163" s="60" t="s">
        <v>264</v>
      </c>
    </row>
    <row r="164" spans="8:12" x14ac:dyDescent="0.25">
      <c r="H164" s="59">
        <v>8542366149</v>
      </c>
      <c r="L164" s="60" t="s">
        <v>265</v>
      </c>
    </row>
    <row r="165" spans="8:12" x14ac:dyDescent="0.25">
      <c r="H165" s="59">
        <v>8542366150</v>
      </c>
      <c r="L165" s="60" t="s">
        <v>266</v>
      </c>
    </row>
    <row r="166" spans="8:12" x14ac:dyDescent="0.25">
      <c r="H166" s="59">
        <v>8542366151</v>
      </c>
      <c r="L166" s="60" t="s">
        <v>267</v>
      </c>
    </row>
    <row r="167" spans="8:12" x14ac:dyDescent="0.25">
      <c r="H167" s="59">
        <v>8542366152</v>
      </c>
      <c r="L167" s="60" t="s">
        <v>268</v>
      </c>
    </row>
    <row r="168" spans="8:12" x14ac:dyDescent="0.25">
      <c r="H168" s="59">
        <v>8542366153</v>
      </c>
      <c r="L168" s="60" t="s">
        <v>269</v>
      </c>
    </row>
    <row r="169" spans="8:12" x14ac:dyDescent="0.25">
      <c r="H169" s="59">
        <v>8542366154</v>
      </c>
      <c r="L169" s="60" t="s">
        <v>166</v>
      </c>
    </row>
    <row r="170" spans="8:12" x14ac:dyDescent="0.25">
      <c r="H170" s="59">
        <v>8542366155</v>
      </c>
      <c r="L170" s="60" t="s">
        <v>270</v>
      </c>
    </row>
    <row r="171" spans="8:12" x14ac:dyDescent="0.25">
      <c r="H171" s="59">
        <v>8542366156</v>
      </c>
      <c r="L171" s="60" t="s">
        <v>271</v>
      </c>
    </row>
    <row r="172" spans="8:12" x14ac:dyDescent="0.25">
      <c r="H172" s="59">
        <v>8542366157</v>
      </c>
      <c r="L172" s="60" t="s">
        <v>272</v>
      </c>
    </row>
    <row r="173" spans="8:12" x14ac:dyDescent="0.25">
      <c r="H173" s="59">
        <v>8542366158</v>
      </c>
      <c r="L173" s="60" t="s">
        <v>273</v>
      </c>
    </row>
    <row r="174" spans="8:12" x14ac:dyDescent="0.25">
      <c r="H174" s="59">
        <v>8542366159</v>
      </c>
      <c r="L174" s="60" t="s">
        <v>274</v>
      </c>
    </row>
    <row r="175" spans="8:12" x14ac:dyDescent="0.25">
      <c r="H175" s="59">
        <v>8542366160</v>
      </c>
      <c r="L175" s="60" t="s">
        <v>275</v>
      </c>
    </row>
    <row r="176" spans="8:12" x14ac:dyDescent="0.25">
      <c r="H176" s="59">
        <v>8542366161</v>
      </c>
      <c r="L176" s="60" t="s">
        <v>276</v>
      </c>
    </row>
    <row r="177" spans="8:12" x14ac:dyDescent="0.25">
      <c r="H177" s="59">
        <v>8542366162</v>
      </c>
      <c r="L177" s="60" t="s">
        <v>277</v>
      </c>
    </row>
    <row r="178" spans="8:12" x14ac:dyDescent="0.25">
      <c r="H178" s="59">
        <v>8542366163</v>
      </c>
      <c r="L178" s="60" t="s">
        <v>278</v>
      </c>
    </row>
    <row r="179" spans="8:12" x14ac:dyDescent="0.25">
      <c r="H179" s="59">
        <v>8542366164</v>
      </c>
      <c r="L179" s="60" t="s">
        <v>279</v>
      </c>
    </row>
    <row r="180" spans="8:12" x14ac:dyDescent="0.25">
      <c r="H180" s="59">
        <v>8542366165</v>
      </c>
      <c r="L180" s="60" t="s">
        <v>173</v>
      </c>
    </row>
    <row r="181" spans="8:12" x14ac:dyDescent="0.25">
      <c r="H181" s="59">
        <v>8542366166</v>
      </c>
      <c r="L181" s="60" t="s">
        <v>280</v>
      </c>
    </row>
    <row r="182" spans="8:12" x14ac:dyDescent="0.25">
      <c r="H182" s="59">
        <v>8542366167</v>
      </c>
      <c r="L182" s="60" t="s">
        <v>281</v>
      </c>
    </row>
    <row r="183" spans="8:12" x14ac:dyDescent="0.25">
      <c r="H183" s="59">
        <v>8542366168</v>
      </c>
      <c r="L183" s="60" t="s">
        <v>282</v>
      </c>
    </row>
    <row r="184" spans="8:12" x14ac:dyDescent="0.25">
      <c r="H184" s="59">
        <v>8542366169</v>
      </c>
      <c r="L184" s="60" t="s">
        <v>283</v>
      </c>
    </row>
    <row r="185" spans="8:12" x14ac:dyDescent="0.25">
      <c r="H185" s="59">
        <v>8542366170</v>
      </c>
      <c r="L185" s="60" t="s">
        <v>284</v>
      </c>
    </row>
    <row r="186" spans="8:12" x14ac:dyDescent="0.25">
      <c r="H186" s="59">
        <v>8542366171</v>
      </c>
      <c r="L186" s="60" t="s">
        <v>285</v>
      </c>
    </row>
    <row r="187" spans="8:12" x14ac:dyDescent="0.25">
      <c r="H187" s="59">
        <v>8542366172</v>
      </c>
      <c r="L187" s="60" t="s">
        <v>286</v>
      </c>
    </row>
    <row r="188" spans="8:12" x14ac:dyDescent="0.25">
      <c r="H188" s="59">
        <v>8542366173</v>
      </c>
      <c r="L188" s="60" t="s">
        <v>287</v>
      </c>
    </row>
    <row r="189" spans="8:12" x14ac:dyDescent="0.25">
      <c r="H189" s="59">
        <v>8542366174</v>
      </c>
      <c r="L189" s="60" t="s">
        <v>209</v>
      </c>
    </row>
    <row r="190" spans="8:12" x14ac:dyDescent="0.25">
      <c r="H190" s="59">
        <v>8542366175</v>
      </c>
      <c r="L190" s="60" t="s">
        <v>288</v>
      </c>
    </row>
    <row r="191" spans="8:12" x14ac:dyDescent="0.25">
      <c r="H191" s="59">
        <v>8542366176</v>
      </c>
      <c r="L191" s="60" t="s">
        <v>289</v>
      </c>
    </row>
    <row r="192" spans="8:12" x14ac:dyDescent="0.25">
      <c r="H192" s="59">
        <v>8542366177</v>
      </c>
      <c r="L192" s="60" t="s">
        <v>290</v>
      </c>
    </row>
    <row r="193" spans="8:12" x14ac:dyDescent="0.25">
      <c r="H193" s="59">
        <v>8542366178</v>
      </c>
      <c r="L193" s="60" t="s">
        <v>291</v>
      </c>
    </row>
    <row r="194" spans="8:12" x14ac:dyDescent="0.25">
      <c r="H194" s="59">
        <v>8542366179</v>
      </c>
      <c r="L194" s="60" t="s">
        <v>292</v>
      </c>
    </row>
    <row r="195" spans="8:12" x14ac:dyDescent="0.25">
      <c r="H195" s="59">
        <v>8542366180</v>
      </c>
      <c r="L195" s="60" t="s">
        <v>211</v>
      </c>
    </row>
    <row r="196" spans="8:12" x14ac:dyDescent="0.25">
      <c r="H196" s="59">
        <v>8542366181</v>
      </c>
      <c r="L196" s="60" t="s">
        <v>293</v>
      </c>
    </row>
    <row r="197" spans="8:12" x14ac:dyDescent="0.25">
      <c r="H197" s="59">
        <v>8542366182</v>
      </c>
      <c r="L197" s="60" t="s">
        <v>294</v>
      </c>
    </row>
    <row r="198" spans="8:12" x14ac:dyDescent="0.25">
      <c r="H198" s="59">
        <v>8542366183</v>
      </c>
      <c r="L198" s="60" t="s">
        <v>295</v>
      </c>
    </row>
    <row r="199" spans="8:12" x14ac:dyDescent="0.25">
      <c r="H199" s="59">
        <v>8542366184</v>
      </c>
      <c r="L199" s="60" t="s">
        <v>296</v>
      </c>
    </row>
    <row r="200" spans="8:12" x14ac:dyDescent="0.25">
      <c r="H200" s="59">
        <v>8542366185</v>
      </c>
      <c r="L200" s="60" t="s">
        <v>297</v>
      </c>
    </row>
    <row r="201" spans="8:12" x14ac:dyDescent="0.25">
      <c r="H201" s="59">
        <v>8542366186</v>
      </c>
      <c r="L201" s="60" t="s">
        <v>298</v>
      </c>
    </row>
    <row r="202" spans="8:12" x14ac:dyDescent="0.25">
      <c r="H202" s="59">
        <v>8542366187</v>
      </c>
      <c r="L202" s="60" t="s">
        <v>299</v>
      </c>
    </row>
    <row r="203" spans="8:12" x14ac:dyDescent="0.25">
      <c r="H203" s="59">
        <v>8542366188</v>
      </c>
      <c r="L203" s="60" t="s">
        <v>300</v>
      </c>
    </row>
    <row r="204" spans="8:12" x14ac:dyDescent="0.25">
      <c r="H204" s="59">
        <v>8542366189</v>
      </c>
      <c r="L204" s="60" t="s">
        <v>301</v>
      </c>
    </row>
    <row r="205" spans="8:12" x14ac:dyDescent="0.25">
      <c r="H205" s="59">
        <v>8542366190</v>
      </c>
      <c r="L205" s="60" t="s">
        <v>302</v>
      </c>
    </row>
    <row r="206" spans="8:12" x14ac:dyDescent="0.25">
      <c r="H206" s="59">
        <v>8542366191</v>
      </c>
      <c r="L206" s="60" t="s">
        <v>303</v>
      </c>
    </row>
    <row r="207" spans="8:12" x14ac:dyDescent="0.25">
      <c r="L207" s="60" t="s">
        <v>304</v>
      </c>
    </row>
    <row r="208" spans="8:12" x14ac:dyDescent="0.25">
      <c r="L208" s="60" t="s">
        <v>305</v>
      </c>
    </row>
    <row r="209" spans="12:12" x14ac:dyDescent="0.25">
      <c r="L209" s="60" t="s">
        <v>306</v>
      </c>
    </row>
    <row r="210" spans="12:12" x14ac:dyDescent="0.25">
      <c r="L210" s="60" t="s">
        <v>307</v>
      </c>
    </row>
    <row r="211" spans="12:12" x14ac:dyDescent="0.25">
      <c r="L211" s="60" t="s">
        <v>308</v>
      </c>
    </row>
    <row r="212" spans="12:12" x14ac:dyDescent="0.25">
      <c r="L212" s="60" t="s">
        <v>309</v>
      </c>
    </row>
    <row r="213" spans="12:12" x14ac:dyDescent="0.25">
      <c r="L213" s="60" t="s">
        <v>310</v>
      </c>
    </row>
    <row r="214" spans="12:12" x14ac:dyDescent="0.25">
      <c r="L214" s="60" t="s">
        <v>311</v>
      </c>
    </row>
    <row r="215" spans="12:12" x14ac:dyDescent="0.25">
      <c r="L215" s="60" t="s">
        <v>312</v>
      </c>
    </row>
    <row r="216" spans="12:12" x14ac:dyDescent="0.25">
      <c r="L216" s="60" t="s">
        <v>313</v>
      </c>
    </row>
    <row r="217" spans="12:12" x14ac:dyDescent="0.25">
      <c r="L217" s="60" t="s">
        <v>314</v>
      </c>
    </row>
    <row r="218" spans="12:12" x14ac:dyDescent="0.25">
      <c r="L218" s="60" t="s">
        <v>315</v>
      </c>
    </row>
    <row r="219" spans="12:12" x14ac:dyDescent="0.25">
      <c r="L219" s="60" t="s">
        <v>316</v>
      </c>
    </row>
    <row r="220" spans="12:12" x14ac:dyDescent="0.25">
      <c r="L220" s="60" t="s">
        <v>317</v>
      </c>
    </row>
    <row r="221" spans="12:12" x14ac:dyDescent="0.25">
      <c r="L221" s="60" t="s">
        <v>318</v>
      </c>
    </row>
    <row r="222" spans="12:12" x14ac:dyDescent="0.25">
      <c r="L222" s="60" t="s">
        <v>319</v>
      </c>
    </row>
    <row r="223" spans="12:12" x14ac:dyDescent="0.25">
      <c r="L223" s="60" t="s">
        <v>320</v>
      </c>
    </row>
    <row r="224" spans="12:12" x14ac:dyDescent="0.25">
      <c r="L224" s="60" t="s">
        <v>321</v>
      </c>
    </row>
    <row r="225" spans="12:12" x14ac:dyDescent="0.25">
      <c r="L225" s="60" t="s">
        <v>322</v>
      </c>
    </row>
    <row r="226" spans="12:12" x14ac:dyDescent="0.25">
      <c r="L226" s="60" t="s">
        <v>323</v>
      </c>
    </row>
    <row r="227" spans="12:12" x14ac:dyDescent="0.25">
      <c r="L227" s="60" t="s">
        <v>324</v>
      </c>
    </row>
    <row r="228" spans="12:12" x14ac:dyDescent="0.25">
      <c r="L228" s="60" t="s">
        <v>325</v>
      </c>
    </row>
    <row r="229" spans="12:12" x14ac:dyDescent="0.25">
      <c r="L229" s="60" t="s">
        <v>326</v>
      </c>
    </row>
    <row r="230" spans="12:12" x14ac:dyDescent="0.25">
      <c r="L230" s="60" t="s">
        <v>327</v>
      </c>
    </row>
    <row r="231" spans="12:12" x14ac:dyDescent="0.25">
      <c r="L231" s="60" t="s">
        <v>328</v>
      </c>
    </row>
    <row r="232" spans="12:12" x14ac:dyDescent="0.25">
      <c r="L232" s="60" t="s">
        <v>329</v>
      </c>
    </row>
    <row r="233" spans="12:12" x14ac:dyDescent="0.25">
      <c r="L233" s="60" t="s">
        <v>330</v>
      </c>
    </row>
    <row r="234" spans="12:12" x14ac:dyDescent="0.25">
      <c r="L234" s="60" t="s">
        <v>331</v>
      </c>
    </row>
    <row r="235" spans="12:12" x14ac:dyDescent="0.25">
      <c r="L235" s="60" t="s">
        <v>332</v>
      </c>
    </row>
    <row r="236" spans="12:12" x14ac:dyDescent="0.25">
      <c r="L236" s="60" t="s">
        <v>333</v>
      </c>
    </row>
    <row r="237" spans="12:12" x14ac:dyDescent="0.25">
      <c r="L237" s="60" t="s">
        <v>242</v>
      </c>
    </row>
    <row r="238" spans="12:12" x14ac:dyDescent="0.25">
      <c r="L238" s="60" t="s">
        <v>334</v>
      </c>
    </row>
    <row r="239" spans="12:12" x14ac:dyDescent="0.25">
      <c r="L239" s="60" t="s">
        <v>335</v>
      </c>
    </row>
    <row r="240" spans="12:12" x14ac:dyDescent="0.25">
      <c r="L240" s="60" t="s">
        <v>336</v>
      </c>
    </row>
    <row r="241" spans="12:12" x14ac:dyDescent="0.25">
      <c r="L241" s="60" t="s">
        <v>337</v>
      </c>
    </row>
    <row r="242" spans="12:12" x14ac:dyDescent="0.25">
      <c r="L242" s="60" t="s">
        <v>338</v>
      </c>
    </row>
    <row r="243" spans="12:12" x14ac:dyDescent="0.25">
      <c r="L243" s="60" t="s">
        <v>339</v>
      </c>
    </row>
    <row r="244" spans="12:12" x14ac:dyDescent="0.25">
      <c r="L244" s="60" t="s">
        <v>340</v>
      </c>
    </row>
    <row r="245" spans="12:12" x14ac:dyDescent="0.25">
      <c r="L245" s="60" t="s">
        <v>341</v>
      </c>
    </row>
    <row r="246" spans="12:12" x14ac:dyDescent="0.25">
      <c r="L246" s="60" t="s">
        <v>342</v>
      </c>
    </row>
    <row r="247" spans="12:12" x14ac:dyDescent="0.25">
      <c r="L247" s="60" t="s">
        <v>343</v>
      </c>
    </row>
    <row r="248" spans="12:12" x14ac:dyDescent="0.25">
      <c r="L248" s="60" t="s">
        <v>344</v>
      </c>
    </row>
    <row r="249" spans="12:12" x14ac:dyDescent="0.25">
      <c r="L249" s="60" t="s">
        <v>345</v>
      </c>
    </row>
    <row r="250" spans="12:12" x14ac:dyDescent="0.25">
      <c r="L250" s="60" t="s">
        <v>346</v>
      </c>
    </row>
    <row r="251" spans="12:12" x14ac:dyDescent="0.25">
      <c r="L251" s="60" t="s">
        <v>347</v>
      </c>
    </row>
    <row r="252" spans="12:12" x14ac:dyDescent="0.25">
      <c r="L252" s="60" t="s">
        <v>348</v>
      </c>
    </row>
    <row r="253" spans="12:12" x14ac:dyDescent="0.25">
      <c r="L253" s="60" t="s">
        <v>349</v>
      </c>
    </row>
    <row r="254" spans="12:12" x14ac:dyDescent="0.25">
      <c r="L254" s="60" t="s">
        <v>350</v>
      </c>
    </row>
    <row r="255" spans="12:12" x14ac:dyDescent="0.25">
      <c r="L255" s="60" t="s">
        <v>351</v>
      </c>
    </row>
    <row r="256" spans="12:12" x14ac:dyDescent="0.25">
      <c r="L256" s="60" t="s">
        <v>352</v>
      </c>
    </row>
    <row r="257" spans="12:12" x14ac:dyDescent="0.25">
      <c r="L257" s="60" t="s">
        <v>353</v>
      </c>
    </row>
    <row r="258" spans="12:12" x14ac:dyDescent="0.25">
      <c r="L258" s="60" t="s">
        <v>354</v>
      </c>
    </row>
    <row r="259" spans="12:12" x14ac:dyDescent="0.25">
      <c r="L259" s="60" t="s">
        <v>207</v>
      </c>
    </row>
    <row r="260" spans="12:12" x14ac:dyDescent="0.25">
      <c r="L260" s="60" t="s">
        <v>161</v>
      </c>
    </row>
    <row r="261" spans="12:12" x14ac:dyDescent="0.25">
      <c r="L261" s="60" t="s">
        <v>355</v>
      </c>
    </row>
    <row r="262" spans="12:12" x14ac:dyDescent="0.25">
      <c r="L262" s="60" t="s">
        <v>356</v>
      </c>
    </row>
    <row r="263" spans="12:12" x14ac:dyDescent="0.25">
      <c r="L263" s="60" t="s">
        <v>357</v>
      </c>
    </row>
    <row r="264" spans="12:12" x14ac:dyDescent="0.25">
      <c r="L264" s="60" t="s">
        <v>358</v>
      </c>
    </row>
    <row r="265" spans="12:12" x14ac:dyDescent="0.25">
      <c r="L265" s="60" t="s">
        <v>359</v>
      </c>
    </row>
    <row r="266" spans="12:12" x14ac:dyDescent="0.25">
      <c r="L266" s="60" t="s">
        <v>360</v>
      </c>
    </row>
    <row r="267" spans="12:12" x14ac:dyDescent="0.25">
      <c r="L267" s="60" t="s">
        <v>361</v>
      </c>
    </row>
    <row r="268" spans="12:12" x14ac:dyDescent="0.25">
      <c r="L268" s="60" t="s">
        <v>362</v>
      </c>
    </row>
    <row r="269" spans="12:12" x14ac:dyDescent="0.25">
      <c r="L269" s="60" t="s">
        <v>363</v>
      </c>
    </row>
    <row r="270" spans="12:12" x14ac:dyDescent="0.25">
      <c r="L270" s="60" t="s">
        <v>364</v>
      </c>
    </row>
    <row r="271" spans="12:12" x14ac:dyDescent="0.25">
      <c r="L271" s="60" t="s">
        <v>365</v>
      </c>
    </row>
    <row r="272" spans="12:12" x14ac:dyDescent="0.25">
      <c r="L272" s="60" t="s">
        <v>366</v>
      </c>
    </row>
    <row r="273" spans="12:12" x14ac:dyDescent="0.25">
      <c r="L273" s="60" t="s">
        <v>367</v>
      </c>
    </row>
    <row r="274" spans="12:12" x14ac:dyDescent="0.25">
      <c r="L274" s="60" t="s">
        <v>368</v>
      </c>
    </row>
    <row r="275" spans="12:12" x14ac:dyDescent="0.25">
      <c r="L275" s="60" t="s">
        <v>369</v>
      </c>
    </row>
    <row r="276" spans="12:12" x14ac:dyDescent="0.25">
      <c r="L276" s="60" t="s">
        <v>370</v>
      </c>
    </row>
    <row r="277" spans="12:12" x14ac:dyDescent="0.25">
      <c r="L277" s="60" t="s">
        <v>371</v>
      </c>
    </row>
    <row r="278" spans="12:12" x14ac:dyDescent="0.25">
      <c r="L278" s="60" t="s">
        <v>372</v>
      </c>
    </row>
    <row r="279" spans="12:12" x14ac:dyDescent="0.25">
      <c r="L279" s="60" t="s">
        <v>373</v>
      </c>
    </row>
    <row r="280" spans="12:12" x14ac:dyDescent="0.25">
      <c r="L280" s="60" t="s">
        <v>374</v>
      </c>
    </row>
    <row r="281" spans="12:12" x14ac:dyDescent="0.25">
      <c r="L281" s="60" t="s">
        <v>375</v>
      </c>
    </row>
    <row r="282" spans="12:12" x14ac:dyDescent="0.25">
      <c r="L282" s="60" t="s">
        <v>376</v>
      </c>
    </row>
    <row r="283" spans="12:12" x14ac:dyDescent="0.25">
      <c r="L283" s="60" t="s">
        <v>377</v>
      </c>
    </row>
    <row r="284" spans="12:12" x14ac:dyDescent="0.25">
      <c r="L284" s="60" t="s">
        <v>378</v>
      </c>
    </row>
    <row r="285" spans="12:12" x14ac:dyDescent="0.25">
      <c r="L285" s="60" t="s">
        <v>379</v>
      </c>
    </row>
    <row r="286" spans="12:12" x14ac:dyDescent="0.25">
      <c r="L286" s="60" t="s">
        <v>380</v>
      </c>
    </row>
    <row r="287" spans="12:12" x14ac:dyDescent="0.25">
      <c r="L287" s="60" t="s">
        <v>381</v>
      </c>
    </row>
    <row r="288" spans="12:12" x14ac:dyDescent="0.25">
      <c r="L288" s="60" t="s">
        <v>382</v>
      </c>
    </row>
    <row r="289" spans="12:12" x14ac:dyDescent="0.25">
      <c r="L289" s="60" t="s">
        <v>383</v>
      </c>
    </row>
    <row r="290" spans="12:12" x14ac:dyDescent="0.25">
      <c r="L290" s="60" t="s">
        <v>384</v>
      </c>
    </row>
    <row r="291" spans="12:12" x14ac:dyDescent="0.25">
      <c r="L291" s="60" t="s">
        <v>385</v>
      </c>
    </row>
    <row r="292" spans="12:12" x14ac:dyDescent="0.25">
      <c r="L292" s="60" t="s">
        <v>386</v>
      </c>
    </row>
    <row r="293" spans="12:12" x14ac:dyDescent="0.25">
      <c r="L293" s="60" t="s">
        <v>387</v>
      </c>
    </row>
    <row r="294" spans="12:12" x14ac:dyDescent="0.25">
      <c r="L294" s="60" t="s">
        <v>388</v>
      </c>
    </row>
    <row r="295" spans="12:12" x14ac:dyDescent="0.25">
      <c r="L295" s="60" t="s">
        <v>389</v>
      </c>
    </row>
    <row r="296" spans="12:12" x14ac:dyDescent="0.25">
      <c r="L296" s="60" t="s">
        <v>390</v>
      </c>
    </row>
    <row r="297" spans="12:12" x14ac:dyDescent="0.25">
      <c r="L297" s="60" t="s">
        <v>391</v>
      </c>
    </row>
    <row r="298" spans="12:12" x14ac:dyDescent="0.25">
      <c r="L298" s="60" t="s">
        <v>392</v>
      </c>
    </row>
    <row r="299" spans="12:12" x14ac:dyDescent="0.25">
      <c r="L299" s="60" t="s">
        <v>393</v>
      </c>
    </row>
    <row r="300" spans="12:12" x14ac:dyDescent="0.25">
      <c r="L300" s="60" t="s">
        <v>394</v>
      </c>
    </row>
    <row r="301" spans="12:12" x14ac:dyDescent="0.25">
      <c r="L301" s="60" t="s">
        <v>395</v>
      </c>
    </row>
    <row r="302" spans="12:12" x14ac:dyDescent="0.25">
      <c r="L302" s="60" t="s">
        <v>396</v>
      </c>
    </row>
    <row r="303" spans="12:12" x14ac:dyDescent="0.25">
      <c r="L303" s="60" t="s">
        <v>397</v>
      </c>
    </row>
    <row r="304" spans="12:12" x14ac:dyDescent="0.25">
      <c r="L304" s="60" t="s">
        <v>398</v>
      </c>
    </row>
    <row r="305" spans="12:12" x14ac:dyDescent="0.25">
      <c r="L305" s="60" t="s">
        <v>399</v>
      </c>
    </row>
    <row r="306" spans="12:12" x14ac:dyDescent="0.25">
      <c r="L306" s="60" t="s">
        <v>400</v>
      </c>
    </row>
    <row r="307" spans="12:12" x14ac:dyDescent="0.25">
      <c r="L307" s="60" t="s">
        <v>401</v>
      </c>
    </row>
    <row r="308" spans="12:12" x14ac:dyDescent="0.25">
      <c r="L308" s="60" t="s">
        <v>402</v>
      </c>
    </row>
    <row r="309" spans="12:12" x14ac:dyDescent="0.25">
      <c r="L309" s="60" t="s">
        <v>403</v>
      </c>
    </row>
    <row r="310" spans="12:12" x14ac:dyDescent="0.25">
      <c r="L310" s="60" t="s">
        <v>404</v>
      </c>
    </row>
    <row r="311" spans="12:12" x14ac:dyDescent="0.25">
      <c r="L311" s="60" t="s">
        <v>405</v>
      </c>
    </row>
    <row r="312" spans="12:12" x14ac:dyDescent="0.25">
      <c r="L312" s="60" t="s">
        <v>406</v>
      </c>
    </row>
    <row r="313" spans="12:12" x14ac:dyDescent="0.25">
      <c r="L313" s="60" t="s">
        <v>407</v>
      </c>
    </row>
    <row r="314" spans="12:12" x14ac:dyDescent="0.25">
      <c r="L314" s="60" t="s">
        <v>408</v>
      </c>
    </row>
    <row r="315" spans="12:12" x14ac:dyDescent="0.25">
      <c r="L315" s="60" t="s">
        <v>409</v>
      </c>
    </row>
    <row r="316" spans="12:12" x14ac:dyDescent="0.25">
      <c r="L316" s="60" t="s">
        <v>410</v>
      </c>
    </row>
    <row r="317" spans="12:12" x14ac:dyDescent="0.25">
      <c r="L317" s="60" t="s">
        <v>411</v>
      </c>
    </row>
    <row r="318" spans="12:12" x14ac:dyDescent="0.25">
      <c r="L318" s="60" t="s">
        <v>412</v>
      </c>
    </row>
    <row r="319" spans="12:12" x14ac:dyDescent="0.25">
      <c r="L319" s="60" t="s">
        <v>413</v>
      </c>
    </row>
    <row r="320" spans="12:12" x14ac:dyDescent="0.25">
      <c r="L320" s="60" t="s">
        <v>414</v>
      </c>
    </row>
    <row r="321" spans="12:12" x14ac:dyDescent="0.25">
      <c r="L321" s="60" t="s">
        <v>415</v>
      </c>
    </row>
    <row r="322" spans="12:12" x14ac:dyDescent="0.25">
      <c r="L322" s="60" t="s">
        <v>416</v>
      </c>
    </row>
    <row r="323" spans="12:12" x14ac:dyDescent="0.25">
      <c r="L323" s="60" t="s">
        <v>417</v>
      </c>
    </row>
    <row r="324" spans="12:12" x14ac:dyDescent="0.25">
      <c r="L324" s="60" t="s">
        <v>418</v>
      </c>
    </row>
    <row r="325" spans="12:12" x14ac:dyDescent="0.25">
      <c r="L325" s="60" t="s">
        <v>419</v>
      </c>
    </row>
    <row r="326" spans="12:12" x14ac:dyDescent="0.25">
      <c r="L326" s="60" t="s">
        <v>420</v>
      </c>
    </row>
    <row r="327" spans="12:12" x14ac:dyDescent="0.25">
      <c r="L327" s="60" t="s">
        <v>421</v>
      </c>
    </row>
    <row r="328" spans="12:12" x14ac:dyDescent="0.25">
      <c r="L328" s="60" t="s">
        <v>422</v>
      </c>
    </row>
    <row r="329" spans="12:12" x14ac:dyDescent="0.25">
      <c r="L329" s="60" t="s">
        <v>423</v>
      </c>
    </row>
    <row r="330" spans="12:12" x14ac:dyDescent="0.25">
      <c r="L330" s="60" t="s">
        <v>424</v>
      </c>
    </row>
    <row r="331" spans="12:12" x14ac:dyDescent="0.25">
      <c r="L331" s="60" t="s">
        <v>425</v>
      </c>
    </row>
    <row r="332" spans="12:12" x14ac:dyDescent="0.25">
      <c r="L332" s="60" t="s">
        <v>426</v>
      </c>
    </row>
    <row r="333" spans="12:12" x14ac:dyDescent="0.25">
      <c r="L333" s="60" t="s">
        <v>427</v>
      </c>
    </row>
    <row r="334" spans="12:12" x14ac:dyDescent="0.25">
      <c r="L334" s="60" t="s">
        <v>428</v>
      </c>
    </row>
    <row r="335" spans="12:12" x14ac:dyDescent="0.25">
      <c r="L335" s="60" t="s">
        <v>429</v>
      </c>
    </row>
    <row r="336" spans="12:12" x14ac:dyDescent="0.25">
      <c r="L336" s="60" t="s">
        <v>430</v>
      </c>
    </row>
    <row r="337" spans="12:12" x14ac:dyDescent="0.25">
      <c r="L337" s="60" t="s">
        <v>431</v>
      </c>
    </row>
    <row r="338" spans="12:12" x14ac:dyDescent="0.25">
      <c r="L338" s="60" t="s">
        <v>432</v>
      </c>
    </row>
    <row r="339" spans="12:12" x14ac:dyDescent="0.25">
      <c r="L339" s="60" t="s">
        <v>433</v>
      </c>
    </row>
    <row r="340" spans="12:12" x14ac:dyDescent="0.25">
      <c r="L340" s="60" t="s">
        <v>434</v>
      </c>
    </row>
    <row r="341" spans="12:12" x14ac:dyDescent="0.25">
      <c r="L341" s="60" t="s">
        <v>435</v>
      </c>
    </row>
    <row r="342" spans="12:12" x14ac:dyDescent="0.25">
      <c r="L342" s="60" t="s">
        <v>436</v>
      </c>
    </row>
    <row r="343" spans="12:12" x14ac:dyDescent="0.25">
      <c r="L343" s="60" t="s">
        <v>437</v>
      </c>
    </row>
    <row r="344" spans="12:12" x14ac:dyDescent="0.25">
      <c r="L344" s="60" t="s">
        <v>438</v>
      </c>
    </row>
    <row r="345" spans="12:12" x14ac:dyDescent="0.25">
      <c r="L345" s="60" t="s">
        <v>439</v>
      </c>
    </row>
    <row r="346" spans="12:12" x14ac:dyDescent="0.25">
      <c r="L346" s="60" t="s">
        <v>440</v>
      </c>
    </row>
    <row r="347" spans="12:12" x14ac:dyDescent="0.25">
      <c r="L347" s="60" t="s">
        <v>441</v>
      </c>
    </row>
    <row r="348" spans="12:12" x14ac:dyDescent="0.25">
      <c r="L348" s="60" t="s">
        <v>442</v>
      </c>
    </row>
    <row r="349" spans="12:12" x14ac:dyDescent="0.25">
      <c r="L349" s="60" t="s">
        <v>443</v>
      </c>
    </row>
    <row r="350" spans="12:12" x14ac:dyDescent="0.25">
      <c r="L350" s="60" t="s">
        <v>444</v>
      </c>
    </row>
    <row r="351" spans="12:12" x14ac:dyDescent="0.25">
      <c r="L351" s="60" t="s">
        <v>445</v>
      </c>
    </row>
    <row r="352" spans="12:12" x14ac:dyDescent="0.25">
      <c r="L352" s="60" t="s">
        <v>446</v>
      </c>
    </row>
    <row r="353" spans="12:12" x14ac:dyDescent="0.25">
      <c r="L353" s="60" t="s">
        <v>447</v>
      </c>
    </row>
    <row r="354" spans="12:12" x14ac:dyDescent="0.25">
      <c r="L354" s="60" t="s">
        <v>448</v>
      </c>
    </row>
    <row r="355" spans="12:12" x14ac:dyDescent="0.25">
      <c r="L355" s="60" t="s">
        <v>449</v>
      </c>
    </row>
    <row r="356" spans="12:12" x14ac:dyDescent="0.25">
      <c r="L356" s="60" t="s">
        <v>450</v>
      </c>
    </row>
    <row r="357" spans="12:12" x14ac:dyDescent="0.25">
      <c r="L357" s="60" t="s">
        <v>451</v>
      </c>
    </row>
    <row r="358" spans="12:12" x14ac:dyDescent="0.25">
      <c r="L358" s="60" t="s">
        <v>452</v>
      </c>
    </row>
    <row r="359" spans="12:12" x14ac:dyDescent="0.25">
      <c r="L359" s="60" t="s">
        <v>453</v>
      </c>
    </row>
    <row r="360" spans="12:12" x14ac:dyDescent="0.25">
      <c r="L360" s="60" t="s">
        <v>454</v>
      </c>
    </row>
    <row r="361" spans="12:12" x14ac:dyDescent="0.25">
      <c r="L361" s="60" t="s">
        <v>455</v>
      </c>
    </row>
    <row r="362" spans="12:12" x14ac:dyDescent="0.25">
      <c r="L362" s="60" t="s">
        <v>456</v>
      </c>
    </row>
    <row r="363" spans="12:12" x14ac:dyDescent="0.25">
      <c r="L363" s="60" t="s">
        <v>457</v>
      </c>
    </row>
    <row r="364" spans="12:12" x14ac:dyDescent="0.25">
      <c r="L364" s="60" t="s">
        <v>458</v>
      </c>
    </row>
    <row r="365" spans="12:12" x14ac:dyDescent="0.25">
      <c r="L365" s="60" t="s">
        <v>459</v>
      </c>
    </row>
    <row r="366" spans="12:12" x14ac:dyDescent="0.25">
      <c r="L366" s="60" t="s">
        <v>460</v>
      </c>
    </row>
    <row r="367" spans="12:12" x14ac:dyDescent="0.25">
      <c r="L367" s="60" t="s">
        <v>461</v>
      </c>
    </row>
    <row r="368" spans="12:12" x14ac:dyDescent="0.25">
      <c r="L368" s="60" t="s">
        <v>462</v>
      </c>
    </row>
    <row r="369" spans="12:12" x14ac:dyDescent="0.25">
      <c r="L369" s="60" t="s">
        <v>463</v>
      </c>
    </row>
    <row r="370" spans="12:12" x14ac:dyDescent="0.25">
      <c r="L370" s="60" t="s">
        <v>464</v>
      </c>
    </row>
    <row r="371" spans="12:12" x14ac:dyDescent="0.25">
      <c r="L371" s="60" t="s">
        <v>465</v>
      </c>
    </row>
    <row r="372" spans="12:12" x14ac:dyDescent="0.25">
      <c r="L372" s="60" t="s">
        <v>466</v>
      </c>
    </row>
    <row r="373" spans="12:12" x14ac:dyDescent="0.25">
      <c r="L373" s="60" t="s">
        <v>467</v>
      </c>
    </row>
    <row r="374" spans="12:12" x14ac:dyDescent="0.25">
      <c r="L374" s="60" t="s">
        <v>468</v>
      </c>
    </row>
    <row r="375" spans="12:12" x14ac:dyDescent="0.25">
      <c r="L375" s="60" t="s">
        <v>469</v>
      </c>
    </row>
    <row r="376" spans="12:12" x14ac:dyDescent="0.25">
      <c r="L376" s="60" t="s">
        <v>470</v>
      </c>
    </row>
    <row r="377" spans="12:12" x14ac:dyDescent="0.25">
      <c r="L377" s="60" t="s">
        <v>471</v>
      </c>
    </row>
    <row r="378" spans="12:12" x14ac:dyDescent="0.25">
      <c r="L378" s="60" t="s">
        <v>472</v>
      </c>
    </row>
    <row r="379" spans="12:12" x14ac:dyDescent="0.25">
      <c r="L379" s="60" t="s">
        <v>473</v>
      </c>
    </row>
    <row r="380" spans="12:12" x14ac:dyDescent="0.25">
      <c r="L380" s="60" t="s">
        <v>474</v>
      </c>
    </row>
    <row r="381" spans="12:12" x14ac:dyDescent="0.25">
      <c r="L381" s="60" t="s">
        <v>475</v>
      </c>
    </row>
    <row r="382" spans="12:12" x14ac:dyDescent="0.25">
      <c r="L382" s="60" t="s">
        <v>476</v>
      </c>
    </row>
    <row r="383" spans="12:12" x14ac:dyDescent="0.25">
      <c r="L383" s="60" t="s">
        <v>477</v>
      </c>
    </row>
    <row r="384" spans="12:12" x14ac:dyDescent="0.25">
      <c r="L384" s="60" t="s">
        <v>478</v>
      </c>
    </row>
    <row r="385" spans="12:12" x14ac:dyDescent="0.25">
      <c r="L385" s="60" t="s">
        <v>479</v>
      </c>
    </row>
    <row r="386" spans="12:12" x14ac:dyDescent="0.25">
      <c r="L386" s="60" t="s">
        <v>480</v>
      </c>
    </row>
    <row r="387" spans="12:12" x14ac:dyDescent="0.25">
      <c r="L387" s="60" t="s">
        <v>481</v>
      </c>
    </row>
    <row r="388" spans="12:12" x14ac:dyDescent="0.25">
      <c r="L388" s="60" t="s">
        <v>482</v>
      </c>
    </row>
    <row r="389" spans="12:12" x14ac:dyDescent="0.25">
      <c r="L389" s="60" t="s">
        <v>483</v>
      </c>
    </row>
    <row r="390" spans="12:12" x14ac:dyDescent="0.25">
      <c r="L390" s="60" t="s">
        <v>484</v>
      </c>
    </row>
    <row r="391" spans="12:12" x14ac:dyDescent="0.25">
      <c r="L391" s="60" t="s">
        <v>485</v>
      </c>
    </row>
    <row r="392" spans="12:12" x14ac:dyDescent="0.25">
      <c r="L392" s="60" t="s">
        <v>486</v>
      </c>
    </row>
    <row r="393" spans="12:12" x14ac:dyDescent="0.25">
      <c r="L393" s="60" t="s">
        <v>487</v>
      </c>
    </row>
    <row r="394" spans="12:12" x14ac:dyDescent="0.25">
      <c r="L394" s="60" t="s">
        <v>488</v>
      </c>
    </row>
    <row r="395" spans="12:12" x14ac:dyDescent="0.25">
      <c r="L395" s="60" t="s">
        <v>489</v>
      </c>
    </row>
    <row r="396" spans="12:12" x14ac:dyDescent="0.25">
      <c r="L396" s="60" t="s">
        <v>490</v>
      </c>
    </row>
    <row r="397" spans="12:12" x14ac:dyDescent="0.25">
      <c r="L397" s="60" t="s">
        <v>491</v>
      </c>
    </row>
    <row r="398" spans="12:12" x14ac:dyDescent="0.25">
      <c r="L398" s="60" t="s">
        <v>492</v>
      </c>
    </row>
    <row r="399" spans="12:12" x14ac:dyDescent="0.25">
      <c r="L399" s="60" t="s">
        <v>493</v>
      </c>
    </row>
    <row r="400" spans="12:12" x14ac:dyDescent="0.25">
      <c r="L400" s="60" t="s">
        <v>494</v>
      </c>
    </row>
    <row r="401" spans="12:12" x14ac:dyDescent="0.25">
      <c r="L401" s="60" t="s">
        <v>495</v>
      </c>
    </row>
    <row r="402" spans="12:12" x14ac:dyDescent="0.25">
      <c r="L402" s="60" t="s">
        <v>496</v>
      </c>
    </row>
    <row r="403" spans="12:12" x14ac:dyDescent="0.25">
      <c r="L403" s="60" t="s">
        <v>497</v>
      </c>
    </row>
    <row r="404" spans="12:12" x14ac:dyDescent="0.25">
      <c r="L404" s="60" t="s">
        <v>498</v>
      </c>
    </row>
    <row r="405" spans="12:12" x14ac:dyDescent="0.25">
      <c r="L405" s="60" t="s">
        <v>499</v>
      </c>
    </row>
    <row r="406" spans="12:12" x14ac:dyDescent="0.25">
      <c r="L406" s="60" t="s">
        <v>500</v>
      </c>
    </row>
    <row r="407" spans="12:12" x14ac:dyDescent="0.25">
      <c r="L407" s="60" t="s">
        <v>501</v>
      </c>
    </row>
    <row r="408" spans="12:12" x14ac:dyDescent="0.25">
      <c r="L408" s="60" t="s">
        <v>502</v>
      </c>
    </row>
    <row r="409" spans="12:12" x14ac:dyDescent="0.25">
      <c r="L409" s="60" t="s">
        <v>503</v>
      </c>
    </row>
    <row r="410" spans="12:12" x14ac:dyDescent="0.25">
      <c r="L410" s="60" t="s">
        <v>504</v>
      </c>
    </row>
    <row r="411" spans="12:12" x14ac:dyDescent="0.25">
      <c r="L411" s="60" t="s">
        <v>505</v>
      </c>
    </row>
    <row r="412" spans="12:12" x14ac:dyDescent="0.25">
      <c r="L412" s="60" t="s">
        <v>506</v>
      </c>
    </row>
    <row r="413" spans="12:12" x14ac:dyDescent="0.25">
      <c r="L413" s="60" t="s">
        <v>507</v>
      </c>
    </row>
    <row r="414" spans="12:12" x14ac:dyDescent="0.25">
      <c r="L414" s="60" t="s">
        <v>508</v>
      </c>
    </row>
    <row r="415" spans="12:12" x14ac:dyDescent="0.25">
      <c r="L415" s="60" t="s">
        <v>509</v>
      </c>
    </row>
    <row r="416" spans="12:12" x14ac:dyDescent="0.25">
      <c r="L416" s="60" t="s">
        <v>510</v>
      </c>
    </row>
    <row r="417" spans="12:12" x14ac:dyDescent="0.25">
      <c r="L417" s="60" t="s">
        <v>511</v>
      </c>
    </row>
    <row r="418" spans="12:12" x14ac:dyDescent="0.25">
      <c r="L418" s="60" t="s">
        <v>512</v>
      </c>
    </row>
    <row r="419" spans="12:12" x14ac:dyDescent="0.25">
      <c r="L419" s="60" t="s">
        <v>513</v>
      </c>
    </row>
  </sheetData>
  <phoneticPr fontId="14" type="noConversion"/>
  <conditionalFormatting sqref="L137:L419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fd6cc9-d1eb-41ac-b3b8-f50d650fed2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879719616D94BAA31DCD798A62E90" ma:contentTypeVersion="17" ma:contentTypeDescription="Crée un document." ma:contentTypeScope="" ma:versionID="2450b6d833e19da864f3d6e45bebfa65">
  <xsd:schema xmlns:xsd="http://www.w3.org/2001/XMLSchema" xmlns:xs="http://www.w3.org/2001/XMLSchema" xmlns:p="http://schemas.microsoft.com/office/2006/metadata/properties" xmlns:ns3="06fd6cc9-d1eb-41ac-b3b8-f50d650fed2c" xmlns:ns4="900c237d-e2c1-48cf-a14f-52b2df8c0dee" targetNamespace="http://schemas.microsoft.com/office/2006/metadata/properties" ma:root="true" ma:fieldsID="d1441ac8c042269a3ae29f8e3393186c" ns3:_="" ns4:_="">
    <xsd:import namespace="06fd6cc9-d1eb-41ac-b3b8-f50d650fed2c"/>
    <xsd:import namespace="900c237d-e2c1-48cf-a14f-52b2df8c0d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d6cc9-d1eb-41ac-b3b8-f50d650fed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0c237d-e2c1-48cf-a14f-52b2df8c0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4A829E-22FE-419C-BC44-E78A86F9A215}">
  <ds:schemaRefs>
    <ds:schemaRef ds:uri="06fd6cc9-d1eb-41ac-b3b8-f50d650fed2c"/>
    <ds:schemaRef ds:uri="http://schemas.microsoft.com/office/2006/documentManagement/types"/>
    <ds:schemaRef ds:uri="900c237d-e2c1-48cf-a14f-52b2df8c0dee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E8AD21D-AC17-4D10-A90E-FB78BE9A22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D835B7-5D54-445D-BAB3-6749AD3D50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fd6cc9-d1eb-41ac-b3b8-f50d650fed2c"/>
    <ds:schemaRef ds:uri="900c237d-e2c1-48cf-a14f-52b2df8c0d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2025-04-24T11:12:57Z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0x010100163879719616D94BAA31DCD798A62E90</vt:lpwstr>
  </property>
  <property fmtid="{D5CDD505-2E9C-101B-9397-08002B2CF9AE}" pid="3" name="MSIP_Label_4a508f1f-9d44-42cd-8a20-925c1afed930_Enabled">
    <vt:lpwstr>true</vt:lpwstr>
  </property>
  <property fmtid="{D5CDD505-2E9C-101B-9397-08002B2CF9AE}" pid="4" name="MSIP_Label_4a508f1f-9d44-42cd-8a20-925c1afed930_SetDate">
    <vt:lpwstr>2025-04-24T10:56:22Z</vt:lpwstr>
  </property>
  <property fmtid="{D5CDD505-2E9C-101B-9397-08002B2CF9AE}" pid="5" name="MSIP_Label_4a508f1f-9d44-42cd-8a20-925c1afed930_Method">
    <vt:lpwstr>Standard</vt:lpwstr>
  </property>
  <property fmtid="{D5CDD505-2E9C-101B-9397-08002B2CF9AE}" pid="6" name="MSIP_Label_4a508f1f-9d44-42cd-8a20-925c1afed930_Name">
    <vt:lpwstr>Expleo Public</vt:lpwstr>
  </property>
  <property fmtid="{D5CDD505-2E9C-101B-9397-08002B2CF9AE}" pid="7" name="MSIP_Label_4a508f1f-9d44-42cd-8a20-925c1afed930_SiteId">
    <vt:lpwstr>3b0e7247-e0d5-44bf-8ed1-d01b18d16ca2</vt:lpwstr>
  </property>
  <property fmtid="{D5CDD505-2E9C-101B-9397-08002B2CF9AE}" pid="8" name="MSIP_Label_4a508f1f-9d44-42cd-8a20-925c1afed930_ActionId">
    <vt:lpwstr>63ae75f3-7b57-47b7-9dbb-c3c57b093d07</vt:lpwstr>
  </property>
  <property fmtid="{D5CDD505-2E9C-101B-9397-08002B2CF9AE}" pid="9" name="MSIP_Label_4a508f1f-9d44-42cd-8a20-925c1afed930_ContentBits">
    <vt:lpwstr>0</vt:lpwstr>
  </property>
  <property fmtid="{D5CDD505-2E9C-101B-9397-08002B2CF9AE}" pid="10" name="MSIP_Label_4a508f1f-9d44-42cd-8a20-925c1afed930_Tag">
    <vt:lpwstr>10, 3, 0, 1</vt:lpwstr>
  </property>
</Properties>
</file>