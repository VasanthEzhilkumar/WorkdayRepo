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filterPrivacy="1"/>
  <xr:revisionPtr revIDLastSave="0" documentId="14_{CED0D4A7-0246-4438-A382-7314357504B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definedNames>
    <definedName name="_xlnm._FilterDatabase">Sheet1!$A$1:$CU$6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X6" i="1" l="1"/>
  <c r="AW6" i="1"/>
  <c r="AU6" i="1"/>
  <c r="AK6" i="1"/>
  <c r="AJ6" i="1"/>
  <c r="AY6" i="1" s="1"/>
  <c r="K6" i="1"/>
  <c r="AY5" i="1"/>
  <c r="AX5" i="1"/>
  <c r="AW5" i="1"/>
  <c r="AU5" i="1"/>
  <c r="AK5" i="1"/>
  <c r="K5" i="1"/>
  <c r="AY4" i="1"/>
  <c r="AX4" i="1"/>
  <c r="AW4" i="1"/>
  <c r="AU4" i="1"/>
  <c r="AK4" i="1"/>
  <c r="K4" i="1"/>
  <c r="AY3" i="1"/>
  <c r="AX3" i="1"/>
  <c r="AW3" i="1"/>
  <c r="AU3" i="1"/>
  <c r="AK3" i="1"/>
  <c r="K3" i="1"/>
  <c r="AY2" i="1"/>
  <c r="AX2" i="1"/>
  <c r="AW2" i="1"/>
  <c r="AU2" i="1"/>
  <c r="AK2" i="1"/>
  <c r="K2" i="1"/>
</calcChain>
</file>

<file path=xl/sharedStrings.xml><?xml version="1.0" encoding="utf-8"?>
<sst xmlns="http://schemas.openxmlformats.org/spreadsheetml/2006/main" count="509" uniqueCount="181">
  <si>
    <t>TestCaseIDs</t>
  </si>
  <si>
    <t>EmployeeID</t>
  </si>
  <si>
    <t>TestStatus</t>
  </si>
  <si>
    <t>SupervisoryOrganisation</t>
  </si>
  <si>
    <t>Country</t>
  </si>
  <si>
    <t>GivenName</t>
  </si>
  <si>
    <t>FamilyName</t>
  </si>
  <si>
    <t>PhoneNumber</t>
  </si>
  <si>
    <t>PhoneDevice</t>
  </si>
  <si>
    <t>Type</t>
  </si>
  <si>
    <t>EffectiveDate</t>
  </si>
  <si>
    <t>Street</t>
  </si>
  <si>
    <t>BuildingNumber</t>
  </si>
  <si>
    <t>StreetOrPlaceName</t>
  </si>
  <si>
    <t>StreetOrPlaceType</t>
  </si>
  <si>
    <t>StreetNumber</t>
  </si>
  <si>
    <t>PostalCode</t>
  </si>
  <si>
    <t>City</t>
  </si>
  <si>
    <t>County</t>
  </si>
  <si>
    <t>UseFor</t>
  </si>
  <si>
    <t>EmailAddress</t>
  </si>
  <si>
    <t>HireDate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</si>
  <si>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</si>
  <si>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</si>
  <si>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</si>
  <si>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</si>
  <si>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</si>
  <si>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</si>
  <si>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</si>
  <si>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ScheduledWeeklyHours</t>
  </si>
  <si>
    <t>AdditionalJobClassifications</t>
  </si>
  <si>
    <t>WorkShift</t>
  </si>
  <si>
    <t>EndEmploymentDate</t>
  </si>
  <si>
    <t>ProbationEndDate</t>
  </si>
  <si>
    <t>Comments</t>
  </si>
  <si>
    <t>CostCenter</t>
  </si>
  <si>
    <t>DepartmentSection</t>
  </si>
  <si>
    <t>ProposedPayGroupFinal</t>
  </si>
  <si>
    <t>MainJob</t>
  </si>
  <si>
    <t>Pensioner</t>
  </si>
  <si>
    <t>Carer</t>
  </si>
  <si>
    <t>ContractID</t>
  </si>
  <si>
    <t>ContractType</t>
  </si>
  <si>
    <t>Status</t>
  </si>
  <si>
    <t>DateEmployeeSigned</t>
  </si>
  <si>
    <t>DateEmployerSigned</t>
  </si>
  <si>
    <t>ContractEndDate</t>
  </si>
  <si>
    <t>Country1</t>
  </si>
  <si>
    <t>NationalIDType1</t>
  </si>
  <si>
    <t>AddEditID1</t>
  </si>
  <si>
    <t>IssuedDate1</t>
  </si>
  <si>
    <t>ExpirationDate1</t>
  </si>
  <si>
    <t>Country2</t>
  </si>
  <si>
    <t>NationalIDType2</t>
  </si>
  <si>
    <t>AddEditID2</t>
  </si>
  <si>
    <t>IssuedDate2</t>
  </si>
  <si>
    <t>ExpirationDate2</t>
  </si>
  <si>
    <t>Salary</t>
  </si>
  <si>
    <t>Gender</t>
  </si>
  <si>
    <t>DateOfBirth</t>
  </si>
  <si>
    <t>CountryOfBirth</t>
  </si>
  <si>
    <t>CityOfBirth</t>
  </si>
  <si>
    <t>MaritalStatus</t>
  </si>
  <si>
    <t>MaritalStatusDate</t>
  </si>
  <si>
    <t>CitizenshipStatus</t>
  </si>
  <si>
    <t>PrimaryNationality</t>
  </si>
  <si>
    <t>Disability</t>
  </si>
  <si>
    <t>DisabilityDegree</t>
  </si>
  <si>
    <t>BankName</t>
  </si>
  <si>
    <t>BankIdentificationCode</t>
  </si>
  <si>
    <t>AccountType</t>
  </si>
  <si>
    <t>AccountNumber</t>
  </si>
  <si>
    <t>IBAN</t>
  </si>
  <si>
    <t>AccountNickname</t>
  </si>
  <si>
    <t>BankName2</t>
  </si>
  <si>
    <t>BankIdentificationCode2</t>
  </si>
  <si>
    <t>AccountType2</t>
  </si>
  <si>
    <t>AccountNumber2</t>
  </si>
  <si>
    <t>IBAN2</t>
  </si>
  <si>
    <t>AccountNickname2</t>
  </si>
  <si>
    <t>PaymentType</t>
  </si>
  <si>
    <t>Account</t>
  </si>
  <si>
    <t>Percent</t>
  </si>
  <si>
    <t>NameType</t>
  </si>
  <si>
    <t>NameType2</t>
  </si>
  <si>
    <t>GivenName1</t>
  </si>
  <si>
    <t>FamilyName1</t>
  </si>
  <si>
    <t>Relationship1</t>
  </si>
  <si>
    <t>DependentName1</t>
  </si>
  <si>
    <t>DependentPlaceofBirth1</t>
  </si>
  <si>
    <t>DependentDateofBirth1</t>
  </si>
  <si>
    <t>DependentMothersMaidenName1</t>
  </si>
  <si>
    <t>DependentTaxID1</t>
  </si>
  <si>
    <t>DependentSocialSecurityNumber1</t>
  </si>
  <si>
    <t>TC020</t>
  </si>
  <si>
    <t>10699308</t>
  </si>
  <si>
    <t>Passed</t>
  </si>
  <si>
    <t>970 Recruitment (Hungary PCManager (10698631))</t>
  </si>
  <si>
    <t>Hungary</t>
  </si>
  <si>
    <t>PayslipRerunRunNew</t>
  </si>
  <si>
    <t>HUEToE</t>
  </si>
  <si>
    <t>(061)2123123</t>
  </si>
  <si>
    <t>Mobile</t>
  </si>
  <si>
    <t>Home</t>
  </si>
  <si>
    <t>Automation Street Name</t>
  </si>
  <si>
    <t>B</t>
  </si>
  <si>
    <t>Csabai Kapu</t>
  </si>
  <si>
    <t>F</t>
  </si>
  <si>
    <t>123</t>
  </si>
  <si>
    <t>1046</t>
  </si>
  <si>
    <t>Budapest</t>
  </si>
  <si>
    <t>Street Address</t>
  </si>
  <si>
    <t>automation@qe.com</t>
  </si>
  <si>
    <t>New Hire</t>
  </si>
  <si>
    <t>N/A</t>
  </si>
  <si>
    <t>Permanent</t>
  </si>
  <si>
    <t>Retail Assistant_NEW</t>
  </si>
  <si>
    <t>Part Time</t>
  </si>
  <si>
    <t>IRREGULAR - Irregular Shift Pattern (Hungary Regular &amp; Irregular Shift Pattern-Hungary)</t>
  </si>
  <si>
    <t>5 Days</t>
  </si>
  <si>
    <t>Automation Comments here….</t>
  </si>
  <si>
    <t>94 Retail Operatives </t>
  </si>
  <si>
    <t>05 Children’s Wear</t>
  </si>
  <si>
    <t>HU Monthly</t>
  </si>
  <si>
    <t>Yes</t>
  </si>
  <si>
    <t>No</t>
  </si>
  <si>
    <t xml:space="preserve">Defaulted
</t>
  </si>
  <si>
    <t>Active</t>
  </si>
  <si>
    <t>Social Security (TAJ) Number</t>
  </si>
  <si>
    <t>Tax ID Number</t>
  </si>
  <si>
    <t>9716017558</t>
  </si>
  <si>
    <t>Defaulted</t>
  </si>
  <si>
    <t>Female</t>
  </si>
  <si>
    <t>Single</t>
  </si>
  <si>
    <t>Citizen (Hungary)</t>
  </si>
  <si>
    <t>ALLAMADOSSA KEZELO KOZPONT RT.</t>
  </si>
  <si>
    <t>AKKHHUHB</t>
  </si>
  <si>
    <t>Checking</t>
  </si>
  <si>
    <t>0000000098624423</t>
  </si>
  <si>
    <t>HU93116000060000000012345676</t>
  </si>
  <si>
    <t xml:space="preserve">Payroll Bank Account </t>
  </si>
  <si>
    <t>Hungarian National Bank</t>
  </si>
  <si>
    <t>GHUNHUHAXXX</t>
  </si>
  <si>
    <t>9999999999999999</t>
  </si>
  <si>
    <t>SZEP Bank Account</t>
  </si>
  <si>
    <t>SZEP card</t>
  </si>
  <si>
    <t>Maiden</t>
  </si>
  <si>
    <t>Mother's Maiden Name</t>
  </si>
  <si>
    <t>AutoMaiden</t>
  </si>
  <si>
    <t>MaidenMothers</t>
  </si>
  <si>
    <t>Child</t>
  </si>
  <si>
    <t>ChildOne</t>
  </si>
  <si>
    <t>Mammy</t>
  </si>
  <si>
    <t>TC021</t>
  </si>
  <si>
    <t>10699301</t>
  </si>
  <si>
    <t>PayslipUUU</t>
  </si>
  <si>
    <t>A</t>
  </si>
  <si>
    <t>N</t>
  </si>
  <si>
    <t>02 Hosiery</t>
  </si>
  <si>
    <t>01/01/2000</t>
  </si>
  <si>
    <t>01/01/2040</t>
  </si>
  <si>
    <t>9716017553</t>
  </si>
  <si>
    <t>MaidenAuto</t>
  </si>
  <si>
    <t>TC022</t>
  </si>
  <si>
    <t>10699304</t>
  </si>
  <si>
    <t>PayslipVVV</t>
  </si>
  <si>
    <t>REGULAR - Regular Shift Pattern (Hungary Regular &amp; Irregular Shift Pattern-Hungary)</t>
  </si>
  <si>
    <t>01 Accessories</t>
  </si>
  <si>
    <t>9716017555</t>
  </si>
  <si>
    <t>TC023</t>
  </si>
  <si>
    <t>PayslipWRerun</t>
  </si>
  <si>
    <t>Full Time</t>
  </si>
  <si>
    <t>04 Lingerie</t>
  </si>
  <si>
    <t>9716017556</t>
  </si>
  <si>
    <t>Male</t>
  </si>
  <si>
    <t>TC024</t>
  </si>
  <si>
    <t>10699312</t>
  </si>
  <si>
    <t>PayslipXXXXx</t>
  </si>
  <si>
    <t>Fixed Term (Fixed Term)</t>
  </si>
  <si>
    <t>11 Household</t>
  </si>
  <si>
    <t>9716017557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</si>
</sst>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indexed="8"/>
      <name val="Calibri"/>
      <family val="2"/>
    </font>
    <font>
      <sz val="11"/>
      <name val="Calibri"/>
      <family val="2"/>
      <scheme val="minor"/>
    </font>
    <font>
      <u/>
      <sz val="11"/>
      <name val="Calibri"/>
      <family val="2"/>
      <scheme val="minor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9">
    <xf numFmtId="0" fontId="0" fillId="0" borderId="0" xfId="0"/>
    <xf numFmtId="49" fontId="0" fillId="0" borderId="0" xfId="0" applyNumberFormat="1"/>
    <xf numFmtId="0" fontId="1" fillId="0" borderId="0" xfId="0" applyFont="1"/>
    <xf numFmtId="0" fontId="1" fillId="2" borderId="1" xfId="0" applyFont="1" applyFill="1" applyBorder="1"/>
    <xf numFmtId="0" fontId="1" fillId="2" borderId="1" xfId="0" applyFont="1" applyFill="1" applyBorder="1" applyAlignment="1">
      <alignment wrapText="1"/>
    </xf>
    <xf numFmtId="0" fontId="2" fillId="3" borderId="1" xfId="0" applyFont="1" applyFill="1" applyBorder="1"/>
    <xf numFmtId="0" fontId="3" fillId="2" borderId="1" xfId="0" applyFont="1" applyFill="1" applyBorder="1" applyAlignment="1">
      <alignment horizontal="left"/>
    </xf>
    <xf numFmtId="0" fontId="1" fillId="3" borderId="1" xfId="0" applyFont="1" applyFill="1" applyBorder="1"/>
    <xf numFmtId="0" fontId="3" fillId="2" borderId="1" xfId="0" applyFont="1" applyFill="1" applyBorder="1" applyAlignment="1" applyProtection="1">
      <alignment horizontal="left"/>
      <protection locked="0"/>
    </xf>
    <xf numFmtId="14" fontId="2" fillId="0" borderId="1" xfId="0" applyNumberFormat="1" applyFont="1" applyBorder="1" applyAlignment="1">
      <alignment horizontal="left"/>
    </xf>
    <xf numFmtId="0" fontId="3" fillId="2" borderId="1" xfId="0" applyFont="1" applyFill="1" applyBorder="1" applyProtection="1">
      <protection locked="0"/>
    </xf>
    <xf numFmtId="0" fontId="1" fillId="2" borderId="1" xfId="0" applyFont="1" applyFill="1" applyBorder="1" applyAlignment="1" applyProtection="1">
      <alignment horizontal="left" vertical="top"/>
      <protection locked="0"/>
    </xf>
    <xf numFmtId="0" fontId="3" fillId="2" borderId="1" xfId="0" applyFont="1" applyFill="1" applyBorder="1" applyAlignment="1">
      <alignment horizontal="center"/>
    </xf>
    <xf numFmtId="164" fontId="3" fillId="2" borderId="1" xfId="0" applyNumberFormat="1" applyFont="1" applyFill="1" applyBorder="1" applyAlignment="1" applyProtection="1">
      <alignment horizontal="left"/>
      <protection locked="0"/>
    </xf>
    <xf numFmtId="14" fontId="3" fillId="2" borderId="1" xfId="0" applyNumberFormat="1" applyFont="1" applyFill="1" applyBorder="1" applyAlignment="1">
      <alignment horizontal="left"/>
    </xf>
    <xf numFmtId="0" fontId="4" fillId="2" borderId="1" xfId="0" applyFont="1" applyFill="1" applyBorder="1" applyProtection="1">
      <protection locked="0"/>
    </xf>
    <xf numFmtId="14" fontId="2" fillId="3" borderId="1" xfId="0" applyNumberFormat="1" applyFont="1" applyFill="1" applyBorder="1" applyAlignment="1">
      <alignment horizontal="left"/>
    </xf>
    <xf numFmtId="0" fontId="3" fillId="3" borderId="1" xfId="0" applyFont="1" applyFill="1" applyBorder="1"/>
    <xf numFmtId="0" fontId="5" fillId="3" borderId="1" xfId="0" applyFont="1" applyFill="1" applyBorder="1"/>
    <xf numFmtId="0" fontId="3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14" fontId="2" fillId="2" borderId="1" xfId="0" applyNumberFormat="1" applyFont="1" applyFill="1" applyBorder="1" applyAlignment="1">
      <alignment horizontal="left"/>
    </xf>
    <xf numFmtId="0" fontId="5" fillId="2" borderId="1" xfId="0" applyFont="1" applyFill="1" applyBorder="1"/>
    <xf numFmtId="0" fontId="5" fillId="0" borderId="1" xfId="0" applyFont="1" applyBorder="1"/>
    <xf numFmtId="14" fontId="1" fillId="2" borderId="1" xfId="0" applyNumberFormat="1" applyFont="1" applyFill="1" applyBorder="1"/>
    <xf numFmtId="14" fontId="2" fillId="2" borderId="1" xfId="0" applyNumberFormat="1" applyFont="1" applyFill="1" applyBorder="1"/>
    <xf numFmtId="49" fontId="5" fillId="3" borderId="1" xfId="0" applyNumberFormat="1" applyFont="1" applyFill="1" applyBorder="1"/>
    <xf numFmtId="14" fontId="5" fillId="3" borderId="1" xfId="0" applyNumberFormat="1" applyFont="1" applyFill="1" applyBorder="1"/>
    <xf numFmtId="0" fontId="6" fillId="2" borderId="1" xfId="0" applyFont="1" applyFill="1" applyBorder="1" applyAlignment="1">
      <alignment horizontal="left"/>
    </xf>
    <xf numFmtId="0" fontId="3" fillId="2" borderId="1" xfId="0" applyFont="1" applyFill="1" applyBorder="1"/>
    <xf numFmtId="15" fontId="3" fillId="2" borderId="1" xfId="0" applyNumberFormat="1" applyFont="1" applyFill="1" applyBorder="1"/>
    <xf numFmtId="49" fontId="3" fillId="2" borderId="1" xfId="0" applyNumberFormat="1" applyFont="1" applyFill="1" applyBorder="1" applyAlignment="1" applyProtection="1">
      <alignment horizontal="left"/>
      <protection locked="0"/>
    </xf>
    <xf numFmtId="1" fontId="3" fillId="2" borderId="1" xfId="0" applyNumberFormat="1" applyFont="1" applyFill="1" applyBorder="1" applyAlignment="1" applyProtection="1">
      <alignment horizontal="left"/>
      <protection locked="0"/>
    </xf>
    <xf numFmtId="14" fontId="3" fillId="3" borderId="1" xfId="0" applyNumberFormat="1" applyFont="1" applyFill="1" applyBorder="1" applyAlignment="1" applyProtection="1">
      <alignment horizontal="left" wrapText="1"/>
      <protection locked="0"/>
    </xf>
    <xf numFmtId="14" fontId="5" fillId="3" borderId="1" xfId="0" applyNumberFormat="1" applyFont="1" applyFill="1" applyBorder="1" applyAlignment="1">
      <alignment horizontal="left"/>
    </xf>
    <xf numFmtId="1" fontId="3" fillId="3" borderId="1" xfId="0" applyNumberFormat="1" applyFont="1" applyFill="1" applyBorder="1" applyAlignment="1" applyProtection="1">
      <alignment horizontal="left"/>
      <protection locked="0"/>
    </xf>
    <xf numFmtId="0" fontId="7" fillId="0" borderId="1" xfId="0" applyFont="1" applyBorder="1" applyAlignment="1">
      <alignment vertical="top" wrapText="1"/>
    </xf>
    <xf numFmtId="0" fontId="7" fillId="4" borderId="1" xfId="0" applyFont="1" applyFill="1" applyBorder="1" applyAlignment="1">
      <alignment horizontal="left" vertical="top"/>
    </xf>
    <xf numFmtId="0" fontId="7" fillId="0" borderId="1" xfId="0" applyFont="1" applyBorder="1"/>
    <xf numFmtId="0" fontId="7" fillId="0" borderId="1" xfId="0" applyFont="1" applyBorder="1" applyAlignment="1" applyProtection="1">
      <alignment horizontal="left" vertical="top"/>
      <protection locked="0"/>
    </xf>
    <xf numFmtId="14" fontId="7" fillId="0" borderId="1" xfId="0" applyNumberFormat="1" applyFont="1" applyBorder="1" applyAlignment="1">
      <alignment horizontal="left" vertical="top"/>
    </xf>
    <xf numFmtId="164" fontId="7" fillId="0" borderId="1" xfId="0" applyNumberFormat="1" applyFont="1" applyBorder="1" applyAlignment="1" applyProtection="1">
      <alignment horizontal="left" vertical="top"/>
      <protection locked="0"/>
    </xf>
    <xf numFmtId="0" fontId="8" fillId="0" borderId="1" xfId="0" applyFont="1" applyBorder="1" applyAlignment="1" applyProtection="1">
      <alignment horizontal="left" vertical="top"/>
      <protection locked="0"/>
    </xf>
    <xf numFmtId="49" fontId="7" fillId="3" borderId="1" xfId="0" applyNumberFormat="1" applyFont="1" applyFill="1" applyBorder="1" applyAlignment="1">
      <alignment horizontal="left" vertical="top"/>
    </xf>
    <xf numFmtId="0" fontId="9" fillId="0" borderId="1" xfId="0" applyFont="1" applyBorder="1" applyAlignment="1">
      <alignment horizontal="left" vertical="top"/>
    </xf>
    <xf numFmtId="15" fontId="7" fillId="0" borderId="1" xfId="0" applyNumberFormat="1" applyFont="1" applyBorder="1" applyAlignment="1">
      <alignment horizontal="left" vertical="top"/>
    </xf>
    <xf numFmtId="49" fontId="7" fillId="0" borderId="1" xfId="0" applyNumberFormat="1" applyFont="1" applyBorder="1" applyAlignment="1" applyProtection="1">
      <alignment horizontal="left" vertical="top"/>
      <protection locked="0"/>
    </xf>
    <xf numFmtId="1" fontId="7" fillId="0" borderId="1" xfId="0" applyNumberFormat="1" applyFont="1" applyBorder="1" applyAlignment="1" applyProtection="1">
      <alignment horizontal="left" vertical="top"/>
      <protection locked="0"/>
    </xf>
    <xf numFmtId="14" fontId="7" fillId="0" borderId="1" xfId="0" applyNumberFormat="1" applyFont="1" applyBorder="1" applyAlignment="1" applyProtection="1">
      <alignment horizontal="left" vertical="top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utomation@qe.com" TargetMode="External"/><Relationship Id="rId2" Type="http://schemas.openxmlformats.org/officeDocument/2006/relationships/hyperlink" Target="mailto:automation@qe.com" TargetMode="External"/><Relationship Id="rId1" Type="http://schemas.openxmlformats.org/officeDocument/2006/relationships/hyperlink" Target="mailto:automation@qe.com" TargetMode="External"/><Relationship Id="rId5" Type="http://schemas.openxmlformats.org/officeDocument/2006/relationships/hyperlink" Target="mailto:automation@qe.com" TargetMode="External"/><Relationship Id="rId4" Type="http://schemas.openxmlformats.org/officeDocument/2006/relationships/hyperlink" Target="mailto:automation@q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U6"/>
  <sheetViews>
    <sheetView tabSelected="1" zoomScale="55" zoomScaleNormal="55" workbookViewId="0">
      <selection activeCell="D17" sqref="D17"/>
    </sheetView>
  </sheetViews>
  <sheetFormatPr defaultColWidth="8.7265625" defaultRowHeight="14.5" customHeight="1" x14ac:dyDescent="0.35"/>
  <cols>
    <col min="1" max="2" width="10.90625" customWidth="1"/>
    <col min="3" max="3" width="9.6328125" customWidth="1"/>
    <col min="4" max="4" width="44.7265625" customWidth="1"/>
    <col min="5" max="5" width="8" customWidth="1"/>
    <col min="6" max="6" width="10.90625" customWidth="1"/>
    <col min="7" max="7" width="11.26953125" customWidth="1"/>
    <col min="8" max="8" width="13.36328125" customWidth="1"/>
    <col min="9" max="9" width="11.81640625" customWidth="1"/>
    <col min="10" max="10" width="5.81640625" customWidth="1"/>
    <col min="11" max="11" width="12.08984375" customWidth="1"/>
    <col min="12" max="12" width="8" customWidth="1"/>
    <col min="13" max="13" width="21.7265625" customWidth="1"/>
    <col min="14" max="14" width="14.7265625" customWidth="1"/>
    <col min="15" max="15" width="17.81640625" customWidth="1"/>
    <col min="16" max="16" width="16.7265625" customWidth="1"/>
    <col min="17" max="17" width="13.36328125" customWidth="1"/>
    <col min="18" max="18" width="10.26953125" customWidth="1"/>
    <col min="19" max="20" width="8.7265625" customWidth="1"/>
    <col min="21" max="21" width="5.81640625" customWidth="1"/>
    <col min="22" max="22" width="13" customWidth="1"/>
    <col min="23" max="23" width="18.81640625" customWidth="1"/>
    <col min="24" max="24" width="5.81640625" customWidth="1"/>
    <col min="25" max="25" width="11" customWidth="1"/>
    <col min="26" max="26" width="8.453125" customWidth="1"/>
    <col min="27" max="27" width="7.7265625" customWidth="1"/>
    <col min="28" max="28" width="21.1796875" customWidth="1"/>
    <col min="29" max="29" width="19.1796875" customWidth="1"/>
    <col min="30" max="30" width="9.08984375" customWidth="1"/>
    <col min="31" max="31" width="8" customWidth="1"/>
    <col min="32" max="32" width="11.6328125" customWidth="1"/>
    <col min="33" max="33" width="20.81640625" customWidth="1"/>
    <col min="34" max="34" width="75.36328125" customWidth="1"/>
    <col min="35" max="35" width="9.36328125" customWidth="1"/>
    <col min="36" max="36" width="18.90625" customWidth="1"/>
    <col min="37" max="37" width="16.453125" customWidth="1"/>
    <col min="38" max="38" width="26.7265625" customWidth="1"/>
    <col min="39" max="39" width="18.81640625" customWidth="1"/>
    <col min="40" max="40" width="19.1796875" customWidth="1"/>
    <col min="41" max="41" width="21.26953125" customWidth="1"/>
    <col min="42" max="42" width="7.90625" customWidth="1"/>
    <col min="43" max="43" width="9.36328125" customWidth="1"/>
    <col min="44" max="44" width="5.54296875" customWidth="1"/>
    <col min="45" max="45" width="6.90625" customWidth="1"/>
    <col min="46" max="46" width="10.08984375" customWidth="1"/>
    <col min="47" max="47" width="21.1796875" customWidth="1"/>
    <col min="48" max="48" width="6.08984375" customWidth="1"/>
    <col min="49" max="49" width="18.90625" customWidth="1"/>
    <col min="50" max="50" width="18.6328125" customWidth="1"/>
    <col min="51" max="51" width="15.36328125" customWidth="1"/>
    <col min="52" max="52" width="8.7265625" customWidth="1"/>
    <col min="53" max="53" width="24.90625" customWidth="1"/>
    <col min="54" max="54" width="10.6328125" customWidth="1"/>
    <col min="55" max="55" width="11.1796875" customWidth="1"/>
    <col min="56" max="56" width="14.54296875" customWidth="1"/>
    <col min="57" max="57" width="8.7265625" customWidth="1"/>
    <col min="58" max="58" width="14.81640625" customWidth="1"/>
    <col min="59" max="59" width="11.54296875" style="1" customWidth="1"/>
    <col min="60" max="60" width="11.1796875" customWidth="1"/>
    <col min="61" max="61" width="14.54296875" customWidth="1"/>
    <col min="62" max="62" width="9.08984375" customWidth="1"/>
    <col min="63" max="63" width="7.1796875" customWidth="1"/>
    <col min="64" max="64" width="11" customWidth="1"/>
    <col min="65" max="65" width="13.90625" customWidth="1"/>
    <col min="66" max="66" width="10.1796875" customWidth="1"/>
    <col min="67" max="67" width="12.1796875" customWidth="1"/>
    <col min="68" max="68" width="16.26953125" customWidth="1"/>
    <col min="69" max="69" width="15.36328125" customWidth="1"/>
    <col min="70" max="70" width="16.7265625" customWidth="1"/>
    <col min="71" max="71" width="8.453125" customWidth="1"/>
    <col min="72" max="72" width="14.7265625" customWidth="1"/>
    <col min="73" max="73" width="31.81640625" customWidth="1"/>
    <col min="74" max="74" width="20.6328125" customWidth="1"/>
    <col min="75" max="75" width="11.6328125" customWidth="1"/>
    <col min="76" max="76" width="18.26953125" customWidth="1"/>
    <col min="77" max="77" width="31.7265625" customWidth="1"/>
    <col min="78" max="78" width="19.453125" customWidth="1"/>
    <col min="79" max="79" width="22.36328125" customWidth="1"/>
    <col min="80" max="80" width="21.7265625" customWidth="1"/>
    <col min="81" max="81" width="12.6328125" customWidth="1"/>
    <col min="82" max="82" width="18.26953125" customWidth="1"/>
    <col min="83" max="83" width="31.7265625" customWidth="1"/>
    <col min="84" max="84" width="17.08984375" customWidth="1"/>
    <col min="85" max="85" width="12.36328125" customWidth="1"/>
    <col min="86" max="86" width="16.6328125" customWidth="1"/>
    <col min="87" max="87" width="7.453125" customWidth="1"/>
    <col min="88" max="88" width="9.90625" customWidth="1"/>
    <col min="89" max="89" width="20.7265625" customWidth="1"/>
    <col min="90" max="90" width="8" customWidth="1"/>
    <col min="91" max="91" width="11.81640625" customWidth="1"/>
    <col min="92" max="92" width="14.54296875" customWidth="1"/>
    <col min="93" max="93" width="12.26953125" customWidth="1"/>
    <col min="94" max="94" width="16.6328125" customWidth="1"/>
    <col min="95" max="95" width="21.81640625" customWidth="1"/>
    <col min="96" max="96" width="21.54296875" customWidth="1"/>
    <col min="97" max="97" width="30.36328125" customWidth="1"/>
    <col min="98" max="98" width="16.08984375" customWidth="1"/>
    <col min="99" max="99" width="30.26953125" customWidth="1"/>
  </cols>
  <sheetData>
    <row r="1" spans="1:99" s="2" customFormat="1" ht="14.5" customHeight="1" x14ac:dyDescent="0.25">
      <c r="A1" s="3" t="s">
        <v>0</v>
      </c>
      <c r="B1" s="4" t="s">
        <v>1</v>
      </c>
      <c r="C1" s="3" t="s">
        <v>2</v>
      </c>
      <c r="D1" s="5" t="s">
        <v>3</v>
      </c>
      <c r="E1" s="6" t="s">
        <v>4</v>
      </c>
      <c r="F1" s="7" t="s">
        <v>5</v>
      </c>
      <c r="G1" s="7" t="s">
        <v>6</v>
      </c>
      <c r="H1" s="8" t="s">
        <v>7</v>
      </c>
      <c r="I1" s="8" t="s">
        <v>8</v>
      </c>
      <c r="J1" s="8" t="s">
        <v>9</v>
      </c>
      <c r="K1" s="9" t="s">
        <v>10</v>
      </c>
      <c r="L1" s="6" t="s">
        <v>4</v>
      </c>
      <c r="M1" s="10" t="s">
        <v>11</v>
      </c>
      <c r="N1" s="8" t="s">
        <v>12</v>
      </c>
      <c r="O1" s="11" t="s">
        <v>13</v>
      </c>
      <c r="P1" s="12" t="s">
        <v>14</v>
      </c>
      <c r="Q1" s="8" t="s">
        <v>15</v>
      </c>
      <c r="R1" s="8" t="s">
        <v>16</v>
      </c>
      <c r="S1" s="13" t="s">
        <v>17</v>
      </c>
      <c r="T1" s="13" t="s">
        <v>18</v>
      </c>
      <c r="U1" s="8" t="s">
        <v>9</v>
      </c>
      <c r="V1" s="14" t="s">
        <v>19</v>
      </c>
      <c r="W1" s="15" t="s">
        <v>20</v>
      </c>
      <c r="X1" s="8" t="s">
        <v>9</v>
      </c>
      <c r="Y1" s="16" t="s">
        <v>21</v>
      </c>
      <c r="Z1" s="8" t="s">
        <v>22</v>
      </c>
      <c r="AA1" s="14" t="s">
        <v>23</v>
      </c>
      <c r="AB1" s="17" t="s">
        <v>24</v>
      </c>
      <c r="AC1" s="17" t="s">
        <v>25</v>
      </c>
      <c r="AD1" s="17" t="s">
        <v>26</v>
      </c>
      <c r="AE1" s="6" t="s">
        <v>27</v>
      </c>
      <c r="AF1" s="6" t="s">
        <v>28</v>
      </c>
      <c r="AG1" s="17" t="s">
        <v>29</v>
      </c>
      <c r="AH1" s="18" t="s">
        <v>30</v>
      </c>
      <c r="AI1" s="19" t="s">
        <v>31</v>
      </c>
      <c r="AJ1" s="20" t="s">
        <v>32</v>
      </c>
      <c r="AK1" s="21" t="s">
        <v>33</v>
      </c>
      <c r="AL1" s="8" t="s">
        <v>34</v>
      </c>
      <c r="AM1" s="18" t="s">
        <v>35</v>
      </c>
      <c r="AN1" s="17" t="s">
        <v>36</v>
      </c>
      <c r="AO1" s="8" t="s">
        <v>37</v>
      </c>
      <c r="AP1" s="22" t="s">
        <v>38</v>
      </c>
      <c r="AQ1" s="8" t="s">
        <v>39</v>
      </c>
      <c r="AR1" s="23" t="s">
        <v>40</v>
      </c>
      <c r="AS1" s="14" t="s">
        <v>22</v>
      </c>
      <c r="AT1" s="8" t="s">
        <v>41</v>
      </c>
      <c r="AU1" s="18" t="s">
        <v>42</v>
      </c>
      <c r="AV1" s="14" t="s">
        <v>43</v>
      </c>
      <c r="AW1" s="24" t="s">
        <v>44</v>
      </c>
      <c r="AX1" s="24" t="s">
        <v>45</v>
      </c>
      <c r="AY1" s="25" t="s">
        <v>46</v>
      </c>
      <c r="AZ1" s="13" t="s">
        <v>47</v>
      </c>
      <c r="BA1" s="13" t="s">
        <v>48</v>
      </c>
      <c r="BB1" s="18" t="s">
        <v>49</v>
      </c>
      <c r="BC1" s="14" t="s">
        <v>50</v>
      </c>
      <c r="BD1" s="14" t="s">
        <v>51</v>
      </c>
      <c r="BE1" s="13" t="s">
        <v>52</v>
      </c>
      <c r="BF1" s="13" t="s">
        <v>53</v>
      </c>
      <c r="BG1" s="26" t="s">
        <v>54</v>
      </c>
      <c r="BH1" s="14" t="s">
        <v>55</v>
      </c>
      <c r="BI1" s="14" t="s">
        <v>56</v>
      </c>
      <c r="BJ1" s="6" t="s">
        <v>57</v>
      </c>
      <c r="BK1" s="18" t="s">
        <v>58</v>
      </c>
      <c r="BL1" s="27" t="s">
        <v>59</v>
      </c>
      <c r="BM1" s="28" t="s">
        <v>60</v>
      </c>
      <c r="BN1" s="13" t="s">
        <v>61</v>
      </c>
      <c r="BO1" s="29" t="s">
        <v>62</v>
      </c>
      <c r="BP1" s="30" t="s">
        <v>63</v>
      </c>
      <c r="BQ1" s="13" t="s">
        <v>64</v>
      </c>
      <c r="BR1" s="13" t="s">
        <v>65</v>
      </c>
      <c r="BS1" s="18" t="s">
        <v>66</v>
      </c>
      <c r="BT1" s="18" t="s">
        <v>67</v>
      </c>
      <c r="BU1" s="29" t="s">
        <v>68</v>
      </c>
      <c r="BV1" s="29" t="s">
        <v>69</v>
      </c>
      <c r="BW1" s="13" t="s">
        <v>70</v>
      </c>
      <c r="BX1" s="31" t="s">
        <v>71</v>
      </c>
      <c r="BY1" s="13" t="s">
        <v>72</v>
      </c>
      <c r="BZ1" s="13" t="s">
        <v>73</v>
      </c>
      <c r="CA1" s="13" t="s">
        <v>74</v>
      </c>
      <c r="CB1" s="13" t="s">
        <v>75</v>
      </c>
      <c r="CC1" s="31" t="s">
        <v>76</v>
      </c>
      <c r="CD1" s="8" t="s">
        <v>77</v>
      </c>
      <c r="CE1" s="13" t="s">
        <v>78</v>
      </c>
      <c r="CF1" s="13" t="s">
        <v>79</v>
      </c>
      <c r="CG1" s="13" t="s">
        <v>80</v>
      </c>
      <c r="CH1" s="13" t="s">
        <v>81</v>
      </c>
      <c r="CI1" s="32" t="s">
        <v>82</v>
      </c>
      <c r="CJ1" s="13" t="s">
        <v>83</v>
      </c>
      <c r="CK1" s="13" t="s">
        <v>84</v>
      </c>
      <c r="CL1" s="13" t="s">
        <v>4</v>
      </c>
      <c r="CM1" s="13" t="s">
        <v>85</v>
      </c>
      <c r="CN1" s="13" t="s">
        <v>86</v>
      </c>
      <c r="CO1" s="18" t="s">
        <v>87</v>
      </c>
      <c r="CP1" s="18" t="s">
        <v>88</v>
      </c>
      <c r="CQ1" s="33" t="s">
        <v>89</v>
      </c>
      <c r="CR1" s="34" t="s">
        <v>90</v>
      </c>
      <c r="CS1" s="18" t="s">
        <v>91</v>
      </c>
      <c r="CT1" s="35" t="s">
        <v>92</v>
      </c>
      <c r="CU1" s="35" t="s">
        <v>93</v>
      </c>
    </row>
    <row r="2" spans="1:99" ht="14.5" customHeight="1" x14ac:dyDescent="0.35">
      <c r="A2" s="36" t="s">
        <v>94</v>
      </c>
      <c r="B2" s="37" t="s">
        <v>95</v>
      </c>
      <c r="C2" s="37" t="s">
        <v>96</v>
      </c>
      <c r="D2" s="37" t="s">
        <v>97</v>
      </c>
      <c r="E2" s="37" t="s">
        <v>98</v>
      </c>
      <c r="F2" s="38" t="s">
        <v>99</v>
      </c>
      <c r="G2" s="38" t="s">
        <v>100</v>
      </c>
      <c r="H2" s="39" t="s">
        <v>101</v>
      </c>
      <c r="I2" s="39" t="s">
        <v>102</v>
      </c>
      <c r="J2" s="39" t="s">
        <v>103</v>
      </c>
      <c r="K2" s="40">
        <f t="shared" ref="K2:K6" si="0">Y2</f>
        <v>45292</v>
      </c>
      <c r="L2" s="37" t="s">
        <v>98</v>
      </c>
      <c r="M2" s="39" t="s">
        <v>104</v>
      </c>
      <c r="N2" s="39" t="s">
        <v>105</v>
      </c>
      <c r="O2" s="39" t="s">
        <v>106</v>
      </c>
      <c r="P2" s="37" t="s">
        <v>107</v>
      </c>
      <c r="Q2" s="39" t="s">
        <v>108</v>
      </c>
      <c r="R2" s="39" t="s">
        <v>109</v>
      </c>
      <c r="S2" s="41" t="s">
        <v>110</v>
      </c>
      <c r="T2" s="41" t="s">
        <v>110</v>
      </c>
      <c r="U2" s="39" t="s">
        <v>103</v>
      </c>
      <c r="V2" s="40" t="s">
        <v>111</v>
      </c>
      <c r="W2" s="42" t="s">
        <v>112</v>
      </c>
      <c r="X2" s="39" t="s">
        <v>103</v>
      </c>
      <c r="Y2" s="40">
        <v>45292</v>
      </c>
      <c r="Z2" s="39" t="s">
        <v>113</v>
      </c>
      <c r="AA2" s="40" t="s">
        <v>114</v>
      </c>
      <c r="AB2" s="37" t="s">
        <v>115</v>
      </c>
      <c r="AC2" s="37" t="s">
        <v>116</v>
      </c>
      <c r="AD2" s="37" t="s">
        <v>117</v>
      </c>
      <c r="AE2" s="37">
        <v>970</v>
      </c>
      <c r="AF2" s="37" t="s">
        <v>57</v>
      </c>
      <c r="AG2" s="37">
        <v>15</v>
      </c>
      <c r="AH2" s="37" t="s">
        <v>118</v>
      </c>
      <c r="AI2" s="37" t="s">
        <v>119</v>
      </c>
      <c r="AJ2" s="40" t="s">
        <v>114</v>
      </c>
      <c r="AK2" s="40">
        <f t="shared" ref="AK2:AK6" si="1">Y2+90</f>
        <v>45382</v>
      </c>
      <c r="AL2" s="39" t="s">
        <v>120</v>
      </c>
      <c r="AM2" s="37" t="s">
        <v>121</v>
      </c>
      <c r="AN2" s="37" t="s">
        <v>122</v>
      </c>
      <c r="AO2" s="39" t="s">
        <v>123</v>
      </c>
      <c r="AP2" s="37" t="s">
        <v>124</v>
      </c>
      <c r="AQ2" s="39" t="s">
        <v>125</v>
      </c>
      <c r="AR2" s="37" t="s">
        <v>125</v>
      </c>
      <c r="AS2" s="40" t="s">
        <v>114</v>
      </c>
      <c r="AT2" s="39" t="s">
        <v>126</v>
      </c>
      <c r="AU2" s="37" t="str">
        <f t="shared" ref="AU2:AU6" si="2">AB2</f>
        <v>Permanent</v>
      </c>
      <c r="AV2" s="40" t="s">
        <v>127</v>
      </c>
      <c r="AW2" s="40">
        <f t="shared" ref="AW2:AW6" si="3">Y2-1</f>
        <v>45291</v>
      </c>
      <c r="AX2" s="40">
        <f t="shared" ref="AX2:AX6" si="4">Y2-1</f>
        <v>45291</v>
      </c>
      <c r="AY2" s="40" t="str">
        <f t="shared" ref="AY2:AY6" si="5">AJ2</f>
        <v>N/A</v>
      </c>
      <c r="AZ2" s="41" t="s">
        <v>98</v>
      </c>
      <c r="BA2" s="41" t="s">
        <v>128</v>
      </c>
      <c r="BB2">
        <v>958127015</v>
      </c>
      <c r="BC2" s="40">
        <v>36526</v>
      </c>
      <c r="BD2" s="40">
        <v>51136</v>
      </c>
      <c r="BE2" s="41" t="s">
        <v>98</v>
      </c>
      <c r="BF2" s="41" t="s">
        <v>129</v>
      </c>
      <c r="BG2" s="43" t="s">
        <v>130</v>
      </c>
      <c r="BH2" s="40">
        <v>36526</v>
      </c>
      <c r="BI2" s="40">
        <v>51136</v>
      </c>
      <c r="BJ2" s="37" t="s">
        <v>131</v>
      </c>
      <c r="BK2" s="37" t="s">
        <v>132</v>
      </c>
      <c r="BL2" s="40">
        <v>30803</v>
      </c>
      <c r="BM2" s="44" t="s">
        <v>98</v>
      </c>
      <c r="BN2" s="41" t="s">
        <v>110</v>
      </c>
      <c r="BO2" s="37" t="s">
        <v>133</v>
      </c>
      <c r="BP2" s="45" t="s">
        <v>114</v>
      </c>
      <c r="BQ2" s="41" t="s">
        <v>134</v>
      </c>
      <c r="BR2" s="41" t="s">
        <v>98</v>
      </c>
      <c r="BS2" s="37" t="s">
        <v>125</v>
      </c>
      <c r="BT2" s="37" t="s">
        <v>114</v>
      </c>
      <c r="BU2" s="37" t="s">
        <v>135</v>
      </c>
      <c r="BV2" s="37" t="s">
        <v>136</v>
      </c>
      <c r="BW2" s="41" t="s">
        <v>137</v>
      </c>
      <c r="BX2" s="46" t="s">
        <v>138</v>
      </c>
      <c r="BY2" s="41" t="s">
        <v>139</v>
      </c>
      <c r="BZ2" s="41" t="s">
        <v>140</v>
      </c>
      <c r="CA2" s="41" t="s">
        <v>141</v>
      </c>
      <c r="CB2" s="41" t="s">
        <v>142</v>
      </c>
      <c r="CC2" s="46" t="s">
        <v>137</v>
      </c>
      <c r="CD2" s="39" t="s">
        <v>143</v>
      </c>
      <c r="CE2" s="41" t="s">
        <v>139</v>
      </c>
      <c r="CF2" s="41" t="s">
        <v>144</v>
      </c>
      <c r="CG2" s="41" t="s">
        <v>145</v>
      </c>
      <c r="CH2" s="41" t="s">
        <v>144</v>
      </c>
      <c r="CI2" s="47">
        <v>100</v>
      </c>
      <c r="CJ2" s="41" t="s">
        <v>146</v>
      </c>
      <c r="CK2" s="41" t="s">
        <v>147</v>
      </c>
      <c r="CL2" s="41" t="s">
        <v>98</v>
      </c>
      <c r="CM2" s="41" t="s">
        <v>148</v>
      </c>
      <c r="CN2" s="41" t="s">
        <v>149</v>
      </c>
      <c r="CO2" s="37" t="s">
        <v>150</v>
      </c>
      <c r="CP2" s="37" t="s">
        <v>151</v>
      </c>
      <c r="CQ2" s="48" t="s">
        <v>110</v>
      </c>
      <c r="CR2" s="40">
        <v>45770</v>
      </c>
      <c r="CS2" s="37" t="s">
        <v>152</v>
      </c>
      <c r="CT2" s="47">
        <v>1235083</v>
      </c>
      <c r="CU2" s="47">
        <v>124456860</v>
      </c>
    </row>
    <row r="3" spans="1:99" ht="14.5" customHeight="1" x14ac:dyDescent="0.35">
      <c r="A3" s="36" t="s">
        <v>153</v>
      </c>
      <c r="B3" s="37" t="s">
        <v>154</v>
      </c>
      <c r="C3" s="37" t="s">
        <v>96</v>
      </c>
      <c r="D3" s="37" t="s">
        <v>97</v>
      </c>
      <c r="E3" s="37" t="s">
        <v>98</v>
      </c>
      <c r="F3" s="38" t="s">
        <v>155</v>
      </c>
      <c r="G3" s="38" t="s">
        <v>100</v>
      </c>
      <c r="H3" s="39" t="s">
        <v>101</v>
      </c>
      <c r="I3" s="39" t="s">
        <v>102</v>
      </c>
      <c r="J3" s="39" t="s">
        <v>103</v>
      </c>
      <c r="K3" s="40">
        <f t="shared" si="0"/>
        <v>45292</v>
      </c>
      <c r="L3" s="37" t="s">
        <v>98</v>
      </c>
      <c r="M3" s="39" t="s">
        <v>104</v>
      </c>
      <c r="N3" s="39" t="s">
        <v>156</v>
      </c>
      <c r="O3" s="39" t="s">
        <v>106</v>
      </c>
      <c r="P3" s="37" t="s">
        <v>157</v>
      </c>
      <c r="Q3" s="39" t="s">
        <v>108</v>
      </c>
      <c r="R3" s="39" t="s">
        <v>109</v>
      </c>
      <c r="S3" s="41" t="s">
        <v>110</v>
      </c>
      <c r="T3" s="41" t="s">
        <v>110</v>
      </c>
      <c r="U3" s="39" t="s">
        <v>103</v>
      </c>
      <c r="V3" s="40" t="s">
        <v>111</v>
      </c>
      <c r="W3" s="42" t="s">
        <v>112</v>
      </c>
      <c r="X3" s="39" t="s">
        <v>103</v>
      </c>
      <c r="Y3" s="40">
        <v>45292</v>
      </c>
      <c r="Z3" s="39" t="s">
        <v>113</v>
      </c>
      <c r="AA3" s="40" t="s">
        <v>114</v>
      </c>
      <c r="AB3" s="37" t="s">
        <v>115</v>
      </c>
      <c r="AC3" s="37" t="s">
        <v>116</v>
      </c>
      <c r="AD3" s="37" t="s">
        <v>117</v>
      </c>
      <c r="AE3" s="37">
        <v>970</v>
      </c>
      <c r="AF3" s="37" t="s">
        <v>57</v>
      </c>
      <c r="AG3" s="37">
        <v>15</v>
      </c>
      <c r="AH3" s="37" t="s">
        <v>118</v>
      </c>
      <c r="AI3" s="37" t="s">
        <v>119</v>
      </c>
      <c r="AJ3" s="40" t="s">
        <v>114</v>
      </c>
      <c r="AK3" s="40">
        <f t="shared" si="1"/>
        <v>45382</v>
      </c>
      <c r="AL3" s="39" t="s">
        <v>120</v>
      </c>
      <c r="AM3" s="37" t="s">
        <v>121</v>
      </c>
      <c r="AN3" s="37" t="s">
        <v>158</v>
      </c>
      <c r="AO3" s="39" t="s">
        <v>123</v>
      </c>
      <c r="AP3" s="37" t="s">
        <v>124</v>
      </c>
      <c r="AQ3" s="39" t="s">
        <v>125</v>
      </c>
      <c r="AR3" s="37" t="s">
        <v>125</v>
      </c>
      <c r="AS3" s="40" t="s">
        <v>114</v>
      </c>
      <c r="AT3" s="39" t="s">
        <v>126</v>
      </c>
      <c r="AU3" s="37" t="str">
        <f t="shared" si="2"/>
        <v>Permanent</v>
      </c>
      <c r="AV3" s="40" t="s">
        <v>127</v>
      </c>
      <c r="AW3" s="40">
        <f t="shared" si="3"/>
        <v>45291</v>
      </c>
      <c r="AX3" s="40">
        <f t="shared" si="4"/>
        <v>45291</v>
      </c>
      <c r="AY3" s="40" t="str">
        <f t="shared" si="5"/>
        <v>N/A</v>
      </c>
      <c r="AZ3" s="41" t="s">
        <v>98</v>
      </c>
      <c r="BA3" s="41" t="s">
        <v>128</v>
      </c>
      <c r="BB3">
        <v>958127011</v>
      </c>
      <c r="BC3" s="40" t="s">
        <v>159</v>
      </c>
      <c r="BD3" s="40" t="s">
        <v>160</v>
      </c>
      <c r="BE3" s="41" t="s">
        <v>98</v>
      </c>
      <c r="BF3" s="41" t="s">
        <v>129</v>
      </c>
      <c r="BG3" s="43" t="s">
        <v>161</v>
      </c>
      <c r="BH3" s="40">
        <v>36526</v>
      </c>
      <c r="BI3" s="40">
        <v>51136</v>
      </c>
      <c r="BJ3" s="37" t="s">
        <v>131</v>
      </c>
      <c r="BK3" s="37" t="s">
        <v>132</v>
      </c>
      <c r="BL3" s="40">
        <v>30803</v>
      </c>
      <c r="BM3" s="44" t="s">
        <v>98</v>
      </c>
      <c r="BN3" s="41" t="s">
        <v>110</v>
      </c>
      <c r="BO3" s="37" t="s">
        <v>133</v>
      </c>
      <c r="BP3" s="45" t="s">
        <v>114</v>
      </c>
      <c r="BQ3" s="41" t="s">
        <v>134</v>
      </c>
      <c r="BR3" s="41" t="s">
        <v>98</v>
      </c>
      <c r="BS3" s="37" t="s">
        <v>125</v>
      </c>
      <c r="BT3" s="37" t="s">
        <v>114</v>
      </c>
      <c r="BU3" s="37" t="s">
        <v>135</v>
      </c>
      <c r="BV3" s="37" t="s">
        <v>136</v>
      </c>
      <c r="BW3" s="41" t="s">
        <v>137</v>
      </c>
      <c r="BX3" s="46" t="s">
        <v>143</v>
      </c>
      <c r="BY3" s="41" t="s">
        <v>139</v>
      </c>
      <c r="BZ3" s="41" t="s">
        <v>140</v>
      </c>
      <c r="CA3" s="41" t="s">
        <v>141</v>
      </c>
      <c r="CB3" s="41" t="s">
        <v>142</v>
      </c>
      <c r="CC3" s="46" t="s">
        <v>137</v>
      </c>
      <c r="CD3" s="39" t="s">
        <v>143</v>
      </c>
      <c r="CE3" s="41" t="s">
        <v>139</v>
      </c>
      <c r="CF3" s="41" t="s">
        <v>144</v>
      </c>
      <c r="CG3" s="41" t="s">
        <v>145</v>
      </c>
      <c r="CH3" s="41" t="s">
        <v>144</v>
      </c>
      <c r="CI3" s="47">
        <v>100</v>
      </c>
      <c r="CJ3" s="41" t="s">
        <v>146</v>
      </c>
      <c r="CK3" s="41" t="s">
        <v>147</v>
      </c>
      <c r="CL3" s="41" t="s">
        <v>98</v>
      </c>
      <c r="CM3" s="41" t="s">
        <v>162</v>
      </c>
      <c r="CN3" s="41" t="s">
        <v>149</v>
      </c>
      <c r="CO3" s="37" t="s">
        <v>150</v>
      </c>
      <c r="CP3" s="37" t="s">
        <v>151</v>
      </c>
      <c r="CQ3" s="48" t="s">
        <v>110</v>
      </c>
      <c r="CR3" s="40">
        <v>45770</v>
      </c>
      <c r="CS3" s="37" t="s">
        <v>152</v>
      </c>
      <c r="CT3" s="47">
        <v>1235084</v>
      </c>
      <c r="CU3" s="47">
        <v>124456861</v>
      </c>
    </row>
    <row r="4" spans="1:99" ht="14.5" customHeight="1" x14ac:dyDescent="0.35">
      <c r="A4" s="36" t="s">
        <v>163</v>
      </c>
      <c r="B4" s="37" t="s">
        <v>164</v>
      </c>
      <c r="C4" s="37" t="s">
        <v>96</v>
      </c>
      <c r="D4" s="37" t="s">
        <v>97</v>
      </c>
      <c r="E4" s="37" t="s">
        <v>98</v>
      </c>
      <c r="F4" s="38" t="s">
        <v>165</v>
      </c>
      <c r="G4" s="38" t="s">
        <v>100</v>
      </c>
      <c r="H4" s="39" t="s">
        <v>101</v>
      </c>
      <c r="I4" s="39" t="s">
        <v>102</v>
      </c>
      <c r="J4" s="39" t="s">
        <v>103</v>
      </c>
      <c r="K4" s="40">
        <f t="shared" si="0"/>
        <v>45292</v>
      </c>
      <c r="L4" s="37" t="s">
        <v>98</v>
      </c>
      <c r="M4" s="39" t="s">
        <v>104</v>
      </c>
      <c r="N4" s="39" t="s">
        <v>156</v>
      </c>
      <c r="O4" s="39" t="s">
        <v>106</v>
      </c>
      <c r="P4" s="37" t="s">
        <v>157</v>
      </c>
      <c r="Q4" s="39" t="s">
        <v>108</v>
      </c>
      <c r="R4" s="39" t="s">
        <v>109</v>
      </c>
      <c r="S4" s="41" t="s">
        <v>110</v>
      </c>
      <c r="T4" s="41" t="s">
        <v>110</v>
      </c>
      <c r="U4" s="39" t="s">
        <v>103</v>
      </c>
      <c r="V4" s="40" t="s">
        <v>111</v>
      </c>
      <c r="W4" s="42" t="s">
        <v>112</v>
      </c>
      <c r="X4" s="39" t="s">
        <v>103</v>
      </c>
      <c r="Y4" s="40">
        <v>45292</v>
      </c>
      <c r="Z4" s="39" t="s">
        <v>113</v>
      </c>
      <c r="AA4" s="40" t="s">
        <v>114</v>
      </c>
      <c r="AB4" s="37" t="s">
        <v>115</v>
      </c>
      <c r="AC4" s="37" t="s">
        <v>116</v>
      </c>
      <c r="AD4" s="37" t="s">
        <v>117</v>
      </c>
      <c r="AE4" s="37">
        <v>970</v>
      </c>
      <c r="AF4" s="37" t="s">
        <v>57</v>
      </c>
      <c r="AG4" s="37">
        <v>15</v>
      </c>
      <c r="AH4" s="37" t="s">
        <v>166</v>
      </c>
      <c r="AI4" s="37" t="s">
        <v>119</v>
      </c>
      <c r="AJ4" s="40" t="s">
        <v>114</v>
      </c>
      <c r="AK4" s="40">
        <f t="shared" si="1"/>
        <v>45382</v>
      </c>
      <c r="AL4" s="39" t="s">
        <v>120</v>
      </c>
      <c r="AM4" s="37" t="s">
        <v>121</v>
      </c>
      <c r="AN4" s="37" t="s">
        <v>167</v>
      </c>
      <c r="AO4" s="39" t="s">
        <v>123</v>
      </c>
      <c r="AP4" s="37" t="s">
        <v>124</v>
      </c>
      <c r="AQ4" s="39" t="s">
        <v>125</v>
      </c>
      <c r="AR4" s="37" t="s">
        <v>125</v>
      </c>
      <c r="AS4" s="40" t="s">
        <v>114</v>
      </c>
      <c r="AT4" s="39" t="s">
        <v>126</v>
      </c>
      <c r="AU4" s="37" t="str">
        <f t="shared" si="2"/>
        <v>Permanent</v>
      </c>
      <c r="AV4" s="40" t="s">
        <v>127</v>
      </c>
      <c r="AW4" s="40">
        <f t="shared" si="3"/>
        <v>45291</v>
      </c>
      <c r="AX4" s="40">
        <f t="shared" si="4"/>
        <v>45291</v>
      </c>
      <c r="AY4" s="40" t="str">
        <f t="shared" si="5"/>
        <v>N/A</v>
      </c>
      <c r="AZ4" s="41" t="s">
        <v>98</v>
      </c>
      <c r="BA4" s="41" t="s">
        <v>128</v>
      </c>
      <c r="BB4">
        <v>958127012</v>
      </c>
      <c r="BC4" s="40" t="s">
        <v>159</v>
      </c>
      <c r="BD4" s="40" t="s">
        <v>160</v>
      </c>
      <c r="BE4" s="41" t="s">
        <v>98</v>
      </c>
      <c r="BF4" s="41" t="s">
        <v>129</v>
      </c>
      <c r="BG4" s="43" t="s">
        <v>168</v>
      </c>
      <c r="BH4" s="40">
        <v>36526</v>
      </c>
      <c r="BI4" s="40">
        <v>51136</v>
      </c>
      <c r="BJ4" s="37" t="s">
        <v>131</v>
      </c>
      <c r="BK4" s="37" t="s">
        <v>132</v>
      </c>
      <c r="BL4" s="40">
        <v>30803</v>
      </c>
      <c r="BM4" s="44" t="s">
        <v>98</v>
      </c>
      <c r="BN4" s="41" t="s">
        <v>110</v>
      </c>
      <c r="BO4" s="37" t="s">
        <v>133</v>
      </c>
      <c r="BP4" s="45" t="s">
        <v>114</v>
      </c>
      <c r="BQ4" s="41" t="s">
        <v>134</v>
      </c>
      <c r="BR4" s="41" t="s">
        <v>98</v>
      </c>
      <c r="BS4" s="37" t="s">
        <v>125</v>
      </c>
      <c r="BT4" s="37" t="s">
        <v>114</v>
      </c>
      <c r="BU4" s="37" t="s">
        <v>135</v>
      </c>
      <c r="BV4" s="37" t="s">
        <v>136</v>
      </c>
      <c r="BW4" s="41" t="s">
        <v>137</v>
      </c>
      <c r="BX4" s="46" t="s">
        <v>143</v>
      </c>
      <c r="BY4" s="41" t="s">
        <v>139</v>
      </c>
      <c r="BZ4" s="41" t="s">
        <v>140</v>
      </c>
      <c r="CA4" s="41" t="s">
        <v>141</v>
      </c>
      <c r="CB4" s="41" t="s">
        <v>142</v>
      </c>
      <c r="CC4" s="46" t="s">
        <v>137</v>
      </c>
      <c r="CD4" s="39" t="s">
        <v>143</v>
      </c>
      <c r="CE4" s="41" t="s">
        <v>139</v>
      </c>
      <c r="CF4" s="41" t="s">
        <v>144</v>
      </c>
      <c r="CG4" s="41" t="s">
        <v>145</v>
      </c>
      <c r="CH4" s="41" t="s">
        <v>144</v>
      </c>
      <c r="CI4" s="47">
        <v>100</v>
      </c>
      <c r="CJ4" s="41" t="s">
        <v>146</v>
      </c>
      <c r="CK4" s="41" t="s">
        <v>147</v>
      </c>
      <c r="CL4" s="41" t="s">
        <v>98</v>
      </c>
      <c r="CM4" s="41" t="s">
        <v>162</v>
      </c>
      <c r="CN4" s="41" t="s">
        <v>149</v>
      </c>
      <c r="CO4" s="37" t="s">
        <v>150</v>
      </c>
      <c r="CP4" s="37" t="s">
        <v>151</v>
      </c>
      <c r="CQ4" s="37" t="s">
        <v>110</v>
      </c>
      <c r="CR4" s="40">
        <v>45770</v>
      </c>
      <c r="CS4" s="37" t="s">
        <v>152</v>
      </c>
      <c r="CT4" s="47">
        <v>1235085</v>
      </c>
      <c r="CU4" s="47">
        <v>124456862</v>
      </c>
    </row>
    <row r="5" spans="1:99" ht="14.5" customHeight="1" x14ac:dyDescent="0.35">
      <c r="A5" s="36" t="s">
        <v>169</v>
      </c>
      <c r="B5" s="37">
        <v>10699314</v>
      </c>
      <c r="C5" s="37" t="s">
        <v>96</v>
      </c>
      <c r="D5" s="37" t="s">
        <v>97</v>
      </c>
      <c r="E5" s="37" t="s">
        <v>98</v>
      </c>
      <c r="F5" s="38" t="s">
        <v>170</v>
      </c>
      <c r="G5" s="38" t="s">
        <v>100</v>
      </c>
      <c r="H5" s="39" t="s">
        <v>101</v>
      </c>
      <c r="I5" s="39" t="s">
        <v>102</v>
      </c>
      <c r="J5" s="39" t="s">
        <v>103</v>
      </c>
      <c r="K5" s="40">
        <f t="shared" si="0"/>
        <v>45672</v>
      </c>
      <c r="L5" s="37" t="s">
        <v>98</v>
      </c>
      <c r="M5" s="39" t="s">
        <v>104</v>
      </c>
      <c r="N5" s="39" t="s">
        <v>105</v>
      </c>
      <c r="O5" s="39" t="s">
        <v>106</v>
      </c>
      <c r="P5" s="37" t="s">
        <v>107</v>
      </c>
      <c r="Q5" s="39" t="s">
        <v>108</v>
      </c>
      <c r="R5" s="39" t="s">
        <v>109</v>
      </c>
      <c r="S5" s="41" t="s">
        <v>110</v>
      </c>
      <c r="T5" s="41" t="s">
        <v>110</v>
      </c>
      <c r="U5" s="39" t="s">
        <v>103</v>
      </c>
      <c r="V5" s="40" t="s">
        <v>111</v>
      </c>
      <c r="W5" s="42" t="s">
        <v>112</v>
      </c>
      <c r="X5" s="39" t="s">
        <v>103</v>
      </c>
      <c r="Y5" s="40">
        <v>45672</v>
      </c>
      <c r="Z5" s="39" t="s">
        <v>113</v>
      </c>
      <c r="AA5" s="40" t="s">
        <v>114</v>
      </c>
      <c r="AB5" s="37" t="s">
        <v>115</v>
      </c>
      <c r="AC5" s="37" t="s">
        <v>116</v>
      </c>
      <c r="AD5" s="37" t="s">
        <v>171</v>
      </c>
      <c r="AE5" s="37">
        <v>970</v>
      </c>
      <c r="AF5" s="37" t="s">
        <v>57</v>
      </c>
      <c r="AG5" s="37">
        <v>40</v>
      </c>
      <c r="AH5" s="37" t="s">
        <v>118</v>
      </c>
      <c r="AI5" s="37" t="s">
        <v>119</v>
      </c>
      <c r="AJ5" s="40" t="s">
        <v>114</v>
      </c>
      <c r="AK5" s="40">
        <f t="shared" si="1"/>
        <v>45762</v>
      </c>
      <c r="AL5" s="39" t="s">
        <v>120</v>
      </c>
      <c r="AM5" s="37" t="s">
        <v>121</v>
      </c>
      <c r="AN5" s="37" t="s">
        <v>172</v>
      </c>
      <c r="AO5" s="39" t="s">
        <v>123</v>
      </c>
      <c r="AP5" s="37" t="s">
        <v>124</v>
      </c>
      <c r="AQ5" s="39" t="s">
        <v>125</v>
      </c>
      <c r="AR5" s="37" t="s">
        <v>125</v>
      </c>
      <c r="AS5" s="40" t="s">
        <v>114</v>
      </c>
      <c r="AT5" s="39" t="s">
        <v>126</v>
      </c>
      <c r="AU5" s="37" t="str">
        <f t="shared" si="2"/>
        <v>Permanent</v>
      </c>
      <c r="AV5" s="40" t="s">
        <v>127</v>
      </c>
      <c r="AW5" s="40">
        <f t="shared" si="3"/>
        <v>45671</v>
      </c>
      <c r="AX5" s="40">
        <f t="shared" si="4"/>
        <v>45671</v>
      </c>
      <c r="AY5" s="40" t="str">
        <f t="shared" si="5"/>
        <v>N/A</v>
      </c>
      <c r="AZ5" s="41" t="s">
        <v>98</v>
      </c>
      <c r="BA5" s="41" t="s">
        <v>128</v>
      </c>
      <c r="BB5">
        <v>958127013</v>
      </c>
      <c r="BC5" s="40">
        <v>36526</v>
      </c>
      <c r="BD5" s="40">
        <v>51136</v>
      </c>
      <c r="BE5" s="41" t="s">
        <v>98</v>
      </c>
      <c r="BF5" s="41" t="s">
        <v>129</v>
      </c>
      <c r="BG5" s="43" t="s">
        <v>173</v>
      </c>
      <c r="BH5" s="40">
        <v>36526</v>
      </c>
      <c r="BI5" s="40">
        <v>51136</v>
      </c>
      <c r="BJ5" s="37" t="s">
        <v>131</v>
      </c>
      <c r="BK5" s="37" t="s">
        <v>174</v>
      </c>
      <c r="BL5" s="40">
        <v>30803</v>
      </c>
      <c r="BM5" s="44" t="s">
        <v>98</v>
      </c>
      <c r="BN5" s="41" t="s">
        <v>110</v>
      </c>
      <c r="BO5" s="37" t="s">
        <v>133</v>
      </c>
      <c r="BP5" s="45" t="s">
        <v>114</v>
      </c>
      <c r="BQ5" s="41" t="s">
        <v>134</v>
      </c>
      <c r="BR5" s="41" t="s">
        <v>98</v>
      </c>
      <c r="BS5" s="37" t="s">
        <v>125</v>
      </c>
      <c r="BT5" s="37" t="s">
        <v>114</v>
      </c>
      <c r="BU5" s="37" t="s">
        <v>135</v>
      </c>
      <c r="BV5" s="37" t="s">
        <v>136</v>
      </c>
      <c r="BW5" s="41" t="s">
        <v>137</v>
      </c>
      <c r="BX5" s="46" t="s">
        <v>138</v>
      </c>
      <c r="BY5" s="41" t="s">
        <v>139</v>
      </c>
      <c r="BZ5" s="41" t="s">
        <v>140</v>
      </c>
      <c r="CA5" s="41" t="s">
        <v>141</v>
      </c>
      <c r="CB5" s="41" t="s">
        <v>142</v>
      </c>
      <c r="CC5" s="46" t="s">
        <v>137</v>
      </c>
      <c r="CD5" s="39" t="s">
        <v>143</v>
      </c>
      <c r="CE5" s="41" t="s">
        <v>139</v>
      </c>
      <c r="CF5" s="41" t="s">
        <v>144</v>
      </c>
      <c r="CG5" s="41" t="s">
        <v>145</v>
      </c>
      <c r="CH5" s="41" t="s">
        <v>144</v>
      </c>
      <c r="CI5" s="47">
        <v>100</v>
      </c>
      <c r="CJ5" s="41" t="s">
        <v>146</v>
      </c>
      <c r="CK5" s="41" t="s">
        <v>147</v>
      </c>
      <c r="CL5" s="41" t="s">
        <v>98</v>
      </c>
      <c r="CM5" s="41" t="s">
        <v>148</v>
      </c>
      <c r="CN5" s="41" t="s">
        <v>149</v>
      </c>
      <c r="CO5" s="37" t="s">
        <v>114</v>
      </c>
      <c r="CP5" s="37" t="s">
        <v>114</v>
      </c>
      <c r="CQ5" s="37" t="s">
        <v>114</v>
      </c>
      <c r="CR5" s="37" t="s">
        <v>114</v>
      </c>
      <c r="CS5" s="37" t="s">
        <v>114</v>
      </c>
      <c r="CT5" s="37" t="s">
        <v>114</v>
      </c>
      <c r="CU5" s="37" t="s">
        <v>114</v>
      </c>
    </row>
    <row r="6" spans="1:99" ht="14.5" customHeight="1" x14ac:dyDescent="0.35">
      <c r="A6" s="36" t="s">
        <v>175</v>
      </c>
      <c r="B6" s="37" t="s">
        <v>176</v>
      </c>
      <c r="C6" s="37" t="s">
        <v>96</v>
      </c>
      <c r="D6" s="37" t="s">
        <v>97</v>
      </c>
      <c r="E6" s="37" t="s">
        <v>98</v>
      </c>
      <c r="F6" s="38" t="s">
        <v>177</v>
      </c>
      <c r="G6" s="38" t="s">
        <v>100</v>
      </c>
      <c r="H6" s="39" t="s">
        <v>101</v>
      </c>
      <c r="I6" s="39" t="s">
        <v>102</v>
      </c>
      <c r="J6" s="39" t="s">
        <v>103</v>
      </c>
      <c r="K6" s="40">
        <f t="shared" si="0"/>
        <v>45684</v>
      </c>
      <c r="L6" s="37" t="s">
        <v>98</v>
      </c>
      <c r="M6" s="39" t="s">
        <v>104</v>
      </c>
      <c r="N6" s="39" t="s">
        <v>156</v>
      </c>
      <c r="O6" s="39" t="s">
        <v>106</v>
      </c>
      <c r="P6" s="37" t="s">
        <v>157</v>
      </c>
      <c r="Q6" s="39" t="s">
        <v>108</v>
      </c>
      <c r="R6" s="39" t="s">
        <v>109</v>
      </c>
      <c r="S6" s="41" t="s">
        <v>110</v>
      </c>
      <c r="T6" s="41" t="s">
        <v>110</v>
      </c>
      <c r="U6" s="39" t="s">
        <v>103</v>
      </c>
      <c r="V6" s="40" t="s">
        <v>111</v>
      </c>
      <c r="W6" s="42" t="s">
        <v>112</v>
      </c>
      <c r="X6" s="39" t="s">
        <v>103</v>
      </c>
      <c r="Y6" s="40">
        <v>45684</v>
      </c>
      <c r="Z6" s="39" t="s">
        <v>113</v>
      </c>
      <c r="AA6" s="40" t="s">
        <v>114</v>
      </c>
      <c r="AB6" s="37" t="s">
        <v>178</v>
      </c>
      <c r="AC6" s="37" t="s">
        <v>116</v>
      </c>
      <c r="AD6" s="37" t="s">
        <v>117</v>
      </c>
      <c r="AE6" s="37">
        <v>970</v>
      </c>
      <c r="AF6" s="37" t="s">
        <v>57</v>
      </c>
      <c r="AG6" s="37">
        <v>25</v>
      </c>
      <c r="AH6" s="37" t="s">
        <v>166</v>
      </c>
      <c r="AI6" s="37" t="s">
        <v>119</v>
      </c>
      <c r="AJ6" s="40">
        <f>Y6+665</f>
        <v>46349</v>
      </c>
      <c r="AK6" s="40">
        <f t="shared" si="1"/>
        <v>45774</v>
      </c>
      <c r="AL6" s="39" t="s">
        <v>120</v>
      </c>
      <c r="AM6" s="37" t="s">
        <v>121</v>
      </c>
      <c r="AN6" s="37" t="s">
        <v>179</v>
      </c>
      <c r="AO6" s="39" t="s">
        <v>123</v>
      </c>
      <c r="AP6" s="37" t="s">
        <v>124</v>
      </c>
      <c r="AQ6" s="39" t="s">
        <v>125</v>
      </c>
      <c r="AR6" s="37" t="s">
        <v>125</v>
      </c>
      <c r="AS6" s="40" t="s">
        <v>114</v>
      </c>
      <c r="AT6" s="39" t="s">
        <v>126</v>
      </c>
      <c r="AU6" s="37" t="str">
        <f t="shared" si="2"/>
        <v>Fixed Term (Fixed Term)</v>
      </c>
      <c r="AV6" s="40" t="s">
        <v>127</v>
      </c>
      <c r="AW6" s="40">
        <f t="shared" si="3"/>
        <v>45683</v>
      </c>
      <c r="AX6" s="40">
        <f t="shared" si="4"/>
        <v>45683</v>
      </c>
      <c r="AY6" s="40">
        <f t="shared" si="5"/>
        <v>46349</v>
      </c>
      <c r="AZ6" s="41" t="s">
        <v>98</v>
      </c>
      <c r="BA6" s="41" t="s">
        <v>128</v>
      </c>
      <c r="BB6">
        <v>958127014</v>
      </c>
      <c r="BC6" s="40" t="s">
        <v>159</v>
      </c>
      <c r="BD6" s="40" t="s">
        <v>160</v>
      </c>
      <c r="BE6" s="41" t="s">
        <v>98</v>
      </c>
      <c r="BF6" s="41" t="s">
        <v>129</v>
      </c>
      <c r="BG6" s="43" t="s">
        <v>180</v>
      </c>
      <c r="BH6" s="40">
        <v>36526</v>
      </c>
      <c r="BI6" s="40">
        <v>51136</v>
      </c>
      <c r="BJ6" s="37" t="s">
        <v>131</v>
      </c>
      <c r="BK6" s="37" t="s">
        <v>132</v>
      </c>
      <c r="BL6" s="40">
        <v>30803</v>
      </c>
      <c r="BM6" s="44" t="s">
        <v>98</v>
      </c>
      <c r="BN6" s="41" t="s">
        <v>110</v>
      </c>
      <c r="BO6" s="37" t="s">
        <v>133</v>
      </c>
      <c r="BP6" s="45" t="s">
        <v>114</v>
      </c>
      <c r="BQ6" s="41" t="s">
        <v>134</v>
      </c>
      <c r="BR6" s="41" t="s">
        <v>98</v>
      </c>
      <c r="BS6" s="37" t="s">
        <v>125</v>
      </c>
      <c r="BT6" s="37" t="s">
        <v>114</v>
      </c>
      <c r="BU6" s="37" t="s">
        <v>135</v>
      </c>
      <c r="BV6" s="37" t="s">
        <v>136</v>
      </c>
      <c r="BW6" s="41" t="s">
        <v>137</v>
      </c>
      <c r="BX6" s="46" t="s">
        <v>143</v>
      </c>
      <c r="BY6" s="41" t="s">
        <v>139</v>
      </c>
      <c r="BZ6" s="41" t="s">
        <v>140</v>
      </c>
      <c r="CA6" s="41" t="s">
        <v>141</v>
      </c>
      <c r="CB6" s="41" t="s">
        <v>142</v>
      </c>
      <c r="CC6" s="46" t="s">
        <v>137</v>
      </c>
      <c r="CD6" s="39" t="s">
        <v>143</v>
      </c>
      <c r="CE6" s="41" t="s">
        <v>139</v>
      </c>
      <c r="CF6" s="41" t="s">
        <v>144</v>
      </c>
      <c r="CG6" s="41" t="s">
        <v>145</v>
      </c>
      <c r="CH6" s="41" t="s">
        <v>144</v>
      </c>
      <c r="CI6" s="47">
        <v>100</v>
      </c>
      <c r="CJ6" s="41" t="s">
        <v>146</v>
      </c>
      <c r="CK6" s="41" t="s">
        <v>147</v>
      </c>
      <c r="CL6" s="41" t="s">
        <v>98</v>
      </c>
      <c r="CM6" s="41" t="s">
        <v>162</v>
      </c>
      <c r="CN6" s="41" t="s">
        <v>149</v>
      </c>
      <c r="CO6" s="37" t="s">
        <v>114</v>
      </c>
      <c r="CP6" s="37" t="s">
        <v>114</v>
      </c>
      <c r="CQ6" s="48" t="s">
        <v>114</v>
      </c>
      <c r="CR6" s="40" t="s">
        <v>114</v>
      </c>
      <c r="CS6" s="37" t="s">
        <v>114</v>
      </c>
      <c r="CT6" s="47" t="s">
        <v>114</v>
      </c>
      <c r="CU6" s="47" t="s">
        <v>114</v>
      </c>
    </row>
  </sheetData>
  <dataValidations count="3">
    <dataValidation type="list" allowBlank="1" showInputMessage="1" showErrorMessage="1" sqref="AV2:AV5" xr:uid="{00000000-0002-0000-0000-000000000000}">
      <formula1>INDIRECT(#REF!)</formula1>
    </dataValidation>
    <dataValidation type="list" allowBlank="1" showInputMessage="1" showErrorMessage="1" sqref="AV6 Z6 X6 U6 I6:J6 CC6 BW6" xr:uid="{00000000-0002-0000-0000-000001000000}">
      <formula1>INDIRECT($C1048559)</formula1>
    </dataValidation>
    <dataValidation type="list" allowBlank="1" showInputMessage="1" showErrorMessage="1" sqref="BW2:BW5 Z2:Z5 X2:X5 U2:U5 I2:J5 CC2:CC5" xr:uid="{00000000-0002-0000-0000-000002000000}">
      <formula1>INDIRECT(#REF!)</formula1>
    </dataValidation>
  </dataValidations>
  <hyperlinks>
    <hyperlink ref="W2" r:id="rId1" xr:uid="{00000000-0004-0000-0000-000000000000}"/>
    <hyperlink ref="W3" r:id="rId2" xr:uid="{00000000-0004-0000-0000-000001000000}"/>
    <hyperlink ref="W4" r:id="rId3" xr:uid="{00000000-0004-0000-0000-000002000000}"/>
    <hyperlink ref="W5" r:id="rId4" xr:uid="{00000000-0004-0000-0000-000003000000}"/>
    <hyperlink ref="W6" r:id="rId5" xr:uid="{00000000-0004-0000-0000-000004000000}"/>
  </hyperlinks>
  <pageMargins left="0.7" right="0.7" top="0.75" bottom="0.75" header="0.3" footer="0.3"/>
  <pageSetup orientation="portrait" useFirstPageNumber="1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_FilterDatabase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2015-06-05T18:17:20Z</dcterms:created>
  <dcterms:modified xsi:type="dcterms:W3CDTF">2025-05-22T09:08:36Z</dcterms:modified>
  <cp:category/>
  <cp:contentStatus/>
</cp:coreProperties>
</file>