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68214FCC-7608-4AC6-8CD9-0C72D98E7B9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" i="1" l="1"/>
  <c r="AS3" i="1" s="1"/>
  <c r="K3" i="1"/>
  <c r="X3" i="1" s="1"/>
  <c r="AS2" i="1"/>
  <c r="K2" i="1"/>
  <c r="X2" i="1" s="1"/>
  <c r="AR3" i="1" l="1"/>
  <c r="AQ3" i="1"/>
  <c r="AR2" i="1"/>
  <c r="AQ2" i="1"/>
</calcChain>
</file>

<file path=xl/sharedStrings.xml><?xml version="1.0" encoding="utf-8"?>
<sst xmlns="http://schemas.openxmlformats.org/spreadsheetml/2006/main" count="156" uniqueCount="108">
  <si>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</si>
  <si>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</si>
  <si>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</si>
  <si>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</si>
  <si>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</si>
  <si>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</si>
  <si>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</si>
  <si>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</si>
  <si>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</si>
  <si>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</si>
  <si>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</si>
  <si>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</si>
  <si>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</si>
  <si>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</si>
  <si>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</si>
  <si>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</si>
  <si>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</si>
  <si>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</si>
  <si>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</si>
  <si>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</si>
  <si>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</si>
  <si>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</si>
  <si>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</si>
  <si>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</si>
  <si>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</si>
  <si>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</si>
  <si>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</si>
  <si>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</si>
  <si>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</si>
  <si>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</si>
  <si>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</si>
  <si>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SchollStartDate</t>
  </si>
  <si>
    <t>SchollEndDate</t>
  </si>
  <si>
    <t>AdditionalJobClassifications</t>
  </si>
  <si>
    <t>WorkShift</t>
  </si>
  <si>
    <t>EndEmploymentDate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</si>
  <si>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</si>
  <si>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</si>
  <si>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</si>
  <si>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</si>
  <si>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</si>
  <si>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</si>
  <si>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</si>
  <si>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</si>
  <si>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Country1</t>
  </si>
  <si>
    <t>NationalIDType1</t>
  </si>
  <si>
    <t>AddEditID1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</si>
  <si>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</si>
  <si>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</si>
  <si>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</si>
  <si>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</si>
  <si>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</si>
  <si>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</si>
  <si>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</si>
  <si>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</si>
  <si>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</si>
  <si>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</si>
  <si>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</si>
  <si>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</si>
  <si>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</si>
  <si>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Test1</t>
  </si>
  <si>
    <t>766 Recruitment (Gybop Sytavu (10223416))</t>
  </si>
  <si>
    <t>Poland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</si>
  <si>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</si>
  <si>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</si>
  <si>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</si>
  <si>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</si>
  <si>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</si>
  <si>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</si>
  <si>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</si>
  <si>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</si>
  <si>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</si>
  <si>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</si>
  <si>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</si>
  <si>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</si>
  <si>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</si>
  <si>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</si>
  <si>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Full time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</si>
  <si>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</si>
  <si>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</si>
  <si>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</si>
  <si>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</si>
  <si>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</si>
  <si>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</si>
  <si>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</si>
  <si>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16 Mens Acc</t>
  </si>
  <si>
    <t>Personal Identity (PESEL) Number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</si>
  <si>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</si>
  <si>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</si>
  <si>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</si>
  <si>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</si>
  <si>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</si>
  <si>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</si>
  <si>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</si>
  <si>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</si>
  <si>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</si>
  <si>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</si>
  <si>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</si>
  <si>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</si>
  <si>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Test_2</t>
  </si>
  <si>
    <t>765 Store Management (Kires Pivyba (10226524))</t>
  </si>
  <si>
    <t>Auto 7654332</t>
  </si>
  <si>
    <t>Fixed Term (Fixed Term)</t>
  </si>
  <si>
    <t>Team Manager - Retail_NEW</t>
  </si>
  <si>
    <t xml:space="preserve">92 Retail Management </t>
  </si>
  <si>
    <t xml:space="preserve">251 Management Retail </t>
  </si>
  <si>
    <t>Single (Poland)</t>
  </si>
  <si>
    <t>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</si>
</sst>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4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1" fillId="3" borderId="1" xfId="0" applyNumberFormat="1" applyFont="1" applyFill="1" applyBorder="1" applyAlignment="1" applyProtection="1">
      <alignment horizontal="left" wrapText="1"/>
      <protection locked="0"/>
    </xf>
    <xf numFmtId="15" fontId="12" fillId="3" borderId="1" xfId="0" applyNumberFormat="1" applyFont="1" applyFill="1" applyBorder="1" applyAlignment="1">
      <alignment horizontal="left"/>
    </xf>
    <xf numFmtId="164" fontId="13" fillId="3" borderId="1" xfId="0" applyNumberFormat="1" applyFont="1" applyFill="1" applyBorder="1" applyAlignment="1" applyProtection="1">
      <alignment horizontal="left" wrapText="1"/>
      <protection locked="0"/>
    </xf>
    <xf numFmtId="0" fontId="13" fillId="3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wrapText="1"/>
    </xf>
    <xf numFmtId="0" fontId="2" fillId="4" borderId="1" xfId="0" applyFont="1" applyFill="1" applyBorder="1" applyAlignment="1" applyProtection="1">
      <alignment horizontal="left" wrapText="1"/>
      <protection locked="0"/>
    </xf>
    <xf numFmtId="0" fontId="3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 wrapText="1"/>
    </xf>
    <xf numFmtId="0" fontId="5" fillId="0" borderId="0" xfId="0" applyFont="1" applyAlignment="1">
      <alignment wrapText="1"/>
    </xf>
    <xf numFmtId="14" fontId="2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 applyProtection="1">
      <alignment wrapText="1"/>
      <protection locked="0"/>
    </xf>
    <xf numFmtId="14" fontId="1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7" fillId="3" borderId="0" xfId="0" applyFont="1" applyFill="1" applyAlignment="1" applyProtection="1">
      <alignment horizontal="left" wrapText="1"/>
      <protection locked="0"/>
    </xf>
    <xf numFmtId="14" fontId="9" fillId="0" borderId="1" xfId="0" applyNumberFormat="1" applyFont="1" applyBorder="1" applyAlignment="1">
      <alignment horizontal="left" wrapText="1"/>
    </xf>
    <xf numFmtId="164" fontId="2" fillId="0" borderId="1" xfId="0" applyNumberFormat="1" applyFont="1" applyBorder="1" applyAlignment="1" applyProtection="1">
      <alignment horizontal="left" wrapText="1"/>
      <protection locked="0"/>
    </xf>
    <xf numFmtId="164" fontId="2" fillId="0" borderId="2" xfId="0" applyNumberFormat="1" applyFont="1" applyBorder="1" applyAlignment="1" applyProtection="1">
      <alignment horizontal="left" wrapText="1"/>
      <protection locked="0"/>
    </xf>
    <xf numFmtId="164" fontId="11" fillId="0" borderId="1" xfId="0" applyNumberFormat="1" applyFont="1" applyBorder="1" applyAlignment="1" applyProtection="1">
      <alignment horizontal="left" wrapText="1"/>
      <protection locked="0"/>
    </xf>
    <xf numFmtId="164" fontId="13" fillId="0" borderId="1" xfId="0" applyNumberFormat="1" applyFont="1" applyBorder="1" applyAlignment="1" applyProtection="1">
      <alignment horizontal="left" wrapText="1"/>
      <protection locked="0"/>
    </xf>
    <xf numFmtId="0" fontId="1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"/>
  <sheetViews>
    <sheetView tabSelected="1" topLeftCell="AB1" zoomScaleNormal="100" workbookViewId="0">
      <selection activeCell="AH3" sqref="AH3"/>
    </sheetView>
  </sheetViews>
  <sheetFormatPr defaultRowHeight="14.5" customHeight="1" x14ac:dyDescent="0.35"/>
  <cols>
    <col min="1" max="1" width="10.81640625" customWidth="1"/>
    <col min="2" max="2" width="34.1796875" customWidth="1"/>
    <col min="3" max="3" width="25.90625" customWidth="1"/>
    <col min="4" max="4" width="20.453125" customWidth="1"/>
    <col min="5" max="5" width="7" customWidth="1"/>
    <col min="6" max="6" width="10" customWidth="1"/>
    <col min="7" max="7" width="10.1796875" customWidth="1"/>
    <col min="8" max="8" width="11.90625" customWidth="1"/>
    <col min="9" max="9" width="11.1796875" customWidth="1"/>
    <col min="10" max="10" width="4.81640625" customWidth="1"/>
    <col min="11" max="11" width="11.54296875" customWidth="1"/>
    <col min="12" max="12" width="7" customWidth="1"/>
    <col min="13" max="13" width="10.36328125" customWidth="1"/>
    <col min="14" max="14" width="7.6328125" customWidth="1"/>
    <col min="15" max="15" width="11.1796875" customWidth="1"/>
    <col min="16" max="16" width="3.90625" customWidth="1"/>
    <col min="17" max="17" width="11.7265625" customWidth="1"/>
    <col min="18" max="18" width="10" customWidth="1"/>
    <col min="19" max="19" width="6.36328125" customWidth="1"/>
    <col min="20" max="20" width="4.81640625" customWidth="1"/>
    <col min="21" max="21" width="6.6328125" customWidth="1"/>
    <col min="22" max="22" width="11.08984375" customWidth="1"/>
    <col min="23" max="23" width="4.81640625" customWidth="1"/>
    <col min="24" max="24" width="29.08984375" customWidth="1"/>
    <col min="25" max="25" width="6.90625" customWidth="1"/>
    <col min="26" max="26" width="7.08984375" customWidth="1"/>
    <col min="27" max="27" width="12.7265625" style="1" customWidth="1"/>
    <col min="28" max="28" width="23.453125" customWidth="1"/>
    <col min="29" max="29" width="12" style="1" customWidth="1"/>
    <col min="30" max="30" width="7.54296875" customWidth="1"/>
    <col min="31" max="31" width="11.7265625" customWidth="1"/>
    <col min="32" max="32" width="8.0898437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08984375" customWidth="1"/>
    <col min="38" max="38" width="8.6328125" style="1" customWidth="1"/>
    <col min="39" max="39" width="25.453125" customWidth="1"/>
    <col min="40" max="40" width="9.36328125" customWidth="1"/>
    <col min="41" max="41" width="16.08984375" customWidth="1"/>
    <col min="42" max="42" width="5.90625" customWidth="1"/>
    <col min="43" max="43" width="17" customWidth="1"/>
    <col min="44" max="44" width="16.6328125" customWidth="1"/>
    <col min="45" max="45" width="15.08984375" customWidth="1"/>
    <col min="46" max="46" width="9.90625" customWidth="1"/>
    <col min="47" max="47" width="27.1796875" customWidth="1"/>
    <col min="48" max="48" width="8" customWidth="1"/>
    <col min="49" max="49" width="14.08984375" customWidth="1"/>
    <col min="50" max="50" width="19.08984375" customWidth="1"/>
    <col min="51" max="51" width="9.453125" customWidth="1"/>
    <col min="52" max="52" width="10.26953125" customWidth="1"/>
    <col min="53" max="53" width="11.08984375" customWidth="1"/>
    <col min="54" max="54" width="16.26953125" customWidth="1"/>
    <col min="55" max="55" width="14" customWidth="1"/>
    <col min="56" max="56" width="9.453125" customWidth="1"/>
    <col min="57" max="57" width="18.81640625" customWidth="1"/>
    <col min="58" max="58" width="11.1796875" customWidth="1"/>
    <col min="59" max="59" width="13.26953125" customWidth="1"/>
    <col min="60" max="60" width="4.54296875" customWidth="1"/>
    <col min="61" max="61" width="5.90625" customWidth="1"/>
    <col min="62" max="62" width="20.90625" customWidth="1"/>
    <col min="63" max="63" width="20.54296875" customWidth="1"/>
  </cols>
  <sheetData>
    <row r="1" spans="1:63" s="2" customFormat="1" ht="14.5" customHeight="1" x14ac:dyDescent="0.2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14" t="s">
        <v>37</v>
      </c>
      <c r="AP1" s="6" t="s">
        <v>38</v>
      </c>
      <c r="AQ1" s="19" t="s">
        <v>39</v>
      </c>
      <c r="AR1" s="19" t="s">
        <v>40</v>
      </c>
      <c r="AS1" s="20" t="s">
        <v>41</v>
      </c>
      <c r="AT1" s="6" t="s">
        <v>42</v>
      </c>
      <c r="AU1" s="2" t="s">
        <v>43</v>
      </c>
      <c r="AV1" s="5" t="s">
        <v>44</v>
      </c>
      <c r="AW1" s="21" t="s">
        <v>45</v>
      </c>
      <c r="AX1" s="15" t="s">
        <v>46</v>
      </c>
      <c r="AY1" s="14" t="s">
        <v>47</v>
      </c>
      <c r="AZ1" s="22" t="s">
        <v>48</v>
      </c>
      <c r="BA1" s="23" t="s">
        <v>49</v>
      </c>
      <c r="BB1" s="24" t="s">
        <v>50</v>
      </c>
      <c r="BC1" s="25" t="s">
        <v>51</v>
      </c>
      <c r="BD1" s="5" t="s">
        <v>52</v>
      </c>
      <c r="BE1" s="26" t="s">
        <v>53</v>
      </c>
      <c r="BF1" s="5" t="s">
        <v>54</v>
      </c>
      <c r="BG1" s="25" t="s">
        <v>55</v>
      </c>
      <c r="BH1" s="25" t="s">
        <v>56</v>
      </c>
      <c r="BI1" s="5" t="s">
        <v>57</v>
      </c>
      <c r="BJ1" s="5" t="s">
        <v>58</v>
      </c>
      <c r="BK1" s="5" t="s">
        <v>59</v>
      </c>
    </row>
    <row r="2" spans="1:63" ht="14.5" customHeight="1" x14ac:dyDescent="0.35">
      <c r="A2" s="27" t="s">
        <v>60</v>
      </c>
      <c r="B2" s="28"/>
      <c r="C2" s="1"/>
      <c r="D2" s="29" t="s">
        <v>61</v>
      </c>
      <c r="E2" s="30" t="s">
        <v>62</v>
      </c>
      <c r="F2" s="31"/>
      <c r="G2" s="32"/>
      <c r="H2" s="33" t="s">
        <v>63</v>
      </c>
      <c r="I2" s="34" t="s">
        <v>64</v>
      </c>
      <c r="J2" s="34" t="s">
        <v>65</v>
      </c>
      <c r="K2" s="35">
        <f t="shared" ref="K2" ca="1" si="0">TODAY()-31</f>
        <v>45683</v>
      </c>
      <c r="L2" s="30" t="s">
        <v>62</v>
      </c>
      <c r="M2" s="30" t="s">
        <v>66</v>
      </c>
      <c r="N2" s="34" t="s">
        <v>67</v>
      </c>
      <c r="O2" s="36" t="s">
        <v>68</v>
      </c>
      <c r="P2" s="34" t="s">
        <v>69</v>
      </c>
      <c r="Q2" s="34" t="s">
        <v>70</v>
      </c>
      <c r="R2" s="34" t="s">
        <v>70</v>
      </c>
      <c r="S2" s="34" t="s">
        <v>69</v>
      </c>
      <c r="T2" s="34" t="s">
        <v>65</v>
      </c>
      <c r="U2" s="37" t="s">
        <v>71</v>
      </c>
      <c r="V2" s="38" t="s">
        <v>72</v>
      </c>
      <c r="W2" s="34" t="s">
        <v>65</v>
      </c>
      <c r="X2" s="39">
        <f t="shared" ref="X2" ca="1" si="1">K2</f>
        <v>45683</v>
      </c>
      <c r="Y2" s="34" t="s">
        <v>73</v>
      </c>
      <c r="Z2" s="6" t="s">
        <v>74</v>
      </c>
      <c r="AA2" s="6" t="s">
        <v>75</v>
      </c>
      <c r="AB2" s="6" t="s">
        <v>76</v>
      </c>
      <c r="AC2" s="14" t="s">
        <v>77</v>
      </c>
      <c r="AD2" s="40">
        <v>765</v>
      </c>
      <c r="AE2" s="40" t="s">
        <v>57</v>
      </c>
      <c r="AF2" s="16">
        <v>40</v>
      </c>
      <c r="AG2" s="41" t="s">
        <v>70</v>
      </c>
      <c r="AH2" s="41" t="s">
        <v>107</v>
      </c>
      <c r="AI2" s="18">
        <v>43831</v>
      </c>
      <c r="AJ2" s="18">
        <v>45292</v>
      </c>
      <c r="AK2" s="17" t="s">
        <v>78</v>
      </c>
      <c r="AL2" s="17" t="s">
        <v>79</v>
      </c>
      <c r="AM2" s="18" t="s">
        <v>80</v>
      </c>
      <c r="AN2" s="34" t="s">
        <v>81</v>
      </c>
      <c r="AO2" s="14" t="s">
        <v>82</v>
      </c>
      <c r="AP2" s="34" t="s">
        <v>83</v>
      </c>
      <c r="AQ2" s="42">
        <f t="shared" ref="AQ2" ca="1" si="2">X2</f>
        <v>45683</v>
      </c>
      <c r="AR2" s="42">
        <f t="shared" ref="AR2" ca="1" si="3">X2</f>
        <v>45683</v>
      </c>
      <c r="AS2" s="20" t="str">
        <f t="shared" ref="AS2:AS3" si="4">AM2</f>
        <v>N/A</v>
      </c>
      <c r="AT2" s="6" t="s">
        <v>84</v>
      </c>
      <c r="AU2" s="2" t="s">
        <v>85</v>
      </c>
      <c r="AV2" s="30" t="s">
        <v>62</v>
      </c>
      <c r="AW2" s="43" t="s">
        <v>86</v>
      </c>
      <c r="AX2" s="15">
        <v>99937959291</v>
      </c>
      <c r="AY2" s="14" t="s">
        <v>87</v>
      </c>
      <c r="AZ2" s="44">
        <v>35591</v>
      </c>
      <c r="BA2" s="45" t="s">
        <v>88</v>
      </c>
      <c r="BB2" s="24" t="s">
        <v>89</v>
      </c>
      <c r="BC2" s="46" t="s">
        <v>90</v>
      </c>
      <c r="BD2" s="30" t="s">
        <v>91</v>
      </c>
      <c r="BE2" s="47" t="s">
        <v>92</v>
      </c>
      <c r="BF2" s="30" t="s">
        <v>93</v>
      </c>
      <c r="BG2" s="46" t="s">
        <v>94</v>
      </c>
      <c r="BH2" s="46" t="s">
        <v>95</v>
      </c>
      <c r="BI2" s="30" t="s">
        <v>96</v>
      </c>
      <c r="BJ2" s="30" t="s">
        <v>97</v>
      </c>
      <c r="BK2" s="30" t="s">
        <v>98</v>
      </c>
    </row>
    <row r="3" spans="1:63" ht="14.5" customHeight="1" x14ac:dyDescent="0.35">
      <c r="A3" s="27" t="s">
        <v>99</v>
      </c>
      <c r="B3" s="28"/>
      <c r="C3" s="1"/>
      <c r="D3" s="29" t="s">
        <v>100</v>
      </c>
      <c r="E3" s="30" t="s">
        <v>62</v>
      </c>
      <c r="F3" s="31"/>
      <c r="G3" s="32"/>
      <c r="H3" s="33" t="s">
        <v>63</v>
      </c>
      <c r="I3" s="34" t="s">
        <v>64</v>
      </c>
      <c r="J3" s="34" t="s">
        <v>65</v>
      </c>
      <c r="K3" s="35">
        <f t="shared" ref="K3" ca="1" si="5">TODAY()-31</f>
        <v>45683</v>
      </c>
      <c r="L3" s="30" t="s">
        <v>62</v>
      </c>
      <c r="M3" s="30" t="s">
        <v>66</v>
      </c>
      <c r="N3" s="34" t="s">
        <v>67</v>
      </c>
      <c r="O3" s="36" t="s">
        <v>68</v>
      </c>
      <c r="P3" s="34" t="s">
        <v>69</v>
      </c>
      <c r="Q3" s="34" t="s">
        <v>70</v>
      </c>
      <c r="R3" s="34" t="s">
        <v>70</v>
      </c>
      <c r="S3" s="34" t="s">
        <v>69</v>
      </c>
      <c r="T3" s="34" t="s">
        <v>65</v>
      </c>
      <c r="U3" s="37" t="s">
        <v>71</v>
      </c>
      <c r="V3" s="38" t="s">
        <v>72</v>
      </c>
      <c r="W3" s="34" t="s">
        <v>65</v>
      </c>
      <c r="X3" s="39">
        <f t="shared" ref="X3" ca="1" si="6">K3</f>
        <v>45683</v>
      </c>
      <c r="Y3" s="34" t="s">
        <v>73</v>
      </c>
      <c r="Z3" s="6" t="s">
        <v>101</v>
      </c>
      <c r="AA3" s="6" t="s">
        <v>102</v>
      </c>
      <c r="AB3" s="6" t="s">
        <v>103</v>
      </c>
      <c r="AC3" s="14" t="s">
        <v>77</v>
      </c>
      <c r="AD3" s="40">
        <v>765</v>
      </c>
      <c r="AE3" s="40" t="s">
        <v>57</v>
      </c>
      <c r="AF3" s="16">
        <v>40</v>
      </c>
      <c r="AG3" s="41"/>
      <c r="AH3" s="41"/>
      <c r="AI3" s="41"/>
      <c r="AJ3" s="41"/>
      <c r="AK3" s="17" t="s">
        <v>78</v>
      </c>
      <c r="AL3" s="17" t="s">
        <v>79</v>
      </c>
      <c r="AM3" s="18">
        <f ca="1">TODAY()+365</f>
        <v>46079</v>
      </c>
      <c r="AN3" s="34" t="s">
        <v>81</v>
      </c>
      <c r="AO3" s="14" t="s">
        <v>75</v>
      </c>
      <c r="AP3" s="34" t="s">
        <v>83</v>
      </c>
      <c r="AQ3" s="42">
        <f t="shared" ref="AQ3" ca="1" si="7">X3</f>
        <v>45683</v>
      </c>
      <c r="AR3" s="42">
        <f t="shared" ref="AR3" ca="1" si="8">X3</f>
        <v>45683</v>
      </c>
      <c r="AS3" s="20">
        <f t="shared" ca="1" si="4"/>
        <v>46079</v>
      </c>
      <c r="AT3" s="6" t="s">
        <v>104</v>
      </c>
      <c r="AU3" s="2" t="s">
        <v>105</v>
      </c>
      <c r="AV3" s="30" t="s">
        <v>62</v>
      </c>
      <c r="AW3" s="43" t="s">
        <v>86</v>
      </c>
      <c r="AX3" s="15">
        <v>99937959304</v>
      </c>
      <c r="AY3" s="14" t="s">
        <v>87</v>
      </c>
      <c r="AZ3" s="44">
        <v>35591</v>
      </c>
      <c r="BA3" s="45" t="s">
        <v>106</v>
      </c>
      <c r="BB3" s="24" t="s">
        <v>80</v>
      </c>
      <c r="BC3" s="46" t="s">
        <v>90</v>
      </c>
      <c r="BD3" s="30" t="s">
        <v>91</v>
      </c>
      <c r="BE3" s="47" t="s">
        <v>92</v>
      </c>
      <c r="BF3" s="30" t="s">
        <v>93</v>
      </c>
      <c r="BG3" s="46" t="s">
        <v>94</v>
      </c>
      <c r="BH3" s="46" t="s">
        <v>95</v>
      </c>
      <c r="BI3" s="30" t="s">
        <v>96</v>
      </c>
      <c r="BJ3" s="30" t="s">
        <v>97</v>
      </c>
      <c r="BK3" s="30" t="s">
        <v>98</v>
      </c>
    </row>
    <row r="4" spans="1:63" ht="14.5" customHeight="1" x14ac:dyDescent="0.25">
      <c r="AM4" s="2"/>
    </row>
  </sheetData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2025-02-26T12:48:46Z</dcterms:modified>
</cp:coreProperties>
</file>