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251B5B6A-389C-4668-BCBD-6AD462CC679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>Sheet1!$A$1:$BY$8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8" i="1" l="1"/>
  <c r="AM8" i="1"/>
  <c r="K8" i="1"/>
  <c r="X8" i="1" s="1"/>
  <c r="AT7" i="1"/>
  <c r="AM7" i="1"/>
  <c r="K7" i="1"/>
  <c r="X7" i="1" s="1"/>
  <c r="K6" i="1"/>
  <c r="X6" i="1" s="1"/>
  <c r="AM5" i="1"/>
  <c r="X5" i="1"/>
  <c r="AS5" i="1" s="1"/>
  <c r="K5" i="1"/>
  <c r="AM4" i="1"/>
  <c r="K4" i="1"/>
  <c r="X4" i="1" s="1"/>
  <c r="AM3" i="1"/>
  <c r="K3" i="1"/>
  <c r="X3" i="1" s="1"/>
  <c r="AT2" i="1"/>
  <c r="AM2" i="1"/>
  <c r="X2" i="1"/>
  <c r="AS2" i="1" s="1"/>
  <c r="K2" i="1"/>
  <c r="AS6" i="1" l="1"/>
  <c r="AR6" i="1"/>
  <c r="AS8" i="1"/>
  <c r="AR8" i="1"/>
  <c r="AS3" i="1"/>
  <c r="AR3" i="1"/>
  <c r="AR7" i="1"/>
  <c r="AS7" i="1"/>
  <c r="AS4" i="1"/>
  <c r="AR4" i="1"/>
  <c r="AR2" i="1"/>
  <c r="AR5" i="1"/>
</calcChain>
</file>

<file path=xl/sharedStrings.xml><?xml version="1.0" encoding="utf-8"?>
<sst xmlns="http://schemas.openxmlformats.org/spreadsheetml/2006/main" count="516" uniqueCount="164">
  <si>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</si>
  <si>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</si>
  <si>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</si>
  <si>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</si>
  <si>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</si>
  <si>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</si>
  <si>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</si>
  <si>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</si>
  <si>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</si>
  <si>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</si>
  <si>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</si>
  <si>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</si>
  <si>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</si>
  <si>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</si>
  <si>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</si>
  <si>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</si>
  <si>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</si>
  <si>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</si>
  <si>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</si>
  <si>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</si>
  <si>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</si>
  <si>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</si>
  <si>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</si>
  <si>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</si>
  <si>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</si>
  <si>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</si>
  <si>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</si>
  <si>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</si>
  <si>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</si>
  <si>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</si>
  <si>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</si>
  <si>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</si>
  <si>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</si>
  <si>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</si>
  <si>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</si>
  <si>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</si>
  <si>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</si>
  <si>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</si>
  <si>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</si>
  <si>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</si>
  <si>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</si>
  <si>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</si>
  <si>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</si>
  <si>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</si>
  <si>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</si>
  <si>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</si>
  <si>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</si>
  <si>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</si>
  <si>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</si>
  <si>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</si>
  <si>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</si>
  <si>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r>
      <t>FirstJobExpiryDate</t>
    </r>
    <r>
      <rPr>
        <sz val="11"/>
        <color theme="1"/>
        <rFont val="Calibri"/>
        <family val="2"/>
        <scheme val="minor"/>
      </rPr>
      <t xml:space="preserve"> </t>
    </r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</si>
  <si>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</si>
  <si>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</si>
  <si>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</si>
  <si>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</si>
  <si>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</si>
  <si>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</si>
  <si>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</si>
  <si>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</si>
  <si>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</si>
  <si>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</si>
  <si>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</si>
  <si>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</si>
  <si>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</si>
  <si>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</si>
  <si>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</si>
  <si>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</si>
  <si>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</si>
  <si>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</si>
  <si>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</si>
  <si>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</si>
  <si>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</si>
  <si>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</si>
  <si>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Test_17</t>
  </si>
  <si>
    <t>10697803</t>
  </si>
  <si>
    <t>Passed</t>
  </si>
  <si>
    <t>766 P&amp;C (Gybop Sytavu (10223416))</t>
  </si>
  <si>
    <t>Poland</t>
  </si>
  <si>
    <t>Mireille</t>
  </si>
  <si>
    <t>Howe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</si>
  <si>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</si>
  <si>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</si>
  <si>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</si>
  <si>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</si>
  <si>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</si>
  <si>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</si>
  <si>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</si>
  <si>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</si>
  <si>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</si>
  <si>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</si>
  <si>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</si>
  <si>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</si>
  <si>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Fixed Term (Fixed Term)</t>
  </si>
  <si>
    <t>Retail Assistant_NEW</t>
  </si>
  <si>
    <t>Part time</t>
  </si>
  <si>
    <t>ZasadniczaSzkołaZawodowa</t>
  </si>
  <si>
    <t xml:space="preserve">RE029_NEW2 </t>
  </si>
  <si>
    <t>5 Days (Poland)</t>
  </si>
  <si>
    <t>Automation Comments here….</t>
  </si>
  <si>
    <t>Permanent</t>
  </si>
  <si>
    <t>Active</t>
  </si>
  <si>
    <t>94 Retail Operative</t>
  </si>
  <si>
    <t>23 Health &amp; Beauty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</si>
  <si>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</si>
  <si>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</si>
  <si>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</si>
  <si>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</si>
  <si>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</si>
  <si>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</si>
  <si>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</si>
  <si>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</si>
  <si>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GHE456139</t>
  </si>
  <si>
    <t>Male</t>
  </si>
  <si>
    <t>Married (Poland)</t>
  </si>
  <si>
    <t>01/01/2019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</si>
  <si>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</si>
  <si>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</si>
  <si>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</si>
  <si>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</si>
  <si>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</si>
  <si>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</si>
  <si>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</si>
  <si>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</si>
  <si>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</si>
  <si>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Test_25</t>
  </si>
  <si>
    <t xml:space="preserve">Test failed for 'Lawrence Beier' Employee:{}TimeoutError: locator.click: Timeout 30000ms exceeded.
Call log:
  [2m- waiting for getByLabel('Work Shift')[22m
</t>
  </si>
  <si>
    <t>Failed</t>
  </si>
  <si>
    <t>Nayeli</t>
  </si>
  <si>
    <t>Thiel</t>
  </si>
  <si>
    <t>In-Store Visual Merchandising Assistant_NEW</t>
  </si>
  <si>
    <t>Full time</t>
  </si>
  <si>
    <t>N/A</t>
  </si>
  <si>
    <t>256 Visual Merchandising</t>
  </si>
  <si>
    <t>GHE456147</t>
  </si>
  <si>
    <t>Test_26</t>
  </si>
  <si>
    <t xml:space="preserve">Test failed for 'Ressie Leannon' Employee:{}TimeoutError: locator.click: Timeout 30000ms exceeded.
Call log:
  [2m- waiting for getByLabel('Work Shift')[22m
</t>
  </si>
  <si>
    <t>Ressie</t>
  </si>
  <si>
    <t>Leannon</t>
  </si>
  <si>
    <t>GHE456148</t>
  </si>
  <si>
    <t>Test_27</t>
  </si>
  <si>
    <t xml:space="preserve">Test failed for 'Emilie Torphy' Employee:{}TimeoutError: locator.click: Timeout 30000ms exceeded.
Call log:
  [2m- waiting for getByLabel('Work Shift')[22m
</t>
  </si>
  <si>
    <t>Emilie</t>
  </si>
  <si>
    <t>Torphy</t>
  </si>
  <si>
    <t>Open-ended</t>
  </si>
  <si>
    <t>GHE456149</t>
  </si>
  <si>
    <t>Test_28</t>
  </si>
  <si>
    <t xml:space="preserve">Test failed for 'Rudy Morar' Employee:{}TimeoutError: locator.click: Timeout 30000ms exceeded.
Call log:
  [2m- waiting for getByLabel('Work Shift')[22m
</t>
  </si>
  <si>
    <t>Rudy</t>
  </si>
  <si>
    <t>Morar</t>
  </si>
  <si>
    <t>GHE456150</t>
  </si>
  <si>
    <t>Test_29</t>
  </si>
  <si>
    <t>Test failed for 'Enid Reilly' Employee:{}TypeError: Cannot read properties of undefined (reading 'split')</t>
  </si>
  <si>
    <t>Enid</t>
  </si>
  <si>
    <t>Reilly</t>
  </si>
  <si>
    <t>Operational Support</t>
  </si>
  <si>
    <t>11 Household</t>
  </si>
  <si>
    <t>GHE456151</t>
  </si>
  <si>
    <t>Test_30</t>
  </si>
  <si>
    <t>Test failed for 'Ezequiel Williamson' Employee:{}TypeError: Cannot read properties of undefined (reading 'split')</t>
  </si>
  <si>
    <t>Ezequiel</t>
  </si>
  <si>
    <t>Williamson</t>
  </si>
  <si>
    <t>15 Childrens Accessories</t>
  </si>
  <si>
    <t>GHE456152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</si>
</sst>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8" x14ac:knownFonts="1"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63"/>
      <name val="Arial"/>
      <family val="2"/>
    </font>
    <font>
      <u/>
      <sz val="10"/>
      <color indexed="12"/>
      <name val="Calibri"/>
      <family val="2"/>
    </font>
    <font>
      <sz val="14"/>
      <color indexed="8"/>
      <name val="Arial"/>
      <family val="2"/>
    </font>
    <font>
      <sz val="14"/>
      <color indexed="10"/>
      <name val="Arial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16"/>
      <color indexed="8"/>
      <name val="Calibri"/>
      <family val="2"/>
      <scheme val="minor"/>
    </font>
    <font>
      <b/>
      <sz val="16"/>
      <name val="Calibri"/>
      <family val="2"/>
      <scheme val="minor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0" fontId="0" fillId="4" borderId="0" xfId="0" applyFill="1"/>
    <xf numFmtId="0" fontId="11" fillId="4" borderId="0" xfId="0" applyFont="1" applyFill="1"/>
    <xf numFmtId="0" fontId="0" fillId="5" borderId="0" xfId="0" applyFill="1"/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2" fillId="3" borderId="1" xfId="0" applyNumberFormat="1" applyFont="1" applyFill="1" applyBorder="1" applyAlignment="1" applyProtection="1">
      <alignment horizontal="left" wrapText="1"/>
      <protection locked="0"/>
    </xf>
    <xf numFmtId="15" fontId="13" fillId="3" borderId="1" xfId="0" applyNumberFormat="1" applyFont="1" applyFill="1" applyBorder="1" applyAlignment="1">
      <alignment horizontal="left"/>
    </xf>
    <xf numFmtId="164" fontId="14" fillId="3" borderId="1" xfId="0" applyNumberFormat="1" applyFont="1" applyFill="1" applyBorder="1" applyAlignment="1" applyProtection="1">
      <alignment horizontal="left" wrapText="1"/>
      <protection locked="0"/>
    </xf>
    <xf numFmtId="0" fontId="14" fillId="3" borderId="1" xfId="0" applyFont="1" applyFill="1" applyBorder="1" applyAlignment="1">
      <alignment horizontal="left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2" fillId="0" borderId="1" xfId="0" applyFont="1" applyBorder="1" applyAlignment="1" applyProtection="1">
      <alignment horizontal="left" wrapText="1"/>
      <protection locked="0"/>
    </xf>
    <xf numFmtId="14" fontId="2" fillId="0" borderId="0" xfId="0" applyNumberFormat="1" applyFont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5" fillId="0" borderId="0" xfId="0" applyFont="1" applyAlignment="1">
      <alignment wrapText="1"/>
    </xf>
    <xf numFmtId="14" fontId="2" fillId="0" borderId="1" xfId="0" applyNumberFormat="1" applyFont="1" applyBorder="1" applyAlignment="1">
      <alignment horizontal="left" wrapText="1"/>
    </xf>
    <xf numFmtId="164" fontId="2" fillId="0" borderId="2" xfId="0" applyNumberFormat="1" applyFont="1" applyBorder="1" applyAlignment="1" applyProtection="1">
      <alignment horizontal="left" wrapText="1"/>
      <protection locked="0"/>
    </xf>
    <xf numFmtId="0" fontId="14" fillId="0" borderId="1" xfId="0" applyFont="1" applyBorder="1" applyAlignment="1">
      <alignment horizontal="left" wrapText="1"/>
    </xf>
    <xf numFmtId="164" fontId="14" fillId="0" borderId="1" xfId="0" applyNumberFormat="1" applyFont="1" applyBorder="1" applyAlignment="1" applyProtection="1">
      <alignment horizontal="left" wrapText="1"/>
      <protection locked="0"/>
    </xf>
    <xf numFmtId="0" fontId="15" fillId="3" borderId="1" xfId="0" applyFont="1" applyFill="1" applyBorder="1" applyAlignment="1">
      <alignment horizontal="left"/>
    </xf>
    <xf numFmtId="15" fontId="16" fillId="0" borderId="1" xfId="0" applyNumberFormat="1" applyFont="1" applyBorder="1" applyAlignment="1">
      <alignment horizontal="left"/>
    </xf>
    <xf numFmtId="0" fontId="1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8"/>
  <sheetViews>
    <sheetView tabSelected="1" topLeftCell="B1" zoomScaleNormal="100" workbookViewId="0">
      <selection activeCell="F2" sqref="F2:G2"/>
    </sheetView>
  </sheetViews>
  <sheetFormatPr defaultRowHeight="14.5" customHeight="1" x14ac:dyDescent="0.35"/>
  <cols>
    <col min="1" max="1" width="10.81640625" customWidth="1"/>
    <col min="2" max="2" width="156.54296875" customWidth="1"/>
    <col min="3" max="3" width="25.81640625" customWidth="1"/>
    <col min="4" max="4" width="20.453125" customWidth="1"/>
    <col min="5" max="5" width="7" customWidth="1"/>
    <col min="6" max="6" width="10" customWidth="1"/>
    <col min="7" max="7" width="10.1796875" customWidth="1"/>
    <col min="8" max="8" width="11.81640625" customWidth="1"/>
    <col min="9" max="9" width="11.1796875" customWidth="1"/>
    <col min="10" max="10" width="18" customWidth="1"/>
    <col min="11" max="11" width="27.81640625" customWidth="1"/>
    <col min="12" max="12" width="7" customWidth="1"/>
    <col min="13" max="13" width="10.453125" customWidth="1"/>
    <col min="14" max="14" width="7.54296875" customWidth="1"/>
    <col min="15" max="15" width="27.1796875" customWidth="1"/>
    <col min="16" max="16" width="17.81640625" customWidth="1"/>
    <col min="17" max="17" width="11.7265625" customWidth="1"/>
    <col min="18" max="18" width="10" customWidth="1"/>
    <col min="19" max="19" width="6.453125" customWidth="1"/>
    <col min="20" max="20" width="4.81640625" customWidth="1"/>
    <col min="21" max="21" width="6.54296875" customWidth="1"/>
    <col min="22" max="22" width="11.1796875" customWidth="1"/>
    <col min="23" max="23" width="20.54296875" customWidth="1"/>
    <col min="24" max="24" width="29.1796875" customWidth="1"/>
    <col min="25" max="25" width="6.81640625" customWidth="1"/>
    <col min="26" max="26" width="7.1796875" customWidth="1"/>
    <col min="27" max="27" width="36.453125" style="1" customWidth="1"/>
    <col min="28" max="28" width="32.54296875" customWidth="1"/>
    <col min="29" max="29" width="12" style="1" customWidth="1"/>
    <col min="30" max="30" width="7.54296875" customWidth="1"/>
    <col min="31" max="31" width="11.7265625" customWidth="1"/>
    <col min="32" max="32" width="25.45312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23.1796875" customWidth="1"/>
    <col min="38" max="38" width="21.1796875" style="1" customWidth="1"/>
    <col min="39" max="40" width="25.453125" customWidth="1"/>
    <col min="41" max="41" width="9.453125" customWidth="1"/>
    <col min="42" max="42" width="41" customWidth="1"/>
    <col min="43" max="43" width="5.81640625" customWidth="1"/>
    <col min="44" max="44" width="17" customWidth="1"/>
    <col min="45" max="45" width="16.54296875" customWidth="1"/>
    <col min="46" max="46" width="15.1796875" customWidth="1"/>
    <col min="47" max="47" width="27.453125" customWidth="1"/>
    <col min="48" max="56" width="27.1796875" customWidth="1"/>
    <col min="57" max="57" width="35.1796875" customWidth="1"/>
    <col min="58" max="58" width="24.1796875" customWidth="1"/>
    <col min="59" max="59" width="27.81640625" customWidth="1"/>
    <col min="60" max="60" width="23.81640625" customWidth="1"/>
    <col min="61" max="61" width="25.81640625" customWidth="1"/>
    <col min="62" max="62" width="14" customWidth="1"/>
    <col min="63" max="63" width="30.54296875" customWidth="1"/>
    <col min="64" max="64" width="18.81640625" customWidth="1"/>
    <col min="65" max="65" width="11.1796875" customWidth="1"/>
    <col min="66" max="66" width="31.54296875" customWidth="1"/>
    <col min="67" max="67" width="18.7265625" customWidth="1"/>
    <col min="68" max="68" width="25.1796875" customWidth="1"/>
    <col min="69" max="69" width="20.81640625" customWidth="1"/>
    <col min="70" max="70" width="20.54296875" customWidth="1"/>
    <col min="71" max="71" width="31.81640625" customWidth="1"/>
    <col min="75" max="75" width="20.54296875" customWidth="1"/>
    <col min="76" max="76" width="21.26953125" customWidth="1"/>
    <col min="77" max="77" width="26.453125" customWidth="1"/>
  </cols>
  <sheetData>
    <row r="1" spans="1:77" s="2" customFormat="1" ht="35" customHeight="1" x14ac:dyDescent="0.3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6" t="s">
        <v>37</v>
      </c>
      <c r="AP1" s="14" t="s">
        <v>38</v>
      </c>
      <c r="AQ1" s="6" t="s">
        <v>39</v>
      </c>
      <c r="AR1" s="19" t="s">
        <v>40</v>
      </c>
      <c r="AS1" s="19" t="s">
        <v>41</v>
      </c>
      <c r="AT1" s="20" t="s">
        <v>42</v>
      </c>
      <c r="AU1" s="6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1" t="s">
        <v>50</v>
      </c>
      <c r="BC1" s="22" t="s">
        <v>51</v>
      </c>
      <c r="BD1" s="23" t="s">
        <v>52</v>
      </c>
      <c r="BE1" s="24" t="s">
        <v>53</v>
      </c>
      <c r="BF1" s="15" t="s">
        <v>54</v>
      </c>
      <c r="BG1" s="2" t="s">
        <v>55</v>
      </c>
      <c r="BH1" s="24" t="s">
        <v>56</v>
      </c>
      <c r="BI1" s="15" t="s">
        <v>57</v>
      </c>
      <c r="BJ1" s="15" t="s">
        <v>58</v>
      </c>
      <c r="BK1" s="24" t="s">
        <v>59</v>
      </c>
      <c r="BL1" s="15" t="s">
        <v>60</v>
      </c>
      <c r="BM1" s="14" t="s">
        <v>61</v>
      </c>
      <c r="BN1" s="25" t="s">
        <v>62</v>
      </c>
      <c r="BO1" s="26" t="s">
        <v>63</v>
      </c>
      <c r="BP1" s="27" t="s">
        <v>64</v>
      </c>
      <c r="BQ1" s="28" t="s">
        <v>65</v>
      </c>
      <c r="BR1" s="5" t="s">
        <v>66</v>
      </c>
      <c r="BS1" s="29" t="s">
        <v>67</v>
      </c>
      <c r="BT1" s="5" t="s">
        <v>68</v>
      </c>
      <c r="BU1" s="28" t="s">
        <v>69</v>
      </c>
      <c r="BV1" s="28" t="s">
        <v>70</v>
      </c>
      <c r="BW1" s="5" t="s">
        <v>71</v>
      </c>
      <c r="BX1" s="5" t="s">
        <v>72</v>
      </c>
      <c r="BY1" s="5" t="s">
        <v>73</v>
      </c>
    </row>
    <row r="2" spans="1:77" ht="52.5" customHeight="1" x14ac:dyDescent="0.35">
      <c r="A2" t="s">
        <v>74</v>
      </c>
      <c r="B2" t="s">
        <v>75</v>
      </c>
      <c r="C2" s="1" t="s">
        <v>76</v>
      </c>
      <c r="D2" s="30" t="s">
        <v>77</v>
      </c>
      <c r="E2" t="s">
        <v>78</v>
      </c>
      <c r="F2" t="s">
        <v>79</v>
      </c>
      <c r="G2" t="s">
        <v>80</v>
      </c>
      <c r="H2" s="31" t="s">
        <v>81</v>
      </c>
      <c r="I2" s="32" t="s">
        <v>82</v>
      </c>
      <c r="J2" s="32" t="s">
        <v>83</v>
      </c>
      <c r="K2" s="33">
        <f t="shared" ref="K2:K3" ca="1" si="0">TODAY()-31</f>
        <v>45692</v>
      </c>
      <c r="L2" s="34" t="s">
        <v>78</v>
      </c>
      <c r="M2" s="34" t="s">
        <v>84</v>
      </c>
      <c r="N2" s="32" t="s">
        <v>85</v>
      </c>
      <c r="O2" s="35" t="s">
        <v>86</v>
      </c>
      <c r="P2" s="34" t="s">
        <v>87</v>
      </c>
      <c r="Q2" s="34" t="s">
        <v>88</v>
      </c>
      <c r="R2" s="34" t="s">
        <v>88</v>
      </c>
      <c r="S2" s="34" t="s">
        <v>87</v>
      </c>
      <c r="T2" s="34" t="s">
        <v>83</v>
      </c>
      <c r="U2" s="34" t="s">
        <v>89</v>
      </c>
      <c r="V2" s="34" t="s">
        <v>90</v>
      </c>
      <c r="W2" s="34" t="s">
        <v>83</v>
      </c>
      <c r="X2" s="33">
        <f t="shared" ref="X2:X8" ca="1" si="1">K2</f>
        <v>45692</v>
      </c>
      <c r="Y2" s="34" t="s">
        <v>91</v>
      </c>
      <c r="Z2" s="34" t="s">
        <v>92</v>
      </c>
      <c r="AA2" s="34" t="s">
        <v>93</v>
      </c>
      <c r="AB2" s="34" t="s">
        <v>94</v>
      </c>
      <c r="AC2" s="34" t="s">
        <v>95</v>
      </c>
      <c r="AD2" s="34">
        <v>766</v>
      </c>
      <c r="AE2" s="34" t="s">
        <v>71</v>
      </c>
      <c r="AF2" s="34">
        <v>20</v>
      </c>
      <c r="AG2" s="34" t="s">
        <v>88</v>
      </c>
      <c r="AH2" s="34" t="s">
        <v>96</v>
      </c>
      <c r="AI2" s="33">
        <v>43831</v>
      </c>
      <c r="AJ2" s="33">
        <v>45293</v>
      </c>
      <c r="AK2" s="34" t="s">
        <v>97</v>
      </c>
      <c r="AL2" s="34" t="s">
        <v>98</v>
      </c>
      <c r="AM2" s="36">
        <f t="shared" ref="AM2" ca="1" si="2">TODAY()+365</f>
        <v>46088</v>
      </c>
      <c r="AN2" s="34">
        <v>110</v>
      </c>
      <c r="AO2" s="34" t="s">
        <v>99</v>
      </c>
      <c r="AP2" s="34" t="s">
        <v>100</v>
      </c>
      <c r="AQ2" s="34" t="s">
        <v>101</v>
      </c>
      <c r="AR2" s="33">
        <f t="shared" ref="AR2:AR8" ca="1" si="3">X2</f>
        <v>45692</v>
      </c>
      <c r="AS2" s="33">
        <f t="shared" ref="AS2:AS8" ca="1" si="4">X2</f>
        <v>45692</v>
      </c>
      <c r="AT2" s="36">
        <f t="shared" ref="AT2" ca="1" si="5">TODAY()+365</f>
        <v>46088</v>
      </c>
      <c r="AU2" s="34" t="s">
        <v>102</v>
      </c>
      <c r="AV2" s="34" t="s">
        <v>103</v>
      </c>
      <c r="AW2" s="34" t="s">
        <v>104</v>
      </c>
      <c r="AX2" s="34" t="s">
        <v>105</v>
      </c>
      <c r="AY2" s="34" t="s">
        <v>106</v>
      </c>
      <c r="AZ2" s="34" t="s">
        <v>107</v>
      </c>
      <c r="BA2" s="34" t="s">
        <v>108</v>
      </c>
      <c r="BB2" s="34" t="s">
        <v>92</v>
      </c>
      <c r="BC2" s="34"/>
      <c r="BD2" s="31" t="s">
        <v>78</v>
      </c>
      <c r="BE2" s="34" t="s">
        <v>109</v>
      </c>
      <c r="BF2" s="15">
        <v>9477896627</v>
      </c>
      <c r="BG2" s="31" t="s">
        <v>78</v>
      </c>
      <c r="BH2" s="34" t="s">
        <v>110</v>
      </c>
      <c r="BI2" s="15">
        <v>47678965361</v>
      </c>
      <c r="BJ2" s="31" t="s">
        <v>78</v>
      </c>
      <c r="BK2" s="31" t="s">
        <v>111</v>
      </c>
      <c r="BL2" s="31" t="s">
        <v>112</v>
      </c>
      <c r="BM2" s="31" t="s">
        <v>113</v>
      </c>
      <c r="BN2" s="37">
        <v>35591</v>
      </c>
      <c r="BO2" s="31" t="s">
        <v>114</v>
      </c>
      <c r="BP2" s="31" t="s">
        <v>115</v>
      </c>
      <c r="BQ2" s="31" t="s">
        <v>116</v>
      </c>
      <c r="BR2" s="31" t="s">
        <v>117</v>
      </c>
      <c r="BS2" s="38" t="s">
        <v>118</v>
      </c>
      <c r="BT2" s="34" t="s">
        <v>119</v>
      </c>
      <c r="BU2" s="39" t="s">
        <v>120</v>
      </c>
      <c r="BV2" s="39" t="s">
        <v>121</v>
      </c>
      <c r="BW2" s="34" t="s">
        <v>122</v>
      </c>
      <c r="BX2" s="34" t="s">
        <v>123</v>
      </c>
      <c r="BY2" s="34" t="s">
        <v>124</v>
      </c>
    </row>
    <row r="3" spans="1:77" ht="52.5" customHeight="1" x14ac:dyDescent="0.35">
      <c r="A3" t="s">
        <v>125</v>
      </c>
      <c r="B3" t="s">
        <v>126</v>
      </c>
      <c r="C3" s="1" t="s">
        <v>127</v>
      </c>
      <c r="D3" s="30" t="s">
        <v>77</v>
      </c>
      <c r="E3" t="s">
        <v>78</v>
      </c>
      <c r="F3" t="s">
        <v>128</v>
      </c>
      <c r="G3" t="s">
        <v>129</v>
      </c>
      <c r="H3" s="34" t="s">
        <v>81</v>
      </c>
      <c r="I3" s="34" t="s">
        <v>82</v>
      </c>
      <c r="J3" s="34" t="s">
        <v>83</v>
      </c>
      <c r="K3" s="33">
        <f t="shared" ca="1" si="0"/>
        <v>45692</v>
      </c>
      <c r="L3" s="34" t="s">
        <v>78</v>
      </c>
      <c r="M3" s="34" t="s">
        <v>84</v>
      </c>
      <c r="N3" s="34" t="s">
        <v>85</v>
      </c>
      <c r="O3" s="34" t="s">
        <v>86</v>
      </c>
      <c r="P3" s="34" t="s">
        <v>87</v>
      </c>
      <c r="Q3" s="34" t="s">
        <v>88</v>
      </c>
      <c r="R3" s="34" t="s">
        <v>88</v>
      </c>
      <c r="S3" s="34" t="s">
        <v>87</v>
      </c>
      <c r="T3" s="34" t="s">
        <v>83</v>
      </c>
      <c r="U3" s="34" t="s">
        <v>89</v>
      </c>
      <c r="V3" s="34" t="s">
        <v>90</v>
      </c>
      <c r="W3" s="34" t="s">
        <v>83</v>
      </c>
      <c r="X3" s="33">
        <f t="shared" ca="1" si="1"/>
        <v>45692</v>
      </c>
      <c r="Y3" s="34" t="s">
        <v>91</v>
      </c>
      <c r="Z3" s="34" t="s">
        <v>92</v>
      </c>
      <c r="AA3" s="34" t="s">
        <v>93</v>
      </c>
      <c r="AB3" t="s">
        <v>130</v>
      </c>
      <c r="AC3" s="34" t="s">
        <v>131</v>
      </c>
      <c r="AD3" s="34">
        <v>766</v>
      </c>
      <c r="AE3" s="34" t="s">
        <v>71</v>
      </c>
      <c r="AF3" s="34">
        <v>40</v>
      </c>
      <c r="AG3" s="34" t="s">
        <v>88</v>
      </c>
      <c r="AH3" s="34" t="s">
        <v>96</v>
      </c>
      <c r="AI3" s="33">
        <v>43831</v>
      </c>
      <c r="AJ3" s="33">
        <v>45293</v>
      </c>
      <c r="AK3" s="34" t="s">
        <v>97</v>
      </c>
      <c r="AL3" s="34" t="s">
        <v>98</v>
      </c>
      <c r="AM3" s="33">
        <f t="shared" ref="AM3:AM5" ca="1" si="6">TODAY()+365</f>
        <v>46088</v>
      </c>
      <c r="AN3" s="34">
        <v>110</v>
      </c>
      <c r="AO3" s="34" t="s">
        <v>99</v>
      </c>
      <c r="AP3" s="34" t="s">
        <v>100</v>
      </c>
      <c r="AQ3" s="34" t="s">
        <v>101</v>
      </c>
      <c r="AR3" s="33">
        <f t="shared" ca="1" si="3"/>
        <v>45692</v>
      </c>
      <c r="AS3" s="33">
        <f t="shared" ca="1" si="4"/>
        <v>45692</v>
      </c>
      <c r="AT3" s="33" t="s">
        <v>132</v>
      </c>
      <c r="AU3" s="34" t="s">
        <v>102</v>
      </c>
      <c r="AV3" s="34" t="s">
        <v>133</v>
      </c>
      <c r="AW3" s="34" t="s">
        <v>104</v>
      </c>
      <c r="AX3" s="34" t="s">
        <v>105</v>
      </c>
      <c r="AY3" s="34" t="s">
        <v>106</v>
      </c>
      <c r="AZ3" s="34" t="s">
        <v>107</v>
      </c>
      <c r="BA3" s="34" t="s">
        <v>108</v>
      </c>
      <c r="BB3" s="34" t="s">
        <v>92</v>
      </c>
      <c r="BC3" s="34"/>
      <c r="BD3" s="31" t="s">
        <v>78</v>
      </c>
      <c r="BE3" s="34" t="s">
        <v>109</v>
      </c>
      <c r="BF3" s="15">
        <v>9477896635</v>
      </c>
      <c r="BG3" s="31" t="s">
        <v>78</v>
      </c>
      <c r="BH3" s="34" t="s">
        <v>110</v>
      </c>
      <c r="BI3" s="15">
        <v>47678965369</v>
      </c>
      <c r="BJ3" s="31" t="s">
        <v>78</v>
      </c>
      <c r="BK3" s="31" t="s">
        <v>111</v>
      </c>
      <c r="BL3" s="31" t="s">
        <v>134</v>
      </c>
      <c r="BM3" s="31" t="s">
        <v>113</v>
      </c>
      <c r="BN3" s="37">
        <v>35591</v>
      </c>
      <c r="BO3" s="31" t="s">
        <v>114</v>
      </c>
      <c r="BP3" s="31" t="s">
        <v>115</v>
      </c>
      <c r="BQ3" s="31" t="s">
        <v>116</v>
      </c>
      <c r="BR3" s="31" t="s">
        <v>117</v>
      </c>
      <c r="BS3" s="38" t="s">
        <v>118</v>
      </c>
      <c r="BT3" s="34" t="s">
        <v>119</v>
      </c>
      <c r="BU3" s="39" t="s">
        <v>120</v>
      </c>
      <c r="BV3" s="39" t="s">
        <v>121</v>
      </c>
      <c r="BW3" s="34" t="s">
        <v>122</v>
      </c>
      <c r="BX3" s="34" t="s">
        <v>123</v>
      </c>
      <c r="BY3" s="34" t="s">
        <v>124</v>
      </c>
    </row>
    <row r="4" spans="1:77" ht="54" customHeight="1" x14ac:dyDescent="0.5">
      <c r="A4" t="s">
        <v>135</v>
      </c>
      <c r="B4" t="s">
        <v>136</v>
      </c>
      <c r="C4" s="1" t="s">
        <v>127</v>
      </c>
      <c r="D4" s="30" t="s">
        <v>77</v>
      </c>
      <c r="E4" t="s">
        <v>78</v>
      </c>
      <c r="F4" t="s">
        <v>137</v>
      </c>
      <c r="G4" t="s">
        <v>138</v>
      </c>
      <c r="H4" s="34" t="s">
        <v>81</v>
      </c>
      <c r="I4" s="34" t="s">
        <v>82</v>
      </c>
      <c r="J4" s="34" t="s">
        <v>83</v>
      </c>
      <c r="K4" s="33">
        <f ca="1">TODAY()+91</f>
        <v>45814</v>
      </c>
      <c r="L4" s="34" t="s">
        <v>78</v>
      </c>
      <c r="M4" s="34" t="s">
        <v>84</v>
      </c>
      <c r="N4" s="34" t="s">
        <v>85</v>
      </c>
      <c r="O4" s="34" t="s">
        <v>86</v>
      </c>
      <c r="P4" s="34" t="s">
        <v>87</v>
      </c>
      <c r="Q4" s="34" t="s">
        <v>88</v>
      </c>
      <c r="R4" s="34" t="s">
        <v>88</v>
      </c>
      <c r="S4" s="34" t="s">
        <v>87</v>
      </c>
      <c r="T4" s="34" t="s">
        <v>83</v>
      </c>
      <c r="U4" s="34" t="s">
        <v>89</v>
      </c>
      <c r="V4" s="34" t="s">
        <v>90</v>
      </c>
      <c r="W4" s="34" t="s">
        <v>83</v>
      </c>
      <c r="X4" s="33">
        <f t="shared" ca="1" si="1"/>
        <v>45814</v>
      </c>
      <c r="Y4" s="34" t="s">
        <v>91</v>
      </c>
      <c r="Z4" s="34" t="s">
        <v>92</v>
      </c>
      <c r="AA4" s="34" t="s">
        <v>93</v>
      </c>
      <c r="AB4" t="s">
        <v>130</v>
      </c>
      <c r="AC4" s="34" t="s">
        <v>95</v>
      </c>
      <c r="AD4" s="34">
        <v>766</v>
      </c>
      <c r="AE4" s="34" t="s">
        <v>71</v>
      </c>
      <c r="AF4" s="34">
        <v>20</v>
      </c>
      <c r="AG4" s="34" t="s">
        <v>88</v>
      </c>
      <c r="AH4" s="34" t="s">
        <v>96</v>
      </c>
      <c r="AI4" s="33">
        <v>43831</v>
      </c>
      <c r="AJ4" s="33">
        <v>45293</v>
      </c>
      <c r="AK4" s="34" t="s">
        <v>97</v>
      </c>
      <c r="AL4" s="34" t="s">
        <v>98</v>
      </c>
      <c r="AM4" s="33">
        <f t="shared" ca="1" si="6"/>
        <v>46088</v>
      </c>
      <c r="AN4" s="34">
        <v>110</v>
      </c>
      <c r="AO4" s="34" t="s">
        <v>99</v>
      </c>
      <c r="AP4" s="34" t="s">
        <v>100</v>
      </c>
      <c r="AQ4" s="34" t="s">
        <v>101</v>
      </c>
      <c r="AR4" s="33">
        <f t="shared" ca="1" si="3"/>
        <v>45814</v>
      </c>
      <c r="AS4" s="33">
        <f t="shared" ca="1" si="4"/>
        <v>45814</v>
      </c>
      <c r="AT4" s="33" t="s">
        <v>132</v>
      </c>
      <c r="AU4" s="34" t="s">
        <v>102</v>
      </c>
      <c r="AV4" s="34" t="s">
        <v>133</v>
      </c>
      <c r="AW4" s="34" t="s">
        <v>104</v>
      </c>
      <c r="AX4" s="34" t="s">
        <v>105</v>
      </c>
      <c r="AY4" s="34" t="s">
        <v>106</v>
      </c>
      <c r="AZ4" s="34" t="s">
        <v>107</v>
      </c>
      <c r="BA4" s="34" t="s">
        <v>108</v>
      </c>
      <c r="BB4" s="34" t="s">
        <v>92</v>
      </c>
      <c r="BC4" s="34"/>
      <c r="BD4" s="31" t="s">
        <v>78</v>
      </c>
      <c r="BE4" s="34" t="s">
        <v>109</v>
      </c>
      <c r="BF4" s="40">
        <v>9477896636</v>
      </c>
      <c r="BG4" s="31" t="s">
        <v>78</v>
      </c>
      <c r="BH4" s="34" t="s">
        <v>110</v>
      </c>
      <c r="BI4" s="40">
        <v>47678965370</v>
      </c>
      <c r="BJ4" s="31" t="s">
        <v>78</v>
      </c>
      <c r="BK4" s="31" t="s">
        <v>111</v>
      </c>
      <c r="BL4" s="40" t="s">
        <v>139</v>
      </c>
      <c r="BM4" s="31" t="s">
        <v>113</v>
      </c>
      <c r="BN4" s="37">
        <v>35591</v>
      </c>
      <c r="BO4" s="31" t="s">
        <v>114</v>
      </c>
      <c r="BP4" s="41" t="s">
        <v>132</v>
      </c>
      <c r="BQ4" s="31" t="s">
        <v>116</v>
      </c>
      <c r="BR4" s="31" t="s">
        <v>117</v>
      </c>
      <c r="BS4" s="38" t="s">
        <v>118</v>
      </c>
      <c r="BT4" s="34" t="s">
        <v>119</v>
      </c>
      <c r="BU4" s="39" t="s">
        <v>120</v>
      </c>
      <c r="BV4" s="39" t="s">
        <v>121</v>
      </c>
      <c r="BW4" s="34" t="s">
        <v>122</v>
      </c>
      <c r="BX4" s="34" t="s">
        <v>123</v>
      </c>
      <c r="BY4" s="34" t="s">
        <v>124</v>
      </c>
    </row>
    <row r="5" spans="1:77" ht="52.5" customHeight="1" x14ac:dyDescent="0.35">
      <c r="A5" t="s">
        <v>140</v>
      </c>
      <c r="B5" t="s">
        <v>141</v>
      </c>
      <c r="C5" s="1" t="s">
        <v>127</v>
      </c>
      <c r="D5" s="30" t="s">
        <v>77</v>
      </c>
      <c r="E5" t="s">
        <v>78</v>
      </c>
      <c r="F5" t="s">
        <v>142</v>
      </c>
      <c r="G5" t="s">
        <v>143</v>
      </c>
      <c r="H5" s="34" t="s">
        <v>81</v>
      </c>
      <c r="I5" s="34" t="s">
        <v>82</v>
      </c>
      <c r="J5" s="34" t="s">
        <v>83</v>
      </c>
      <c r="K5" s="33">
        <f ca="1">TODAY()-31</f>
        <v>45692</v>
      </c>
      <c r="L5" s="34" t="s">
        <v>78</v>
      </c>
      <c r="M5" s="34" t="s">
        <v>84</v>
      </c>
      <c r="N5" s="34" t="s">
        <v>85</v>
      </c>
      <c r="O5" s="34" t="s">
        <v>86</v>
      </c>
      <c r="P5" s="34" t="s">
        <v>87</v>
      </c>
      <c r="Q5" s="34" t="s">
        <v>88</v>
      </c>
      <c r="R5" s="34" t="s">
        <v>88</v>
      </c>
      <c r="S5" s="34" t="s">
        <v>87</v>
      </c>
      <c r="T5" s="34" t="s">
        <v>83</v>
      </c>
      <c r="U5" s="34" t="s">
        <v>89</v>
      </c>
      <c r="V5" s="34" t="s">
        <v>90</v>
      </c>
      <c r="W5" s="34" t="s">
        <v>83</v>
      </c>
      <c r="X5" s="33">
        <f t="shared" ca="1" si="1"/>
        <v>45692</v>
      </c>
      <c r="Y5" s="34" t="s">
        <v>91</v>
      </c>
      <c r="Z5" s="34" t="s">
        <v>92</v>
      </c>
      <c r="AA5" s="34" t="s">
        <v>100</v>
      </c>
      <c r="AB5" t="s">
        <v>130</v>
      </c>
      <c r="AC5" s="34" t="s">
        <v>131</v>
      </c>
      <c r="AD5" s="34">
        <v>766</v>
      </c>
      <c r="AE5" s="34" t="s">
        <v>71</v>
      </c>
      <c r="AF5" s="34">
        <v>40</v>
      </c>
      <c r="AG5" s="34" t="s">
        <v>88</v>
      </c>
      <c r="AH5" s="34" t="s">
        <v>96</v>
      </c>
      <c r="AI5" s="33">
        <v>43831</v>
      </c>
      <c r="AJ5" s="33">
        <v>45293</v>
      </c>
      <c r="AK5" s="34" t="s">
        <v>97</v>
      </c>
      <c r="AL5" s="34" t="s">
        <v>98</v>
      </c>
      <c r="AM5" s="33">
        <f t="shared" ca="1" si="6"/>
        <v>46088</v>
      </c>
      <c r="AN5" s="34">
        <v>110</v>
      </c>
      <c r="AO5" s="34" t="s">
        <v>99</v>
      </c>
      <c r="AP5" s="34" t="s">
        <v>144</v>
      </c>
      <c r="AQ5" s="34" t="s">
        <v>101</v>
      </c>
      <c r="AR5" s="33">
        <f t="shared" ca="1" si="3"/>
        <v>45692</v>
      </c>
      <c r="AS5" s="33">
        <f t="shared" ca="1" si="4"/>
        <v>45692</v>
      </c>
      <c r="AT5" s="33" t="s">
        <v>132</v>
      </c>
      <c r="AU5" s="34" t="s">
        <v>102</v>
      </c>
      <c r="AV5" s="34" t="s">
        <v>133</v>
      </c>
      <c r="AW5" s="34" t="s">
        <v>104</v>
      </c>
      <c r="AX5" s="34" t="s">
        <v>105</v>
      </c>
      <c r="AY5" s="34" t="s">
        <v>106</v>
      </c>
      <c r="AZ5" s="34" t="s">
        <v>107</v>
      </c>
      <c r="BA5" s="34" t="s">
        <v>108</v>
      </c>
      <c r="BB5" s="34" t="s">
        <v>92</v>
      </c>
      <c r="BC5" s="34"/>
      <c r="BD5" s="31" t="s">
        <v>78</v>
      </c>
      <c r="BE5" s="34" t="s">
        <v>109</v>
      </c>
      <c r="BF5" s="15">
        <v>9477896637</v>
      </c>
      <c r="BG5" s="31" t="s">
        <v>78</v>
      </c>
      <c r="BH5" s="34" t="s">
        <v>110</v>
      </c>
      <c r="BI5" s="15">
        <v>47678965371</v>
      </c>
      <c r="BJ5" s="31" t="s">
        <v>78</v>
      </c>
      <c r="BK5" s="31" t="s">
        <v>111</v>
      </c>
      <c r="BL5" s="31" t="s">
        <v>145</v>
      </c>
      <c r="BM5" s="31" t="s">
        <v>113</v>
      </c>
      <c r="BN5" s="37">
        <v>35591</v>
      </c>
      <c r="BO5" s="31" t="s">
        <v>114</v>
      </c>
      <c r="BP5" s="31" t="s">
        <v>115</v>
      </c>
      <c r="BQ5" s="31" t="s">
        <v>116</v>
      </c>
      <c r="BR5" s="31" t="s">
        <v>117</v>
      </c>
      <c r="BS5" s="38" t="s">
        <v>118</v>
      </c>
      <c r="BT5" s="34" t="s">
        <v>119</v>
      </c>
      <c r="BU5" s="39" t="s">
        <v>120</v>
      </c>
      <c r="BV5" s="39" t="s">
        <v>121</v>
      </c>
      <c r="BW5" s="34" t="s">
        <v>122</v>
      </c>
      <c r="BX5" s="34" t="s">
        <v>123</v>
      </c>
      <c r="BY5" s="34" t="s">
        <v>124</v>
      </c>
    </row>
    <row r="6" spans="1:77" ht="54" customHeight="1" x14ac:dyDescent="0.5">
      <c r="A6" t="s">
        <v>146</v>
      </c>
      <c r="B6" t="s">
        <v>147</v>
      </c>
      <c r="C6" s="1" t="s">
        <v>127</v>
      </c>
      <c r="D6" s="30" t="s">
        <v>77</v>
      </c>
      <c r="E6" t="s">
        <v>78</v>
      </c>
      <c r="F6" t="s">
        <v>148</v>
      </c>
      <c r="G6" t="s">
        <v>149</v>
      </c>
      <c r="H6" s="34" t="s">
        <v>81</v>
      </c>
      <c r="I6" s="34" t="s">
        <v>82</v>
      </c>
      <c r="J6" s="34" t="s">
        <v>83</v>
      </c>
      <c r="K6" s="33">
        <f ca="1">TODAY()+91</f>
        <v>45814</v>
      </c>
      <c r="L6" s="34" t="s">
        <v>78</v>
      </c>
      <c r="M6" s="34" t="s">
        <v>84</v>
      </c>
      <c r="N6" s="34" t="s">
        <v>85</v>
      </c>
      <c r="O6" s="34" t="s">
        <v>86</v>
      </c>
      <c r="P6" s="34" t="s">
        <v>87</v>
      </c>
      <c r="Q6" s="34" t="s">
        <v>88</v>
      </c>
      <c r="R6" s="34" t="s">
        <v>88</v>
      </c>
      <c r="S6" s="34" t="s">
        <v>87</v>
      </c>
      <c r="T6" s="34" t="s">
        <v>83</v>
      </c>
      <c r="U6" s="34" t="s">
        <v>89</v>
      </c>
      <c r="V6" s="34" t="s">
        <v>90</v>
      </c>
      <c r="W6" s="34" t="s">
        <v>83</v>
      </c>
      <c r="X6" s="33">
        <f t="shared" ca="1" si="1"/>
        <v>45814</v>
      </c>
      <c r="Y6" s="34" t="s">
        <v>91</v>
      </c>
      <c r="Z6" s="34" t="s">
        <v>92</v>
      </c>
      <c r="AA6" s="34" t="s">
        <v>93</v>
      </c>
      <c r="AB6" t="s">
        <v>130</v>
      </c>
      <c r="AC6" s="34" t="s">
        <v>131</v>
      </c>
      <c r="AD6" s="34">
        <v>766</v>
      </c>
      <c r="AE6" s="34" t="s">
        <v>71</v>
      </c>
      <c r="AF6" s="34">
        <v>40</v>
      </c>
      <c r="AG6" s="34" t="s">
        <v>88</v>
      </c>
      <c r="AH6" s="34" t="s">
        <v>96</v>
      </c>
      <c r="AI6" s="33">
        <v>43831</v>
      </c>
      <c r="AJ6" s="33">
        <v>45293</v>
      </c>
      <c r="AK6" s="34" t="s">
        <v>97</v>
      </c>
      <c r="AL6" s="34" t="s">
        <v>98</v>
      </c>
      <c r="AM6" s="33" t="s">
        <v>132</v>
      </c>
      <c r="AN6" s="34">
        <v>110</v>
      </c>
      <c r="AO6" s="34" t="s">
        <v>99</v>
      </c>
      <c r="AP6" s="34" t="s">
        <v>100</v>
      </c>
      <c r="AQ6" s="34" t="s">
        <v>101</v>
      </c>
      <c r="AR6" s="33">
        <f t="shared" ca="1" si="3"/>
        <v>45814</v>
      </c>
      <c r="AS6" s="33">
        <f t="shared" ca="1" si="4"/>
        <v>45814</v>
      </c>
      <c r="AT6" s="33" t="s">
        <v>132</v>
      </c>
      <c r="AU6" s="34" t="s">
        <v>102</v>
      </c>
      <c r="AV6" s="34" t="s">
        <v>133</v>
      </c>
      <c r="AW6" s="34" t="s">
        <v>104</v>
      </c>
      <c r="AX6" s="34" t="s">
        <v>105</v>
      </c>
      <c r="AY6" s="34" t="s">
        <v>106</v>
      </c>
      <c r="AZ6" s="34" t="s">
        <v>107</v>
      </c>
      <c r="BA6" s="34" t="s">
        <v>108</v>
      </c>
      <c r="BB6" s="34" t="s">
        <v>92</v>
      </c>
      <c r="BC6" s="34"/>
      <c r="BD6" s="31" t="s">
        <v>78</v>
      </c>
      <c r="BE6" s="34" t="s">
        <v>109</v>
      </c>
      <c r="BF6" s="40">
        <v>9477896638</v>
      </c>
      <c r="BG6" s="31" t="s">
        <v>78</v>
      </c>
      <c r="BH6" s="34" t="s">
        <v>110</v>
      </c>
      <c r="BI6" s="40">
        <v>47678965372</v>
      </c>
      <c r="BJ6" s="31" t="s">
        <v>78</v>
      </c>
      <c r="BK6" s="31" t="s">
        <v>111</v>
      </c>
      <c r="BL6" s="40" t="s">
        <v>150</v>
      </c>
      <c r="BM6" s="31" t="s">
        <v>113</v>
      </c>
      <c r="BN6" s="37">
        <v>35591</v>
      </c>
      <c r="BO6" s="31" t="s">
        <v>114</v>
      </c>
      <c r="BP6" s="41" t="s">
        <v>132</v>
      </c>
      <c r="BQ6" s="31" t="s">
        <v>116</v>
      </c>
      <c r="BR6" s="31" t="s">
        <v>117</v>
      </c>
      <c r="BS6" s="38" t="s">
        <v>118</v>
      </c>
      <c r="BT6" s="34" t="s">
        <v>119</v>
      </c>
      <c r="BU6" s="39" t="s">
        <v>120</v>
      </c>
      <c r="BV6" s="39" t="s">
        <v>121</v>
      </c>
      <c r="BW6" s="34" t="s">
        <v>122</v>
      </c>
      <c r="BX6" s="34" t="s">
        <v>123</v>
      </c>
      <c r="BY6" s="34" t="s">
        <v>124</v>
      </c>
    </row>
    <row r="7" spans="1:77" ht="52.5" customHeight="1" x14ac:dyDescent="0.35">
      <c r="A7" t="s">
        <v>151</v>
      </c>
      <c r="B7" t="s">
        <v>152</v>
      </c>
      <c r="C7" s="1" t="s">
        <v>127</v>
      </c>
      <c r="D7" s="30" t="s">
        <v>77</v>
      </c>
      <c r="E7" t="s">
        <v>78</v>
      </c>
      <c r="F7" t="s">
        <v>153</v>
      </c>
      <c r="G7" t="s">
        <v>154</v>
      </c>
      <c r="H7" s="34" t="s">
        <v>81</v>
      </c>
      <c r="I7" s="34" t="s">
        <v>82</v>
      </c>
      <c r="J7" s="34" t="s">
        <v>83</v>
      </c>
      <c r="K7" s="33">
        <f ca="1">TODAY()-31</f>
        <v>45692</v>
      </c>
      <c r="L7" s="34" t="s">
        <v>78</v>
      </c>
      <c r="M7" s="34" t="s">
        <v>84</v>
      </c>
      <c r="N7" s="34" t="s">
        <v>85</v>
      </c>
      <c r="O7" s="34" t="s">
        <v>86</v>
      </c>
      <c r="P7" s="34" t="s">
        <v>87</v>
      </c>
      <c r="Q7" s="34" t="s">
        <v>88</v>
      </c>
      <c r="R7" s="34" t="s">
        <v>88</v>
      </c>
      <c r="S7" s="34" t="s">
        <v>87</v>
      </c>
      <c r="T7" s="34" t="s">
        <v>83</v>
      </c>
      <c r="U7" s="34" t="s">
        <v>89</v>
      </c>
      <c r="V7" s="34" t="s">
        <v>90</v>
      </c>
      <c r="W7" s="34" t="s">
        <v>83</v>
      </c>
      <c r="X7" s="33">
        <f t="shared" ca="1" si="1"/>
        <v>45692</v>
      </c>
      <c r="Y7" s="34" t="s">
        <v>91</v>
      </c>
      <c r="Z7" s="34" t="s">
        <v>92</v>
      </c>
      <c r="AA7" s="34" t="s">
        <v>93</v>
      </c>
      <c r="AB7" s="42" t="s">
        <v>155</v>
      </c>
      <c r="AC7" s="34" t="s">
        <v>131</v>
      </c>
      <c r="AD7" s="34">
        <v>766</v>
      </c>
      <c r="AE7" s="34" t="s">
        <v>71</v>
      </c>
      <c r="AF7" s="34">
        <v>40</v>
      </c>
      <c r="AG7" s="34" t="s">
        <v>88</v>
      </c>
      <c r="AH7" s="34" t="s">
        <v>96</v>
      </c>
      <c r="AI7" s="33">
        <v>43831</v>
      </c>
      <c r="AJ7" s="33">
        <v>45293</v>
      </c>
      <c r="AK7" s="34" t="s">
        <v>97</v>
      </c>
      <c r="AL7" s="34" t="s">
        <v>98</v>
      </c>
      <c r="AM7" s="33">
        <f ca="1">TODAY()+365</f>
        <v>46088</v>
      </c>
      <c r="AN7" s="34">
        <v>110</v>
      </c>
      <c r="AO7" s="34" t="s">
        <v>99</v>
      </c>
      <c r="AP7" s="34" t="s">
        <v>100</v>
      </c>
      <c r="AQ7" s="34" t="s">
        <v>101</v>
      </c>
      <c r="AR7" s="33">
        <f t="shared" ca="1" si="3"/>
        <v>45692</v>
      </c>
      <c r="AS7" s="33">
        <f t="shared" ca="1" si="4"/>
        <v>45692</v>
      </c>
      <c r="AT7" s="33">
        <f ca="1">TODAY()+365</f>
        <v>46088</v>
      </c>
      <c r="AU7" s="34" t="s">
        <v>102</v>
      </c>
      <c r="AV7" s="34" t="s">
        <v>156</v>
      </c>
      <c r="AW7" s="34" t="s">
        <v>104</v>
      </c>
      <c r="AX7" s="34" t="s">
        <v>105</v>
      </c>
      <c r="AY7" s="34" t="s">
        <v>106</v>
      </c>
      <c r="AZ7" s="34" t="s">
        <v>107</v>
      </c>
      <c r="BA7" s="34" t="s">
        <v>108</v>
      </c>
      <c r="BB7" s="34" t="s">
        <v>92</v>
      </c>
      <c r="BC7" s="34"/>
      <c r="BD7" s="31" t="s">
        <v>78</v>
      </c>
      <c r="BE7" s="34" t="s">
        <v>109</v>
      </c>
      <c r="BF7" s="15">
        <v>9477896639</v>
      </c>
      <c r="BG7" s="31" t="s">
        <v>78</v>
      </c>
      <c r="BH7" s="34" t="s">
        <v>110</v>
      </c>
      <c r="BI7" s="15">
        <v>47678965373</v>
      </c>
      <c r="BJ7" s="31" t="s">
        <v>78</v>
      </c>
      <c r="BK7" s="31" t="s">
        <v>111</v>
      </c>
      <c r="BL7" s="31" t="s">
        <v>157</v>
      </c>
      <c r="BM7" s="31" t="s">
        <v>113</v>
      </c>
      <c r="BN7" s="37">
        <v>35591</v>
      </c>
      <c r="BO7" s="31" t="s">
        <v>114</v>
      </c>
      <c r="BP7" s="31" t="s">
        <v>115</v>
      </c>
      <c r="BQ7" s="31" t="s">
        <v>116</v>
      </c>
      <c r="BR7" s="31" t="s">
        <v>117</v>
      </c>
      <c r="BS7" s="38" t="s">
        <v>118</v>
      </c>
      <c r="BT7" s="34" t="s">
        <v>119</v>
      </c>
      <c r="BU7" s="39" t="s">
        <v>120</v>
      </c>
      <c r="BV7" s="39" t="s">
        <v>121</v>
      </c>
      <c r="BW7" s="34" t="s">
        <v>122</v>
      </c>
      <c r="BX7" s="34" t="s">
        <v>123</v>
      </c>
      <c r="BY7" s="34" t="s">
        <v>124</v>
      </c>
    </row>
    <row r="8" spans="1:77" ht="54" customHeight="1" x14ac:dyDescent="0.5">
      <c r="A8" t="s">
        <v>158</v>
      </c>
      <c r="B8" t="s">
        <v>159</v>
      </c>
      <c r="C8" s="1" t="s">
        <v>127</v>
      </c>
      <c r="D8" s="30" t="s">
        <v>77</v>
      </c>
      <c r="E8" t="s">
        <v>78</v>
      </c>
      <c r="F8" t="s">
        <v>160</v>
      </c>
      <c r="G8" t="s">
        <v>161</v>
      </c>
      <c r="H8" s="34" t="s">
        <v>81</v>
      </c>
      <c r="I8" s="34" t="s">
        <v>82</v>
      </c>
      <c r="J8" s="34" t="s">
        <v>83</v>
      </c>
      <c r="K8" s="33">
        <f ca="1">TODAY()-31</f>
        <v>45692</v>
      </c>
      <c r="L8" s="34" t="s">
        <v>78</v>
      </c>
      <c r="M8" s="34" t="s">
        <v>84</v>
      </c>
      <c r="N8" s="34" t="s">
        <v>85</v>
      </c>
      <c r="O8" s="34" t="s">
        <v>86</v>
      </c>
      <c r="P8" s="34" t="s">
        <v>87</v>
      </c>
      <c r="Q8" s="34" t="s">
        <v>88</v>
      </c>
      <c r="R8" s="34" t="s">
        <v>88</v>
      </c>
      <c r="S8" s="34" t="s">
        <v>87</v>
      </c>
      <c r="T8" s="34" t="s">
        <v>83</v>
      </c>
      <c r="U8" s="34" t="s">
        <v>89</v>
      </c>
      <c r="V8" s="34" t="s">
        <v>90</v>
      </c>
      <c r="W8" s="34" t="s">
        <v>83</v>
      </c>
      <c r="X8" s="33">
        <f t="shared" ca="1" si="1"/>
        <v>45692</v>
      </c>
      <c r="Y8" s="34" t="s">
        <v>91</v>
      </c>
      <c r="Z8" s="34" t="s">
        <v>92</v>
      </c>
      <c r="AA8" s="34" t="s">
        <v>93</v>
      </c>
      <c r="AB8" s="42" t="s">
        <v>155</v>
      </c>
      <c r="AC8" s="34" t="s">
        <v>95</v>
      </c>
      <c r="AD8" s="34">
        <v>766</v>
      </c>
      <c r="AE8" s="34" t="s">
        <v>71</v>
      </c>
      <c r="AF8" s="34">
        <v>20</v>
      </c>
      <c r="AG8" s="34" t="s">
        <v>88</v>
      </c>
      <c r="AH8" s="34" t="s">
        <v>96</v>
      </c>
      <c r="AI8" s="33">
        <v>43831</v>
      </c>
      <c r="AJ8" s="33">
        <v>45293</v>
      </c>
      <c r="AK8" s="34" t="s">
        <v>97</v>
      </c>
      <c r="AL8" s="34" t="s">
        <v>98</v>
      </c>
      <c r="AM8" s="33">
        <f ca="1">TODAY()+365</f>
        <v>46088</v>
      </c>
      <c r="AN8" s="34">
        <v>110</v>
      </c>
      <c r="AO8" s="34" t="s">
        <v>99</v>
      </c>
      <c r="AP8" s="34" t="s">
        <v>100</v>
      </c>
      <c r="AQ8" s="34" t="s">
        <v>101</v>
      </c>
      <c r="AR8" s="33">
        <f t="shared" ca="1" si="3"/>
        <v>45692</v>
      </c>
      <c r="AS8" s="33">
        <f t="shared" ca="1" si="4"/>
        <v>45692</v>
      </c>
      <c r="AT8" s="33">
        <f ca="1">TODAY()+365</f>
        <v>46088</v>
      </c>
      <c r="AU8" s="34" t="s">
        <v>102</v>
      </c>
      <c r="AV8" s="34" t="s">
        <v>162</v>
      </c>
      <c r="AW8" s="34" t="s">
        <v>104</v>
      </c>
      <c r="AX8" s="34" t="s">
        <v>105</v>
      </c>
      <c r="AY8" s="34" t="s">
        <v>106</v>
      </c>
      <c r="AZ8" s="34" t="s">
        <v>107</v>
      </c>
      <c r="BA8" s="34" t="s">
        <v>108</v>
      </c>
      <c r="BB8" s="34" t="s">
        <v>92</v>
      </c>
      <c r="BC8" s="34"/>
      <c r="BD8" s="31" t="s">
        <v>78</v>
      </c>
      <c r="BE8" s="34" t="s">
        <v>109</v>
      </c>
      <c r="BF8" s="40">
        <v>9477896640</v>
      </c>
      <c r="BG8" s="31" t="s">
        <v>78</v>
      </c>
      <c r="BH8" s="34" t="s">
        <v>110</v>
      </c>
      <c r="BI8" s="40">
        <v>47678965374</v>
      </c>
      <c r="BJ8" s="31" t="s">
        <v>78</v>
      </c>
      <c r="BK8" s="31" t="s">
        <v>111</v>
      </c>
      <c r="BL8" s="40" t="s">
        <v>163</v>
      </c>
      <c r="BM8" s="31" t="s">
        <v>113</v>
      </c>
      <c r="BN8" s="37">
        <v>35591</v>
      </c>
      <c r="BO8" s="31" t="s">
        <v>114</v>
      </c>
      <c r="BP8" s="41" t="s">
        <v>132</v>
      </c>
      <c r="BQ8" s="31" t="s">
        <v>116</v>
      </c>
      <c r="BR8" s="31" t="s">
        <v>117</v>
      </c>
      <c r="BS8" s="38" t="s">
        <v>118</v>
      </c>
      <c r="BT8" s="34" t="s">
        <v>119</v>
      </c>
      <c r="BU8" s="39" t="s">
        <v>120</v>
      </c>
      <c r="BV8" s="39" t="s">
        <v>121</v>
      </c>
      <c r="BW8" s="34" t="s">
        <v>122</v>
      </c>
      <c r="BX8" s="34" t="s">
        <v>123</v>
      </c>
      <c r="BY8" s="34" t="s">
        <v>124</v>
      </c>
    </row>
  </sheetData>
  <autoFilter ref="A1:BY8" xr:uid="{00000000-0009-0000-0000-000000000000}"/>
  <pageMargins left="0.7" right="0.7" top="0.75" bottom="0.75" header="0.3" footer="0.3"/>
  <pageSetup orientation="portrait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2025-03-07T07:04:33Z</dcterms:modified>
</cp:coreProperties>
</file>