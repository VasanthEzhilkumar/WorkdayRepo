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68" yWindow="-108" windowWidth="22080" windowHeight="13176"/>
  </bookViews>
  <sheets>
    <sheet sheetId="1" name="Sheet1" state="visible" r:id="rId4"/>
  </sheets>
  <calcPr calcId="171027"/>
</workbook>
</file>

<file path=xl/sharedStrings.xml><?xml version="1.0" encoding="utf-8"?>
<sst xmlns="http://schemas.openxmlformats.org/spreadsheetml/2006/main" count="553" uniqueCount="194">
  <si>
    <t>TestCaseIDs</t>
  </si>
  <si>
    <t>EmployeeID</t>
  </si>
  <si>
    <t>TestStatus</t>
  </si>
  <si>
    <t>SupervisoryOrganisation</t>
  </si>
  <si>
    <t>Country</t>
  </si>
  <si>
    <t>GivenName</t>
  </si>
  <si>
    <t>FamilyName</t>
  </si>
  <si>
    <t>PhoneNumber</t>
  </si>
  <si>
    <t>PhoneDevice</t>
  </si>
  <si>
    <t>Type</t>
  </si>
  <si>
    <t>EffectiveDate</t>
  </si>
  <si>
    <t>StreetName</t>
  </si>
  <si>
    <t>HouseNumber</t>
  </si>
  <si>
    <t>ReferenceNumber</t>
  </si>
  <si>
    <t>Locality</t>
  </si>
  <si>
    <t>Postal_Code</t>
  </si>
  <si>
    <t>City</t>
  </si>
  <si>
    <t>Region</t>
  </si>
  <si>
    <t>UseFor</t>
  </si>
  <si>
    <t>EmailAddress</t>
  </si>
  <si>
    <t>HireDate</t>
  </si>
  <si>
    <t>Reason</t>
  </si>
  <si>
    <t>Position</t>
  </si>
  <si>
    <t>EmployeeType</t>
  </si>
  <si>
    <t>JobProfile</t>
  </si>
  <si>
    <t>TimeType</t>
  </si>
  <si>
    <t>Location</t>
  </si>
  <si>
    <t>PayRateType</t>
  </si>
  <si>
    <t>WorkShift</t>
  </si>
  <si>
    <t>ScheduledWeeklyHours</t>
  </si>
  <si>
    <t>EndEmploymentDate</t>
  </si>
  <si>
    <t>ContractType</t>
  </si>
  <si>
    <t>Status</t>
  </si>
  <si>
    <t>ContractEndDate</t>
  </si>
  <si>
    <t>DateEmployeeSigned</t>
  </si>
  <si>
    <t>DateEmployerSigned</t>
  </si>
  <si>
    <t>CostCenter</t>
  </si>
  <si>
    <t>DepartmentSection</t>
  </si>
  <si>
    <t>AllowanceAmount</t>
  </si>
  <si>
    <t>ProbationEndDate</t>
  </si>
  <si>
    <t>Country1</t>
  </si>
  <si>
    <t>NationalIDType1</t>
  </si>
  <si>
    <t>AddEditID1</t>
  </si>
  <si>
    <t>IssuedDate1</t>
  </si>
  <si>
    <t>ExpirationDate1</t>
  </si>
  <si>
    <t>Country2</t>
  </si>
  <si>
    <t>NationalIDType2</t>
  </si>
  <si>
    <t>AddEditID2</t>
  </si>
  <si>
    <t>IssuedDate2</t>
  </si>
  <si>
    <t>ExpirationDate2</t>
  </si>
  <si>
    <t>Country3</t>
  </si>
  <si>
    <t>PassportIDType3</t>
  </si>
  <si>
    <t>AddEditID3</t>
  </si>
  <si>
    <t>IssuedDate3</t>
  </si>
  <si>
    <t>ExpirationDate3</t>
  </si>
  <si>
    <t>Country4</t>
  </si>
  <si>
    <t>VisaIDType4</t>
  </si>
  <si>
    <t>AddEditID4</t>
  </si>
  <si>
    <t>IssuedDate4</t>
  </si>
  <si>
    <t>ExpirationDate4</t>
  </si>
  <si>
    <t>Gender</t>
  </si>
  <si>
    <t>DateOfBirth</t>
  </si>
  <si>
    <t>BirthCity</t>
  </si>
  <si>
    <t>MaritalStatus</t>
  </si>
  <si>
    <t>CitizenshipStatus</t>
  </si>
  <si>
    <t>BankName</t>
  </si>
  <si>
    <t>AccountType</t>
  </si>
  <si>
    <t>BankIdentificationCode</t>
  </si>
  <si>
    <t>IBAN</t>
  </si>
  <si>
    <t>LastName</t>
  </si>
  <si>
    <t>BirthDate</t>
  </si>
  <si>
    <t>Relationship</t>
  </si>
  <si>
    <t>LivesWithWorkerEffectiveDate</t>
  </si>
  <si>
    <t>LivesWithWorker</t>
  </si>
  <si>
    <t>NationalIDCountry</t>
  </si>
  <si>
    <t>NationalIDType</t>
  </si>
  <si>
    <t>AddEditID</t>
  </si>
  <si>
    <t>NationalIDIssuedDate</t>
  </si>
  <si>
    <t>NationalIDExpirationDate</t>
  </si>
  <si>
    <t>School</t>
  </si>
  <si>
    <t>Degree</t>
  </si>
  <si>
    <t>DegreeReceived</t>
  </si>
  <si>
    <t>YearDegreeReceived</t>
  </si>
  <si>
    <t>FieldOfStudy</t>
  </si>
  <si>
    <t>FirstYearAttended</t>
  </si>
  <si>
    <t>LastYearAttended</t>
  </si>
  <si>
    <t>GradeAverage</t>
  </si>
  <si>
    <t>NameType</t>
  </si>
  <si>
    <t>HealthInsuranceCompany</t>
  </si>
  <si>
    <t>MealVoucher</t>
  </si>
  <si>
    <t>ProposedPayGroupInitial</t>
  </si>
  <si>
    <t>ProposedPayGroupFinal</t>
  </si>
  <si>
    <t>Test1</t>
  </si>
  <si>
    <t>Test failed for 'Gianni Schimmel'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Path:-&gt;H:\WorkDaySuite_Playwright/WorkdayFailedScreenshot/2024-11-08T10-17-17-313Z.png</t>
  </si>
  <si>
    <t>Failed</t>
  </si>
  <si>
    <t>895 Retail Team 1 (Kyhev Zypopa (10573442) (Inherited))</t>
  </si>
  <si>
    <t>Czechia</t>
  </si>
  <si>
    <t>770 272 784</t>
  </si>
  <si>
    <t>Mobile</t>
  </si>
  <si>
    <t>Home</t>
  </si>
  <si>
    <t>Test</t>
  </si>
  <si>
    <t>Prague</t>
  </si>
  <si>
    <t>Pardubic</t>
  </si>
  <si>
    <t>Street Address</t>
  </si>
  <si>
    <t>Test@primark.com</t>
  </si>
  <si>
    <t>New Hire</t>
  </si>
  <si>
    <t>No</t>
  </si>
  <si>
    <t>Permanent</t>
  </si>
  <si>
    <t>Retail Assistant_NEW</t>
  </si>
  <si>
    <t>Full time</t>
  </si>
  <si>
    <t>895 Prague Wenceslas SQ</t>
  </si>
  <si>
    <t>Salary</t>
  </si>
  <si>
    <t>5 Days</t>
  </si>
  <si>
    <t>N/A</t>
  </si>
  <si>
    <t>Employment Agreement</t>
  </si>
  <si>
    <t>Active</t>
  </si>
  <si>
    <t>94 Retail Operatives</t>
  </si>
  <si>
    <t>07 Footwear</t>
  </si>
  <si>
    <t>Personal Number</t>
  </si>
  <si>
    <t>11/11/1998</t>
  </si>
  <si>
    <t>11/11/2055</t>
  </si>
  <si>
    <t>Citizen ID Number</t>
  </si>
  <si>
    <t>Female</t>
  </si>
  <si>
    <t>Single (Czechia)</t>
  </si>
  <si>
    <t>Citizen (Czechia)</t>
  </si>
  <si>
    <t>Air Bank</t>
  </si>
  <si>
    <t>Checking</t>
  </si>
  <si>
    <t>AIRACZPPXXX</t>
  </si>
  <si>
    <t>CZ6508000000192000145399</t>
  </si>
  <si>
    <t>Asd</t>
  </si>
  <si>
    <t>Uzoho</t>
  </si>
  <si>
    <t>Child</t>
  </si>
  <si>
    <t>Yes</t>
  </si>
  <si>
    <t>Bc</t>
  </si>
  <si>
    <t>bakal</t>
  </si>
  <si>
    <t>Economics</t>
  </si>
  <si>
    <t>2000.31130.00000000.6208R.2636</t>
  </si>
  <si>
    <t>Maiden</t>
  </si>
  <si>
    <t>Gianni</t>
  </si>
  <si>
    <t>Schimmel</t>
  </si>
  <si>
    <t>Ne</t>
  </si>
  <si>
    <t>Please select a Czech Republic Pay Group</t>
  </si>
  <si>
    <t>CZ Monthly</t>
  </si>
  <si>
    <t>Test2</t>
  </si>
  <si>
    <t>Test failed for 'Samanta Breitenberg-Bednar' Employee:{undefined}TypeError: Cannot read properties of undefined (reading 'split')</t>
  </si>
  <si>
    <t>895 Store Management (Kyhev Zypopa (10573442))</t>
  </si>
  <si>
    <t>Auto 69129781</t>
  </si>
  <si>
    <t>Department Manager_NEW</t>
  </si>
  <si>
    <t>92 Retail Management</t>
  </si>
  <si>
    <t>251 Management Retail</t>
  </si>
  <si>
    <t>Ade</t>
  </si>
  <si>
    <t>Aina</t>
  </si>
  <si>
    <t>Samanta</t>
  </si>
  <si>
    <t>Breitenberg-Bednar</t>
  </si>
  <si>
    <t>Test3</t>
  </si>
  <si>
    <t>Fixed Term</t>
  </si>
  <si>
    <t>Part time</t>
  </si>
  <si>
    <t>4 Days</t>
  </si>
  <si>
    <t>11 Household</t>
  </si>
  <si>
    <t>John</t>
  </si>
  <si>
    <t>Ogbonda</t>
  </si>
  <si>
    <t>Ing</t>
  </si>
  <si>
    <t>magisters</t>
  </si>
  <si>
    <t>1991.31150.62018000.00000.2636</t>
  </si>
  <si>
    <t>Evans</t>
  </si>
  <si>
    <t>Test4</t>
  </si>
  <si>
    <t>Auto 22102024 33502 AM</t>
  </si>
  <si>
    <t>Assistant Store Manager_NEW</t>
  </si>
  <si>
    <t>Joanne</t>
  </si>
  <si>
    <t>Obot</t>
  </si>
  <si>
    <t>PhDr</t>
  </si>
  <si>
    <t>doktor</t>
  </si>
  <si>
    <t>2024.26510.6208V097.P6208.4942</t>
  </si>
  <si>
    <t>Imo</t>
  </si>
  <si>
    <t>Test5</t>
  </si>
  <si>
    <t>Students</t>
  </si>
  <si>
    <t>Retail Assistant Special Contracts_NEW</t>
  </si>
  <si>
    <t>Hourly</t>
  </si>
  <si>
    <t>DPP/DPC</t>
  </si>
  <si>
    <t>Agreement to complete a job</t>
  </si>
  <si>
    <t>08 Ladieswear</t>
  </si>
  <si>
    <t>Marc</t>
  </si>
  <si>
    <t>Yusuf</t>
  </si>
  <si>
    <t>Alhassan</t>
  </si>
  <si>
    <t>Test6</t>
  </si>
  <si>
    <t>771 272 784</t>
  </si>
  <si>
    <t>Auto 22102024 42100 AM</t>
  </si>
  <si>
    <t>In-Store Visual Merchandising Manager_NEW</t>
  </si>
  <si>
    <t>Alexia</t>
  </si>
  <si>
    <t>Torunarigha</t>
  </si>
  <si>
    <t>DiS</t>
  </si>
  <si>
    <t>konzervat</t>
  </si>
  <si>
    <t>2000.00000.621VOS00.00000.0000</t>
  </si>
  <si>
    <t>Jordan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</si>
</sst>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1" x14ac:knownFonts="1">
    <font>
      <color theme="1"/>
      <family val="2"/>
      <scheme val="minor"/>
      <sz val="11"/>
      <name val="Calibri"/>
    </font>
    <font>
      <color theme="1"/>
      <family val="2"/>
      <sz val="14"/>
      <name val="Arial"/>
    </font>
    <font>
      <color rgb="FF000000"/>
      <family val="2"/>
      <sz val="14"/>
      <name val="Arial"/>
    </font>
    <font>
      <color rgb="FFFF0000"/>
      <family val="2"/>
      <sz val="14"/>
      <name val="Arial"/>
    </font>
    <font>
      <color rgb="FFFF0000"/>
      <family val="2"/>
      <scheme val="minor"/>
      <sz val="11"/>
      <name val="Calibri"/>
    </font>
    <font>
      <color rgb="FF000000"/>
      <family val="2"/>
      <sz val="10"/>
      <name val="Arial"/>
    </font>
    <font>
      <u/>
      <color theme="10"/>
      <family val="2"/>
      <scheme val="minor"/>
      <sz val="11"/>
      <name val="Calibri"/>
    </font>
    <font>
      <family val="2"/>
      <scheme val="minor"/>
      <sz val="11"/>
      <name val="Calibri"/>
    </font>
    <font>
      <family val="2"/>
      <sz val="14"/>
      <name val="Arial"/>
    </font>
    <font>
      <family val="2"/>
      <scheme val="minor"/>
      <sz val="10"/>
      <name val="Calibri"/>
    </font>
    <font>
      <color rgb="FF000000"/>
      <sz val="10"/>
      <name val="Arial"/>
    </font>
  </fonts>
  <fills count="13">
    <fill>
      <patternFill patternType="none"/>
    </fill>
    <fill>
      <patternFill patternType="gray125"/>
    </fill>
    <fill>
      <patternFill patternType="solid">
        <fgColor rgb="FFFFFF00"/>
        <bgColor indexed="64"/>
      </patternFill>
    </fill>
    <fill>
      <patternFill patternType="solid">
        <fgColor theme="0" tint="-0.1499984740745262"/>
        <bgColor indexed="64"/>
      </patternFill>
    </fill>
    <fill>
      <patternFill patternType="solid">
        <fgColor rgb="FF92CDDC"/>
        <bgColor rgb="FF000000"/>
      </patternFill>
    </fill>
    <fill>
      <patternFill patternType="solid">
        <fgColor theme="0" tint="-0.249977111117893"/>
        <bgColor indexed="64"/>
      </patternFill>
    </fill>
    <fill>
      <patternFill patternType="solid">
        <fgColor theme="5" tint="0.3999755851924192"/>
        <bgColor indexed="64"/>
      </patternFill>
    </fill>
    <fill>
      <patternFill patternType="solid">
        <fgColor rgb="FFFF0000"/>
      </patternFill>
    </fill>
    <fill>
      <patternFill patternType="solid">
        <fgColor theme="0"/>
        <bgColor indexed="64"/>
      </patternFill>
    </fill>
    <fill>
      <patternFill patternType="solid">
        <fgColor theme="5" tint="0.7999816888943144"/>
        <bgColor indexed="64"/>
      </patternFill>
    </fill>
    <fill>
      <patternFill patternType="solid">
        <fgColor theme="0" tint="-0.0499893185216834"/>
        <bgColor rgb="FF000000"/>
      </patternFill>
    </fill>
    <fill>
      <patternFill patternType="solid">
        <fgColor rgb="FFFFFFFF"/>
        <bgColor rgb="FF000000"/>
      </patternFill>
    </fill>
    <fill>
      <patternFill patternType="solid">
        <fgColor rgb="FFE8E8E8"/>
        <bgColor rgb="FF000000"/>
      </patternFill>
    </fill>
  </fills>
  <borders count="10">
    <border>
      <left/>
      <right/>
      <top/>
      <bottom/>
      <diagonal/>
    </border>
    <border>
      <left style="medium">
        <color indexed="64"/>
      </left>
      <right style="thin"/>
      <top style="thin"/>
      <bottom style="thin"/>
      <diagonal/>
    </border>
    <border>
      <left style="medium">
        <color indexed="64"/>
      </left>
      <right style="medium">
        <color indexed="64"/>
      </right>
      <top style="thin"/>
      <bottom style="thin"/>
      <diagonal/>
    </border>
    <border>
      <left style="medium">
        <color indexed="64"/>
      </left>
      <right style="thin">
        <color indexed="64"/>
      </right>
      <top style="medium">
        <color rgb="FFFF0000"/>
      </top>
      <bottom style="thin">
        <color indexed="64"/>
      </bottom>
      <diagonal/>
    </border>
    <border>
      <left style="medium">
        <color indexed="64"/>
      </left>
      <right style="thin">
        <color indexed="64"/>
      </right>
      <top style="thin">
        <color indexed="64"/>
      </top>
      <bottom style="medium">
        <color rgb="FFFF0000"/>
      </bottom>
      <diagonal/>
    </border>
    <border>
      <left style="thin"/>
      <right style="thin"/>
      <top style="thin"/>
      <bottom style="thin"/>
      <diagonal/>
    </border>
    <border>
      <left style="thin">
        <color indexed="64"/>
      </left>
      <right style="thick">
        <color rgb="FFFF0000"/>
      </right>
      <top style="medium">
        <color rgb="FFFF0000"/>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style="thick">
        <color rgb="FFFF0000"/>
      </right>
      <top style="thin">
        <color indexed="64"/>
      </top>
      <bottom style="medium">
        <color rgb="FFFF0000"/>
      </bottom>
      <diagonal/>
    </border>
    <border>
      <left style="thin">
        <color indexed="64"/>
      </left>
      <right style="thin">
        <color indexed="64"/>
      </right>
      <top/>
      <bottom/>
      <diagonal/>
    </border>
  </borders>
  <cellStyleXfs count="1">
    <xf numFmtId="0" fontId="0" fillId="0" borderId="0"/>
  </cellStyleXfs>
  <cellXfs count="50">
    <xf numFmtId="0" fontId="0" fillId="0" borderId="0" xfId="0"/>
    <xf numFmtId="49" fontId="0" fillId="0" borderId="0" xfId="0" applyNumberFormat="1" applyAlignment="1">
      <alignment horizontal="left"/>
    </xf>
    <xf numFmtId="0" fontId="1" fillId="2" borderId="1" xfId="0" applyFont="1" applyFill="1" applyBorder="1" applyAlignment="1">
      <alignment horizontal="left"/>
    </xf>
    <xf numFmtId="0" fontId="1" fillId="3" borderId="1" xfId="0" applyFont="1" applyFill="1" applyBorder="1" applyAlignment="1">
      <alignment horizontal="left"/>
    </xf>
    <xf numFmtId="0" fontId="1" fillId="2" borderId="2" xfId="0" applyFont="1" applyFill="1" applyBorder="1" applyAlignment="1">
      <alignment horizontal="left"/>
    </xf>
    <xf numFmtId="0" fontId="2" fillId="2" borderId="1" xfId="0" applyFont="1" applyFill="1" applyBorder="1" applyAlignment="1">
      <alignment horizontal="left"/>
    </xf>
    <xf numFmtId="0" fontId="2" fillId="4" borderId="3" xfId="0" applyFont="1" applyFill="1" applyBorder="1" applyAlignment="1">
      <alignment horizontal="left"/>
    </xf>
    <xf numFmtId="0" fontId="2" fillId="4" borderId="1" xfId="0" applyFont="1" applyFill="1" applyBorder="1" applyAlignment="1">
      <alignment horizontal="left"/>
    </xf>
    <xf numFmtId="0" fontId="2" fillId="4" borderId="4" xfId="0" applyFont="1" applyFill="1" applyBorder="1" applyAlignment="1">
      <alignment horizontal="left"/>
    </xf>
    <xf numFmtId="0" fontId="1" fillId="5" borderId="1" xfId="0" applyFont="1" applyFill="1" applyBorder="1" applyAlignment="1">
      <alignment horizontal="left"/>
    </xf>
    <xf numFmtId="0" fontId="1" fillId="6" borderId="1" xfId="0" applyFont="1" applyFill="1" applyBorder="1" applyAlignment="1">
      <alignment horizontal="left"/>
    </xf>
    <xf numFmtId="0" fontId="0" fillId="0" borderId="0" xfId="0" applyAlignment="1">
      <alignment horizontal="left"/>
    </xf>
    <xf numFmtId="0" fontId="0" fillId="7" borderId="0" xfId="0" applyFill="1"/>
    <xf numFmtId="0" fontId="3" fillId="0" borderId="5" xfId="0" applyFont="1" applyBorder="1" applyAlignment="1">
      <alignment vertical="center" wrapText="1"/>
    </xf>
    <xf numFmtId="0" fontId="1" fillId="8" borderId="5" xfId="0" applyFont="1" applyFill="1" applyBorder="1" applyAlignment="1">
      <alignment horizontal="left"/>
    </xf>
    <xf numFmtId="0" fontId="0" fillId="9" borderId="0" xfId="0" applyFill="1"/>
    <xf numFmtId="0" fontId="1" fillId="2" borderId="5" xfId="0" applyFont="1" applyFill="1" applyBorder="1" applyAlignment="1" applyProtection="1">
      <alignment horizontal="left"/>
      <protection locked="0"/>
    </xf>
    <xf numFmtId="0" fontId="1" fillId="8" borderId="5" xfId="0" applyFont="1" applyFill="1" applyBorder="1" applyAlignment="1" applyProtection="1">
      <alignment horizontal="left"/>
      <protection locked="0"/>
    </xf>
    <xf numFmtId="14" fontId="4" fillId="8" borderId="5" xfId="0" applyNumberFormat="1" applyFont="1" applyFill="1" applyBorder="1" applyAlignment="1">
      <alignment horizontal="left"/>
    </xf>
    <xf numFmtId="0" fontId="5" fillId="10" borderId="5" xfId="0" applyFont="1" applyFill="1" applyBorder="1" applyAlignment="1">
      <alignment horizontal="left" vertical="top"/>
    </xf>
    <xf numFmtId="14" fontId="1" fillId="8" borderId="5" xfId="0" applyNumberFormat="1" applyFont="1" applyFill="1" applyBorder="1" applyAlignment="1">
      <alignment horizontal="left"/>
    </xf>
    <xf numFmtId="0" fontId="6" fillId="8" borderId="5" xfId="0" applyFont="1" applyFill="1" applyBorder="1" applyProtection="1">
      <protection locked="0"/>
    </xf>
    <xf numFmtId="0" fontId="1" fillId="9" borderId="5" xfId="0" applyFont="1" applyFill="1" applyBorder="1" applyAlignment="1" applyProtection="1">
      <alignment horizontal="left"/>
      <protection locked="0"/>
    </xf>
    <xf numFmtId="0" fontId="1" fillId="0" borderId="5" xfId="0" applyFont="1" applyBorder="1"/>
    <xf numFmtId="0" fontId="1" fillId="0" borderId="5" xfId="0" applyFont="1" applyBorder="1" applyAlignment="1">
      <alignment horizontal="left"/>
    </xf>
    <xf numFmtId="0" fontId="1" fillId="0" borderId="5" xfId="0" applyFont="1" applyBorder="1" applyAlignment="1" applyProtection="1">
      <alignment horizontal="left" wrapText="1"/>
      <protection locked="0"/>
    </xf>
    <xf numFmtId="14" fontId="4" fillId="0" borderId="5" xfId="0" applyNumberFormat="1" applyFont="1" applyBorder="1" applyAlignment="1">
      <alignment horizontal="left"/>
    </xf>
    <xf numFmtId="0" fontId="1" fillId="0" borderId="5" xfId="0" applyFont="1" applyBorder="1" applyAlignment="1" applyProtection="1">
      <alignment horizontal="left"/>
      <protection locked="0"/>
    </xf>
    <xf numFmtId="14" fontId="7" fillId="0" borderId="5" xfId="0" applyNumberFormat="1" applyFont="1" applyBorder="1" applyAlignment="1">
      <alignment horizontal="left"/>
    </xf>
    <xf numFmtId="14" fontId="7" fillId="8" borderId="5" xfId="0" applyNumberFormat="1" applyFont="1" applyFill="1" applyBorder="1" applyAlignment="1">
      <alignment horizontal="left"/>
    </xf>
    <xf numFmtId="164" fontId="1" fillId="8" borderId="5" xfId="0" applyNumberFormat="1" applyFont="1" applyFill="1" applyBorder="1" applyAlignment="1" applyProtection="1">
      <alignment horizontal="left"/>
      <protection locked="0"/>
    </xf>
    <xf numFmtId="0" fontId="8" fillId="2" borderId="5" xfId="0" applyFont="1" applyFill="1" applyBorder="1" applyAlignment="1">
      <alignment horizontal="left"/>
    </xf>
    <xf numFmtId="0" fontId="5" fillId="4" borderId="6" xfId="0" applyFont="1" applyFill="1" applyBorder="1" applyAlignment="1">
      <alignment horizontal="left" vertical="top"/>
    </xf>
    <xf numFmtId="0" fontId="5" fillId="4" borderId="7" xfId="0" applyFont="1" applyFill="1" applyBorder="1" applyAlignment="1">
      <alignment horizontal="left" vertical="top"/>
    </xf>
    <xf numFmtId="0" fontId="5" fillId="4" borderId="8" xfId="0" applyFont="1" applyFill="1" applyBorder="1" applyAlignment="1">
      <alignment horizontal="left" vertical="top"/>
    </xf>
    <xf numFmtId="0" fontId="1" fillId="8" borderId="5" xfId="0" applyFont="1" applyFill="1" applyBorder="1"/>
    <xf numFmtId="14" fontId="7" fillId="5" borderId="5" xfId="0" applyNumberFormat="1" applyFont="1" applyFill="1" applyBorder="1" applyAlignment="1">
      <alignment horizontal="left"/>
    </xf>
    <xf numFmtId="164" fontId="7" fillId="8" borderId="5" xfId="0" applyNumberFormat="1" applyFont="1" applyFill="1" applyBorder="1" applyAlignment="1" applyProtection="1">
      <alignment horizontal="left"/>
      <protection locked="0"/>
    </xf>
    <xf numFmtId="14" fontId="9" fillId="11" borderId="5" xfId="0" applyNumberFormat="1" applyFont="1" applyFill="1" applyBorder="1" applyAlignment="1">
      <alignment horizontal="left" vertical="top"/>
    </xf>
    <xf numFmtId="0" fontId="9" fillId="11" borderId="5" xfId="0" applyFont="1" applyFill="1" applyBorder="1" applyAlignment="1">
      <alignment horizontal="left" vertical="top"/>
    </xf>
    <xf numFmtId="0" fontId="5" fillId="0" borderId="5" xfId="0" applyFont="1" applyBorder="1" applyAlignment="1">
      <alignment horizontal="left" vertical="top"/>
    </xf>
    <xf numFmtId="0" fontId="9" fillId="0" borderId="5" xfId="0" applyFont="1" applyBorder="1" applyAlignment="1">
      <alignment horizontal="left" vertical="top"/>
    </xf>
    <xf numFmtId="14" fontId="9" fillId="3" borderId="5" xfId="0" applyNumberFormat="1" applyFont="1" applyFill="1" applyBorder="1" applyAlignment="1">
      <alignment horizontal="left" vertical="top"/>
    </xf>
    <xf numFmtId="14" fontId="9" fillId="0" borderId="5" xfId="0" applyNumberFormat="1" applyFont="1" applyBorder="1" applyAlignment="1">
      <alignment horizontal="left" vertical="top"/>
    </xf>
    <xf numFmtId="0" fontId="5" fillId="11" borderId="5" xfId="0" applyFont="1" applyFill="1" applyBorder="1" applyAlignment="1">
      <alignment horizontal="left" vertical="top"/>
    </xf>
    <xf numFmtId="0" fontId="8" fillId="8" borderId="5" xfId="0" applyFont="1" applyFill="1" applyBorder="1" applyAlignment="1">
      <alignment horizontal="left"/>
    </xf>
    <xf numFmtId="0" fontId="9" fillId="12" borderId="5" xfId="0" applyFont="1" applyFill="1" applyBorder="1" applyAlignment="1">
      <alignment horizontal="left" vertical="top"/>
    </xf>
    <xf numFmtId="0" fontId="9" fillId="12" borderId="9" xfId="0" applyFont="1" applyFill="1" applyBorder="1" applyAlignment="1">
      <alignment horizontal="left" vertical="top"/>
    </xf>
    <xf numFmtId="0" fontId="10" fillId="12" borderId="5" xfId="0" applyFont="1" applyFill="1" applyBorder="1" applyAlignment="1">
      <alignment horizontal="left" vertical="top"/>
    </xf>
    <xf numFmtId="0" fontId="5"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Test@primark.com" TargetMode="External"/><Relationship Id="rId2"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3"/>
  <sheetViews>
    <sheetView workbookViewId="0" zoomScale="100" zoomScaleNormal="100">
      <selection activeCell="E2" sqref="E2"/>
    </sheetView>
  </sheetViews>
  <sheetFormatPr defaultRowHeight="14.4" outlineLevelRow="0" outlineLevelCol="0" x14ac:dyDescent="0.3" customHeight="1"/>
  <cols>
    <col min="4" max="102" width="17" customWidth="1"/>
  </cols>
  <sheetData>
    <row r="1" ht="18" customHeight="1" spans="1:102" x14ac:dyDescent="0.25">
      <c r="A1" s="1" t="s">
        <v>0</v>
      </c>
      <c r="B1" s="1" t="s">
        <v>1</v>
      </c>
      <c r="C1" s="1" t="s">
        <v>2</v>
      </c>
      <c r="D1" s="2" t="s">
        <v>3</v>
      </c>
      <c r="E1" s="3" t="s">
        <v>4</v>
      </c>
      <c r="F1" s="2" t="s">
        <v>5</v>
      </c>
      <c r="G1" s="2" t="s">
        <v>6</v>
      </c>
      <c r="H1" s="3" t="s">
        <v>7</v>
      </c>
      <c r="I1" s="3" t="s">
        <v>8</v>
      </c>
      <c r="J1" s="3" t="s">
        <v>9</v>
      </c>
      <c r="K1" s="3" t="s">
        <v>10</v>
      </c>
      <c r="L1" s="3" t="s">
        <v>4</v>
      </c>
      <c r="M1" s="3" t="s">
        <v>11</v>
      </c>
      <c r="N1" s="3" t="s">
        <v>12</v>
      </c>
      <c r="O1" s="3" t="s">
        <v>13</v>
      </c>
      <c r="P1" s="3" t="s">
        <v>14</v>
      </c>
      <c r="Q1" s="3" t="s">
        <v>15</v>
      </c>
      <c r="R1" s="3" t="s">
        <v>16</v>
      </c>
      <c r="S1" s="3" t="s">
        <v>17</v>
      </c>
      <c r="T1" s="3" t="s">
        <v>9</v>
      </c>
      <c r="U1" s="3" t="s">
        <v>18</v>
      </c>
      <c r="V1" s="3" t="s">
        <v>19</v>
      </c>
      <c r="W1" s="3" t="s">
        <v>9</v>
      </c>
      <c r="X1" s="3" t="s">
        <v>20</v>
      </c>
      <c r="Y1" s="3" t="s">
        <v>21</v>
      </c>
      <c r="Z1" s="2" t="s">
        <v>22</v>
      </c>
      <c r="AA1" s="2" t="s">
        <v>23</v>
      </c>
      <c r="AB1" s="2" t="s">
        <v>24</v>
      </c>
      <c r="AC1" s="2" t="s">
        <v>25</v>
      </c>
      <c r="AD1" s="2" t="s">
        <v>26</v>
      </c>
      <c r="AE1" s="2" t="s">
        <v>27</v>
      </c>
      <c r="AF1" s="2" t="s">
        <v>28</v>
      </c>
      <c r="AG1" s="4" t="s">
        <v>29</v>
      </c>
      <c r="AH1" s="4" t="s">
        <v>30</v>
      </c>
      <c r="AI1" s="2" t="s">
        <v>31</v>
      </c>
      <c r="AJ1" s="3" t="s">
        <v>32</v>
      </c>
      <c r="AK1" s="5" t="s">
        <v>33</v>
      </c>
      <c r="AL1" s="3" t="s">
        <v>34</v>
      </c>
      <c r="AM1" s="3" t="s">
        <v>35</v>
      </c>
      <c r="AN1" s="2" t="s">
        <v>36</v>
      </c>
      <c r="AO1" s="2" t="s">
        <v>37</v>
      </c>
      <c r="AP1" s="3" t="s">
        <v>38</v>
      </c>
      <c r="AQ1" s="3" t="s">
        <v>39</v>
      </c>
      <c r="AR1" s="3" t="s">
        <v>40</v>
      </c>
      <c r="AS1" s="3" t="s">
        <v>41</v>
      </c>
      <c r="AT1" s="2" t="s">
        <v>42</v>
      </c>
      <c r="AU1" s="3" t="s">
        <v>43</v>
      </c>
      <c r="AV1" s="3" t="s">
        <v>44</v>
      </c>
      <c r="AW1" s="3" t="s">
        <v>45</v>
      </c>
      <c r="AX1" s="3" t="s">
        <v>46</v>
      </c>
      <c r="AY1" s="2" t="s">
        <v>47</v>
      </c>
      <c r="AZ1" s="3" t="s">
        <v>48</v>
      </c>
      <c r="BA1" s="3" t="s">
        <v>49</v>
      </c>
      <c r="BB1" s="6" t="s">
        <v>50</v>
      </c>
      <c r="BC1" s="7" t="s">
        <v>51</v>
      </c>
      <c r="BD1" s="7" t="s">
        <v>52</v>
      </c>
      <c r="BE1" s="7" t="s">
        <v>53</v>
      </c>
      <c r="BF1" s="7" t="s">
        <v>54</v>
      </c>
      <c r="BG1" s="7" t="s">
        <v>55</v>
      </c>
      <c r="BH1" s="7" t="s">
        <v>56</v>
      </c>
      <c r="BI1" s="7" t="s">
        <v>57</v>
      </c>
      <c r="BJ1" s="7" t="s">
        <v>58</v>
      </c>
      <c r="BK1" s="8" t="s">
        <v>59</v>
      </c>
      <c r="BL1" s="2" t="s">
        <v>60</v>
      </c>
      <c r="BM1" s="9" t="s">
        <v>61</v>
      </c>
      <c r="BN1" s="3" t="s">
        <v>62</v>
      </c>
      <c r="BO1" s="2" t="s">
        <v>63</v>
      </c>
      <c r="BP1" s="3" t="s">
        <v>64</v>
      </c>
      <c r="BQ1" s="3" t="s">
        <v>65</v>
      </c>
      <c r="BR1" s="3" t="s">
        <v>66</v>
      </c>
      <c r="BS1" s="3" t="s">
        <v>67</v>
      </c>
      <c r="BT1" s="3" t="s">
        <v>68</v>
      </c>
      <c r="BU1" s="3" t="s">
        <v>10</v>
      </c>
      <c r="BV1" s="3" t="s">
        <v>5</v>
      </c>
      <c r="BW1" s="3" t="s">
        <v>69</v>
      </c>
      <c r="BX1" s="3" t="s">
        <v>60</v>
      </c>
      <c r="BY1" s="3" t="s">
        <v>70</v>
      </c>
      <c r="BZ1" s="2" t="s">
        <v>71</v>
      </c>
      <c r="CA1" s="3" t="s">
        <v>72</v>
      </c>
      <c r="CB1" s="3" t="s">
        <v>73</v>
      </c>
      <c r="CC1" s="3" t="s">
        <v>74</v>
      </c>
      <c r="CD1" s="3" t="s">
        <v>75</v>
      </c>
      <c r="CE1" s="2" t="s">
        <v>76</v>
      </c>
      <c r="CF1" s="3" t="s">
        <v>77</v>
      </c>
      <c r="CG1" s="3" t="s">
        <v>78</v>
      </c>
      <c r="CH1" s="10" t="s">
        <v>4</v>
      </c>
      <c r="CI1" s="2" t="s">
        <v>79</v>
      </c>
      <c r="CJ1" s="3" t="s">
        <v>80</v>
      </c>
      <c r="CK1" s="2" t="s">
        <v>81</v>
      </c>
      <c r="CL1" s="2" t="s">
        <v>82</v>
      </c>
      <c r="CM1" s="3" t="s">
        <v>83</v>
      </c>
      <c r="CN1" s="3" t="s">
        <v>84</v>
      </c>
      <c r="CO1" s="3" t="s">
        <v>85</v>
      </c>
      <c r="CP1" s="3" t="s">
        <v>86</v>
      </c>
      <c r="CQ1" s="3" t="s">
        <v>87</v>
      </c>
      <c r="CR1" s="3" t="s">
        <v>4</v>
      </c>
      <c r="CS1" s="3" t="s">
        <v>5</v>
      </c>
      <c r="CT1" s="3" t="s">
        <v>6</v>
      </c>
      <c r="CU1" s="2" t="s">
        <v>88</v>
      </c>
      <c r="CV1" s="2" t="s">
        <v>89</v>
      </c>
      <c r="CW1" s="3" t="s">
        <v>90</v>
      </c>
      <c r="CX1" s="2" t="s">
        <v>91</v>
      </c>
    </row>
    <row r="2" ht="19.2" customHeight="1" spans="1:102" x14ac:dyDescent="0.25">
      <c r="A2" s="11" t="s">
        <v>92</v>
      </c>
      <c r="B2" t="s">
        <v>93</v>
      </c>
      <c r="C2" s="12" t="s">
        <v>94</v>
      </c>
      <c r="D2" s="13" t="s">
        <v>95</v>
      </c>
      <c r="E2" s="14" t="s">
        <v>96</v>
      </c>
      <c r="F2" s="15"/>
      <c r="G2" s="16"/>
      <c r="H2" s="17" t="s">
        <v>97</v>
      </c>
      <c r="I2" s="17" t="s">
        <v>98</v>
      </c>
      <c r="J2" s="17" t="s">
        <v>99</v>
      </c>
      <c r="K2" s="18">
        <v>45505</v>
      </c>
      <c r="L2" s="14" t="s">
        <v>96</v>
      </c>
      <c r="M2" s="14" t="s">
        <v>100</v>
      </c>
      <c r="N2" s="14">
        <v>1</v>
      </c>
      <c r="O2" s="19">
        <v>213111231</v>
      </c>
      <c r="P2" s="17" t="s">
        <v>101</v>
      </c>
      <c r="Q2" s="17">
        <v>26401</v>
      </c>
      <c r="R2" s="17" t="s">
        <v>101</v>
      </c>
      <c r="S2" s="17" t="s">
        <v>102</v>
      </c>
      <c r="T2" s="17" t="s">
        <v>99</v>
      </c>
      <c r="U2" s="20" t="s">
        <v>103</v>
      </c>
      <c r="V2" s="21" t="s">
        <v>104</v>
      </c>
      <c r="W2" s="17" t="s">
        <v>99</v>
      </c>
      <c r="X2" s="18">
        <f t="shared" ref="X2:X7" si="0">K2</f>
        <v>45505</v>
      </c>
      <c r="Y2" s="17" t="s">
        <v>105</v>
      </c>
      <c r="Z2" s="22" t="s">
        <v>106</v>
      </c>
      <c r="AA2" s="23" t="s">
        <v>107</v>
      </c>
      <c r="AB2" s="23" t="s">
        <v>108</v>
      </c>
      <c r="AC2" s="23" t="s">
        <v>109</v>
      </c>
      <c r="AD2" s="24" t="s">
        <v>110</v>
      </c>
      <c r="AE2" s="24" t="s">
        <v>111</v>
      </c>
      <c r="AF2" s="23" t="s">
        <v>112</v>
      </c>
      <c r="AG2" s="25">
        <v>40</v>
      </c>
      <c r="AH2" s="26" t="s">
        <v>113</v>
      </c>
      <c r="AI2" s="27" t="s">
        <v>114</v>
      </c>
      <c r="AJ2" s="27" t="s">
        <v>115</v>
      </c>
      <c r="AK2" s="28">
        <f t="shared" ref="AK2:AK7" si="1">AH2</f>
        <v>NaN</v>
      </c>
      <c r="AL2" s="29">
        <f t="shared" ref="AL2:AL7" si="2">K2</f>
        <v>45505</v>
      </c>
      <c r="AM2" s="29">
        <f t="shared" ref="AM2:AM7" si="3">K2</f>
        <v>45505</v>
      </c>
      <c r="AN2" s="27" t="s">
        <v>116</v>
      </c>
      <c r="AO2" s="23" t="s">
        <v>117</v>
      </c>
      <c r="AP2" s="14">
        <v>100</v>
      </c>
      <c r="AQ2" s="29">
        <f t="shared" ref="AQ2:AQ7" si="4">K2+90</f>
        <v>45595</v>
      </c>
      <c r="AR2" s="14" t="s">
        <v>96</v>
      </c>
      <c r="AS2" s="30" t="s">
        <v>118</v>
      </c>
      <c r="AT2" s="31">
        <v>9861110446</v>
      </c>
      <c r="AU2" s="29" t="s">
        <v>119</v>
      </c>
      <c r="AV2" s="29" t="s">
        <v>120</v>
      </c>
      <c r="AW2" s="14" t="s">
        <v>96</v>
      </c>
      <c r="AX2" s="30" t="s">
        <v>121</v>
      </c>
      <c r="AY2" s="31">
        <v>147172480</v>
      </c>
      <c r="AZ2" s="29" t="s">
        <v>119</v>
      </c>
      <c r="BA2" s="29" t="s">
        <v>120</v>
      </c>
      <c r="BB2" s="32" t="s">
        <v>113</v>
      </c>
      <c r="BC2" s="33" t="s">
        <v>113</v>
      </c>
      <c r="BD2" s="33" t="s">
        <v>113</v>
      </c>
      <c r="BE2" s="33" t="s">
        <v>113</v>
      </c>
      <c r="BF2" s="33" t="s">
        <v>113</v>
      </c>
      <c r="BG2" s="33" t="s">
        <v>113</v>
      </c>
      <c r="BH2" s="33" t="s">
        <v>113</v>
      </c>
      <c r="BI2" s="33" t="s">
        <v>113</v>
      </c>
      <c r="BJ2" s="33" t="s">
        <v>113</v>
      </c>
      <c r="BK2" s="34" t="s">
        <v>113</v>
      </c>
      <c r="BL2" s="35" t="s">
        <v>122</v>
      </c>
      <c r="BM2" s="36" t="s">
        <v>119</v>
      </c>
      <c r="BN2" s="30" t="s">
        <v>101</v>
      </c>
      <c r="BO2" s="30" t="s">
        <v>123</v>
      </c>
      <c r="BP2" s="30" t="s">
        <v>124</v>
      </c>
      <c r="BQ2" s="14" t="s">
        <v>125</v>
      </c>
      <c r="BR2" s="14" t="s">
        <v>126</v>
      </c>
      <c r="BS2" t="s">
        <v>127</v>
      </c>
      <c r="BT2" s="37" t="s">
        <v>128</v>
      </c>
      <c r="BU2" s="38">
        <f t="shared" ref="BU2:BU7" si="5">K2</f>
        <v>45505</v>
      </c>
      <c r="BV2" s="39" t="s">
        <v>129</v>
      </c>
      <c r="BW2" s="40" t="s">
        <v>130</v>
      </c>
      <c r="BX2" s="41" t="s">
        <v>122</v>
      </c>
      <c r="BY2" s="42">
        <v>43871</v>
      </c>
      <c r="BZ2" s="41" t="s">
        <v>131</v>
      </c>
      <c r="CA2" s="43">
        <v>36932</v>
      </c>
      <c r="CB2" s="39" t="s">
        <v>132</v>
      </c>
      <c r="CC2" s="44" t="s">
        <v>96</v>
      </c>
      <c r="CD2" s="44" t="s">
        <v>118</v>
      </c>
      <c r="CE2" s="45">
        <v>2052101447</v>
      </c>
      <c r="CF2" s="38">
        <v>36444</v>
      </c>
      <c r="CG2" s="38">
        <v>56898</v>
      </c>
      <c r="CH2" s="39" t="s">
        <v>96</v>
      </c>
      <c r="CI2" s="46" t="s">
        <v>133</v>
      </c>
      <c r="CJ2" s="46" t="s">
        <v>134</v>
      </c>
      <c r="CK2" s="46" t="s">
        <v>132</v>
      </c>
      <c r="CL2" s="47">
        <v>2000</v>
      </c>
      <c r="CM2" s="47" t="s">
        <v>135</v>
      </c>
      <c r="CN2" s="47">
        <v>1995</v>
      </c>
      <c r="CO2" s="47">
        <v>2000</v>
      </c>
      <c r="CP2" s="48" t="s">
        <v>136</v>
      </c>
      <c r="CQ2" s="44" t="s">
        <v>137</v>
      </c>
      <c r="CR2" s="44" t="s">
        <v>96</v>
      </c>
      <c r="CS2" s="40" t="s">
        <v>138</v>
      </c>
      <c r="CT2" s="40" t="s">
        <v>139</v>
      </c>
      <c r="CU2" s="49">
        <v>111</v>
      </c>
      <c r="CV2" s="40" t="s">
        <v>140</v>
      </c>
      <c r="CW2" s="40" t="s">
        <v>141</v>
      </c>
      <c r="CX2" s="40" t="s">
        <v>142</v>
      </c>
    </row>
    <row r="3" ht="19.2" customHeight="1" spans="1:102" x14ac:dyDescent="0.25">
      <c r="A3" s="11" t="s">
        <v>143</v>
      </c>
      <c r="B3" t="s">
        <v>144</v>
      </c>
      <c r="C3" s="12" t="s">
        <v>94</v>
      </c>
      <c r="D3" s="13" t="s">
        <v>145</v>
      </c>
      <c r="E3" s="14" t="s">
        <v>96</v>
      </c>
      <c r="F3" s="15"/>
      <c r="G3" s="16"/>
      <c r="H3" s="17" t="s">
        <v>97</v>
      </c>
      <c r="I3" s="17" t="s">
        <v>98</v>
      </c>
      <c r="J3" s="17" t="s">
        <v>99</v>
      </c>
      <c r="K3" s="18">
        <v>45505</v>
      </c>
      <c r="L3" s="14" t="s">
        <v>96</v>
      </c>
      <c r="M3" s="14" t="s">
        <v>100</v>
      </c>
      <c r="N3" s="14">
        <v>1</v>
      </c>
      <c r="O3" s="19">
        <v>213111231</v>
      </c>
      <c r="P3" s="17" t="s">
        <v>101</v>
      </c>
      <c r="Q3" s="17">
        <v>26401</v>
      </c>
      <c r="R3" s="17" t="s">
        <v>101</v>
      </c>
      <c r="S3" s="17" t="s">
        <v>102</v>
      </c>
      <c r="T3" s="17" t="s">
        <v>99</v>
      </c>
      <c r="U3" s="20" t="s">
        <v>103</v>
      </c>
      <c r="V3" s="21" t="s">
        <v>104</v>
      </c>
      <c r="W3" s="17" t="s">
        <v>99</v>
      </c>
      <c r="X3" s="18">
        <f t="shared" si="0"/>
        <v>45505</v>
      </c>
      <c r="Y3" s="17" t="s">
        <v>105</v>
      </c>
      <c r="Z3" s="22" t="s">
        <v>146</v>
      </c>
      <c r="AA3" s="23" t="s">
        <v>107</v>
      </c>
      <c r="AB3" s="23" t="s">
        <v>147</v>
      </c>
      <c r="AC3" s="23" t="s">
        <v>109</v>
      </c>
      <c r="AD3" s="24" t="s">
        <v>110</v>
      </c>
      <c r="AE3" s="24" t="s">
        <v>111</v>
      </c>
      <c r="AF3" s="23" t="s">
        <v>112</v>
      </c>
      <c r="AG3" s="25">
        <v>40</v>
      </c>
      <c r="AH3" s="26" t="s">
        <v>113</v>
      </c>
      <c r="AI3" s="27" t="s">
        <v>114</v>
      </c>
      <c r="AJ3" s="27" t="s">
        <v>115</v>
      </c>
      <c r="AK3" s="28">
        <f t="shared" si="1"/>
        <v>NaN</v>
      </c>
      <c r="AL3" s="29">
        <f t="shared" si="2"/>
        <v>45505</v>
      </c>
      <c r="AM3" s="29">
        <f t="shared" si="3"/>
        <v>45505</v>
      </c>
      <c r="AN3" s="27" t="s">
        <v>148</v>
      </c>
      <c r="AO3" s="23" t="s">
        <v>149</v>
      </c>
      <c r="AP3" s="14">
        <v>100</v>
      </c>
      <c r="AQ3" s="29">
        <f t="shared" si="4"/>
        <v>45595</v>
      </c>
      <c r="AR3" s="14" t="s">
        <v>96</v>
      </c>
      <c r="AS3" s="30" t="s">
        <v>118</v>
      </c>
      <c r="AU3" s="29" t="s">
        <v>119</v>
      </c>
      <c r="AV3" s="29" t="s">
        <v>120</v>
      </c>
      <c r="AW3" s="14" t="s">
        <v>96</v>
      </c>
      <c r="AX3" s="30" t="s">
        <v>121</v>
      </c>
      <c r="AZ3" s="29" t="s">
        <v>119</v>
      </c>
      <c r="BA3" s="29" t="s">
        <v>120</v>
      </c>
      <c r="BB3" s="32" t="s">
        <v>113</v>
      </c>
      <c r="BC3" s="33" t="s">
        <v>113</v>
      </c>
      <c r="BD3" s="33" t="s">
        <v>113</v>
      </c>
      <c r="BE3" s="33" t="s">
        <v>113</v>
      </c>
      <c r="BF3" s="33" t="s">
        <v>113</v>
      </c>
      <c r="BG3" s="33" t="s">
        <v>113</v>
      </c>
      <c r="BH3" s="33" t="s">
        <v>113</v>
      </c>
      <c r="BI3" s="33" t="s">
        <v>113</v>
      </c>
      <c r="BJ3" s="33" t="s">
        <v>113</v>
      </c>
      <c r="BK3" s="34" t="s">
        <v>113</v>
      </c>
      <c r="BL3" s="35" t="s">
        <v>122</v>
      </c>
      <c r="BM3" s="36" t="s">
        <v>119</v>
      </c>
      <c r="BN3" s="30" t="s">
        <v>101</v>
      </c>
      <c r="BO3" s="30" t="s">
        <v>123</v>
      </c>
      <c r="BP3" s="30" t="s">
        <v>124</v>
      </c>
      <c r="BQ3" s="14" t="s">
        <v>125</v>
      </c>
      <c r="BR3" s="14" t="s">
        <v>126</v>
      </c>
      <c r="BS3" t="s">
        <v>127</v>
      </c>
      <c r="BT3" s="37" t="s">
        <v>128</v>
      </c>
      <c r="BU3" s="38">
        <f t="shared" si="5"/>
        <v>45505</v>
      </c>
      <c r="BV3" s="39" t="s">
        <v>150</v>
      </c>
      <c r="BW3" s="40" t="s">
        <v>151</v>
      </c>
      <c r="BX3" s="41" t="s">
        <v>122</v>
      </c>
      <c r="BY3" s="42">
        <v>43871</v>
      </c>
      <c r="BZ3" s="41" t="s">
        <v>131</v>
      </c>
      <c r="CA3" s="43">
        <v>36932</v>
      </c>
      <c r="CB3" s="39" t="s">
        <v>132</v>
      </c>
      <c r="CC3" s="44" t="s">
        <v>96</v>
      </c>
      <c r="CD3" s="44" t="s">
        <v>118</v>
      </c>
      <c r="CE3" s="45">
        <v>2052103075</v>
      </c>
      <c r="CF3" s="38">
        <v>36444</v>
      </c>
      <c r="CG3" s="38">
        <v>56898</v>
      </c>
      <c r="CH3" s="39" t="s">
        <v>96</v>
      </c>
      <c r="CI3" s="46" t="s">
        <v>133</v>
      </c>
      <c r="CJ3" s="46" t="s">
        <v>134</v>
      </c>
      <c r="CK3" s="46" t="s">
        <v>132</v>
      </c>
      <c r="CL3" s="47">
        <v>2000</v>
      </c>
      <c r="CM3" s="47" t="s">
        <v>135</v>
      </c>
      <c r="CN3" s="47">
        <v>1995</v>
      </c>
      <c r="CO3" s="47">
        <v>2000</v>
      </c>
      <c r="CP3" s="48" t="s">
        <v>136</v>
      </c>
      <c r="CQ3" s="44" t="s">
        <v>137</v>
      </c>
      <c r="CR3" s="44" t="s">
        <v>96</v>
      </c>
      <c r="CS3" s="40" t="s">
        <v>152</v>
      </c>
      <c r="CT3" s="40" t="s">
        <v>153</v>
      </c>
      <c r="CU3" s="40">
        <v>201</v>
      </c>
      <c r="CV3" s="40" t="s">
        <v>140</v>
      </c>
      <c r="CW3" s="40" t="s">
        <v>141</v>
      </c>
      <c r="CX3" s="40" t="s">
        <v>142</v>
      </c>
    </row>
    <row r="4" ht="19.2" customHeight="1" spans="1:102" x14ac:dyDescent="0.25">
      <c r="A4" s="11" t="s">
        <v>154</v>
      </c>
      <c r="D4" s="13" t="s">
        <v>95</v>
      </c>
      <c r="E4" s="14" t="s">
        <v>96</v>
      </c>
      <c r="F4" s="15"/>
      <c r="G4" s="16"/>
      <c r="H4" s="17" t="s">
        <v>97</v>
      </c>
      <c r="I4" s="17" t="s">
        <v>98</v>
      </c>
      <c r="J4" s="17" t="s">
        <v>99</v>
      </c>
      <c r="K4" s="18">
        <v>45505</v>
      </c>
      <c r="L4" s="14" t="s">
        <v>96</v>
      </c>
      <c r="M4" s="14" t="s">
        <v>100</v>
      </c>
      <c r="N4" s="14">
        <v>1</v>
      </c>
      <c r="O4" s="19">
        <v>213111231</v>
      </c>
      <c r="P4" s="17" t="s">
        <v>101</v>
      </c>
      <c r="Q4" s="17">
        <v>26401</v>
      </c>
      <c r="R4" s="17" t="s">
        <v>101</v>
      </c>
      <c r="S4" s="17" t="s">
        <v>102</v>
      </c>
      <c r="T4" s="17" t="s">
        <v>99</v>
      </c>
      <c r="U4" s="20" t="s">
        <v>103</v>
      </c>
      <c r="V4" s="21" t="s">
        <v>104</v>
      </c>
      <c r="W4" s="17" t="s">
        <v>99</v>
      </c>
      <c r="X4" s="18">
        <f t="shared" si="0"/>
        <v>45505</v>
      </c>
      <c r="Y4" s="17" t="s">
        <v>105</v>
      </c>
      <c r="Z4" s="22" t="s">
        <v>106</v>
      </c>
      <c r="AA4" s="23" t="s">
        <v>155</v>
      </c>
      <c r="AB4" s="23" t="s">
        <v>108</v>
      </c>
      <c r="AC4" s="23" t="s">
        <v>156</v>
      </c>
      <c r="AD4" s="24" t="s">
        <v>110</v>
      </c>
      <c r="AE4" s="24" t="s">
        <v>111</v>
      </c>
      <c r="AF4" s="23" t="s">
        <v>157</v>
      </c>
      <c r="AG4" s="25">
        <v>20</v>
      </c>
      <c r="AH4" s="26">
        <f>TODAY()+365</f>
        <v>45969</v>
      </c>
      <c r="AI4" s="27" t="s">
        <v>114</v>
      </c>
      <c r="AJ4" s="27" t="s">
        <v>115</v>
      </c>
      <c r="AK4" s="28">
        <f t="shared" si="1"/>
        <v>45969</v>
      </c>
      <c r="AL4" s="29">
        <f t="shared" si="2"/>
        <v>45505</v>
      </c>
      <c r="AM4" s="29">
        <f t="shared" si="3"/>
        <v>45505</v>
      </c>
      <c r="AN4" s="27" t="s">
        <v>116</v>
      </c>
      <c r="AO4" s="23" t="s">
        <v>158</v>
      </c>
      <c r="AP4" s="14">
        <v>100</v>
      </c>
      <c r="AQ4" s="29">
        <f t="shared" si="4"/>
        <v>45595</v>
      </c>
      <c r="AR4" s="14" t="s">
        <v>96</v>
      </c>
      <c r="AS4" s="30" t="s">
        <v>118</v>
      </c>
      <c r="AU4" s="29" t="s">
        <v>119</v>
      </c>
      <c r="AV4" s="29" t="s">
        <v>120</v>
      </c>
      <c r="AW4" s="14" t="s">
        <v>96</v>
      </c>
      <c r="AX4" s="30" t="s">
        <v>121</v>
      </c>
      <c r="AZ4" s="29" t="s">
        <v>119</v>
      </c>
      <c r="BA4" s="29" t="s">
        <v>120</v>
      </c>
      <c r="BB4" s="32" t="s">
        <v>113</v>
      </c>
      <c r="BC4" s="33" t="s">
        <v>113</v>
      </c>
      <c r="BD4" s="33" t="s">
        <v>113</v>
      </c>
      <c r="BE4" s="33" t="s">
        <v>113</v>
      </c>
      <c r="BF4" s="33" t="s">
        <v>113</v>
      </c>
      <c r="BG4" s="33" t="s">
        <v>113</v>
      </c>
      <c r="BH4" s="33" t="s">
        <v>113</v>
      </c>
      <c r="BI4" s="33" t="s">
        <v>113</v>
      </c>
      <c r="BJ4" s="33" t="s">
        <v>113</v>
      </c>
      <c r="BK4" s="34" t="s">
        <v>113</v>
      </c>
      <c r="BL4" s="35" t="s">
        <v>122</v>
      </c>
      <c r="BM4" s="36" t="s">
        <v>119</v>
      </c>
      <c r="BN4" s="30" t="s">
        <v>101</v>
      </c>
      <c r="BO4" s="30" t="s">
        <v>123</v>
      </c>
      <c r="BP4" s="30" t="s">
        <v>124</v>
      </c>
      <c r="BQ4" s="14" t="s">
        <v>125</v>
      </c>
      <c r="BR4" s="14" t="s">
        <v>126</v>
      </c>
      <c r="BS4" t="s">
        <v>127</v>
      </c>
      <c r="BT4" s="37" t="s">
        <v>128</v>
      </c>
      <c r="BU4" s="38">
        <f t="shared" si="5"/>
        <v>45505</v>
      </c>
      <c r="BV4" s="39" t="s">
        <v>159</v>
      </c>
      <c r="BW4" s="40" t="s">
        <v>160</v>
      </c>
      <c r="BX4" s="41" t="s">
        <v>122</v>
      </c>
      <c r="BY4" s="42">
        <v>43871</v>
      </c>
      <c r="BZ4" s="41" t="s">
        <v>131</v>
      </c>
      <c r="CA4" s="43">
        <v>36932</v>
      </c>
      <c r="CB4" s="39" t="s">
        <v>132</v>
      </c>
      <c r="CC4" s="44" t="s">
        <v>96</v>
      </c>
      <c r="CD4" s="44" t="s">
        <v>118</v>
      </c>
      <c r="CE4" s="45">
        <v>2052101073</v>
      </c>
      <c r="CF4" s="38">
        <v>36444</v>
      </c>
      <c r="CG4" s="38">
        <v>56898</v>
      </c>
      <c r="CH4" s="39" t="s">
        <v>96</v>
      </c>
      <c r="CI4" s="46" t="s">
        <v>161</v>
      </c>
      <c r="CJ4" s="46" t="s">
        <v>162</v>
      </c>
      <c r="CK4" s="46" t="s">
        <v>132</v>
      </c>
      <c r="CL4" s="47">
        <v>1991</v>
      </c>
      <c r="CM4" s="47" t="s">
        <v>135</v>
      </c>
      <c r="CN4" s="47">
        <v>1989</v>
      </c>
      <c r="CO4" s="47">
        <v>1991</v>
      </c>
      <c r="CP4" s="48" t="s">
        <v>163</v>
      </c>
      <c r="CQ4" s="44" t="s">
        <v>137</v>
      </c>
      <c r="CR4" s="44" t="s">
        <v>96</v>
      </c>
      <c r="CS4" s="40" t="s">
        <v>164</v>
      </c>
      <c r="CT4" s="40" t="s">
        <v>160</v>
      </c>
      <c r="CU4" s="40">
        <v>213</v>
      </c>
      <c r="CV4" s="40" t="s">
        <v>140</v>
      </c>
      <c r="CW4" s="40" t="s">
        <v>141</v>
      </c>
      <c r="CX4" s="40" t="s">
        <v>142</v>
      </c>
    </row>
    <row r="5" ht="19.2" customHeight="1" spans="1:102" x14ac:dyDescent="0.25">
      <c r="A5" s="11" t="s">
        <v>165</v>
      </c>
      <c r="D5" s="13" t="s">
        <v>145</v>
      </c>
      <c r="E5" s="14" t="s">
        <v>96</v>
      </c>
      <c r="F5" s="15"/>
      <c r="G5" s="16"/>
      <c r="H5" s="17" t="s">
        <v>97</v>
      </c>
      <c r="I5" s="17" t="s">
        <v>98</v>
      </c>
      <c r="J5" s="17" t="s">
        <v>99</v>
      </c>
      <c r="K5" s="18">
        <v>45505</v>
      </c>
      <c r="L5" s="14" t="s">
        <v>96</v>
      </c>
      <c r="M5" s="14" t="s">
        <v>100</v>
      </c>
      <c r="N5" s="14">
        <v>1</v>
      </c>
      <c r="O5" s="19">
        <v>213111231</v>
      </c>
      <c r="P5" s="17" t="s">
        <v>101</v>
      </c>
      <c r="Q5" s="17">
        <v>26401</v>
      </c>
      <c r="R5" s="17" t="s">
        <v>101</v>
      </c>
      <c r="S5" s="17" t="s">
        <v>102</v>
      </c>
      <c r="T5" s="17" t="s">
        <v>99</v>
      </c>
      <c r="U5" s="20" t="s">
        <v>103</v>
      </c>
      <c r="V5" s="21" t="s">
        <v>104</v>
      </c>
      <c r="W5" s="17" t="s">
        <v>99</v>
      </c>
      <c r="X5" s="18">
        <f t="shared" si="0"/>
        <v>45505</v>
      </c>
      <c r="Y5" s="17" t="s">
        <v>105</v>
      </c>
      <c r="Z5" s="22" t="s">
        <v>166</v>
      </c>
      <c r="AA5" s="23" t="s">
        <v>155</v>
      </c>
      <c r="AB5" s="23" t="s">
        <v>167</v>
      </c>
      <c r="AC5" s="23" t="s">
        <v>109</v>
      </c>
      <c r="AD5" s="24" t="s">
        <v>110</v>
      </c>
      <c r="AE5" s="24" t="s">
        <v>111</v>
      </c>
      <c r="AF5" s="23" t="s">
        <v>112</v>
      </c>
      <c r="AG5" s="25">
        <v>40</v>
      </c>
      <c r="AH5" s="26">
        <f>TODAY()+365</f>
        <v>45969</v>
      </c>
      <c r="AI5" s="27" t="s">
        <v>114</v>
      </c>
      <c r="AJ5" s="27" t="s">
        <v>115</v>
      </c>
      <c r="AK5" s="28">
        <f t="shared" si="1"/>
        <v>45969</v>
      </c>
      <c r="AL5" s="29">
        <f t="shared" si="2"/>
        <v>45505</v>
      </c>
      <c r="AM5" s="29">
        <f t="shared" si="3"/>
        <v>45505</v>
      </c>
      <c r="AN5" s="27" t="s">
        <v>148</v>
      </c>
      <c r="AO5" s="23" t="s">
        <v>149</v>
      </c>
      <c r="AP5" s="14">
        <v>100</v>
      </c>
      <c r="AQ5" s="29">
        <f t="shared" si="4"/>
        <v>45595</v>
      </c>
      <c r="AR5" s="14" t="s">
        <v>96</v>
      </c>
      <c r="AS5" s="30" t="s">
        <v>118</v>
      </c>
      <c r="AU5" s="29" t="s">
        <v>119</v>
      </c>
      <c r="AV5" s="29" t="s">
        <v>120</v>
      </c>
      <c r="AW5" s="14" t="s">
        <v>96</v>
      </c>
      <c r="AX5" s="30" t="s">
        <v>121</v>
      </c>
      <c r="AZ5" s="29" t="s">
        <v>119</v>
      </c>
      <c r="BA5" s="29" t="s">
        <v>120</v>
      </c>
      <c r="BB5" s="32" t="s">
        <v>113</v>
      </c>
      <c r="BC5" s="33" t="s">
        <v>113</v>
      </c>
      <c r="BD5" s="33" t="s">
        <v>113</v>
      </c>
      <c r="BE5" s="33" t="s">
        <v>113</v>
      </c>
      <c r="BF5" s="33" t="s">
        <v>113</v>
      </c>
      <c r="BG5" s="33" t="s">
        <v>113</v>
      </c>
      <c r="BH5" s="33" t="s">
        <v>113</v>
      </c>
      <c r="BI5" s="33" t="s">
        <v>113</v>
      </c>
      <c r="BJ5" s="33" t="s">
        <v>113</v>
      </c>
      <c r="BK5" s="34" t="s">
        <v>113</v>
      </c>
      <c r="BL5" s="35" t="s">
        <v>122</v>
      </c>
      <c r="BM5" s="36" t="s">
        <v>119</v>
      </c>
      <c r="BN5" s="30" t="s">
        <v>101</v>
      </c>
      <c r="BO5" s="30" t="s">
        <v>123</v>
      </c>
      <c r="BP5" s="30" t="s">
        <v>124</v>
      </c>
      <c r="BQ5" s="14" t="s">
        <v>125</v>
      </c>
      <c r="BR5" s="14" t="s">
        <v>126</v>
      </c>
      <c r="BS5" t="s">
        <v>127</v>
      </c>
      <c r="BT5" s="37" t="s">
        <v>128</v>
      </c>
      <c r="BU5" s="38">
        <f t="shared" si="5"/>
        <v>45505</v>
      </c>
      <c r="BV5" s="39" t="s">
        <v>168</v>
      </c>
      <c r="BW5" s="40" t="s">
        <v>169</v>
      </c>
      <c r="BX5" s="41" t="s">
        <v>122</v>
      </c>
      <c r="BY5" s="42">
        <v>43871</v>
      </c>
      <c r="BZ5" s="41" t="s">
        <v>131</v>
      </c>
      <c r="CA5" s="43">
        <v>36932</v>
      </c>
      <c r="CB5" s="39" t="s">
        <v>132</v>
      </c>
      <c r="CC5" s="44" t="s">
        <v>96</v>
      </c>
      <c r="CD5" s="44" t="s">
        <v>118</v>
      </c>
      <c r="CE5" s="45">
        <v>2052104142</v>
      </c>
      <c r="CF5" s="38">
        <v>36444</v>
      </c>
      <c r="CG5" s="38">
        <v>56898</v>
      </c>
      <c r="CH5" s="39" t="s">
        <v>96</v>
      </c>
      <c r="CI5" s="46" t="s">
        <v>170</v>
      </c>
      <c r="CJ5" s="46" t="s">
        <v>171</v>
      </c>
      <c r="CK5" s="46" t="s">
        <v>132</v>
      </c>
      <c r="CL5" s="47">
        <v>2024</v>
      </c>
      <c r="CM5" s="47" t="s">
        <v>135</v>
      </c>
      <c r="CN5" s="47">
        <v>2021</v>
      </c>
      <c r="CO5" s="47">
        <v>2024</v>
      </c>
      <c r="CP5" s="48" t="s">
        <v>172</v>
      </c>
      <c r="CQ5" s="44" t="s">
        <v>137</v>
      </c>
      <c r="CR5" s="44" t="s">
        <v>96</v>
      </c>
      <c r="CS5" s="40" t="s">
        <v>173</v>
      </c>
      <c r="CT5" s="40" t="s">
        <v>169</v>
      </c>
      <c r="CU5" s="40">
        <v>207</v>
      </c>
      <c r="CV5" s="40" t="s">
        <v>140</v>
      </c>
      <c r="CW5" s="40" t="s">
        <v>141</v>
      </c>
      <c r="CX5" s="40" t="s">
        <v>142</v>
      </c>
    </row>
    <row r="6" ht="19.2" customHeight="1" spans="1:102" x14ac:dyDescent="0.25">
      <c r="A6" s="11" t="s">
        <v>174</v>
      </c>
      <c r="D6" s="13" t="s">
        <v>95</v>
      </c>
      <c r="E6" s="14" t="s">
        <v>96</v>
      </c>
      <c r="F6" s="15"/>
      <c r="G6" s="16"/>
      <c r="H6" s="17" t="s">
        <v>97</v>
      </c>
      <c r="I6" s="17" t="s">
        <v>98</v>
      </c>
      <c r="J6" s="17" t="s">
        <v>99</v>
      </c>
      <c r="K6" s="18">
        <v>45505</v>
      </c>
      <c r="L6" s="14" t="s">
        <v>96</v>
      </c>
      <c r="M6" s="14" t="s">
        <v>100</v>
      </c>
      <c r="N6" s="14">
        <v>1</v>
      </c>
      <c r="O6" s="19">
        <v>213111231</v>
      </c>
      <c r="P6" s="17" t="s">
        <v>101</v>
      </c>
      <c r="Q6" s="17">
        <v>26401</v>
      </c>
      <c r="R6" s="17" t="s">
        <v>101</v>
      </c>
      <c r="S6" s="17" t="s">
        <v>102</v>
      </c>
      <c r="T6" s="17" t="s">
        <v>99</v>
      </c>
      <c r="U6" s="20" t="s">
        <v>103</v>
      </c>
      <c r="V6" s="21" t="s">
        <v>104</v>
      </c>
      <c r="W6" s="17" t="s">
        <v>99</v>
      </c>
      <c r="X6" s="18">
        <f t="shared" si="0"/>
        <v>45505</v>
      </c>
      <c r="Y6" s="17" t="s">
        <v>105</v>
      </c>
      <c r="Z6" s="22" t="s">
        <v>106</v>
      </c>
      <c r="AA6" s="23" t="s">
        <v>175</v>
      </c>
      <c r="AB6" s="23" t="s">
        <v>176</v>
      </c>
      <c r="AC6" s="23" t="s">
        <v>156</v>
      </c>
      <c r="AD6" s="24" t="s">
        <v>110</v>
      </c>
      <c r="AE6" s="24" t="s">
        <v>177</v>
      </c>
      <c r="AF6" s="23" t="s">
        <v>178</v>
      </c>
      <c r="AG6" s="25">
        <v>16</v>
      </c>
      <c r="AH6" s="26">
        <f>TODAY()+365</f>
        <v>45969</v>
      </c>
      <c r="AI6" s="27" t="s">
        <v>179</v>
      </c>
      <c r="AJ6" s="27" t="s">
        <v>115</v>
      </c>
      <c r="AK6" s="28">
        <f t="shared" si="1"/>
        <v>45969</v>
      </c>
      <c r="AL6" s="29">
        <f t="shared" si="2"/>
        <v>45505</v>
      </c>
      <c r="AM6" s="29">
        <f t="shared" si="3"/>
        <v>45505</v>
      </c>
      <c r="AN6" s="27" t="s">
        <v>116</v>
      </c>
      <c r="AO6" s="23" t="s">
        <v>180</v>
      </c>
      <c r="AP6" s="14">
        <v>100</v>
      </c>
      <c r="AQ6" s="29">
        <f t="shared" si="4"/>
        <v>45595</v>
      </c>
      <c r="AR6" s="14" t="s">
        <v>96</v>
      </c>
      <c r="AS6" s="30" t="s">
        <v>118</v>
      </c>
      <c r="AU6" s="29" t="s">
        <v>119</v>
      </c>
      <c r="AV6" s="29" t="s">
        <v>120</v>
      </c>
      <c r="AW6" s="14" t="s">
        <v>96</v>
      </c>
      <c r="AX6" s="30" t="s">
        <v>121</v>
      </c>
      <c r="AZ6" s="29" t="s">
        <v>119</v>
      </c>
      <c r="BA6" s="29" t="s">
        <v>120</v>
      </c>
      <c r="BB6" s="32" t="s">
        <v>113</v>
      </c>
      <c r="BC6" s="33" t="s">
        <v>113</v>
      </c>
      <c r="BD6" s="33" t="s">
        <v>113</v>
      </c>
      <c r="BE6" s="33" t="s">
        <v>113</v>
      </c>
      <c r="BF6" s="33" t="s">
        <v>113</v>
      </c>
      <c r="BG6" s="33" t="s">
        <v>113</v>
      </c>
      <c r="BH6" s="33" t="s">
        <v>113</v>
      </c>
      <c r="BI6" s="33" t="s">
        <v>113</v>
      </c>
      <c r="BJ6" s="33" t="s">
        <v>113</v>
      </c>
      <c r="BK6" s="34" t="s">
        <v>113</v>
      </c>
      <c r="BL6" s="35" t="s">
        <v>122</v>
      </c>
      <c r="BM6" s="36" t="s">
        <v>119</v>
      </c>
      <c r="BN6" s="30" t="s">
        <v>101</v>
      </c>
      <c r="BO6" s="30" t="s">
        <v>123</v>
      </c>
      <c r="BP6" s="30" t="s">
        <v>124</v>
      </c>
      <c r="BQ6" s="14" t="s">
        <v>125</v>
      </c>
      <c r="BR6" s="14" t="s">
        <v>126</v>
      </c>
      <c r="BS6" t="s">
        <v>127</v>
      </c>
      <c r="BT6" s="37" t="s">
        <v>128</v>
      </c>
      <c r="BU6" s="38">
        <f t="shared" si="5"/>
        <v>45505</v>
      </c>
      <c r="BV6" s="39" t="s">
        <v>181</v>
      </c>
      <c r="BW6" s="40" t="s">
        <v>182</v>
      </c>
      <c r="BX6" s="41" t="s">
        <v>122</v>
      </c>
      <c r="BY6" s="42">
        <v>43871</v>
      </c>
      <c r="BZ6" s="41" t="s">
        <v>131</v>
      </c>
      <c r="CA6" s="43">
        <v>36932</v>
      </c>
      <c r="CB6" s="39" t="s">
        <v>132</v>
      </c>
      <c r="CC6" s="44" t="s">
        <v>96</v>
      </c>
      <c r="CD6" s="44" t="s">
        <v>118</v>
      </c>
      <c r="CE6" s="45">
        <v>2052106771</v>
      </c>
      <c r="CF6" s="38">
        <v>36444</v>
      </c>
      <c r="CG6" s="38">
        <v>56898</v>
      </c>
      <c r="CH6" s="39" t="s">
        <v>96</v>
      </c>
      <c r="CI6" s="46" t="s">
        <v>133</v>
      </c>
      <c r="CJ6" s="46" t="s">
        <v>134</v>
      </c>
      <c r="CK6" s="46" t="s">
        <v>132</v>
      </c>
      <c r="CL6" s="47">
        <v>2000</v>
      </c>
      <c r="CM6" s="47" t="s">
        <v>135</v>
      </c>
      <c r="CN6" s="47">
        <v>1995</v>
      </c>
      <c r="CO6" s="47">
        <v>2000</v>
      </c>
      <c r="CP6" s="48" t="s">
        <v>136</v>
      </c>
      <c r="CQ6" s="44" t="s">
        <v>137</v>
      </c>
      <c r="CR6" s="44" t="s">
        <v>96</v>
      </c>
      <c r="CS6" s="40" t="s">
        <v>183</v>
      </c>
      <c r="CT6" s="40" t="s">
        <v>182</v>
      </c>
      <c r="CU6" s="40">
        <v>211</v>
      </c>
      <c r="CV6" s="40" t="s">
        <v>140</v>
      </c>
      <c r="CW6" s="40" t="s">
        <v>141</v>
      </c>
      <c r="CX6" s="40" t="s">
        <v>142</v>
      </c>
    </row>
    <row r="7" ht="19.2" customHeight="1" spans="1:102" x14ac:dyDescent="0.25">
      <c r="A7" s="11" t="s">
        <v>184</v>
      </c>
      <c r="D7" s="13" t="s">
        <v>145</v>
      </c>
      <c r="E7" s="14" t="s">
        <v>96</v>
      </c>
      <c r="F7" s="15"/>
      <c r="G7" s="16"/>
      <c r="H7" s="17" t="s">
        <v>185</v>
      </c>
      <c r="I7" s="17" t="s">
        <v>98</v>
      </c>
      <c r="J7" s="17" t="s">
        <v>99</v>
      </c>
      <c r="K7" s="18">
        <v>45505</v>
      </c>
      <c r="L7" s="14" t="s">
        <v>96</v>
      </c>
      <c r="M7" s="14" t="s">
        <v>100</v>
      </c>
      <c r="N7" s="14">
        <v>1</v>
      </c>
      <c r="O7" s="19">
        <v>213111231</v>
      </c>
      <c r="P7" s="17" t="s">
        <v>101</v>
      </c>
      <c r="Q7" s="17">
        <v>26401</v>
      </c>
      <c r="R7" s="17" t="s">
        <v>101</v>
      </c>
      <c r="S7" s="17" t="s">
        <v>102</v>
      </c>
      <c r="T7" s="17" t="s">
        <v>99</v>
      </c>
      <c r="U7" s="20" t="s">
        <v>103</v>
      </c>
      <c r="V7" s="21" t="s">
        <v>104</v>
      </c>
      <c r="W7" s="17" t="s">
        <v>99</v>
      </c>
      <c r="X7" s="18">
        <f t="shared" si="0"/>
        <v>45505</v>
      </c>
      <c r="Y7" s="17" t="s">
        <v>105</v>
      </c>
      <c r="Z7" s="22" t="s">
        <v>186</v>
      </c>
      <c r="AA7" s="23" t="s">
        <v>107</v>
      </c>
      <c r="AB7" s="23" t="s">
        <v>187</v>
      </c>
      <c r="AC7" s="23" t="s">
        <v>156</v>
      </c>
      <c r="AD7" s="24" t="s">
        <v>110</v>
      </c>
      <c r="AE7" s="24" t="s">
        <v>111</v>
      </c>
      <c r="AF7" s="23" t="s">
        <v>112</v>
      </c>
      <c r="AG7" s="25">
        <v>25</v>
      </c>
      <c r="AH7" s="26" t="s">
        <v>113</v>
      </c>
      <c r="AI7" s="27" t="s">
        <v>114</v>
      </c>
      <c r="AJ7" s="27" t="s">
        <v>115</v>
      </c>
      <c r="AK7" s="28">
        <f t="shared" si="1"/>
        <v>NaN</v>
      </c>
      <c r="AL7" s="29">
        <f t="shared" si="2"/>
        <v>45505</v>
      </c>
      <c r="AM7" s="29">
        <f t="shared" si="3"/>
        <v>45505</v>
      </c>
      <c r="AN7" s="27" t="s">
        <v>148</v>
      </c>
      <c r="AO7" s="23" t="s">
        <v>149</v>
      </c>
      <c r="AP7" s="14">
        <v>100</v>
      </c>
      <c r="AQ7" s="29">
        <f t="shared" si="4"/>
        <v>45595</v>
      </c>
      <c r="AR7" s="14" t="s">
        <v>96</v>
      </c>
      <c r="AS7" s="30" t="s">
        <v>118</v>
      </c>
      <c r="AU7" s="29" t="s">
        <v>119</v>
      </c>
      <c r="AV7" s="29" t="s">
        <v>120</v>
      </c>
      <c r="AW7" s="14" t="s">
        <v>96</v>
      </c>
      <c r="AX7" s="30" t="s">
        <v>121</v>
      </c>
      <c r="AZ7" s="29" t="s">
        <v>119</v>
      </c>
      <c r="BA7" s="29" t="s">
        <v>120</v>
      </c>
      <c r="BB7" s="32" t="s">
        <v>113</v>
      </c>
      <c r="BC7" s="33" t="s">
        <v>113</v>
      </c>
      <c r="BD7" s="33" t="s">
        <v>113</v>
      </c>
      <c r="BE7" s="33" t="s">
        <v>113</v>
      </c>
      <c r="BF7" s="33" t="s">
        <v>113</v>
      </c>
      <c r="BG7" s="33" t="s">
        <v>113</v>
      </c>
      <c r="BH7" s="33" t="s">
        <v>113</v>
      </c>
      <c r="BI7" s="33" t="s">
        <v>113</v>
      </c>
      <c r="BJ7" s="33" t="s">
        <v>113</v>
      </c>
      <c r="BK7" s="34" t="s">
        <v>113</v>
      </c>
      <c r="BL7" s="35" t="s">
        <v>122</v>
      </c>
      <c r="BM7" s="36" t="s">
        <v>119</v>
      </c>
      <c r="BN7" s="30" t="s">
        <v>101</v>
      </c>
      <c r="BO7" s="30" t="s">
        <v>123</v>
      </c>
      <c r="BP7" s="30" t="s">
        <v>124</v>
      </c>
      <c r="BQ7" s="14" t="s">
        <v>125</v>
      </c>
      <c r="BR7" s="14" t="s">
        <v>126</v>
      </c>
      <c r="BS7" t="s">
        <v>127</v>
      </c>
      <c r="BT7" s="37" t="s">
        <v>128</v>
      </c>
      <c r="BU7" s="38">
        <f t="shared" si="5"/>
        <v>45505</v>
      </c>
      <c r="BV7" s="39" t="s">
        <v>188</v>
      </c>
      <c r="BW7" s="40" t="s">
        <v>189</v>
      </c>
      <c r="BX7" s="41" t="s">
        <v>122</v>
      </c>
      <c r="BY7" s="42">
        <v>43871</v>
      </c>
      <c r="BZ7" s="41" t="s">
        <v>131</v>
      </c>
      <c r="CA7" s="43">
        <v>36932</v>
      </c>
      <c r="CB7" s="39" t="s">
        <v>132</v>
      </c>
      <c r="CC7" s="44" t="s">
        <v>96</v>
      </c>
      <c r="CD7" s="44" t="s">
        <v>118</v>
      </c>
      <c r="CE7" s="45">
        <v>2052105011</v>
      </c>
      <c r="CF7" s="38">
        <v>36444</v>
      </c>
      <c r="CG7" s="38">
        <v>56898</v>
      </c>
      <c r="CH7" s="39" t="s">
        <v>96</v>
      </c>
      <c r="CI7" s="46" t="s">
        <v>190</v>
      </c>
      <c r="CJ7" s="46" t="s">
        <v>191</v>
      </c>
      <c r="CK7" s="46" t="s">
        <v>132</v>
      </c>
      <c r="CL7" s="47">
        <v>2000</v>
      </c>
      <c r="CM7" s="47" t="s">
        <v>135</v>
      </c>
      <c r="CN7" s="47">
        <v>1995</v>
      </c>
      <c r="CO7" s="47">
        <v>2000</v>
      </c>
      <c r="CP7" s="48" t="s">
        <v>192</v>
      </c>
      <c r="CQ7" s="44" t="s">
        <v>137</v>
      </c>
      <c r="CR7" s="44" t="s">
        <v>96</v>
      </c>
      <c r="CS7" s="40" t="s">
        <v>193</v>
      </c>
      <c r="CT7" s="40" t="s">
        <v>189</v>
      </c>
      <c r="CU7" s="49">
        <v>211</v>
      </c>
      <c r="CV7" s="40" t="s">
        <v>140</v>
      </c>
      <c r="CW7" s="40" t="s">
        <v>141</v>
      </c>
      <c r="CX7" s="40" t="s">
        <v>142</v>
      </c>
    </row>
    <row r="9" ht="14.4" customHeight="1" spans="46:51" x14ac:dyDescent="0.25">
      <c r="AT9" s="31">
        <v>9861111403</v>
      </c>
      <c r="AY9" s="31">
        <v>147162481</v>
      </c>
    </row>
    <row r="10" ht="14.4" customHeight="1" spans="46:51" x14ac:dyDescent="0.25">
      <c r="AT10" s="31">
        <v>9861118322</v>
      </c>
      <c r="AY10" s="31">
        <v>147152482</v>
      </c>
    </row>
    <row r="11" ht="14.4" customHeight="1" spans="46:51" x14ac:dyDescent="0.25">
      <c r="AT11" s="31">
        <v>9861118465</v>
      </c>
      <c r="AY11" s="31">
        <v>147142483</v>
      </c>
    </row>
    <row r="12" ht="14.4" customHeight="1" spans="46:51" x14ac:dyDescent="0.25">
      <c r="AT12" s="31">
        <v>9861119917</v>
      </c>
      <c r="AY12" s="31">
        <v>147132484</v>
      </c>
    </row>
    <row r="13" ht="14.4" customHeight="1" spans="46:51" x14ac:dyDescent="0.25">
      <c r="AT13" s="31">
        <v>9861118718</v>
      </c>
      <c r="AY13" s="31">
        <v>147122485</v>
      </c>
    </row>
    <row r="14" ht="14.4" customHeight="1" spans="46:51" x14ac:dyDescent="0.25">
      <c r="AT14" s="31">
        <v>9861114054</v>
      </c>
      <c r="AY14" s="31">
        <v>147112486</v>
      </c>
    </row>
    <row r="15" ht="14.4" customHeight="1" spans="46:51" x14ac:dyDescent="0.25">
      <c r="AT15" s="31">
        <v>9861118762</v>
      </c>
      <c r="AY15" s="31">
        <v>147102487</v>
      </c>
    </row>
    <row r="16" ht="14.4" customHeight="1" spans="46:51" x14ac:dyDescent="0.25">
      <c r="AT16" s="31">
        <v>9861115264</v>
      </c>
      <c r="AY16" s="31">
        <v>147092488</v>
      </c>
    </row>
    <row r="17" ht="14.4" customHeight="1" spans="46:51" x14ac:dyDescent="0.25">
      <c r="AT17" s="31">
        <v>9861113812</v>
      </c>
      <c r="AY17" s="31">
        <v>147082489</v>
      </c>
    </row>
    <row r="18" ht="14.4" customHeight="1" spans="46:51" x14ac:dyDescent="0.25">
      <c r="AT18" s="31">
        <v>9861114978</v>
      </c>
      <c r="AY18" s="31">
        <v>147072490</v>
      </c>
    </row>
    <row r="19" ht="14.4" customHeight="1" spans="46:51" x14ac:dyDescent="0.25">
      <c r="AT19" s="31">
        <v>9861119862</v>
      </c>
      <c r="AY19" s="31">
        <v>147062491</v>
      </c>
    </row>
    <row r="20" ht="14.4" customHeight="1" spans="46:51" x14ac:dyDescent="0.25">
      <c r="AT20" s="31">
        <v>9861113911</v>
      </c>
      <c r="AY20" s="31">
        <v>147052492</v>
      </c>
    </row>
    <row r="21" ht="14.4" customHeight="1" spans="46:51" x14ac:dyDescent="0.25">
      <c r="AT21" s="31">
        <v>9861116221</v>
      </c>
      <c r="AY21" s="31">
        <v>147042493</v>
      </c>
    </row>
    <row r="22" ht="14.4" customHeight="1" spans="46:51" x14ac:dyDescent="0.25">
      <c r="AT22" s="31">
        <v>9861116067</v>
      </c>
      <c r="AY22" s="31">
        <v>147032494</v>
      </c>
    </row>
    <row r="23" ht="14.4" customHeight="1" spans="46:51" x14ac:dyDescent="0.25">
      <c r="AT23" s="31">
        <v>9861112998</v>
      </c>
      <c r="AY23" s="31">
        <v>147022495</v>
      </c>
    </row>
  </sheetData>
  <dataValidations count="6">
    <dataValidation type="list" allowBlank="1" showInputMessage="1" showErrorMessage="1" sqref="AJ2:AJ7">
      <formula1>INDIRECT($E1)</formula1>
    </dataValidation>
    <dataValidation type="list" allowBlank="1" showInputMessage="1" showErrorMessage="1" sqref="BR2:BR7">
      <formula1>INDIRECT($E2)</formula1>
    </dataValidation>
    <dataValidation type="list" allowBlank="1" showInputMessage="1" showErrorMessage="1" sqref="J2:J7">
      <formula1>INDIRECT($E2)</formula1>
    </dataValidation>
    <dataValidation type="list" allowBlank="1" showInputMessage="1" showErrorMessage="1" sqref="T2:T7">
      <formula1>INDIRECT($E1)</formula1>
    </dataValidation>
    <dataValidation type="list" allowBlank="1" showInputMessage="1" showErrorMessage="1" sqref="W2:W7">
      <formula1>INDIRECT($E1)</formula1>
    </dataValidation>
    <dataValidation type="list" allowBlank="1" showInputMessage="1" showErrorMessage="1" sqref="Y2:Y7">
      <formula1>INDIRECT($E1)</formula1>
    </dataValidation>
  </dataValidations>
  <hyperlinks>
    <hyperlink ref="V2" r:id="rId1"/>
    <hyperlink ref="V3" r:id="rId2"/>
  </hyperlinks>
  <pageMargins left="0.7" right="0.7" top="0.75" bottom="0.75" header="0.3" footer="0.3"/>
  <pageSetup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2024-11-08T09:33:25Z</dcterms:modified>
</cp:coreProperties>
</file>