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never" codeName="ThisWorkbook" defaultThemeVersion="124226"/>
  <mc:AlternateContent xmlns:mc="http://schemas.openxmlformats.org/markup-compatibility/2006">
    <mc:Choice Requires="x15">
      <x15ac:absPath xmlns:x15ac="http://schemas.microsoft.com/office/spreadsheetml/2010/11/ac" url="H:\GKALE\WorkDaySuite_Playwright\Data\"/>
    </mc:Choice>
  </mc:AlternateContent>
  <xr:revisionPtr revIDLastSave="0" documentId="13_ncr:1_{064C6E99-909A-43F3-9E4D-5D1500B6BB9B}" xr6:coauthVersionLast="47" xr6:coauthVersionMax="47" xr10:uidLastSave="{00000000-0000-0000-0000-000000000000}"/>
  <bookViews>
    <workbookView xWindow="-110" yWindow="-110" windowWidth="19420" windowHeight="1042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xlnm._FilterDatabase" localSheetId="7" hidden="1">Test_Data!$A$14:$H$14</definedName>
    <definedName name="AddAdditonalName_Country">Test_Data!#REF!</definedName>
    <definedName name="AddAdditonalName_FamilyName">Test_Data!#REF!</definedName>
    <definedName name="AddAdditonalName_GivenName">Test_Data!#REF!</definedName>
    <definedName name="AddAdditonalName_NameType">Test_Data!#REF!</definedName>
    <definedName name="AddProbationPeriod_ProbationEndDate">Test_Data!#REF!</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ssignPayGroup_ProposedPayGroup" localSheetId="7">Test_Data!$E$70</definedName>
    <definedName name="AssignPayGroup_ProposedPayGroup">Automation_Lookups!$T$2:$T$20</definedName>
    <definedName name="AssignPayGroup_ProposedPayGroup2" localSheetId="7">Test_Data!$F$70</definedName>
    <definedName name="AssignPayGroup_ProposedPayGroup2">Automation_Lookups!$T$2</definedName>
    <definedName name="AssignPayGroup_ProposedPayGroupFinal">Test_Data!$E$70</definedName>
    <definedName name="AssignPayGroup_ProposedPayGroupInitial">Test_Data!$E$69</definedName>
    <definedName name="Automation_Ref">Test_Data!$E$14:$F$14</definedName>
    <definedName name="AutomationComments">Test_Data!$E$11:$F$11</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Test_Data!$E$57</definedName>
    <definedName name="ChangeMyGovernmentIDs_NationalIDs_AddEditID12">Test_Data!$F$57</definedName>
    <definedName name="ChangeMyGovernmentIDs_NationalIDs_AddEditID2">Test_Data!#REF!</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Test_Data!$E$55</definedName>
    <definedName name="ChangeMyGovernmentIDs_NationalIDs_Country12">Test_Data!$F$55</definedName>
    <definedName name="ChangeMyGovernmentIDs_NationalIDs_Country2">Test_Data!#REF!</definedName>
    <definedName name="ChangeMyGovernmentIDs_NationalIDs_Country22">Test_Data!#REF!</definedName>
    <definedName name="ChangeMyGovernmentIDs_NationalIDs_Country3">Test_Data!#REF!</definedName>
    <definedName name="ChangeMyGovernmentIDs_NationalIDs_ExpirationDate1">Test_Data!#REF!</definedName>
    <definedName name="ChangeMyGovernmentIDs_NationalIDs_ExpirationDate2">Test_Data!#REF!</definedName>
    <definedName name="ChangeMyGovernmentIDs_NationalIDs_IssuedBy2">Test_Data!#REF!</definedName>
    <definedName name="ChangeMyGovernmentIDs_NationalIDs_IssuedDate1">Test_Data!#REF!</definedName>
    <definedName name="ChangeMyGovernmentIDs_NationalIDs_IssuedDate2">Test_Data!#REF!</definedName>
    <definedName name="ChangeMyGovernmentIDs_NationalIDs_NationalIDType1">Test_Data!$E$56</definedName>
    <definedName name="ChangeMyGovernmentIDs_NationalIDs_NationalIDType12" localSheetId="7">Test_Data!$F$56</definedName>
    <definedName name="ChangeMyGovernmentIDs_NationalIDs_NationalIDType12">Automation_Lookups!$AK$2:$AK$5</definedName>
    <definedName name="ChangeMyGovernmentIDs_NationalIDs_NationalIDType2" localSheetId="7">Test_Data!#REF!</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Test_Data!$E$62</definedName>
    <definedName name="ChangeMyPersonalInformation_CityOfBirth">Test_Data!#REF!</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Test_Data!$E$59</definedName>
    <definedName name="ChangeMyPersonalInformation_DateOfBirth2">Test_Data!$F$59</definedName>
    <definedName name="ChangeMyPersonalInformation_Gender">Test_Data!$E$58</definedName>
    <definedName name="ChangeMyPersonalInformation_Gender2">Test_Data!$F$58</definedName>
    <definedName name="ChangeMyPersonalInformation_MaritalStatus">Test_Data!$E$60</definedName>
    <definedName name="ChangeMyPersonalInformation_MaritalStatus2" localSheetId="7">Test_Data!#REF!</definedName>
    <definedName name="ChangeMyPersonalInformation_MaritalStatus2">Automation_Lookups!$AH$2:$AH$4</definedName>
    <definedName name="ChangeMyPersonalInformation_MaritalStatusDate">Test_Data!$E$61</definedName>
    <definedName name="ChangeMyPersonalInformation_MaritalStatusDate2">Test_Data!#REF!</definedName>
    <definedName name="ChangeMyPersonalInformation_PrimaryNationality">Test_Data!#REF!</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Test_Data!$E$53</definedName>
    <definedName name="ChangeOrganizationAssignments_CostCenter2">Test_Data!$F$53</definedName>
    <definedName name="ChangeOrganizationAssignments_DepartmentSection">Test_Data!$E$54</definedName>
    <definedName name="ChangeOrganizationAssignments_DepartmentSection2" localSheetId="7">Test_Data!$F$54</definedName>
    <definedName name="ChangeOrganizationAssignments_DepartmentSection2">Automation_Lookups!$S$2</definedName>
    <definedName name="ChangeOrganizationAssignments_Other_Organizations" localSheetId="7">Test_Data!$E$54</definedName>
    <definedName name="ChangeOrganizationAssignments_Other_Organizations">Automation_Lookups!$S$2:$S$20</definedName>
    <definedName name="ChangeOrganizationAssignments_Other_Organizations2">Automation_Lookups!$S$2</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Test_Data!$E$28</definedName>
    <definedName name="ContactInformation_Address_City2">Test_Data!$F$30</definedName>
    <definedName name="ContactInformation_Address_Country">Test_Data!$E$24</definedName>
    <definedName name="ContactInformation_Address_Country2">Test_Data!$F$24</definedName>
    <definedName name="ContactInformation_Address_County">Test_Data!$E$26:$F$26</definedName>
    <definedName name="ContactInformation_Address_District">Test_Data!$E$30</definedName>
    <definedName name="ContactInformation_Address_EffectiveDate">Test_Data!$E$23</definedName>
    <definedName name="ContactInformation_Address_EffectiveDate2">Test_Data!$F$23</definedName>
    <definedName name="ContactInformation_Address_HouseNumber">Test_Data!#REF!</definedName>
    <definedName name="ContactInformation_Address_HouseNumber2">Test_Data!#REF!</definedName>
    <definedName name="ContactInformation_Address_Municipality">Test_Data!$E$29</definedName>
    <definedName name="ContactInformation_Address_PostalCode">Test_Data!$E$27</definedName>
    <definedName name="ContactInformation_Address_PostalCode2">Test_Data!$F$27</definedName>
    <definedName name="ContactInformation_Address_Province">Test_Data!$E$26</definedName>
    <definedName name="ContactInformation_Address_Province2" localSheetId="7">Test_Data!#REF!</definedName>
    <definedName name="ContactInformation_Address_Province2">Automation_Lookups!$AT$2</definedName>
    <definedName name="ContactInformation_Address_State">Test_Data!$E$30</definedName>
    <definedName name="ContactInformation_Address_StreetName">Test_Data!$E$25</definedName>
    <definedName name="ContactInformation_Address_Type" localSheetId="7">Test_Data!$E$31</definedName>
    <definedName name="ContactInformation_Address_Type">Automation_Lookups!$H$2:$H$20</definedName>
    <definedName name="ContactInformation_Address_Type2" localSheetId="7">Test_Data!$F$31</definedName>
    <definedName name="ContactInformation_Address_Type2">Automation_Lookups!$H$2:$H$3</definedName>
    <definedName name="ContactInformation_Address_UseFor">Test_Data!$E$32</definedName>
    <definedName name="ContactInformation_Address_UseFor2">Test_Data!$F$32</definedName>
    <definedName name="ContactInformation_Address_Voivodeship_Province">Test_Data!$E$26:$F$26</definedName>
    <definedName name="ContactInformation_Email_EmailAddress">Test_Data!$E$33</definedName>
    <definedName name="ContactInformation_Email_EmailAddress2">Test_Data!$F$33</definedName>
    <definedName name="ContactInformation_Email_Type" localSheetId="7">Test_Data!$E$34</definedName>
    <definedName name="ContactInformation_Email_Type">Automation_Lookups!$I$2:$I$20</definedName>
    <definedName name="ContactInformation_Email_Type2" localSheetId="7">Test_Data!$F$34</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Test_Data!$E$21</definedName>
    <definedName name="ContactInformation_Phone_PhoneDevice">Automation_Lookups!$F$2:$F$20</definedName>
    <definedName name="ContactInformation_Phone_PhoneDevice2" localSheetId="7">Test_Data!$F$21</definedName>
    <definedName name="ContactInformation_Phone_PhoneDevice2">Automation_Lookups!$F$2:$F$3</definedName>
    <definedName name="ContactInformation_Phone_PhoneNumber">Test_Data!$E$20</definedName>
    <definedName name="ContactInformation_Phone_PhoneNumber2">Test_Data!$F$20</definedName>
    <definedName name="ContactInformation_Phone_Type" localSheetId="7">Test_Data!$E$22</definedName>
    <definedName name="ContactInformation_Phone_Type">Automation_Lookups!$G$2:$G$20</definedName>
    <definedName name="ContactInformation_Phone_Type2" localSheetId="7">Test_Data!$F$22</definedName>
    <definedName name="ContactInformation_Phone_Type2">Automation_Lookups!$G$2:$G$3</definedName>
    <definedName name="DataValidationComplete">Test_Data!$E$5:$F$5</definedName>
    <definedName name="DefectDescription">Test_Data!$E$10:$F$10</definedName>
    <definedName name="EditAdditionalData_PartnerRevenue">Test_Data!#REF!</definedName>
    <definedName name="Execution_Flag">Automation_Lookups!$B$2:$B$3</definedName>
    <definedName name="Execution_Status">Automation_Lookups!$A$2:$A$20</definedName>
    <definedName name="ExecutionFlag" localSheetId="7">Test_Data!$E$4:$F$4</definedName>
    <definedName name="ExecutionFlag">Automation_Lookups!$B$2:$B$3</definedName>
    <definedName name="ExecutionFlag2">Automation_Lookups!$B$2:$B$3</definedName>
    <definedName name="Field">Test_Data!$C$15:$C$70</definedName>
    <definedName name="FinalUSEmploymentVerificationStatus_USEmploymentVerificationStatus">Test_Data!#REF!</definedName>
    <definedName name="HealthCareProvider_HealthInsuranceCompany">Test_Data!#REF!</definedName>
    <definedName name="HealthCareProvider_MealVoucher">Test_Data!#REF!</definedName>
    <definedName name="HealthCareProvider_MealVoucher2">Automation_Lookups!$AQ$2:$AQ$3</definedName>
    <definedName name="HireNameComplete">Test_Data!$E$6:$F$6</definedName>
    <definedName name="HRPartner_EmployeeID_1">Test_Data!#REF!</definedName>
    <definedName name="HRPartner_EmployeeID_2">Test_Data!#REF!</definedName>
    <definedName name="JobDetails_AdditionalInformation_AdditionalJobClassifications">Test_Data!$E$44</definedName>
    <definedName name="JobDetails_AdditionalInformation_AdditionalJobClassifications2">Test_Data!$F$44</definedName>
    <definedName name="JobDetails_AdditionalInformation_Comments">Test_Data!$E$47</definedName>
    <definedName name="JobDetails_AdditionalInformation_Comments2">Test_Data!$F$47</definedName>
    <definedName name="JobDetails_AdditionalInformation_EndEmploymentDate">Test_Data!$E$46</definedName>
    <definedName name="JobDetails_AdditionalInformation_EndEmploymentDate2" localSheetId="7">Test_Data!$F$46</definedName>
    <definedName name="JobDetails_AdditionalInformation_EndEmploymentDate2">Automation_Lookups!$R$2:$R$5</definedName>
    <definedName name="JobDetails_AdditionalInformation_ScheduledWeeklyHours">Test_Data!$E$43</definedName>
    <definedName name="JobDetails_AdditionalInformation_ScheduledWeeklyHours2">Test_Data!$F$43</definedName>
    <definedName name="JobDetails_AdditionalInformation_WorkShift" localSheetId="7">Test_Data!$E$45</definedName>
    <definedName name="JobDetails_AdditionalInformation_WorkShift">Automation_Lookups!$Q$2:$Q$20</definedName>
    <definedName name="JobDetails_AdditionalInformation_WorkShift2" localSheetId="7">Test_Data!$F$45</definedName>
    <definedName name="JobDetails_AdditionalInformation_WorkShift2">Automation_Lookups!$Q$2:$Q$6</definedName>
    <definedName name="JobDetails_EmployeeType" localSheetId="7">Test_Data!$E$38</definedName>
    <definedName name="JobDetails_EmployeeType">Automation_Lookups!$M$2:$M$20</definedName>
    <definedName name="JobDetails_EmployeeType2" localSheetId="7">Test_Data!$F$38</definedName>
    <definedName name="JobDetails_EmployeeType2">Automation_Lookups!$M$2:$M$5</definedName>
    <definedName name="JobDetails_HireDate">Test_Data!$E$35</definedName>
    <definedName name="JobDetails_HireDate2" localSheetId="7">Test_Data!$F$35</definedName>
    <definedName name="JobDetails_HireDate2">Automation_Lookups!$J$2:$J$4</definedName>
    <definedName name="JobDetails_JobProfile" localSheetId="7">Test_Data!$E$39</definedName>
    <definedName name="JobDetails_JobProfile">Automation_Lookups!$N$3:$N$21</definedName>
    <definedName name="JobDetails_JobProfile2" localSheetId="7">Test_Data!$F$39</definedName>
    <definedName name="JobDetails_JobProfile2">Automation_Lookups!$N$2:$N$15</definedName>
    <definedName name="JobDetails_Location">Test_Data!$E$41</definedName>
    <definedName name="JobDetails_Location2" localSheetId="7">Test_Data!$F$41</definedName>
    <definedName name="JobDetails_Location2">Automation_Lookups!$P$2:$P$3</definedName>
    <definedName name="JobDetails_PayRateType">Test_Data!$E$42</definedName>
    <definedName name="JobDetails_Position">Test_Data!$E$37</definedName>
    <definedName name="JobDetails_Position2" localSheetId="7">Test_Data!$F$37</definedName>
    <definedName name="JobDetails_Position2">Automation_Lookups!$L$2:$L$5</definedName>
    <definedName name="JobDetails_Reason" localSheetId="7">Test_Data!$E$36</definedName>
    <definedName name="JobDetails_Reason">Automation_Lookups!$K$2:$K$20</definedName>
    <definedName name="JobDetails_Reason2" localSheetId="7">Test_Data!$F$36</definedName>
    <definedName name="JobDetails_Reason2">Automation_Lookups!$K$2</definedName>
    <definedName name="JobDetails_ScheduledWeeklyHours">Test_Data!$E$43</definedName>
    <definedName name="JobDetails_TimeType" localSheetId="7">Test_Data!$E$40</definedName>
    <definedName name="JobDetails_TimeType">Automation_Lookups!$O$2:$O$20</definedName>
    <definedName name="JobDetails_TimeType2" localSheetId="7">Test_Data!$F$40</definedName>
    <definedName name="JobDetails_TimeType2">Automation_Lookups!$O$2:$O$3</definedName>
    <definedName name="LastRunEmployeeNo">Test_Data!$E$8</definedName>
    <definedName name="LastRunErrorMessage">Test_Data!$E$9:$F$9</definedName>
    <definedName name="LastRunTimeandStatus">Test_Data!$E$7</definedName>
    <definedName name="LegalNameInformation_Country" localSheetId="7">Test_Data!$E$16</definedName>
    <definedName name="LegalNameInformation_Country">Automation_Lookups!$D$2:$D$3</definedName>
    <definedName name="LegalNameInformation_Country2" localSheetId="7">Test_Data!$F$16</definedName>
    <definedName name="LegalNameInformation_Country2">Automation_Lookups!$D$2:$D$3</definedName>
    <definedName name="LegalNameInformation_FamilyName">Test_Data!$E$19</definedName>
    <definedName name="LegalNameInformation_FirstLastName">Test_Data!$E$19</definedName>
    <definedName name="LegalNameInformation_FirstLastName2">Test_Data!$F$19</definedName>
    <definedName name="LegalNameInformation_GivenName">Test_Data!$E$18</definedName>
    <definedName name="LegalNameInformation_GivenName2">Test_Data!$F$18</definedName>
    <definedName name="LegalNameInformation_Prefix">Test_Data!$E$17</definedName>
    <definedName name="LegalNameInformation_SecondLastName">Test_Data!#REF!</definedName>
    <definedName name="LegalNameInformation_SecondLastName2">Test_Data!#REF!</definedName>
    <definedName name="Login_Password">Test_Data!#REF!</definedName>
    <definedName name="Login_Password2">Test_Data!#REF!</definedName>
    <definedName name="Login_Username">Test_Data!#REF!</definedName>
    <definedName name="Login_Username2">Test_Data!#REF!</definedName>
    <definedName name="MaintainEmployeeContract_ContractEndDate">Test_Data!$E$52</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Test_Data!#REF!</definedName>
    <definedName name="MaintainEmployeeContract_ContractStartDate2">Test_Data!#REF!</definedName>
    <definedName name="MaintainEmployeeContract_ContractType" localSheetId="7">Test_Data!$E$48</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Test_Data!$E$50</definedName>
    <definedName name="MaintainEmployeeContract_DateEmployerSigned">Test_Data!$E$51</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Test_Data!$E$49</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nageProbationPeriod_ProbationEndDate">Test_Data!#REF!</definedName>
    <definedName name="Order_Buyer">Test_Data!$G$15:$H$15</definedName>
    <definedName name="Order_BuyingOfficeZone">Test_Data!#REF!</definedName>
    <definedName name="Order_Department">Test_Data!#REF!</definedName>
    <definedName name="Order_Vendor">Test_Data!$G$16:$H$16</definedName>
    <definedName name="PaymentElectionOption_AccountNumber">Test_Data!$E$66</definedName>
    <definedName name="PaymentElectionOption_AccountType">Test_Data!$E$65</definedName>
    <definedName name="PaymentElectionOption_BankIdentificationCode">Test_Data!$E$64</definedName>
    <definedName name="PaymentElectionOption_BankName">Test_Data!$E$63</definedName>
    <definedName name="PaymentElectionOption_BankSortCode">Test_Data!#REF!</definedName>
    <definedName name="PaymentElectionOption_IBAN">Test_Data!$E$67</definedName>
    <definedName name="Please_select_a_Spanish_Pay_Group">Automation_Lookups!$T$3</definedName>
    <definedName name="PO_No">Test_Data!$G$3:$H$3</definedName>
    <definedName name="Poland">Automation_Lookups!$E$2</definedName>
    <definedName name="Process" localSheetId="7">Test_Data!$E$3:$F$3</definedName>
    <definedName name="Process">Automation_Lookups!$A$2</definedName>
    <definedName name="Process2">Automation_Lookups!$A$2:$A$3</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Test_Data!$E$68</definedName>
    <definedName name="ProposeCompensationHire_Salary2">Test_Data!$F$68</definedName>
    <definedName name="ProposeCompensationHire_Step" localSheetId="7">Test_Data!#REF!</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Test_Data!$E$12:$F$12</definedName>
    <definedName name="SkillsAndExperience_AddEducation_School">Test_Data!#REF!</definedName>
    <definedName name="SkillsAndExperience_AddEducation_School2">Automation_Lookups!$AN$2:$AN$3</definedName>
    <definedName name="SupervisoryOrganisation_SupervisoryOrganisation" localSheetId="7">Test_Data!$E$15</definedName>
    <definedName name="SupervisoryOrganisation_SupervisoryOrganisation">Automation_Lookups!$C$2:$C$2</definedName>
    <definedName name="SupervisoryOrganisation_SupervisoryOrganisation2" localSheetId="7">Test_Data!$F$15</definedName>
    <definedName name="SupervisoryOrganisation_SupervisoryOrganisation2">Automation_Lookups!$C$2:$C$5</definedName>
    <definedName name="Test_1">Test_Data!$G$2:$G$1048576</definedName>
    <definedName name="Test_10">Test_Data!#REF!</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Test_Data!#REF!</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Test_Data!#REF!</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Test_Data!#REF!</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Test_Data!#REF!</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Test_Data!#REF!</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Test_Data!$H$2:$H$1048576</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Test_Data!#REF!</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Test_Data!#REF!</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Test_Data!#REF!</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Test_Data!#REF!</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Test_Data!#REF!</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Test_Data!#REF!</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Test_Data!#REF!</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Test_Data!$E$1:$F$1</definedName>
    <definedName name="Version_Number">Test_Data!$A$3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51" i="38" l="1"/>
  <c r="BD58" i="38" s="1"/>
  <c r="BF23" i="38"/>
  <c r="BF36" i="38" s="1"/>
  <c r="BF56" i="38" s="1"/>
  <c r="BE23" i="38"/>
  <c r="BE36" i="38" s="1"/>
  <c r="BE56" i="38" s="1"/>
  <c r="BD23" i="38"/>
  <c r="BD36" i="38" s="1"/>
  <c r="BD57" i="38" s="1"/>
  <c r="BC23" i="38"/>
  <c r="BC36" i="38" s="1"/>
  <c r="BC56" i="38" s="1"/>
  <c r="BB23" i="38"/>
  <c r="BB36" i="38" s="1"/>
  <c r="BA23" i="38"/>
  <c r="BA36" i="38" s="1"/>
  <c r="AZ23" i="38"/>
  <c r="AZ36" i="38" s="1"/>
  <c r="AY23" i="38"/>
  <c r="AY36" i="38" s="1"/>
  <c r="AY56" i="38" s="1"/>
  <c r="AX23" i="38"/>
  <c r="AX36" i="38" s="1"/>
  <c r="AX56" i="38" s="1"/>
  <c r="AW23" i="38"/>
  <c r="AW36" i="38" s="1"/>
  <c r="AW56" i="38" s="1"/>
  <c r="AV23" i="38"/>
  <c r="AV36" i="38" s="1"/>
  <c r="AV57" i="38" s="1"/>
  <c r="AU23" i="38"/>
  <c r="AU36" i="38" s="1"/>
  <c r="AU57" i="38" s="1"/>
  <c r="AT23" i="38"/>
  <c r="AT36" i="38" s="1"/>
  <c r="AT57" i="38" s="1"/>
  <c r="AS23" i="38"/>
  <c r="AS36" i="38" s="1"/>
  <c r="AR23" i="38"/>
  <c r="AR36" i="38" s="1"/>
  <c r="AR57" i="38" s="1"/>
  <c r="AQ23" i="38"/>
  <c r="AQ36" i="38" s="1"/>
  <c r="AQ56" i="38" s="1"/>
  <c r="AP23" i="38"/>
  <c r="AP36" i="38" s="1"/>
  <c r="AP56" i="38" s="1"/>
  <c r="AO23" i="38"/>
  <c r="AO36" i="38" s="1"/>
  <c r="AN23" i="38"/>
  <c r="AN36" i="38" s="1"/>
  <c r="AM23" i="38"/>
  <c r="AM36" i="38" s="1"/>
  <c r="AM56" i="38" s="1"/>
  <c r="AL23" i="38"/>
  <c r="AL36" i="38" s="1"/>
  <c r="AK23" i="38"/>
  <c r="AK36" i="38" s="1"/>
  <c r="AJ23" i="38"/>
  <c r="AJ36" i="38" s="1"/>
  <c r="AI23" i="38"/>
  <c r="AI36" i="38" s="1"/>
  <c r="AI57" i="38" s="1"/>
  <c r="AH23" i="38"/>
  <c r="AH36" i="38" s="1"/>
  <c r="AH56" i="38" s="1"/>
  <c r="AG23" i="38"/>
  <c r="AG36" i="38" s="1"/>
  <c r="AG56" i="38" s="1"/>
  <c r="AF23" i="38"/>
  <c r="AF36" i="38" s="1"/>
  <c r="AF57" i="38" s="1"/>
  <c r="AE23" i="38"/>
  <c r="AE36" i="38" s="1"/>
  <c r="AE57" i="38" s="1"/>
  <c r="AD23" i="38"/>
  <c r="AD36" i="38" s="1"/>
  <c r="AC23" i="38"/>
  <c r="AC36" i="38" s="1"/>
  <c r="AB23" i="38"/>
  <c r="AB36" i="38" s="1"/>
  <c r="AA23" i="38"/>
  <c r="AA36" i="38" s="1"/>
  <c r="AA57" i="38" s="1"/>
  <c r="Z23" i="38"/>
  <c r="Z36" i="38" s="1"/>
  <c r="Z56" i="38" s="1"/>
  <c r="Y23" i="38"/>
  <c r="Y36" i="38" s="1"/>
  <c r="Y56" i="38" s="1"/>
  <c r="W58" i="38"/>
  <c r="X58" i="38"/>
  <c r="Z58" i="38"/>
  <c r="AH58" i="38"/>
  <c r="AI58" i="38"/>
  <c r="AK58" i="38"/>
  <c r="AM58" i="38"/>
  <c r="AO58" i="38"/>
  <c r="AQ58" i="38"/>
  <c r="AS58" i="38"/>
  <c r="AU58" i="38"/>
  <c r="AX58" i="38"/>
  <c r="AY58" i="38"/>
  <c r="BB58" i="38"/>
  <c r="BC58" i="38"/>
  <c r="BE58" i="38"/>
  <c r="BF58" i="38"/>
  <c r="BA51" i="38"/>
  <c r="BA58" i="38" s="1"/>
  <c r="AZ51" i="38"/>
  <c r="AZ58" i="38" s="1"/>
  <c r="AW51" i="38"/>
  <c r="AW58" i="38" s="1"/>
  <c r="AV51" i="38"/>
  <c r="AV58" i="38" s="1"/>
  <c r="AT51" i="38"/>
  <c r="AT58" i="38" s="1"/>
  <c r="AR51" i="38"/>
  <c r="AR58" i="38" s="1"/>
  <c r="AP51" i="38"/>
  <c r="AP58" i="38" s="1"/>
  <c r="AN51" i="38"/>
  <c r="AN58" i="38" s="1"/>
  <c r="AL51" i="38"/>
  <c r="AL58" i="38" s="1"/>
  <c r="AJ51" i="38"/>
  <c r="AJ58" i="38" s="1"/>
  <c r="AG51" i="38"/>
  <c r="AG58" i="38" s="1"/>
  <c r="AF51" i="38"/>
  <c r="AF58" i="38" s="1"/>
  <c r="AE51" i="38"/>
  <c r="AE58" i="38" s="1"/>
  <c r="AD51" i="38"/>
  <c r="AD58" i="38" s="1"/>
  <c r="AC51" i="38"/>
  <c r="AC58" i="38" s="1"/>
  <c r="AB51" i="38"/>
  <c r="AB58" i="38" s="1"/>
  <c r="AA51" i="38"/>
  <c r="AA58" i="38" s="1"/>
  <c r="Y51" i="38"/>
  <c r="Y58" i="38" s="1"/>
  <c r="V51" i="38"/>
  <c r="V58" i="38" s="1"/>
  <c r="U51" i="38"/>
  <c r="U58" i="38" s="1"/>
  <c r="T51" i="38"/>
  <c r="T58" i="38" s="1"/>
  <c r="S51" i="38"/>
  <c r="S58" i="38" s="1"/>
  <c r="X23" i="38"/>
  <c r="X36" i="38" s="1"/>
  <c r="X57" i="38" s="1"/>
  <c r="W23" i="38"/>
  <c r="W36" i="38" s="1"/>
  <c r="W57" i="38" s="1"/>
  <c r="V23" i="38"/>
  <c r="V36" i="38" s="1"/>
  <c r="V57" i="38" s="1"/>
  <c r="U23" i="38"/>
  <c r="U36" i="38" s="1"/>
  <c r="T23" i="38"/>
  <c r="T36" i="38" s="1"/>
  <c r="T57" i="38" s="1"/>
  <c r="S23" i="38"/>
  <c r="S36" i="38" s="1"/>
  <c r="S57" i="38" s="1"/>
  <c r="R23" i="38"/>
  <c r="R36" i="38" s="1"/>
  <c r="R56" i="38" s="1"/>
  <c r="P58" i="38"/>
  <c r="Q51" i="38"/>
  <c r="Q58" i="38" s="1"/>
  <c r="Q23" i="38"/>
  <c r="Q36" i="38" s="1"/>
  <c r="Q57" i="38" s="1"/>
  <c r="N58" i="38"/>
  <c r="R58" i="38"/>
  <c r="O51" i="38"/>
  <c r="O58" i="38" s="1"/>
  <c r="L58" i="38"/>
  <c r="M58" i="38"/>
  <c r="L57" i="38"/>
  <c r="L56" i="38"/>
  <c r="P23" i="38"/>
  <c r="P36" i="38" s="1"/>
  <c r="P57" i="38" s="1"/>
  <c r="O23" i="38"/>
  <c r="O36" i="38" s="1"/>
  <c r="O56" i="38" s="1"/>
  <c r="N23" i="38"/>
  <c r="N36" i="38" s="1"/>
  <c r="N56" i="38" s="1"/>
  <c r="M23" i="38"/>
  <c r="M36" i="38" s="1"/>
  <c r="M56" i="38" s="1"/>
  <c r="L23" i="38"/>
  <c r="L36" i="38" s="1"/>
  <c r="K23" i="38"/>
  <c r="K36" i="38" s="1"/>
  <c r="K56" i="38" s="1"/>
  <c r="K51" i="38"/>
  <c r="K58" i="38" s="1"/>
  <c r="J51" i="38"/>
  <c r="J58" i="38" s="1"/>
  <c r="J23" i="38"/>
  <c r="J36" i="38" s="1"/>
  <c r="I23" i="38"/>
  <c r="I36" i="38" s="1"/>
  <c r="I58" i="38"/>
  <c r="H58" i="38"/>
  <c r="G23" i="38"/>
  <c r="G36" i="38" s="1"/>
  <c r="G56" i="38" s="1"/>
  <c r="H23" i="38"/>
  <c r="H36" i="38" s="1"/>
  <c r="G58" i="38"/>
  <c r="AZ57" i="38" l="1"/>
  <c r="AZ56" i="38"/>
  <c r="AB57" i="38"/>
  <c r="AB56" i="38"/>
  <c r="AJ57" i="38"/>
  <c r="AJ56" i="38"/>
  <c r="AN57" i="38"/>
  <c r="AN56" i="38"/>
  <c r="AR56" i="38"/>
  <c r="U56" i="38"/>
  <c r="U57" i="38"/>
  <c r="AC57" i="38"/>
  <c r="AC56" i="38"/>
  <c r="AK56" i="38"/>
  <c r="AK57" i="38"/>
  <c r="AS57" i="38"/>
  <c r="AS56" i="38"/>
  <c r="BA57" i="38"/>
  <c r="BA56" i="38"/>
  <c r="AO57" i="38"/>
  <c r="AO56" i="38"/>
  <c r="AD56" i="38"/>
  <c r="AD57" i="38"/>
  <c r="AL56" i="38"/>
  <c r="AL57" i="38"/>
  <c r="BB57" i="38"/>
  <c r="BB56" i="38"/>
  <c r="AM57" i="38"/>
  <c r="BC57" i="38"/>
  <c r="AV56" i="38"/>
  <c r="AU56" i="38"/>
  <c r="W56" i="38"/>
  <c r="X56" i="38"/>
  <c r="AT56" i="38"/>
  <c r="V56" i="38"/>
  <c r="BD56" i="38"/>
  <c r="AF56" i="38"/>
  <c r="AE56" i="38"/>
  <c r="AW57" i="38"/>
  <c r="BE57" i="38"/>
  <c r="Y57" i="38"/>
  <c r="AG57" i="38"/>
  <c r="AY57" i="38"/>
  <c r="AQ57" i="38"/>
  <c r="BF57" i="38"/>
  <c r="AX57" i="38"/>
  <c r="AP57" i="38"/>
  <c r="AH57" i="38"/>
  <c r="Z57" i="38"/>
  <c r="AI56" i="38"/>
  <c r="AA56" i="38"/>
  <c r="S56" i="38"/>
  <c r="T56" i="38"/>
  <c r="R57" i="38"/>
  <c r="P56" i="38"/>
  <c r="O57" i="38"/>
  <c r="Q56" i="38"/>
  <c r="N57" i="38"/>
  <c r="I56" i="38"/>
  <c r="M57" i="38"/>
  <c r="K57" i="38"/>
  <c r="J56" i="38"/>
  <c r="J57" i="38"/>
  <c r="I57" i="38"/>
  <c r="H57" i="38"/>
  <c r="H56" i="38"/>
  <c r="D15" i="38" l="1"/>
  <c r="E15" i="38" s="1"/>
  <c r="D16" i="38"/>
  <c r="E16" i="38" s="1"/>
  <c r="D17" i="38"/>
  <c r="E17" i="38" s="1"/>
  <c r="D18" i="38"/>
  <c r="E18" i="38" s="1"/>
  <c r="D19" i="38"/>
  <c r="E19" i="38" s="1"/>
  <c r="D20" i="38"/>
  <c r="E20" i="38" s="1"/>
  <c r="D21" i="38"/>
  <c r="E21" i="38" s="1"/>
  <c r="D22" i="38"/>
  <c r="E22" i="38" s="1"/>
  <c r="D23" i="38"/>
  <c r="E23" i="38" s="1"/>
  <c r="D24" i="38"/>
  <c r="E24" i="38" s="1"/>
  <c r="D25" i="38"/>
  <c r="E25" i="38" s="1"/>
  <c r="D26" i="38"/>
  <c r="E26" i="38" s="1"/>
  <c r="D27" i="38"/>
  <c r="E27" i="38" s="1"/>
  <c r="D28" i="38"/>
  <c r="E28" i="38" s="1"/>
  <c r="D29" i="38"/>
  <c r="E29" i="38" s="1"/>
  <c r="D30" i="38"/>
  <c r="E30" i="38" s="1"/>
  <c r="D31" i="38"/>
  <c r="E31" i="38" s="1"/>
  <c r="D32" i="38"/>
  <c r="E32" i="38" s="1"/>
  <c r="D33" i="38"/>
  <c r="E33" i="38" s="1"/>
  <c r="D34" i="38"/>
  <c r="E34" i="38" s="1"/>
  <c r="D35" i="38"/>
  <c r="E35" i="38" s="1"/>
  <c r="D36" i="38"/>
  <c r="E36" i="38" s="1"/>
  <c r="D37" i="38"/>
  <c r="E37" i="38" s="1"/>
  <c r="D38" i="38"/>
  <c r="E38" i="38" s="1"/>
  <c r="D39" i="38"/>
  <c r="E39" i="38" s="1"/>
  <c r="D40" i="38"/>
  <c r="E40" i="38" s="1"/>
  <c r="D41" i="38"/>
  <c r="E41" i="38" s="1"/>
  <c r="D42" i="38"/>
  <c r="E42" i="38" s="1"/>
  <c r="D43" i="38"/>
  <c r="E43" i="38" s="1"/>
  <c r="D44" i="38"/>
  <c r="E44" i="38" s="1"/>
  <c r="D45" i="38"/>
  <c r="E45" i="38" s="1"/>
  <c r="D46" i="38"/>
  <c r="E46" i="38" s="1"/>
  <c r="D47" i="38"/>
  <c r="E47" i="38" s="1"/>
  <c r="D48" i="38"/>
  <c r="E48" i="38" s="1"/>
  <c r="D49" i="38"/>
  <c r="E49" i="38" s="1"/>
  <c r="D53" i="38"/>
  <c r="E53" i="38" s="1"/>
  <c r="D54" i="38"/>
  <c r="E54" i="38" s="1"/>
  <c r="D55" i="38"/>
  <c r="E55" i="38" s="1"/>
  <c r="D56" i="38"/>
  <c r="E56" i="38" s="1"/>
  <c r="D57" i="38"/>
  <c r="E57" i="38" s="1"/>
  <c r="D58" i="38"/>
  <c r="E58" i="38" s="1"/>
  <c r="D59" i="38"/>
  <c r="E59" i="38" s="1"/>
  <c r="D60" i="38"/>
  <c r="E60" i="38" s="1"/>
  <c r="D61" i="38"/>
  <c r="E61" i="38" s="1"/>
  <c r="D62" i="38"/>
  <c r="E62" i="38" s="1"/>
  <c r="D63" i="38"/>
  <c r="E63" i="38" s="1"/>
  <c r="D64" i="38"/>
  <c r="E64" i="38" s="1"/>
  <c r="D65" i="38"/>
  <c r="E65" i="38" s="1"/>
  <c r="D66" i="38"/>
  <c r="E66" i="38" s="1"/>
  <c r="D67" i="38"/>
  <c r="E67" i="38" s="1"/>
  <c r="D68" i="38"/>
  <c r="E68" i="38" s="1"/>
  <c r="D70" i="38"/>
  <c r="E70" i="38" s="1"/>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J49" i="40" l="1"/>
  <c r="A52" i="49"/>
  <c r="A53" i="49"/>
  <c r="A64" i="49"/>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A44" i="49"/>
  <c r="A15" i="49"/>
  <c r="A16" i="49"/>
  <c r="A17" i="49"/>
  <c r="A19" i="49"/>
  <c r="A20" i="49"/>
  <c r="A21" i="49"/>
  <c r="A22" i="49"/>
  <c r="A23" i="49"/>
  <c r="A24" i="49"/>
  <c r="A25" i="49"/>
  <c r="A26" i="49"/>
  <c r="A27" i="49"/>
  <c r="A29" i="49"/>
  <c r="A30" i="49"/>
  <c r="A31" i="49"/>
  <c r="A32" i="49"/>
  <c r="A33" i="49"/>
  <c r="A34" i="49"/>
  <c r="A35" i="49"/>
  <c r="A36" i="49"/>
  <c r="A38" i="49"/>
  <c r="A39" i="49"/>
  <c r="D39" i="49" s="1"/>
  <c r="A40" i="49"/>
  <c r="A41" i="49"/>
  <c r="A42" i="49"/>
  <c r="A43" i="49"/>
  <c r="A45" i="49"/>
  <c r="A46" i="49"/>
  <c r="A47" i="49"/>
  <c r="A48" i="49"/>
  <c r="A49" i="49"/>
  <c r="A50" i="49"/>
  <c r="A51" i="49"/>
  <c r="A60" i="49"/>
  <c r="A73" i="49"/>
  <c r="A61" i="49"/>
  <c r="A62" i="49"/>
  <c r="A65" i="49"/>
  <c r="A66" i="49"/>
  <c r="A67" i="49"/>
  <c r="A70" i="49"/>
  <c r="A54" i="49"/>
  <c r="A55" i="49"/>
  <c r="A56" i="49"/>
  <c r="A76" i="49"/>
  <c r="A77" i="49"/>
  <c r="A14" i="49"/>
  <c r="N49" i="40" l="1"/>
  <c r="F89" i="49"/>
  <c r="B89" i="49"/>
  <c r="E89" i="49"/>
  <c r="D89" i="49"/>
  <c r="C89" i="49"/>
  <c r="D87" i="49"/>
  <c r="C87" i="49"/>
  <c r="F87" i="49"/>
  <c r="B87" i="49"/>
  <c r="E87" i="49"/>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s="1"/>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s="1"/>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s="1"/>
  <c r="RTL49" i="40" l="1"/>
  <c r="RTM49" i="40" l="1"/>
  <c r="RTN49" i="40" s="1"/>
  <c r="RTO49" i="40" l="1"/>
  <c r="RTP49" i="40" l="1"/>
  <c r="RTQ49" i="40" s="1"/>
  <c r="RTR49" i="40" l="1"/>
  <c r="RTS49" i="40" l="1"/>
  <c r="RTT49" i="40" s="1"/>
  <c r="RTU49" i="40" l="1"/>
  <c r="RTV49" i="40" l="1"/>
  <c r="RTW49" i="40" s="1"/>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s="1"/>
  <c r="RUS49" i="40" l="1"/>
  <c r="RUT49" i="40" l="1"/>
  <c r="RUU49" i="40" s="1"/>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s="1"/>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s="1"/>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<sst xmlns="http://schemas.openxmlformats.org/spreadsheetml/2006/main" count="6956" uniqueCount="1448">
  <si>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</si>
  <si>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</si>
  <si>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</si>
  <si>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</si>
  <si>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</si>
  <si>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</si>
  <si>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</si>
  <si>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</si>
  <si>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</si>
  <si>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</si>
  <si>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</si>
  <si>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</si>
  <si>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</si>
  <si>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</si>
  <si>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</si>
  <si>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</si>
  <si>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</si>
  <si>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</si>
  <si>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</si>
  <si>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</si>
  <si>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</si>
  <si>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</si>
  <si>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</si>
  <si>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</si>
  <si>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</si>
  <si>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</si>
  <si>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</si>
  <si>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</si>
  <si>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</si>
  <si>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</si>
  <si>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</si>
  <si>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</si>
  <si>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</si>
  <si>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</si>
  <si>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</si>
  <si>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</si>
  <si>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</si>
  <si>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</si>
  <si>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</si>
  <si>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</si>
  <si>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</si>
  <si>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</si>
  <si>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</si>
  <si>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</si>
  <si>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</si>
  <si>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</si>
  <si>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</si>
  <si>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</si>
  <si>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</si>
  <si>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</si>
  <si>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</si>
  <si>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</si>
  <si>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</si>
  <si>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</si>
  <si>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</si>
  <si>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</si>
  <si>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</si>
  <si>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</si>
  <si>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</si>
  <si>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</si>
  <si>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</si>
  <si>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N/A</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</si>
  <si>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</si>
  <si>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</si>
  <si>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</si>
  <si>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</si>
  <si>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</si>
  <si>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</si>
  <si>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</si>
  <si>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</si>
  <si>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</si>
  <si>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</si>
  <si>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ContactInformation_Phone_PhoneDevice2</t>
  </si>
  <si>
    <t>Landline</t>
  </si>
  <si>
    <t>Type</t>
  </si>
  <si>
    <t>ContactInformation_Phone_Type2</t>
  </si>
  <si>
    <t>Home</t>
  </si>
  <si>
    <t>Address</t>
  </si>
  <si>
    <t>City</t>
  </si>
  <si>
    <t>Madrid</t>
  </si>
  <si>
    <t>ContactInformation_Address_Province2</t>
  </si>
  <si>
    <t>ContactInformation_Address_Type2</t>
  </si>
  <si>
    <t>"Permanent" or "Temporary"</t>
  </si>
  <si>
    <t>Street Address</t>
  </si>
  <si>
    <t>Email</t>
  </si>
  <si>
    <t>ContactInformation_Email_Type2</t>
  </si>
  <si>
    <t>Job Details</t>
  </si>
  <si>
    <t>JobDetails_HireDate2</t>
  </si>
  <si>
    <t>Reason</t>
  </si>
  <si>
    <t>JobDetails_Reason2</t>
  </si>
  <si>
    <t>Position</t>
  </si>
  <si>
    <t>JobDetails_Position2</t>
  </si>
  <si>
    <t>If Process is set to "New Role and New Hire" (Row 2) this position name will be ignored and replaced with the newly created name.</t>
  </si>
  <si>
    <t>JobDetails_EmployeeType2</t>
  </si>
  <si>
    <t>If Fixed Term ensure contract end date below is populated and not N/A</t>
  </si>
  <si>
    <t>Permanent</t>
  </si>
  <si>
    <t>Fixed Term</t>
  </si>
  <si>
    <t>JobDetails_JobProfile2</t>
  </si>
  <si>
    <t>Retail Assistant</t>
  </si>
  <si>
    <t>Supervisor</t>
  </si>
  <si>
    <t>Department Manager</t>
  </si>
  <si>
    <t>Store Manager</t>
  </si>
  <si>
    <t>P&amp;C Supervisor</t>
  </si>
  <si>
    <t>JobDetails_TimeType2</t>
  </si>
  <si>
    <t>Full time</t>
  </si>
  <si>
    <t>Part time</t>
  </si>
  <si>
    <t>Location</t>
  </si>
  <si>
    <t>JobDetails_Location2</t>
  </si>
  <si>
    <t>Additional Information</t>
  </si>
  <si>
    <t>JobDetails_AdditionalInformation_WorkShift2</t>
  </si>
  <si>
    <t>5 Days</t>
  </si>
  <si>
    <t>3 Days</t>
  </si>
  <si>
    <t>4 Days</t>
  </si>
  <si>
    <t>JobDetails_AdditionalInformation_EndEmploymentDate2</t>
  </si>
  <si>
    <t>Set to N/A when field not present otherwise automation will throw error</t>
  </si>
  <si>
    <t>Comments</t>
  </si>
  <si>
    <t>Automation Comments here….</t>
  </si>
  <si>
    <t>Change Organization Assignments</t>
  </si>
  <si>
    <t>Defaulted</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</si>
  <si>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</si>
  <si>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</si>
  <si>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</si>
  <si>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</si>
  <si>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</si>
  <si>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</si>
  <si>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</si>
  <si>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</si>
  <si>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</si>
  <si>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</si>
  <si>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</si>
  <si>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</si>
  <si>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</si>
  <si>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</si>
  <si>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Salary</t>
  </si>
  <si>
    <t>Change My Personal Information</t>
  </si>
  <si>
    <t>Gender</t>
  </si>
  <si>
    <t>ChangeMyPersonalInformation_MaritalStatus2</t>
  </si>
  <si>
    <t>Married</t>
  </si>
  <si>
    <t>Change My Government IDs</t>
  </si>
  <si>
    <t>National IDs</t>
  </si>
  <si>
    <t>Country1</t>
  </si>
  <si>
    <t>ChangeMyGovernmentIDs_NationalIDs_NationalIDType12</t>
  </si>
  <si>
    <t>Social Security Number (NSS)</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</si>
  <si>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</si>
  <si>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</si>
  <si>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</si>
  <si>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</si>
  <si>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</si>
  <si>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</si>
  <si>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</si>
  <si>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</si>
  <si>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</si>
  <si>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</si>
  <si>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</si>
  <si>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</si>
  <si>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</si>
  <si>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</si>
  <si>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</si>
  <si>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</si>
  <si>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</si>
  <si>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</si>
  <si>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</si>
  <si>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</si>
  <si>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</si>
  <si>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</si>
  <si>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</si>
  <si>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</si>
  <si>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</si>
  <si>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</si>
  <si>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</si>
  <si>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</si>
  <si>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</si>
  <si>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</si>
  <si>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</si>
  <si>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</si>
  <si>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</si>
  <si>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</si>
  <si>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</si>
  <si>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</si>
  <si>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</si>
  <si>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</si>
  <si>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</si>
  <si>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</si>
  <si>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</si>
  <si>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</si>
  <si>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</si>
  <si>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</si>
  <si>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</si>
  <si>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</si>
  <si>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</si>
  <si>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</si>
  <si>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</si>
  <si>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</si>
  <si>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</si>
  <si>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</si>
  <si>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</si>
  <si>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</si>
  <si>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</si>
  <si>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</si>
  <si>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</si>
  <si>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</si>
  <si>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</si>
  <si>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</si>
  <si>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</si>
  <si>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</si>
  <si>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</si>
  <si>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</si>
  <si>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</si>
  <si>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</si>
  <si>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</si>
  <si>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</si>
  <si>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</si>
  <si>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</si>
  <si>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</si>
  <si>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</si>
  <si>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</si>
  <si>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</si>
  <si>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</si>
  <si>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</si>
  <si>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</si>
  <si>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</si>
  <si>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</si>
  <si>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</si>
  <si>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</si>
  <si>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</si>
  <si>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</si>
  <si>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</si>
  <si>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</si>
  <si>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</si>
  <si>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</si>
  <si>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</si>
  <si>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</si>
  <si>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</si>
  <si>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</si>
  <si>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</si>
  <si>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</si>
  <si>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</si>
  <si>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</si>
  <si>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</si>
  <si>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</si>
  <si>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</si>
  <si>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</si>
  <si>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</si>
  <si>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</si>
  <si>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</si>
  <si>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</si>
  <si>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</si>
  <si>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</si>
  <si>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</si>
  <si>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</si>
  <si>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</si>
  <si>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</si>
  <si>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</si>
  <si>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</si>
  <si>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</si>
  <si>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</si>
  <si>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</si>
  <si>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</si>
  <si>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</si>
  <si>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</si>
  <si>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</si>
  <si>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</si>
  <si>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</si>
  <si>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</si>
  <si>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</si>
  <si>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</si>
  <si>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</si>
  <si>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</si>
  <si>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</si>
  <si>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</si>
  <si>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</si>
  <si>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</si>
  <si>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</si>
  <si>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</si>
  <si>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</si>
  <si>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</si>
  <si>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</si>
  <si>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</si>
  <si>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</si>
  <si>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</si>
  <si>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</si>
  <si>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</si>
  <si>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</si>
  <si>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</si>
  <si>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</si>
  <si>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</si>
  <si>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</si>
  <si>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</si>
  <si>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</si>
  <si>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</si>
  <si>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</si>
  <si>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</si>
  <si>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</si>
  <si>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</si>
  <si>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</si>
  <si>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</si>
  <si>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</si>
  <si>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</si>
  <si>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</si>
  <si>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</si>
  <si>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</si>
  <si>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</si>
  <si>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</si>
  <si>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</si>
  <si>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</si>
  <si>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</si>
  <si>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</si>
  <si>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</si>
  <si>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</si>
  <si>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</si>
  <si>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</si>
  <si>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</si>
  <si>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</si>
  <si>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</si>
  <si>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</si>
  <si>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</si>
  <si>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</si>
  <si>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</si>
  <si>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</si>
  <si>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</si>
  <si>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</si>
  <si>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</si>
  <si>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</si>
  <si>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</si>
  <si>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</si>
  <si>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</si>
  <si>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</si>
  <si>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</si>
  <si>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</si>
  <si>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</si>
  <si>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</si>
  <si>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</si>
  <si>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</si>
  <si>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</si>
  <si>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</si>
  <si>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</si>
  <si>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</si>
  <si>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</si>
  <si>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</si>
  <si>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</si>
  <si>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</si>
  <si>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</si>
  <si>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</si>
  <si>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</si>
  <si>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</si>
  <si>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</si>
  <si>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</si>
  <si>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</si>
  <si>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</si>
  <si>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</si>
  <si>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</si>
  <si>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</si>
  <si>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</si>
  <si>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</si>
  <si>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</si>
  <si>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</si>
  <si>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</si>
  <si>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</si>
  <si>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</si>
  <si>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</si>
  <si>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</si>
  <si>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</si>
  <si>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</si>
  <si>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</si>
  <si>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</si>
  <si>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</si>
  <si>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</si>
  <si>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</si>
  <si>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</si>
  <si>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</si>
  <si>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</si>
  <si>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</si>
  <si>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</si>
  <si>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</si>
  <si>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</si>
  <si>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</si>
  <si>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</si>
  <si>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</si>
  <si>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</si>
  <si>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</si>
  <si>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</si>
  <si>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</si>
  <si>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</si>
  <si>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</si>
  <si>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</si>
  <si>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</si>
  <si>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</si>
  <si>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</si>
  <si>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</si>
  <si>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</si>
  <si>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</si>
  <si>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</si>
  <si>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</si>
  <si>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</si>
  <si>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</si>
  <si>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</si>
  <si>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</si>
  <si>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</si>
  <si>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</si>
  <si>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</si>
  <si>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</si>
  <si>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</si>
  <si>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</si>
  <si>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</si>
  <si>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</si>
  <si>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</si>
  <si>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</si>
  <si>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</si>
  <si>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</si>
  <si>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</si>
  <si>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</si>
  <si>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</si>
  <si>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</si>
  <si>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</si>
  <si>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</si>
  <si>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</si>
  <si>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</si>
  <si>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</si>
  <si>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</si>
  <si>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</si>
  <si>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</si>
  <si>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</si>
  <si>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</si>
  <si>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</si>
  <si>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</si>
  <si>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</si>
  <si>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</si>
  <si>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</si>
  <si>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</si>
  <si>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</si>
  <si>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</si>
  <si>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</si>
  <si>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</si>
  <si>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</si>
  <si>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</si>
  <si>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</si>
  <si>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</si>
  <si>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</si>
  <si>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</si>
  <si>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</si>
  <si>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</si>
  <si>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</si>
  <si>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</si>
  <si>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</si>
  <si>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</si>
  <si>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</si>
  <si>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</si>
  <si>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</si>
  <si>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</si>
  <si>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</si>
  <si>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</si>
  <si>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</si>
  <si>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</si>
  <si>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</si>
  <si>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</si>
  <si>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</si>
  <si>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</si>
  <si>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</si>
  <si>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</si>
  <si>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</si>
  <si>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</si>
  <si>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</si>
  <si>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</si>
  <si>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</si>
  <si>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</si>
  <si>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</si>
  <si>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</si>
  <si>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</si>
  <si>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</si>
  <si>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</si>
  <si>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</si>
  <si>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</si>
  <si>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</si>
  <si>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</si>
  <si>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</si>
  <si>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</si>
  <si>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</si>
  <si>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</si>
  <si>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</si>
  <si>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</si>
  <si>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</si>
  <si>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</si>
  <si>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</si>
  <si>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</si>
  <si>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</si>
  <si>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</si>
  <si>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</si>
  <si>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</si>
  <si>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</si>
  <si>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</si>
  <si>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</si>
  <si>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</si>
  <si>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</si>
  <si>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</si>
  <si>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</si>
  <si>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</si>
  <si>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</si>
  <si>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</si>
  <si>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</si>
  <si>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</si>
  <si>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</si>
  <si>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</si>
  <si>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</si>
  <si>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</si>
  <si>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</si>
  <si>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</si>
  <si>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</si>
  <si>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</si>
  <si>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</si>
  <si>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</si>
  <si>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</si>
  <si>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</si>
  <si>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</si>
  <si>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</si>
  <si>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</si>
  <si>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</si>
  <si>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</si>
  <si>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</si>
  <si>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</si>
  <si>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</si>
  <si>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</si>
  <si>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</si>
  <si>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</si>
  <si>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</si>
  <si>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</si>
  <si>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</si>
  <si>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</si>
  <si>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</si>
  <si>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</si>
  <si>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</si>
  <si>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</si>
  <si>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</si>
  <si>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</si>
  <si>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</si>
  <si>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</si>
  <si>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</si>
  <si>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</si>
  <si>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</si>
  <si>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</si>
  <si>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</si>
  <si>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</si>
  <si>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</si>
  <si>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</si>
  <si>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</si>
  <si>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</si>
  <si>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</si>
  <si>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</si>
  <si>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</si>
  <si>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</si>
  <si>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</si>
  <si>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</si>
  <si>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</si>
  <si>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</si>
  <si>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</si>
  <si>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</si>
  <si>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</si>
  <si>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</si>
  <si>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</si>
  <si>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</si>
  <si>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</si>
  <si>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</si>
  <si>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</si>
  <si>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</si>
  <si>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</si>
  <si>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</si>
  <si>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</si>
  <si>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</si>
  <si>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</si>
  <si>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</si>
  <si>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</si>
  <si>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</si>
  <si>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</si>
  <si>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</si>
  <si>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</si>
  <si>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</si>
  <si>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</si>
  <si>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</si>
  <si>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</si>
  <si>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</si>
  <si>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</si>
  <si>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</si>
  <si>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</si>
  <si>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</si>
  <si>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</si>
  <si>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</si>
  <si>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</si>
  <si>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</si>
  <si>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</si>
  <si>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</si>
  <si>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</si>
  <si>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</si>
  <si>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</si>
  <si>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</si>
  <si>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</si>
  <si>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</si>
  <si>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</si>
  <si>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</si>
  <si>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</si>
  <si>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</si>
  <si>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</si>
  <si>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</si>
  <si>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</si>
  <si>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</si>
  <si>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</si>
  <si>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</si>
  <si>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</si>
  <si>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</si>
  <si>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</si>
  <si>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</si>
  <si>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</si>
  <si>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</si>
  <si>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</si>
  <si>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</si>
  <si>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</si>
  <si>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</si>
  <si>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</si>
  <si>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</si>
  <si>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</si>
  <si>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</si>
  <si>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</si>
  <si>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</si>
  <si>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</si>
  <si>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</si>
  <si>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</si>
  <si>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</si>
  <si>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</si>
  <si>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</si>
  <si>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</si>
  <si>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</si>
  <si>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</si>
  <si>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</si>
  <si>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</si>
  <si>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</si>
  <si>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</si>
  <si>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</si>
  <si>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</si>
  <si>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</si>
  <si>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</si>
  <si>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</si>
  <si>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</si>
  <si>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</si>
  <si>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</si>
  <si>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</si>
  <si>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</si>
  <si>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</si>
  <si>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</si>
  <si>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</si>
  <si>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</si>
  <si>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</si>
  <si>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</si>
  <si>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</si>
  <si>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</si>
  <si>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</si>
  <si>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</si>
  <si>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</si>
  <si>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</si>
  <si>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</si>
  <si>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</si>
  <si>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</si>
  <si>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</si>
  <si>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</si>
  <si>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</si>
  <si>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</si>
  <si>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</si>
  <si>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</si>
  <si>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</si>
  <si>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</si>
  <si>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</si>
  <si>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</si>
  <si>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</si>
  <si>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</si>
  <si>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</si>
  <si>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</si>
  <si>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</si>
  <si>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</si>
  <si>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</si>
  <si>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</si>
  <si>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</si>
  <si>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</si>
  <si>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</si>
  <si>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</si>
  <si>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</si>
  <si>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</si>
  <si>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</si>
  <si>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</si>
  <si>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</si>
  <si>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</si>
  <si>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</si>
  <si>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</si>
  <si>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</si>
  <si>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</si>
  <si>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</si>
  <si>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</si>
  <si>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</si>
  <si>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</si>
  <si>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</si>
  <si>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</si>
  <si>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</si>
  <si>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</si>
  <si>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</si>
  <si>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</si>
  <si>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</si>
  <si>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</si>
  <si>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</si>
  <si>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</si>
  <si>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</si>
  <si>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</si>
  <si>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</si>
  <si>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</si>
  <si>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</si>
  <si>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</si>
  <si>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</si>
  <si>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</si>
  <si>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</si>
  <si>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</si>
  <si>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</si>
  <si>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</si>
  <si>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</si>
  <si>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</si>
  <si>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</si>
  <si>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</si>
  <si>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</si>
  <si>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</si>
  <si>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</si>
  <si>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</si>
  <si>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</si>
  <si>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</si>
  <si>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</si>
  <si>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</si>
  <si>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</si>
  <si>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</si>
  <si>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</si>
  <si>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</si>
  <si>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</si>
  <si>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</si>
  <si>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</si>
  <si>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</si>
  <si>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</si>
  <si>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</si>
  <si>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</si>
  <si>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</si>
  <si>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</si>
  <si>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</si>
  <si>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</si>
  <si>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</si>
  <si>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</si>
  <si>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</si>
  <si>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</si>
  <si>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</si>
  <si>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</si>
  <si>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</si>
  <si>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</si>
  <si>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</si>
  <si>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</si>
  <si>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</si>
  <si>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</si>
  <si>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</si>
  <si>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</si>
  <si>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</si>
  <si>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</si>
  <si>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</si>
  <si>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</si>
  <si>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</si>
  <si>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</si>
  <si>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</si>
  <si>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</si>
  <si>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</si>
  <si>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</si>
  <si>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</si>
  <si>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</si>
  <si>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</si>
  <si>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</si>
  <si>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</si>
  <si>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</si>
  <si>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</si>
  <si>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</si>
  <si>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</si>
  <si>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</si>
  <si>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</si>
  <si>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</si>
  <si>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</si>
  <si>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</si>
  <si>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</si>
  <si>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</si>
  <si>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</si>
  <si>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</si>
  <si>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</si>
  <si>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</si>
  <si>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</si>
  <si>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</si>
  <si>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</si>
  <si>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</si>
  <si>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</si>
  <si>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</si>
  <si>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</si>
  <si>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</si>
  <si>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</si>
  <si>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</si>
  <si>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</si>
  <si>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</si>
  <si>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</si>
  <si>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</si>
  <si>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</si>
  <si>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</si>
  <si>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</si>
  <si>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</si>
  <si>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</si>
  <si>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</si>
  <si>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</si>
  <si>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</si>
  <si>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</si>
  <si>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</si>
  <si>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</si>
  <si>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</si>
  <si>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</si>
  <si>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</si>
  <si>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</si>
  <si>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</si>
  <si>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</si>
  <si>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</si>
  <si>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</si>
  <si>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</si>
  <si>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</si>
  <si>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</si>
  <si>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</si>
  <si>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</si>
  <si>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</si>
  <si>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</si>
  <si>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</si>
  <si>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</si>
  <si>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</si>
  <si>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</si>
  <si>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</si>
  <si>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</si>
  <si>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</si>
  <si>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</si>
  <si>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</si>
  <si>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</si>
  <si>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</si>
  <si>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</si>
  <si>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</si>
  <si>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</si>
  <si>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</si>
  <si>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</si>
  <si>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</si>
  <si>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</si>
  <si>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</si>
  <si>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</si>
  <si>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</si>
  <si>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</si>
  <si>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</si>
  <si>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</si>
  <si>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</si>
  <si>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</si>
  <si>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</si>
  <si>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</si>
  <si>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</si>
  <si>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</si>
  <si>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</si>
  <si>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</si>
  <si>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</si>
  <si>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</si>
  <si>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</si>
  <si>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</si>
  <si>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</si>
  <si>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</si>
  <si>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</si>
  <si>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</si>
  <si>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</si>
  <si>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</si>
  <si>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</si>
  <si>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</si>
  <si>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</si>
  <si>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</si>
  <si>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</si>
  <si>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</si>
  <si>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</si>
  <si>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</si>
  <si>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</si>
  <si>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</si>
  <si>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</si>
  <si>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</si>
  <si>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</si>
  <si>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</si>
  <si>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</si>
  <si>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</si>
  <si>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</si>
  <si>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</si>
  <si>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</si>
  <si>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</si>
  <si>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</si>
  <si>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</si>
  <si>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</si>
  <si>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</si>
  <si>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</si>
  <si>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</si>
  <si>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</si>
  <si>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</si>
  <si>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</si>
  <si>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</si>
  <si>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</si>
  <si>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</si>
  <si>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</si>
  <si>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</si>
  <si>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</si>
  <si>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</si>
  <si>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</si>
  <si>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</si>
  <si>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</si>
  <si>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</si>
  <si>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</si>
  <si>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</si>
  <si>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</si>
  <si>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</si>
  <si>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</si>
  <si>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</si>
  <si>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</si>
  <si>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</si>
  <si>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</si>
  <si>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</si>
  <si>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</si>
  <si>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</si>
  <si>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</si>
  <si>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</si>
  <si>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</si>
  <si>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</si>
  <si>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</si>
  <si>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</si>
  <si>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</si>
  <si>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</si>
  <si>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</si>
  <si>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</si>
  <si>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</si>
  <si>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</si>
  <si>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</si>
  <si>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</si>
  <si>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</si>
  <si>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</si>
  <si>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</si>
  <si>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</si>
  <si>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</si>
  <si>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</si>
  <si>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</si>
  <si>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</si>
  <si>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</si>
  <si>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</si>
  <si>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</si>
  <si>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</si>
  <si>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</si>
  <si>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</si>
  <si>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</si>
  <si>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</si>
  <si>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</si>
  <si>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</si>
  <si>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</si>
  <si>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</si>
  <si>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</si>
  <si>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</si>
  <si>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</si>
  <si>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</si>
  <si>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</si>
  <si>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</si>
  <si>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</si>
  <si>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</si>
  <si>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</si>
  <si>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</si>
  <si>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</si>
  <si>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</si>
  <si>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</si>
  <si>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</si>
  <si>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</si>
  <si>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</si>
  <si>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</si>
  <si>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</si>
  <si>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</si>
  <si>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</si>
  <si>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</si>
  <si>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</si>
  <si>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</si>
  <si>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</si>
  <si>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</si>
  <si>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</si>
  <si>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</si>
  <si>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</si>
  <si>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</si>
  <si>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</si>
  <si>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</si>
  <si>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</si>
  <si>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</si>
  <si>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</si>
  <si>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</si>
  <si>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</si>
  <si>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</si>
  <si>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</si>
  <si>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</si>
  <si>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</si>
  <si>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</si>
  <si>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</si>
  <si>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</si>
  <si>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</si>
  <si>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</si>
  <si>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</si>
  <si>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</si>
  <si>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</si>
  <si>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</si>
  <si>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</si>
  <si>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</si>
  <si>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</si>
  <si>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</si>
  <si>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</si>
  <si>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</si>
  <si>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</si>
  <si>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</si>
  <si>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</si>
  <si>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</si>
  <si>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</si>
  <si>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</si>
  <si>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</si>
  <si>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</si>
  <si>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</si>
  <si>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</si>
  <si>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</si>
  <si>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</si>
  <si>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</si>
  <si>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</si>
  <si>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</si>
  <si>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</si>
  <si>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</si>
  <si>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</si>
  <si>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</si>
  <si>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</si>
  <si>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</si>
  <si>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</si>
  <si>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</si>
  <si>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</si>
  <si>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</si>
  <si>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</si>
  <si>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</si>
  <si>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</si>
  <si>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</si>
  <si>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</si>
  <si>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</si>
  <si>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</si>
  <si>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</si>
  <si>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</si>
  <si>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</si>
  <si>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</si>
  <si>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</si>
  <si>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</si>
  <si>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</si>
  <si>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</si>
  <si>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</si>
  <si>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</si>
  <si>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</si>
  <si>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</si>
  <si>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</si>
  <si>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</si>
  <si>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</si>
  <si>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</si>
  <si>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</si>
  <si>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</si>
  <si>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</si>
  <si>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</si>
  <si>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</si>
  <si>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</si>
  <si>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</si>
  <si>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</si>
  <si>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</si>
  <si>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</si>
  <si>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</si>
  <si>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</si>
  <si>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</si>
  <si>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</si>
  <si>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</si>
  <si>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</si>
  <si>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</si>
  <si>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</si>
  <si>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</si>
  <si>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</si>
  <si>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</si>
  <si>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</si>
  <si>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</si>
  <si>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</si>
  <si>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</si>
  <si>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</si>
  <si>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</si>
  <si>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</si>
  <si>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</si>
  <si>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</si>
  <si>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</si>
  <si>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</si>
  <si>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</si>
  <si>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</si>
  <si>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</si>
  <si>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</si>
  <si>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</si>
  <si>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</si>
  <si>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</si>
  <si>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</si>
  <si>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</si>
  <si>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</si>
  <si>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</si>
  <si>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</si>
  <si>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</si>
  <si>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</si>
  <si>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</si>
  <si>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</si>
  <si>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</si>
  <si>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</si>
  <si>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</si>
  <si>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</si>
  <si>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</si>
  <si>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</si>
  <si>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</si>
  <si>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</si>
  <si>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</si>
  <si>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</si>
  <si>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</si>
  <si>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</si>
  <si>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</si>
  <si>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</si>
  <si>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</si>
  <si>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</si>
  <si>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</si>
  <si>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</si>
  <si>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</si>
  <si>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</si>
  <si>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</si>
  <si>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</si>
  <si>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</si>
  <si>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</si>
  <si>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</si>
  <si>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</si>
  <si>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</si>
  <si>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</si>
  <si>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</si>
  <si>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</si>
  <si>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</si>
  <si>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</si>
  <si>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</si>
  <si>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</si>
  <si>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</si>
  <si>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</si>
  <si>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</si>
  <si>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</si>
  <si>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</si>
  <si>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</si>
  <si>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</si>
  <si>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</si>
  <si>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</si>
  <si>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</si>
  <si>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</si>
  <si>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</si>
  <si>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</si>
  <si>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</si>
  <si>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</si>
  <si>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C - Regular labour contract (Romania Contract Types-Romania)</t>
  </si>
  <si>
    <t>522303 - Lucrator comercial (Romania COR Codes-Romania)</t>
  </si>
  <si>
    <t>DN - Daylight and Night hours (Romania Time Allocation-Romania)</t>
  </si>
  <si>
    <t>Prefix</t>
  </si>
  <si>
    <t>94 Retail Operative</t>
  </si>
  <si>
    <t>Male</t>
  </si>
  <si>
    <t>ProposedPayGroupFinal</t>
  </si>
  <si>
    <t>PaymentElectionOption_BankIdentificationCode</t>
  </si>
  <si>
    <t>Retail Assistant_NEW</t>
  </si>
  <si>
    <t xml:space="preserve">698 980 460 </t>
  </si>
  <si>
    <t xml:space="preserve">Warsaw  </t>
  </si>
  <si>
    <t>District</t>
  </si>
  <si>
    <t>Municipality</t>
  </si>
  <si>
    <t>00001</t>
  </si>
  <si>
    <t>Test</t>
  </si>
  <si>
    <t xml:space="preserve">RE029_NEW2 </t>
  </si>
  <si>
    <t>Greater Poland</t>
  </si>
  <si>
    <t>Payment Election Option</t>
  </si>
  <si>
    <t>IBAN</t>
  </si>
  <si>
    <t>AssignPayGroup_ProposedPayGroupInitial</t>
  </si>
  <si>
    <t>AssignPayGroup_ProposedPayGroupInitial2</t>
  </si>
  <si>
    <t>Please select a Poland Pay Group</t>
  </si>
  <si>
    <t>Citizen (Poland)</t>
  </si>
  <si>
    <t>Married (Poland)</t>
  </si>
  <si>
    <t>01/01/2019</t>
  </si>
  <si>
    <t>Automation Street Name</t>
  </si>
  <si>
    <t>StreetName</t>
  </si>
  <si>
    <t>Province</t>
  </si>
  <si>
    <t>Voivodeship or Province</t>
  </si>
  <si>
    <t>Test001@gmail.com</t>
  </si>
  <si>
    <t>Maintain Employee Contract</t>
  </si>
  <si>
    <t>Status</t>
  </si>
  <si>
    <t>Open-ended</t>
  </si>
  <si>
    <t>Bank of Poland</t>
  </si>
  <si>
    <t>Personal Identity (PESEL) Number</t>
  </si>
  <si>
    <t>NBPLPLPW</t>
  </si>
  <si>
    <t>PL09109024023899695521479863</t>
  </si>
  <si>
    <t>11111111111111111111111101</t>
  </si>
  <si>
    <t>PL Monthly</t>
  </si>
  <si>
    <t>MangedRUNnightARN</t>
  </si>
  <si>
    <t>NightlyRUNBRN</t>
  </si>
  <si>
    <t>MaintainEmployeeContract_DateEmployeeSigned</t>
  </si>
  <si>
    <t>MaintainEmployeeContract_DateEmployeeSigned2</t>
  </si>
  <si>
    <t>MaintainEmployeeContract_DateEmployerSigned</t>
  </si>
  <si>
    <t>MaintainEmployeeContract_DateEmployerSigned2</t>
  </si>
  <si>
    <t/>
  </si>
  <si>
    <t>MaintainEmployeeContract_ContractEndDate</t>
  </si>
  <si>
    <t>Single (Poland)</t>
  </si>
  <si>
    <t>766 Recruitment (Gybop Sytavu (10223416))</t>
  </si>
  <si>
    <t>PhoneNumber</t>
  </si>
  <si>
    <t>PhoneDevice</t>
  </si>
  <si>
    <t>EffectiveDate</t>
  </si>
  <si>
    <t>PostalCode</t>
  </si>
  <si>
    <t>houseNumber</t>
  </si>
  <si>
    <t>UseFor</t>
  </si>
  <si>
    <t>EmailAddress</t>
  </si>
  <si>
    <t>HireDate</t>
  </si>
  <si>
    <t>EmployeeType</t>
  </si>
  <si>
    <t>JobProfile</t>
  </si>
  <si>
    <t>TimeType</t>
  </si>
  <si>
    <t>PayRateType</t>
  </si>
  <si>
    <t>ScheduledWeeklyHours</t>
  </si>
  <si>
    <t>SchoolName</t>
  </si>
  <si>
    <t>SchoolType</t>
  </si>
  <si>
    <t>SchoolStartDate</t>
  </si>
  <si>
    <t>SchoolEndDate</t>
  </si>
  <si>
    <t>AdditionalJobClassifications</t>
  </si>
  <si>
    <t>WorkShift</t>
  </si>
  <si>
    <t>EndEmploymentDate</t>
  </si>
  <si>
    <t>AllowanceAmount</t>
  </si>
  <si>
    <t>ContractType</t>
  </si>
  <si>
    <t>DateEmployeeSigned</t>
  </si>
  <si>
    <t>DateEmployerSigned</t>
  </si>
  <si>
    <t>ContractEndDate</t>
  </si>
  <si>
    <t>CostCenter</t>
  </si>
  <si>
    <t>DepartmentSection</t>
  </si>
  <si>
    <t>UrządSkarbowy</t>
  </si>
  <si>
    <t>Ulgapodatkowa</t>
  </si>
  <si>
    <t>Częśćulgi</t>
  </si>
  <si>
    <t>Typopodatkowania</t>
  </si>
  <si>
    <t>Identyfikatorpodatkowy</t>
  </si>
  <si>
    <t>FirstEverJobDetails</t>
  </si>
  <si>
    <t>NationalIDType1</t>
  </si>
  <si>
    <t>AddEditID1</t>
  </si>
  <si>
    <t>Country2</t>
  </si>
  <si>
    <t>NationalIDType2</t>
  </si>
  <si>
    <t>AddEditID2</t>
  </si>
  <si>
    <t>Country3</t>
  </si>
  <si>
    <t>NationalIDType3</t>
  </si>
  <si>
    <t>AddEditID3</t>
  </si>
  <si>
    <t>DateOfBirth</t>
  </si>
  <si>
    <t>MaritalStatus</t>
  </si>
  <si>
    <t>MaritalStatusDate</t>
  </si>
  <si>
    <t>CitizenshipStatus</t>
  </si>
  <si>
    <t>BankName</t>
  </si>
  <si>
    <t>BankIdentificationCode</t>
  </si>
  <si>
    <t>AccountType</t>
  </si>
  <si>
    <t>AccountNumber</t>
  </si>
  <si>
    <t>ProposedPayGroupInitial</t>
  </si>
  <si>
    <t>Za</t>
  </si>
  <si>
    <t>0201-Izha</t>
  </si>
  <si>
    <t>Ulga podatkowa obowiązuje</t>
  </si>
  <si>
    <t>1/12 kwoty zmniejszającej podatek</t>
  </si>
  <si>
    <t>Standardowy</t>
  </si>
  <si>
    <t>PESEL</t>
  </si>
  <si>
    <t>Tax ID Number (NIP)</t>
  </si>
  <si>
    <t>ID Card</t>
  </si>
  <si>
    <t>GlobelRegSevOCT</t>
  </si>
  <si>
    <t>Test_21</t>
  </si>
  <si>
    <t>Test_22</t>
  </si>
  <si>
    <t>Test_23</t>
  </si>
  <si>
    <t>Test_24</t>
  </si>
  <si>
    <t>Test_25</t>
  </si>
  <si>
    <t>Test_26</t>
  </si>
  <si>
    <t>Test_27</t>
  </si>
  <si>
    <t>Test_28</t>
  </si>
  <si>
    <t>Test_29</t>
  </si>
  <si>
    <t>Test_30</t>
  </si>
  <si>
    <t>Test_31</t>
  </si>
  <si>
    <t>Test_32</t>
  </si>
  <si>
    <t>Test_33</t>
  </si>
  <si>
    <t>Test_34</t>
  </si>
  <si>
    <t>Test_35</t>
  </si>
  <si>
    <t>Test_36</t>
  </si>
  <si>
    <t>Test_37</t>
  </si>
  <si>
    <t>Test_38</t>
  </si>
  <si>
    <t>Test_39</t>
  </si>
  <si>
    <t>Test_40</t>
  </si>
  <si>
    <t>Test_41</t>
  </si>
  <si>
    <t>Test_42</t>
  </si>
  <si>
    <t>Test_43</t>
  </si>
  <si>
    <t>Test_44</t>
  </si>
  <si>
    <t>Test_45</t>
  </si>
  <si>
    <t>Test_46</t>
  </si>
  <si>
    <t>Test_47</t>
  </si>
  <si>
    <t>Test_48</t>
  </si>
  <si>
    <t>Test_49</t>
  </si>
  <si>
    <t>Test_50</t>
  </si>
  <si>
    <t>Test_51</t>
  </si>
  <si>
    <t>Test_52</t>
  </si>
  <si>
    <t>Test_3</t>
  </si>
  <si>
    <t>Test_4</t>
  </si>
  <si>
    <t>Test_5</t>
  </si>
  <si>
    <t>Test_6</t>
  </si>
  <si>
    <t>Test_7</t>
  </si>
  <si>
    <t>Test_8</t>
  </si>
  <si>
    <t>Test_9</t>
  </si>
  <si>
    <t>Test_10</t>
  </si>
  <si>
    <t>Test_11</t>
  </si>
  <si>
    <t>Test_12</t>
  </si>
  <si>
    <t>Test_13</t>
  </si>
  <si>
    <t>Test_14</t>
  </si>
  <si>
    <t>Test_15</t>
  </si>
  <si>
    <t>Test_16</t>
  </si>
  <si>
    <t>Test_17</t>
  </si>
  <si>
    <t>Test_18</t>
  </si>
  <si>
    <t>Test_19</t>
  </si>
  <si>
    <t>Test_20</t>
  </si>
  <si>
    <t>291 Apprenticeship</t>
  </si>
  <si>
    <t>5 Days (Poland)</t>
  </si>
  <si>
    <t>RE024_NEW</t>
  </si>
  <si>
    <t>266 Returns</t>
  </si>
  <si>
    <t>Female</t>
  </si>
  <si>
    <t>PolandEndTwoEnd</t>
  </si>
  <si>
    <t>PolTwo</t>
  </si>
  <si>
    <t>PolOne</t>
  </si>
  <si>
    <t>PolThree</t>
  </si>
  <si>
    <t>PolFour</t>
  </si>
  <si>
    <t>PolFive</t>
  </si>
  <si>
    <t>PolSix</t>
  </si>
  <si>
    <t>PolSeven</t>
  </si>
  <si>
    <t>PolEight</t>
  </si>
  <si>
    <t>PolNine</t>
  </si>
  <si>
    <t>PolTen</t>
  </si>
  <si>
    <t>PolEleven</t>
  </si>
  <si>
    <t>PolTwelve</t>
  </si>
  <si>
    <t>PolThirteen</t>
  </si>
  <si>
    <t>PolFourteen</t>
  </si>
  <si>
    <t>PolFifteen</t>
  </si>
  <si>
    <t>PolSixteen</t>
  </si>
  <si>
    <t>PolSeventeen</t>
  </si>
  <si>
    <t>PolEighteen</t>
  </si>
  <si>
    <t>PolNineteen</t>
  </si>
  <si>
    <t>PolTwenty</t>
  </si>
  <si>
    <t>PolTwentyOne</t>
  </si>
  <si>
    <t>PolTwentyTwo</t>
  </si>
  <si>
    <t>PolTwentyThree</t>
  </si>
  <si>
    <t>PolTwentyFour</t>
  </si>
  <si>
    <t>PolTwentyFive</t>
  </si>
  <si>
    <t>PolTwentySix</t>
  </si>
  <si>
    <t>PolTwentySeven</t>
  </si>
  <si>
    <t>PolTwentyEight</t>
  </si>
  <si>
    <t>PolTwentyNine</t>
  </si>
  <si>
    <t>PolThirty</t>
  </si>
  <si>
    <t>PolThirtyOne</t>
  </si>
  <si>
    <t>PolThirtyTwo</t>
  </si>
  <si>
    <t>262 Nightshift</t>
  </si>
  <si>
    <t>01/01/2020</t>
  </si>
  <si>
    <t>RE023_NEW</t>
  </si>
  <si>
    <t>258 Cash Office</t>
  </si>
  <si>
    <t>01 Accessories</t>
  </si>
  <si>
    <t>02 Hosiery</t>
  </si>
  <si>
    <t>04 Lingerie</t>
  </si>
  <si>
    <t>05 Children's Wear</t>
  </si>
  <si>
    <t>06 Menswear</t>
  </si>
  <si>
    <t>07 Footwear</t>
  </si>
  <si>
    <t>GHE456123</t>
  </si>
  <si>
    <t>GHE456124</t>
  </si>
  <si>
    <t>GHE456125</t>
  </si>
  <si>
    <t>GHE456126</t>
  </si>
  <si>
    <t>GHE456127</t>
  </si>
  <si>
    <t>GHE456128</t>
  </si>
  <si>
    <t>GHE456129</t>
  </si>
  <si>
    <t>GHE456130</t>
  </si>
  <si>
    <t>GHE456131</t>
  </si>
  <si>
    <t>GHE456132</t>
  </si>
  <si>
    <t>GHE456133</t>
  </si>
  <si>
    <t>GHE456134</t>
  </si>
  <si>
    <t>GHE456135</t>
  </si>
  <si>
    <t>01/01/2021</t>
  </si>
  <si>
    <t>SD014_NEW</t>
  </si>
  <si>
    <t>Fixed term</t>
  </si>
  <si>
    <t>Full Time</t>
  </si>
  <si>
    <t>GHE456136</t>
  </si>
  <si>
    <t>GHE456137</t>
  </si>
  <si>
    <t>GHE456138</t>
  </si>
  <si>
    <t>08 Ladieswear</t>
  </si>
  <si>
    <t>11 Household</t>
  </si>
  <si>
    <t>15 Childrens Accessories</t>
  </si>
  <si>
    <t>23 Health &amp; Beauty</t>
  </si>
  <si>
    <t>261 Tills</t>
  </si>
  <si>
    <t>25 Primarket</t>
  </si>
  <si>
    <t>260 Fitting Rooms</t>
  </si>
  <si>
    <t>Part Time</t>
  </si>
  <si>
    <t>Visual Merchandiser_NEW</t>
  </si>
  <si>
    <t>Operational Support_NEW</t>
  </si>
  <si>
    <t>Store Manager_NEW</t>
  </si>
  <si>
    <t>P&amp;C Manager_NEW</t>
  </si>
  <si>
    <t>Team Manager_NEW</t>
  </si>
  <si>
    <t>Assistant Store Manager_NEW</t>
  </si>
  <si>
    <t>Assistant P&amp;C Manager_NEW</t>
  </si>
  <si>
    <t>Visual Merchandiser Manager_NEW</t>
  </si>
  <si>
    <t>P&amp;C Supervisor_NEW</t>
  </si>
  <si>
    <t>P&amp;C Assistant_NEW</t>
  </si>
  <si>
    <t>GHE456139</t>
  </si>
  <si>
    <t>GHE456140</t>
  </si>
  <si>
    <t>GHE456141</t>
  </si>
  <si>
    <t>GHE456142</t>
  </si>
  <si>
    <t>GHE456143</t>
  </si>
  <si>
    <t>GHE456144</t>
  </si>
  <si>
    <t>GHE456145</t>
  </si>
  <si>
    <t>GHE456146</t>
  </si>
  <si>
    <t>GHE456147</t>
  </si>
  <si>
    <t>GHE456148</t>
  </si>
  <si>
    <t>GHE456149</t>
  </si>
  <si>
    <t>GHE456150</t>
  </si>
  <si>
    <t>GHE456151</t>
  </si>
  <si>
    <t>GHE456152</t>
  </si>
  <si>
    <t>GHE456153</t>
  </si>
  <si>
    <t>GHE456154</t>
  </si>
  <si>
    <t>GHE456155</t>
  </si>
  <si>
    <t>GHE456156</t>
  </si>
  <si>
    <t>GHE456157</t>
  </si>
  <si>
    <t>GHE456158</t>
  </si>
  <si>
    <t>GHE456159</t>
  </si>
  <si>
    <t>GHE456160</t>
  </si>
  <si>
    <t>GHE456161</t>
  </si>
  <si>
    <t>GHE456162</t>
  </si>
  <si>
    <t>GHE456163</t>
  </si>
  <si>
    <t>GHE456164</t>
  </si>
  <si>
    <t>GHE456165</t>
  </si>
  <si>
    <t>GHE456166</t>
  </si>
  <si>
    <t>GHE456167</t>
  </si>
  <si>
    <t>GHE456168</t>
  </si>
  <si>
    <t>GHE456169</t>
  </si>
  <si>
    <t>GHE456170</t>
  </si>
  <si>
    <t>GHE456171</t>
  </si>
  <si>
    <t>GHE456172</t>
  </si>
  <si>
    <t>GHE456173</t>
  </si>
  <si>
    <t>GHE456174</t>
  </si>
  <si>
    <t>92 Retail Management</t>
  </si>
  <si>
    <t>05 Childrens Wear</t>
  </si>
  <si>
    <t>255 Stockroom</t>
  </si>
  <si>
    <t>256 Visual Merchandising</t>
  </si>
  <si>
    <t>251 Management Retail</t>
  </si>
  <si>
    <t>250 Human Resorurces Retail</t>
  </si>
  <si>
    <t>766 Store Management  (Datyv Nuhuve (89501374))</t>
  </si>
  <si>
    <t>RE035_NEW</t>
  </si>
  <si>
    <t>RE044_NEW</t>
  </si>
  <si>
    <t>RE030_NEW</t>
  </si>
  <si>
    <t>RE049_NEW</t>
  </si>
  <si>
    <t>RE043_NEW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</si>
</sst>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6"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4"/>
      <color rgb="FFFF0000"/>
      <name val="Arial"/>
      <family val="2"/>
    </font>
    <font>
      <sz val="14"/>
      <color rgb="FF000000"/>
      <name val="Arial"/>
      <family val="2"/>
    </font>
    <font>
      <sz val="14"/>
      <color indexed="8"/>
      <name val="Arial"/>
      <family val="2"/>
    </font>
    <font>
      <b/>
      <sz val="11"/>
      <name val="Calibri"/>
      <family val="2"/>
    </font>
    <font>
      <sz val="11"/>
      <color rgb="FF006100"/>
      <name val="Calibri"/>
      <family val="2"/>
      <scheme val="minor"/>
    </font>
    <font>
      <sz val="11"/>
      <name val="Calibri"/>
      <family val="2"/>
    </font>
    <font>
      <sz val="14"/>
      <name val="Arial"/>
      <family val="2"/>
    </font>
    <font>
      <sz val="14"/>
      <color indexed="8"/>
      <name val="Calibri"/>
      <family val="2"/>
      <scheme val="minor"/>
    </font>
    <font>
      <sz val="14"/>
      <color rgb="FF000000"/>
      <name val="Calibri"/>
      <family val="2"/>
      <scheme val="minor"/>
    </font>
    <font>
      <sz val="14"/>
      <name val="Calibri"/>
      <family val="2"/>
      <scheme val="minor"/>
    </font>
    <font>
      <sz val="16"/>
      <color theme="0" tint="-0.34998626667073579"/>
      <name val="Calibri"/>
      <family val="2"/>
      <scheme val="minor"/>
    </font>
    <font>
      <sz val="16"/>
      <color theme="1"/>
      <name val="Calibri"/>
      <family val="2"/>
      <scheme val="minor"/>
    </font>
    <font>
      <b/>
      <sz val="16"/>
      <color rgb="FF000000"/>
      <name val="Calibri"/>
      <family val="2"/>
      <scheme val="minor"/>
    </font>
    <font>
      <b/>
      <sz val="16"/>
      <name val="Calibri"/>
      <family val="2"/>
      <scheme val="minor"/>
    </font>
    <font>
      <sz val="16"/>
      <color rgb="FFFF0000"/>
      <name val="Calibri"/>
      <family val="2"/>
      <scheme val="minor"/>
    </font>
    <font>
      <b/>
      <sz val="16"/>
      <color rgb="FFFF0000"/>
      <name val="Calibri"/>
      <family val="2"/>
      <scheme val="minor"/>
    </font>
    <font>
      <sz val="16"/>
      <color indexed="8"/>
      <name val="Calibri"/>
      <family val="2"/>
      <scheme val="minor"/>
    </font>
    <font>
      <sz val="16"/>
      <color rgb="FF000000"/>
      <name val="Calibri"/>
      <family val="2"/>
      <scheme val="minor"/>
    </font>
    <font>
      <u/>
      <sz val="16"/>
      <color indexed="12"/>
      <name val="Calibri"/>
      <family val="2"/>
      <scheme val="minor"/>
    </font>
    <font>
      <sz val="16"/>
      <color indexed="63"/>
      <name val="Calibri"/>
      <family val="2"/>
      <scheme val="minor"/>
    </font>
    <font>
      <sz val="16"/>
      <name val="Calibri"/>
      <family val="2"/>
      <scheme val="minor"/>
    </font>
    <font>
      <sz val="16"/>
      <color indexed="8"/>
      <name val="Arial"/>
      <family val="2"/>
    </font>
    <font>
      <b/>
      <sz val="11"/>
      <color rgb="FF000000"/>
      <name val="Calibri"/>
      <family val="2"/>
    </font>
    <font>
      <sz val="11"/>
      <color rgb="FF000000"/>
      <name val="Calibri"/>
      <family val="2"/>
    </font>
  </fonts>
  <fills count="1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rgb="FFC6EFCE"/>
      </patternFill>
    </fill>
    <fill>
      <patternFill patternType="solid">
        <fgColor theme="7" tint="0.59999389629810485"/>
        <bgColor indexed="64"/>
      </patternFill>
    </fill>
    <fill>
      <patternFill patternType="solid">
        <fgColor theme="8" tint="0.59999389629810485"/>
        <bgColor indexed="64"/>
      </patternFill>
    </fill>
  </fills>
  <borders count="61">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3">
    <xf numFmtId="0" fontId="0" fillId="0" borderId="0"/>
    <xf numFmtId="0" fontId="1" fillId="0" borderId="0"/>
    <xf numFmtId="0" fontId="16" fillId="14" borderId="0" applyNumberFormat="0" applyBorder="0" applyAlignment="0" applyProtection="0"/>
  </cellStyleXfs>
  <cellXfs count="344">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30"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1"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30" xfId="0" quotePrefix="1" applyBorder="1"/>
    <xf numFmtId="0" fontId="0" fillId="0" borderId="1" xfId="0" quotePrefix="1" applyBorder="1"/>
    <xf numFmtId="14" fontId="0" fillId="0" borderId="34" xfId="0" applyNumberFormat="1" applyBorder="1"/>
    <xf numFmtId="0" fontId="0" fillId="0" borderId="35" xfId="0" applyBorder="1"/>
    <xf numFmtId="0" fontId="0" fillId="0" borderId="36" xfId="0" applyBorder="1"/>
    <xf numFmtId="0" fontId="0" fillId="0" borderId="5" xfId="0" applyBorder="1"/>
    <xf numFmtId="0" fontId="0" fillId="0" borderId="37" xfId="0" applyBorder="1"/>
    <xf numFmtId="0" fontId="0" fillId="0" borderId="38" xfId="0" applyBorder="1"/>
    <xf numFmtId="0" fontId="0" fillId="0" borderId="39" xfId="0" applyBorder="1"/>
    <xf numFmtId="0" fontId="0" fillId="0" borderId="4" xfId="0" applyBorder="1"/>
    <xf numFmtId="0" fontId="0" fillId="0" borderId="40" xfId="0" applyBorder="1"/>
    <xf numFmtId="0" fontId="0" fillId="0" borderId="36"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9"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8" xfId="0" applyFont="1" applyFill="1" applyBorder="1"/>
    <xf numFmtId="0" fontId="2" fillId="7" borderId="29" xfId="0" applyFont="1" applyFill="1" applyBorder="1" applyAlignment="1">
      <alignment horizontal="center"/>
    </xf>
    <xf numFmtId="0" fontId="0" fillId="7" borderId="4" xfId="0" applyFill="1" applyBorder="1"/>
    <xf numFmtId="0" fontId="0" fillId="7" borderId="40" xfId="0" applyFill="1" applyBorder="1" applyAlignment="1">
      <alignment horizontal="center"/>
    </xf>
    <xf numFmtId="0" fontId="0" fillId="7" borderId="5" xfId="0" applyFill="1" applyBorder="1"/>
    <xf numFmtId="0" fontId="0" fillId="7" borderId="36" xfId="0" applyFill="1" applyBorder="1" applyAlignment="1">
      <alignment horizontal="center"/>
    </xf>
    <xf numFmtId="0" fontId="0" fillId="7" borderId="45" xfId="0" applyFill="1" applyBorder="1"/>
    <xf numFmtId="0" fontId="0" fillId="7" borderId="46" xfId="0" applyFill="1" applyBorder="1" applyAlignment="1">
      <alignment horizontal="center"/>
    </xf>
    <xf numFmtId="0" fontId="0" fillId="7" borderId="34" xfId="0" applyFill="1" applyBorder="1" applyAlignment="1">
      <alignment wrapText="1"/>
    </xf>
    <xf numFmtId="0" fontId="0" fillId="7" borderId="35" xfId="0" applyFill="1" applyBorder="1" applyAlignment="1">
      <alignment horizontal="center"/>
    </xf>
    <xf numFmtId="0" fontId="0" fillId="7" borderId="5" xfId="0" applyFill="1" applyBorder="1" applyAlignment="1">
      <alignment wrapText="1"/>
    </xf>
    <xf numFmtId="1" fontId="0" fillId="6" borderId="35"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6" xfId="0" applyNumberFormat="1" applyFill="1" applyBorder="1" applyAlignment="1">
      <alignment horizontal="center"/>
    </xf>
    <xf numFmtId="1" fontId="0" fillId="6" borderId="46" xfId="0" applyNumberFormat="1" applyFill="1" applyBorder="1" applyAlignment="1">
      <alignment horizontal="center"/>
    </xf>
    <xf numFmtId="1" fontId="2" fillId="6" borderId="29" xfId="0" applyNumberFormat="1" applyFont="1" applyFill="1" applyBorder="1" applyAlignment="1">
      <alignment horizontal="center"/>
    </xf>
    <xf numFmtId="1" fontId="0" fillId="6" borderId="40" xfId="0" applyNumberFormat="1" applyFill="1" applyBorder="1" applyAlignment="1">
      <alignment horizontal="center"/>
    </xf>
    <xf numFmtId="0" fontId="0" fillId="6" borderId="47" xfId="0" applyFill="1" applyBorder="1" applyAlignment="1">
      <alignment horizontal="center"/>
    </xf>
    <xf numFmtId="0" fontId="0" fillId="6" borderId="18" xfId="0" applyFill="1" applyBorder="1" applyAlignment="1">
      <alignment horizontal="center"/>
    </xf>
    <xf numFmtId="0" fontId="0" fillId="6" borderId="43" xfId="0" applyFill="1" applyBorder="1" applyAlignment="1">
      <alignment horizontal="center"/>
    </xf>
    <xf numFmtId="0" fontId="0" fillId="6" borderId="6" xfId="0" applyFill="1" applyBorder="1"/>
    <xf numFmtId="0" fontId="0" fillId="6" borderId="7" xfId="0" applyFill="1" applyBorder="1"/>
    <xf numFmtId="0" fontId="0" fillId="6" borderId="32" xfId="0" applyFill="1" applyBorder="1"/>
    <xf numFmtId="0" fontId="0" fillId="6" borderId="44"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8" xfId="0" applyFont="1" applyFill="1" applyBorder="1"/>
    <xf numFmtId="0" fontId="2" fillId="7" borderId="49" xfId="0" applyFont="1" applyFill="1" applyBorder="1" applyAlignment="1">
      <alignment horizontal="center"/>
    </xf>
    <xf numFmtId="0" fontId="0" fillId="7" borderId="4" xfId="0" applyFill="1" applyBorder="1" applyAlignment="1">
      <alignment wrapText="1"/>
    </xf>
    <xf numFmtId="0" fontId="2" fillId="7" borderId="39" xfId="0" applyFont="1" applyFill="1" applyBorder="1" applyAlignment="1">
      <alignment horizontal="center"/>
    </xf>
    <xf numFmtId="0" fontId="0" fillId="7" borderId="37" xfId="0" applyFill="1" applyBorder="1"/>
    <xf numFmtId="0" fontId="0" fillId="6" borderId="33" xfId="0" applyFill="1" applyBorder="1" applyAlignment="1">
      <alignment horizontal="center"/>
    </xf>
    <xf numFmtId="0" fontId="2" fillId="6" borderId="44"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2"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9" fillId="0" borderId="0" xfId="0" applyFont="1"/>
    <xf numFmtId="0" fontId="10" fillId="10" borderId="55" xfId="0" applyFont="1" applyFill="1" applyBorder="1" applyAlignment="1">
      <alignment horizontal="center" vertical="center" wrapText="1"/>
    </xf>
    <xf numFmtId="0" fontId="11" fillId="11" borderId="55" xfId="0" applyFont="1" applyFill="1" applyBorder="1" applyAlignment="1">
      <alignment vertical="center" wrapText="1"/>
    </xf>
    <xf numFmtId="0" fontId="11" fillId="11" borderId="55" xfId="0" applyFont="1" applyFill="1" applyBorder="1" applyAlignment="1">
      <alignment horizontal="left" vertical="center" wrapText="1"/>
    </xf>
    <xf numFmtId="0" fontId="11" fillId="11" borderId="0" xfId="0" applyFont="1" applyFill="1" applyAlignment="1">
      <alignment vertical="center" wrapText="1"/>
    </xf>
    <xf numFmtId="0" fontId="11" fillId="11" borderId="0" xfId="0" applyFont="1" applyFill="1" applyAlignment="1">
      <alignment horizontal="left" vertical="center" wrapText="1"/>
    </xf>
    <xf numFmtId="164" fontId="9" fillId="0" borderId="0" xfId="0" applyNumberFormat="1" applyFont="1" applyAlignment="1" applyProtection="1">
      <alignment horizontal="left"/>
      <protection locked="0"/>
    </xf>
    <xf numFmtId="0" fontId="11" fillId="11" borderId="56"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4" fillId="0" borderId="58" xfId="0" applyFont="1" applyBorder="1" applyAlignment="1">
      <alignment horizontal="left"/>
    </xf>
    <xf numFmtId="0" fontId="13" fillId="0" borderId="58" xfId="0" applyFont="1" applyBorder="1" applyAlignment="1">
      <alignment horizontal="left"/>
    </xf>
    <xf numFmtId="164" fontId="14" fillId="0" borderId="57" xfId="0" applyNumberFormat="1" applyFont="1" applyBorder="1" applyAlignment="1" applyProtection="1">
      <alignment horizontal="left"/>
      <protection locked="0"/>
    </xf>
    <xf numFmtId="164" fontId="15" fillId="0" borderId="58" xfId="0" quotePrefix="1" applyNumberFormat="1" applyFont="1" applyBorder="1" applyAlignment="1" applyProtection="1">
      <alignment horizontal="left"/>
      <protection locked="0"/>
    </xf>
    <xf numFmtId="15" fontId="15" fillId="0" borderId="58" xfId="0" quotePrefix="1" applyNumberFormat="1" applyFont="1" applyBorder="1" applyAlignment="1">
      <alignment horizontal="left"/>
    </xf>
    <xf numFmtId="164" fontId="17" fillId="0" borderId="58" xfId="0" quotePrefix="1" applyNumberFormat="1" applyFont="1" applyBorder="1" applyAlignment="1" applyProtection="1">
      <alignment horizontal="left"/>
      <protection locked="0"/>
    </xf>
    <xf numFmtId="0" fontId="17" fillId="0" borderId="58" xfId="0" applyFont="1" applyBorder="1" applyAlignment="1">
      <alignment horizontal="left"/>
    </xf>
    <xf numFmtId="14" fontId="12" fillId="15" borderId="0" xfId="0" applyNumberFormat="1" applyFont="1" applyFill="1" applyAlignment="1">
      <alignment horizontal="left"/>
    </xf>
    <xf numFmtId="0" fontId="14" fillId="0" borderId="0" xfId="0" applyFont="1"/>
    <xf numFmtId="0" fontId="14" fillId="15" borderId="58" xfId="0" applyFont="1" applyFill="1" applyBorder="1" applyAlignment="1" applyProtection="1">
      <alignment horizontal="left" wrapText="1"/>
      <protection locked="0"/>
    </xf>
    <xf numFmtId="14" fontId="14" fillId="15" borderId="0" xfId="0" applyNumberFormat="1" applyFont="1" applyFill="1" applyAlignment="1">
      <alignment horizontal="left"/>
    </xf>
    <xf numFmtId="0" fontId="19" fillId="0" borderId="0" xfId="0" applyFont="1"/>
    <xf numFmtId="0" fontId="21" fillId="0" borderId="58" xfId="0" applyFont="1" applyBorder="1" applyAlignment="1">
      <alignment horizontal="left"/>
    </xf>
    <xf numFmtId="0" fontId="22" fillId="4" borderId="0" xfId="0" applyFont="1" applyFill="1" applyAlignment="1">
      <alignment horizontal="left"/>
    </xf>
    <xf numFmtId="0" fontId="23" fillId="4" borderId="0" xfId="0" applyFont="1" applyFill="1" applyAlignment="1">
      <alignment horizontal="left"/>
    </xf>
    <xf numFmtId="0" fontId="6" fillId="3" borderId="21" xfId="0" applyFont="1" applyFill="1" applyBorder="1" applyAlignment="1">
      <alignment horizontal="center" vertical="center"/>
    </xf>
    <xf numFmtId="0" fontId="24" fillId="3" borderId="51" xfId="0" applyFont="1" applyFill="1" applyBorder="1" applyAlignment="1">
      <alignment horizontal="center" vertical="center"/>
    </xf>
    <xf numFmtId="0" fontId="24" fillId="3" borderId="42" xfId="0" applyFont="1" applyFill="1" applyBorder="1" applyAlignment="1">
      <alignment horizontal="center" vertical="center"/>
    </xf>
    <xf numFmtId="0" fontId="24"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23" fillId="0" borderId="0" xfId="0" applyFont="1"/>
    <xf numFmtId="0" fontId="24" fillId="3" borderId="13" xfId="0" applyFont="1" applyFill="1" applyBorder="1" applyAlignment="1">
      <alignment horizontal="center" vertical="center"/>
    </xf>
    <xf numFmtId="0" fontId="24" fillId="3" borderId="0" xfId="0" applyFont="1" applyFill="1" applyAlignment="1">
      <alignment horizontal="center" vertical="center"/>
    </xf>
    <xf numFmtId="0" fontId="24" fillId="3" borderId="21" xfId="0" applyFont="1" applyFill="1" applyBorder="1" applyAlignment="1">
      <alignment horizontal="center" vertical="center"/>
    </xf>
    <xf numFmtId="0" fontId="23" fillId="0" borderId="20" xfId="0" applyFont="1" applyBorder="1" applyAlignment="1">
      <alignment horizontal="center" vertical="center"/>
    </xf>
    <xf numFmtId="0" fontId="24" fillId="3" borderId="6" xfId="0" applyFont="1" applyFill="1" applyBorder="1" applyAlignment="1">
      <alignment horizontal="center" vertical="center"/>
    </xf>
    <xf numFmtId="0" fontId="24" fillId="3" borderId="21" xfId="0" applyFont="1" applyFill="1" applyBorder="1" applyAlignment="1">
      <alignment horizontal="center" vertical="center" wrapText="1"/>
    </xf>
    <xf numFmtId="0" fontId="25" fillId="0" borderId="21" xfId="0" applyFont="1" applyBorder="1" applyAlignment="1" applyProtection="1">
      <alignment horizontal="center" vertical="center"/>
      <protection locked="0"/>
    </xf>
    <xf numFmtId="0" fontId="24" fillId="3" borderId="7" xfId="0" applyFont="1" applyFill="1" applyBorder="1" applyAlignment="1">
      <alignment horizontal="center" vertical="center"/>
    </xf>
    <xf numFmtId="0" fontId="24" fillId="3" borderId="41" xfId="0" applyFont="1" applyFill="1" applyBorder="1" applyAlignment="1">
      <alignment horizontal="center" vertical="center"/>
    </xf>
    <xf numFmtId="0" fontId="24" fillId="3" borderId="18" xfId="0" applyFont="1" applyFill="1" applyBorder="1" applyAlignment="1">
      <alignment horizontal="center" vertical="center"/>
    </xf>
    <xf numFmtId="0" fontId="25" fillId="3" borderId="57" xfId="0" applyFont="1" applyFill="1" applyBorder="1" applyAlignment="1" applyProtection="1">
      <alignment horizontal="center" vertical="center"/>
      <protection locked="0"/>
    </xf>
    <xf numFmtId="0" fontId="6" fillId="3" borderId="7" xfId="0" applyFont="1" applyFill="1" applyBorder="1" applyAlignment="1" applyProtection="1">
      <alignment horizontal="center" vertical="center"/>
      <protection locked="0"/>
    </xf>
    <xf numFmtId="0" fontId="24" fillId="3" borderId="7" xfId="0" applyFont="1" applyFill="1" applyBorder="1" applyAlignment="1">
      <alignment horizontal="center" vertical="center" wrapText="1"/>
    </xf>
    <xf numFmtId="0" fontId="24" fillId="3" borderId="32" xfId="0" applyFont="1" applyFill="1" applyBorder="1" applyAlignment="1">
      <alignment horizontal="center" vertical="center" wrapText="1"/>
    </xf>
    <xf numFmtId="0" fontId="6" fillId="3" borderId="32" xfId="0" applyFont="1" applyFill="1" applyBorder="1" applyAlignment="1" applyProtection="1">
      <alignment horizontal="center" vertical="center"/>
      <protection locked="0"/>
    </xf>
    <xf numFmtId="0" fontId="24" fillId="3" borderId="33" xfId="0" applyFont="1" applyFill="1" applyBorder="1" applyAlignment="1">
      <alignment horizontal="center" vertical="center"/>
    </xf>
    <xf numFmtId="0" fontId="6" fillId="3" borderId="7" xfId="0" applyFont="1" applyFill="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24" fillId="3" borderId="8" xfId="0" applyFont="1" applyFill="1" applyBorder="1" applyAlignment="1">
      <alignment horizontal="center" vertical="center"/>
    </xf>
    <xf numFmtId="0" fontId="24" fillId="3" borderId="52" xfId="0" applyFont="1" applyFill="1" applyBorder="1" applyAlignment="1">
      <alignment horizontal="center" vertical="center"/>
    </xf>
    <xf numFmtId="0" fontId="24" fillId="3" borderId="19" xfId="0" applyFont="1" applyFill="1" applyBorder="1" applyAlignment="1">
      <alignment horizontal="center" vertical="center"/>
    </xf>
    <xf numFmtId="0" fontId="6" fillId="0" borderId="8" xfId="0" applyFont="1" applyBorder="1" applyAlignment="1" applyProtection="1">
      <alignment horizontal="center" vertical="center" wrapText="1"/>
      <protection locked="0"/>
    </xf>
    <xf numFmtId="0" fontId="24" fillId="4" borderId="0" xfId="0" applyFont="1" applyFill="1" applyAlignment="1">
      <alignment horizontal="center" vertical="center"/>
    </xf>
    <xf numFmtId="0" fontId="6" fillId="4" borderId="0" xfId="0" applyFont="1" applyFill="1" applyAlignment="1" applyProtection="1">
      <alignment horizontal="center" vertical="center" wrapText="1"/>
      <protection locked="0"/>
    </xf>
    <xf numFmtId="0" fontId="24" fillId="3" borderId="28" xfId="0" applyFont="1" applyFill="1" applyBorder="1" applyAlignment="1">
      <alignment horizontal="left" vertical="center"/>
    </xf>
    <xf numFmtId="0" fontId="24" fillId="3" borderId="50" xfId="0" applyFont="1" applyFill="1" applyBorder="1" applyAlignment="1">
      <alignment horizontal="left" vertical="center"/>
    </xf>
    <xf numFmtId="0" fontId="24" fillId="3" borderId="2" xfId="0" applyFont="1" applyFill="1" applyBorder="1" applyAlignment="1">
      <alignment horizontal="left" vertical="center"/>
    </xf>
    <xf numFmtId="0" fontId="24" fillId="3" borderId="3" xfId="0" applyFont="1" applyFill="1" applyBorder="1" applyAlignment="1">
      <alignment horizontal="center" vertical="center"/>
    </xf>
    <xf numFmtId="0" fontId="24" fillId="3" borderId="14" xfId="0" applyFont="1" applyFill="1" applyBorder="1" applyAlignment="1">
      <alignment horizontal="center" vertical="center"/>
    </xf>
    <xf numFmtId="0" fontId="6" fillId="3" borderId="1" xfId="0" applyFont="1" applyFill="1" applyBorder="1" applyAlignment="1">
      <alignment horizontal="center" vertical="center"/>
    </xf>
    <xf numFmtId="0" fontId="26" fillId="3" borderId="5" xfId="0" applyFont="1" applyFill="1" applyBorder="1" applyAlignment="1">
      <alignment horizontal="left"/>
    </xf>
    <xf numFmtId="0" fontId="26" fillId="3" borderId="23" xfId="0" applyFont="1" applyFill="1" applyBorder="1" applyAlignment="1">
      <alignment horizontal="left"/>
    </xf>
    <xf numFmtId="0" fontId="26" fillId="3" borderId="7" xfId="0" applyFont="1" applyFill="1" applyBorder="1" applyAlignment="1">
      <alignment horizontal="left"/>
    </xf>
    <xf numFmtId="0" fontId="26" fillId="3" borderId="53" xfId="0" applyFont="1" applyFill="1" applyBorder="1"/>
    <xf numFmtId="0" fontId="27" fillId="3" borderId="31" xfId="0" applyFont="1" applyFill="1" applyBorder="1" applyAlignment="1">
      <alignment horizontal="center" vertical="center"/>
    </xf>
    <xf numFmtId="0" fontId="27" fillId="3" borderId="11" xfId="0" applyFont="1" applyFill="1" applyBorder="1" applyAlignment="1">
      <alignment horizontal="center" vertical="center"/>
    </xf>
    <xf numFmtId="0" fontId="26" fillId="0" borderId="0" xfId="0" applyFont="1" applyAlignment="1">
      <alignment vertical="center" wrapText="1"/>
    </xf>
    <xf numFmtId="0" fontId="26" fillId="0" borderId="0" xfId="0" applyFont="1"/>
    <xf numFmtId="0" fontId="23" fillId="3" borderId="5" xfId="0" applyFont="1" applyFill="1" applyBorder="1" applyAlignment="1">
      <alignment horizontal="left"/>
    </xf>
    <xf numFmtId="0" fontId="23" fillId="3" borderId="23" xfId="0" applyFont="1" applyFill="1" applyBorder="1" applyAlignment="1">
      <alignment horizontal="left"/>
    </xf>
    <xf numFmtId="0" fontId="23" fillId="3" borderId="7" xfId="0" applyFont="1" applyFill="1" applyBorder="1" applyAlignment="1">
      <alignment horizontal="left"/>
    </xf>
    <xf numFmtId="0" fontId="23" fillId="3" borderId="53" xfId="0" applyFont="1" applyFill="1" applyBorder="1"/>
    <xf numFmtId="0" fontId="24" fillId="3" borderId="31" xfId="0" applyFont="1" applyFill="1" applyBorder="1" applyAlignment="1">
      <alignment horizontal="center" vertical="center"/>
    </xf>
    <xf numFmtId="0" fontId="24" fillId="3" borderId="54" xfId="0" applyFont="1" applyFill="1" applyBorder="1" applyAlignment="1">
      <alignment horizontal="center" vertical="center"/>
    </xf>
    <xf numFmtId="0" fontId="28" fillId="0" borderId="58" xfId="0" applyFont="1" applyBorder="1" applyAlignment="1">
      <alignment horizontal="left"/>
    </xf>
    <xf numFmtId="0" fontId="29" fillId="0" borderId="58" xfId="0" applyFont="1" applyBorder="1" applyAlignment="1">
      <alignment horizontal="left"/>
    </xf>
    <xf numFmtId="0" fontId="24" fillId="3" borderId="11" xfId="0" applyFont="1" applyFill="1" applyBorder="1" applyAlignment="1">
      <alignment horizontal="center" vertical="center"/>
    </xf>
    <xf numFmtId="0" fontId="28" fillId="0" borderId="58" xfId="0" applyFont="1" applyBorder="1" applyAlignment="1" applyProtection="1">
      <alignment horizontal="left"/>
      <protection locked="0"/>
    </xf>
    <xf numFmtId="0" fontId="29" fillId="0" borderId="58" xfId="0" applyFont="1" applyBorder="1" applyAlignment="1" applyProtection="1">
      <alignment horizontal="left"/>
      <protection locked="0"/>
    </xf>
    <xf numFmtId="0" fontId="23" fillId="13" borderId="5" xfId="0" applyFont="1" applyFill="1" applyBorder="1" applyAlignment="1">
      <alignment horizontal="left"/>
    </xf>
    <xf numFmtId="0" fontId="23" fillId="13" borderId="23" xfId="0" applyFont="1" applyFill="1" applyBorder="1" applyAlignment="1">
      <alignment horizontal="left"/>
    </xf>
    <xf numFmtId="0" fontId="23" fillId="13" borderId="7" xfId="0" applyFont="1" applyFill="1" applyBorder="1" applyAlignment="1">
      <alignment horizontal="left"/>
    </xf>
    <xf numFmtId="0" fontId="23" fillId="13" borderId="53" xfId="0" applyFont="1" applyFill="1" applyBorder="1"/>
    <xf numFmtId="0" fontId="29" fillId="13" borderId="31" xfId="0" applyFont="1" applyFill="1" applyBorder="1" applyAlignment="1">
      <alignment horizontal="center" vertical="center"/>
    </xf>
    <xf numFmtId="0" fontId="29" fillId="13" borderId="11" xfId="0" applyFont="1" applyFill="1" applyBorder="1" applyAlignment="1">
      <alignment horizontal="center" vertical="center"/>
    </xf>
    <xf numFmtId="0" fontId="28" fillId="13" borderId="58" xfId="0" applyFont="1" applyFill="1" applyBorder="1" applyAlignment="1" applyProtection="1">
      <alignment horizontal="left"/>
      <protection locked="0"/>
    </xf>
    <xf numFmtId="0" fontId="29" fillId="13" borderId="58" xfId="0" applyFont="1" applyFill="1" applyBorder="1" applyAlignment="1" applyProtection="1">
      <alignment horizontal="left"/>
      <protection locked="0"/>
    </xf>
    <xf numFmtId="0" fontId="23" fillId="13" borderId="0" xfId="0" applyFont="1" applyFill="1"/>
    <xf numFmtId="0" fontId="23" fillId="2" borderId="53" xfId="0" applyFont="1" applyFill="1" applyBorder="1"/>
    <xf numFmtId="0" fontId="24" fillId="2" borderId="31" xfId="0" applyFont="1" applyFill="1" applyBorder="1" applyAlignment="1">
      <alignment horizontal="center" vertical="center"/>
    </xf>
    <xf numFmtId="0" fontId="24" fillId="2" borderId="54" xfId="0" applyFont="1" applyFill="1" applyBorder="1" applyAlignment="1">
      <alignment horizontal="center" vertical="center"/>
    </xf>
    <xf numFmtId="14" fontId="28" fillId="0" borderId="58" xfId="0" applyNumberFormat="1" applyFont="1" applyBorder="1" applyAlignment="1">
      <alignment horizontal="left"/>
    </xf>
    <xf numFmtId="0" fontId="23" fillId="2" borderId="0" xfId="0" applyFont="1" applyFill="1"/>
    <xf numFmtId="14" fontId="28" fillId="15" borderId="0" xfId="0" applyNumberFormat="1" applyFont="1" applyFill="1" applyAlignment="1">
      <alignment horizontal="left"/>
    </xf>
    <xf numFmtId="0" fontId="30" fillId="0" borderId="58" xfId="0" applyFont="1" applyBorder="1" applyProtection="1">
      <protection locked="0"/>
    </xf>
    <xf numFmtId="0" fontId="26" fillId="2" borderId="53" xfId="0" applyFont="1" applyFill="1" applyBorder="1"/>
    <xf numFmtId="0" fontId="27" fillId="2" borderId="31" xfId="0" applyFont="1" applyFill="1" applyBorder="1" applyAlignment="1">
      <alignment horizontal="center" vertical="center"/>
    </xf>
    <xf numFmtId="0" fontId="27" fillId="2" borderId="54" xfId="0" applyFont="1" applyFill="1" applyBorder="1" applyAlignment="1">
      <alignment horizontal="center" vertical="center"/>
    </xf>
    <xf numFmtId="0" fontId="26" fillId="2" borderId="0" xfId="0" applyFont="1" applyFill="1"/>
    <xf numFmtId="0" fontId="23" fillId="0" borderId="5" xfId="0" applyFont="1" applyBorder="1" applyAlignment="1">
      <alignment horizontal="left"/>
    </xf>
    <xf numFmtId="0" fontId="23" fillId="0" borderId="23" xfId="0" applyFont="1" applyBorder="1" applyAlignment="1">
      <alignment horizontal="left"/>
    </xf>
    <xf numFmtId="0" fontId="23" fillId="0" borderId="53" xfId="0" applyFont="1" applyBorder="1"/>
    <xf numFmtId="0" fontId="24" fillId="0" borderId="31" xfId="0" applyFont="1" applyBorder="1" applyAlignment="1">
      <alignment horizontal="center" vertical="center"/>
    </xf>
    <xf numFmtId="0" fontId="24" fillId="0" borderId="11" xfId="0" applyFont="1" applyBorder="1" applyAlignment="1">
      <alignment horizontal="center" vertical="center" wrapText="1"/>
    </xf>
    <xf numFmtId="0" fontId="24" fillId="0" borderId="11" xfId="0" applyFont="1" applyBorder="1" applyAlignment="1">
      <alignment horizontal="center" vertical="center"/>
    </xf>
    <xf numFmtId="0" fontId="28" fillId="15" borderId="0" xfId="0" applyFont="1" applyFill="1"/>
    <xf numFmtId="0" fontId="28" fillId="0" borderId="0" xfId="0" applyFont="1" applyAlignment="1">
      <alignment horizontal="left"/>
    </xf>
    <xf numFmtId="0" fontId="28" fillId="15" borderId="58" xfId="0" applyFont="1" applyFill="1" applyBorder="1" applyAlignment="1" applyProtection="1">
      <alignment horizontal="left" wrapText="1"/>
      <protection locked="0"/>
    </xf>
    <xf numFmtId="0" fontId="26" fillId="0" borderId="5" xfId="0" applyFont="1" applyBorder="1" applyAlignment="1">
      <alignment horizontal="left"/>
    </xf>
    <xf numFmtId="0" fontId="26" fillId="0" borderId="23" xfId="0" applyFont="1" applyBorder="1" applyAlignment="1">
      <alignment horizontal="left"/>
    </xf>
    <xf numFmtId="0" fontId="26" fillId="0" borderId="53" xfId="0" applyFont="1" applyBorder="1"/>
    <xf numFmtId="0" fontId="27" fillId="0" borderId="31" xfId="0" applyFont="1" applyBorder="1" applyAlignment="1">
      <alignment horizontal="center" vertical="center"/>
    </xf>
    <xf numFmtId="0" fontId="27" fillId="0" borderId="11" xfId="0" applyFont="1" applyBorder="1" applyAlignment="1">
      <alignment horizontal="center" vertical="center" wrapText="1"/>
    </xf>
    <xf numFmtId="0" fontId="28" fillId="0" borderId="0" xfId="0" applyFont="1"/>
    <xf numFmtId="0" fontId="23" fillId="3" borderId="53" xfId="0" quotePrefix="1" applyFont="1" applyFill="1" applyBorder="1"/>
    <xf numFmtId="0" fontId="24" fillId="3" borderId="31" xfId="0" quotePrefix="1" applyFont="1" applyFill="1" applyBorder="1" applyAlignment="1">
      <alignment horizontal="center" vertical="center"/>
    </xf>
    <xf numFmtId="0" fontId="24" fillId="3" borderId="11" xfId="0" quotePrefix="1" applyFont="1" applyFill="1" applyBorder="1" applyAlignment="1">
      <alignment horizontal="center" vertical="center" wrapText="1"/>
    </xf>
    <xf numFmtId="0" fontId="24" fillId="3" borderId="54" xfId="0" quotePrefix="1" applyFont="1" applyFill="1" applyBorder="1" applyAlignment="1">
      <alignment horizontal="center" vertical="center"/>
    </xf>
    <xf numFmtId="14" fontId="26" fillId="15" borderId="0" xfId="0" applyNumberFormat="1" applyFont="1" applyFill="1" applyAlignment="1">
      <alignment horizontal="left"/>
    </xf>
    <xf numFmtId="0" fontId="26" fillId="0" borderId="53" xfId="0" quotePrefix="1" applyFont="1" applyBorder="1"/>
    <xf numFmtId="0" fontId="27" fillId="0" borderId="31" xfId="0" quotePrefix="1" applyFont="1" applyBorder="1" applyAlignment="1">
      <alignment horizontal="center" vertical="center"/>
    </xf>
    <xf numFmtId="0" fontId="27" fillId="0" borderId="11" xfId="0" quotePrefix="1" applyFont="1" applyBorder="1" applyAlignment="1">
      <alignment horizontal="center" vertical="center" wrapText="1"/>
    </xf>
    <xf numFmtId="0" fontId="24" fillId="0" borderId="54" xfId="0" applyFont="1" applyBorder="1" applyAlignment="1">
      <alignment horizontal="center" vertical="center"/>
    </xf>
    <xf numFmtId="0" fontId="28" fillId="15" borderId="58" xfId="0" applyFont="1" applyFill="1" applyBorder="1" applyAlignment="1" applyProtection="1">
      <alignment horizontal="left"/>
      <protection locked="0"/>
    </xf>
    <xf numFmtId="0" fontId="23" fillId="3" borderId="1" xfId="0" applyFont="1" applyFill="1" applyBorder="1"/>
    <xf numFmtId="14" fontId="32" fillId="0" borderId="58" xfId="2" quotePrefix="1" applyNumberFormat="1" applyFont="1" applyFill="1" applyBorder="1" applyAlignment="1">
      <alignment horizontal="left"/>
    </xf>
    <xf numFmtId="0" fontId="23" fillId="2" borderId="1" xfId="0" applyFont="1" applyFill="1" applyBorder="1" applyAlignment="1">
      <alignment horizontal="left"/>
    </xf>
    <xf numFmtId="0" fontId="23" fillId="2" borderId="23" xfId="0" applyFont="1" applyFill="1" applyBorder="1" applyAlignment="1">
      <alignment horizontal="left"/>
    </xf>
    <xf numFmtId="0" fontId="24" fillId="2" borderId="11" xfId="0" applyFont="1" applyFill="1" applyBorder="1" applyAlignment="1">
      <alignment horizontal="left" vertical="center"/>
    </xf>
    <xf numFmtId="14" fontId="26" fillId="15" borderId="58" xfId="2" quotePrefix="1" applyNumberFormat="1" applyFont="1" applyFill="1" applyBorder="1" applyAlignment="1">
      <alignment horizontal="left"/>
    </xf>
    <xf numFmtId="0" fontId="23" fillId="2" borderId="0" xfId="0" applyFont="1" applyFill="1" applyAlignment="1">
      <alignment horizontal="left"/>
    </xf>
    <xf numFmtId="0" fontId="23" fillId="15" borderId="0" xfId="0" applyFont="1" applyFill="1"/>
    <xf numFmtId="0" fontId="28" fillId="2" borderId="58" xfId="0" applyFont="1" applyFill="1" applyBorder="1" applyAlignment="1">
      <alignment horizontal="left"/>
    </xf>
    <xf numFmtId="0" fontId="23" fillId="0" borderId="0" xfId="0" applyFont="1" applyAlignment="1">
      <alignment horizontal="left"/>
    </xf>
    <xf numFmtId="0" fontId="23" fillId="0" borderId="17" xfId="0" applyFont="1" applyBorder="1"/>
    <xf numFmtId="164" fontId="25" fillId="0" borderId="58" xfId="0" quotePrefix="1" applyNumberFormat="1" applyFont="1" applyBorder="1" applyAlignment="1" applyProtection="1">
      <alignment horizontal="left"/>
      <protection locked="0"/>
    </xf>
    <xf numFmtId="15" fontId="25" fillId="0" borderId="58" xfId="0" quotePrefix="1" applyNumberFormat="1" applyFont="1" applyBorder="1" applyAlignment="1">
      <alignment horizontal="left"/>
    </xf>
    <xf numFmtId="164" fontId="32" fillId="0" borderId="58" xfId="0" quotePrefix="1" applyNumberFormat="1" applyFont="1" applyBorder="1" applyAlignment="1" applyProtection="1">
      <alignment horizontal="left"/>
      <protection locked="0"/>
    </xf>
    <xf numFmtId="0" fontId="32" fillId="0" borderId="58" xfId="0" applyFont="1" applyBorder="1" applyAlignment="1">
      <alignment horizontal="left"/>
    </xf>
    <xf numFmtId="0" fontId="23" fillId="0" borderId="17" xfId="0" applyFont="1" applyBorder="1" applyAlignment="1">
      <alignment horizontal="left"/>
    </xf>
    <xf numFmtId="0" fontId="23" fillId="16" borderId="7" xfId="0" applyFont="1" applyFill="1" applyBorder="1" applyAlignment="1">
      <alignment horizontal="left"/>
    </xf>
    <xf numFmtId="0" fontId="23" fillId="16" borderId="53" xfId="0" applyFont="1" applyFill="1" applyBorder="1"/>
    <xf numFmtId="0" fontId="24" fillId="16" borderId="31" xfId="0" applyFont="1" applyFill="1" applyBorder="1" applyAlignment="1">
      <alignment horizontal="center" vertical="center"/>
    </xf>
    <xf numFmtId="0" fontId="24" fillId="16" borderId="54" xfId="0" applyFont="1" applyFill="1" applyBorder="1" applyAlignment="1">
      <alignment horizontal="center" vertical="center"/>
    </xf>
    <xf numFmtId="0" fontId="28" fillId="16" borderId="58" xfId="0" applyFont="1" applyFill="1" applyBorder="1" applyAlignment="1">
      <alignment horizontal="left"/>
    </xf>
    <xf numFmtId="14" fontId="23" fillId="0" borderId="0" xfId="0" applyNumberFormat="1" applyFont="1"/>
    <xf numFmtId="0" fontId="28" fillId="0" borderId="23" xfId="0" applyFont="1" applyBorder="1" applyAlignment="1">
      <alignment horizontal="left"/>
    </xf>
    <xf numFmtId="14" fontId="28" fillId="0" borderId="23" xfId="0" applyNumberFormat="1" applyFont="1" applyBorder="1" applyAlignment="1">
      <alignment horizontal="left"/>
    </xf>
    <xf numFmtId="0" fontId="30" fillId="0" borderId="23" xfId="0" applyFont="1" applyBorder="1" applyProtection="1">
      <protection locked="0"/>
    </xf>
    <xf numFmtId="0" fontId="28" fillId="0" borderId="23" xfId="0" applyFont="1" applyBorder="1" applyAlignment="1" applyProtection="1">
      <alignment horizontal="left"/>
      <protection locked="0"/>
    </xf>
    <xf numFmtId="0" fontId="28" fillId="0" borderId="58" xfId="0" applyFont="1" applyBorder="1"/>
    <xf numFmtId="14" fontId="32" fillId="15" borderId="58" xfId="2" quotePrefix="1" applyNumberFormat="1" applyFont="1" applyFill="1" applyBorder="1" applyAlignment="1">
      <alignment horizontal="left"/>
    </xf>
    <xf numFmtId="0" fontId="23" fillId="15" borderId="58" xfId="0" applyFont="1" applyFill="1" applyBorder="1"/>
    <xf numFmtId="0" fontId="33" fillId="0" borderId="58" xfId="0" applyFont="1" applyBorder="1" applyAlignment="1" applyProtection="1">
      <alignment horizontal="left"/>
      <protection locked="0"/>
    </xf>
    <xf numFmtId="0" fontId="23" fillId="0" borderId="20" xfId="0" applyFont="1" applyBorder="1"/>
    <xf numFmtId="0" fontId="28" fillId="0" borderId="43" xfId="0" applyFont="1" applyBorder="1" applyAlignment="1">
      <alignment horizontal="left"/>
    </xf>
    <xf numFmtId="164" fontId="28" fillId="0" borderId="58" xfId="0" applyNumberFormat="1" applyFont="1" applyBorder="1" applyAlignment="1" applyProtection="1">
      <alignment horizontal="left"/>
      <protection locked="0"/>
    </xf>
    <xf numFmtId="164" fontId="28" fillId="0" borderId="23" xfId="0" applyNumberFormat="1" applyFont="1" applyBorder="1" applyAlignment="1" applyProtection="1">
      <alignment horizontal="left"/>
      <protection locked="0"/>
    </xf>
    <xf numFmtId="164" fontId="25" fillId="0" borderId="23" xfId="0" quotePrefix="1" applyNumberFormat="1" applyFont="1" applyBorder="1" applyAlignment="1" applyProtection="1">
      <alignment horizontal="left"/>
      <protection locked="0"/>
    </xf>
    <xf numFmtId="15" fontId="25" fillId="0" borderId="23" xfId="0" quotePrefix="1" applyNumberFormat="1" applyFont="1" applyBorder="1" applyAlignment="1">
      <alignment horizontal="left"/>
    </xf>
    <xf numFmtId="164" fontId="32" fillId="0" borderId="23" xfId="0" quotePrefix="1" applyNumberFormat="1" applyFont="1" applyBorder="1" applyAlignment="1" applyProtection="1">
      <alignment horizontal="left"/>
      <protection locked="0"/>
    </xf>
    <xf numFmtId="0" fontId="32" fillId="0" borderId="23" xfId="0" applyFont="1" applyBorder="1" applyAlignment="1">
      <alignment horizontal="left"/>
    </xf>
    <xf numFmtId="0" fontId="23" fillId="0" borderId="58" xfId="0" applyFont="1" applyBorder="1"/>
    <xf numFmtId="15" fontId="32" fillId="0" borderId="58" xfId="0" quotePrefix="1" applyNumberFormat="1" applyFont="1" applyBorder="1" applyAlignment="1">
      <alignment horizontal="left"/>
    </xf>
    <xf numFmtId="0" fontId="28" fillId="16" borderId="59" xfId="0" applyFont="1" applyFill="1" applyBorder="1" applyAlignment="1">
      <alignment horizontal="left"/>
    </xf>
    <xf numFmtId="0" fontId="28" fillId="15" borderId="23" xfId="0" applyFont="1" applyFill="1" applyBorder="1" applyAlignment="1" applyProtection="1">
      <alignment horizontal="left"/>
      <protection locked="0"/>
    </xf>
    <xf numFmtId="0" fontId="28" fillId="16" borderId="23" xfId="0" applyFont="1" applyFill="1" applyBorder="1" applyAlignment="1">
      <alignment horizontal="left"/>
    </xf>
    <xf numFmtId="0" fontId="28" fillId="16" borderId="60" xfId="0" applyFont="1" applyFill="1" applyBorder="1" applyAlignment="1">
      <alignment horizontal="left"/>
    </xf>
    <xf numFmtId="0" fontId="28" fillId="2" borderId="23" xfId="0" applyFont="1" applyFill="1" applyBorder="1" applyAlignment="1">
      <alignment horizontal="left"/>
    </xf>
    <xf numFmtId="0" fontId="28" fillId="0" borderId="23" xfId="0" applyFont="1" applyBorder="1"/>
    <xf numFmtId="14" fontId="26" fillId="15" borderId="58" xfId="0" applyNumberFormat="1" applyFont="1" applyFill="1" applyBorder="1" applyAlignment="1">
      <alignment horizontal="left"/>
    </xf>
    <xf numFmtId="0" fontId="23" fillId="0" borderId="58" xfId="0" quotePrefix="1" applyFont="1" applyBorder="1"/>
    <xf numFmtId="0" fontId="28" fillId="15" borderId="23" xfId="0" applyFont="1" applyFill="1" applyBorder="1" applyAlignment="1" applyProtection="1">
      <alignment horizontal="left" wrapText="1"/>
      <protection locked="0"/>
    </xf>
    <xf numFmtId="14" fontId="32" fillId="0" borderId="30" xfId="2" quotePrefix="1" applyNumberFormat="1" applyFont="1" applyFill="1" applyBorder="1" applyAlignment="1">
      <alignment horizontal="left"/>
    </xf>
    <xf numFmtId="0" fontId="28" fillId="15" borderId="58" xfId="0" applyFont="1" applyFill="1" applyBorder="1"/>
    <xf numFmtId="0" fontId="14" fillId="15" borderId="58" xfId="0" applyFont="1" applyFill="1" applyBorder="1"/>
    <xf numFmtId="0" fontId="32" fillId="15" borderId="58" xfId="0" applyFont="1" applyFill="1" applyBorder="1"/>
    <xf numFmtId="0" fontId="18" fillId="15" borderId="58" xfId="0" applyFont="1" applyFill="1" applyBorder="1"/>
    <xf numFmtId="0" fontId="11" fillId="15" borderId="58" xfId="0" applyFont="1" applyFill="1" applyBorder="1"/>
    <xf numFmtId="0" fontId="28" fillId="15" borderId="58" xfId="0" applyFont="1" applyFill="1" applyBorder="1" applyAlignment="1">
      <alignment horizontal="left"/>
    </xf>
    <xf numFmtId="0" fontId="14" fillId="15" borderId="58" xfId="0" applyFont="1" applyFill="1" applyBorder="1" applyAlignment="1">
      <alignment horizontal="left"/>
    </xf>
    <xf numFmtId="0" fontId="28" fillId="0" borderId="43" xfId="0" applyFont="1" applyBorder="1" applyAlignment="1" applyProtection="1">
      <alignment horizontal="left"/>
      <protection locked="0"/>
    </xf>
    <xf numFmtId="0" fontId="28" fillId="13" borderId="23" xfId="0" applyFont="1" applyFill="1" applyBorder="1" applyAlignment="1" applyProtection="1">
      <alignment horizontal="left"/>
      <protection locked="0"/>
    </xf>
    <xf numFmtId="0" fontId="28" fillId="13" borderId="43" xfId="0" applyFont="1" applyFill="1" applyBorder="1" applyAlignment="1" applyProtection="1">
      <alignment horizontal="left"/>
      <protection locked="0"/>
    </xf>
    <xf numFmtId="0" fontId="26" fillId="0" borderId="58" xfId="0" applyFont="1" applyBorder="1" applyAlignment="1">
      <alignment vertical="center" wrapText="1"/>
    </xf>
    <xf numFmtId="0" fontId="23" fillId="13" borderId="58" xfId="0" applyFont="1" applyFill="1" applyBorder="1"/>
    <xf numFmtId="0" fontId="6" fillId="3" borderId="59" xfId="0" applyFont="1" applyFill="1" applyBorder="1" applyAlignment="1">
      <alignment horizontal="center" vertical="center"/>
    </xf>
    <xf numFmtId="0" fontId="21" fillId="15" borderId="58" xfId="0" applyFont="1" applyFill="1" applyBorder="1"/>
    <xf numFmtId="0" fontId="21" fillId="15" borderId="58" xfId="0" applyFont="1" applyFill="1" applyBorder="1" applyAlignment="1">
      <alignment horizontal="left"/>
    </xf>
    <xf numFmtId="0" fontId="32" fillId="15" borderId="58" xfId="0" applyFont="1" applyFill="1" applyBorder="1" applyAlignment="1">
      <alignment horizontal="left"/>
    </xf>
    <xf numFmtId="0" fontId="32" fillId="15" borderId="23" xfId="0" applyFont="1" applyFill="1" applyBorder="1"/>
    <xf numFmtId="0" fontId="32" fillId="15" borderId="23" xfId="0" applyFont="1" applyFill="1" applyBorder="1" applyAlignment="1">
      <alignment horizontal="left"/>
    </xf>
    <xf numFmtId="0" fontId="31" fillId="15" borderId="58" xfId="0" applyFont="1" applyFill="1" applyBorder="1"/>
    <xf numFmtId="0" fontId="28" fillId="0" borderId="18" xfId="0" applyFont="1" applyBorder="1" applyAlignment="1" applyProtection="1">
      <alignment horizontal="left"/>
      <protection locked="0"/>
    </xf>
    <xf numFmtId="0" fontId="28" fillId="15" borderId="23" xfId="0" applyFont="1" applyFill="1" applyBorder="1"/>
    <xf numFmtId="0" fontId="28" fillId="0" borderId="18" xfId="0" applyFont="1" applyBorder="1" applyAlignment="1">
      <alignment horizontal="left"/>
    </xf>
    <xf numFmtId="14" fontId="33" fillId="15" borderId="58" xfId="0" applyNumberFormat="1" applyFont="1" applyFill="1" applyBorder="1" applyAlignment="1">
      <alignment horizontal="left"/>
    </xf>
    <xf numFmtId="0" fontId="33" fillId="0" borderId="18" xfId="0" applyFont="1" applyBorder="1" applyAlignment="1" applyProtection="1">
      <alignment horizontal="left"/>
      <protection locked="0"/>
    </xf>
    <xf numFmtId="0" fontId="33" fillId="0" borderId="23" xfId="0" applyFont="1" applyBorder="1" applyAlignment="1" applyProtection="1">
      <alignment horizontal="left"/>
      <protection locked="0"/>
    </xf>
    <xf numFmtId="14" fontId="28" fillId="15" borderId="58" xfId="0" applyNumberFormat="1" applyFont="1" applyFill="1" applyBorder="1" applyAlignment="1">
      <alignment horizontal="left"/>
    </xf>
    <xf numFmtId="0" fontId="13" fillId="15" borderId="58" xfId="0" applyFont="1" applyFill="1" applyBorder="1"/>
    <xf numFmtId="0" fontId="13" fillId="15" borderId="58" xfId="0" applyFont="1" applyFill="1" applyBorder="1" applyAlignment="1">
      <alignment horizontal="left"/>
    </xf>
    <xf numFmtId="0" fontId="28" fillId="0" borderId="59" xfId="0" applyFont="1" applyBorder="1" applyAlignment="1" applyProtection="1">
      <alignment horizontal="left"/>
      <protection locked="0"/>
    </xf>
    <xf numFmtId="0" fontId="23" fillId="0" borderId="59" xfId="0" applyFont="1" applyBorder="1"/>
    <xf numFmtId="0" fontId="32" fillId="15" borderId="30" xfId="0" applyFont="1" applyFill="1" applyBorder="1" applyAlignment="1">
      <alignment horizontal="left"/>
    </xf>
    <xf numFmtId="0" fontId="32" fillId="0" borderId="58" xfId="0" applyFont="1" applyBorder="1" applyAlignment="1" applyProtection="1">
      <alignment horizontal="left"/>
      <protection locked="0"/>
    </xf>
    <xf numFmtId="0" fontId="21" fillId="0" borderId="23" xfId="0" applyFont="1" applyBorder="1" applyAlignment="1">
      <alignment horizontal="left"/>
    </xf>
    <xf numFmtId="0" fontId="21" fillId="15" borderId="43" xfId="0" applyFont="1" applyFill="1" applyBorder="1"/>
    <xf numFmtId="0" fontId="21" fillId="15" borderId="43" xfId="0" applyFont="1" applyFill="1" applyBorder="1" applyAlignment="1">
      <alignment horizontal="left"/>
    </xf>
    <xf numFmtId="0" fontId="13" fillId="15" borderId="23" xfId="0" applyFont="1" applyFill="1" applyBorder="1"/>
    <xf numFmtId="14" fontId="32" fillId="15" borderId="58" xfId="0" applyNumberFormat="1" applyFont="1" applyFill="1" applyBorder="1" applyAlignment="1">
      <alignment horizontal="left"/>
    </xf>
    <xf numFmtId="14" fontId="32" fillId="15" borderId="23" xfId="0" applyNumberFormat="1" applyFont="1" applyFill="1" applyBorder="1" applyAlignment="1">
      <alignment horizontal="left"/>
    </xf>
    <xf numFmtId="0" fontId="13" fillId="0" borderId="0" xfId="0" applyFont="1"/>
    <xf numFmtId="164" fontId="13" fillId="0" borderId="57" xfId="0" applyNumberFormat="1" applyFont="1" applyBorder="1" applyAlignment="1" applyProtection="1">
      <alignment horizontal="left"/>
      <protection locked="0"/>
    </xf>
    <xf numFmtId="164" fontId="34" fillId="0" borderId="58" xfId="0" quotePrefix="1" applyNumberFormat="1" applyFont="1" applyBorder="1" applyAlignment="1" applyProtection="1">
      <alignment horizontal="left"/>
      <protection locked="0"/>
    </xf>
    <xf numFmtId="15" fontId="34" fillId="0" borderId="58" xfId="0" quotePrefix="1" applyNumberFormat="1" applyFont="1" applyBorder="1" applyAlignment="1">
      <alignment horizontal="left"/>
    </xf>
    <xf numFmtId="164" fontId="35" fillId="0" borderId="58" xfId="0" quotePrefix="1" applyNumberFormat="1" applyFont="1" applyBorder="1" applyAlignment="1" applyProtection="1">
      <alignment horizontal="left"/>
      <protection locked="0"/>
    </xf>
    <xf numFmtId="0" fontId="35" fillId="0" borderId="58" xfId="0" applyFont="1" applyBorder="1" applyAlignment="1">
      <alignment horizontal="left"/>
    </xf>
    <xf numFmtId="0" fontId="29" fillId="15" borderId="58" xfId="0" applyFont="1" applyFill="1" applyBorder="1" applyAlignment="1" applyProtection="1">
      <alignment horizontal="left"/>
      <protection locked="0"/>
    </xf>
    <xf numFmtId="0" fontId="29" fillId="15" borderId="0" xfId="0" applyFont="1" applyFill="1"/>
    <xf numFmtId="14" fontId="13" fillId="15" borderId="0" xfId="0" applyNumberFormat="1" applyFont="1" applyFill="1" applyAlignment="1">
      <alignment horizontal="left"/>
    </xf>
    <xf numFmtId="0" fontId="12" fillId="0" borderId="0" xfId="0" applyFont="1" applyAlignment="1">
      <alignment vertical="center" wrapText="1"/>
    </xf>
    <xf numFmtId="0" fontId="20" fillId="0" borderId="0" xfId="0" applyFont="1"/>
    <xf numFmtId="0" fontId="13" fillId="15" borderId="58" xfId="0" applyFont="1" applyFill="1" applyBorder="1" applyAlignment="1" applyProtection="1">
      <alignment horizontal="left" wrapText="1"/>
      <protection locked="0"/>
    </xf>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27" xfId="0" applyFont="1" applyFill="1" applyBorder="1" applyAlignment="1">
      <alignment horizontal="center" vertical="center"/>
    </xf>
  </cellXfs>
  <cellStyles count="3">
    <cellStyle name="Good" xfId="2" builtinId="26"/>
    <cellStyle name="Normal" xfId="0" builtinId="0"/>
    <cellStyle name="Normal 2" xfId="1" xr:uid="{00000000-0005-0000-0000-00000200000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338" t="s">
        <v>0</v>
      </c>
      <c r="B1" s="339"/>
      <c r="C1" s="340"/>
      <c r="F1" s="338" t="s">
        <v>1</v>
      </c>
      <c r="G1" s="340"/>
    </row>
    <row r="2" spans="1:7" ht="15" thickBot="1" x14ac:dyDescent="0.4">
      <c r="A2" s="341"/>
      <c r="B2" s="342"/>
      <c r="C2" s="343"/>
      <c r="F2" s="341"/>
      <c r="G2" s="343"/>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149</v>
      </c>
      <c r="C2" s="55"/>
      <c r="D2" s="56"/>
      <c r="E2" s="54" t="s">
        <v>150</v>
      </c>
      <c r="F2" s="55"/>
      <c r="G2" s="55"/>
      <c r="H2" s="54" t="s">
        <v>151</v>
      </c>
      <c r="I2" s="55"/>
      <c r="K2" s="50" t="s">
        <v>152</v>
      </c>
      <c r="L2" s="51"/>
      <c r="M2" s="51"/>
    </row>
    <row r="3" spans="2:13" ht="15" thickBot="1" x14ac:dyDescent="0.4">
      <c r="B3" s="57" t="s">
        <v>153</v>
      </c>
      <c r="C3" s="58" t="s">
        <v>154</v>
      </c>
      <c r="D3" s="59"/>
      <c r="E3" s="60" t="s">
        <v>153</v>
      </c>
      <c r="F3" s="61" t="s">
        <v>154</v>
      </c>
      <c r="G3" s="87"/>
      <c r="H3" s="60" t="s">
        <v>153</v>
      </c>
      <c r="I3" s="61" t="s">
        <v>154</v>
      </c>
      <c r="K3" s="72" t="s">
        <v>153</v>
      </c>
      <c r="L3" s="73" t="s">
        <v>155</v>
      </c>
      <c r="M3" s="53" t="s">
        <v>156</v>
      </c>
    </row>
    <row r="4" spans="2:13" x14ac:dyDescent="0.35">
      <c r="B4" s="62" t="s">
        <v>157</v>
      </c>
      <c r="C4" s="63">
        <v>35</v>
      </c>
      <c r="D4" s="56"/>
      <c r="E4" s="62" t="s">
        <v>157</v>
      </c>
      <c r="F4" s="63">
        <v>141</v>
      </c>
      <c r="G4" s="55"/>
      <c r="H4" s="62" t="s">
        <v>157</v>
      </c>
      <c r="I4" s="63">
        <v>0</v>
      </c>
      <c r="K4" s="81" t="s">
        <v>157</v>
      </c>
      <c r="L4" s="78">
        <f>C4+F4+I4</f>
        <v>176</v>
      </c>
      <c r="M4" s="77">
        <f>L4/L8*100</f>
        <v>72.131147540983605</v>
      </c>
    </row>
    <row r="5" spans="2:13" x14ac:dyDescent="0.35">
      <c r="B5" s="64" t="s">
        <v>158</v>
      </c>
      <c r="C5" s="65">
        <v>17</v>
      </c>
      <c r="D5" s="56"/>
      <c r="E5" s="64" t="s">
        <v>158</v>
      </c>
      <c r="F5" s="65">
        <v>27</v>
      </c>
      <c r="G5" s="55"/>
      <c r="H5" s="64" t="s">
        <v>158</v>
      </c>
      <c r="I5" s="65">
        <v>24</v>
      </c>
      <c r="K5" s="82" t="s">
        <v>158</v>
      </c>
      <c r="L5" s="79">
        <f>C5+F5+I5</f>
        <v>68</v>
      </c>
      <c r="M5" s="71">
        <f>L5/L8*100</f>
        <v>27.868852459016392</v>
      </c>
    </row>
    <row r="6" spans="2:13" x14ac:dyDescent="0.35">
      <c r="B6" s="64" t="s">
        <v>159</v>
      </c>
      <c r="C6" s="65">
        <v>0</v>
      </c>
      <c r="D6" s="56"/>
      <c r="E6" s="64" t="s">
        <v>159</v>
      </c>
      <c r="F6" s="65">
        <v>0</v>
      </c>
      <c r="G6" s="55"/>
      <c r="H6" s="64" t="s">
        <v>159</v>
      </c>
      <c r="I6" s="65">
        <v>0</v>
      </c>
      <c r="K6" s="82" t="s">
        <v>159</v>
      </c>
      <c r="L6" s="80">
        <f>C6+F6+I6</f>
        <v>0</v>
      </c>
      <c r="M6" s="74">
        <f>L6/L8*100</f>
        <v>0</v>
      </c>
    </row>
    <row r="7" spans="2:13" ht="15" thickBot="1" x14ac:dyDescent="0.4">
      <c r="B7" s="66" t="s">
        <v>160</v>
      </c>
      <c r="C7" s="67">
        <v>52</v>
      </c>
      <c r="D7" s="56"/>
      <c r="E7" s="66" t="s">
        <v>160</v>
      </c>
      <c r="F7" s="67">
        <v>168</v>
      </c>
      <c r="G7" s="55"/>
      <c r="H7" s="66" t="s">
        <v>160</v>
      </c>
      <c r="I7" s="67">
        <v>24</v>
      </c>
      <c r="K7" s="83" t="s">
        <v>160</v>
      </c>
      <c r="L7" s="84">
        <f>C7+F7+I7</f>
        <v>244</v>
      </c>
      <c r="M7" s="75">
        <f>L7/L8*100</f>
        <v>100</v>
      </c>
    </row>
    <row r="8" spans="2:13" ht="15" thickBot="1" x14ac:dyDescent="0.4">
      <c r="B8" s="60" t="s">
        <v>154</v>
      </c>
      <c r="C8" s="61">
        <v>52</v>
      </c>
      <c r="D8" s="59"/>
      <c r="E8" s="60" t="s">
        <v>154</v>
      </c>
      <c r="F8" s="61">
        <v>168</v>
      </c>
      <c r="G8" s="87"/>
      <c r="H8" s="60" t="s">
        <v>154</v>
      </c>
      <c r="I8" s="61">
        <v>24</v>
      </c>
      <c r="K8" s="85" t="s">
        <v>154</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161</v>
      </c>
      <c r="C10" s="55"/>
      <c r="D10" s="56"/>
      <c r="E10" s="54" t="s">
        <v>162</v>
      </c>
      <c r="F10" s="55"/>
      <c r="G10" s="55"/>
      <c r="H10" s="54" t="s">
        <v>163</v>
      </c>
      <c r="I10" s="55"/>
      <c r="K10" s="50" t="s">
        <v>164</v>
      </c>
      <c r="L10" s="51"/>
      <c r="M10" s="51"/>
    </row>
    <row r="11" spans="2:13" ht="15" thickBot="1" x14ac:dyDescent="0.4">
      <c r="B11" s="60" t="s">
        <v>165</v>
      </c>
      <c r="C11" s="61" t="s">
        <v>154</v>
      </c>
      <c r="D11" s="56"/>
      <c r="E11" s="57" t="s">
        <v>165</v>
      </c>
      <c r="F11" s="58" t="s">
        <v>154</v>
      </c>
      <c r="G11" s="87"/>
      <c r="H11" s="60" t="s">
        <v>165</v>
      </c>
      <c r="I11" s="61" t="s">
        <v>154</v>
      </c>
      <c r="K11" s="72" t="s">
        <v>165</v>
      </c>
      <c r="L11" s="73" t="s">
        <v>155</v>
      </c>
      <c r="M11" s="53" t="s">
        <v>156</v>
      </c>
    </row>
    <row r="12" spans="2:13" ht="44" thickBot="1" x14ac:dyDescent="0.4">
      <c r="B12" s="68" t="s">
        <v>166</v>
      </c>
      <c r="C12" s="69">
        <v>12</v>
      </c>
      <c r="D12" s="56"/>
      <c r="E12" s="90" t="s">
        <v>167</v>
      </c>
      <c r="F12" s="63">
        <v>24</v>
      </c>
      <c r="G12" s="55"/>
      <c r="H12" s="68" t="s">
        <v>168</v>
      </c>
      <c r="I12" s="69">
        <v>24</v>
      </c>
      <c r="K12" s="95" t="s">
        <v>169</v>
      </c>
      <c r="L12" s="78">
        <v>44</v>
      </c>
      <c r="M12" s="77">
        <f>L12/L17*100</f>
        <v>35.199999999999996</v>
      </c>
    </row>
    <row r="13" spans="2:13" ht="29.5" thickBot="1" x14ac:dyDescent="0.4">
      <c r="B13" s="70" t="s">
        <v>170</v>
      </c>
      <c r="C13" s="65">
        <v>5</v>
      </c>
      <c r="D13" s="56"/>
      <c r="E13" s="92" t="s">
        <v>171</v>
      </c>
      <c r="F13" s="91">
        <v>3</v>
      </c>
      <c r="G13" s="87"/>
      <c r="H13" s="60" t="s">
        <v>154</v>
      </c>
      <c r="I13" s="61">
        <v>24</v>
      </c>
      <c r="K13" s="96" t="s">
        <v>172</v>
      </c>
      <c r="L13" s="79">
        <v>20</v>
      </c>
      <c r="M13" s="74">
        <f>L13/L17*100</f>
        <v>16</v>
      </c>
    </row>
    <row r="14" spans="2:13" ht="29.5" thickBot="1" x14ac:dyDescent="0.4">
      <c r="B14" s="60" t="s">
        <v>154</v>
      </c>
      <c r="C14" s="61">
        <f>C12+C13</f>
        <v>17</v>
      </c>
      <c r="D14" s="56"/>
      <c r="E14" s="88" t="s">
        <v>154</v>
      </c>
      <c r="F14" s="89">
        <v>27</v>
      </c>
      <c r="G14" s="55"/>
      <c r="H14" s="55"/>
      <c r="I14" s="55"/>
      <c r="K14" s="97" t="s">
        <v>167</v>
      </c>
      <c r="L14" s="93">
        <v>34</v>
      </c>
      <c r="M14" s="75">
        <f>L14/L17*100</f>
        <v>27.200000000000003</v>
      </c>
    </row>
    <row r="15" spans="2:13" x14ac:dyDescent="0.35">
      <c r="D15" s="56"/>
      <c r="E15" s="56"/>
      <c r="F15" s="55"/>
      <c r="G15" s="55"/>
      <c r="H15" s="55"/>
      <c r="I15" s="55"/>
      <c r="K15" s="96" t="s">
        <v>168</v>
      </c>
      <c r="L15" s="80">
        <v>24</v>
      </c>
      <c r="M15" s="75">
        <f>L15/L17*100</f>
        <v>19.2</v>
      </c>
    </row>
    <row r="16" spans="2:13" ht="15" thickBot="1" x14ac:dyDescent="0.4">
      <c r="K16" s="83" t="s">
        <v>171</v>
      </c>
      <c r="L16" s="94">
        <v>3</v>
      </c>
      <c r="M16" s="75">
        <f>L16/L17*100</f>
        <v>2.4</v>
      </c>
    </row>
    <row r="17" spans="11:13" ht="15" thickBot="1" x14ac:dyDescent="0.4">
      <c r="K17" s="85" t="s">
        <v>154</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25</v>
      </c>
      <c r="B1" s="5" t="s">
        <v>31</v>
      </c>
      <c r="C1" s="3" t="s">
        <v>63</v>
      </c>
      <c r="D1" s="13" t="s">
        <v>66</v>
      </c>
      <c r="E1" s="14" t="s">
        <v>173</v>
      </c>
      <c r="F1" s="30" t="s">
        <v>72</v>
      </c>
      <c r="G1" s="30" t="s">
        <v>75</v>
      </c>
      <c r="H1" s="30" t="s">
        <v>81</v>
      </c>
      <c r="I1" s="30" t="s">
        <v>85</v>
      </c>
      <c r="J1" s="30" t="s">
        <v>87</v>
      </c>
      <c r="K1" s="30" t="s">
        <v>89</v>
      </c>
      <c r="L1" s="30" t="s">
        <v>91</v>
      </c>
      <c r="M1" s="30" t="s">
        <v>93</v>
      </c>
      <c r="N1" s="30" t="s">
        <v>97</v>
      </c>
      <c r="O1" s="30" t="s">
        <v>103</v>
      </c>
      <c r="P1" s="30" t="s">
        <v>107</v>
      </c>
      <c r="Q1" s="30" t="s">
        <v>109</v>
      </c>
      <c r="R1" s="15" t="s">
        <v>113</v>
      </c>
      <c r="S1" s="28" t="s">
        <v>119</v>
      </c>
      <c r="T1" s="30" t="s">
        <v>121</v>
      </c>
      <c r="U1" s="30" t="s">
        <v>174</v>
      </c>
      <c r="V1" s="30" t="s">
        <v>175</v>
      </c>
      <c r="W1" s="30" t="s">
        <v>176</v>
      </c>
      <c r="X1" s="30" t="s">
        <v>128</v>
      </c>
      <c r="Y1" s="30" t="s">
        <v>130</v>
      </c>
      <c r="Z1" s="30" t="s">
        <v>131</v>
      </c>
      <c r="AA1" s="30" t="s">
        <v>177</v>
      </c>
      <c r="AB1" s="30" t="s">
        <v>178</v>
      </c>
      <c r="AC1" s="30" t="s">
        <v>179</v>
      </c>
      <c r="AD1" t="s">
        <v>180</v>
      </c>
      <c r="AE1" s="24" t="s">
        <v>181</v>
      </c>
      <c r="AF1" s="24" t="s">
        <v>182</v>
      </c>
      <c r="AG1" s="19" t="s">
        <v>183</v>
      </c>
      <c r="AH1" s="19" t="s">
        <v>136</v>
      </c>
      <c r="AI1" s="19" t="s">
        <v>184</v>
      </c>
      <c r="AJ1" s="19" t="s">
        <v>185</v>
      </c>
      <c r="AK1" s="19" t="s">
        <v>141</v>
      </c>
      <c r="AL1" s="28" t="s">
        <v>145</v>
      </c>
      <c r="AM1" s="19" t="s">
        <v>147</v>
      </c>
      <c r="AN1" s="28" t="s">
        <v>186</v>
      </c>
      <c r="AO1" s="30" t="s">
        <v>127</v>
      </c>
      <c r="AP1" s="30" t="s">
        <v>187</v>
      </c>
      <c r="AQ1" t="s">
        <v>188</v>
      </c>
      <c r="AR1" s="106" t="s">
        <v>189</v>
      </c>
      <c r="AS1" s="106" t="s">
        <v>190</v>
      </c>
      <c r="AT1" s="106" t="s">
        <v>80</v>
      </c>
      <c r="AU1" s="107" t="s">
        <v>141</v>
      </c>
      <c r="AV1" s="107" t="s">
        <v>143</v>
      </c>
      <c r="AW1" t="s">
        <v>123</v>
      </c>
      <c r="AX1" t="s">
        <v>125</v>
      </c>
    </row>
    <row r="2" spans="1:50" ht="189" thickBot="1" x14ac:dyDescent="0.4">
      <c r="A2" s="20" t="s">
        <v>27</v>
      </c>
      <c r="B2" s="21" t="s">
        <v>191</v>
      </c>
      <c r="C2" s="18" t="s">
        <v>192</v>
      </c>
      <c r="D2" s="16" t="s">
        <v>193</v>
      </c>
      <c r="E2" s="17" t="s">
        <v>194</v>
      </c>
      <c r="F2" s="6" t="s">
        <v>195</v>
      </c>
      <c r="G2" s="19" t="s">
        <v>76</v>
      </c>
      <c r="H2" s="19" t="s">
        <v>76</v>
      </c>
      <c r="I2" s="19" t="s">
        <v>76</v>
      </c>
      <c r="J2" s="24" t="str">
        <f ca="1">IF(MONTH(TODAY())&lt;10,"0"&amp;MONTH(TODAY())&amp;"/",MONTH(TODAY())&amp;"/") &amp; IF(DAY(TODAY())&lt;10,"0"&amp;DAY(TODAY())&amp;"/",DAY(TODAY())&amp;"/") &amp; YEAR(TODAY())</f>
        <v>03/04/2025</v>
      </c>
      <c r="K2" s="19" t="s">
        <v>27</v>
      </c>
      <c r="L2" s="19" t="s">
        <v>196</v>
      </c>
      <c r="M2" s="19" t="s">
        <v>96</v>
      </c>
      <c r="N2" s="19" t="s">
        <v>197</v>
      </c>
      <c r="O2" s="19" t="s">
        <v>104</v>
      </c>
      <c r="P2" t="s">
        <v>198</v>
      </c>
      <c r="Q2" s="19" t="s">
        <v>199</v>
      </c>
      <c r="R2" s="24" t="str">
        <f ca="1">IF(MONTH(TODAY())&lt;10,"0"&amp;MONTH(TODAY())&amp;"/",MONTH(TODAY())&amp;"/") &amp; IF(DAY(TODAY())&lt;10,"0"&amp;DAY(TODAY())&amp;"/",DAY(TODAY())&amp;"/") &amp; YEAR(TODAY())</f>
        <v>03/04/2025</v>
      </c>
      <c r="S2" s="19" t="s">
        <v>200</v>
      </c>
      <c r="T2" s="19" t="s">
        <v>201</v>
      </c>
      <c r="U2" s="19">
        <v>10223439</v>
      </c>
      <c r="V2" s="19" t="s">
        <v>202</v>
      </c>
      <c r="W2" s="19" t="s">
        <v>203</v>
      </c>
      <c r="X2" s="19" t="s">
        <v>204</v>
      </c>
      <c r="Y2" s="19" t="s">
        <v>205</v>
      </c>
      <c r="Z2" s="24" t="str">
        <f ca="1">IF(MONTH(TODAY())&lt;10,"0"&amp;MONTH(TODAY())&amp;"/",MONTH(TODAY())&amp;"/") &amp; IF(DAY(TODAY())&lt;10,"0"&amp;DAY(TODAY())&amp;"/",DAY(TODAY())&amp;"/") &amp; YEAR(TODAY())</f>
        <v>03/04/2025</v>
      </c>
      <c r="AA2" t="s">
        <v>118</v>
      </c>
      <c r="AB2" t="s">
        <v>118</v>
      </c>
      <c r="AH2" t="s">
        <v>206</v>
      </c>
      <c r="AI2" t="s">
        <v>207</v>
      </c>
      <c r="AJ2" s="6" t="s">
        <v>208</v>
      </c>
      <c r="AK2" s="19" t="s">
        <v>142</v>
      </c>
      <c r="AL2" s="19" t="s">
        <v>142</v>
      </c>
      <c r="AM2" s="25" t="s">
        <v>209</v>
      </c>
      <c r="AN2" t="s">
        <v>61</v>
      </c>
      <c r="AO2" s="24" t="str">
        <f ca="1">IF(MONTH(TODAY()+100)&lt;10,"0"&amp;MONTH(TODAY()+100)&amp;"/",MONTH(TODAY()+100)&amp;"/") &amp; IF(DAY(TODAY()+100)&lt;10,"0"&amp;DAY(TODAY()+100)&amp;"/",DAY(TODAY()+100)&amp;"/") &amp; YEAR(TODAY()+100)</f>
        <v>06/12/2025</v>
      </c>
      <c r="AP2" t="s">
        <v>191</v>
      </c>
      <c r="AQ2" t="s">
        <v>191</v>
      </c>
      <c r="AR2" s="108" t="s">
        <v>210</v>
      </c>
      <c r="AS2" s="109" t="s">
        <v>211</v>
      </c>
      <c r="AT2" s="106" t="s">
        <v>79</v>
      </c>
      <c r="AU2" s="107" t="s">
        <v>142</v>
      </c>
      <c r="AV2" s="107" t="s">
        <v>212</v>
      </c>
      <c r="AW2" s="105" t="s">
        <v>124</v>
      </c>
      <c r="AX2" s="106" t="s">
        <v>126</v>
      </c>
    </row>
    <row r="3" spans="1:50" ht="15" thickBot="1" x14ac:dyDescent="0.4">
      <c r="A3" s="4" t="s">
        <v>28</v>
      </c>
      <c r="B3" s="22" t="s">
        <v>33</v>
      </c>
      <c r="C3" s="7" t="s">
        <v>213</v>
      </c>
      <c r="D3" s="16" t="s">
        <v>193</v>
      </c>
      <c r="E3" s="17" t="s">
        <v>194</v>
      </c>
      <c r="F3" s="19" t="s">
        <v>73</v>
      </c>
      <c r="G3" s="19" t="s">
        <v>214</v>
      </c>
      <c r="H3" s="19" t="s">
        <v>214</v>
      </c>
      <c r="I3" s="19" t="s">
        <v>214</v>
      </c>
      <c r="J3" s="24" t="str">
        <f ca="1">IF(MONTH(TODAY()-10)&lt;10,"0"&amp;MONTH(TODAY()-10)&amp;"/",MONTH(TODAY()-10))&amp;"/" &amp; IF(DAY(TODAY()-10)&lt;10,"0"&amp;DAY(TODAY()-10)&amp;"/",DAY(TODAY()-10)&amp;"/") &amp; YEAR(TODAY()-10)</f>
        <v>02//22/2025</v>
      </c>
      <c r="L3" s="19" t="s">
        <v>215</v>
      </c>
      <c r="M3" s="19" t="s">
        <v>216</v>
      </c>
      <c r="N3" s="23" t="s">
        <v>98</v>
      </c>
      <c r="O3" s="19" t="s">
        <v>105</v>
      </c>
      <c r="P3" s="19"/>
      <c r="Q3" s="19" t="s">
        <v>217</v>
      </c>
      <c r="R3" s="24" t="str">
        <f ca="1">IF(MONTH(TODAY()+100)&lt;10,"0"&amp;MONTH(TODAY()+100)&amp;"/",MONTH(TODAY()+100)&amp;"/") &amp; IF(DAY(TODAY()+100)&lt;10,"0"&amp;DAY(TODAY()+100)&amp;"/",DAY(TODAY()+100)&amp;"/") &amp; YEAR(TODAY()+100)</f>
        <v>06/12/2025</v>
      </c>
      <c r="T3" s="19" t="s">
        <v>122</v>
      </c>
      <c r="U3">
        <v>10225553</v>
      </c>
      <c r="V3" s="19" t="s">
        <v>218</v>
      </c>
      <c r="W3" s="19" t="s">
        <v>219</v>
      </c>
      <c r="X3" s="19" t="s">
        <v>220</v>
      </c>
      <c r="Y3" s="19" t="s">
        <v>221</v>
      </c>
      <c r="Z3" s="24" t="str">
        <f ca="1">IF(MONTH(TODAY()+100)&lt;10,"0"&amp;MONTH(TODAY()+100)&amp;"/",MONTH(TODAY()+100)&amp;"/") &amp; IF(DAY(TODAY()+100)&lt;10,"0"&amp;DAY(TODAY()+100)&amp;"/",DAY(TODAY()+100)&amp;"/") &amp; YEAR(TODAY()+100)</f>
        <v>06/12/2025</v>
      </c>
      <c r="AA3" s="24"/>
      <c r="AB3" s="24"/>
      <c r="AC3" s="24"/>
      <c r="AD3" s="24"/>
      <c r="AE3" s="24"/>
      <c r="AF3" s="24"/>
      <c r="AG3" s="24"/>
      <c r="AH3" s="24" t="s">
        <v>137</v>
      </c>
      <c r="AI3" s="24" t="s">
        <v>222</v>
      </c>
      <c r="AJ3" s="19" t="s">
        <v>223</v>
      </c>
      <c r="AK3" s="19" t="s">
        <v>212</v>
      </c>
      <c r="AL3" s="19" t="s">
        <v>212</v>
      </c>
      <c r="AM3" s="19" t="s">
        <v>148</v>
      </c>
      <c r="AN3" s="29" t="s">
        <v>224</v>
      </c>
      <c r="AO3" s="24" t="str">
        <f ca="1">IF(MONTH(TODAY()+1000)&lt;10,"0"&amp;MONTH(TODAY()+1000)&amp;"/",MONTH(TODAY()+1000)&amp;"/") &amp; IF(DAY(TODAY()+1000)&lt;10,"0"&amp;DAY(TODAY()+1000)&amp;"/",DAY(TODAY()+1000)&amp;"/") &amp; YEAR(TODAY()+1000)</f>
        <v>11/29/2027</v>
      </c>
      <c r="AP3" t="s">
        <v>33</v>
      </c>
      <c r="AQ3" t="s">
        <v>33</v>
      </c>
      <c r="AR3" s="108" t="s">
        <v>225</v>
      </c>
      <c r="AS3" s="107" t="s">
        <v>226</v>
      </c>
    </row>
    <row r="4" spans="1:50" ht="15" thickBot="1" x14ac:dyDescent="0.4">
      <c r="A4" s="1"/>
      <c r="C4" s="7"/>
      <c r="D4" s="16" t="s">
        <v>227</v>
      </c>
      <c r="E4" s="17" t="s">
        <v>228</v>
      </c>
      <c r="J4" s="24" t="str">
        <f ca="1">IF(MONTH(TODAY()+10)&lt;10,"0"&amp;MONTH(TODAY()+10)&amp;"/",MONTH(TODAY()+10)&amp;"/") &amp; IF(DAY(TODAY()+10)&lt;10,"0"&amp;DAY(TODAY()+10)&amp;"/",DAY(TODAY()+10)&amp;"/") &amp; YEAR(TODAY()+10)</f>
        <v>03/14/2025</v>
      </c>
      <c r="L4" s="19" t="s">
        <v>229</v>
      </c>
      <c r="M4" s="19" t="s">
        <v>95</v>
      </c>
      <c r="N4" s="23" t="s">
        <v>100</v>
      </c>
      <c r="Q4" s="19" t="s">
        <v>111</v>
      </c>
      <c r="R4" s="24" t="str">
        <f ca="1">IF(MONTH(TODAY()+1000)&lt;10,"0"&amp;MONTH(TODAY()+1000)&amp;"/",MONTH(TODAY()+1000)&amp;"/") &amp; IF(DAY(TODAY()+1000)&lt;10,"0"&amp;DAY(TODAY()+1000)&amp;"/",DAY(TODAY()+1000)&amp;"/") &amp; YEAR(TODAY()+1000)</f>
        <v>11/29/2027</v>
      </c>
      <c r="W4" s="19" t="s">
        <v>230</v>
      </c>
      <c r="X4" s="19" t="s">
        <v>231</v>
      </c>
      <c r="Y4" s="19" t="s">
        <v>232</v>
      </c>
      <c r="Z4" s="24" t="str">
        <f ca="1">IF(MONTH(TODAY()+1000)&lt;10,"0"&amp;MONTH(TODAY()+1000)&amp;"/",MONTH(TODAY()+1000)&amp;"/") &amp; IF(DAY(TODAY()+1000)&lt;10,"0"&amp;DAY(TODAY()+1000)&amp;"/",DAY(TODAY()+1000)&amp;"/") &amp; YEAR(TODAY()+1000)</f>
        <v>11/29/2027</v>
      </c>
      <c r="AA4" s="24"/>
      <c r="AB4" s="24"/>
      <c r="AC4" s="24"/>
      <c r="AD4" s="24"/>
      <c r="AE4" s="24"/>
      <c r="AF4" s="24"/>
      <c r="AG4" s="24"/>
      <c r="AH4" s="24" t="s">
        <v>233</v>
      </c>
      <c r="AI4" s="24" t="s">
        <v>234</v>
      </c>
      <c r="AJ4" s="24"/>
      <c r="AK4" s="100" t="s">
        <v>144</v>
      </c>
      <c r="AL4" s="100" t="s">
        <v>144</v>
      </c>
      <c r="AM4" s="24"/>
      <c r="AN4" s="24"/>
      <c r="AO4" s="19" t="s">
        <v>61</v>
      </c>
      <c r="AR4" s="108" t="s">
        <v>235</v>
      </c>
      <c r="AS4" s="109" t="s">
        <v>236</v>
      </c>
    </row>
    <row r="5" spans="1:50" x14ac:dyDescent="0.35">
      <c r="A5" s="1"/>
      <c r="C5" s="7"/>
      <c r="D5" s="16" t="s">
        <v>227</v>
      </c>
      <c r="E5" s="17" t="s">
        <v>228</v>
      </c>
      <c r="L5" s="19" t="s">
        <v>61</v>
      </c>
      <c r="M5" s="19" t="s">
        <v>237</v>
      </c>
      <c r="N5" s="23" t="s">
        <v>238</v>
      </c>
      <c r="Q5" s="19" t="s">
        <v>112</v>
      </c>
      <c r="R5" s="19" t="s">
        <v>61</v>
      </c>
      <c r="W5" s="19" t="s">
        <v>239</v>
      </c>
      <c r="X5" s="19" t="s">
        <v>129</v>
      </c>
      <c r="Z5" s="19" t="s">
        <v>61</v>
      </c>
      <c r="AA5" s="19"/>
      <c r="AB5" s="19"/>
      <c r="AC5" s="19"/>
      <c r="AD5" s="19"/>
      <c r="AE5" s="19"/>
      <c r="AF5" s="19"/>
      <c r="AG5" s="19"/>
      <c r="AH5" s="19"/>
      <c r="AI5" s="19" t="s">
        <v>240</v>
      </c>
      <c r="AJ5" s="19"/>
      <c r="AK5" s="19" t="s">
        <v>146</v>
      </c>
      <c r="AL5" s="19"/>
      <c r="AM5" s="19"/>
      <c r="AN5" s="19"/>
      <c r="AR5" s="108" t="s">
        <v>241</v>
      </c>
      <c r="AS5" s="107" t="s">
        <v>242</v>
      </c>
    </row>
    <row r="6" spans="1:50" ht="15" thickBot="1" x14ac:dyDescent="0.4">
      <c r="A6" s="2"/>
      <c r="E6" s="8"/>
      <c r="N6" s="23" t="s">
        <v>99</v>
      </c>
      <c r="Q6" s="19" t="s">
        <v>110</v>
      </c>
      <c r="R6" s="19"/>
      <c r="X6" s="19" t="s">
        <v>243</v>
      </c>
      <c r="AR6" s="108" t="s">
        <v>244</v>
      </c>
      <c r="AS6" s="107" t="s">
        <v>245</v>
      </c>
    </row>
    <row r="7" spans="1:50" x14ac:dyDescent="0.35">
      <c r="C7" s="7"/>
      <c r="E7" s="8"/>
      <c r="N7" s="23" t="s">
        <v>102</v>
      </c>
      <c r="AR7" s="108" t="s">
        <v>246</v>
      </c>
      <c r="AS7" s="107" t="s">
        <v>247</v>
      </c>
    </row>
    <row r="8" spans="1:50" x14ac:dyDescent="0.35">
      <c r="C8" s="7"/>
      <c r="E8" s="8"/>
      <c r="N8" s="23" t="s">
        <v>248</v>
      </c>
      <c r="AR8" s="106" t="s">
        <v>249</v>
      </c>
      <c r="AS8" s="107" t="s">
        <v>250</v>
      </c>
    </row>
    <row r="9" spans="1:50" ht="15" thickBot="1" x14ac:dyDescent="0.4">
      <c r="C9" s="9"/>
      <c r="D9" s="10"/>
      <c r="E9" s="11"/>
      <c r="N9" s="23" t="s">
        <v>251</v>
      </c>
      <c r="AR9" s="108" t="s">
        <v>252</v>
      </c>
      <c r="AS9" s="110" t="s">
        <v>253</v>
      </c>
    </row>
    <row r="10" spans="1:50" x14ac:dyDescent="0.35">
      <c r="N10" s="23" t="s">
        <v>254</v>
      </c>
    </row>
    <row r="11" spans="1:50" x14ac:dyDescent="0.35">
      <c r="N11" s="23" t="s">
        <v>255</v>
      </c>
      <c r="AR11" s="111"/>
    </row>
    <row r="12" spans="1:50" x14ac:dyDescent="0.35">
      <c r="N12" s="23" t="s">
        <v>101</v>
      </c>
    </row>
    <row r="13" spans="1:50" x14ac:dyDescent="0.35">
      <c r="N13" s="23" t="s">
        <v>256</v>
      </c>
    </row>
    <row r="14" spans="1:50" x14ac:dyDescent="0.35">
      <c r="N14" s="23" t="s">
        <v>257</v>
      </c>
    </row>
    <row r="15" spans="1:50" x14ac:dyDescent="0.35">
      <c r="N15" s="23" t="s">
        <v>258</v>
      </c>
    </row>
    <row r="21" spans="3:44" x14ac:dyDescent="0.35">
      <c r="K21" t="s">
        <v>259</v>
      </c>
      <c r="U21">
        <v>8701839</v>
      </c>
      <c r="V21" t="s">
        <v>260</v>
      </c>
      <c r="W21" t="s">
        <v>261</v>
      </c>
      <c r="AQ21" t="s">
        <v>262</v>
      </c>
    </row>
    <row r="22" spans="3:44" x14ac:dyDescent="0.35">
      <c r="C22" t="s">
        <v>263</v>
      </c>
      <c r="D22" t="s">
        <v>264</v>
      </c>
      <c r="E22" t="s">
        <v>265</v>
      </c>
      <c r="K22" t="s">
        <v>266</v>
      </c>
      <c r="W22" t="s">
        <v>267</v>
      </c>
      <c r="Y22" t="s">
        <v>268</v>
      </c>
      <c r="AQ22" t="s">
        <v>269</v>
      </c>
      <c r="AR22" s="106" t="s">
        <v>270</v>
      </c>
    </row>
    <row r="23" spans="3:44" x14ac:dyDescent="0.35">
      <c r="W23" t="s">
        <v>216</v>
      </c>
      <c r="Y23" t="s">
        <v>271</v>
      </c>
      <c r="AR23" s="106" t="s">
        <v>272</v>
      </c>
    </row>
    <row r="24" spans="3:44" x14ac:dyDescent="0.35">
      <c r="C24" s="12" t="s">
        <v>273</v>
      </c>
      <c r="D24" t="s">
        <v>227</v>
      </c>
      <c r="E24" s="8" t="s">
        <v>228</v>
      </c>
      <c r="AR24" s="106" t="s">
        <v>274</v>
      </c>
    </row>
    <row r="25" spans="3:44" x14ac:dyDescent="0.35">
      <c r="C25" s="12" t="s">
        <v>275</v>
      </c>
      <c r="D25" t="s">
        <v>227</v>
      </c>
      <c r="E25" s="8" t="s">
        <v>228</v>
      </c>
      <c r="AR25" s="106" t="s">
        <v>276</v>
      </c>
    </row>
    <row r="26" spans="3:44" x14ac:dyDescent="0.35">
      <c r="AR26" s="106" t="s">
        <v>277</v>
      </c>
    </row>
    <row r="27" spans="3:44" x14ac:dyDescent="0.35">
      <c r="AR27" s="106" t="s">
        <v>278</v>
      </c>
    </row>
    <row r="28" spans="3:44" x14ac:dyDescent="0.35">
      <c r="AR28" s="106" t="s">
        <v>279</v>
      </c>
    </row>
  </sheetData>
  <phoneticPr fontId="8"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280</v>
      </c>
      <c r="B1" s="102">
        <v>35139</v>
      </c>
      <c r="C1" s="102">
        <v>33054</v>
      </c>
      <c r="D1" s="102">
        <v>31390</v>
      </c>
      <c r="F1" s="103" t="s">
        <v>281</v>
      </c>
      <c r="G1" s="103" t="s">
        <v>282</v>
      </c>
      <c r="H1" s="103" t="s">
        <v>283</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284</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285</v>
      </c>
      <c r="C1" s="5" t="s">
        <v>287</v>
      </c>
      <c r="D1" s="99" t="s">
        <v>289</v>
      </c>
      <c r="E1" s="99" t="s">
        <v>290</v>
      </c>
      <c r="F1" s="31" t="s">
        <v>291</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e">
        <f>Test_Data!#REF!</f>
        <v>#REF!</v>
      </c>
      <c r="B14" t="e">
        <f t="shared" si="3"/>
        <v>#REF!</v>
      </c>
      <c r="C14" t="e">
        <f t="shared" si="4"/>
        <v>#REF!</v>
      </c>
      <c r="D14" s="98" t="e">
        <f t="shared" si="0"/>
        <v>#REF!</v>
      </c>
      <c r="E14" s="98" t="e">
        <f t="shared" si="1"/>
        <v>#REF!</v>
      </c>
      <c r="F14" t="e">
        <f t="shared" si="2"/>
        <v>#REF!</v>
      </c>
    </row>
    <row r="15" spans="1:6" x14ac:dyDescent="0.35">
      <c r="A15" t="e">
        <f>Test_Data!#REF!</f>
        <v>#REF!</v>
      </c>
      <c r="B15" t="e">
        <f t="shared" si="3"/>
        <v>#REF!</v>
      </c>
      <c r="C15" t="e">
        <f t="shared" si="4"/>
        <v>#REF!</v>
      </c>
      <c r="D15" s="98" t="e">
        <f t="shared" si="0"/>
        <v>#REF!</v>
      </c>
      <c r="E15" s="98" t="e">
        <f t="shared" si="1"/>
        <v>#REF!</v>
      </c>
      <c r="F15" t="e">
        <f t="shared" si="2"/>
        <v>#REF!</v>
      </c>
    </row>
    <row r="16" spans="1:6" x14ac:dyDescent="0.35">
      <c r="A16" t="str">
        <f>Test_Data!D15</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Test_Data!D16</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str">
        <f>Test_Data!D17</f>
        <v>LegalNameInformation_Prefix</v>
      </c>
      <c r="B18" t="str">
        <f t="shared" si="3"/>
        <v>Private intRowLegalNameInformation_Prefix</v>
      </c>
      <c r="C18" t="str">
        <f t="shared" si="4"/>
        <v>Private strLegalNameInformation_Prefix</v>
      </c>
      <c r="D18" s="98" t="str">
        <f t="shared" si="0"/>
        <v>intRowLegalNameInformation_Prefix = comExcelWorksheet.Range("LegalNameInformation_Prefix").Row</v>
      </c>
      <c r="E18" s="98" t="str">
        <f t="shared" si="1"/>
        <v>strLegalNameInformation_Prefix = comExcelWorksheet.Cells(intRowLegalNameInformation_Prefix, intColTestColumn).Value</v>
      </c>
      <c r="F18" t="str">
        <f t="shared" si="2"/>
        <v>Public Property Get getLegalNameInformation_Prefix() : getLegalNameInformation_Prefix = strLegalNameInformation_Prefix : End Property</v>
      </c>
    </row>
    <row r="19" spans="1:6" x14ac:dyDescent="0.35">
      <c r="A19" t="str">
        <f>Test_Data!D18</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Test_Data!D19</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Test_Data!D20</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Test_Data!D21</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Test_Data!D22</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Test_Data!D23</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Test_Data!D24</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str">
        <f>Test_Data!D27</f>
        <v>ContactInformation_Address_PostalCode</v>
      </c>
      <c r="B29" t="str">
        <f t="shared" si="3"/>
        <v>Private intRowContactInformation_Address_PostalCode</v>
      </c>
      <c r="C29" t="str">
        <f t="shared" si="4"/>
        <v>Private strContactInformation_Address_PostalCode</v>
      </c>
      <c r="D29" s="98" t="str">
        <f t="shared" si="0"/>
        <v>intRowContactInformation_Address_PostalCode = comExcelWorksheet.Range("ContactInformation_Address_PostalCode").Row</v>
      </c>
      <c r="E29" s="98" t="str">
        <f t="shared" si="1"/>
        <v>strContactInformation_Address_PostalCode = comExcelWorksheet.Cells(intRowContactInformation_Address_PostalCode, intColTestColumn).Value</v>
      </c>
      <c r="F29" t="str">
        <f t="shared" si="2"/>
        <v>Public Property Get getContactInformation_Address_PostalCode() : getContactInformation_Address_PostalCode = strContactInformation_Address_PostalCode : End Property</v>
      </c>
    </row>
    <row r="30" spans="1:6" x14ac:dyDescent="0.35">
      <c r="A30" t="str">
        <f>Test_Data!D30</f>
        <v>ContactInformation_Address_Municipality</v>
      </c>
      <c r="B30" t="str">
        <f t="shared" si="3"/>
        <v>Private intRowContactInformation_Address_Municipality</v>
      </c>
      <c r="C30" t="str">
        <f t="shared" si="4"/>
        <v>Private strContactInformation_Address_Municipality</v>
      </c>
      <c r="D30" s="98" t="str">
        <f t="shared" si="0"/>
        <v>intRowContactInformation_Address_Municipality = comExcelWorksheet.Range("ContactInformation_Address_Municipality").Row</v>
      </c>
      <c r="E30" s="98" t="str">
        <f t="shared" si="1"/>
        <v>strContactInformation_Address_Municipality = comExcelWorksheet.Cells(intRowContactInformation_Address_Municipality, intColTestColumn).Value</v>
      </c>
      <c r="F30" t="str">
        <f t="shared" si="2"/>
        <v>Public Property Get getContactInformation_Address_Municipality() : getContactInformation_Address_Municipality = strContactInformation_Address_Municipality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Test_Data!D31</f>
        <v>ContactInformation_Address_District</v>
      </c>
      <c r="B32" t="str">
        <f t="shared" si="3"/>
        <v>Private intRowContactInformation_Address_District</v>
      </c>
      <c r="C32" t="str">
        <f t="shared" si="4"/>
        <v>Private strContactInformation_Address_District</v>
      </c>
      <c r="D32" s="98" t="str">
        <f t="shared" si="0"/>
        <v>intRowContactInformation_Address_District = comExcelWorksheet.Range("ContactInformation_Address_District").Row</v>
      </c>
      <c r="E32" s="98" t="str">
        <f t="shared" si="1"/>
        <v>strContactInformation_Address_District = comExcelWorksheet.Cells(intRowContactInformation_Address_District, intColTestColumn).Value</v>
      </c>
      <c r="F32" t="str">
        <f t="shared" si="2"/>
        <v>Public Property Get getContactInformation_Address_District() : getContactInformation_Address_District = strContactInformation_Address_District : End Property</v>
      </c>
    </row>
    <row r="33" spans="1:6" x14ac:dyDescent="0.35">
      <c r="A33" t="str">
        <f>Test_Data!D32</f>
        <v>ContactInformation_Address_Type</v>
      </c>
      <c r="B33" t="str">
        <f t="shared" si="3"/>
        <v>Private intRowContactInformation_Address_Type</v>
      </c>
      <c r="C33" t="str">
        <f t="shared" si="4"/>
        <v>Private strContactInformation_Address_Type</v>
      </c>
      <c r="D33" s="98" t="str">
        <f t="shared" si="0"/>
        <v>intRowContactInformation_Address_Type = comExcelWorksheet.Range("ContactInformation_Address_Type").Row</v>
      </c>
      <c r="E33" s="98" t="str">
        <f t="shared" si="1"/>
        <v>strContactInformation_Address_Type = comExcelWorksheet.Cells(intRowContactInformation_Address_Type, intColTestColumn).Value</v>
      </c>
      <c r="F33" t="str">
        <f t="shared" si="2"/>
        <v>Public Property Get getContactInformation_Address_Type() : getContactInformation_Address_Type = strContactInformation_Address_Type : End Property</v>
      </c>
    </row>
    <row r="34" spans="1:6" x14ac:dyDescent="0.35">
      <c r="A34" t="str">
        <f>Test_Data!D33</f>
        <v>ContactInformation_Email_UseFor</v>
      </c>
      <c r="B34" t="str">
        <f t="shared" si="3"/>
        <v>Private intRowContactInformation_Email_UseFor</v>
      </c>
      <c r="C34" t="str">
        <f t="shared" si="4"/>
        <v>Private strContactInformation_Email_UseFor</v>
      </c>
      <c r="D34" s="98" t="str">
        <f t="shared" ref="D34:D66" si="5">"intRow" &amp; A34 &amp; " = comExcelWorksheet.Range(""" &amp; A34 &amp; """).Row"</f>
        <v>intRowContactInformation_Email_UseFor = comExcelWorksheet.Range("ContactInformation_Email_UseFor").Row</v>
      </c>
      <c r="E34" s="98" t="str">
        <f t="shared" ref="E34:E68" si="6">"str" &amp; A34 &amp; " = comExcelWorksheet.Cells(intRow" &amp; A34 &amp; ", intColTestColumn).Value"</f>
        <v>strContactInformation_Email_UseFor = comExcelWorksheet.Cells(intRowContactInformation_Email_UseFor, intColTestColumn).Value</v>
      </c>
      <c r="F34" t="str">
        <f t="shared" ref="F34:F66" si="7">"Public Property Get get" &amp; A34 &amp; "() : get" &amp; A34 &amp; " = str" &amp; A34 &amp; " : End Property"</f>
        <v>Public Property Get getContactInformation_Email_UseFor() : getContactInformation_Email_UseFor = strContactInformation_Email_UseFor : End Property</v>
      </c>
    </row>
    <row r="35" spans="1:6" x14ac:dyDescent="0.35">
      <c r="A35" t="str">
        <f>Test_Data!D34</f>
        <v>ContactInformation_Email_EmailAddress</v>
      </c>
      <c r="B35" t="str">
        <f t="shared" si="3"/>
        <v>Private intRowContactInformation_Email_EmailAddress</v>
      </c>
      <c r="C35" t="str">
        <f t="shared" si="4"/>
        <v>Private strContactInformation_Email_EmailAddress</v>
      </c>
      <c r="D35" s="98" t="str">
        <f t="shared" si="5"/>
        <v>intRowContactInformation_Email_EmailAddress = comExcelWorksheet.Range("ContactInformation_Email_EmailAddress").Row</v>
      </c>
      <c r="E35" s="98" t="str">
        <f t="shared" si="6"/>
        <v>strContactInformation_Email_EmailAddress = comExcelWorksheet.Cells(intRowContactInformation_Email_EmailAddress, intColTestColumn).Value</v>
      </c>
      <c r="F35" t="str">
        <f t="shared" si="7"/>
        <v>Public Property Get getContactInformation_Email_EmailAddress() : getContactInformation_Email_EmailAddress = strContactInformation_Email_EmailAddress : End Property</v>
      </c>
    </row>
    <row r="36" spans="1:6" x14ac:dyDescent="0.35">
      <c r="A36" t="str">
        <f>Test_Data!D35</f>
        <v>JobDetails_Type</v>
      </c>
      <c r="B36" t="str">
        <f t="shared" si="3"/>
        <v>Private intRowJobDetails_Type</v>
      </c>
      <c r="C36" t="str">
        <f t="shared" si="4"/>
        <v>Private strJobDetails_Type</v>
      </c>
      <c r="D36" s="98" t="str">
        <f t="shared" si="5"/>
        <v>intRowJobDetails_Type = comExcelWorksheet.Range("JobDetails_Type").Row</v>
      </c>
      <c r="E36" s="98" t="str">
        <f t="shared" si="6"/>
        <v>strJobDetails_Type = comExcelWorksheet.Cells(intRowJobDetails_Type, intColTestColumn).Value</v>
      </c>
      <c r="F36" t="str">
        <f t="shared" si="7"/>
        <v>Public Property Get getJobDetails_Type() : getJobDetails_Type = strJobDetails_Type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Test_Data!D36</f>
        <v>JobDetails_HireDate</v>
      </c>
      <c r="B38" t="str">
        <f t="shared" si="3"/>
        <v>Private intRowJobDetails_HireDate</v>
      </c>
      <c r="C38" t="str">
        <f t="shared" si="4"/>
        <v>Private strJobDetails_HireDate</v>
      </c>
      <c r="D38" s="98" t="str">
        <f t="shared" si="5"/>
        <v>intRowJobDetails_HireDate = comExcelWorksheet.Range("JobDetails_HireDate").Row</v>
      </c>
      <c r="E38" s="98" t="str">
        <f t="shared" si="6"/>
        <v>strJobDetails_HireDate = comExcelWorksheet.Cells(intRowJobDetails_HireDate, intColTestColumn).Value</v>
      </c>
      <c r="F38" t="str">
        <f t="shared" si="7"/>
        <v>Public Property Get getJobDetails_HireDate() : getJobDetails_HireDate = strJobDetails_HireDate : End Property</v>
      </c>
    </row>
    <row r="39" spans="1:6" x14ac:dyDescent="0.35">
      <c r="A39" t="str">
        <f>Test_Data!D37</f>
        <v>JobDetails_Reason</v>
      </c>
      <c r="B39" t="str">
        <f t="shared" si="3"/>
        <v>Private intRowJobDetails_Reason</v>
      </c>
      <c r="C39" t="str">
        <f t="shared" si="4"/>
        <v>Private strJobDetails_Reason</v>
      </c>
      <c r="D39" s="98" t="str">
        <f>"intRow" &amp; A39 &amp; " = comExcelWorksheet.Range(""" &amp; A39 &amp; """).Row"</f>
        <v>intRowJobDetails_Reason = comExcelWorksheet.Range("JobDetails_Reason").Row</v>
      </c>
      <c r="E39" s="98" t="str">
        <f t="shared" si="6"/>
        <v>strJobDetails_Reason = comExcelWorksheet.Cells(intRowJobDetails_Reason, intColTestColumn).Value</v>
      </c>
      <c r="F39" t="str">
        <f t="shared" si="7"/>
        <v>Public Property Get getJobDetails_Reason() : getJobDetails_Reason = strJobDetails_Reason : End Property</v>
      </c>
    </row>
    <row r="40" spans="1:6" x14ac:dyDescent="0.35">
      <c r="A40" t="str">
        <f>Test_Data!D38</f>
        <v>JobDetails_Position</v>
      </c>
      <c r="B40" t="str">
        <f t="shared" si="3"/>
        <v>Private intRowJobDetails_Position</v>
      </c>
      <c r="C40" t="str">
        <f t="shared" si="4"/>
        <v>Private strJobDetails_Position</v>
      </c>
      <c r="D40" s="98" t="str">
        <f t="shared" si="5"/>
        <v>intRowJobDetails_Position = comExcelWorksheet.Range("JobDetails_Position").Row</v>
      </c>
      <c r="E40" s="98" t="str">
        <f t="shared" si="6"/>
        <v>strJobDetails_Position = comExcelWorksheet.Cells(intRowJobDetails_Position, intColTestColumn).Value</v>
      </c>
      <c r="F40" t="str">
        <f t="shared" si="7"/>
        <v>Public Property Get getJobDetails_Position() : getJobDetails_Position = strJobDetails_Position : End Property</v>
      </c>
    </row>
    <row r="41" spans="1:6" x14ac:dyDescent="0.35">
      <c r="A41" t="str">
        <f>Test_Data!D39</f>
        <v>JobDetails_EmployeeType</v>
      </c>
      <c r="B41" t="str">
        <f t="shared" si="3"/>
        <v>Private intRowJobDetails_EmployeeType</v>
      </c>
      <c r="C41" t="str">
        <f t="shared" si="4"/>
        <v>Private strJobDetails_EmployeeType</v>
      </c>
      <c r="D41" s="98" t="str">
        <f t="shared" si="5"/>
        <v>intRowJobDetails_EmployeeType = comExcelWorksheet.Range("JobDetails_EmployeeType").Row</v>
      </c>
      <c r="E41" s="98" t="str">
        <f t="shared" si="6"/>
        <v>strJobDetails_EmployeeType = comExcelWorksheet.Cells(intRowJobDetails_EmployeeType, intColTestColumn).Value</v>
      </c>
      <c r="F41" t="str">
        <f t="shared" si="7"/>
        <v>Public Property Get getJobDetails_EmployeeType() : getJobDetails_EmployeeType = strJobDetails_EmployeeType : End Property</v>
      </c>
    </row>
    <row r="42" spans="1:6" x14ac:dyDescent="0.35">
      <c r="A42" t="str">
        <f>Test_Data!D40</f>
        <v>JobDetails_JobProfile</v>
      </c>
      <c r="B42" t="str">
        <f t="shared" si="3"/>
        <v>Private intRowJobDetails_JobProfile</v>
      </c>
      <c r="C42" t="str">
        <f t="shared" si="4"/>
        <v>Private strJobDetails_JobProfile</v>
      </c>
      <c r="D42" s="98" t="str">
        <f t="shared" si="5"/>
        <v>intRowJobDetails_JobProfile = comExcelWorksheet.Range("JobDetails_JobProfile").Row</v>
      </c>
      <c r="E42" s="98" t="str">
        <f t="shared" si="6"/>
        <v>strJobDetails_JobProfile = comExcelWorksheet.Cells(intRowJobDetails_JobProfile, intColTestColumn).Value</v>
      </c>
      <c r="F42" t="str">
        <f t="shared" si="7"/>
        <v>Public Property Get getJobDetails_JobProfile() : getJobDetails_JobProfile = strJobDetails_JobProfile : End Property</v>
      </c>
    </row>
    <row r="43" spans="1:6" x14ac:dyDescent="0.35">
      <c r="A43" t="str">
        <f>Test_Data!D41</f>
        <v>JobDetails_TimeType</v>
      </c>
      <c r="B43" t="str">
        <f t="shared" si="3"/>
        <v>Private intRowJobDetails_TimeType</v>
      </c>
      <c r="C43" t="str">
        <f t="shared" si="4"/>
        <v>Private strJobDetails_TimeType</v>
      </c>
      <c r="D43" s="98" t="str">
        <f t="shared" si="5"/>
        <v>intRowJobDetails_TimeType = comExcelWorksheet.Range("JobDetails_TimeType").Row</v>
      </c>
      <c r="E43" s="98" t="str">
        <f t="shared" si="6"/>
        <v>strJobDetails_TimeType = comExcelWorksheet.Cells(intRowJobDetails_TimeType, intColTestColumn).Value</v>
      </c>
      <c r="F43" t="str">
        <f t="shared" si="7"/>
        <v>Public Property Get getJobDetails_TimeType() : getJobDetails_TimeType = strJobDetails_TimeType : End Property</v>
      </c>
    </row>
    <row r="44" spans="1:6" s="19" customFormat="1" x14ac:dyDescent="0.35">
      <c r="A44" s="19" t="str">
        <f>Test_Data!D42</f>
        <v>JobDetails_Location</v>
      </c>
      <c r="B44" s="19" t="str">
        <f t="shared" si="3"/>
        <v>Private intRowJobDetails_Location</v>
      </c>
      <c r="C44" s="19" t="str">
        <f t="shared" si="4"/>
        <v>Private strJobDetails_Location</v>
      </c>
      <c r="D44" s="120" t="str">
        <f t="shared" si="5"/>
        <v>intRowJobDetails_Location = comExcelWorksheet.Range("JobDetails_Location").Row</v>
      </c>
      <c r="E44" s="120" t="str">
        <f t="shared" si="6"/>
        <v>strJobDetails_Location = comExcelWorksheet.Cells(intRowJobDetails_Location, intColTestColumn).Value</v>
      </c>
      <c r="F44" s="19" t="str">
        <f t="shared" si="7"/>
        <v>Public Property Get getJobDetails_Location() : getJobDetails_Location = strJobDetails_Location : End Property</v>
      </c>
    </row>
    <row r="45" spans="1:6" x14ac:dyDescent="0.35">
      <c r="A45" t="str">
        <f>Test_Data!D43</f>
        <v>JobDetails_AdditionalInformation_PayRateType</v>
      </c>
      <c r="B45" t="str">
        <f t="shared" si="3"/>
        <v>Private intRowJobDetails_AdditionalInformation_PayRateType</v>
      </c>
      <c r="C45" t="str">
        <f t="shared" si="4"/>
        <v>Private strJobDetails_AdditionalInformation_PayRateType</v>
      </c>
      <c r="D45" s="98" t="str">
        <f t="shared" si="5"/>
        <v>intRowJobDetails_AdditionalInformation_PayRateType = comExcelWorksheet.Range("JobDetails_AdditionalInformation_PayRateType").Row</v>
      </c>
      <c r="E45" s="98" t="str">
        <f t="shared" si="6"/>
        <v>strJobDetails_AdditionalInformation_PayRateType = comExcelWorksheet.Cells(intRowJobDetails_AdditionalInformation_PayRateType, intColTestColumn).Value</v>
      </c>
      <c r="F45" t="str">
        <f t="shared" si="7"/>
        <v>Public Property Get getJobDetails_AdditionalInformation_PayRateType() : getJobDetails_AdditionalInformation_PayRateType = strJobDetails_AdditionalInformation_PayRateType : End Property</v>
      </c>
    </row>
    <row r="46" spans="1:6" x14ac:dyDescent="0.35">
      <c r="A46" t="str">
        <f>Test_Data!D44</f>
        <v>JobDetails_AdditionalInformation_ScheduledWeeklyHours</v>
      </c>
      <c r="B46" t="str">
        <f t="shared" si="3"/>
        <v>Private intRowJobDetails_AdditionalInformation_ScheduledWeeklyHours</v>
      </c>
      <c r="C46" t="str">
        <f t="shared" si="4"/>
        <v>Private strJobDetails_AdditionalInformation_ScheduledWeeklyHours</v>
      </c>
      <c r="D46" s="98" t="str">
        <f t="shared" si="5"/>
        <v>intRowJobDetails_AdditionalInformation_ScheduledWeeklyHours = comExcelWorksheet.Range("JobDetails_AdditionalInformation_ScheduledWeeklyHours").Row</v>
      </c>
      <c r="E46" s="98" t="str">
        <f t="shared" si="6"/>
        <v>strJobDetails_AdditionalInformation_ScheduledWeeklyHours = comExcelWorksheet.Cells(intRowJobDetails_AdditionalInformation_ScheduledWeeklyHours, intColTestColumn).Value</v>
      </c>
      <c r="F46" t="str">
        <f t="shared" si="7"/>
        <v>Public Property Get getJobDetails_AdditionalInformation_ScheduledWeeklyHours() : getJobDetails_AdditionalInformation_ScheduledWeeklyHours = strJobDetails_AdditionalInformation_ScheduledWeeklyHours : End Property</v>
      </c>
    </row>
    <row r="47" spans="1:6" x14ac:dyDescent="0.35">
      <c r="A47" t="str">
        <f>Test_Data!D45</f>
        <v>JobDetails_AdditionalInformation_SchoolName</v>
      </c>
      <c r="B47" t="str">
        <f t="shared" si="3"/>
        <v>Private intRowJobDetails_AdditionalInformation_SchoolName</v>
      </c>
      <c r="C47" t="str">
        <f t="shared" si="4"/>
        <v>Private strJobDetails_AdditionalInformation_SchoolName</v>
      </c>
      <c r="D47" s="98" t="str">
        <f t="shared" si="5"/>
        <v>intRowJobDetails_AdditionalInformation_SchoolName = comExcelWorksheet.Range("JobDetails_AdditionalInformation_SchoolName").Row</v>
      </c>
      <c r="E47" s="98" t="str">
        <f t="shared" si="6"/>
        <v>strJobDetails_AdditionalInformation_SchoolName = comExcelWorksheet.Cells(intRowJobDetails_AdditionalInformation_SchoolName, intColTestColumn).Value</v>
      </c>
      <c r="F47" t="str">
        <f t="shared" si="7"/>
        <v>Public Property Get getJobDetails_AdditionalInformation_SchoolName() : getJobDetails_AdditionalInformation_SchoolName = strJobDetails_AdditionalInformation_SchoolName : End Property</v>
      </c>
    </row>
    <row r="48" spans="1:6" x14ac:dyDescent="0.35">
      <c r="A48" t="str">
        <f>Test_Data!D46</f>
        <v>JobDetails_AdditionalInformation_SchoolType</v>
      </c>
      <c r="B48" t="str">
        <f t="shared" si="3"/>
        <v>Private intRowJobDetails_AdditionalInformation_SchoolType</v>
      </c>
      <c r="C48" t="str">
        <f t="shared" si="4"/>
        <v>Private strJobDetails_AdditionalInformation_SchoolType</v>
      </c>
      <c r="D48" s="98" t="str">
        <f t="shared" si="5"/>
        <v>intRowJobDetails_AdditionalInformation_SchoolType = comExcelWorksheet.Range("JobDetails_AdditionalInformation_SchoolType").Row</v>
      </c>
      <c r="E48" s="98" t="str">
        <f t="shared" si="6"/>
        <v>strJobDetails_AdditionalInformation_SchoolType = comExcelWorksheet.Cells(intRowJobDetails_AdditionalInformation_SchoolType, intColTestColumn).Value</v>
      </c>
      <c r="F48" t="str">
        <f t="shared" si="7"/>
        <v>Public Property Get getJobDetails_AdditionalInformation_SchoolType() : getJobDetails_AdditionalInformation_SchoolType = strJobDetails_AdditionalInformation_SchoolType : End Property</v>
      </c>
    </row>
    <row r="49" spans="1:6" x14ac:dyDescent="0.35">
      <c r="A49" t="str">
        <f>Test_Data!D47</f>
        <v>JobDetails_AdditionalInformation_SchoolStartDate</v>
      </c>
      <c r="B49" t="str">
        <f t="shared" si="3"/>
        <v>Private intRowJobDetails_AdditionalInformation_SchoolStartDate</v>
      </c>
      <c r="C49" t="str">
        <f t="shared" si="4"/>
        <v>Private strJobDetails_AdditionalInformation_SchoolStartDate</v>
      </c>
      <c r="D49" s="98" t="str">
        <f t="shared" si="5"/>
        <v>intRowJobDetails_AdditionalInformation_SchoolStartDate = comExcelWorksheet.Range("JobDetails_AdditionalInformation_SchoolStartDate").Row</v>
      </c>
      <c r="E49" s="98" t="str">
        <f t="shared" si="6"/>
        <v>strJobDetails_AdditionalInformation_SchoolStartDate = comExcelWorksheet.Cells(intRowJobDetails_AdditionalInformation_SchoolStartDate, intColTestColumn).Value</v>
      </c>
      <c r="F49" t="str">
        <f t="shared" si="7"/>
        <v>Public Property Get getJobDetails_AdditionalInformation_SchoolStartDate() : getJobDetails_AdditionalInformation_SchoolStartDate = strJobDetails_AdditionalInformation_SchoolStartDate : End Property</v>
      </c>
    </row>
    <row r="50" spans="1:6" x14ac:dyDescent="0.35">
      <c r="A50" t="str">
        <f>Test_Data!D53</f>
        <v>ChangeOrganizationAssignments_Comments</v>
      </c>
      <c r="B50" t="str">
        <f t="shared" si="3"/>
        <v>Private intRowChangeOrganizationAssignments_Comments</v>
      </c>
      <c r="C50" t="str">
        <f t="shared" si="4"/>
        <v>Private strChangeOrganizationAssignments_Comments</v>
      </c>
      <c r="D50" s="98" t="str">
        <f t="shared" si="5"/>
        <v>intRowChangeOrganizationAssignments_Comments = comExcelWorksheet.Range("ChangeOrganizationAssignments_Comments").Row</v>
      </c>
      <c r="E50" s="98" t="str">
        <f t="shared" si="6"/>
        <v>strChangeOrganizationAssignments_Comments = comExcelWorksheet.Cells(intRowChangeOrganizationAssignments_Comments, intColTestColumn).Value</v>
      </c>
      <c r="F50" t="str">
        <f t="shared" si="7"/>
        <v>Public Property Get getChangeOrganizationAssignments_Comments() : getChangeOrganizationAssignments_Comments = strChangeOrganizationAssignments_Comments : End Property</v>
      </c>
    </row>
    <row r="51" spans="1:6" x14ac:dyDescent="0.35">
      <c r="A51" t="str">
        <f>Test_Data!D54</f>
        <v>ChangeOrganizationAssignments_ContractType</v>
      </c>
      <c r="B51" t="str">
        <f t="shared" si="3"/>
        <v>Private intRowChangeOrganizationAssignments_ContractType</v>
      </c>
      <c r="C51" t="str">
        <f t="shared" si="4"/>
        <v>Private strChangeOrganizationAssignments_ContractType</v>
      </c>
      <c r="D51" s="98" t="str">
        <f t="shared" si="5"/>
        <v>intRowChangeOrganizationAssignments_ContractType = comExcelWorksheet.Range("ChangeOrganizationAssignments_ContractType").Row</v>
      </c>
      <c r="E51" s="98" t="str">
        <f t="shared" si="6"/>
        <v>strChangeOrganizationAssignments_ContractType = comExcelWorksheet.Cells(intRowChangeOrganizationAssignments_ContractType, intColTestColumn).Value</v>
      </c>
      <c r="F51" t="str">
        <f t="shared" si="7"/>
        <v>Public Property Get getChangeOrganizationAssignments_ContractType() : getChangeOrganizationAssignments_ContractType = strChangeOrganizationAssignments_ContractType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e">
        <f>Test_Data!#REF!</f>
        <v>#REF!</v>
      </c>
      <c r="B53" t="e">
        <f t="shared" si="3"/>
        <v>#REF!</v>
      </c>
      <c r="C53" t="e">
        <f t="shared" si="4"/>
        <v>#REF!</v>
      </c>
      <c r="D53" s="98" t="e">
        <f t="shared" si="5"/>
        <v>#REF!</v>
      </c>
      <c r="E53" s="98" t="e">
        <f t="shared" si="6"/>
        <v>#REF!</v>
      </c>
      <c r="F53" t="e">
        <f t="shared" si="7"/>
        <v>#REF!</v>
      </c>
    </row>
    <row r="54" spans="1:6" x14ac:dyDescent="0.35">
      <c r="A54" t="str">
        <f>Test_Data!D55</f>
        <v>ChangeMyGovernmentIDs_NationalIDs_Status</v>
      </c>
      <c r="B54" t="str">
        <f t="shared" si="3"/>
        <v>Private intRowChangeMyGovernmentIDs_NationalIDs_Status</v>
      </c>
      <c r="C54" t="str">
        <f t="shared" si="4"/>
        <v>Private strChangeMyGovernmentIDs_NationalIDs_Status</v>
      </c>
      <c r="D54" s="98" t="str">
        <f t="shared" si="5"/>
        <v>intRowChangeMyGovernmentIDs_NationalIDs_Status = comExcelWorksheet.Range("ChangeMyGovernmentIDs_NationalIDs_Status").Row</v>
      </c>
      <c r="E54" s="98" t="str">
        <f t="shared" si="6"/>
        <v>strChangeMyGovernmentIDs_NationalIDs_Status = comExcelWorksheet.Cells(intRowChangeMyGovernmentIDs_NationalIDs_Status, intColTestColumn).Value</v>
      </c>
      <c r="F54" t="str">
        <f t="shared" si="7"/>
        <v>Public Property Get getChangeMyGovernmentIDs_NationalIDs_Status() : getChangeMyGovernmentIDs_NationalIDs_Status = strChangeMyGovernmentIDs_NationalIDs_Status : End Property</v>
      </c>
    </row>
    <row r="55" spans="1:6" x14ac:dyDescent="0.35">
      <c r="A55" t="str">
        <f>Test_Data!D56</f>
        <v>ChangeMyGovernmentIDs_NationalIDs_DateEmployeeSigned</v>
      </c>
      <c r="B55" t="str">
        <f t="shared" si="3"/>
        <v>Private intRowChangeMyGovernmentIDs_NationalIDs_DateEmployeeSigned</v>
      </c>
      <c r="C55" t="str">
        <f t="shared" si="4"/>
        <v>Private strChangeMyGovernmentIDs_NationalIDs_DateEmployeeSigned</v>
      </c>
      <c r="D55" s="98" t="str">
        <f t="shared" si="5"/>
        <v>intRowChangeMyGovernmentIDs_NationalIDs_DateEmployeeSigned = comExcelWorksheet.Range("ChangeMyGovernmentIDs_NationalIDs_DateEmployeeSigned").Row</v>
      </c>
      <c r="E55" s="98" t="str">
        <f t="shared" si="6"/>
        <v>strChangeMyGovernmentIDs_NationalIDs_DateEmployeeSigned = comExcelWorksheet.Cells(intRowChangeMyGovernmentIDs_NationalIDs_DateEmployeeSigned, intColTestColumn).Value</v>
      </c>
      <c r="F55" t="str">
        <f t="shared" si="7"/>
        <v>Public Property Get getChangeMyGovernmentIDs_NationalIDs_DateEmployeeSigned() : getChangeMyGovernmentIDs_NationalIDs_DateEmployeeSigned = strChangeMyGovernmentIDs_NationalIDs_DateEmployeeSigned : End Property</v>
      </c>
    </row>
    <row r="56" spans="1:6" x14ac:dyDescent="0.35">
      <c r="A56" t="str">
        <f>Test_Data!D57</f>
        <v>ChangeMyGovernmentIDs_NationalIDs_DateEmployerSigned</v>
      </c>
      <c r="B56" t="str">
        <f t="shared" si="3"/>
        <v>Private intRowChangeMyGovernmentIDs_NationalIDs_DateEmployerSigned</v>
      </c>
      <c r="C56" t="str">
        <f t="shared" si="4"/>
        <v>Private strChangeMyGovernmentIDs_NationalIDs_DateEmployerSigned</v>
      </c>
      <c r="D56" s="98" t="str">
        <f t="shared" si="5"/>
        <v>intRowChangeMyGovernmentIDs_NationalIDs_DateEmployerSigned = comExcelWorksheet.Range("ChangeMyGovernmentIDs_NationalIDs_DateEmployerSigned").Row</v>
      </c>
      <c r="E56" s="98" t="str">
        <f t="shared" si="6"/>
        <v>strChangeMyGovernmentIDs_NationalIDs_DateEmployerSigned = comExcelWorksheet.Cells(intRowChangeMyGovernmentIDs_NationalIDs_DateEmployerSigned, intColTestColumn).Value</v>
      </c>
      <c r="F56" t="str">
        <f t="shared" si="7"/>
        <v>Public Property Get getChangeMyGovernmentIDs_NationalIDs_DateEmployerSigned() : getChangeMyGovernmentIDs_NationalIDs_DateEmployerSigned = strChangeMyGovernmentIDs_NationalIDs_DateEmployerSigned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Test_Data!D58</f>
        <v>ChangeMyPersonalInformation_ContractEndDate</v>
      </c>
      <c r="B61" t="str">
        <f t="shared" si="3"/>
        <v>Private intRowChangeMyPersonalInformation_ContractEndDate</v>
      </c>
      <c r="C61" t="str">
        <f t="shared" si="4"/>
        <v>Private strChangeMyPersonalInformation_ContractEndDate</v>
      </c>
      <c r="D61" s="98" t="str">
        <f t="shared" si="5"/>
        <v>intRowChangeMyPersonalInformation_ContractEndDate = comExcelWorksheet.Range("ChangeMyPersonalInformation_ContractEndDate").Row</v>
      </c>
      <c r="E61" s="98" t="str">
        <f t="shared" si="6"/>
        <v>strChangeMyPersonalInformation_ContractEndDate = comExcelWorksheet.Cells(intRowChangeMyPersonalInformation_ContractEndDate, intColTestColumn).Value</v>
      </c>
      <c r="F61" t="str">
        <f t="shared" si="7"/>
        <v>Public Property Get getChangeMyPersonalInformation_ContractEndDate() : getChangeMyPersonalInformation_ContractEndDate = strChangeMyPersonalInformation_ContractEndDate : End Property</v>
      </c>
    </row>
    <row r="62" spans="1:6" x14ac:dyDescent="0.35">
      <c r="A62" t="str">
        <f>Test_Data!D59</f>
        <v>ChangeMyPersonalInformation_CostCenter</v>
      </c>
      <c r="B62" t="str">
        <f t="shared" si="3"/>
        <v>Private intRowChangeMyPersonalInformation_CostCenter</v>
      </c>
      <c r="C62" t="str">
        <f t="shared" si="4"/>
        <v>Private strChangeMyPersonalInformation_CostCenter</v>
      </c>
      <c r="D62" s="98" t="str">
        <f t="shared" si="5"/>
        <v>intRowChangeMyPersonalInformation_CostCenter = comExcelWorksheet.Range("ChangeMyPersonalInformation_CostCenter").Row</v>
      </c>
      <c r="E62" s="98" t="str">
        <f t="shared" si="6"/>
        <v>strChangeMyPersonalInformation_CostCenter = comExcelWorksheet.Cells(intRowChangeMyPersonalInformation_CostCenter, intColTestColumn).Value</v>
      </c>
      <c r="F62" t="str">
        <f t="shared" si="7"/>
        <v>Public Property Get getChangeMyPersonalInformation_CostCenter() : getChangeMyPersonalInformation_CostCenter = strChangeMyPersonalInformation_CostCenter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str">
        <f>Test_Data!D68</f>
        <v>ProposeCompensationHire_NationalIDType1</v>
      </c>
      <c r="B73" t="str">
        <f t="shared" si="8"/>
        <v>Private intRowProposeCompensationHire_NationalIDType1</v>
      </c>
      <c r="C73" t="str">
        <f t="shared" si="11"/>
        <v>Private strProposeCompensationHire_NationalIDType1</v>
      </c>
      <c r="D73" s="98" t="str">
        <f t="shared" si="9"/>
        <v>intRowProposeCompensationHire_NationalIDType1 = comExcelWorksheet.Range("ProposeCompensationHire_NationalIDType1").Row</v>
      </c>
      <c r="E73" s="98" t="str">
        <f t="shared" si="12"/>
        <v>strProposeCompensationHire_NationalIDType1 = comExcelWorksheet.Cells(intRowProposeCompensationHire_NationalIDType1, intColTestColumn).Value</v>
      </c>
      <c r="F73" t="str">
        <f t="shared" si="10"/>
        <v>Public Property Get getProposeCompensationHire_NationalIDType1() : getProposeCompensationHire_NationalIDType1 = strProposeCompensationHire_NationalIDType1 : End Property</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Test_Data!D70</f>
        <v>AssignPayGroup_Country2</v>
      </c>
      <c r="B92" t="str">
        <f>"Private intRow" &amp; A92</f>
        <v>Private intRowAssignPayGroup_Country2</v>
      </c>
      <c r="C92" t="str">
        <f>"Private str" &amp; A92</f>
        <v>Private strAssignPayGroup_Country2</v>
      </c>
      <c r="D92" s="98" t="str">
        <f>"intRow" &amp; A92 &amp; " = comExcelWorksheet.Range(""" &amp; A92 &amp; """).Row"</f>
        <v>intRowAssignPayGroup_Country2 = comExcelWorksheet.Range("AssignPayGroup_Country2").Row</v>
      </c>
      <c r="E92" s="98" t="str">
        <f>"str" &amp; A92 &amp; " = comExcelWorksheet.Cells(intRow" &amp; A92 &amp; ", intColTestColumn).Value"</f>
        <v>strAssignPayGroup_Country2 = comExcelWorksheet.Cells(intRowAssignPayGroup_Country2, intColTestColumn).Value</v>
      </c>
      <c r="F92" t="str">
        <f>"Public Property Get get" &amp; A92 &amp; "() : get" &amp;Code_Ranjeeta!A92 &amp; " = str" &amp; A92 &amp; " : End Property"</f>
        <v>Public Property Get getAssignPayGroup_Country2() : getAssignPayGroup_Country2 = strAssignPayGroup_Country2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1163</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98" bestFit="1" customWidth="1"/>
    <col min="7" max="7" width="171.54296875" style="98" bestFit="1" customWidth="1"/>
    <col min="8" max="8" width="211.54296875" customWidth="1"/>
  </cols>
  <sheetData>
    <row r="1" spans="1:8" ht="74.25" customHeight="1" thickBot="1" x14ac:dyDescent="0.5">
      <c r="A1" s="5"/>
      <c r="B1" s="5" t="s">
        <v>285</v>
      </c>
      <c r="C1" s="5" t="s">
        <v>286</v>
      </c>
      <c r="D1" s="5" t="s">
        <v>287</v>
      </c>
      <c r="E1" s="5" t="s">
        <v>288</v>
      </c>
      <c r="F1" s="99" t="s">
        <v>289</v>
      </c>
      <c r="G1" s="99" t="s">
        <v>290</v>
      </c>
      <c r="H1" s="31" t="s">
        <v>291</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e">
        <f>Test_Data!#REF!</f>
        <v>#REF!</v>
      </c>
      <c r="B14" t="e">
        <f t="shared" si="0"/>
        <v>#REF!</v>
      </c>
      <c r="C14" t="e">
        <f t="shared" si="4"/>
        <v>#REF!</v>
      </c>
      <c r="D14" t="e">
        <f t="shared" si="1"/>
        <v>#REF!</v>
      </c>
      <c r="E14" t="e">
        <f t="shared" si="5"/>
        <v>#REF!</v>
      </c>
      <c r="F14" s="98" t="e">
        <f t="shared" si="2"/>
        <v>#REF!</v>
      </c>
      <c r="G14" s="98" t="e">
        <f t="shared" si="6"/>
        <v>#REF!</v>
      </c>
      <c r="H14" t="e">
        <f t="shared" si="3"/>
        <v>#REF!</v>
      </c>
    </row>
    <row r="15" spans="1:8" x14ac:dyDescent="0.35">
      <c r="A15" t="e">
        <f>Test_Data!#REF!</f>
        <v>#REF!</v>
      </c>
      <c r="B15" t="e">
        <f t="shared" si="0"/>
        <v>#REF!</v>
      </c>
      <c r="C15" t="e">
        <f t="shared" si="4"/>
        <v>#REF!</v>
      </c>
      <c r="D15" t="e">
        <f t="shared" si="1"/>
        <v>#REF!</v>
      </c>
      <c r="E15" t="e">
        <f t="shared" si="5"/>
        <v>#REF!</v>
      </c>
      <c r="F15" s="98" t="e">
        <f t="shared" si="2"/>
        <v>#REF!</v>
      </c>
      <c r="G15" s="98" t="e">
        <f t="shared" si="6"/>
        <v>#REF!</v>
      </c>
      <c r="H15" t="e">
        <f t="shared" si="3"/>
        <v>#REF!</v>
      </c>
    </row>
    <row r="16" spans="1:8" x14ac:dyDescent="0.35">
      <c r="A16" t="str">
        <f>Test_Data!D15</f>
        <v>SupervisoryOrganisation_SupervisoryOrganisation</v>
      </c>
      <c r="B16" t="str">
        <f t="shared" si="0"/>
        <v xml:space="preserve">intRowSupervisoryOrganisation_SupervisoryOrganisation, </v>
      </c>
      <c r="C16" t="e">
        <f t="shared" si="4"/>
        <v>#REF!</v>
      </c>
      <c r="D16" t="str">
        <f t="shared" si="1"/>
        <v xml:space="preserve">strSupervisoryOrganisation_SupervisoryOrganisation, </v>
      </c>
      <c r="E16" t="e">
        <f t="shared" si="5"/>
        <v>#REF!</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Test_Data!D16</f>
        <v>LegalNameInformation_Country</v>
      </c>
      <c r="B17" t="str">
        <f t="shared" si="0"/>
        <v xml:space="preserve">intRowLegalNameInformation_Country, </v>
      </c>
      <c r="C17" t="e">
        <f t="shared" si="4"/>
        <v>#REF!</v>
      </c>
      <c r="D17" t="str">
        <f t="shared" si="1"/>
        <v xml:space="preserve">strLegalNameInformation_Country, </v>
      </c>
      <c r="E17" t="e">
        <f t="shared" si="5"/>
        <v>#REF!</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Test_Data!D18</f>
        <v>LegalNameInformation_GivenName</v>
      </c>
      <c r="B18" t="str">
        <f t="shared" si="0"/>
        <v xml:space="preserve">intRowLegalNameInformation_GivenName, </v>
      </c>
      <c r="C18" t="e">
        <f t="shared" si="4"/>
        <v>#REF!</v>
      </c>
      <c r="D18" t="str">
        <f t="shared" si="1"/>
        <v xml:space="preserve">strLegalNameInformation_GivenName, </v>
      </c>
      <c r="E18" t="e">
        <f t="shared" si="5"/>
        <v>#REF!</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Test_Data!D19</f>
        <v>LegalNameInformation_FamilyName</v>
      </c>
      <c r="B19" t="str">
        <f t="shared" si="0"/>
        <v xml:space="preserve">intRowLegalNameInformation_FamilyName, </v>
      </c>
      <c r="C19" t="e">
        <f t="shared" si="4"/>
        <v>#REF!</v>
      </c>
      <c r="D19" t="str">
        <f t="shared" si="1"/>
        <v xml:space="preserve">strLegalNameInformation_FamilyName, </v>
      </c>
      <c r="E19" t="e">
        <f t="shared" si="5"/>
        <v>#REF!</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Test_Data!D20</f>
        <v>ContactInformation_Phone_PhoneNumber</v>
      </c>
      <c r="B20" t="str">
        <f t="shared" si="0"/>
        <v xml:space="preserve">intRowContactInformation_Phone_PhoneNumber, </v>
      </c>
      <c r="C20" t="e">
        <f t="shared" si="4"/>
        <v>#REF!</v>
      </c>
      <c r="D20" t="str">
        <f t="shared" si="1"/>
        <v xml:space="preserve">strContactInformation_Phone_PhoneNumber, </v>
      </c>
      <c r="E20" t="e">
        <f t="shared" si="5"/>
        <v>#REF!</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Test_Data!D21</f>
        <v>ContactInformation_Phone_PhoneDevice</v>
      </c>
      <c r="B21" t="str">
        <f t="shared" si="0"/>
        <v xml:space="preserve">intRowContactInformation_Phone_PhoneDevice, </v>
      </c>
      <c r="C21" t="e">
        <f t="shared" si="4"/>
        <v>#REF!</v>
      </c>
      <c r="D21" t="str">
        <f t="shared" si="1"/>
        <v xml:space="preserve">strContactInformation_Phone_PhoneDevice, </v>
      </c>
      <c r="E21" t="e">
        <f t="shared" si="5"/>
        <v>#REF!</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Test_Data!D22</f>
        <v>ContactInformation_Phone_Type</v>
      </c>
      <c r="B22" t="str">
        <f t="shared" si="0"/>
        <v xml:space="preserve">intRowContactInformation_Phone_Type, </v>
      </c>
      <c r="C22" t="e">
        <f t="shared" si="4"/>
        <v>#REF!</v>
      </c>
      <c r="D22" t="str">
        <f t="shared" si="1"/>
        <v xml:space="preserve">strContactInformation_Phone_Type, </v>
      </c>
      <c r="E22" t="e">
        <f t="shared" si="5"/>
        <v>#REF!</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Test_Data!D23</f>
        <v>ContactInformation_Address_EffectiveDate</v>
      </c>
      <c r="B23" t="str">
        <f t="shared" si="0"/>
        <v xml:space="preserve">intRowContactInformation_Address_EffectiveDate, </v>
      </c>
      <c r="C23" t="e">
        <f t="shared" si="4"/>
        <v>#REF!</v>
      </c>
      <c r="D23" t="str">
        <f t="shared" si="1"/>
        <v xml:space="preserve">strContactInformation_Address_EffectiveDate, </v>
      </c>
      <c r="E23" t="e">
        <f t="shared" si="5"/>
        <v>#REF!</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Test_Data!D24</f>
        <v>ContactInformation_Address_Country</v>
      </c>
      <c r="B24" t="str">
        <f t="shared" si="0"/>
        <v xml:space="preserve">intRowContactInformation_Address_Country, </v>
      </c>
      <c r="C24" t="e">
        <f t="shared" si="4"/>
        <v>#REF!</v>
      </c>
      <c r="D24" t="str">
        <f t="shared" si="1"/>
        <v xml:space="preserve">strContactInformation_Address_Country, </v>
      </c>
      <c r="E24" t="e">
        <f t="shared" si="5"/>
        <v>#REF!</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str">
        <f>Test_Data!D27</f>
        <v>ContactInformation_Address_PostalCode</v>
      </c>
      <c r="B27" t="str">
        <f t="shared" si="0"/>
        <v xml:space="preserve">intRowContactInformation_Address_PostalCode, </v>
      </c>
      <c r="C27" t="e">
        <f t="shared" si="4"/>
        <v>#REF!</v>
      </c>
      <c r="D27" t="str">
        <f t="shared" si="1"/>
        <v xml:space="preserve">strContactInformation_Address_PostalCode, </v>
      </c>
      <c r="E27" t="e">
        <f t="shared" si="5"/>
        <v>#REF!</v>
      </c>
      <c r="F27" s="98" t="str">
        <f t="shared" si="2"/>
        <v>intRowContactInformation_Address_PostalCode = comExcelWorksheet.Range("ContactInformation_Address_PostalCode").Row</v>
      </c>
      <c r="G27" s="98" t="str">
        <f t="shared" si="6"/>
        <v>strContactInformation_Address_PostalCode = comExcelWorksheet.Cells(intRowContactInformation_Address_PostalCode, intColTestColumn).Value</v>
      </c>
      <c r="H27" t="str">
        <f t="shared" si="3"/>
        <v>Public Property Get getContactInformation_Address_PostalCode() : getContactInformation_Address_PostalCode = strContactInformation_Address_PostalCode : End Property</v>
      </c>
    </row>
    <row r="28" spans="1:8" x14ac:dyDescent="0.35">
      <c r="A28" t="str">
        <f>Test_Data!D30</f>
        <v>ContactInformation_Address_Municipality</v>
      </c>
      <c r="B28" t="str">
        <f t="shared" si="0"/>
        <v xml:space="preserve">intRowContactInformation_Address_Municipality, </v>
      </c>
      <c r="C28" t="e">
        <f t="shared" si="4"/>
        <v>#REF!</v>
      </c>
      <c r="D28" t="str">
        <f t="shared" si="1"/>
        <v xml:space="preserve">strContactInformation_Address_Municipality, </v>
      </c>
      <c r="E28" t="e">
        <f t="shared" si="5"/>
        <v>#REF!</v>
      </c>
      <c r="F28" s="98" t="str">
        <f t="shared" si="2"/>
        <v>intRowContactInformation_Address_Municipality = comExcelWorksheet.Range("ContactInformation_Address_Municipality").Row</v>
      </c>
      <c r="G28" s="98" t="str">
        <f t="shared" si="6"/>
        <v>strContactInformation_Address_Municipality = comExcelWorksheet.Cells(intRowContactInformation_Address_Municipality, intColTestColumn).Value</v>
      </c>
      <c r="H28" t="str">
        <f t="shared" si="3"/>
        <v>Public Property Get getContactInformation_Address_Municipality() : getContactInformation_Address_Municipality = strContactInformation_Address_Municipality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Test_Data!D31</f>
        <v>ContactInformation_Address_District</v>
      </c>
      <c r="B30" t="str">
        <f t="shared" si="0"/>
        <v xml:space="preserve">intRowContactInformation_Address_District, </v>
      </c>
      <c r="C30" t="e">
        <f t="shared" si="4"/>
        <v>#REF!</v>
      </c>
      <c r="D30" t="str">
        <f t="shared" si="1"/>
        <v xml:space="preserve">strContactInformation_Address_District, </v>
      </c>
      <c r="E30" t="e">
        <f t="shared" si="5"/>
        <v>#REF!</v>
      </c>
      <c r="F30" s="98" t="str">
        <f t="shared" si="2"/>
        <v>intRowContactInformation_Address_District = comExcelWorksheet.Range("ContactInformation_Address_District").Row</v>
      </c>
      <c r="G30" s="98" t="str">
        <f t="shared" si="6"/>
        <v>strContactInformation_Address_District = comExcelWorksheet.Cells(intRowContactInformation_Address_District, intColTestColumn).Value</v>
      </c>
      <c r="H30" t="str">
        <f t="shared" si="3"/>
        <v>Public Property Get getContactInformation_Address_District() : getContactInformation_Address_District = strContactInformation_Address_District : End Property</v>
      </c>
    </row>
    <row r="31" spans="1:8" x14ac:dyDescent="0.35">
      <c r="A31" t="str">
        <f>Test_Data!D32</f>
        <v>ContactInformation_Address_Type</v>
      </c>
      <c r="B31" t="str">
        <f t="shared" si="0"/>
        <v xml:space="preserve">intRowContactInformation_Address_Type, </v>
      </c>
      <c r="C31" t="e">
        <f t="shared" si="4"/>
        <v>#REF!</v>
      </c>
      <c r="D31" t="str">
        <f t="shared" si="1"/>
        <v xml:space="preserve">strContactInformation_Address_Type, </v>
      </c>
      <c r="E31" t="e">
        <f t="shared" si="5"/>
        <v>#REF!</v>
      </c>
      <c r="F31" s="98" t="str">
        <f t="shared" si="2"/>
        <v>intRowContactInformation_Address_Type = comExcelWorksheet.Range("ContactInformation_Address_Type").Row</v>
      </c>
      <c r="G31" s="98" t="str">
        <f t="shared" si="6"/>
        <v>strContactInformation_Address_Type = comExcelWorksheet.Cells(intRowContactInformation_Address_Type, intColTestColumn).Value</v>
      </c>
      <c r="H31" t="str">
        <f t="shared" si="3"/>
        <v>Public Property Get getContactInformation_Address_Type() : getContactInformation_Address_Type = strContactInformation_Address_Type : End Property</v>
      </c>
    </row>
    <row r="32" spans="1:8" x14ac:dyDescent="0.35">
      <c r="A32" t="str">
        <f>Test_Data!D33</f>
        <v>ContactInformation_Email_UseFor</v>
      </c>
      <c r="B32" t="str">
        <f t="shared" si="0"/>
        <v xml:space="preserve">intRowContactInformation_Email_UseFor, </v>
      </c>
      <c r="C32" t="e">
        <f t="shared" si="4"/>
        <v>#REF!</v>
      </c>
      <c r="D32" t="str">
        <f t="shared" si="1"/>
        <v xml:space="preserve">strContactInformation_Email_UseFor, </v>
      </c>
      <c r="E32" t="e">
        <f t="shared" si="5"/>
        <v>#REF!</v>
      </c>
      <c r="F32" s="98" t="str">
        <f t="shared" si="2"/>
        <v>intRowContactInformation_Email_UseFor = comExcelWorksheet.Range("ContactInformation_Email_UseFor").Row</v>
      </c>
      <c r="G32" s="98" t="str">
        <f t="shared" si="6"/>
        <v>strContactInformation_Email_UseFor = comExcelWorksheet.Cells(intRowContactInformation_Email_UseFor, intColTestColumn).Value</v>
      </c>
      <c r="H32" t="str">
        <f t="shared" si="3"/>
        <v>Public Property Get getContactInformation_Email_UseFor() : getContactInformation_Email_UseFor = strContactInformation_Email_UseFor : End Property</v>
      </c>
    </row>
    <row r="33" spans="1:8" x14ac:dyDescent="0.35">
      <c r="A33" t="str">
        <f>Test_Data!D34</f>
        <v>ContactInformation_Email_EmailAddress</v>
      </c>
      <c r="B33" t="str">
        <f t="shared" si="0"/>
        <v xml:space="preserve">intRowContactInformation_Email_EmailAddress, </v>
      </c>
      <c r="C33" t="e">
        <f t="shared" si="4"/>
        <v>#REF!</v>
      </c>
      <c r="D33" t="str">
        <f t="shared" si="1"/>
        <v xml:space="preserve">strContactInformation_Email_EmailAddress, </v>
      </c>
      <c r="E33" t="e">
        <f t="shared" si="5"/>
        <v>#REF!</v>
      </c>
      <c r="F33" s="98" t="str">
        <f t="shared" si="2"/>
        <v>intRowContactInformation_Email_EmailAddress = comExcelWorksheet.Range("ContactInformation_Email_EmailAddress").Row</v>
      </c>
      <c r="G33" s="98" t="str">
        <f t="shared" si="6"/>
        <v>strContactInformation_Email_EmailAddress = comExcelWorksheet.Cells(intRowContactInformation_Email_EmailAddress, intColTestColumn).Value</v>
      </c>
      <c r="H33" t="str">
        <f t="shared" si="3"/>
        <v>Public Property Get getContactInformation_Email_EmailAddress() : getContactInformation_Email_EmailAddress = strContactInformation_Email_EmailAddress : End Property</v>
      </c>
    </row>
    <row r="34" spans="1:8" x14ac:dyDescent="0.35">
      <c r="A34" t="str">
        <f>Test_Data!D35</f>
        <v>JobDetails_Type</v>
      </c>
      <c r="B34" t="str">
        <f t="shared" si="0"/>
        <v xml:space="preserve">intRowJobDetails_Type, </v>
      </c>
      <c r="C34" t="e">
        <f t="shared" si="4"/>
        <v>#REF!</v>
      </c>
      <c r="D34" t="str">
        <f t="shared" si="1"/>
        <v xml:space="preserve">strJobDetails_Type, </v>
      </c>
      <c r="E34" t="e">
        <f t="shared" si="5"/>
        <v>#REF!</v>
      </c>
      <c r="F34" s="98" t="str">
        <f t="shared" si="2"/>
        <v>intRowJobDetails_Type = comExcelWorksheet.Range("JobDetails_Type").Row</v>
      </c>
      <c r="G34" s="98" t="str">
        <f t="shared" si="6"/>
        <v>strJobDetails_Type = comExcelWorksheet.Cells(intRowJobDetails_Type, intColTestColumn).Value</v>
      </c>
      <c r="H34" t="str">
        <f t="shared" si="3"/>
        <v>Public Property Get getJobDetails_Type() : getJobDetails_Type = strJobDetails_Type : End Property</v>
      </c>
    </row>
    <row r="35" spans="1:8" x14ac:dyDescent="0.35">
      <c r="A35" t="str">
        <f>Test_Data!D36</f>
        <v>JobDetails_HireDate</v>
      </c>
      <c r="B35" t="str">
        <f t="shared" si="0"/>
        <v xml:space="preserve">intRowJobDetails_HireDate, </v>
      </c>
      <c r="C35" t="e">
        <f t="shared" si="4"/>
        <v>#REF!</v>
      </c>
      <c r="D35" t="str">
        <f t="shared" si="1"/>
        <v xml:space="preserve">strJobDetails_HireDate, </v>
      </c>
      <c r="E35" t="e">
        <f t="shared" si="5"/>
        <v>#REF!</v>
      </c>
      <c r="F35" s="98" t="str">
        <f t="shared" si="2"/>
        <v>intRowJobDetails_HireDate = comExcelWorksheet.Range("JobDetails_HireDate").Row</v>
      </c>
      <c r="G35" s="98" t="str">
        <f t="shared" si="6"/>
        <v>strJobDetails_HireDate = comExcelWorksheet.Cells(intRowJobDetails_HireDate, intColTestColumn).Value</v>
      </c>
      <c r="H35" t="str">
        <f t="shared" si="3"/>
        <v>Public Property Get getJobDetails_HireDate() : getJobDetails_HireDate = strJobDetails_HireDate : End Property</v>
      </c>
    </row>
    <row r="36" spans="1:8" x14ac:dyDescent="0.35">
      <c r="A36" t="str">
        <f>Test_Data!D37</f>
        <v>JobDetails_Reason</v>
      </c>
      <c r="B36" t="str">
        <f t="shared" si="0"/>
        <v xml:space="preserve">intRowJobDetails_Reason, </v>
      </c>
      <c r="C36" t="e">
        <f t="shared" si="4"/>
        <v>#REF!</v>
      </c>
      <c r="D36" t="str">
        <f t="shared" si="1"/>
        <v xml:space="preserve">strJobDetails_Reason, </v>
      </c>
      <c r="E36" t="e">
        <f t="shared" si="5"/>
        <v>#REF!</v>
      </c>
      <c r="F36" s="98" t="str">
        <f t="shared" si="2"/>
        <v>intRowJobDetails_Reason = comExcelWorksheet.Range("JobDetails_Reason").Row</v>
      </c>
      <c r="G36" s="98" t="str">
        <f t="shared" si="6"/>
        <v>strJobDetails_Reason = comExcelWorksheet.Cells(intRowJobDetails_Reason, intColTestColumn).Value</v>
      </c>
      <c r="H36" t="str">
        <f t="shared" si="3"/>
        <v>Public Property Get getJobDetails_Reason() : getJobDetails_Reason = strJobDetails_Reason : End Property</v>
      </c>
    </row>
    <row r="37" spans="1:8" x14ac:dyDescent="0.35">
      <c r="A37" t="str">
        <f>Test_Data!D38</f>
        <v>JobDetails_Position</v>
      </c>
      <c r="B37" t="str">
        <f t="shared" si="0"/>
        <v xml:space="preserve">intRowJobDetails_Position, </v>
      </c>
      <c r="C37" t="e">
        <f t="shared" si="4"/>
        <v>#REF!</v>
      </c>
      <c r="D37" t="str">
        <f t="shared" si="1"/>
        <v xml:space="preserve">strJobDetails_Position, </v>
      </c>
      <c r="E37" t="e">
        <f t="shared" si="5"/>
        <v>#REF!</v>
      </c>
      <c r="F37" s="98" t="str">
        <f t="shared" si="2"/>
        <v>intRowJobDetails_Position = comExcelWorksheet.Range("JobDetails_Position").Row</v>
      </c>
      <c r="G37" s="98" t="str">
        <f t="shared" si="6"/>
        <v>strJobDetails_Position = comExcelWorksheet.Cells(intRowJobDetails_Position, intColTestColumn).Value</v>
      </c>
      <c r="H37" t="str">
        <f t="shared" si="3"/>
        <v>Public Property Get getJobDetails_Position() : getJobDetails_Position = strJobDetails_Position : End Property</v>
      </c>
    </row>
    <row r="38" spans="1:8" x14ac:dyDescent="0.35">
      <c r="A38" t="str">
        <f>Test_Data!D39</f>
        <v>JobDetails_EmployeeType</v>
      </c>
      <c r="B38" t="str">
        <f t="shared" si="0"/>
        <v xml:space="preserve">intRowJobDetails_EmployeeType, </v>
      </c>
      <c r="C38" t="e">
        <f t="shared" si="4"/>
        <v>#REF!</v>
      </c>
      <c r="D38" t="str">
        <f t="shared" si="1"/>
        <v xml:space="preserve">strJobDetails_EmployeeType, </v>
      </c>
      <c r="E38" t="e">
        <f t="shared" si="5"/>
        <v>#REF!</v>
      </c>
      <c r="F38" s="98" t="str">
        <f t="shared" si="2"/>
        <v>intRowJobDetails_EmployeeType = comExcelWorksheet.Range("JobDetails_EmployeeType").Row</v>
      </c>
      <c r="G38" s="98" t="str">
        <f t="shared" si="6"/>
        <v>strJobDetails_EmployeeType = comExcelWorksheet.Cells(intRowJobDetails_EmployeeType, intColTestColumn).Value</v>
      </c>
      <c r="H38" t="str">
        <f t="shared" si="3"/>
        <v>Public Property Get getJobDetails_EmployeeType() : getJobDetails_EmployeeType = strJobDetails_EmployeeType : End Property</v>
      </c>
    </row>
    <row r="39" spans="1:8" x14ac:dyDescent="0.35">
      <c r="A39" t="str">
        <f>Test_Data!D40</f>
        <v>JobDetails_JobProfile</v>
      </c>
      <c r="B39" t="str">
        <f t="shared" si="0"/>
        <v xml:space="preserve">intRowJobDetails_JobProfile, </v>
      </c>
      <c r="C39" t="e">
        <f t="shared" si="4"/>
        <v>#REF!</v>
      </c>
      <c r="D39" t="str">
        <f t="shared" si="1"/>
        <v xml:space="preserve">strJobDetails_JobProfile, </v>
      </c>
      <c r="E39" t="e">
        <f t="shared" si="5"/>
        <v>#REF!</v>
      </c>
      <c r="F39" s="98" t="str">
        <f t="shared" si="2"/>
        <v>intRowJobDetails_JobProfile = comExcelWorksheet.Range("JobDetails_JobProfile").Row</v>
      </c>
      <c r="G39" s="98" t="str">
        <f t="shared" si="6"/>
        <v>strJobDetails_JobProfile = comExcelWorksheet.Cells(intRowJobDetails_JobProfile, intColTestColumn).Value</v>
      </c>
      <c r="H39" t="str">
        <f t="shared" si="3"/>
        <v>Public Property Get getJobDetails_JobProfile() : getJobDetails_JobProfile = strJobDetails_JobProfile : End Property</v>
      </c>
    </row>
    <row r="40" spans="1:8" x14ac:dyDescent="0.35">
      <c r="A40" t="str">
        <f>Test_Data!D41</f>
        <v>JobDetails_TimeType</v>
      </c>
      <c r="B40" t="str">
        <f t="shared" si="0"/>
        <v xml:space="preserve">intRowJobDetails_TimeType, </v>
      </c>
      <c r="C40" t="e">
        <f t="shared" si="4"/>
        <v>#REF!</v>
      </c>
      <c r="D40" t="str">
        <f t="shared" si="1"/>
        <v xml:space="preserve">strJobDetails_TimeType, </v>
      </c>
      <c r="E40" t="e">
        <f t="shared" si="5"/>
        <v>#REF!</v>
      </c>
      <c r="F40" s="98" t="str">
        <f t="shared" si="2"/>
        <v>intRowJobDetails_TimeType = comExcelWorksheet.Range("JobDetails_TimeType").Row</v>
      </c>
      <c r="G40" s="98" t="str">
        <f t="shared" si="6"/>
        <v>strJobDetails_TimeType = comExcelWorksheet.Cells(intRowJobDetails_TimeType, intColTestColumn).Value</v>
      </c>
      <c r="H40" t="str">
        <f t="shared" si="3"/>
        <v>Public Property Get getJobDetails_TimeType() : getJobDetails_TimeType = strJobDetails_TimeType : End Property</v>
      </c>
    </row>
    <row r="41" spans="1:8" x14ac:dyDescent="0.35">
      <c r="A41" t="str">
        <f>Test_Data!D43</f>
        <v>JobDetails_AdditionalInformation_PayRateType</v>
      </c>
      <c r="B41" t="str">
        <f t="shared" si="0"/>
        <v xml:space="preserve">intRowJobDetails_AdditionalInformation_PayRateType, </v>
      </c>
      <c r="C41" t="e">
        <f t="shared" si="4"/>
        <v>#REF!</v>
      </c>
      <c r="D41" t="str">
        <f t="shared" si="1"/>
        <v xml:space="preserve">strJobDetails_AdditionalInformation_PayRateType, </v>
      </c>
      <c r="E41" t="e">
        <f t="shared" si="5"/>
        <v>#REF!</v>
      </c>
      <c r="F41" s="98" t="str">
        <f t="shared" si="2"/>
        <v>intRowJobDetails_AdditionalInformation_PayRateType = comExcelWorksheet.Range("JobDetails_AdditionalInformation_PayRateType").Row</v>
      </c>
      <c r="G41" s="98" t="str">
        <f t="shared" si="6"/>
        <v>strJobDetails_AdditionalInformation_PayRateType = comExcelWorksheet.Cells(intRowJobDetails_AdditionalInformation_PayRateType, intColTestColumn).Value</v>
      </c>
      <c r="H41" t="str">
        <f t="shared" si="3"/>
        <v>Public Property Get getJobDetails_AdditionalInformation_PayRateType() : getJobDetails_AdditionalInformation_PayRateType = strJobDetails_AdditionalInformation_PayRateType : End Property</v>
      </c>
    </row>
    <row r="42" spans="1:8" x14ac:dyDescent="0.35">
      <c r="A42" t="str">
        <f>Test_Data!D44</f>
        <v>JobDetails_AdditionalInformation_ScheduledWeeklyHours</v>
      </c>
      <c r="B42" t="str">
        <f t="shared" si="0"/>
        <v xml:space="preserve">intRowJobDetails_AdditionalInformation_ScheduledWeeklyHours, </v>
      </c>
      <c r="C42" t="e">
        <f t="shared" si="4"/>
        <v>#REF!</v>
      </c>
      <c r="D42" t="str">
        <f t="shared" si="1"/>
        <v xml:space="preserve">strJobDetails_AdditionalInformation_ScheduledWeeklyHours, </v>
      </c>
      <c r="E42" t="e">
        <f t="shared" si="5"/>
        <v>#REF!</v>
      </c>
      <c r="F42" s="98" t="str">
        <f t="shared" si="2"/>
        <v>intRowJobDetails_AdditionalInformation_ScheduledWeeklyHours = comExcelWorksheet.Range("JobDetails_AdditionalInformation_ScheduledWeeklyHours").Row</v>
      </c>
      <c r="G42" s="98" t="str">
        <f t="shared" si="6"/>
        <v>strJobDetails_AdditionalInformation_ScheduledWeeklyHours = comExcelWorksheet.Cells(intRowJobDetails_AdditionalInformation_ScheduledWeeklyHours, intColTestColumn).Value</v>
      </c>
      <c r="H42" t="str">
        <f t="shared" si="3"/>
        <v>Public Property Get getJobDetails_AdditionalInformation_ScheduledWeeklyHours() : getJobDetails_AdditionalInformation_ScheduledWeeklyHours = strJobDetails_AdditionalInformation_ScheduledWeeklyHours : End Property</v>
      </c>
    </row>
    <row r="43" spans="1:8" x14ac:dyDescent="0.35">
      <c r="A43" t="str">
        <f>Test_Data!D45</f>
        <v>JobDetails_AdditionalInformation_SchoolName</v>
      </c>
      <c r="B43" t="str">
        <f t="shared" si="0"/>
        <v xml:space="preserve">intRowJobDetails_AdditionalInformation_SchoolName, </v>
      </c>
      <c r="C43" t="e">
        <f t="shared" si="4"/>
        <v>#REF!</v>
      </c>
      <c r="D43" t="str">
        <f t="shared" si="1"/>
        <v xml:space="preserve">strJobDetails_AdditionalInformation_SchoolName, </v>
      </c>
      <c r="E43" t="e">
        <f t="shared" si="5"/>
        <v>#REF!</v>
      </c>
      <c r="F43" s="98" t="str">
        <f t="shared" si="2"/>
        <v>intRowJobDetails_AdditionalInformation_SchoolName = comExcelWorksheet.Range("JobDetails_AdditionalInformation_SchoolName").Row</v>
      </c>
      <c r="G43" s="98" t="str">
        <f t="shared" si="6"/>
        <v>strJobDetails_AdditionalInformation_SchoolName = comExcelWorksheet.Cells(intRowJobDetails_AdditionalInformation_SchoolName, intColTestColumn).Value</v>
      </c>
      <c r="H43" t="str">
        <f t="shared" si="3"/>
        <v>Public Property Get getJobDetails_AdditionalInformation_SchoolName() : getJobDetails_AdditionalInformation_SchoolName = strJobDetails_AdditionalInformation_SchoolName : End Property</v>
      </c>
    </row>
    <row r="44" spans="1:8" x14ac:dyDescent="0.35">
      <c r="A44" t="str">
        <f>Test_Data!D46</f>
        <v>JobDetails_AdditionalInformation_SchoolType</v>
      </c>
      <c r="B44" t="str">
        <f t="shared" si="0"/>
        <v xml:space="preserve">intRowJobDetails_AdditionalInformation_SchoolType, </v>
      </c>
      <c r="C44" t="e">
        <f t="shared" si="4"/>
        <v>#REF!</v>
      </c>
      <c r="D44" t="str">
        <f t="shared" si="1"/>
        <v xml:space="preserve">strJobDetails_AdditionalInformation_SchoolType, </v>
      </c>
      <c r="E44" t="e">
        <f t="shared" si="5"/>
        <v>#REF!</v>
      </c>
      <c r="F44" s="98" t="str">
        <f t="shared" si="2"/>
        <v>intRowJobDetails_AdditionalInformation_SchoolType = comExcelWorksheet.Range("JobDetails_AdditionalInformation_SchoolType").Row</v>
      </c>
      <c r="G44" s="98" t="str">
        <f t="shared" si="6"/>
        <v>strJobDetails_AdditionalInformation_SchoolType = comExcelWorksheet.Cells(intRowJobDetails_AdditionalInformation_SchoolType, intColTestColumn).Value</v>
      </c>
      <c r="H44" t="str">
        <f t="shared" si="3"/>
        <v>Public Property Get getJobDetails_AdditionalInformation_SchoolType() : getJobDetails_AdditionalInformation_SchoolType = strJobDetails_AdditionalInformation_SchoolType : End Property</v>
      </c>
    </row>
    <row r="45" spans="1:8" x14ac:dyDescent="0.35">
      <c r="A45" t="str">
        <f>Test_Data!D47</f>
        <v>JobDetails_AdditionalInformation_SchoolStartDate</v>
      </c>
      <c r="B45" t="str">
        <f t="shared" si="0"/>
        <v xml:space="preserve">intRowJobDetails_AdditionalInformation_SchoolStartDate, </v>
      </c>
      <c r="C45" t="e">
        <f t="shared" si="4"/>
        <v>#REF!</v>
      </c>
      <c r="D45" t="str">
        <f t="shared" si="1"/>
        <v xml:space="preserve">strJobDetails_AdditionalInformation_SchoolStartDate, </v>
      </c>
      <c r="E45" t="e">
        <f t="shared" si="5"/>
        <v>#REF!</v>
      </c>
      <c r="F45" s="98" t="str">
        <f t="shared" si="2"/>
        <v>intRowJobDetails_AdditionalInformation_SchoolStartDate = comExcelWorksheet.Range("JobDetails_AdditionalInformation_SchoolStartDate").Row</v>
      </c>
      <c r="G45" s="98" t="str">
        <f t="shared" si="6"/>
        <v>strJobDetails_AdditionalInformation_SchoolStartDate = comExcelWorksheet.Cells(intRowJobDetails_AdditionalInformation_SchoolStartDate, intColTestColumn).Value</v>
      </c>
      <c r="H45" t="str">
        <f t="shared" si="3"/>
        <v>Public Property Get getJobDetails_AdditionalInformation_SchoolStartDate() : getJobDetails_AdditionalInformation_SchoolStartDate = strJobDetails_AdditionalInformation_SchoolStartDate : End Property</v>
      </c>
    </row>
    <row r="46" spans="1:8" x14ac:dyDescent="0.35">
      <c r="A46" t="str">
        <f>Test_Data!D53</f>
        <v>ChangeOrganizationAssignments_Comments</v>
      </c>
      <c r="B46" t="str">
        <f t="shared" si="0"/>
        <v xml:space="preserve">intRowChangeOrganizationAssignments_Comments, </v>
      </c>
      <c r="C46" t="e">
        <f t="shared" si="4"/>
        <v>#REF!</v>
      </c>
      <c r="D46" t="str">
        <f t="shared" si="1"/>
        <v xml:space="preserve">strChangeOrganizationAssignments_Comments, </v>
      </c>
      <c r="E46" t="e">
        <f t="shared" si="5"/>
        <v>#REF!</v>
      </c>
      <c r="F46" s="98" t="str">
        <f t="shared" si="2"/>
        <v>intRowChangeOrganizationAssignments_Comments = comExcelWorksheet.Range("ChangeOrganizationAssignments_Comments").Row</v>
      </c>
      <c r="G46" s="98" t="str">
        <f t="shared" si="6"/>
        <v>strChangeOrganizationAssignments_Comments = comExcelWorksheet.Cells(intRowChangeOrganizationAssignments_Comments, intColTestColumn).Value</v>
      </c>
      <c r="H46" t="str">
        <f t="shared" si="3"/>
        <v>Public Property Get getChangeOrganizationAssignments_Comments() : getChangeOrganizationAssignments_Comments = strChangeOrganizationAssignments_Comments : End Property</v>
      </c>
    </row>
    <row r="47" spans="1:8" x14ac:dyDescent="0.35">
      <c r="A47" t="str">
        <f>Test_Data!D54</f>
        <v>ChangeOrganizationAssignments_ContractType</v>
      </c>
      <c r="B47" t="str">
        <f t="shared" si="0"/>
        <v xml:space="preserve">intRowChangeOrganizationAssignments_ContractType, </v>
      </c>
      <c r="C47" t="e">
        <f t="shared" si="4"/>
        <v>#REF!</v>
      </c>
      <c r="D47" t="str">
        <f t="shared" si="1"/>
        <v xml:space="preserve">strChangeOrganizationAssignments_ContractType, </v>
      </c>
      <c r="E47" t="e">
        <f t="shared" si="5"/>
        <v>#REF!</v>
      </c>
      <c r="F47" s="98" t="str">
        <f t="shared" si="2"/>
        <v>intRowChangeOrganizationAssignments_ContractType = comExcelWorksheet.Range("ChangeOrganizationAssignments_ContractType").Row</v>
      </c>
      <c r="G47" s="98" t="str">
        <f t="shared" si="6"/>
        <v>strChangeOrganizationAssignments_ContractType = comExcelWorksheet.Cells(intRowChangeOrganizationAssignments_ContractType, intColTestColumn).Value</v>
      </c>
      <c r="H47" t="str">
        <f t="shared" si="3"/>
        <v>Public Property Get getChangeOrganizationAssignments_ContractType() : getChangeOrganizationAssignments_ContractType = strChangeOrganizationAssignments_ContractType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Test_Data!D70</f>
        <v>AssignPayGroup_Country2</v>
      </c>
      <c r="B50" t="str">
        <f t="shared" si="0"/>
        <v xml:space="preserve">intRowAssignPayGroup_Country2, </v>
      </c>
      <c r="C50" t="e">
        <f>C47 &amp;B50</f>
        <v>#REF!</v>
      </c>
      <c r="D50" t="str">
        <f t="shared" si="1"/>
        <v xml:space="preserve">strAssignPayGroup_Country2, </v>
      </c>
      <c r="E50" t="e">
        <f>E47 &amp;D50</f>
        <v>#REF!</v>
      </c>
      <c r="F50" s="98" t="str">
        <f t="shared" si="2"/>
        <v>intRowAssignPayGroup_Country2 = comExcelWorksheet.Range("AssignPayGroup_Country2").Row</v>
      </c>
      <c r="G50" s="98" t="str">
        <f t="shared" si="6"/>
        <v>strAssignPayGroup_Country2 = comExcelWorksheet.Cells(intRowAssignPayGroup_Country2, intColTestColumn).Value</v>
      </c>
      <c r="H50" t="str">
        <f t="shared" si="3"/>
        <v>Public Property Get getAssignPayGroup_Country2() : getAssignPayGroup_Country2 = strAssignPayGroup_Country2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str">
        <f>Test_Data!D68</f>
        <v>ProposeCompensationHire_NationalIDType1</v>
      </c>
      <c r="B57" t="str">
        <f t="shared" si="0"/>
        <v xml:space="preserve">intRowProposeCompensationHire_NationalIDType1, </v>
      </c>
      <c r="C57" t="e">
        <f t="shared" si="4"/>
        <v>#REF!</v>
      </c>
      <c r="D57" t="str">
        <f t="shared" si="1"/>
        <v xml:space="preserve">strProposeCompensationHire_NationalIDType1, </v>
      </c>
      <c r="E57" t="e">
        <f t="shared" si="5"/>
        <v>#REF!</v>
      </c>
      <c r="F57" s="98" t="str">
        <f t="shared" si="2"/>
        <v>intRowProposeCompensationHire_NationalIDType1 = comExcelWorksheet.Range("ProposeCompensationHire_NationalIDType1").Row</v>
      </c>
      <c r="G57" s="98" t="str">
        <f t="shared" si="6"/>
        <v>strProposeCompensationHire_NationalIDType1 = comExcelWorksheet.Cells(intRowProposeCompensationHire_NationalIDType1, intColTestColumn).Value</v>
      </c>
      <c r="H57" t="str">
        <f t="shared" si="3"/>
        <v>Public Property Get getProposeCompensationHire_NationalIDType1() : getProposeCompensationHire_NationalIDType1 = strProposeCompensationHire_NationalIDType1 : End Property</v>
      </c>
    </row>
    <row r="58" spans="1:16384" x14ac:dyDescent="0.35">
      <c r="A58" t="str">
        <f>Test_Data!D58</f>
        <v>ChangeMyPersonalInformation_ContractEndDate</v>
      </c>
      <c r="B58" t="str">
        <f t="shared" si="0"/>
        <v xml:space="preserve">intRowChangeMyPersonalInformation_ContractEndDate, </v>
      </c>
      <c r="C58" t="e">
        <f t="shared" si="4"/>
        <v>#REF!</v>
      </c>
      <c r="D58" t="str">
        <f t="shared" si="1"/>
        <v xml:space="preserve">strChangeMyPersonalInformation_ContractEndDate, </v>
      </c>
      <c r="E58" t="e">
        <f t="shared" si="5"/>
        <v>#REF!</v>
      </c>
      <c r="F58" s="98" t="str">
        <f t="shared" si="2"/>
        <v>intRowChangeMyPersonalInformation_ContractEndDate = comExcelWorksheet.Range("ChangeMyPersonalInformation_ContractEndDate").Row</v>
      </c>
      <c r="G58" s="98" t="str">
        <f t="shared" si="6"/>
        <v>strChangeMyPersonalInformation_ContractEndDate = comExcelWorksheet.Cells(intRowChangeMyPersonalInformation_ContractEndDate, intColTestColumn).Value</v>
      </c>
      <c r="H58" t="str">
        <f t="shared" si="3"/>
        <v>Public Property Get getChangeMyPersonalInformation_ContractEndDate() : getChangeMyPersonalInformation_ContractEndDate = strChangeMyPersonalInformation_ContractEndDate : End Property</v>
      </c>
    </row>
    <row r="59" spans="1:16384" x14ac:dyDescent="0.35">
      <c r="A59" t="str">
        <f>Test_Data!D59</f>
        <v>ChangeMyPersonalInformation_CostCenter</v>
      </c>
      <c r="B59" t="str">
        <f t="shared" si="0"/>
        <v xml:space="preserve">intRowChangeMyPersonalInformation_CostCenter, </v>
      </c>
      <c r="C59" t="e">
        <f t="shared" si="4"/>
        <v>#REF!</v>
      </c>
      <c r="D59" t="str">
        <f t="shared" si="1"/>
        <v xml:space="preserve">strChangeMyPersonalInformation_CostCenter, </v>
      </c>
      <c r="E59" t="e">
        <f t="shared" si="5"/>
        <v>#REF!</v>
      </c>
      <c r="F59" s="98" t="str">
        <f t="shared" si="2"/>
        <v>intRowChangeMyPersonalInformation_CostCenter = comExcelWorksheet.Range("ChangeMyPersonalInformation_CostCenter").Row</v>
      </c>
      <c r="G59" s="98" t="str">
        <f t="shared" si="6"/>
        <v>strChangeMyPersonalInformation_CostCenter = comExcelWorksheet.Cells(intRowChangeMyPersonalInformation_CostCenter, intColTestColumn).Value</v>
      </c>
      <c r="H59" t="str">
        <f t="shared" si="3"/>
        <v>Public Property Get getChangeMyPersonalInformation_CostCenter() : getChangeMyPersonalInformation_CostCenter = strChangeMyPersonalInformation_CostCenter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Test_Data!D55</f>
        <v>ChangeMyGovernmentIDs_NationalIDs_Status</v>
      </c>
      <c r="B64" t="str">
        <f t="shared" si="0"/>
        <v xml:space="preserve">intRowChangeMyGovernmentIDs_NationalIDs_Status, </v>
      </c>
      <c r="C64" t="e">
        <f t="shared" si="4"/>
        <v>#REF!</v>
      </c>
      <c r="D64" t="str">
        <f t="shared" si="1"/>
        <v xml:space="preserve">strChangeMyGovernmentIDs_NationalIDs_Status, </v>
      </c>
      <c r="E64" t="e">
        <f t="shared" si="5"/>
        <v>#REF!</v>
      </c>
      <c r="F64" s="98" t="str">
        <f t="shared" si="2"/>
        <v>intRowChangeMyGovernmentIDs_NationalIDs_Status = comExcelWorksheet.Range("ChangeMyGovernmentIDs_NationalIDs_Status").Row</v>
      </c>
      <c r="G64" s="98" t="str">
        <f t="shared" si="6"/>
        <v>strChangeMyGovernmentIDs_NationalIDs_Status = comExcelWorksheet.Cells(intRowChangeMyGovernmentIDs_NationalIDs_Status, intColTestColumn).Value</v>
      </c>
      <c r="H64" t="str">
        <f t="shared" si="3"/>
        <v>Public Property Get getChangeMyGovernmentIDs_NationalIDs_Status() : getChangeMyGovernmentIDs_NationalIDs_Status = strChangeMyGovernmentIDs_NationalIDs_Status : End Property</v>
      </c>
    </row>
    <row r="65" spans="1:8" x14ac:dyDescent="0.35">
      <c r="A65" t="str">
        <f>Test_Data!D56</f>
        <v>ChangeMyGovernmentIDs_NationalIDs_DateEmployeeSigned</v>
      </c>
      <c r="B65" t="str">
        <f t="shared" ref="B65:B74" si="263">"intRow" &amp; A65 &amp; ", "</f>
        <v xml:space="preserve">intRowChangeMyGovernmentIDs_NationalIDs_DateEmployeeSigned, </v>
      </c>
      <c r="C65" t="e">
        <f t="shared" si="4"/>
        <v>#REF!</v>
      </c>
      <c r="D65" t="str">
        <f t="shared" ref="D65:D76" si="264">"str" &amp; A65 &amp; ", "</f>
        <v xml:space="preserve">strChangeMyGovernmentIDs_NationalIDs_DateEmployeeSigned, </v>
      </c>
      <c r="E65" t="e">
        <f t="shared" si="5"/>
        <v>#REF!</v>
      </c>
      <c r="F65" s="98" t="str">
        <f t="shared" ref="F65:F76" si="265">"intRow" &amp; A65 &amp; " = comExcelWorksheet.Range(""" &amp; A65 &amp; """).Row"</f>
        <v>intRowChangeMyGovernmentIDs_NationalIDs_DateEmployeeSigned = comExcelWorksheet.Range("ChangeMyGovernmentIDs_NationalIDs_DateEmployeeSigned").Row</v>
      </c>
      <c r="G65" s="98" t="str">
        <f t="shared" si="6"/>
        <v>strChangeMyGovernmentIDs_NationalIDs_DateEmployeeSigned = comExcelWorksheet.Cells(intRowChangeMyGovernmentIDs_NationalIDs_DateEmployeeSigned, intColTestColumn).Value</v>
      </c>
      <c r="H65" t="str">
        <f t="shared" ref="H65:H76" si="266">"Public Property Get get" &amp; A65 &amp; "() : get" &amp; A65 &amp; " = str" &amp; A65 &amp; " : End Property"</f>
        <v>Public Property Get getChangeMyGovernmentIDs_NationalIDs_DateEmployeeSigned() : getChangeMyGovernmentIDs_NationalIDs_DateEmployeeSigned = strChangeMyGovernmentIDs_NationalIDs_DateEmployeeSigned : End Property</v>
      </c>
    </row>
    <row r="66" spans="1:8" x14ac:dyDescent="0.35">
      <c r="A66" t="str">
        <f>Test_Data!D57</f>
        <v>ChangeMyGovernmentIDs_NationalIDs_DateEmployerSigned</v>
      </c>
      <c r="B66" t="str">
        <f t="shared" si="263"/>
        <v xml:space="preserve">intRowChangeMyGovernmentIDs_NationalIDs_DateEmployerSigned, </v>
      </c>
      <c r="C66" t="e">
        <f t="shared" si="4"/>
        <v>#REF!</v>
      </c>
      <c r="D66" t="str">
        <f t="shared" si="264"/>
        <v xml:space="preserve">strChangeMyGovernmentIDs_NationalIDs_DateEmployerSigned, </v>
      </c>
      <c r="E66" t="e">
        <f t="shared" si="5"/>
        <v>#REF!</v>
      </c>
      <c r="F66" s="98" t="str">
        <f t="shared" si="265"/>
        <v>intRowChangeMyGovernmentIDs_NationalIDs_DateEmployerSigned = comExcelWorksheet.Range("ChangeMyGovernmentIDs_NationalIDs_DateEmployerSigned").Row</v>
      </c>
      <c r="G66" s="98" t="str">
        <f t="shared" si="6"/>
        <v>strChangeMyGovernmentIDs_NationalIDs_DateEmployerSigned = comExcelWorksheet.Cells(intRowChangeMyGovernmentIDs_NationalIDs_DateEmployerSigned, intColTestColumn).Value</v>
      </c>
      <c r="H66" t="str">
        <f t="shared" si="266"/>
        <v>Public Property Get getChangeMyGovernmentIDs_NationalIDs_DateEmployerSigned() : getChangeMyGovernmentIDs_NationalIDs_DateEmployerSigned = strChangeMyGovernmentIDs_NationalIDs_DateEmployerSigned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8" x14ac:dyDescent="0.35">
      <c r="B3" s="112" t="s">
        <v>298</v>
      </c>
      <c r="C3" s="113" t="s">
        <v>299</v>
      </c>
      <c r="D3" s="114" t="s">
        <v>300</v>
      </c>
      <c r="F3" s="112">
        <v>1</v>
      </c>
      <c r="G3" s="114" t="s">
        <v>300</v>
      </c>
      <c r="J3" s="112" t="str">
        <f t="shared" ref="J3:J66" si="0">G3&amp;H3</f>
        <v>one</v>
      </c>
      <c r="K3" s="112" t="s">
        <v>300</v>
      </c>
    </row>
    <row r="4" spans="2:11" ht="18" x14ac:dyDescent="0.35">
      <c r="B4" s="112" t="s">
        <v>298</v>
      </c>
      <c r="C4" s="113">
        <v>2</v>
      </c>
      <c r="D4" s="114" t="s">
        <v>301</v>
      </c>
      <c r="F4" s="112">
        <v>2</v>
      </c>
      <c r="G4" s="114" t="s">
        <v>301</v>
      </c>
      <c r="J4" s="112" t="str">
        <f t="shared" si="0"/>
        <v>two</v>
      </c>
      <c r="K4" s="112" t="s">
        <v>301</v>
      </c>
    </row>
    <row r="5" spans="2:11" ht="18" x14ac:dyDescent="0.35">
      <c r="B5" s="112" t="s">
        <v>298</v>
      </c>
      <c r="C5" s="113">
        <v>3</v>
      </c>
      <c r="D5" s="114" t="s">
        <v>302</v>
      </c>
      <c r="F5" s="112">
        <v>3</v>
      </c>
      <c r="G5" s="114" t="s">
        <v>302</v>
      </c>
      <c r="J5" s="112" t="str">
        <f t="shared" si="0"/>
        <v>three</v>
      </c>
      <c r="K5" s="112" t="s">
        <v>302</v>
      </c>
    </row>
    <row r="6" spans="2:11" ht="18" x14ac:dyDescent="0.35">
      <c r="B6" s="112" t="s">
        <v>298</v>
      </c>
      <c r="C6" s="113">
        <v>4</v>
      </c>
      <c r="D6" s="115" t="s">
        <v>303</v>
      </c>
      <c r="F6" s="112">
        <v>4</v>
      </c>
      <c r="G6" s="115" t="s">
        <v>303</v>
      </c>
      <c r="J6" s="112" t="str">
        <f t="shared" si="0"/>
        <v>four</v>
      </c>
      <c r="K6" s="112" t="s">
        <v>303</v>
      </c>
    </row>
    <row r="7" spans="2:11" ht="18" x14ac:dyDescent="0.35">
      <c r="B7" s="112" t="s">
        <v>298</v>
      </c>
      <c r="C7" s="113">
        <v>5</v>
      </c>
      <c r="D7" s="115" t="s">
        <v>304</v>
      </c>
      <c r="F7" s="112">
        <v>5</v>
      </c>
      <c r="G7" s="115" t="s">
        <v>304</v>
      </c>
      <c r="J7" s="112" t="str">
        <f t="shared" si="0"/>
        <v>five</v>
      </c>
      <c r="K7" s="112" t="s">
        <v>304</v>
      </c>
    </row>
    <row r="8" spans="2:11" ht="18" x14ac:dyDescent="0.35">
      <c r="B8" s="112" t="s">
        <v>298</v>
      </c>
      <c r="C8" s="113">
        <v>6</v>
      </c>
      <c r="D8" s="115" t="s">
        <v>305</v>
      </c>
      <c r="F8" s="112">
        <v>6</v>
      </c>
      <c r="G8" s="115" t="s">
        <v>305</v>
      </c>
      <c r="J8" s="112" t="str">
        <f t="shared" si="0"/>
        <v>six</v>
      </c>
      <c r="K8" s="112" t="s">
        <v>305</v>
      </c>
    </row>
    <row r="9" spans="2:11" ht="18" x14ac:dyDescent="0.35">
      <c r="B9" s="112" t="s">
        <v>298</v>
      </c>
      <c r="C9" s="113">
        <v>7</v>
      </c>
      <c r="D9" s="115" t="s">
        <v>306</v>
      </c>
      <c r="F9" s="112">
        <v>7</v>
      </c>
      <c r="G9" s="115" t="s">
        <v>306</v>
      </c>
      <c r="J9" s="112" t="str">
        <f t="shared" si="0"/>
        <v>seven</v>
      </c>
      <c r="K9" s="112" t="s">
        <v>306</v>
      </c>
    </row>
    <row r="10" spans="2:11" ht="18" x14ac:dyDescent="0.35">
      <c r="B10" s="112" t="s">
        <v>298</v>
      </c>
      <c r="C10" s="113">
        <v>8</v>
      </c>
      <c r="D10" s="115" t="s">
        <v>307</v>
      </c>
      <c r="F10" s="112">
        <v>8</v>
      </c>
      <c r="G10" s="115" t="s">
        <v>307</v>
      </c>
      <c r="J10" s="112" t="str">
        <f t="shared" si="0"/>
        <v>eight</v>
      </c>
      <c r="K10" s="112" t="s">
        <v>307</v>
      </c>
    </row>
    <row r="11" spans="2:11" ht="18" x14ac:dyDescent="0.35">
      <c r="B11" s="112" t="s">
        <v>298</v>
      </c>
      <c r="C11" s="113">
        <v>9</v>
      </c>
      <c r="D11" s="115" t="s">
        <v>308</v>
      </c>
      <c r="F11" s="112">
        <v>9</v>
      </c>
      <c r="G11" s="115" t="s">
        <v>308</v>
      </c>
      <c r="J11" s="112" t="str">
        <f t="shared" si="0"/>
        <v>nine</v>
      </c>
      <c r="K11" s="112" t="s">
        <v>308</v>
      </c>
    </row>
    <row r="12" spans="2:11" ht="18" x14ac:dyDescent="0.35">
      <c r="B12" s="112" t="s">
        <v>298</v>
      </c>
      <c r="C12" s="113">
        <v>10</v>
      </c>
      <c r="D12" s="114" t="s">
        <v>309</v>
      </c>
      <c r="F12" s="112">
        <v>10</v>
      </c>
      <c r="G12" s="114" t="s">
        <v>309</v>
      </c>
      <c r="J12" s="112" t="str">
        <f t="shared" si="0"/>
        <v>ten</v>
      </c>
      <c r="K12" s="112" t="s">
        <v>309</v>
      </c>
    </row>
    <row r="13" spans="2:11" ht="18" x14ac:dyDescent="0.35">
      <c r="B13" s="112" t="s">
        <v>298</v>
      </c>
      <c r="C13" s="113">
        <v>11</v>
      </c>
      <c r="D13" s="114" t="s">
        <v>310</v>
      </c>
      <c r="F13" s="112">
        <v>11</v>
      </c>
      <c r="G13" s="114" t="s">
        <v>310</v>
      </c>
      <c r="J13" s="112" t="str">
        <f t="shared" si="0"/>
        <v>eleven</v>
      </c>
      <c r="K13" s="112" t="s">
        <v>310</v>
      </c>
    </row>
    <row r="14" spans="2:11" ht="18" x14ac:dyDescent="0.35">
      <c r="B14" s="112" t="s">
        <v>298</v>
      </c>
      <c r="C14" s="113">
        <v>12</v>
      </c>
      <c r="D14" s="114" t="s">
        <v>311</v>
      </c>
      <c r="F14" s="112">
        <v>12</v>
      </c>
      <c r="G14" s="114" t="s">
        <v>311</v>
      </c>
      <c r="J14" s="112" t="str">
        <f t="shared" si="0"/>
        <v>twelve</v>
      </c>
      <c r="K14" s="112" t="s">
        <v>311</v>
      </c>
    </row>
    <row r="15" spans="2:11" ht="35" x14ac:dyDescent="0.35">
      <c r="B15" s="112" t="s">
        <v>298</v>
      </c>
      <c r="C15" s="113">
        <v>13</v>
      </c>
      <c r="D15" s="114" t="s">
        <v>312</v>
      </c>
      <c r="F15" s="112">
        <v>13</v>
      </c>
      <c r="G15" s="114" t="s">
        <v>312</v>
      </c>
      <c r="J15" s="112" t="str">
        <f t="shared" si="0"/>
        <v>thirteen</v>
      </c>
      <c r="K15" s="112" t="s">
        <v>312</v>
      </c>
    </row>
    <row r="16" spans="2:11" ht="35" x14ac:dyDescent="0.35">
      <c r="B16" s="112" t="s">
        <v>298</v>
      </c>
      <c r="C16" s="113">
        <v>14</v>
      </c>
      <c r="D16" s="114" t="s">
        <v>313</v>
      </c>
      <c r="F16" s="112">
        <v>14</v>
      </c>
      <c r="G16" s="114" t="s">
        <v>313</v>
      </c>
      <c r="J16" s="112" t="str">
        <f t="shared" si="0"/>
        <v>fourteen</v>
      </c>
      <c r="K16" s="112" t="s">
        <v>313</v>
      </c>
    </row>
    <row r="17" spans="2:11" ht="18" x14ac:dyDescent="0.35">
      <c r="B17" s="112" t="s">
        <v>298</v>
      </c>
      <c r="C17" s="113">
        <v>15</v>
      </c>
      <c r="D17" s="114" t="s">
        <v>314</v>
      </c>
      <c r="F17" s="112">
        <v>15</v>
      </c>
      <c r="G17" s="114" t="s">
        <v>314</v>
      </c>
      <c r="J17" s="112" t="str">
        <f t="shared" si="0"/>
        <v>fifteen</v>
      </c>
      <c r="K17" s="112" t="s">
        <v>314</v>
      </c>
    </row>
    <row r="18" spans="2:11" ht="18" x14ac:dyDescent="0.35">
      <c r="B18" s="112" t="s">
        <v>298</v>
      </c>
      <c r="C18" s="113">
        <v>16</v>
      </c>
      <c r="D18" s="114" t="s">
        <v>315</v>
      </c>
      <c r="F18" s="112">
        <v>16</v>
      </c>
      <c r="G18" s="114" t="s">
        <v>315</v>
      </c>
      <c r="J18" s="112" t="str">
        <f t="shared" si="0"/>
        <v>sixteen</v>
      </c>
      <c r="K18" s="112" t="s">
        <v>315</v>
      </c>
    </row>
    <row r="19" spans="2:11" ht="35" x14ac:dyDescent="0.35">
      <c r="B19" s="112" t="s">
        <v>298</v>
      </c>
      <c r="C19" s="113">
        <v>17</v>
      </c>
      <c r="D19" s="114" t="s">
        <v>316</v>
      </c>
      <c r="F19" s="112">
        <v>17</v>
      </c>
      <c r="G19" s="114" t="s">
        <v>316</v>
      </c>
      <c r="J19" s="112" t="str">
        <f t="shared" si="0"/>
        <v>seventeen</v>
      </c>
      <c r="K19" s="112" t="s">
        <v>316</v>
      </c>
    </row>
    <row r="20" spans="2:11" ht="35" x14ac:dyDescent="0.35">
      <c r="B20" s="112" t="s">
        <v>298</v>
      </c>
      <c r="C20" s="113">
        <v>18</v>
      </c>
      <c r="D20" s="114" t="s">
        <v>317</v>
      </c>
      <c r="F20" s="112">
        <v>18</v>
      </c>
      <c r="G20" s="114" t="s">
        <v>317</v>
      </c>
      <c r="J20" s="112" t="str">
        <f t="shared" si="0"/>
        <v>eighteen</v>
      </c>
      <c r="K20" s="112" t="s">
        <v>317</v>
      </c>
    </row>
    <row r="21" spans="2:11" ht="35" x14ac:dyDescent="0.35">
      <c r="B21" s="112" t="s">
        <v>298</v>
      </c>
      <c r="C21" s="113">
        <v>19</v>
      </c>
      <c r="D21" s="114" t="s">
        <v>318</v>
      </c>
      <c r="F21" s="112">
        <v>19</v>
      </c>
      <c r="G21" s="114" t="s">
        <v>318</v>
      </c>
      <c r="J21" s="112" t="str">
        <f t="shared" si="0"/>
        <v>nineteen</v>
      </c>
      <c r="K21" s="112" t="s">
        <v>318</v>
      </c>
    </row>
    <row r="22" spans="2:11" ht="18" x14ac:dyDescent="0.35">
      <c r="B22" s="112" t="s">
        <v>298</v>
      </c>
      <c r="C22" s="113">
        <v>20</v>
      </c>
      <c r="D22" s="114" t="s">
        <v>319</v>
      </c>
      <c r="F22" s="112">
        <v>20</v>
      </c>
      <c r="G22" s="114" t="s">
        <v>319</v>
      </c>
      <c r="J22" s="112" t="str">
        <f t="shared" si="0"/>
        <v>twenty</v>
      </c>
      <c r="K22" s="112" t="s">
        <v>319</v>
      </c>
    </row>
    <row r="23" spans="2:11" ht="18" x14ac:dyDescent="0.35">
      <c r="B23" s="112" t="s">
        <v>298</v>
      </c>
      <c r="C23" s="113">
        <v>30</v>
      </c>
      <c r="D23" s="114" t="s">
        <v>320</v>
      </c>
      <c r="F23" s="112">
        <v>21</v>
      </c>
      <c r="G23" s="114" t="s">
        <v>319</v>
      </c>
      <c r="H23" s="114" t="s">
        <v>300</v>
      </c>
      <c r="I23" s="116"/>
      <c r="J23" s="112" t="str">
        <f t="shared" si="0"/>
        <v>twentyone</v>
      </c>
      <c r="K23" s="112" t="s">
        <v>432</v>
      </c>
    </row>
    <row r="24" spans="2:11" ht="18" x14ac:dyDescent="0.35">
      <c r="B24" s="112" t="s">
        <v>298</v>
      </c>
      <c r="C24" s="113">
        <v>40</v>
      </c>
      <c r="D24" s="114" t="s">
        <v>321</v>
      </c>
      <c r="F24" s="112">
        <v>22</v>
      </c>
      <c r="G24" s="114" t="s">
        <v>319</v>
      </c>
      <c r="H24" s="114" t="s">
        <v>301</v>
      </c>
      <c r="I24" s="116"/>
      <c r="J24" s="112" t="str">
        <f t="shared" si="0"/>
        <v>twentytwo</v>
      </c>
      <c r="K24" s="112" t="s">
        <v>433</v>
      </c>
    </row>
    <row r="25" spans="2:11" ht="18" x14ac:dyDescent="0.35">
      <c r="B25" s="112" t="s">
        <v>298</v>
      </c>
      <c r="C25" s="113">
        <v>50</v>
      </c>
      <c r="D25" s="114" t="s">
        <v>322</v>
      </c>
      <c r="F25" s="112">
        <v>23</v>
      </c>
      <c r="G25" s="114" t="s">
        <v>319</v>
      </c>
      <c r="H25" s="114" t="s">
        <v>302</v>
      </c>
      <c r="I25" s="116"/>
      <c r="J25" s="112" t="str">
        <f t="shared" si="0"/>
        <v>twentythree</v>
      </c>
      <c r="K25" s="112" t="s">
        <v>434</v>
      </c>
    </row>
    <row r="26" spans="2:11" ht="18" x14ac:dyDescent="0.35">
      <c r="B26" s="112" t="s">
        <v>298</v>
      </c>
      <c r="C26" s="113">
        <v>60</v>
      </c>
      <c r="D26" s="114" t="s">
        <v>323</v>
      </c>
      <c r="F26" s="112">
        <v>24</v>
      </c>
      <c r="G26" s="114" t="s">
        <v>319</v>
      </c>
      <c r="H26" s="115" t="s">
        <v>303</v>
      </c>
      <c r="I26" s="117"/>
      <c r="J26" s="112" t="str">
        <f t="shared" si="0"/>
        <v>twentyfour</v>
      </c>
      <c r="K26" s="112" t="s">
        <v>435</v>
      </c>
    </row>
    <row r="27" spans="2:11" ht="18" x14ac:dyDescent="0.35">
      <c r="B27" s="112" t="s">
        <v>298</v>
      </c>
      <c r="C27" s="113">
        <v>70</v>
      </c>
      <c r="D27" s="114" t="s">
        <v>324</v>
      </c>
      <c r="F27" s="112">
        <v>25</v>
      </c>
      <c r="G27" s="114" t="s">
        <v>319</v>
      </c>
      <c r="H27" s="115" t="s">
        <v>304</v>
      </c>
      <c r="I27" s="117"/>
      <c r="J27" s="112" t="str">
        <f t="shared" si="0"/>
        <v>twentyfive</v>
      </c>
      <c r="K27" s="112" t="s">
        <v>436</v>
      </c>
    </row>
    <row r="28" spans="2:11" ht="18" x14ac:dyDescent="0.35">
      <c r="B28" s="112" t="s">
        <v>298</v>
      </c>
      <c r="C28" s="113">
        <v>80</v>
      </c>
      <c r="D28" s="114" t="s">
        <v>325</v>
      </c>
      <c r="F28" s="112">
        <v>26</v>
      </c>
      <c r="G28" s="114" t="s">
        <v>319</v>
      </c>
      <c r="H28" s="115" t="s">
        <v>305</v>
      </c>
      <c r="I28" s="117"/>
      <c r="J28" s="112" t="str">
        <f t="shared" si="0"/>
        <v>twentysix</v>
      </c>
      <c r="K28" s="112" t="s">
        <v>437</v>
      </c>
    </row>
    <row r="29" spans="2:11" ht="18" x14ac:dyDescent="0.35">
      <c r="B29" s="112" t="s">
        <v>298</v>
      </c>
      <c r="C29" s="113">
        <v>90</v>
      </c>
      <c r="D29" s="114" t="s">
        <v>326</v>
      </c>
      <c r="F29" s="112">
        <v>27</v>
      </c>
      <c r="G29" s="114" t="s">
        <v>319</v>
      </c>
      <c r="H29" s="115" t="s">
        <v>306</v>
      </c>
      <c r="I29" s="117"/>
      <c r="J29" s="112" t="str">
        <f t="shared" si="0"/>
        <v>twentyseven</v>
      </c>
      <c r="K29" s="112" t="s">
        <v>438</v>
      </c>
    </row>
    <row r="30" spans="2:11" ht="18" x14ac:dyDescent="0.35">
      <c r="B30" s="112" t="s">
        <v>298</v>
      </c>
      <c r="C30" s="113">
        <v>100</v>
      </c>
      <c r="D30" s="114" t="s">
        <v>327</v>
      </c>
      <c r="F30" s="112">
        <v>28</v>
      </c>
      <c r="G30" s="114" t="s">
        <v>319</v>
      </c>
      <c r="H30" s="115" t="s">
        <v>307</v>
      </c>
      <c r="I30" s="117"/>
      <c r="J30" s="112" t="str">
        <f t="shared" si="0"/>
        <v>twentyeight</v>
      </c>
      <c r="K30" s="112" t="s">
        <v>439</v>
      </c>
    </row>
    <row r="31" spans="2:11" ht="18" x14ac:dyDescent="0.35">
      <c r="B31" s="112" t="s">
        <v>298</v>
      </c>
      <c r="C31" s="113">
        <v>1000</v>
      </c>
      <c r="D31" s="114" t="s">
        <v>328</v>
      </c>
      <c r="F31" s="112">
        <v>29</v>
      </c>
      <c r="G31" s="114" t="s">
        <v>319</v>
      </c>
      <c r="H31" s="115" t="s">
        <v>308</v>
      </c>
      <c r="I31" s="117"/>
      <c r="J31" s="112" t="str">
        <f t="shared" si="0"/>
        <v>twentynine</v>
      </c>
      <c r="K31" s="112" t="s">
        <v>440</v>
      </c>
    </row>
    <row r="32" spans="2:11" ht="17.5" x14ac:dyDescent="0.35">
      <c r="B32" s="112" t="s">
        <v>298</v>
      </c>
      <c r="F32" s="112">
        <v>30</v>
      </c>
      <c r="G32" s="114" t="s">
        <v>320</v>
      </c>
      <c r="J32" s="112" t="str">
        <f t="shared" si="0"/>
        <v>thirty</v>
      </c>
      <c r="K32" s="112" t="s">
        <v>320</v>
      </c>
    </row>
    <row r="33" spans="2:11" ht="17.5" x14ac:dyDescent="0.35">
      <c r="B33" s="112" t="s">
        <v>298</v>
      </c>
      <c r="F33" s="112">
        <v>31</v>
      </c>
      <c r="G33" s="114" t="s">
        <v>320</v>
      </c>
      <c r="H33" s="114" t="s">
        <v>300</v>
      </c>
      <c r="I33" s="116"/>
      <c r="J33" s="112" t="str">
        <f t="shared" si="0"/>
        <v>thirtyone</v>
      </c>
      <c r="K33" s="112" t="s">
        <v>441</v>
      </c>
    </row>
    <row r="34" spans="2:11" ht="17.5" x14ac:dyDescent="0.35">
      <c r="B34" s="112" t="s">
        <v>298</v>
      </c>
      <c r="F34" s="112">
        <v>32</v>
      </c>
      <c r="G34" s="114" t="s">
        <v>320</v>
      </c>
      <c r="H34" s="114" t="s">
        <v>301</v>
      </c>
      <c r="I34" s="116"/>
      <c r="J34" s="112" t="str">
        <f t="shared" si="0"/>
        <v>thirtytwo</v>
      </c>
      <c r="K34" s="112" t="s">
        <v>442</v>
      </c>
    </row>
    <row r="35" spans="2:11" ht="17.5" x14ac:dyDescent="0.35">
      <c r="B35" s="112" t="s">
        <v>298</v>
      </c>
      <c r="F35" s="112">
        <v>33</v>
      </c>
      <c r="G35" s="114" t="s">
        <v>320</v>
      </c>
      <c r="H35" s="114" t="s">
        <v>302</v>
      </c>
      <c r="I35" s="116"/>
      <c r="J35" s="112" t="str">
        <f t="shared" si="0"/>
        <v>thirtythree</v>
      </c>
      <c r="K35" s="112" t="s">
        <v>443</v>
      </c>
    </row>
    <row r="36" spans="2:11" ht="17.5" x14ac:dyDescent="0.35">
      <c r="B36" s="112" t="s">
        <v>298</v>
      </c>
      <c r="F36" s="112">
        <v>34</v>
      </c>
      <c r="G36" s="114" t="s">
        <v>320</v>
      </c>
      <c r="H36" s="115" t="s">
        <v>303</v>
      </c>
      <c r="I36" s="117"/>
      <c r="J36" s="112" t="str">
        <f t="shared" si="0"/>
        <v>thirtyfour</v>
      </c>
      <c r="K36" s="112" t="s">
        <v>444</v>
      </c>
    </row>
    <row r="37" spans="2:11" ht="17.5" x14ac:dyDescent="0.35">
      <c r="B37" s="112" t="s">
        <v>298</v>
      </c>
      <c r="F37" s="112">
        <v>35</v>
      </c>
      <c r="G37" s="114" t="s">
        <v>320</v>
      </c>
      <c r="H37" s="115" t="s">
        <v>304</v>
      </c>
      <c r="I37" s="117"/>
      <c r="J37" s="112" t="str">
        <f t="shared" si="0"/>
        <v>thirtyfive</v>
      </c>
      <c r="K37" s="112" t="s">
        <v>445</v>
      </c>
    </row>
    <row r="38" spans="2:11" ht="17.5" x14ac:dyDescent="0.35">
      <c r="B38" s="112" t="s">
        <v>298</v>
      </c>
      <c r="F38" s="112">
        <v>36</v>
      </c>
      <c r="G38" s="114" t="s">
        <v>320</v>
      </c>
      <c r="H38" s="115" t="s">
        <v>305</v>
      </c>
      <c r="I38" s="117"/>
      <c r="J38" s="112" t="str">
        <f t="shared" si="0"/>
        <v>thirtysix</v>
      </c>
      <c r="K38" s="112" t="s">
        <v>446</v>
      </c>
    </row>
    <row r="39" spans="2:11" ht="17.5" x14ac:dyDescent="0.35">
      <c r="B39" s="112" t="s">
        <v>298</v>
      </c>
      <c r="F39" s="112">
        <v>37</v>
      </c>
      <c r="G39" s="114" t="s">
        <v>320</v>
      </c>
      <c r="H39" s="115" t="s">
        <v>306</v>
      </c>
      <c r="I39" s="117"/>
      <c r="J39" s="112" t="str">
        <f t="shared" si="0"/>
        <v>thirtyseven</v>
      </c>
      <c r="K39" s="112" t="s">
        <v>447</v>
      </c>
    </row>
    <row r="40" spans="2:11" ht="17.5" x14ac:dyDescent="0.35">
      <c r="B40" s="112" t="s">
        <v>298</v>
      </c>
      <c r="F40" s="112">
        <v>38</v>
      </c>
      <c r="G40" s="114" t="s">
        <v>320</v>
      </c>
      <c r="H40" s="115" t="s">
        <v>307</v>
      </c>
      <c r="I40" s="117"/>
      <c r="J40" s="112" t="str">
        <f t="shared" si="0"/>
        <v>thirtyeight</v>
      </c>
      <c r="K40" s="112" t="s">
        <v>448</v>
      </c>
    </row>
    <row r="41" spans="2:11" ht="17.5" x14ac:dyDescent="0.35">
      <c r="B41" s="112" t="s">
        <v>298</v>
      </c>
      <c r="F41" s="112">
        <v>39</v>
      </c>
      <c r="G41" s="114" t="s">
        <v>320</v>
      </c>
      <c r="H41" s="115" t="s">
        <v>308</v>
      </c>
      <c r="I41" s="117"/>
      <c r="J41" s="112" t="str">
        <f t="shared" si="0"/>
        <v>thirtynine</v>
      </c>
      <c r="K41" s="112" t="s">
        <v>449</v>
      </c>
    </row>
    <row r="42" spans="2:11" ht="17.5" x14ac:dyDescent="0.35">
      <c r="B42" s="112" t="s">
        <v>298</v>
      </c>
      <c r="F42" s="112">
        <v>40</v>
      </c>
      <c r="G42" s="114" t="s">
        <v>321</v>
      </c>
      <c r="J42" s="112" t="str">
        <f t="shared" si="0"/>
        <v>forty</v>
      </c>
      <c r="K42" s="112" t="s">
        <v>321</v>
      </c>
    </row>
    <row r="43" spans="2:11" ht="17.5" x14ac:dyDescent="0.35">
      <c r="B43" s="112" t="s">
        <v>298</v>
      </c>
      <c r="F43" s="112">
        <v>41</v>
      </c>
      <c r="G43" s="114" t="s">
        <v>321</v>
      </c>
      <c r="H43" s="114" t="s">
        <v>300</v>
      </c>
      <c r="I43" s="116"/>
      <c r="J43" s="112" t="str">
        <f t="shared" si="0"/>
        <v>fortyone</v>
      </c>
      <c r="K43" s="112" t="s">
        <v>450</v>
      </c>
    </row>
    <row r="44" spans="2:11" ht="17.5" x14ac:dyDescent="0.35">
      <c r="B44" s="112" t="s">
        <v>298</v>
      </c>
      <c r="F44" s="112">
        <v>42</v>
      </c>
      <c r="G44" s="114" t="s">
        <v>321</v>
      </c>
      <c r="H44" s="114" t="s">
        <v>301</v>
      </c>
      <c r="I44" s="116"/>
      <c r="J44" s="112" t="str">
        <f t="shared" si="0"/>
        <v>fortytwo</v>
      </c>
      <c r="K44" s="112" t="s">
        <v>451</v>
      </c>
    </row>
    <row r="45" spans="2:11" ht="17.5" x14ac:dyDescent="0.35">
      <c r="B45" s="112" t="s">
        <v>298</v>
      </c>
      <c r="F45" s="112">
        <v>43</v>
      </c>
      <c r="G45" s="114" t="s">
        <v>321</v>
      </c>
      <c r="H45" s="114" t="s">
        <v>302</v>
      </c>
      <c r="I45" s="116"/>
      <c r="J45" s="112" t="str">
        <f t="shared" si="0"/>
        <v>fortythree</v>
      </c>
      <c r="K45" s="112" t="s">
        <v>452</v>
      </c>
    </row>
    <row r="46" spans="2:11" ht="17.5" x14ac:dyDescent="0.35">
      <c r="B46" s="112" t="s">
        <v>298</v>
      </c>
      <c r="F46" s="112">
        <v>44</v>
      </c>
      <c r="G46" s="114" t="s">
        <v>321</v>
      </c>
      <c r="H46" s="115" t="s">
        <v>303</v>
      </c>
      <c r="I46" s="117"/>
      <c r="J46" s="112" t="str">
        <f t="shared" si="0"/>
        <v>fortyfour</v>
      </c>
      <c r="K46" s="112" t="s">
        <v>453</v>
      </c>
    </row>
    <row r="47" spans="2:11" ht="17.5" x14ac:dyDescent="0.35">
      <c r="B47" s="112" t="s">
        <v>298</v>
      </c>
      <c r="F47" s="112">
        <v>45</v>
      </c>
      <c r="G47" s="114" t="s">
        <v>321</v>
      </c>
      <c r="H47" s="115" t="s">
        <v>304</v>
      </c>
      <c r="I47" s="117"/>
      <c r="J47" s="112" t="str">
        <f t="shared" si="0"/>
        <v>fortyfive</v>
      </c>
      <c r="K47" s="112" t="s">
        <v>454</v>
      </c>
    </row>
    <row r="48" spans="2:11" ht="17.5" x14ac:dyDescent="0.35">
      <c r="B48" s="112" t="s">
        <v>298</v>
      </c>
      <c r="F48" s="112">
        <v>46</v>
      </c>
      <c r="G48" s="114" t="s">
        <v>321</v>
      </c>
      <c r="H48" s="115" t="s">
        <v>305</v>
      </c>
      <c r="I48" s="117"/>
      <c r="J48" s="112" t="str">
        <f t="shared" si="0"/>
        <v>fortysix</v>
      </c>
      <c r="K48" s="112" t="s">
        <v>455</v>
      </c>
    </row>
    <row r="49" spans="2:112" ht="17.5" x14ac:dyDescent="0.35">
      <c r="B49" s="112" t="s">
        <v>298</v>
      </c>
      <c r="F49" s="112">
        <v>47</v>
      </c>
      <c r="G49" s="114" t="s">
        <v>321</v>
      </c>
      <c r="H49" s="115" t="s">
        <v>306</v>
      </c>
      <c r="I49" s="117"/>
      <c r="J49" s="112" t="str">
        <f t="shared" si="0"/>
        <v>fortyseven</v>
      </c>
      <c r="K49" s="112" t="s">
        <v>456</v>
      </c>
    </row>
    <row r="50" spans="2:112" ht="17.5" x14ac:dyDescent="0.35">
      <c r="B50" s="112" t="s">
        <v>298</v>
      </c>
      <c r="F50" s="112">
        <v>48</v>
      </c>
      <c r="G50" s="114" t="s">
        <v>321</v>
      </c>
      <c r="H50" s="115" t="s">
        <v>307</v>
      </c>
      <c r="I50" s="117"/>
      <c r="J50" s="112" t="str">
        <f t="shared" si="0"/>
        <v>fortyeight</v>
      </c>
      <c r="K50" s="112" t="s">
        <v>457</v>
      </c>
    </row>
    <row r="51" spans="2:112" ht="17.5" x14ac:dyDescent="0.35">
      <c r="B51" s="112" t="s">
        <v>298</v>
      </c>
      <c r="F51" s="112">
        <v>49</v>
      </c>
      <c r="G51" s="114" t="s">
        <v>321</v>
      </c>
      <c r="H51" s="115" t="s">
        <v>308</v>
      </c>
      <c r="I51" s="117"/>
      <c r="J51" s="112" t="str">
        <f t="shared" si="0"/>
        <v>fortynine</v>
      </c>
      <c r="K51" s="112" t="s">
        <v>458</v>
      </c>
    </row>
    <row r="52" spans="2:112" ht="17.5" x14ac:dyDescent="0.35">
      <c r="B52" s="112" t="s">
        <v>298</v>
      </c>
      <c r="F52" s="112">
        <v>50</v>
      </c>
      <c r="G52" s="114" t="s">
        <v>322</v>
      </c>
      <c r="J52" s="112" t="str">
        <f t="shared" si="0"/>
        <v>fifty</v>
      </c>
      <c r="K52" s="112" t="s">
        <v>322</v>
      </c>
    </row>
    <row r="53" spans="2:112" ht="17.5" x14ac:dyDescent="0.35">
      <c r="B53" s="112" t="s">
        <v>298</v>
      </c>
      <c r="F53" s="112">
        <v>51</v>
      </c>
      <c r="G53" s="114" t="s">
        <v>322</v>
      </c>
      <c r="H53" s="114" t="s">
        <v>300</v>
      </c>
      <c r="I53" s="116"/>
      <c r="J53" s="112" t="str">
        <f t="shared" si="0"/>
        <v>fiftyone</v>
      </c>
      <c r="K53" s="112" t="s">
        <v>459</v>
      </c>
    </row>
    <row r="54" spans="2:112" ht="17.5" x14ac:dyDescent="0.35">
      <c r="B54" s="112" t="s">
        <v>298</v>
      </c>
      <c r="F54" s="112">
        <v>52</v>
      </c>
      <c r="G54" s="114" t="s">
        <v>322</v>
      </c>
      <c r="H54" s="114" t="s">
        <v>301</v>
      </c>
      <c r="I54" s="116"/>
      <c r="J54" s="112" t="str">
        <f t="shared" si="0"/>
        <v>fiftytwo</v>
      </c>
      <c r="K54" s="112" t="s">
        <v>460</v>
      </c>
    </row>
    <row r="55" spans="2:112" ht="17.5" x14ac:dyDescent="0.35">
      <c r="B55" s="112" t="s">
        <v>329</v>
      </c>
      <c r="F55" s="112">
        <v>53</v>
      </c>
      <c r="G55" s="114" t="s">
        <v>322</v>
      </c>
      <c r="H55" s="114" t="s">
        <v>302</v>
      </c>
      <c r="I55" s="116"/>
      <c r="J55" s="112" t="str">
        <f t="shared" si="0"/>
        <v>fiftythree</v>
      </c>
      <c r="K55" s="112" t="s">
        <v>461</v>
      </c>
      <c r="U55" s="112" t="s">
        <v>330</v>
      </c>
      <c r="V55" s="112" t="s">
        <v>331</v>
      </c>
      <c r="W55" s="112" t="s">
        <v>332</v>
      </c>
      <c r="X55" s="112" t="s">
        <v>333</v>
      </c>
      <c r="Y55" s="112" t="s">
        <v>334</v>
      </c>
      <c r="Z55" s="112" t="s">
        <v>335</v>
      </c>
      <c r="AA55" s="112" t="s">
        <v>336</v>
      </c>
      <c r="AB55" s="112" t="s">
        <v>337</v>
      </c>
      <c r="AC55" s="112" t="s">
        <v>338</v>
      </c>
      <c r="AD55" s="112" t="s">
        <v>339</v>
      </c>
      <c r="AE55" s="112" t="s">
        <v>340</v>
      </c>
      <c r="AF55" s="112" t="s">
        <v>341</v>
      </c>
      <c r="AG55" s="112" t="s">
        <v>342</v>
      </c>
      <c r="AH55" s="112" t="s">
        <v>343</v>
      </c>
      <c r="AI55" s="112" t="s">
        <v>344</v>
      </c>
      <c r="AJ55" s="112" t="s">
        <v>345</v>
      </c>
      <c r="AK55" s="112" t="s">
        <v>346</v>
      </c>
      <c r="AL55" s="112" t="s">
        <v>347</v>
      </c>
      <c r="AM55" s="112" t="s">
        <v>348</v>
      </c>
      <c r="AN55" s="112" t="s">
        <v>349</v>
      </c>
      <c r="AO55" s="112" t="s">
        <v>350</v>
      </c>
      <c r="AP55" s="112" t="s">
        <v>351</v>
      </c>
      <c r="AQ55" s="112" t="s">
        <v>352</v>
      </c>
      <c r="AR55" s="112" t="s">
        <v>353</v>
      </c>
      <c r="AS55" s="112" t="s">
        <v>354</v>
      </c>
      <c r="AT55" s="112" t="s">
        <v>355</v>
      </c>
      <c r="AU55" s="112" t="s">
        <v>356</v>
      </c>
      <c r="AV55" s="112" t="s">
        <v>357</v>
      </c>
      <c r="AW55" s="112" t="s">
        <v>358</v>
      </c>
      <c r="AX55" s="112" t="s">
        <v>359</v>
      </c>
      <c r="AY55" s="112" t="s">
        <v>360</v>
      </c>
      <c r="AZ55" s="112" t="s">
        <v>361</v>
      </c>
      <c r="BA55" s="112" t="s">
        <v>362</v>
      </c>
      <c r="BB55" s="112" t="s">
        <v>363</v>
      </c>
      <c r="BC55" s="112" t="s">
        <v>364</v>
      </c>
      <c r="BD55" s="112" t="s">
        <v>365</v>
      </c>
      <c r="BE55" s="112" t="s">
        <v>366</v>
      </c>
      <c r="BF55" s="112" t="s">
        <v>367</v>
      </c>
      <c r="BG55" s="112" t="s">
        <v>368</v>
      </c>
      <c r="BH55" s="112" t="s">
        <v>369</v>
      </c>
      <c r="BI55" s="112" t="s">
        <v>370</v>
      </c>
      <c r="BJ55" s="112" t="s">
        <v>371</v>
      </c>
      <c r="BK55" s="112" t="s">
        <v>372</v>
      </c>
      <c r="BL55" s="112" t="s">
        <v>373</v>
      </c>
      <c r="BM55" s="112" t="s">
        <v>374</v>
      </c>
      <c r="BN55" s="112" t="s">
        <v>375</v>
      </c>
      <c r="BO55" s="112" t="s">
        <v>376</v>
      </c>
      <c r="BP55" s="112" t="s">
        <v>377</v>
      </c>
      <c r="BQ55" s="112" t="s">
        <v>378</v>
      </c>
      <c r="BR55" s="112" t="s">
        <v>379</v>
      </c>
      <c r="BS55" s="112" t="s">
        <v>380</v>
      </c>
      <c r="BT55" s="112" t="s">
        <v>381</v>
      </c>
      <c r="BU55" s="112" t="s">
        <v>382</v>
      </c>
      <c r="BV55" s="112" t="s">
        <v>383</v>
      </c>
      <c r="BW55" s="112" t="s">
        <v>384</v>
      </c>
      <c r="BX55" s="112" t="s">
        <v>385</v>
      </c>
      <c r="BY55" s="112" t="s">
        <v>386</v>
      </c>
      <c r="BZ55" s="112" t="s">
        <v>387</v>
      </c>
      <c r="CA55" s="112" t="s">
        <v>388</v>
      </c>
      <c r="CB55" s="112" t="s">
        <v>389</v>
      </c>
      <c r="CC55" s="112" t="s">
        <v>390</v>
      </c>
      <c r="CD55" s="112" t="s">
        <v>391</v>
      </c>
      <c r="CE55" s="112" t="s">
        <v>392</v>
      </c>
      <c r="CF55" s="112" t="s">
        <v>393</v>
      </c>
      <c r="CG55" s="112" t="s">
        <v>394</v>
      </c>
      <c r="CH55" s="112" t="s">
        <v>395</v>
      </c>
      <c r="CI55" s="112" t="s">
        <v>396</v>
      </c>
      <c r="CJ55" s="112" t="s">
        <v>397</v>
      </c>
      <c r="CK55" s="112" t="s">
        <v>398</v>
      </c>
      <c r="CL55" s="112" t="s">
        <v>399</v>
      </c>
      <c r="CM55" s="112" t="s">
        <v>400</v>
      </c>
      <c r="CN55" s="112" t="s">
        <v>401</v>
      </c>
      <c r="CO55" s="112" t="s">
        <v>402</v>
      </c>
      <c r="CP55" s="112" t="s">
        <v>403</v>
      </c>
      <c r="CQ55" s="112" t="s">
        <v>404</v>
      </c>
      <c r="CR55" s="112" t="s">
        <v>405</v>
      </c>
      <c r="CS55" s="112" t="s">
        <v>406</v>
      </c>
      <c r="CT55" s="112" t="s">
        <v>407</v>
      </c>
      <c r="CU55" s="112" t="s">
        <v>408</v>
      </c>
      <c r="CV55" s="112" t="s">
        <v>409</v>
      </c>
      <c r="CW55" s="112" t="s">
        <v>410</v>
      </c>
      <c r="CX55" s="112" t="s">
        <v>411</v>
      </c>
      <c r="CY55" s="112" t="s">
        <v>412</v>
      </c>
      <c r="CZ55" s="112" t="s">
        <v>413</v>
      </c>
      <c r="DA55" s="112" t="s">
        <v>414</v>
      </c>
      <c r="DB55" s="112" t="s">
        <v>415</v>
      </c>
      <c r="DC55" s="112" t="s">
        <v>416</v>
      </c>
      <c r="DD55" s="112" t="s">
        <v>417</v>
      </c>
      <c r="DE55" s="112" t="s">
        <v>418</v>
      </c>
      <c r="DF55" s="112" t="s">
        <v>419</v>
      </c>
      <c r="DG55" s="112" t="s">
        <v>420</v>
      </c>
      <c r="DH55" s="112" t="s">
        <v>421</v>
      </c>
    </row>
    <row r="56" spans="2:112" ht="17.5" x14ac:dyDescent="0.35">
      <c r="B56" s="112" t="s">
        <v>329</v>
      </c>
      <c r="F56" s="112">
        <v>54</v>
      </c>
      <c r="G56" s="114" t="s">
        <v>322</v>
      </c>
      <c r="H56" s="115" t="s">
        <v>303</v>
      </c>
      <c r="I56" s="117"/>
      <c r="J56" s="112" t="str">
        <f t="shared" si="0"/>
        <v>fiftyfour</v>
      </c>
      <c r="K56" s="112" t="s">
        <v>462</v>
      </c>
    </row>
    <row r="57" spans="2:112" ht="17.5" x14ac:dyDescent="0.35">
      <c r="B57" s="112" t="s">
        <v>329</v>
      </c>
      <c r="C57" s="118"/>
      <c r="D57" s="118"/>
      <c r="E57" s="118"/>
      <c r="F57" s="112">
        <v>55</v>
      </c>
      <c r="G57" s="114" t="s">
        <v>322</v>
      </c>
      <c r="H57" s="115" t="s">
        <v>304</v>
      </c>
      <c r="I57" s="117"/>
      <c r="J57" s="112" t="str">
        <f t="shared" si="0"/>
        <v>fiftyfive</v>
      </c>
      <c r="K57" s="118" t="s">
        <v>463</v>
      </c>
      <c r="M57" s="118"/>
    </row>
    <row r="58" spans="2:112" ht="17.5" x14ac:dyDescent="0.35">
      <c r="B58" s="112" t="s">
        <v>329</v>
      </c>
      <c r="C58" s="118"/>
      <c r="D58" s="118"/>
      <c r="E58" s="118"/>
      <c r="F58" s="112">
        <v>56</v>
      </c>
      <c r="G58" s="114" t="s">
        <v>322</v>
      </c>
      <c r="H58" s="115" t="s">
        <v>305</v>
      </c>
      <c r="I58" s="117"/>
      <c r="J58" s="112" t="str">
        <f t="shared" si="0"/>
        <v>fiftysix</v>
      </c>
      <c r="K58" s="118" t="s">
        <v>464</v>
      </c>
      <c r="M58" s="118"/>
    </row>
    <row r="59" spans="2:112" ht="17.5" x14ac:dyDescent="0.35">
      <c r="B59" s="112" t="s">
        <v>329</v>
      </c>
      <c r="C59" s="118"/>
      <c r="D59" s="118"/>
      <c r="E59" s="118"/>
      <c r="F59" s="112">
        <v>57</v>
      </c>
      <c r="G59" s="114" t="s">
        <v>322</v>
      </c>
      <c r="H59" s="115" t="s">
        <v>306</v>
      </c>
      <c r="I59" s="117"/>
      <c r="J59" s="112" t="str">
        <f t="shared" si="0"/>
        <v>fiftyseven</v>
      </c>
      <c r="K59" s="118" t="s">
        <v>465</v>
      </c>
      <c r="M59" s="118"/>
    </row>
    <row r="60" spans="2:112" ht="17.5" x14ac:dyDescent="0.35">
      <c r="B60" s="112" t="s">
        <v>329</v>
      </c>
      <c r="C60" s="118"/>
      <c r="D60" s="118"/>
      <c r="E60" s="118"/>
      <c r="F60" s="112">
        <v>58</v>
      </c>
      <c r="G60" s="114" t="s">
        <v>322</v>
      </c>
      <c r="H60" s="115" t="s">
        <v>307</v>
      </c>
      <c r="I60" s="117"/>
      <c r="J60" s="112" t="str">
        <f t="shared" si="0"/>
        <v>fiftyeight</v>
      </c>
      <c r="K60" s="118" t="s">
        <v>466</v>
      </c>
      <c r="M60" s="118"/>
    </row>
    <row r="61" spans="2:112" ht="17.5" x14ac:dyDescent="0.35">
      <c r="B61" s="112" t="s">
        <v>329</v>
      </c>
      <c r="C61" s="118"/>
      <c r="D61" s="118"/>
      <c r="E61" s="118"/>
      <c r="F61" s="112">
        <v>59</v>
      </c>
      <c r="G61" s="114" t="s">
        <v>322</v>
      </c>
      <c r="H61" s="115" t="s">
        <v>308</v>
      </c>
      <c r="I61" s="117"/>
      <c r="J61" s="112" t="str">
        <f t="shared" si="0"/>
        <v>fiftynine</v>
      </c>
      <c r="K61" s="118" t="s">
        <v>467</v>
      </c>
      <c r="M61" s="118"/>
    </row>
    <row r="62" spans="2:112" ht="17.5" x14ac:dyDescent="0.35">
      <c r="B62" s="112" t="s">
        <v>329</v>
      </c>
      <c r="C62" s="118"/>
      <c r="D62" s="118"/>
      <c r="E62" s="118"/>
      <c r="F62" s="112">
        <v>60</v>
      </c>
      <c r="G62" s="114" t="s">
        <v>323</v>
      </c>
      <c r="H62" s="118"/>
      <c r="I62" s="118"/>
      <c r="J62" s="112" t="str">
        <f t="shared" si="0"/>
        <v>sixty</v>
      </c>
      <c r="K62" s="118" t="s">
        <v>323</v>
      </c>
      <c r="M62" s="118"/>
    </row>
    <row r="63" spans="2:112" ht="17.5" x14ac:dyDescent="0.35">
      <c r="B63" s="112" t="s">
        <v>329</v>
      </c>
      <c r="C63" s="118"/>
      <c r="D63" s="118"/>
      <c r="E63" s="118"/>
      <c r="F63" s="112">
        <v>61</v>
      </c>
      <c r="G63" s="114" t="s">
        <v>323</v>
      </c>
      <c r="H63" s="114" t="s">
        <v>300</v>
      </c>
      <c r="I63" s="116"/>
      <c r="J63" s="112" t="str">
        <f t="shared" si="0"/>
        <v>sixtyone</v>
      </c>
      <c r="K63" s="118" t="s">
        <v>468</v>
      </c>
      <c r="M63" s="118"/>
    </row>
    <row r="64" spans="2:112" ht="17.5" x14ac:dyDescent="0.35">
      <c r="B64" s="112" t="s">
        <v>329</v>
      </c>
      <c r="F64" s="112">
        <v>62</v>
      </c>
      <c r="G64" s="114" t="s">
        <v>323</v>
      </c>
      <c r="H64" s="114" t="s">
        <v>301</v>
      </c>
      <c r="I64" s="116"/>
      <c r="J64" s="112" t="str">
        <f t="shared" si="0"/>
        <v>sixtytwo</v>
      </c>
      <c r="K64" s="112" t="s">
        <v>469</v>
      </c>
    </row>
    <row r="65" spans="2:11" ht="17.5" x14ac:dyDescent="0.35">
      <c r="B65" s="112" t="s">
        <v>329</v>
      </c>
      <c r="F65" s="112">
        <v>63</v>
      </c>
      <c r="G65" s="114" t="s">
        <v>323</v>
      </c>
      <c r="H65" s="114" t="s">
        <v>302</v>
      </c>
      <c r="I65" s="116"/>
      <c r="J65" s="112" t="str">
        <f t="shared" si="0"/>
        <v>sixtythree</v>
      </c>
      <c r="K65" s="112" t="s">
        <v>470</v>
      </c>
    </row>
    <row r="66" spans="2:11" ht="17.5" x14ac:dyDescent="0.35">
      <c r="B66" s="112" t="s">
        <v>329</v>
      </c>
      <c r="F66" s="112">
        <v>64</v>
      </c>
      <c r="G66" s="114" t="s">
        <v>323</v>
      </c>
      <c r="H66" s="115" t="s">
        <v>303</v>
      </c>
      <c r="I66" s="117"/>
      <c r="J66" s="112" t="str">
        <f t="shared" si="0"/>
        <v>sixtyfour</v>
      </c>
      <c r="K66" s="112" t="s">
        <v>471</v>
      </c>
    </row>
    <row r="67" spans="2:11" ht="17.5" x14ac:dyDescent="0.35">
      <c r="B67" s="112" t="s">
        <v>329</v>
      </c>
      <c r="F67" s="112">
        <v>65</v>
      </c>
      <c r="G67" s="114" t="s">
        <v>323</v>
      </c>
      <c r="H67" s="115" t="s">
        <v>304</v>
      </c>
      <c r="I67" s="117"/>
      <c r="J67" s="112" t="str">
        <f t="shared" ref="J67:J101" si="1">G67&amp;H67</f>
        <v>sixtyfive</v>
      </c>
      <c r="K67" s="112" t="s">
        <v>472</v>
      </c>
    </row>
    <row r="68" spans="2:11" ht="17.5" x14ac:dyDescent="0.35">
      <c r="B68" s="112" t="s">
        <v>329</v>
      </c>
      <c r="F68" s="112">
        <v>66</v>
      </c>
      <c r="G68" s="114" t="s">
        <v>323</v>
      </c>
      <c r="H68" s="115" t="s">
        <v>305</v>
      </c>
      <c r="I68" s="117"/>
      <c r="J68" s="112" t="str">
        <f t="shared" si="1"/>
        <v>sixtysix</v>
      </c>
      <c r="K68" s="112" t="s">
        <v>473</v>
      </c>
    </row>
    <row r="69" spans="2:11" ht="17.5" x14ac:dyDescent="0.35">
      <c r="B69" s="112" t="s">
        <v>329</v>
      </c>
      <c r="F69" s="112">
        <v>67</v>
      </c>
      <c r="G69" s="114" t="s">
        <v>323</v>
      </c>
      <c r="H69" s="115" t="s">
        <v>306</v>
      </c>
      <c r="I69" s="117"/>
      <c r="J69" s="112" t="str">
        <f t="shared" si="1"/>
        <v>sixtyseven</v>
      </c>
      <c r="K69" s="112" t="s">
        <v>474</v>
      </c>
    </row>
    <row r="70" spans="2:11" ht="17.5" x14ac:dyDescent="0.35">
      <c r="B70" s="112" t="s">
        <v>329</v>
      </c>
      <c r="F70" s="112">
        <v>68</v>
      </c>
      <c r="G70" s="114" t="s">
        <v>323</v>
      </c>
      <c r="H70" s="115" t="s">
        <v>307</v>
      </c>
      <c r="I70" s="117"/>
      <c r="J70" s="112" t="str">
        <f t="shared" si="1"/>
        <v>sixtyeight</v>
      </c>
      <c r="K70" s="112" t="s">
        <v>475</v>
      </c>
    </row>
    <row r="71" spans="2:11" ht="17.5" x14ac:dyDescent="0.35">
      <c r="B71" s="112" t="s">
        <v>329</v>
      </c>
      <c r="F71" s="112">
        <v>69</v>
      </c>
      <c r="G71" s="114" t="s">
        <v>323</v>
      </c>
      <c r="H71" s="115" t="s">
        <v>308</v>
      </c>
      <c r="I71" s="117"/>
      <c r="J71" s="112" t="str">
        <f t="shared" si="1"/>
        <v>sixtynine</v>
      </c>
      <c r="K71" s="112" t="s">
        <v>476</v>
      </c>
    </row>
    <row r="72" spans="2:11" ht="35" x14ac:dyDescent="0.35">
      <c r="B72" s="112" t="s">
        <v>329</v>
      </c>
      <c r="F72" s="112">
        <v>70</v>
      </c>
      <c r="G72" s="114" t="s">
        <v>324</v>
      </c>
      <c r="J72" s="112" t="str">
        <f t="shared" si="1"/>
        <v>seventy</v>
      </c>
      <c r="K72" s="112" t="s">
        <v>324</v>
      </c>
    </row>
    <row r="73" spans="2:11" ht="35" x14ac:dyDescent="0.35">
      <c r="B73" s="112" t="s">
        <v>329</v>
      </c>
      <c r="F73" s="112">
        <v>71</v>
      </c>
      <c r="G73" s="114" t="s">
        <v>324</v>
      </c>
      <c r="H73" s="114" t="s">
        <v>300</v>
      </c>
      <c r="I73" s="116"/>
      <c r="J73" s="112" t="str">
        <f t="shared" si="1"/>
        <v>seventyone</v>
      </c>
      <c r="K73" s="112" t="s">
        <v>477</v>
      </c>
    </row>
    <row r="74" spans="2:11" ht="35" x14ac:dyDescent="0.35">
      <c r="B74" s="112" t="s">
        <v>329</v>
      </c>
      <c r="F74" s="112">
        <v>72</v>
      </c>
      <c r="G74" s="114" t="s">
        <v>324</v>
      </c>
      <c r="H74" s="114" t="s">
        <v>301</v>
      </c>
      <c r="I74" s="116"/>
      <c r="J74" s="112" t="str">
        <f t="shared" si="1"/>
        <v>seventytwo</v>
      </c>
      <c r="K74" s="112" t="s">
        <v>478</v>
      </c>
    </row>
    <row r="75" spans="2:11" ht="35" x14ac:dyDescent="0.35">
      <c r="B75" s="112" t="s">
        <v>329</v>
      </c>
      <c r="F75" s="112">
        <v>73</v>
      </c>
      <c r="G75" s="114" t="s">
        <v>324</v>
      </c>
      <c r="H75" s="114" t="s">
        <v>302</v>
      </c>
      <c r="I75" s="116"/>
      <c r="J75" s="112" t="str">
        <f t="shared" si="1"/>
        <v>seventythree</v>
      </c>
      <c r="K75" s="112" t="s">
        <v>479</v>
      </c>
    </row>
    <row r="76" spans="2:11" ht="35" x14ac:dyDescent="0.35">
      <c r="B76" s="112" t="s">
        <v>329</v>
      </c>
      <c r="F76" s="112">
        <v>74</v>
      </c>
      <c r="G76" s="114" t="s">
        <v>324</v>
      </c>
      <c r="H76" s="115" t="s">
        <v>303</v>
      </c>
      <c r="I76" s="117"/>
      <c r="J76" s="112" t="str">
        <f t="shared" si="1"/>
        <v>seventyfour</v>
      </c>
      <c r="K76" s="112" t="s">
        <v>480</v>
      </c>
    </row>
    <row r="77" spans="2:11" ht="35" x14ac:dyDescent="0.35">
      <c r="B77" s="112" t="s">
        <v>329</v>
      </c>
      <c r="F77" s="112">
        <v>75</v>
      </c>
      <c r="G77" s="114" t="s">
        <v>324</v>
      </c>
      <c r="H77" s="115" t="s">
        <v>304</v>
      </c>
      <c r="I77" s="117"/>
      <c r="J77" s="112" t="str">
        <f t="shared" si="1"/>
        <v>seventyfive</v>
      </c>
      <c r="K77" s="112" t="s">
        <v>481</v>
      </c>
    </row>
    <row r="78" spans="2:11" ht="35" x14ac:dyDescent="0.35">
      <c r="B78" s="112" t="s">
        <v>329</v>
      </c>
      <c r="F78" s="112">
        <v>76</v>
      </c>
      <c r="G78" s="114" t="s">
        <v>324</v>
      </c>
      <c r="H78" s="115" t="s">
        <v>305</v>
      </c>
      <c r="I78" s="117"/>
      <c r="J78" s="112" t="str">
        <f t="shared" si="1"/>
        <v>seventysix</v>
      </c>
      <c r="K78" s="112" t="s">
        <v>482</v>
      </c>
    </row>
    <row r="79" spans="2:11" ht="35" x14ac:dyDescent="0.35">
      <c r="B79" s="112" t="s">
        <v>329</v>
      </c>
      <c r="F79" s="112">
        <v>77</v>
      </c>
      <c r="G79" s="114" t="s">
        <v>324</v>
      </c>
      <c r="H79" s="115" t="s">
        <v>306</v>
      </c>
      <c r="I79" s="117"/>
      <c r="J79" s="112" t="str">
        <f t="shared" si="1"/>
        <v>seventyseven</v>
      </c>
      <c r="K79" s="112" t="s">
        <v>483</v>
      </c>
    </row>
    <row r="80" spans="2:11" ht="35" x14ac:dyDescent="0.35">
      <c r="B80" s="112" t="s">
        <v>329</v>
      </c>
      <c r="F80" s="112">
        <v>78</v>
      </c>
      <c r="G80" s="114" t="s">
        <v>324</v>
      </c>
      <c r="H80" s="115" t="s">
        <v>307</v>
      </c>
      <c r="I80" s="117"/>
      <c r="J80" s="112" t="str">
        <f t="shared" si="1"/>
        <v>seventyeight</v>
      </c>
      <c r="K80" s="112" t="s">
        <v>484</v>
      </c>
    </row>
    <row r="81" spans="2:11" ht="35" x14ac:dyDescent="0.35">
      <c r="B81" s="112" t="s">
        <v>329</v>
      </c>
      <c r="F81" s="112">
        <v>79</v>
      </c>
      <c r="G81" s="114" t="s">
        <v>324</v>
      </c>
      <c r="H81" s="115" t="s">
        <v>308</v>
      </c>
      <c r="I81" s="117"/>
      <c r="J81" s="112" t="str">
        <f t="shared" si="1"/>
        <v>seventynine</v>
      </c>
      <c r="K81" s="112" t="s">
        <v>485</v>
      </c>
    </row>
    <row r="82" spans="2:11" ht="17.5" x14ac:dyDescent="0.35">
      <c r="B82" s="112" t="s">
        <v>329</v>
      </c>
      <c r="F82" s="112">
        <v>80</v>
      </c>
      <c r="G82" s="114" t="s">
        <v>325</v>
      </c>
      <c r="J82" s="112" t="str">
        <f t="shared" si="1"/>
        <v>eighty</v>
      </c>
      <c r="K82" s="112" t="s">
        <v>325</v>
      </c>
    </row>
    <row r="83" spans="2:11" ht="17.5" x14ac:dyDescent="0.35">
      <c r="B83" s="112" t="s">
        <v>329</v>
      </c>
      <c r="F83" s="112">
        <v>81</v>
      </c>
      <c r="G83" s="114" t="s">
        <v>325</v>
      </c>
      <c r="H83" s="114" t="s">
        <v>300</v>
      </c>
      <c r="I83" s="116"/>
      <c r="J83" s="112" t="str">
        <f t="shared" si="1"/>
        <v>eightyone</v>
      </c>
      <c r="K83" s="112" t="s">
        <v>486</v>
      </c>
    </row>
    <row r="84" spans="2:11" ht="17.5" x14ac:dyDescent="0.35">
      <c r="B84" s="112" t="s">
        <v>329</v>
      </c>
      <c r="F84" s="112">
        <v>82</v>
      </c>
      <c r="G84" s="114" t="s">
        <v>325</v>
      </c>
      <c r="H84" s="114" t="s">
        <v>301</v>
      </c>
      <c r="I84" s="116"/>
      <c r="J84" s="112" t="str">
        <f t="shared" si="1"/>
        <v>eightytwo</v>
      </c>
      <c r="K84" s="112" t="s">
        <v>487</v>
      </c>
    </row>
    <row r="85" spans="2:11" ht="17.5" x14ac:dyDescent="0.35">
      <c r="B85" s="112" t="s">
        <v>329</v>
      </c>
      <c r="F85" s="112">
        <v>83</v>
      </c>
      <c r="G85" s="114" t="s">
        <v>325</v>
      </c>
      <c r="H85" s="114" t="s">
        <v>302</v>
      </c>
      <c r="I85" s="116"/>
      <c r="J85" s="112" t="str">
        <f t="shared" si="1"/>
        <v>eightythree</v>
      </c>
      <c r="K85" s="112" t="s">
        <v>488</v>
      </c>
    </row>
    <row r="86" spans="2:11" ht="17.5" x14ac:dyDescent="0.35">
      <c r="B86" s="112" t="s">
        <v>329</v>
      </c>
      <c r="F86" s="112">
        <v>84</v>
      </c>
      <c r="G86" s="114" t="s">
        <v>325</v>
      </c>
      <c r="H86" s="115" t="s">
        <v>303</v>
      </c>
      <c r="I86" s="117"/>
      <c r="J86" s="112" t="str">
        <f t="shared" si="1"/>
        <v>eightyfour</v>
      </c>
      <c r="K86" s="112" t="s">
        <v>489</v>
      </c>
    </row>
    <row r="87" spans="2:11" ht="17.5" x14ac:dyDescent="0.35">
      <c r="B87" s="112" t="s">
        <v>329</v>
      </c>
      <c r="F87" s="112">
        <v>85</v>
      </c>
      <c r="G87" s="114" t="s">
        <v>325</v>
      </c>
      <c r="H87" s="115" t="s">
        <v>304</v>
      </c>
      <c r="I87" s="117"/>
      <c r="J87" s="112" t="str">
        <f t="shared" si="1"/>
        <v>eightyfive</v>
      </c>
      <c r="K87" s="112" t="s">
        <v>490</v>
      </c>
    </row>
    <row r="88" spans="2:11" ht="17.5" x14ac:dyDescent="0.35">
      <c r="B88" s="112" t="s">
        <v>329</v>
      </c>
      <c r="F88" s="112">
        <v>86</v>
      </c>
      <c r="G88" s="114" t="s">
        <v>325</v>
      </c>
      <c r="H88" s="115" t="s">
        <v>305</v>
      </c>
      <c r="I88" s="117"/>
      <c r="J88" s="112" t="str">
        <f t="shared" si="1"/>
        <v>eightysix</v>
      </c>
      <c r="K88" s="112" t="s">
        <v>491</v>
      </c>
    </row>
    <row r="89" spans="2:11" ht="17.5" x14ac:dyDescent="0.35">
      <c r="B89" s="112" t="s">
        <v>329</v>
      </c>
      <c r="F89" s="112">
        <v>87</v>
      </c>
      <c r="G89" s="114" t="s">
        <v>325</v>
      </c>
      <c r="H89" s="115" t="s">
        <v>306</v>
      </c>
      <c r="I89" s="117"/>
      <c r="J89" s="112" t="str">
        <f t="shared" si="1"/>
        <v>eightyseven</v>
      </c>
      <c r="K89" s="112" t="s">
        <v>492</v>
      </c>
    </row>
    <row r="90" spans="2:11" ht="17.5" x14ac:dyDescent="0.35">
      <c r="B90" s="112" t="s">
        <v>329</v>
      </c>
      <c r="F90" s="112">
        <v>88</v>
      </c>
      <c r="G90" s="114" t="s">
        <v>325</v>
      </c>
      <c r="H90" s="115" t="s">
        <v>307</v>
      </c>
      <c r="I90" s="117"/>
      <c r="J90" s="112" t="str">
        <f t="shared" si="1"/>
        <v>eightyeight</v>
      </c>
      <c r="K90" s="112" t="s">
        <v>493</v>
      </c>
    </row>
    <row r="91" spans="2:11" ht="17.5" x14ac:dyDescent="0.35">
      <c r="B91" s="112" t="s">
        <v>329</v>
      </c>
      <c r="F91" s="112">
        <v>89</v>
      </c>
      <c r="G91" s="114" t="s">
        <v>325</v>
      </c>
      <c r="H91" s="115" t="s">
        <v>308</v>
      </c>
      <c r="I91" s="117"/>
      <c r="J91" s="112" t="str">
        <f t="shared" si="1"/>
        <v>eightynine</v>
      </c>
      <c r="K91" s="112" t="s">
        <v>494</v>
      </c>
    </row>
    <row r="92" spans="2:11" ht="17.5" x14ac:dyDescent="0.35">
      <c r="B92" s="112" t="s">
        <v>329</v>
      </c>
      <c r="F92" s="112">
        <v>90</v>
      </c>
      <c r="G92" s="114" t="s">
        <v>326</v>
      </c>
      <c r="J92" s="112" t="str">
        <f t="shared" si="1"/>
        <v>ninety</v>
      </c>
      <c r="K92" s="112" t="s">
        <v>326</v>
      </c>
    </row>
    <row r="93" spans="2:11" ht="17.5" x14ac:dyDescent="0.35">
      <c r="B93" s="112" t="s">
        <v>329</v>
      </c>
      <c r="F93" s="112">
        <v>91</v>
      </c>
      <c r="G93" s="114" t="s">
        <v>326</v>
      </c>
      <c r="H93" s="114" t="s">
        <v>300</v>
      </c>
      <c r="I93" s="116"/>
      <c r="J93" s="112" t="str">
        <f t="shared" si="1"/>
        <v>ninetyone</v>
      </c>
      <c r="K93" s="112" t="s">
        <v>495</v>
      </c>
    </row>
    <row r="94" spans="2:11" ht="17.5" x14ac:dyDescent="0.35">
      <c r="B94" s="112" t="s">
        <v>329</v>
      </c>
      <c r="F94" s="112">
        <v>92</v>
      </c>
      <c r="G94" s="114" t="s">
        <v>326</v>
      </c>
      <c r="H94" s="114" t="s">
        <v>301</v>
      </c>
      <c r="I94" s="116"/>
      <c r="J94" s="112" t="str">
        <f t="shared" si="1"/>
        <v>ninetytwo</v>
      </c>
      <c r="K94" s="112" t="s">
        <v>496</v>
      </c>
    </row>
    <row r="95" spans="2:11" ht="17.5" x14ac:dyDescent="0.35">
      <c r="B95" s="112" t="s">
        <v>329</v>
      </c>
      <c r="F95" s="112">
        <v>93</v>
      </c>
      <c r="G95" s="114" t="s">
        <v>326</v>
      </c>
      <c r="H95" s="114" t="s">
        <v>302</v>
      </c>
      <c r="I95" s="116"/>
      <c r="J95" s="112" t="str">
        <f t="shared" si="1"/>
        <v>ninetythree</v>
      </c>
      <c r="K95" s="112" t="s">
        <v>497</v>
      </c>
    </row>
    <row r="96" spans="2:11" ht="17.5" x14ac:dyDescent="0.35">
      <c r="B96" s="112" t="s">
        <v>329</v>
      </c>
      <c r="F96" s="112">
        <v>94</v>
      </c>
      <c r="G96" s="114" t="s">
        <v>326</v>
      </c>
      <c r="H96" s="115" t="s">
        <v>303</v>
      </c>
      <c r="I96" s="117"/>
      <c r="J96" s="112" t="str">
        <f t="shared" si="1"/>
        <v>ninetyfour</v>
      </c>
      <c r="K96" s="112" t="s">
        <v>498</v>
      </c>
    </row>
    <row r="97" spans="2:29" ht="17.5" x14ac:dyDescent="0.35">
      <c r="B97" s="112" t="s">
        <v>329</v>
      </c>
      <c r="F97" s="112">
        <v>95</v>
      </c>
      <c r="G97" s="114" t="s">
        <v>326</v>
      </c>
      <c r="H97" s="115" t="s">
        <v>304</v>
      </c>
      <c r="I97" s="117"/>
      <c r="J97" s="112" t="str">
        <f t="shared" si="1"/>
        <v>ninetyfive</v>
      </c>
      <c r="K97" s="112" t="s">
        <v>499</v>
      </c>
    </row>
    <row r="98" spans="2:29" ht="17.5" x14ac:dyDescent="0.35">
      <c r="B98" s="112" t="s">
        <v>329</v>
      </c>
      <c r="F98" s="112">
        <v>96</v>
      </c>
      <c r="G98" s="114" t="s">
        <v>326</v>
      </c>
      <c r="H98" s="115" t="s">
        <v>305</v>
      </c>
      <c r="I98" s="117"/>
      <c r="J98" s="112" t="str">
        <f t="shared" si="1"/>
        <v>ninetysix</v>
      </c>
      <c r="K98" s="112" t="s">
        <v>500</v>
      </c>
    </row>
    <row r="99" spans="2:29" ht="17.5" x14ac:dyDescent="0.35">
      <c r="B99" s="112" t="s">
        <v>329</v>
      </c>
      <c r="F99" s="112">
        <v>97</v>
      </c>
      <c r="G99" s="114" t="s">
        <v>326</v>
      </c>
      <c r="H99" s="115" t="s">
        <v>306</v>
      </c>
      <c r="I99" s="117"/>
      <c r="J99" s="112" t="str">
        <f t="shared" si="1"/>
        <v>ninetyseven</v>
      </c>
      <c r="K99" s="112" t="s">
        <v>501</v>
      </c>
    </row>
    <row r="100" spans="2:29" ht="17.5" x14ac:dyDescent="0.35">
      <c r="B100" s="112" t="s">
        <v>329</v>
      </c>
      <c r="F100" s="112">
        <v>98</v>
      </c>
      <c r="G100" s="114" t="s">
        <v>326</v>
      </c>
      <c r="H100" s="115" t="s">
        <v>307</v>
      </c>
      <c r="I100" s="117"/>
      <c r="J100" s="112" t="str">
        <f t="shared" si="1"/>
        <v>ninetyeight</v>
      </c>
      <c r="K100" s="112" t="s">
        <v>502</v>
      </c>
    </row>
    <row r="101" spans="2:29" ht="17.5" x14ac:dyDescent="0.35">
      <c r="B101" s="112" t="s">
        <v>329</v>
      </c>
      <c r="F101" s="112">
        <v>99</v>
      </c>
      <c r="G101" s="114" t="s">
        <v>326</v>
      </c>
      <c r="H101" s="115" t="s">
        <v>308</v>
      </c>
      <c r="I101" s="117"/>
      <c r="J101" s="112" t="str">
        <f t="shared" si="1"/>
        <v>ninetynine</v>
      </c>
      <c r="K101" s="112" t="s">
        <v>503</v>
      </c>
    </row>
    <row r="102" spans="2:29" ht="17.5" x14ac:dyDescent="0.35">
      <c r="B102" s="112" t="s">
        <v>329</v>
      </c>
      <c r="F102" s="112">
        <v>100</v>
      </c>
      <c r="G102" s="114" t="s">
        <v>300</v>
      </c>
      <c r="H102" s="112" t="s">
        <v>422</v>
      </c>
      <c r="I102" s="112" t="s">
        <v>422</v>
      </c>
      <c r="J102" s="112" t="str">
        <f t="shared" ref="J102:J165" si="2">G102&amp;H102&amp;I102</f>
        <v>onezerozero</v>
      </c>
      <c r="K102" s="112" t="s">
        <v>504</v>
      </c>
    </row>
    <row r="103" spans="2:29" ht="17.5" x14ac:dyDescent="0.35">
      <c r="B103" s="112" t="s">
        <v>329</v>
      </c>
      <c r="F103" s="112">
        <v>101</v>
      </c>
      <c r="G103" s="114" t="s">
        <v>300</v>
      </c>
      <c r="H103" s="112" t="s">
        <v>422</v>
      </c>
      <c r="I103" s="114" t="s">
        <v>300</v>
      </c>
      <c r="J103" s="112" t="str">
        <f t="shared" si="2"/>
        <v>onezeroone</v>
      </c>
      <c r="K103" s="114" t="s">
        <v>505</v>
      </c>
      <c r="U103" s="112" t="s">
        <v>423</v>
      </c>
      <c r="V103" s="112" t="s">
        <v>424</v>
      </c>
      <c r="W103" s="112" t="s">
        <v>425</v>
      </c>
      <c r="X103" s="112" t="s">
        <v>426</v>
      </c>
      <c r="Y103" s="112" t="s">
        <v>427</v>
      </c>
      <c r="Z103" s="112" t="s">
        <v>428</v>
      </c>
      <c r="AA103" s="112" t="s">
        <v>429</v>
      </c>
      <c r="AB103" s="112" t="s">
        <v>430</v>
      </c>
      <c r="AC103" s="112" t="s">
        <v>431</v>
      </c>
    </row>
    <row r="104" spans="2:29" ht="17.5" x14ac:dyDescent="0.35">
      <c r="B104" s="112" t="s">
        <v>329</v>
      </c>
      <c r="F104" s="112">
        <v>102</v>
      </c>
      <c r="G104" s="114" t="s">
        <v>300</v>
      </c>
      <c r="H104" s="112" t="s">
        <v>422</v>
      </c>
      <c r="I104" s="114" t="s">
        <v>301</v>
      </c>
      <c r="J104" s="112" t="str">
        <f t="shared" si="2"/>
        <v>onezerotwo</v>
      </c>
      <c r="K104" s="114" t="s">
        <v>506</v>
      </c>
    </row>
    <row r="105" spans="2:29" ht="17.5" x14ac:dyDescent="0.35">
      <c r="B105" s="112" t="s">
        <v>329</v>
      </c>
      <c r="F105" s="112">
        <v>103</v>
      </c>
      <c r="G105" s="114" t="s">
        <v>300</v>
      </c>
      <c r="H105" s="112" t="s">
        <v>422</v>
      </c>
      <c r="I105" s="114" t="s">
        <v>302</v>
      </c>
      <c r="J105" s="112" t="str">
        <f t="shared" si="2"/>
        <v>onezerothree</v>
      </c>
      <c r="K105" s="114" t="s">
        <v>507</v>
      </c>
    </row>
    <row r="106" spans="2:29" ht="17.5" x14ac:dyDescent="0.35">
      <c r="B106" s="112" t="s">
        <v>329</v>
      </c>
      <c r="F106" s="112">
        <v>104</v>
      </c>
      <c r="G106" s="114" t="s">
        <v>300</v>
      </c>
      <c r="H106" s="112" t="s">
        <v>422</v>
      </c>
      <c r="I106" s="115" t="s">
        <v>303</v>
      </c>
      <c r="J106" s="112" t="str">
        <f t="shared" si="2"/>
        <v>onezerofour</v>
      </c>
      <c r="K106" s="115" t="s">
        <v>508</v>
      </c>
    </row>
    <row r="107" spans="2:29" ht="17.5" x14ac:dyDescent="0.35">
      <c r="B107" s="112" t="s">
        <v>329</v>
      </c>
      <c r="F107" s="112">
        <v>105</v>
      </c>
      <c r="G107" s="114" t="s">
        <v>300</v>
      </c>
      <c r="H107" s="112" t="s">
        <v>422</v>
      </c>
      <c r="I107" s="115" t="s">
        <v>304</v>
      </c>
      <c r="J107" s="112" t="str">
        <f t="shared" si="2"/>
        <v>onezerofive</v>
      </c>
      <c r="K107" s="115" t="s">
        <v>509</v>
      </c>
    </row>
    <row r="108" spans="2:29" ht="17.5" x14ac:dyDescent="0.35">
      <c r="B108" s="112" t="s">
        <v>329</v>
      </c>
      <c r="F108" s="112">
        <v>106</v>
      </c>
      <c r="G108" s="114" t="s">
        <v>300</v>
      </c>
      <c r="H108" s="112" t="s">
        <v>422</v>
      </c>
      <c r="I108" s="115" t="s">
        <v>305</v>
      </c>
      <c r="J108" s="112" t="str">
        <f t="shared" si="2"/>
        <v>onezerosix</v>
      </c>
      <c r="K108" s="115" t="s">
        <v>510</v>
      </c>
    </row>
    <row r="109" spans="2:29" ht="17.5" x14ac:dyDescent="0.35">
      <c r="B109" s="112" t="s">
        <v>329</v>
      </c>
      <c r="F109" s="112">
        <v>107</v>
      </c>
      <c r="G109" s="114" t="s">
        <v>300</v>
      </c>
      <c r="H109" s="112" t="s">
        <v>422</v>
      </c>
      <c r="I109" s="115" t="s">
        <v>306</v>
      </c>
      <c r="J109" s="112" t="str">
        <f t="shared" si="2"/>
        <v>onezeroseven</v>
      </c>
      <c r="K109" s="115" t="s">
        <v>511</v>
      </c>
    </row>
    <row r="110" spans="2:29" ht="17.5" x14ac:dyDescent="0.35">
      <c r="B110" s="112" t="s">
        <v>329</v>
      </c>
      <c r="F110" s="112">
        <v>108</v>
      </c>
      <c r="G110" s="114" t="s">
        <v>300</v>
      </c>
      <c r="H110" s="112" t="s">
        <v>422</v>
      </c>
      <c r="I110" s="115" t="s">
        <v>307</v>
      </c>
      <c r="J110" s="112" t="str">
        <f t="shared" si="2"/>
        <v>onezeroeight</v>
      </c>
      <c r="K110" s="115" t="s">
        <v>512</v>
      </c>
    </row>
    <row r="111" spans="2:29" ht="17.5" x14ac:dyDescent="0.35">
      <c r="B111" s="112" t="s">
        <v>329</v>
      </c>
      <c r="F111" s="112">
        <v>109</v>
      </c>
      <c r="G111" s="114" t="s">
        <v>300</v>
      </c>
      <c r="H111" s="112" t="s">
        <v>422</v>
      </c>
      <c r="I111" s="115" t="s">
        <v>308</v>
      </c>
      <c r="J111" s="112" t="str">
        <f t="shared" si="2"/>
        <v>onezeronine</v>
      </c>
      <c r="K111" s="115" t="s">
        <v>513</v>
      </c>
    </row>
    <row r="112" spans="2:29" ht="17.5" x14ac:dyDescent="0.35">
      <c r="B112" s="112" t="s">
        <v>329</v>
      </c>
      <c r="F112" s="112">
        <v>110</v>
      </c>
      <c r="G112" s="114" t="s">
        <v>300</v>
      </c>
      <c r="H112" s="114" t="s">
        <v>300</v>
      </c>
      <c r="I112" s="112" t="s">
        <v>422</v>
      </c>
      <c r="J112" s="112" t="str">
        <f t="shared" si="2"/>
        <v>oneonezero</v>
      </c>
      <c r="K112" s="112" t="s">
        <v>514</v>
      </c>
    </row>
    <row r="113" spans="2:11" ht="17.5" x14ac:dyDescent="0.35">
      <c r="B113" s="112" t="s">
        <v>329</v>
      </c>
      <c r="F113" s="112">
        <v>111</v>
      </c>
      <c r="G113" s="114" t="s">
        <v>300</v>
      </c>
      <c r="H113" s="114" t="s">
        <v>300</v>
      </c>
      <c r="I113" s="114" t="s">
        <v>300</v>
      </c>
      <c r="J113" s="112" t="str">
        <f t="shared" si="2"/>
        <v>oneoneone</v>
      </c>
      <c r="K113" s="112" t="s">
        <v>515</v>
      </c>
    </row>
    <row r="114" spans="2:11" ht="17.5" x14ac:dyDescent="0.35">
      <c r="B114" s="112" t="s">
        <v>329</v>
      </c>
      <c r="F114" s="112">
        <v>112</v>
      </c>
      <c r="G114" s="114" t="s">
        <v>300</v>
      </c>
      <c r="H114" s="114" t="s">
        <v>300</v>
      </c>
      <c r="I114" s="114" t="s">
        <v>301</v>
      </c>
      <c r="J114" s="112" t="str">
        <f t="shared" si="2"/>
        <v>oneonetwo</v>
      </c>
      <c r="K114" s="112" t="s">
        <v>516</v>
      </c>
    </row>
    <row r="115" spans="2:11" ht="17.5" x14ac:dyDescent="0.35">
      <c r="B115" s="112" t="s">
        <v>329</v>
      </c>
      <c r="F115" s="112">
        <v>113</v>
      </c>
      <c r="G115" s="114" t="s">
        <v>300</v>
      </c>
      <c r="H115" s="114" t="s">
        <v>300</v>
      </c>
      <c r="I115" s="114" t="s">
        <v>302</v>
      </c>
      <c r="J115" s="112" t="str">
        <f t="shared" si="2"/>
        <v>oneonethree</v>
      </c>
      <c r="K115" s="112" t="s">
        <v>517</v>
      </c>
    </row>
    <row r="116" spans="2:11" ht="17.5" x14ac:dyDescent="0.35">
      <c r="B116" s="112" t="s">
        <v>329</v>
      </c>
      <c r="F116" s="112">
        <v>114</v>
      </c>
      <c r="G116" s="114" t="s">
        <v>300</v>
      </c>
      <c r="H116" s="114" t="s">
        <v>300</v>
      </c>
      <c r="I116" s="115" t="s">
        <v>303</v>
      </c>
      <c r="J116" s="112" t="str">
        <f t="shared" si="2"/>
        <v>oneonefour</v>
      </c>
      <c r="K116" s="112" t="s">
        <v>518</v>
      </c>
    </row>
    <row r="117" spans="2:11" ht="17.5" x14ac:dyDescent="0.35">
      <c r="B117" s="112" t="s">
        <v>329</v>
      </c>
      <c r="F117" s="112">
        <v>115</v>
      </c>
      <c r="G117" s="114" t="s">
        <v>300</v>
      </c>
      <c r="H117" s="114" t="s">
        <v>300</v>
      </c>
      <c r="I117" s="115" t="s">
        <v>304</v>
      </c>
      <c r="J117" s="112" t="str">
        <f t="shared" si="2"/>
        <v>oneonefive</v>
      </c>
      <c r="K117" s="112" t="s">
        <v>519</v>
      </c>
    </row>
    <row r="118" spans="2:11" ht="17.5" x14ac:dyDescent="0.35">
      <c r="B118" s="112" t="s">
        <v>329</v>
      </c>
      <c r="F118" s="112">
        <v>116</v>
      </c>
      <c r="G118" s="114" t="s">
        <v>300</v>
      </c>
      <c r="H118" s="114" t="s">
        <v>300</v>
      </c>
      <c r="I118" s="115" t="s">
        <v>305</v>
      </c>
      <c r="J118" s="112" t="str">
        <f t="shared" si="2"/>
        <v>oneonesix</v>
      </c>
      <c r="K118" s="112" t="s">
        <v>520</v>
      </c>
    </row>
    <row r="119" spans="2:11" ht="17.5" x14ac:dyDescent="0.35">
      <c r="B119" s="112" t="s">
        <v>329</v>
      </c>
      <c r="F119" s="112">
        <v>117</v>
      </c>
      <c r="G119" s="114" t="s">
        <v>300</v>
      </c>
      <c r="H119" s="114" t="s">
        <v>300</v>
      </c>
      <c r="I119" s="115" t="s">
        <v>306</v>
      </c>
      <c r="J119" s="112" t="str">
        <f t="shared" si="2"/>
        <v>oneoneseven</v>
      </c>
      <c r="K119" s="112" t="s">
        <v>521</v>
      </c>
    </row>
    <row r="120" spans="2:11" ht="17.5" x14ac:dyDescent="0.35">
      <c r="B120" s="112" t="s">
        <v>329</v>
      </c>
      <c r="F120" s="112">
        <v>118</v>
      </c>
      <c r="G120" s="114" t="s">
        <v>300</v>
      </c>
      <c r="H120" s="114" t="s">
        <v>300</v>
      </c>
      <c r="I120" s="115" t="s">
        <v>307</v>
      </c>
      <c r="J120" s="112" t="str">
        <f t="shared" si="2"/>
        <v>oneoneeight</v>
      </c>
      <c r="K120" s="112" t="s">
        <v>522</v>
      </c>
    </row>
    <row r="121" spans="2:11" ht="17.5" x14ac:dyDescent="0.35">
      <c r="B121" s="112" t="s">
        <v>329</v>
      </c>
      <c r="F121" s="112">
        <v>119</v>
      </c>
      <c r="G121" s="114" t="s">
        <v>300</v>
      </c>
      <c r="H121" s="114" t="s">
        <v>300</v>
      </c>
      <c r="I121" s="115" t="s">
        <v>308</v>
      </c>
      <c r="J121" s="112" t="str">
        <f t="shared" si="2"/>
        <v>oneonenine</v>
      </c>
      <c r="K121" s="112" t="s">
        <v>523</v>
      </c>
    </row>
    <row r="122" spans="2:11" ht="17.5" x14ac:dyDescent="0.35">
      <c r="B122" s="112" t="s">
        <v>329</v>
      </c>
      <c r="F122" s="112">
        <v>120</v>
      </c>
      <c r="G122" s="114" t="s">
        <v>300</v>
      </c>
      <c r="H122" s="112" t="s">
        <v>301</v>
      </c>
      <c r="I122" s="112" t="s">
        <v>422</v>
      </c>
      <c r="J122" s="112" t="str">
        <f t="shared" si="2"/>
        <v>onetwozero</v>
      </c>
      <c r="K122" s="112" t="s">
        <v>524</v>
      </c>
    </row>
    <row r="123" spans="2:11" ht="17.5" x14ac:dyDescent="0.35">
      <c r="B123" s="112" t="s">
        <v>329</v>
      </c>
      <c r="F123" s="112">
        <v>121</v>
      </c>
      <c r="G123" s="114" t="s">
        <v>300</v>
      </c>
      <c r="H123" s="112" t="s">
        <v>301</v>
      </c>
      <c r="I123" s="114" t="s">
        <v>300</v>
      </c>
      <c r="J123" s="112" t="str">
        <f t="shared" si="2"/>
        <v>onetwoone</v>
      </c>
      <c r="K123" s="112" t="s">
        <v>525</v>
      </c>
    </row>
    <row r="124" spans="2:11" ht="17.5" x14ac:dyDescent="0.35">
      <c r="B124" s="112" t="s">
        <v>329</v>
      </c>
      <c r="F124" s="112">
        <v>122</v>
      </c>
      <c r="G124" s="114" t="s">
        <v>300</v>
      </c>
      <c r="H124" s="112" t="s">
        <v>301</v>
      </c>
      <c r="I124" s="114" t="s">
        <v>301</v>
      </c>
      <c r="J124" s="112" t="str">
        <f t="shared" si="2"/>
        <v>onetwotwo</v>
      </c>
      <c r="K124" s="112" t="s">
        <v>526</v>
      </c>
    </row>
    <row r="125" spans="2:11" ht="17.5" x14ac:dyDescent="0.35">
      <c r="B125" s="112" t="s">
        <v>329</v>
      </c>
      <c r="F125" s="112">
        <v>123</v>
      </c>
      <c r="G125" s="114" t="s">
        <v>300</v>
      </c>
      <c r="H125" s="112" t="s">
        <v>301</v>
      </c>
      <c r="I125" s="114" t="s">
        <v>302</v>
      </c>
      <c r="J125" s="112" t="str">
        <f t="shared" si="2"/>
        <v>onetwothree</v>
      </c>
      <c r="K125" s="112" t="s">
        <v>527</v>
      </c>
    </row>
    <row r="126" spans="2:11" ht="17.5" x14ac:dyDescent="0.35">
      <c r="B126" s="112" t="s">
        <v>329</v>
      </c>
      <c r="F126" s="112">
        <v>124</v>
      </c>
      <c r="G126" s="114" t="s">
        <v>300</v>
      </c>
      <c r="H126" s="112" t="s">
        <v>301</v>
      </c>
      <c r="I126" s="115" t="s">
        <v>303</v>
      </c>
      <c r="J126" s="112" t="str">
        <f t="shared" si="2"/>
        <v>onetwofour</v>
      </c>
      <c r="K126" s="112" t="s">
        <v>528</v>
      </c>
    </row>
    <row r="127" spans="2:11" ht="17.5" x14ac:dyDescent="0.35">
      <c r="B127" s="112" t="s">
        <v>329</v>
      </c>
      <c r="F127" s="112">
        <v>125</v>
      </c>
      <c r="G127" s="114" t="s">
        <v>300</v>
      </c>
      <c r="H127" s="112" t="s">
        <v>301</v>
      </c>
      <c r="I127" s="115" t="s">
        <v>304</v>
      </c>
      <c r="J127" s="112" t="str">
        <f t="shared" si="2"/>
        <v>onetwofive</v>
      </c>
      <c r="K127" s="112" t="s">
        <v>529</v>
      </c>
    </row>
    <row r="128" spans="2:11" ht="17.5" x14ac:dyDescent="0.35">
      <c r="B128" s="112" t="s">
        <v>329</v>
      </c>
      <c r="F128" s="112">
        <v>126</v>
      </c>
      <c r="G128" s="114" t="s">
        <v>300</v>
      </c>
      <c r="H128" s="112" t="s">
        <v>301</v>
      </c>
      <c r="I128" s="115" t="s">
        <v>305</v>
      </c>
      <c r="J128" s="112" t="str">
        <f t="shared" si="2"/>
        <v>onetwosix</v>
      </c>
      <c r="K128" s="112" t="s">
        <v>530</v>
      </c>
    </row>
    <row r="129" spans="2:11" ht="17.5" x14ac:dyDescent="0.35">
      <c r="B129" s="112" t="s">
        <v>329</v>
      </c>
      <c r="F129" s="112">
        <v>127</v>
      </c>
      <c r="G129" s="114" t="s">
        <v>300</v>
      </c>
      <c r="H129" s="112" t="s">
        <v>301</v>
      </c>
      <c r="I129" s="115" t="s">
        <v>306</v>
      </c>
      <c r="J129" s="112" t="str">
        <f t="shared" si="2"/>
        <v>onetwoseven</v>
      </c>
      <c r="K129" s="112" t="s">
        <v>531</v>
      </c>
    </row>
    <row r="130" spans="2:11" ht="17.5" x14ac:dyDescent="0.35">
      <c r="B130" s="112" t="s">
        <v>329</v>
      </c>
      <c r="F130" s="112">
        <v>128</v>
      </c>
      <c r="G130" s="114" t="s">
        <v>300</v>
      </c>
      <c r="H130" s="112" t="s">
        <v>301</v>
      </c>
      <c r="I130" s="115" t="s">
        <v>307</v>
      </c>
      <c r="J130" s="112" t="str">
        <f t="shared" si="2"/>
        <v>onetwoeight</v>
      </c>
      <c r="K130" s="112" t="s">
        <v>532</v>
      </c>
    </row>
    <row r="131" spans="2:11" ht="17.5" x14ac:dyDescent="0.35">
      <c r="B131" s="112" t="s">
        <v>329</v>
      </c>
      <c r="F131" s="112">
        <v>129</v>
      </c>
      <c r="G131" s="114" t="s">
        <v>300</v>
      </c>
      <c r="H131" s="112" t="s">
        <v>301</v>
      </c>
      <c r="I131" s="115" t="s">
        <v>308</v>
      </c>
      <c r="J131" s="112" t="str">
        <f t="shared" si="2"/>
        <v>onetwonine</v>
      </c>
      <c r="K131" s="112" t="s">
        <v>533</v>
      </c>
    </row>
    <row r="132" spans="2:11" ht="17.5" x14ac:dyDescent="0.35">
      <c r="B132" s="112" t="s">
        <v>329</v>
      </c>
      <c r="F132" s="112">
        <v>130</v>
      </c>
      <c r="G132" s="114" t="s">
        <v>300</v>
      </c>
      <c r="H132" s="112" t="s">
        <v>302</v>
      </c>
      <c r="I132" s="112" t="s">
        <v>422</v>
      </c>
      <c r="J132" s="112" t="str">
        <f t="shared" si="2"/>
        <v>onethreezero</v>
      </c>
      <c r="K132" s="112" t="s">
        <v>534</v>
      </c>
    </row>
    <row r="133" spans="2:11" ht="17.5" x14ac:dyDescent="0.35">
      <c r="B133" s="112" t="s">
        <v>329</v>
      </c>
      <c r="F133" s="112">
        <v>131</v>
      </c>
      <c r="G133" s="114" t="s">
        <v>300</v>
      </c>
      <c r="H133" s="112" t="s">
        <v>302</v>
      </c>
      <c r="I133" s="114" t="s">
        <v>300</v>
      </c>
      <c r="J133" s="112" t="str">
        <f t="shared" si="2"/>
        <v>onethreeone</v>
      </c>
      <c r="K133" s="112" t="s">
        <v>535</v>
      </c>
    </row>
    <row r="134" spans="2:11" ht="17.5" x14ac:dyDescent="0.35">
      <c r="B134" s="112" t="s">
        <v>329</v>
      </c>
      <c r="F134" s="112">
        <v>132</v>
      </c>
      <c r="G134" s="114" t="s">
        <v>300</v>
      </c>
      <c r="H134" s="112" t="s">
        <v>302</v>
      </c>
      <c r="I134" s="114" t="s">
        <v>301</v>
      </c>
      <c r="J134" s="112" t="str">
        <f t="shared" si="2"/>
        <v>onethreetwo</v>
      </c>
      <c r="K134" s="112" t="s">
        <v>536</v>
      </c>
    </row>
    <row r="135" spans="2:11" ht="17.5" x14ac:dyDescent="0.35">
      <c r="B135" s="112" t="s">
        <v>329</v>
      </c>
      <c r="F135" s="112">
        <v>133</v>
      </c>
      <c r="G135" s="114" t="s">
        <v>300</v>
      </c>
      <c r="H135" s="112" t="s">
        <v>302</v>
      </c>
      <c r="I135" s="114" t="s">
        <v>302</v>
      </c>
      <c r="J135" s="112" t="str">
        <f t="shared" si="2"/>
        <v>onethreethree</v>
      </c>
      <c r="K135" s="112" t="s">
        <v>537</v>
      </c>
    </row>
    <row r="136" spans="2:11" ht="17.5" x14ac:dyDescent="0.35">
      <c r="B136" s="112" t="s">
        <v>329</v>
      </c>
      <c r="F136" s="112">
        <v>134</v>
      </c>
      <c r="G136" s="114" t="s">
        <v>300</v>
      </c>
      <c r="H136" s="112" t="s">
        <v>302</v>
      </c>
      <c r="I136" s="115" t="s">
        <v>303</v>
      </c>
      <c r="J136" s="112" t="str">
        <f t="shared" si="2"/>
        <v>onethreefour</v>
      </c>
      <c r="K136" s="112" t="s">
        <v>538</v>
      </c>
    </row>
    <row r="137" spans="2:11" ht="17.5" x14ac:dyDescent="0.35">
      <c r="B137" s="112" t="s">
        <v>329</v>
      </c>
      <c r="F137" s="112">
        <v>135</v>
      </c>
      <c r="G137" s="114" t="s">
        <v>300</v>
      </c>
      <c r="H137" s="112" t="s">
        <v>302</v>
      </c>
      <c r="I137" s="115" t="s">
        <v>304</v>
      </c>
      <c r="J137" s="112" t="str">
        <f t="shared" si="2"/>
        <v>onethreefive</v>
      </c>
      <c r="K137" s="112" t="s">
        <v>539</v>
      </c>
    </row>
    <row r="138" spans="2:11" ht="17.5" x14ac:dyDescent="0.35">
      <c r="B138" s="112" t="s">
        <v>329</v>
      </c>
      <c r="F138" s="112">
        <v>136</v>
      </c>
      <c r="G138" s="114" t="s">
        <v>300</v>
      </c>
      <c r="H138" s="112" t="s">
        <v>302</v>
      </c>
      <c r="I138" s="115" t="s">
        <v>305</v>
      </c>
      <c r="J138" s="112" t="str">
        <f t="shared" si="2"/>
        <v>onethreesix</v>
      </c>
      <c r="K138" s="112" t="s">
        <v>540</v>
      </c>
    </row>
    <row r="139" spans="2:11" ht="17.5" x14ac:dyDescent="0.35">
      <c r="B139" s="112" t="s">
        <v>329</v>
      </c>
      <c r="F139" s="112">
        <v>137</v>
      </c>
      <c r="G139" s="114" t="s">
        <v>300</v>
      </c>
      <c r="H139" s="112" t="s">
        <v>302</v>
      </c>
      <c r="I139" s="115" t="s">
        <v>306</v>
      </c>
      <c r="J139" s="112" t="str">
        <f t="shared" si="2"/>
        <v>onethreeseven</v>
      </c>
      <c r="K139" s="112" t="s">
        <v>541</v>
      </c>
    </row>
    <row r="140" spans="2:11" ht="17.5" x14ac:dyDescent="0.35">
      <c r="B140" s="112" t="s">
        <v>329</v>
      </c>
      <c r="F140" s="112">
        <v>138</v>
      </c>
      <c r="G140" s="114" t="s">
        <v>300</v>
      </c>
      <c r="H140" s="112" t="s">
        <v>302</v>
      </c>
      <c r="I140" s="115" t="s">
        <v>307</v>
      </c>
      <c r="J140" s="112" t="str">
        <f t="shared" si="2"/>
        <v>onethreeeight</v>
      </c>
      <c r="K140" s="112" t="s">
        <v>542</v>
      </c>
    </row>
    <row r="141" spans="2:11" ht="17.5" x14ac:dyDescent="0.35">
      <c r="B141" s="112" t="s">
        <v>329</v>
      </c>
      <c r="F141" s="112">
        <v>139</v>
      </c>
      <c r="G141" s="114" t="s">
        <v>300</v>
      </c>
      <c r="H141" s="112" t="s">
        <v>302</v>
      </c>
      <c r="I141" s="115" t="s">
        <v>308</v>
      </c>
      <c r="J141" s="112" t="str">
        <f t="shared" si="2"/>
        <v>onethreenine</v>
      </c>
      <c r="K141" s="112" t="s">
        <v>543</v>
      </c>
    </row>
    <row r="142" spans="2:11" ht="17.5" x14ac:dyDescent="0.35">
      <c r="B142" s="112" t="s">
        <v>329</v>
      </c>
      <c r="F142" s="112">
        <v>140</v>
      </c>
      <c r="G142" s="114" t="s">
        <v>300</v>
      </c>
      <c r="H142" s="112" t="s">
        <v>303</v>
      </c>
      <c r="I142" s="112" t="s">
        <v>422</v>
      </c>
      <c r="J142" s="112" t="str">
        <f t="shared" si="2"/>
        <v>onefourzero</v>
      </c>
      <c r="K142" s="112" t="s">
        <v>544</v>
      </c>
    </row>
    <row r="143" spans="2:11" ht="17.5" x14ac:dyDescent="0.35">
      <c r="B143" s="112" t="s">
        <v>329</v>
      </c>
      <c r="F143" s="112">
        <v>141</v>
      </c>
      <c r="G143" s="114" t="s">
        <v>300</v>
      </c>
      <c r="H143" s="112" t="s">
        <v>303</v>
      </c>
      <c r="I143" s="114" t="s">
        <v>300</v>
      </c>
      <c r="J143" s="112" t="str">
        <f t="shared" si="2"/>
        <v>onefourone</v>
      </c>
      <c r="K143" s="112" t="s">
        <v>545</v>
      </c>
    </row>
    <row r="144" spans="2:11" ht="17.5" x14ac:dyDescent="0.35">
      <c r="B144" s="112" t="s">
        <v>329</v>
      </c>
      <c r="F144" s="112">
        <v>142</v>
      </c>
      <c r="G144" s="114" t="s">
        <v>300</v>
      </c>
      <c r="H144" s="112" t="s">
        <v>303</v>
      </c>
      <c r="I144" s="114" t="s">
        <v>301</v>
      </c>
      <c r="J144" s="112" t="str">
        <f t="shared" si="2"/>
        <v>onefourtwo</v>
      </c>
      <c r="K144" s="112" t="s">
        <v>546</v>
      </c>
    </row>
    <row r="145" spans="2:11" ht="17.5" x14ac:dyDescent="0.35">
      <c r="B145" s="112" t="s">
        <v>329</v>
      </c>
      <c r="F145" s="112">
        <v>143</v>
      </c>
      <c r="G145" s="114" t="s">
        <v>300</v>
      </c>
      <c r="H145" s="112" t="s">
        <v>303</v>
      </c>
      <c r="I145" s="114" t="s">
        <v>302</v>
      </c>
      <c r="J145" s="112" t="str">
        <f t="shared" si="2"/>
        <v>onefourthree</v>
      </c>
      <c r="K145" s="112" t="s">
        <v>547</v>
      </c>
    </row>
    <row r="146" spans="2:11" ht="17.5" x14ac:dyDescent="0.35">
      <c r="B146" s="112" t="s">
        <v>329</v>
      </c>
      <c r="F146" s="112">
        <v>144</v>
      </c>
      <c r="G146" s="114" t="s">
        <v>300</v>
      </c>
      <c r="H146" s="112" t="s">
        <v>303</v>
      </c>
      <c r="I146" s="115" t="s">
        <v>303</v>
      </c>
      <c r="J146" s="112" t="str">
        <f t="shared" si="2"/>
        <v>onefourfour</v>
      </c>
      <c r="K146" s="112" t="s">
        <v>548</v>
      </c>
    </row>
    <row r="147" spans="2:11" ht="17.5" x14ac:dyDescent="0.35">
      <c r="B147" s="112" t="s">
        <v>329</v>
      </c>
      <c r="F147" s="112">
        <v>145</v>
      </c>
      <c r="G147" s="114" t="s">
        <v>300</v>
      </c>
      <c r="H147" s="112" t="s">
        <v>303</v>
      </c>
      <c r="I147" s="115" t="s">
        <v>304</v>
      </c>
      <c r="J147" s="112" t="str">
        <f t="shared" si="2"/>
        <v>onefourfive</v>
      </c>
      <c r="K147" s="112" t="s">
        <v>549</v>
      </c>
    </row>
    <row r="148" spans="2:11" ht="17.5" x14ac:dyDescent="0.35">
      <c r="B148" s="112" t="s">
        <v>329</v>
      </c>
      <c r="F148" s="112">
        <v>146</v>
      </c>
      <c r="G148" s="114" t="s">
        <v>300</v>
      </c>
      <c r="H148" s="112" t="s">
        <v>303</v>
      </c>
      <c r="I148" s="115" t="s">
        <v>305</v>
      </c>
      <c r="J148" s="112" t="str">
        <f t="shared" si="2"/>
        <v>onefoursix</v>
      </c>
      <c r="K148" s="112" t="s">
        <v>550</v>
      </c>
    </row>
    <row r="149" spans="2:11" ht="17.5" x14ac:dyDescent="0.35">
      <c r="B149" s="112" t="s">
        <v>329</v>
      </c>
      <c r="F149" s="112">
        <v>147</v>
      </c>
      <c r="G149" s="114" t="s">
        <v>300</v>
      </c>
      <c r="H149" s="112" t="s">
        <v>303</v>
      </c>
      <c r="I149" s="115" t="s">
        <v>306</v>
      </c>
      <c r="J149" s="112" t="str">
        <f t="shared" si="2"/>
        <v>onefourseven</v>
      </c>
      <c r="K149" s="112" t="s">
        <v>551</v>
      </c>
    </row>
    <row r="150" spans="2:11" ht="17.5" x14ac:dyDescent="0.35">
      <c r="B150" s="112" t="s">
        <v>329</v>
      </c>
      <c r="F150" s="112">
        <v>148</v>
      </c>
      <c r="G150" s="114" t="s">
        <v>300</v>
      </c>
      <c r="H150" s="112" t="s">
        <v>303</v>
      </c>
      <c r="I150" s="115" t="s">
        <v>307</v>
      </c>
      <c r="J150" s="112" t="str">
        <f t="shared" si="2"/>
        <v>onefoureight</v>
      </c>
      <c r="K150" s="112" t="s">
        <v>552</v>
      </c>
    </row>
    <row r="151" spans="2:11" ht="17.5" x14ac:dyDescent="0.35">
      <c r="B151" s="112" t="s">
        <v>329</v>
      </c>
      <c r="F151" s="112">
        <v>149</v>
      </c>
      <c r="G151" s="114" t="s">
        <v>300</v>
      </c>
      <c r="H151" s="112" t="s">
        <v>303</v>
      </c>
      <c r="I151" s="115" t="s">
        <v>308</v>
      </c>
      <c r="J151" s="112" t="str">
        <f t="shared" si="2"/>
        <v>onefournine</v>
      </c>
      <c r="K151" s="112" t="s">
        <v>553</v>
      </c>
    </row>
    <row r="152" spans="2:11" ht="17.5" x14ac:dyDescent="0.35">
      <c r="B152" s="112" t="s">
        <v>329</v>
      </c>
      <c r="F152" s="112">
        <v>150</v>
      </c>
      <c r="G152" s="114" t="s">
        <v>300</v>
      </c>
      <c r="H152" s="112" t="s">
        <v>304</v>
      </c>
      <c r="I152" s="119" t="s">
        <v>422</v>
      </c>
      <c r="J152" s="112" t="str">
        <f t="shared" si="2"/>
        <v>onefivezero</v>
      </c>
      <c r="K152" s="112" t="s">
        <v>554</v>
      </c>
    </row>
    <row r="153" spans="2:11" ht="17.5" x14ac:dyDescent="0.35">
      <c r="F153" s="112">
        <v>151</v>
      </c>
      <c r="G153" s="114" t="s">
        <v>300</v>
      </c>
      <c r="H153" s="112" t="s">
        <v>304</v>
      </c>
      <c r="I153" s="114" t="s">
        <v>300</v>
      </c>
      <c r="J153" s="112" t="str">
        <f t="shared" si="2"/>
        <v>onefiveone</v>
      </c>
      <c r="K153" s="112" t="s">
        <v>555</v>
      </c>
    </row>
    <row r="154" spans="2:11" ht="17.5" x14ac:dyDescent="0.35">
      <c r="F154" s="112">
        <v>152</v>
      </c>
      <c r="G154" s="114" t="s">
        <v>300</v>
      </c>
      <c r="H154" s="112" t="s">
        <v>304</v>
      </c>
      <c r="I154" s="114" t="s">
        <v>301</v>
      </c>
      <c r="J154" s="112" t="str">
        <f t="shared" si="2"/>
        <v>onefivetwo</v>
      </c>
      <c r="K154" s="112" t="s">
        <v>556</v>
      </c>
    </row>
    <row r="155" spans="2:11" ht="17.5" x14ac:dyDescent="0.35">
      <c r="F155" s="112">
        <v>153</v>
      </c>
      <c r="G155" s="114" t="s">
        <v>300</v>
      </c>
      <c r="H155" s="112" t="s">
        <v>304</v>
      </c>
      <c r="I155" s="114" t="s">
        <v>302</v>
      </c>
      <c r="J155" s="112" t="str">
        <f t="shared" si="2"/>
        <v>onefivethree</v>
      </c>
      <c r="K155" s="112" t="s">
        <v>557</v>
      </c>
    </row>
    <row r="156" spans="2:11" ht="17.5" x14ac:dyDescent="0.35">
      <c r="F156" s="112">
        <v>154</v>
      </c>
      <c r="G156" s="114" t="s">
        <v>300</v>
      </c>
      <c r="H156" s="112" t="s">
        <v>304</v>
      </c>
      <c r="I156" s="115" t="s">
        <v>303</v>
      </c>
      <c r="J156" s="112" t="str">
        <f t="shared" si="2"/>
        <v>onefivefour</v>
      </c>
      <c r="K156" s="112" t="s">
        <v>558</v>
      </c>
    </row>
    <row r="157" spans="2:11" ht="17.5" x14ac:dyDescent="0.35">
      <c r="F157" s="112">
        <v>155</v>
      </c>
      <c r="G157" s="114" t="s">
        <v>300</v>
      </c>
      <c r="H157" s="112" t="s">
        <v>304</v>
      </c>
      <c r="I157" s="115" t="s">
        <v>304</v>
      </c>
      <c r="J157" s="112" t="str">
        <f t="shared" si="2"/>
        <v>onefivefive</v>
      </c>
      <c r="K157" s="112" t="s">
        <v>559</v>
      </c>
    </row>
    <row r="158" spans="2:11" ht="17.5" x14ac:dyDescent="0.35">
      <c r="F158" s="112">
        <v>156</v>
      </c>
      <c r="G158" s="114" t="s">
        <v>300</v>
      </c>
      <c r="H158" s="112" t="s">
        <v>304</v>
      </c>
      <c r="I158" s="115" t="s">
        <v>305</v>
      </c>
      <c r="J158" s="112" t="str">
        <f t="shared" si="2"/>
        <v>onefivesix</v>
      </c>
      <c r="K158" s="112" t="s">
        <v>560</v>
      </c>
    </row>
    <row r="159" spans="2:11" ht="17.5" x14ac:dyDescent="0.35">
      <c r="F159" s="112">
        <v>157</v>
      </c>
      <c r="G159" s="114" t="s">
        <v>300</v>
      </c>
      <c r="H159" s="112" t="s">
        <v>304</v>
      </c>
      <c r="I159" s="115" t="s">
        <v>306</v>
      </c>
      <c r="J159" s="112" t="str">
        <f t="shared" si="2"/>
        <v>onefiveseven</v>
      </c>
      <c r="K159" s="112" t="s">
        <v>561</v>
      </c>
    </row>
    <row r="160" spans="2:11" ht="17.5" x14ac:dyDescent="0.35">
      <c r="F160" s="112">
        <v>158</v>
      </c>
      <c r="G160" s="114" t="s">
        <v>300</v>
      </c>
      <c r="H160" s="112" t="s">
        <v>304</v>
      </c>
      <c r="I160" s="115" t="s">
        <v>307</v>
      </c>
      <c r="J160" s="112" t="str">
        <f t="shared" si="2"/>
        <v>onefiveeight</v>
      </c>
      <c r="K160" s="112" t="s">
        <v>562</v>
      </c>
    </row>
    <row r="161" spans="6:11" ht="17.5" x14ac:dyDescent="0.35">
      <c r="F161" s="112">
        <v>159</v>
      </c>
      <c r="G161" s="114" t="s">
        <v>300</v>
      </c>
      <c r="H161" s="112" t="s">
        <v>304</v>
      </c>
      <c r="I161" s="115" t="s">
        <v>308</v>
      </c>
      <c r="J161" s="112" t="str">
        <f t="shared" si="2"/>
        <v>onefivenine</v>
      </c>
      <c r="K161" s="112" t="s">
        <v>563</v>
      </c>
    </row>
    <row r="162" spans="6:11" ht="17.5" x14ac:dyDescent="0.35">
      <c r="F162" s="112">
        <v>160</v>
      </c>
      <c r="G162" s="114" t="s">
        <v>300</v>
      </c>
      <c r="H162" s="112" t="s">
        <v>305</v>
      </c>
      <c r="I162" s="119" t="s">
        <v>422</v>
      </c>
      <c r="J162" s="112" t="str">
        <f t="shared" si="2"/>
        <v>onesixzero</v>
      </c>
      <c r="K162" s="112" t="s">
        <v>564</v>
      </c>
    </row>
    <row r="163" spans="6:11" ht="17.5" x14ac:dyDescent="0.35">
      <c r="F163" s="112">
        <v>161</v>
      </c>
      <c r="G163" s="114" t="s">
        <v>300</v>
      </c>
      <c r="H163" s="112" t="s">
        <v>305</v>
      </c>
      <c r="I163" s="114" t="s">
        <v>300</v>
      </c>
      <c r="J163" s="112" t="str">
        <f t="shared" si="2"/>
        <v>onesixone</v>
      </c>
      <c r="K163" s="112" t="s">
        <v>565</v>
      </c>
    </row>
    <row r="164" spans="6:11" ht="17.5" x14ac:dyDescent="0.35">
      <c r="F164" s="112">
        <v>162</v>
      </c>
      <c r="G164" s="114" t="s">
        <v>300</v>
      </c>
      <c r="H164" s="112" t="s">
        <v>305</v>
      </c>
      <c r="I164" s="114" t="s">
        <v>301</v>
      </c>
      <c r="J164" s="112" t="str">
        <f t="shared" si="2"/>
        <v>onesixtwo</v>
      </c>
      <c r="K164" s="112" t="s">
        <v>566</v>
      </c>
    </row>
    <row r="165" spans="6:11" ht="17.5" x14ac:dyDescent="0.35">
      <c r="F165" s="112">
        <v>163</v>
      </c>
      <c r="G165" s="114" t="s">
        <v>300</v>
      </c>
      <c r="H165" s="112" t="s">
        <v>305</v>
      </c>
      <c r="I165" s="114" t="s">
        <v>302</v>
      </c>
      <c r="J165" s="112" t="str">
        <f t="shared" si="2"/>
        <v>onesixthree</v>
      </c>
      <c r="K165" s="112" t="s">
        <v>567</v>
      </c>
    </row>
    <row r="166" spans="6:11" ht="17.5" x14ac:dyDescent="0.35">
      <c r="F166" s="112">
        <v>164</v>
      </c>
      <c r="G166" s="114" t="s">
        <v>300</v>
      </c>
      <c r="H166" s="112" t="s">
        <v>305</v>
      </c>
      <c r="I166" s="115" t="s">
        <v>303</v>
      </c>
      <c r="J166" s="112" t="str">
        <f t="shared" ref="J166:J229" si="3">G166&amp;H166&amp;I166</f>
        <v>onesixfour</v>
      </c>
      <c r="K166" s="112" t="s">
        <v>568</v>
      </c>
    </row>
    <row r="167" spans="6:11" ht="17.5" x14ac:dyDescent="0.35">
      <c r="F167" s="112">
        <v>165</v>
      </c>
      <c r="G167" s="114" t="s">
        <v>300</v>
      </c>
      <c r="H167" s="112" t="s">
        <v>305</v>
      </c>
      <c r="I167" s="115" t="s">
        <v>304</v>
      </c>
      <c r="J167" s="112" t="str">
        <f t="shared" si="3"/>
        <v>onesixfive</v>
      </c>
      <c r="K167" s="112" t="s">
        <v>569</v>
      </c>
    </row>
    <row r="168" spans="6:11" ht="17.5" x14ac:dyDescent="0.35">
      <c r="F168" s="112">
        <v>166</v>
      </c>
      <c r="G168" s="114" t="s">
        <v>300</v>
      </c>
      <c r="H168" s="112" t="s">
        <v>305</v>
      </c>
      <c r="I168" s="115" t="s">
        <v>305</v>
      </c>
      <c r="J168" s="112" t="str">
        <f t="shared" si="3"/>
        <v>onesixsix</v>
      </c>
      <c r="K168" s="112" t="s">
        <v>570</v>
      </c>
    </row>
    <row r="169" spans="6:11" ht="17.5" x14ac:dyDescent="0.35">
      <c r="F169" s="112">
        <v>167</v>
      </c>
      <c r="G169" s="114" t="s">
        <v>300</v>
      </c>
      <c r="H169" s="112" t="s">
        <v>305</v>
      </c>
      <c r="I169" s="115" t="s">
        <v>306</v>
      </c>
      <c r="J169" s="112" t="str">
        <f t="shared" si="3"/>
        <v>onesixseven</v>
      </c>
      <c r="K169" s="112" t="s">
        <v>571</v>
      </c>
    </row>
    <row r="170" spans="6:11" ht="17.5" x14ac:dyDescent="0.35">
      <c r="F170" s="112">
        <v>168</v>
      </c>
      <c r="G170" s="114" t="s">
        <v>300</v>
      </c>
      <c r="H170" s="112" t="s">
        <v>305</v>
      </c>
      <c r="I170" s="115" t="s">
        <v>307</v>
      </c>
      <c r="J170" s="112" t="str">
        <f t="shared" si="3"/>
        <v>onesixeight</v>
      </c>
      <c r="K170" s="112" t="s">
        <v>572</v>
      </c>
    </row>
    <row r="171" spans="6:11" ht="17.5" x14ac:dyDescent="0.35">
      <c r="F171" s="112">
        <v>169</v>
      </c>
      <c r="G171" s="114" t="s">
        <v>300</v>
      </c>
      <c r="H171" s="112" t="s">
        <v>305</v>
      </c>
      <c r="I171" s="115" t="s">
        <v>308</v>
      </c>
      <c r="J171" s="112" t="str">
        <f t="shared" si="3"/>
        <v>onesixnine</v>
      </c>
      <c r="K171" s="112" t="s">
        <v>573</v>
      </c>
    </row>
    <row r="172" spans="6:11" ht="17.5" x14ac:dyDescent="0.35">
      <c r="F172" s="112">
        <v>170</v>
      </c>
      <c r="G172" s="114" t="s">
        <v>300</v>
      </c>
      <c r="H172" s="112" t="s">
        <v>306</v>
      </c>
      <c r="I172" s="112" t="s">
        <v>422</v>
      </c>
      <c r="J172" s="112" t="str">
        <f t="shared" si="3"/>
        <v>onesevenzero</v>
      </c>
      <c r="K172" s="112" t="s">
        <v>574</v>
      </c>
    </row>
    <row r="173" spans="6:11" ht="17.5" x14ac:dyDescent="0.35">
      <c r="F173" s="112">
        <v>171</v>
      </c>
      <c r="G173" s="114" t="s">
        <v>300</v>
      </c>
      <c r="H173" s="112" t="s">
        <v>306</v>
      </c>
      <c r="I173" s="114" t="s">
        <v>300</v>
      </c>
      <c r="J173" s="112" t="str">
        <f t="shared" si="3"/>
        <v>onesevenone</v>
      </c>
      <c r="K173" s="112" t="s">
        <v>575</v>
      </c>
    </row>
    <row r="174" spans="6:11" ht="17.5" x14ac:dyDescent="0.35">
      <c r="F174" s="112">
        <v>172</v>
      </c>
      <c r="G174" s="114" t="s">
        <v>300</v>
      </c>
      <c r="H174" s="112" t="s">
        <v>306</v>
      </c>
      <c r="I174" s="114" t="s">
        <v>301</v>
      </c>
      <c r="J174" s="112" t="str">
        <f t="shared" si="3"/>
        <v>oneseventwo</v>
      </c>
      <c r="K174" s="112" t="s">
        <v>576</v>
      </c>
    </row>
    <row r="175" spans="6:11" ht="17.5" x14ac:dyDescent="0.35">
      <c r="F175" s="112">
        <v>173</v>
      </c>
      <c r="G175" s="114" t="s">
        <v>300</v>
      </c>
      <c r="H175" s="112" t="s">
        <v>306</v>
      </c>
      <c r="I175" s="114" t="s">
        <v>302</v>
      </c>
      <c r="J175" s="112" t="str">
        <f t="shared" si="3"/>
        <v>oneseventhree</v>
      </c>
      <c r="K175" s="112" t="s">
        <v>577</v>
      </c>
    </row>
    <row r="176" spans="6:11" ht="17.5" x14ac:dyDescent="0.35">
      <c r="F176" s="112">
        <v>174</v>
      </c>
      <c r="G176" s="114" t="s">
        <v>300</v>
      </c>
      <c r="H176" s="112" t="s">
        <v>306</v>
      </c>
      <c r="I176" s="115" t="s">
        <v>303</v>
      </c>
      <c r="J176" s="112" t="str">
        <f t="shared" si="3"/>
        <v>onesevenfour</v>
      </c>
      <c r="K176" s="112" t="s">
        <v>578</v>
      </c>
    </row>
    <row r="177" spans="6:11" ht="17.5" x14ac:dyDescent="0.35">
      <c r="F177" s="112">
        <v>175</v>
      </c>
      <c r="G177" s="114" t="s">
        <v>300</v>
      </c>
      <c r="H177" s="112" t="s">
        <v>306</v>
      </c>
      <c r="I177" s="115" t="s">
        <v>304</v>
      </c>
      <c r="J177" s="112" t="str">
        <f t="shared" si="3"/>
        <v>onesevenfive</v>
      </c>
      <c r="K177" s="112" t="s">
        <v>579</v>
      </c>
    </row>
    <row r="178" spans="6:11" ht="17.5" x14ac:dyDescent="0.35">
      <c r="F178" s="112">
        <v>176</v>
      </c>
      <c r="G178" s="114" t="s">
        <v>300</v>
      </c>
      <c r="H178" s="112" t="s">
        <v>306</v>
      </c>
      <c r="I178" s="115" t="s">
        <v>305</v>
      </c>
      <c r="J178" s="112" t="str">
        <f t="shared" si="3"/>
        <v>onesevensix</v>
      </c>
      <c r="K178" s="112" t="s">
        <v>580</v>
      </c>
    </row>
    <row r="179" spans="6:11" ht="17.5" x14ac:dyDescent="0.35">
      <c r="F179" s="112">
        <v>177</v>
      </c>
      <c r="G179" s="114" t="s">
        <v>300</v>
      </c>
      <c r="H179" s="112" t="s">
        <v>306</v>
      </c>
      <c r="I179" s="115" t="s">
        <v>306</v>
      </c>
      <c r="J179" s="112" t="str">
        <f t="shared" si="3"/>
        <v>onesevenseven</v>
      </c>
      <c r="K179" s="112" t="s">
        <v>581</v>
      </c>
    </row>
    <row r="180" spans="6:11" ht="17.5" x14ac:dyDescent="0.35">
      <c r="F180" s="112">
        <v>178</v>
      </c>
      <c r="G180" s="114" t="s">
        <v>300</v>
      </c>
      <c r="H180" s="112" t="s">
        <v>306</v>
      </c>
      <c r="I180" s="115" t="s">
        <v>307</v>
      </c>
      <c r="J180" s="112" t="str">
        <f t="shared" si="3"/>
        <v>oneseveneight</v>
      </c>
      <c r="K180" s="112" t="s">
        <v>582</v>
      </c>
    </row>
    <row r="181" spans="6:11" ht="17.5" x14ac:dyDescent="0.35">
      <c r="F181" s="112">
        <v>179</v>
      </c>
      <c r="G181" s="114" t="s">
        <v>300</v>
      </c>
      <c r="H181" s="112" t="s">
        <v>306</v>
      </c>
      <c r="I181" s="115" t="s">
        <v>308</v>
      </c>
      <c r="J181" s="112" t="str">
        <f t="shared" si="3"/>
        <v>onesevennine</v>
      </c>
      <c r="K181" s="112" t="s">
        <v>583</v>
      </c>
    </row>
    <row r="182" spans="6:11" ht="17.5" x14ac:dyDescent="0.35">
      <c r="F182" s="112">
        <v>180</v>
      </c>
      <c r="G182" s="114" t="s">
        <v>300</v>
      </c>
      <c r="H182" s="112" t="s">
        <v>307</v>
      </c>
      <c r="I182" s="112" t="s">
        <v>422</v>
      </c>
      <c r="J182" s="112" t="str">
        <f t="shared" si="3"/>
        <v>oneeightzero</v>
      </c>
      <c r="K182" s="112" t="s">
        <v>584</v>
      </c>
    </row>
    <row r="183" spans="6:11" ht="17.5" x14ac:dyDescent="0.35">
      <c r="F183" s="112">
        <v>181</v>
      </c>
      <c r="G183" s="114" t="s">
        <v>300</v>
      </c>
      <c r="H183" s="112" t="s">
        <v>307</v>
      </c>
      <c r="I183" s="114" t="s">
        <v>300</v>
      </c>
      <c r="J183" s="112" t="str">
        <f t="shared" si="3"/>
        <v>oneeightone</v>
      </c>
      <c r="K183" s="112" t="s">
        <v>585</v>
      </c>
    </row>
    <row r="184" spans="6:11" ht="17.5" x14ac:dyDescent="0.35">
      <c r="F184" s="112">
        <v>182</v>
      </c>
      <c r="G184" s="114" t="s">
        <v>300</v>
      </c>
      <c r="H184" s="112" t="s">
        <v>307</v>
      </c>
      <c r="I184" s="114" t="s">
        <v>301</v>
      </c>
      <c r="J184" s="112" t="str">
        <f t="shared" si="3"/>
        <v>oneeighttwo</v>
      </c>
      <c r="K184" s="112" t="s">
        <v>586</v>
      </c>
    </row>
    <row r="185" spans="6:11" ht="17.5" x14ac:dyDescent="0.35">
      <c r="F185" s="112">
        <v>183</v>
      </c>
      <c r="G185" s="114" t="s">
        <v>300</v>
      </c>
      <c r="H185" s="112" t="s">
        <v>307</v>
      </c>
      <c r="I185" s="114" t="s">
        <v>302</v>
      </c>
      <c r="J185" s="112" t="str">
        <f t="shared" si="3"/>
        <v>oneeightthree</v>
      </c>
      <c r="K185" s="112" t="s">
        <v>587</v>
      </c>
    </row>
    <row r="186" spans="6:11" ht="17.5" x14ac:dyDescent="0.35">
      <c r="F186" s="112">
        <v>184</v>
      </c>
      <c r="G186" s="114" t="s">
        <v>300</v>
      </c>
      <c r="H186" s="112" t="s">
        <v>307</v>
      </c>
      <c r="I186" s="115" t="s">
        <v>303</v>
      </c>
      <c r="J186" s="112" t="str">
        <f t="shared" si="3"/>
        <v>oneeightfour</v>
      </c>
      <c r="K186" s="112" t="s">
        <v>588</v>
      </c>
    </row>
    <row r="187" spans="6:11" ht="17.5" x14ac:dyDescent="0.35">
      <c r="F187" s="112">
        <v>185</v>
      </c>
      <c r="G187" s="114" t="s">
        <v>300</v>
      </c>
      <c r="H187" s="112" t="s">
        <v>307</v>
      </c>
      <c r="I187" s="115" t="s">
        <v>304</v>
      </c>
      <c r="J187" s="112" t="str">
        <f t="shared" si="3"/>
        <v>oneeightfive</v>
      </c>
      <c r="K187" s="112" t="s">
        <v>589</v>
      </c>
    </row>
    <row r="188" spans="6:11" ht="17.5" x14ac:dyDescent="0.35">
      <c r="F188" s="112">
        <v>186</v>
      </c>
      <c r="G188" s="114" t="s">
        <v>300</v>
      </c>
      <c r="H188" s="112" t="s">
        <v>307</v>
      </c>
      <c r="I188" s="115" t="s">
        <v>305</v>
      </c>
      <c r="J188" s="112" t="str">
        <f t="shared" si="3"/>
        <v>oneeightsix</v>
      </c>
      <c r="K188" s="112" t="s">
        <v>590</v>
      </c>
    </row>
    <row r="189" spans="6:11" ht="17.5" x14ac:dyDescent="0.35">
      <c r="F189" s="112">
        <v>187</v>
      </c>
      <c r="G189" s="114" t="s">
        <v>300</v>
      </c>
      <c r="H189" s="112" t="s">
        <v>307</v>
      </c>
      <c r="I189" s="115" t="s">
        <v>306</v>
      </c>
      <c r="J189" s="112" t="str">
        <f t="shared" si="3"/>
        <v>oneeightseven</v>
      </c>
      <c r="K189" s="112" t="s">
        <v>591</v>
      </c>
    </row>
    <row r="190" spans="6:11" ht="17.5" x14ac:dyDescent="0.35">
      <c r="F190" s="112">
        <v>188</v>
      </c>
      <c r="G190" s="114" t="s">
        <v>300</v>
      </c>
      <c r="H190" s="112" t="s">
        <v>307</v>
      </c>
      <c r="I190" s="115" t="s">
        <v>307</v>
      </c>
      <c r="J190" s="112" t="str">
        <f t="shared" si="3"/>
        <v>oneeighteight</v>
      </c>
      <c r="K190" s="112" t="s">
        <v>592</v>
      </c>
    </row>
    <row r="191" spans="6:11" ht="17.5" x14ac:dyDescent="0.35">
      <c r="F191" s="112">
        <v>189</v>
      </c>
      <c r="G191" s="114" t="s">
        <v>300</v>
      </c>
      <c r="H191" s="112" t="s">
        <v>307</v>
      </c>
      <c r="I191" s="115" t="s">
        <v>308</v>
      </c>
      <c r="J191" s="112" t="str">
        <f t="shared" si="3"/>
        <v>oneeightnine</v>
      </c>
      <c r="K191" s="112" t="s">
        <v>593</v>
      </c>
    </row>
    <row r="192" spans="6:11" ht="17.5" x14ac:dyDescent="0.35">
      <c r="F192" s="112">
        <v>190</v>
      </c>
      <c r="G192" s="114" t="s">
        <v>300</v>
      </c>
      <c r="H192" s="112" t="s">
        <v>308</v>
      </c>
      <c r="I192" s="119" t="s">
        <v>422</v>
      </c>
      <c r="J192" s="112" t="str">
        <f t="shared" si="3"/>
        <v>oneninezero</v>
      </c>
      <c r="K192" s="112" t="s">
        <v>594</v>
      </c>
    </row>
    <row r="193" spans="6:11" ht="17.5" x14ac:dyDescent="0.35">
      <c r="F193" s="112">
        <v>191</v>
      </c>
      <c r="G193" s="114" t="s">
        <v>300</v>
      </c>
      <c r="H193" s="112" t="s">
        <v>308</v>
      </c>
      <c r="I193" s="114" t="s">
        <v>300</v>
      </c>
      <c r="J193" s="112" t="str">
        <f t="shared" si="3"/>
        <v>onenineone</v>
      </c>
      <c r="K193" s="112" t="s">
        <v>595</v>
      </c>
    </row>
    <row r="194" spans="6:11" ht="17.5" x14ac:dyDescent="0.35">
      <c r="F194" s="112">
        <v>192</v>
      </c>
      <c r="G194" s="114" t="s">
        <v>300</v>
      </c>
      <c r="H194" s="112" t="s">
        <v>308</v>
      </c>
      <c r="I194" s="114" t="s">
        <v>301</v>
      </c>
      <c r="J194" s="112" t="str">
        <f t="shared" si="3"/>
        <v>oneninetwo</v>
      </c>
      <c r="K194" s="112" t="s">
        <v>596</v>
      </c>
    </row>
    <row r="195" spans="6:11" ht="17.5" x14ac:dyDescent="0.35">
      <c r="F195" s="112">
        <v>193</v>
      </c>
      <c r="G195" s="114" t="s">
        <v>300</v>
      </c>
      <c r="H195" s="112" t="s">
        <v>308</v>
      </c>
      <c r="I195" s="114" t="s">
        <v>302</v>
      </c>
      <c r="J195" s="112" t="str">
        <f t="shared" si="3"/>
        <v>oneninethree</v>
      </c>
      <c r="K195" s="112" t="s">
        <v>597</v>
      </c>
    </row>
    <row r="196" spans="6:11" ht="17.5" x14ac:dyDescent="0.35">
      <c r="F196" s="112">
        <v>194</v>
      </c>
      <c r="G196" s="114" t="s">
        <v>300</v>
      </c>
      <c r="H196" s="112" t="s">
        <v>308</v>
      </c>
      <c r="I196" s="115" t="s">
        <v>303</v>
      </c>
      <c r="J196" s="112" t="str">
        <f t="shared" si="3"/>
        <v>oneninefour</v>
      </c>
      <c r="K196" s="112" t="s">
        <v>598</v>
      </c>
    </row>
    <row r="197" spans="6:11" ht="17.5" x14ac:dyDescent="0.35">
      <c r="F197" s="112">
        <v>195</v>
      </c>
      <c r="G197" s="114" t="s">
        <v>300</v>
      </c>
      <c r="H197" s="112" t="s">
        <v>308</v>
      </c>
      <c r="I197" s="115" t="s">
        <v>304</v>
      </c>
      <c r="J197" s="112" t="str">
        <f t="shared" si="3"/>
        <v>oneninefive</v>
      </c>
      <c r="K197" s="112" t="s">
        <v>599</v>
      </c>
    </row>
    <row r="198" spans="6:11" ht="17.5" x14ac:dyDescent="0.35">
      <c r="F198" s="112">
        <v>196</v>
      </c>
      <c r="G198" s="114" t="s">
        <v>300</v>
      </c>
      <c r="H198" s="112" t="s">
        <v>308</v>
      </c>
      <c r="I198" s="115" t="s">
        <v>305</v>
      </c>
      <c r="J198" s="112" t="str">
        <f t="shared" si="3"/>
        <v>oneninesix</v>
      </c>
      <c r="K198" s="112" t="s">
        <v>600</v>
      </c>
    </row>
    <row r="199" spans="6:11" ht="17.5" x14ac:dyDescent="0.35">
      <c r="F199" s="112">
        <v>197</v>
      </c>
      <c r="G199" s="114" t="s">
        <v>300</v>
      </c>
      <c r="H199" s="112" t="s">
        <v>308</v>
      </c>
      <c r="I199" s="115" t="s">
        <v>306</v>
      </c>
      <c r="J199" s="112" t="str">
        <f t="shared" si="3"/>
        <v>onenineseven</v>
      </c>
      <c r="K199" s="112" t="s">
        <v>601</v>
      </c>
    </row>
    <row r="200" spans="6:11" ht="17.5" x14ac:dyDescent="0.35">
      <c r="F200" s="112">
        <v>198</v>
      </c>
      <c r="G200" s="114" t="s">
        <v>300</v>
      </c>
      <c r="H200" s="112" t="s">
        <v>308</v>
      </c>
      <c r="I200" s="115" t="s">
        <v>307</v>
      </c>
      <c r="J200" s="112" t="str">
        <f t="shared" si="3"/>
        <v>onenineeight</v>
      </c>
      <c r="K200" s="112" t="s">
        <v>602</v>
      </c>
    </row>
    <row r="201" spans="6:11" ht="17.5" x14ac:dyDescent="0.35">
      <c r="F201" s="112">
        <v>199</v>
      </c>
      <c r="G201" s="114" t="s">
        <v>300</v>
      </c>
      <c r="H201" s="112" t="s">
        <v>308</v>
      </c>
      <c r="I201" s="115" t="s">
        <v>308</v>
      </c>
      <c r="J201" s="112" t="str">
        <f t="shared" si="3"/>
        <v>oneninenine</v>
      </c>
      <c r="K201" s="112" t="s">
        <v>603</v>
      </c>
    </row>
    <row r="202" spans="6:11" ht="17.5" x14ac:dyDescent="0.35">
      <c r="F202" s="112">
        <v>200</v>
      </c>
      <c r="G202" s="112" t="s">
        <v>292</v>
      </c>
      <c r="H202" s="112" t="s">
        <v>422</v>
      </c>
      <c r="I202" s="119" t="s">
        <v>422</v>
      </c>
      <c r="J202" s="112" t="str">
        <f t="shared" si="3"/>
        <v>Twozerozero</v>
      </c>
      <c r="K202" s="112" t="s">
        <v>604</v>
      </c>
    </row>
    <row r="203" spans="6:11" ht="17.5" x14ac:dyDescent="0.35">
      <c r="F203" s="112">
        <v>201</v>
      </c>
      <c r="G203" s="112" t="s">
        <v>292</v>
      </c>
      <c r="H203" s="112" t="s">
        <v>422</v>
      </c>
      <c r="I203" s="114" t="s">
        <v>300</v>
      </c>
      <c r="J203" s="112" t="str">
        <f t="shared" si="3"/>
        <v>Twozeroone</v>
      </c>
      <c r="K203" s="112" t="s">
        <v>605</v>
      </c>
    </row>
    <row r="204" spans="6:11" ht="17.5" x14ac:dyDescent="0.35">
      <c r="F204" s="112">
        <v>202</v>
      </c>
      <c r="G204" s="112" t="s">
        <v>292</v>
      </c>
      <c r="H204" s="112" t="s">
        <v>422</v>
      </c>
      <c r="I204" s="114" t="s">
        <v>301</v>
      </c>
      <c r="J204" s="112" t="str">
        <f t="shared" si="3"/>
        <v>Twozerotwo</v>
      </c>
      <c r="K204" s="112" t="s">
        <v>606</v>
      </c>
    </row>
    <row r="205" spans="6:11" ht="17.5" x14ac:dyDescent="0.35">
      <c r="F205" s="112">
        <v>203</v>
      </c>
      <c r="G205" s="112" t="s">
        <v>292</v>
      </c>
      <c r="H205" s="112" t="s">
        <v>422</v>
      </c>
      <c r="I205" s="114" t="s">
        <v>302</v>
      </c>
      <c r="J205" s="112" t="str">
        <f t="shared" si="3"/>
        <v>Twozerothree</v>
      </c>
      <c r="K205" s="112" t="s">
        <v>607</v>
      </c>
    </row>
    <row r="206" spans="6:11" ht="17.5" x14ac:dyDescent="0.35">
      <c r="F206" s="112">
        <v>204</v>
      </c>
      <c r="G206" s="112" t="s">
        <v>292</v>
      </c>
      <c r="H206" s="112" t="s">
        <v>422</v>
      </c>
      <c r="I206" s="115" t="s">
        <v>303</v>
      </c>
      <c r="J206" s="112" t="str">
        <f t="shared" si="3"/>
        <v>Twozerofour</v>
      </c>
      <c r="K206" s="112" t="s">
        <v>608</v>
      </c>
    </row>
    <row r="207" spans="6:11" ht="17.5" x14ac:dyDescent="0.35">
      <c r="F207" s="112">
        <v>205</v>
      </c>
      <c r="G207" s="112" t="s">
        <v>292</v>
      </c>
      <c r="H207" s="112" t="s">
        <v>422</v>
      </c>
      <c r="I207" s="115" t="s">
        <v>304</v>
      </c>
      <c r="J207" s="112" t="str">
        <f t="shared" si="3"/>
        <v>Twozerofive</v>
      </c>
      <c r="K207" s="112" t="s">
        <v>609</v>
      </c>
    </row>
    <row r="208" spans="6:11" ht="17.5" x14ac:dyDescent="0.35">
      <c r="F208" s="112">
        <v>206</v>
      </c>
      <c r="G208" s="112" t="s">
        <v>292</v>
      </c>
      <c r="H208" s="112" t="s">
        <v>422</v>
      </c>
      <c r="I208" s="115" t="s">
        <v>305</v>
      </c>
      <c r="J208" s="112" t="str">
        <f t="shared" si="3"/>
        <v>Twozerosix</v>
      </c>
      <c r="K208" s="112" t="s">
        <v>610</v>
      </c>
    </row>
    <row r="209" spans="6:11" ht="17.5" x14ac:dyDescent="0.35">
      <c r="F209" s="112">
        <v>207</v>
      </c>
      <c r="G209" s="112" t="s">
        <v>292</v>
      </c>
      <c r="H209" s="112" t="s">
        <v>422</v>
      </c>
      <c r="I209" s="115" t="s">
        <v>306</v>
      </c>
      <c r="J209" s="112" t="str">
        <f t="shared" si="3"/>
        <v>Twozeroseven</v>
      </c>
      <c r="K209" s="112" t="s">
        <v>611</v>
      </c>
    </row>
    <row r="210" spans="6:11" ht="17.5" x14ac:dyDescent="0.35">
      <c r="F210" s="112">
        <v>208</v>
      </c>
      <c r="G210" s="112" t="s">
        <v>292</v>
      </c>
      <c r="H210" s="112" t="s">
        <v>422</v>
      </c>
      <c r="I210" s="115" t="s">
        <v>307</v>
      </c>
      <c r="J210" s="112" t="str">
        <f t="shared" si="3"/>
        <v>Twozeroeight</v>
      </c>
      <c r="K210" s="112" t="s">
        <v>612</v>
      </c>
    </row>
    <row r="211" spans="6:11" ht="17.5" x14ac:dyDescent="0.35">
      <c r="F211" s="112">
        <v>209</v>
      </c>
      <c r="G211" s="112" t="s">
        <v>292</v>
      </c>
      <c r="H211" s="112" t="s">
        <v>422</v>
      </c>
      <c r="I211" s="115" t="s">
        <v>308</v>
      </c>
      <c r="J211" s="112" t="str">
        <f t="shared" si="3"/>
        <v>Twozeronine</v>
      </c>
      <c r="K211" s="112" t="s">
        <v>613</v>
      </c>
    </row>
    <row r="212" spans="6:11" ht="17.5" x14ac:dyDescent="0.35">
      <c r="F212" s="112">
        <v>210</v>
      </c>
      <c r="G212" s="112" t="s">
        <v>292</v>
      </c>
      <c r="H212" s="114" t="s">
        <v>300</v>
      </c>
      <c r="I212" s="112" t="s">
        <v>422</v>
      </c>
      <c r="J212" s="112" t="str">
        <f t="shared" si="3"/>
        <v>Twoonezero</v>
      </c>
      <c r="K212" s="112" t="s">
        <v>614</v>
      </c>
    </row>
    <row r="213" spans="6:11" ht="17.5" x14ac:dyDescent="0.35">
      <c r="F213" s="112">
        <v>211</v>
      </c>
      <c r="G213" s="112" t="s">
        <v>292</v>
      </c>
      <c r="H213" s="114" t="s">
        <v>300</v>
      </c>
      <c r="I213" s="114" t="s">
        <v>300</v>
      </c>
      <c r="J213" s="112" t="str">
        <f t="shared" si="3"/>
        <v>Twooneone</v>
      </c>
      <c r="K213" s="112" t="s">
        <v>615</v>
      </c>
    </row>
    <row r="214" spans="6:11" ht="17.5" x14ac:dyDescent="0.35">
      <c r="F214" s="112">
        <v>212</v>
      </c>
      <c r="G214" s="112" t="s">
        <v>292</v>
      </c>
      <c r="H214" s="114" t="s">
        <v>300</v>
      </c>
      <c r="I214" s="114" t="s">
        <v>301</v>
      </c>
      <c r="J214" s="112" t="str">
        <f t="shared" si="3"/>
        <v>Twoonetwo</v>
      </c>
      <c r="K214" s="112" t="s">
        <v>616</v>
      </c>
    </row>
    <row r="215" spans="6:11" ht="17.5" x14ac:dyDescent="0.35">
      <c r="F215" s="112">
        <v>213</v>
      </c>
      <c r="G215" s="112" t="s">
        <v>292</v>
      </c>
      <c r="H215" s="114" t="s">
        <v>300</v>
      </c>
      <c r="I215" s="114" t="s">
        <v>302</v>
      </c>
      <c r="J215" s="112" t="str">
        <f t="shared" si="3"/>
        <v>Twoonethree</v>
      </c>
      <c r="K215" s="112" t="s">
        <v>617</v>
      </c>
    </row>
    <row r="216" spans="6:11" ht="17.5" x14ac:dyDescent="0.35">
      <c r="F216" s="112">
        <v>214</v>
      </c>
      <c r="G216" s="112" t="s">
        <v>292</v>
      </c>
      <c r="H216" s="114" t="s">
        <v>300</v>
      </c>
      <c r="I216" s="115" t="s">
        <v>303</v>
      </c>
      <c r="J216" s="112" t="str">
        <f t="shared" si="3"/>
        <v>Twoonefour</v>
      </c>
      <c r="K216" s="112" t="s">
        <v>618</v>
      </c>
    </row>
    <row r="217" spans="6:11" ht="17.5" x14ac:dyDescent="0.35">
      <c r="F217" s="112">
        <v>215</v>
      </c>
      <c r="G217" s="112" t="s">
        <v>292</v>
      </c>
      <c r="H217" s="114" t="s">
        <v>300</v>
      </c>
      <c r="I217" s="115" t="s">
        <v>304</v>
      </c>
      <c r="J217" s="112" t="str">
        <f t="shared" si="3"/>
        <v>Twoonefive</v>
      </c>
      <c r="K217" s="112" t="s">
        <v>619</v>
      </c>
    </row>
    <row r="218" spans="6:11" ht="17.5" x14ac:dyDescent="0.35">
      <c r="F218" s="112">
        <v>216</v>
      </c>
      <c r="G218" s="112" t="s">
        <v>292</v>
      </c>
      <c r="H218" s="114" t="s">
        <v>300</v>
      </c>
      <c r="I218" s="115" t="s">
        <v>305</v>
      </c>
      <c r="J218" s="112" t="str">
        <f t="shared" si="3"/>
        <v>Twoonesix</v>
      </c>
      <c r="K218" s="112" t="s">
        <v>620</v>
      </c>
    </row>
    <row r="219" spans="6:11" ht="17.5" x14ac:dyDescent="0.35">
      <c r="F219" s="112">
        <v>217</v>
      </c>
      <c r="G219" s="112" t="s">
        <v>292</v>
      </c>
      <c r="H219" s="114" t="s">
        <v>300</v>
      </c>
      <c r="I219" s="115" t="s">
        <v>306</v>
      </c>
      <c r="J219" s="112" t="str">
        <f t="shared" si="3"/>
        <v>Twooneseven</v>
      </c>
      <c r="K219" s="112" t="s">
        <v>621</v>
      </c>
    </row>
    <row r="220" spans="6:11" ht="17.5" x14ac:dyDescent="0.35">
      <c r="F220" s="112">
        <v>218</v>
      </c>
      <c r="G220" s="112" t="s">
        <v>292</v>
      </c>
      <c r="H220" s="114" t="s">
        <v>300</v>
      </c>
      <c r="I220" s="115" t="s">
        <v>307</v>
      </c>
      <c r="J220" s="112" t="str">
        <f t="shared" si="3"/>
        <v>Twooneeight</v>
      </c>
      <c r="K220" s="112" t="s">
        <v>622</v>
      </c>
    </row>
    <row r="221" spans="6:11" ht="17.5" x14ac:dyDescent="0.35">
      <c r="F221" s="112">
        <v>219</v>
      </c>
      <c r="G221" s="112" t="s">
        <v>292</v>
      </c>
      <c r="H221" s="114" t="s">
        <v>300</v>
      </c>
      <c r="I221" s="115" t="s">
        <v>308</v>
      </c>
      <c r="J221" s="112" t="str">
        <f t="shared" si="3"/>
        <v>Twoonenine</v>
      </c>
      <c r="K221" s="112" t="s">
        <v>623</v>
      </c>
    </row>
    <row r="222" spans="6:11" x14ac:dyDescent="0.35">
      <c r="F222" s="112">
        <v>220</v>
      </c>
      <c r="G222" s="112" t="s">
        <v>292</v>
      </c>
      <c r="H222" s="112" t="s">
        <v>301</v>
      </c>
      <c r="I222" s="112" t="s">
        <v>422</v>
      </c>
      <c r="J222" s="112" t="str">
        <f t="shared" si="3"/>
        <v>Twotwozero</v>
      </c>
      <c r="K222" s="112" t="s">
        <v>624</v>
      </c>
    </row>
    <row r="223" spans="6:11" ht="17.5" x14ac:dyDescent="0.35">
      <c r="F223" s="112">
        <v>221</v>
      </c>
      <c r="G223" s="112" t="s">
        <v>292</v>
      </c>
      <c r="H223" s="112" t="s">
        <v>301</v>
      </c>
      <c r="I223" s="114" t="s">
        <v>300</v>
      </c>
      <c r="J223" s="112" t="str">
        <f t="shared" si="3"/>
        <v>Twotwoone</v>
      </c>
      <c r="K223" s="112" t="s">
        <v>625</v>
      </c>
    </row>
    <row r="224" spans="6:11" ht="17.5" x14ac:dyDescent="0.35">
      <c r="F224" s="112">
        <v>222</v>
      </c>
      <c r="G224" s="112" t="s">
        <v>292</v>
      </c>
      <c r="H224" s="112" t="s">
        <v>301</v>
      </c>
      <c r="I224" s="114" t="s">
        <v>301</v>
      </c>
      <c r="J224" s="112" t="str">
        <f t="shared" si="3"/>
        <v>Twotwotwo</v>
      </c>
      <c r="K224" s="112" t="s">
        <v>626</v>
      </c>
    </row>
    <row r="225" spans="6:11" ht="17.5" x14ac:dyDescent="0.35">
      <c r="F225" s="112">
        <v>223</v>
      </c>
      <c r="G225" s="112" t="s">
        <v>292</v>
      </c>
      <c r="H225" s="112" t="s">
        <v>301</v>
      </c>
      <c r="I225" s="114" t="s">
        <v>302</v>
      </c>
      <c r="J225" s="112" t="str">
        <f t="shared" si="3"/>
        <v>Twotwothree</v>
      </c>
      <c r="K225" s="112" t="s">
        <v>627</v>
      </c>
    </row>
    <row r="226" spans="6:11" ht="17.5" x14ac:dyDescent="0.35">
      <c r="F226" s="112">
        <v>224</v>
      </c>
      <c r="G226" s="112" t="s">
        <v>292</v>
      </c>
      <c r="H226" s="112" t="s">
        <v>301</v>
      </c>
      <c r="I226" s="115" t="s">
        <v>303</v>
      </c>
      <c r="J226" s="112" t="str">
        <f t="shared" si="3"/>
        <v>Twotwofour</v>
      </c>
      <c r="K226" s="112" t="s">
        <v>628</v>
      </c>
    </row>
    <row r="227" spans="6:11" ht="17.5" x14ac:dyDescent="0.35">
      <c r="F227" s="112">
        <v>225</v>
      </c>
      <c r="G227" s="112" t="s">
        <v>292</v>
      </c>
      <c r="H227" s="112" t="s">
        <v>301</v>
      </c>
      <c r="I227" s="115" t="s">
        <v>304</v>
      </c>
      <c r="J227" s="112" t="str">
        <f t="shared" si="3"/>
        <v>Twotwofive</v>
      </c>
      <c r="K227" s="112" t="s">
        <v>629</v>
      </c>
    </row>
    <row r="228" spans="6:11" ht="17.5" x14ac:dyDescent="0.35">
      <c r="F228" s="112">
        <v>226</v>
      </c>
      <c r="G228" s="112" t="s">
        <v>292</v>
      </c>
      <c r="H228" s="112" t="s">
        <v>301</v>
      </c>
      <c r="I228" s="115" t="s">
        <v>305</v>
      </c>
      <c r="J228" s="112" t="str">
        <f t="shared" si="3"/>
        <v>Twotwosix</v>
      </c>
      <c r="K228" s="112" t="s">
        <v>630</v>
      </c>
    </row>
    <row r="229" spans="6:11" ht="17.5" x14ac:dyDescent="0.35">
      <c r="F229" s="112">
        <v>227</v>
      </c>
      <c r="G229" s="112" t="s">
        <v>292</v>
      </c>
      <c r="H229" s="112" t="s">
        <v>301</v>
      </c>
      <c r="I229" s="115" t="s">
        <v>306</v>
      </c>
      <c r="J229" s="112" t="str">
        <f t="shared" si="3"/>
        <v>Twotwoseven</v>
      </c>
      <c r="K229" s="112" t="s">
        <v>631</v>
      </c>
    </row>
    <row r="230" spans="6:11" ht="17.5" x14ac:dyDescent="0.35">
      <c r="F230" s="112">
        <v>228</v>
      </c>
      <c r="G230" s="112" t="s">
        <v>292</v>
      </c>
      <c r="H230" s="112" t="s">
        <v>301</v>
      </c>
      <c r="I230" s="115" t="s">
        <v>307</v>
      </c>
      <c r="J230" s="112" t="str">
        <f t="shared" ref="J230:J293" si="4">G230&amp;H230&amp;I230</f>
        <v>Twotwoeight</v>
      </c>
      <c r="K230" s="112" t="s">
        <v>632</v>
      </c>
    </row>
    <row r="231" spans="6:11" ht="17.5" x14ac:dyDescent="0.35">
      <c r="F231" s="112">
        <v>229</v>
      </c>
      <c r="G231" s="112" t="s">
        <v>292</v>
      </c>
      <c r="H231" s="112" t="s">
        <v>301</v>
      </c>
      <c r="I231" s="115" t="s">
        <v>308</v>
      </c>
      <c r="J231" s="112" t="str">
        <f t="shared" si="4"/>
        <v>Twotwonine</v>
      </c>
      <c r="K231" s="112" t="s">
        <v>633</v>
      </c>
    </row>
    <row r="232" spans="6:11" ht="17.5" x14ac:dyDescent="0.35">
      <c r="F232" s="112">
        <v>230</v>
      </c>
      <c r="G232" s="112" t="s">
        <v>292</v>
      </c>
      <c r="H232" s="112" t="s">
        <v>302</v>
      </c>
      <c r="I232" s="119" t="s">
        <v>422</v>
      </c>
      <c r="J232" s="112" t="str">
        <f t="shared" si="4"/>
        <v>Twothreezero</v>
      </c>
      <c r="K232" s="112" t="s">
        <v>634</v>
      </c>
    </row>
    <row r="233" spans="6:11" ht="17.5" x14ac:dyDescent="0.35">
      <c r="F233" s="112">
        <v>231</v>
      </c>
      <c r="G233" s="112" t="s">
        <v>292</v>
      </c>
      <c r="H233" s="112" t="s">
        <v>302</v>
      </c>
      <c r="I233" s="114" t="s">
        <v>300</v>
      </c>
      <c r="J233" s="112" t="str">
        <f t="shared" si="4"/>
        <v>Twothreeone</v>
      </c>
      <c r="K233" s="112" t="s">
        <v>635</v>
      </c>
    </row>
    <row r="234" spans="6:11" ht="17.5" x14ac:dyDescent="0.35">
      <c r="F234" s="112">
        <v>232</v>
      </c>
      <c r="G234" s="112" t="s">
        <v>292</v>
      </c>
      <c r="H234" s="112" t="s">
        <v>302</v>
      </c>
      <c r="I234" s="114" t="s">
        <v>301</v>
      </c>
      <c r="J234" s="112" t="str">
        <f t="shared" si="4"/>
        <v>Twothreetwo</v>
      </c>
      <c r="K234" s="112" t="s">
        <v>636</v>
      </c>
    </row>
    <row r="235" spans="6:11" ht="17.5" x14ac:dyDescent="0.35">
      <c r="F235" s="112">
        <v>233</v>
      </c>
      <c r="G235" s="112" t="s">
        <v>292</v>
      </c>
      <c r="H235" s="112" t="s">
        <v>302</v>
      </c>
      <c r="I235" s="114" t="s">
        <v>302</v>
      </c>
      <c r="J235" s="112" t="str">
        <f t="shared" si="4"/>
        <v>Twothreethree</v>
      </c>
      <c r="K235" s="112" t="s">
        <v>637</v>
      </c>
    </row>
    <row r="236" spans="6:11" ht="17.5" x14ac:dyDescent="0.35">
      <c r="F236" s="112">
        <v>234</v>
      </c>
      <c r="G236" s="112" t="s">
        <v>292</v>
      </c>
      <c r="H236" s="112" t="s">
        <v>302</v>
      </c>
      <c r="I236" s="115" t="s">
        <v>303</v>
      </c>
      <c r="J236" s="112" t="str">
        <f t="shared" si="4"/>
        <v>Twothreefour</v>
      </c>
      <c r="K236" s="112" t="s">
        <v>638</v>
      </c>
    </row>
    <row r="237" spans="6:11" ht="17.5" x14ac:dyDescent="0.35">
      <c r="F237" s="112">
        <v>235</v>
      </c>
      <c r="G237" s="112" t="s">
        <v>292</v>
      </c>
      <c r="H237" s="112" t="s">
        <v>302</v>
      </c>
      <c r="I237" s="115" t="s">
        <v>304</v>
      </c>
      <c r="J237" s="112" t="str">
        <f t="shared" si="4"/>
        <v>Twothreefive</v>
      </c>
      <c r="K237" s="112" t="s">
        <v>639</v>
      </c>
    </row>
    <row r="238" spans="6:11" ht="17.5" x14ac:dyDescent="0.35">
      <c r="F238" s="112">
        <v>236</v>
      </c>
      <c r="G238" s="112" t="s">
        <v>292</v>
      </c>
      <c r="H238" s="112" t="s">
        <v>302</v>
      </c>
      <c r="I238" s="115" t="s">
        <v>305</v>
      </c>
      <c r="J238" s="112" t="str">
        <f t="shared" si="4"/>
        <v>Twothreesix</v>
      </c>
      <c r="K238" s="112" t="s">
        <v>640</v>
      </c>
    </row>
    <row r="239" spans="6:11" ht="17.5" x14ac:dyDescent="0.35">
      <c r="F239" s="112">
        <v>237</v>
      </c>
      <c r="G239" s="112" t="s">
        <v>292</v>
      </c>
      <c r="H239" s="112" t="s">
        <v>302</v>
      </c>
      <c r="I239" s="115" t="s">
        <v>306</v>
      </c>
      <c r="J239" s="112" t="str">
        <f t="shared" si="4"/>
        <v>Twothreeseven</v>
      </c>
      <c r="K239" s="112" t="s">
        <v>641</v>
      </c>
    </row>
    <row r="240" spans="6:11" ht="17.5" x14ac:dyDescent="0.35">
      <c r="F240" s="112">
        <v>238</v>
      </c>
      <c r="G240" s="112" t="s">
        <v>292</v>
      </c>
      <c r="H240" s="112" t="s">
        <v>302</v>
      </c>
      <c r="I240" s="115" t="s">
        <v>307</v>
      </c>
      <c r="J240" s="112" t="str">
        <f t="shared" si="4"/>
        <v>Twothreeeight</v>
      </c>
      <c r="K240" s="112" t="s">
        <v>642</v>
      </c>
    </row>
    <row r="241" spans="6:11" ht="17.5" x14ac:dyDescent="0.35">
      <c r="F241" s="112">
        <v>239</v>
      </c>
      <c r="G241" s="112" t="s">
        <v>292</v>
      </c>
      <c r="H241" s="112" t="s">
        <v>302</v>
      </c>
      <c r="I241" s="115" t="s">
        <v>308</v>
      </c>
      <c r="J241" s="112" t="str">
        <f t="shared" si="4"/>
        <v>Twothreenine</v>
      </c>
      <c r="K241" s="112" t="s">
        <v>643</v>
      </c>
    </row>
    <row r="242" spans="6:11" ht="17.5" x14ac:dyDescent="0.35">
      <c r="F242" s="112">
        <v>240</v>
      </c>
      <c r="G242" s="112" t="s">
        <v>292</v>
      </c>
      <c r="H242" s="112" t="s">
        <v>303</v>
      </c>
      <c r="I242" s="119" t="s">
        <v>422</v>
      </c>
      <c r="J242" s="112" t="str">
        <f t="shared" si="4"/>
        <v>Twofourzero</v>
      </c>
      <c r="K242" s="112" t="s">
        <v>644</v>
      </c>
    </row>
    <row r="243" spans="6:11" ht="17.5" x14ac:dyDescent="0.35">
      <c r="F243" s="112">
        <v>241</v>
      </c>
      <c r="G243" s="112" t="s">
        <v>292</v>
      </c>
      <c r="H243" s="112" t="s">
        <v>303</v>
      </c>
      <c r="I243" s="114" t="s">
        <v>300</v>
      </c>
      <c r="J243" s="112" t="str">
        <f t="shared" si="4"/>
        <v>Twofourone</v>
      </c>
      <c r="K243" s="112" t="s">
        <v>645</v>
      </c>
    </row>
    <row r="244" spans="6:11" ht="17.5" x14ac:dyDescent="0.35">
      <c r="F244" s="112">
        <v>242</v>
      </c>
      <c r="G244" s="112" t="s">
        <v>292</v>
      </c>
      <c r="H244" s="112" t="s">
        <v>303</v>
      </c>
      <c r="I244" s="114" t="s">
        <v>301</v>
      </c>
      <c r="J244" s="112" t="str">
        <f t="shared" si="4"/>
        <v>Twofourtwo</v>
      </c>
      <c r="K244" s="112" t="s">
        <v>646</v>
      </c>
    </row>
    <row r="245" spans="6:11" ht="17.5" x14ac:dyDescent="0.35">
      <c r="F245" s="112">
        <v>243</v>
      </c>
      <c r="G245" s="112" t="s">
        <v>292</v>
      </c>
      <c r="H245" s="112" t="s">
        <v>303</v>
      </c>
      <c r="I245" s="114" t="s">
        <v>302</v>
      </c>
      <c r="J245" s="112" t="str">
        <f t="shared" si="4"/>
        <v>Twofourthree</v>
      </c>
      <c r="K245" s="112" t="s">
        <v>647</v>
      </c>
    </row>
    <row r="246" spans="6:11" ht="17.5" x14ac:dyDescent="0.35">
      <c r="F246" s="112">
        <v>244</v>
      </c>
      <c r="G246" s="112" t="s">
        <v>292</v>
      </c>
      <c r="H246" s="112" t="s">
        <v>303</v>
      </c>
      <c r="I246" s="115" t="s">
        <v>303</v>
      </c>
      <c r="J246" s="112" t="str">
        <f t="shared" si="4"/>
        <v>Twofourfour</v>
      </c>
      <c r="K246" s="112" t="s">
        <v>648</v>
      </c>
    </row>
    <row r="247" spans="6:11" ht="17.5" x14ac:dyDescent="0.35">
      <c r="F247" s="112">
        <v>245</v>
      </c>
      <c r="G247" s="112" t="s">
        <v>292</v>
      </c>
      <c r="H247" s="112" t="s">
        <v>303</v>
      </c>
      <c r="I247" s="115" t="s">
        <v>304</v>
      </c>
      <c r="J247" s="112" t="str">
        <f t="shared" si="4"/>
        <v>Twofourfive</v>
      </c>
      <c r="K247" s="112" t="s">
        <v>649</v>
      </c>
    </row>
    <row r="248" spans="6:11" ht="17.5" x14ac:dyDescent="0.35">
      <c r="F248" s="112">
        <v>246</v>
      </c>
      <c r="G248" s="112" t="s">
        <v>292</v>
      </c>
      <c r="H248" s="112" t="s">
        <v>303</v>
      </c>
      <c r="I248" s="115" t="s">
        <v>305</v>
      </c>
      <c r="J248" s="112" t="str">
        <f t="shared" si="4"/>
        <v>Twofoursix</v>
      </c>
      <c r="K248" s="112" t="s">
        <v>650</v>
      </c>
    </row>
    <row r="249" spans="6:11" ht="17.5" x14ac:dyDescent="0.35">
      <c r="F249" s="112">
        <v>247</v>
      </c>
      <c r="G249" s="112" t="s">
        <v>292</v>
      </c>
      <c r="H249" s="112" t="s">
        <v>303</v>
      </c>
      <c r="I249" s="115" t="s">
        <v>306</v>
      </c>
      <c r="J249" s="112" t="str">
        <f t="shared" si="4"/>
        <v>Twofourseven</v>
      </c>
      <c r="K249" s="112" t="s">
        <v>651</v>
      </c>
    </row>
    <row r="250" spans="6:11" ht="17.5" x14ac:dyDescent="0.35">
      <c r="F250" s="112">
        <v>248</v>
      </c>
      <c r="G250" s="112" t="s">
        <v>292</v>
      </c>
      <c r="H250" s="112" t="s">
        <v>303</v>
      </c>
      <c r="I250" s="115" t="s">
        <v>307</v>
      </c>
      <c r="J250" s="112" t="str">
        <f t="shared" si="4"/>
        <v>Twofoureight</v>
      </c>
      <c r="K250" s="112" t="s">
        <v>652</v>
      </c>
    </row>
    <row r="251" spans="6:11" ht="17.5" x14ac:dyDescent="0.35">
      <c r="F251" s="112">
        <v>249</v>
      </c>
      <c r="G251" s="112" t="s">
        <v>292</v>
      </c>
      <c r="H251" s="112" t="s">
        <v>303</v>
      </c>
      <c r="I251" s="115" t="s">
        <v>308</v>
      </c>
      <c r="J251" s="112" t="str">
        <f t="shared" si="4"/>
        <v>Twofournine</v>
      </c>
      <c r="K251" s="112" t="s">
        <v>653</v>
      </c>
    </row>
    <row r="252" spans="6:11" x14ac:dyDescent="0.35">
      <c r="F252" s="112">
        <v>250</v>
      </c>
      <c r="G252" s="112" t="s">
        <v>292</v>
      </c>
      <c r="H252" s="112" t="s">
        <v>304</v>
      </c>
      <c r="I252" s="112" t="s">
        <v>422</v>
      </c>
      <c r="J252" s="112" t="str">
        <f t="shared" si="4"/>
        <v>Twofivezero</v>
      </c>
      <c r="K252" s="112" t="s">
        <v>654</v>
      </c>
    </row>
    <row r="253" spans="6:11" ht="17.5" x14ac:dyDescent="0.35">
      <c r="F253" s="112">
        <v>251</v>
      </c>
      <c r="G253" s="112" t="s">
        <v>292</v>
      </c>
      <c r="H253" s="112" t="s">
        <v>304</v>
      </c>
      <c r="I253" s="114" t="s">
        <v>300</v>
      </c>
      <c r="J253" s="112" t="str">
        <f t="shared" si="4"/>
        <v>Twofiveone</v>
      </c>
      <c r="K253" s="112" t="s">
        <v>655</v>
      </c>
    </row>
    <row r="254" spans="6:11" ht="17.5" x14ac:dyDescent="0.35">
      <c r="F254" s="112">
        <v>252</v>
      </c>
      <c r="G254" s="112" t="s">
        <v>292</v>
      </c>
      <c r="H254" s="112" t="s">
        <v>304</v>
      </c>
      <c r="I254" s="114" t="s">
        <v>301</v>
      </c>
      <c r="J254" s="112" t="str">
        <f t="shared" si="4"/>
        <v>Twofivetwo</v>
      </c>
      <c r="K254" s="112" t="s">
        <v>656</v>
      </c>
    </row>
    <row r="255" spans="6:11" ht="17.5" x14ac:dyDescent="0.35">
      <c r="F255" s="112">
        <v>253</v>
      </c>
      <c r="G255" s="112" t="s">
        <v>292</v>
      </c>
      <c r="H255" s="112" t="s">
        <v>304</v>
      </c>
      <c r="I255" s="114" t="s">
        <v>302</v>
      </c>
      <c r="J255" s="112" t="str">
        <f t="shared" si="4"/>
        <v>Twofivethree</v>
      </c>
      <c r="K255" s="112" t="s">
        <v>657</v>
      </c>
    </row>
    <row r="256" spans="6:11" ht="17.5" x14ac:dyDescent="0.35">
      <c r="F256" s="112">
        <v>254</v>
      </c>
      <c r="G256" s="112" t="s">
        <v>292</v>
      </c>
      <c r="H256" s="112" t="s">
        <v>304</v>
      </c>
      <c r="I256" s="115" t="s">
        <v>303</v>
      </c>
      <c r="J256" s="112" t="str">
        <f t="shared" si="4"/>
        <v>Twofivefour</v>
      </c>
      <c r="K256" s="112" t="s">
        <v>658</v>
      </c>
    </row>
    <row r="257" spans="6:11" ht="17.5" x14ac:dyDescent="0.35">
      <c r="F257" s="112">
        <v>255</v>
      </c>
      <c r="G257" s="112" t="s">
        <v>292</v>
      </c>
      <c r="H257" s="112" t="s">
        <v>304</v>
      </c>
      <c r="I257" s="115" t="s">
        <v>304</v>
      </c>
      <c r="J257" s="112" t="str">
        <f t="shared" si="4"/>
        <v>Twofivefive</v>
      </c>
      <c r="K257" s="112" t="s">
        <v>659</v>
      </c>
    </row>
    <row r="258" spans="6:11" ht="17.5" x14ac:dyDescent="0.35">
      <c r="F258" s="112">
        <v>256</v>
      </c>
      <c r="G258" s="112" t="s">
        <v>292</v>
      </c>
      <c r="H258" s="112" t="s">
        <v>304</v>
      </c>
      <c r="I258" s="115" t="s">
        <v>305</v>
      </c>
      <c r="J258" s="112" t="str">
        <f t="shared" si="4"/>
        <v>Twofivesix</v>
      </c>
      <c r="K258" s="112" t="s">
        <v>660</v>
      </c>
    </row>
    <row r="259" spans="6:11" ht="17.5" x14ac:dyDescent="0.35">
      <c r="F259" s="112">
        <v>257</v>
      </c>
      <c r="G259" s="112" t="s">
        <v>292</v>
      </c>
      <c r="H259" s="112" t="s">
        <v>304</v>
      </c>
      <c r="I259" s="115" t="s">
        <v>306</v>
      </c>
      <c r="J259" s="112" t="str">
        <f t="shared" si="4"/>
        <v>Twofiveseven</v>
      </c>
      <c r="K259" s="112" t="s">
        <v>661</v>
      </c>
    </row>
    <row r="260" spans="6:11" ht="17.5" x14ac:dyDescent="0.35">
      <c r="F260" s="112">
        <v>258</v>
      </c>
      <c r="G260" s="112" t="s">
        <v>292</v>
      </c>
      <c r="H260" s="112" t="s">
        <v>304</v>
      </c>
      <c r="I260" s="115" t="s">
        <v>307</v>
      </c>
      <c r="J260" s="112" t="str">
        <f t="shared" si="4"/>
        <v>Twofiveeight</v>
      </c>
      <c r="K260" s="112" t="s">
        <v>662</v>
      </c>
    </row>
    <row r="261" spans="6:11" ht="17.5" x14ac:dyDescent="0.35">
      <c r="F261" s="112">
        <v>259</v>
      </c>
      <c r="G261" s="112" t="s">
        <v>292</v>
      </c>
      <c r="H261" s="112" t="s">
        <v>304</v>
      </c>
      <c r="I261" s="115" t="s">
        <v>308</v>
      </c>
      <c r="J261" s="112" t="str">
        <f t="shared" si="4"/>
        <v>Twofivenine</v>
      </c>
      <c r="K261" s="112" t="s">
        <v>663</v>
      </c>
    </row>
    <row r="262" spans="6:11" x14ac:dyDescent="0.35">
      <c r="F262" s="112">
        <v>260</v>
      </c>
      <c r="G262" s="112" t="s">
        <v>292</v>
      </c>
      <c r="H262" s="112" t="s">
        <v>305</v>
      </c>
      <c r="I262" s="112" t="s">
        <v>422</v>
      </c>
      <c r="J262" s="112" t="str">
        <f t="shared" si="4"/>
        <v>Twosixzero</v>
      </c>
      <c r="K262" s="112" t="s">
        <v>664</v>
      </c>
    </row>
    <row r="263" spans="6:11" ht="17.5" x14ac:dyDescent="0.35">
      <c r="F263" s="112">
        <v>261</v>
      </c>
      <c r="G263" s="112" t="s">
        <v>292</v>
      </c>
      <c r="H263" s="112" t="s">
        <v>305</v>
      </c>
      <c r="I263" s="114" t="s">
        <v>300</v>
      </c>
      <c r="J263" s="112" t="str">
        <f t="shared" si="4"/>
        <v>Twosixone</v>
      </c>
      <c r="K263" s="112" t="s">
        <v>665</v>
      </c>
    </row>
    <row r="264" spans="6:11" ht="17.5" x14ac:dyDescent="0.35">
      <c r="F264" s="112">
        <v>262</v>
      </c>
      <c r="G264" s="112" t="s">
        <v>292</v>
      </c>
      <c r="H264" s="112" t="s">
        <v>305</v>
      </c>
      <c r="I264" s="114" t="s">
        <v>301</v>
      </c>
      <c r="J264" s="112" t="str">
        <f t="shared" si="4"/>
        <v>Twosixtwo</v>
      </c>
      <c r="K264" s="112" t="s">
        <v>666</v>
      </c>
    </row>
    <row r="265" spans="6:11" ht="17.5" x14ac:dyDescent="0.35">
      <c r="F265" s="112">
        <v>263</v>
      </c>
      <c r="G265" s="112" t="s">
        <v>292</v>
      </c>
      <c r="H265" s="112" t="s">
        <v>305</v>
      </c>
      <c r="I265" s="114" t="s">
        <v>302</v>
      </c>
      <c r="J265" s="112" t="str">
        <f t="shared" si="4"/>
        <v>Twosixthree</v>
      </c>
      <c r="K265" s="112" t="s">
        <v>667</v>
      </c>
    </row>
    <row r="266" spans="6:11" ht="17.5" x14ac:dyDescent="0.35">
      <c r="F266" s="112">
        <v>264</v>
      </c>
      <c r="G266" s="112" t="s">
        <v>292</v>
      </c>
      <c r="H266" s="112" t="s">
        <v>305</v>
      </c>
      <c r="I266" s="115" t="s">
        <v>303</v>
      </c>
      <c r="J266" s="112" t="str">
        <f t="shared" si="4"/>
        <v>Twosixfour</v>
      </c>
      <c r="K266" s="112" t="s">
        <v>668</v>
      </c>
    </row>
    <row r="267" spans="6:11" ht="17.5" x14ac:dyDescent="0.35">
      <c r="F267" s="112">
        <v>265</v>
      </c>
      <c r="G267" s="112" t="s">
        <v>292</v>
      </c>
      <c r="H267" s="112" t="s">
        <v>305</v>
      </c>
      <c r="I267" s="115" t="s">
        <v>304</v>
      </c>
      <c r="J267" s="112" t="str">
        <f t="shared" si="4"/>
        <v>Twosixfive</v>
      </c>
      <c r="K267" s="112" t="s">
        <v>669</v>
      </c>
    </row>
    <row r="268" spans="6:11" ht="17.5" x14ac:dyDescent="0.35">
      <c r="F268" s="112">
        <v>266</v>
      </c>
      <c r="G268" s="112" t="s">
        <v>292</v>
      </c>
      <c r="H268" s="112" t="s">
        <v>305</v>
      </c>
      <c r="I268" s="115" t="s">
        <v>305</v>
      </c>
      <c r="J268" s="112" t="str">
        <f t="shared" si="4"/>
        <v>Twosixsix</v>
      </c>
      <c r="K268" s="112" t="s">
        <v>670</v>
      </c>
    </row>
    <row r="269" spans="6:11" ht="17.5" x14ac:dyDescent="0.35">
      <c r="F269" s="112">
        <v>267</v>
      </c>
      <c r="G269" s="112" t="s">
        <v>292</v>
      </c>
      <c r="H269" s="112" t="s">
        <v>305</v>
      </c>
      <c r="I269" s="115" t="s">
        <v>306</v>
      </c>
      <c r="J269" s="112" t="str">
        <f t="shared" si="4"/>
        <v>Twosixseven</v>
      </c>
      <c r="K269" s="112" t="s">
        <v>671</v>
      </c>
    </row>
    <row r="270" spans="6:11" ht="17.5" x14ac:dyDescent="0.35">
      <c r="F270" s="112">
        <v>268</v>
      </c>
      <c r="G270" s="112" t="s">
        <v>292</v>
      </c>
      <c r="H270" s="112" t="s">
        <v>305</v>
      </c>
      <c r="I270" s="115" t="s">
        <v>307</v>
      </c>
      <c r="J270" s="112" t="str">
        <f t="shared" si="4"/>
        <v>Twosixeight</v>
      </c>
      <c r="K270" s="112" t="s">
        <v>672</v>
      </c>
    </row>
    <row r="271" spans="6:11" ht="17.5" x14ac:dyDescent="0.35">
      <c r="F271" s="112">
        <v>269</v>
      </c>
      <c r="G271" s="112" t="s">
        <v>292</v>
      </c>
      <c r="H271" s="112" t="s">
        <v>305</v>
      </c>
      <c r="I271" s="115" t="s">
        <v>308</v>
      </c>
      <c r="J271" s="112" t="str">
        <f t="shared" si="4"/>
        <v>Twosixnine</v>
      </c>
      <c r="K271" s="112" t="s">
        <v>673</v>
      </c>
    </row>
    <row r="272" spans="6:11" ht="17.5" x14ac:dyDescent="0.35">
      <c r="F272" s="112">
        <v>270</v>
      </c>
      <c r="G272" s="112" t="s">
        <v>292</v>
      </c>
      <c r="H272" s="112" t="s">
        <v>306</v>
      </c>
      <c r="I272" s="119" t="s">
        <v>422</v>
      </c>
      <c r="J272" s="112" t="str">
        <f t="shared" si="4"/>
        <v>Twosevenzero</v>
      </c>
      <c r="K272" s="112" t="s">
        <v>674</v>
      </c>
    </row>
    <row r="273" spans="6:11" ht="17.5" x14ac:dyDescent="0.35">
      <c r="F273" s="112">
        <v>271</v>
      </c>
      <c r="G273" s="112" t="s">
        <v>292</v>
      </c>
      <c r="H273" s="112" t="s">
        <v>306</v>
      </c>
      <c r="I273" s="114" t="s">
        <v>300</v>
      </c>
      <c r="J273" s="112" t="str">
        <f t="shared" si="4"/>
        <v>Twosevenone</v>
      </c>
      <c r="K273" s="112" t="s">
        <v>675</v>
      </c>
    </row>
    <row r="274" spans="6:11" ht="17.5" x14ac:dyDescent="0.35">
      <c r="F274" s="112">
        <v>272</v>
      </c>
      <c r="G274" s="112" t="s">
        <v>292</v>
      </c>
      <c r="H274" s="112" t="s">
        <v>306</v>
      </c>
      <c r="I274" s="114" t="s">
        <v>301</v>
      </c>
      <c r="J274" s="112" t="str">
        <f t="shared" si="4"/>
        <v>Twoseventwo</v>
      </c>
      <c r="K274" s="112" t="s">
        <v>676</v>
      </c>
    </row>
    <row r="275" spans="6:11" ht="17.5" x14ac:dyDescent="0.35">
      <c r="F275" s="112">
        <v>273</v>
      </c>
      <c r="G275" s="112" t="s">
        <v>292</v>
      </c>
      <c r="H275" s="112" t="s">
        <v>306</v>
      </c>
      <c r="I275" s="114" t="s">
        <v>302</v>
      </c>
      <c r="J275" s="112" t="str">
        <f t="shared" si="4"/>
        <v>Twoseventhree</v>
      </c>
      <c r="K275" s="112" t="s">
        <v>677</v>
      </c>
    </row>
    <row r="276" spans="6:11" ht="17.5" x14ac:dyDescent="0.35">
      <c r="F276" s="112">
        <v>274</v>
      </c>
      <c r="G276" s="112" t="s">
        <v>292</v>
      </c>
      <c r="H276" s="112" t="s">
        <v>306</v>
      </c>
      <c r="I276" s="115" t="s">
        <v>303</v>
      </c>
      <c r="J276" s="112" t="str">
        <f t="shared" si="4"/>
        <v>Twosevenfour</v>
      </c>
      <c r="K276" s="112" t="s">
        <v>678</v>
      </c>
    </row>
    <row r="277" spans="6:11" ht="17.5" x14ac:dyDescent="0.35">
      <c r="F277" s="112">
        <v>275</v>
      </c>
      <c r="G277" s="112" t="s">
        <v>292</v>
      </c>
      <c r="H277" s="112" t="s">
        <v>306</v>
      </c>
      <c r="I277" s="115" t="s">
        <v>304</v>
      </c>
      <c r="J277" s="112" t="str">
        <f t="shared" si="4"/>
        <v>Twosevenfive</v>
      </c>
      <c r="K277" s="112" t="s">
        <v>679</v>
      </c>
    </row>
    <row r="278" spans="6:11" ht="17.5" x14ac:dyDescent="0.35">
      <c r="F278" s="112">
        <v>276</v>
      </c>
      <c r="G278" s="112" t="s">
        <v>292</v>
      </c>
      <c r="H278" s="112" t="s">
        <v>306</v>
      </c>
      <c r="I278" s="115" t="s">
        <v>305</v>
      </c>
      <c r="J278" s="112" t="str">
        <f t="shared" si="4"/>
        <v>Twosevensix</v>
      </c>
      <c r="K278" s="112" t="s">
        <v>680</v>
      </c>
    </row>
    <row r="279" spans="6:11" ht="17.5" x14ac:dyDescent="0.35">
      <c r="F279" s="112">
        <v>277</v>
      </c>
      <c r="G279" s="112" t="s">
        <v>292</v>
      </c>
      <c r="H279" s="112" t="s">
        <v>306</v>
      </c>
      <c r="I279" s="115" t="s">
        <v>306</v>
      </c>
      <c r="J279" s="112" t="str">
        <f t="shared" si="4"/>
        <v>Twosevenseven</v>
      </c>
      <c r="K279" s="112" t="s">
        <v>681</v>
      </c>
    </row>
    <row r="280" spans="6:11" ht="17.5" x14ac:dyDescent="0.35">
      <c r="F280" s="112">
        <v>278</v>
      </c>
      <c r="G280" s="112" t="s">
        <v>292</v>
      </c>
      <c r="H280" s="112" t="s">
        <v>306</v>
      </c>
      <c r="I280" s="115" t="s">
        <v>307</v>
      </c>
      <c r="J280" s="112" t="str">
        <f t="shared" si="4"/>
        <v>Twoseveneight</v>
      </c>
      <c r="K280" s="112" t="s">
        <v>682</v>
      </c>
    </row>
    <row r="281" spans="6:11" ht="17.5" x14ac:dyDescent="0.35">
      <c r="F281" s="112">
        <v>279</v>
      </c>
      <c r="G281" s="112" t="s">
        <v>292</v>
      </c>
      <c r="H281" s="112" t="s">
        <v>306</v>
      </c>
      <c r="I281" s="115" t="s">
        <v>308</v>
      </c>
      <c r="J281" s="112" t="str">
        <f t="shared" si="4"/>
        <v>Twosevennine</v>
      </c>
      <c r="K281" s="112" t="s">
        <v>683</v>
      </c>
    </row>
    <row r="282" spans="6:11" ht="17.5" x14ac:dyDescent="0.35">
      <c r="F282" s="112">
        <v>280</v>
      </c>
      <c r="G282" s="112" t="s">
        <v>292</v>
      </c>
      <c r="H282" s="112" t="s">
        <v>307</v>
      </c>
      <c r="I282" s="119" t="s">
        <v>422</v>
      </c>
      <c r="J282" s="112" t="str">
        <f t="shared" si="4"/>
        <v>Twoeightzero</v>
      </c>
      <c r="K282" s="112" t="s">
        <v>684</v>
      </c>
    </row>
    <row r="283" spans="6:11" ht="17.5" x14ac:dyDescent="0.35">
      <c r="F283" s="112">
        <v>281</v>
      </c>
      <c r="G283" s="112" t="s">
        <v>292</v>
      </c>
      <c r="H283" s="112" t="s">
        <v>307</v>
      </c>
      <c r="I283" s="114" t="s">
        <v>300</v>
      </c>
      <c r="J283" s="112" t="str">
        <f t="shared" si="4"/>
        <v>Twoeightone</v>
      </c>
      <c r="K283" s="112" t="s">
        <v>685</v>
      </c>
    </row>
    <row r="284" spans="6:11" ht="17.5" x14ac:dyDescent="0.35">
      <c r="F284" s="112">
        <v>282</v>
      </c>
      <c r="G284" s="112" t="s">
        <v>292</v>
      </c>
      <c r="H284" s="112" t="s">
        <v>307</v>
      </c>
      <c r="I284" s="114" t="s">
        <v>301</v>
      </c>
      <c r="J284" s="112" t="str">
        <f t="shared" si="4"/>
        <v>Twoeighttwo</v>
      </c>
      <c r="K284" s="112" t="s">
        <v>686</v>
      </c>
    </row>
    <row r="285" spans="6:11" ht="17.5" x14ac:dyDescent="0.35">
      <c r="F285" s="112">
        <v>283</v>
      </c>
      <c r="G285" s="112" t="s">
        <v>292</v>
      </c>
      <c r="H285" s="112" t="s">
        <v>307</v>
      </c>
      <c r="I285" s="114" t="s">
        <v>302</v>
      </c>
      <c r="J285" s="112" t="str">
        <f t="shared" si="4"/>
        <v>Twoeightthree</v>
      </c>
      <c r="K285" s="112" t="s">
        <v>687</v>
      </c>
    </row>
    <row r="286" spans="6:11" ht="17.5" x14ac:dyDescent="0.35">
      <c r="F286" s="112">
        <v>284</v>
      </c>
      <c r="G286" s="112" t="s">
        <v>292</v>
      </c>
      <c r="H286" s="112" t="s">
        <v>307</v>
      </c>
      <c r="I286" s="115" t="s">
        <v>303</v>
      </c>
      <c r="J286" s="112" t="str">
        <f t="shared" si="4"/>
        <v>Twoeightfour</v>
      </c>
      <c r="K286" s="112" t="s">
        <v>688</v>
      </c>
    </row>
    <row r="287" spans="6:11" ht="17.5" x14ac:dyDescent="0.35">
      <c r="F287" s="112">
        <v>285</v>
      </c>
      <c r="G287" s="112" t="s">
        <v>292</v>
      </c>
      <c r="H287" s="112" t="s">
        <v>307</v>
      </c>
      <c r="I287" s="115" t="s">
        <v>304</v>
      </c>
      <c r="J287" s="112" t="str">
        <f t="shared" si="4"/>
        <v>Twoeightfive</v>
      </c>
      <c r="K287" s="112" t="s">
        <v>689</v>
      </c>
    </row>
    <row r="288" spans="6:11" ht="17.5" x14ac:dyDescent="0.35">
      <c r="F288" s="112">
        <v>286</v>
      </c>
      <c r="G288" s="112" t="s">
        <v>292</v>
      </c>
      <c r="H288" s="112" t="s">
        <v>307</v>
      </c>
      <c r="I288" s="115" t="s">
        <v>305</v>
      </c>
      <c r="J288" s="112" t="str">
        <f t="shared" si="4"/>
        <v>Twoeightsix</v>
      </c>
      <c r="K288" s="112" t="s">
        <v>690</v>
      </c>
    </row>
    <row r="289" spans="6:11" ht="17.5" x14ac:dyDescent="0.35">
      <c r="F289" s="112">
        <v>287</v>
      </c>
      <c r="G289" s="112" t="s">
        <v>292</v>
      </c>
      <c r="H289" s="112" t="s">
        <v>307</v>
      </c>
      <c r="I289" s="115" t="s">
        <v>306</v>
      </c>
      <c r="J289" s="112" t="str">
        <f t="shared" si="4"/>
        <v>Twoeightseven</v>
      </c>
      <c r="K289" s="112" t="s">
        <v>691</v>
      </c>
    </row>
    <row r="290" spans="6:11" ht="17.5" x14ac:dyDescent="0.35">
      <c r="F290" s="112">
        <v>288</v>
      </c>
      <c r="G290" s="112" t="s">
        <v>292</v>
      </c>
      <c r="H290" s="112" t="s">
        <v>307</v>
      </c>
      <c r="I290" s="115" t="s">
        <v>307</v>
      </c>
      <c r="J290" s="112" t="str">
        <f t="shared" si="4"/>
        <v>Twoeighteight</v>
      </c>
      <c r="K290" s="112" t="s">
        <v>692</v>
      </c>
    </row>
    <row r="291" spans="6:11" ht="17.5" x14ac:dyDescent="0.35">
      <c r="F291" s="112">
        <v>289</v>
      </c>
      <c r="G291" s="112" t="s">
        <v>292</v>
      </c>
      <c r="H291" s="112" t="s">
        <v>307</v>
      </c>
      <c r="I291" s="115" t="s">
        <v>308</v>
      </c>
      <c r="J291" s="112" t="str">
        <f t="shared" si="4"/>
        <v>Twoeightnine</v>
      </c>
      <c r="K291" s="112" t="s">
        <v>693</v>
      </c>
    </row>
    <row r="292" spans="6:11" x14ac:dyDescent="0.35">
      <c r="F292" s="112">
        <v>290</v>
      </c>
      <c r="G292" s="112" t="s">
        <v>292</v>
      </c>
      <c r="H292" s="112" t="s">
        <v>308</v>
      </c>
      <c r="I292" s="112" t="s">
        <v>422</v>
      </c>
      <c r="J292" s="112" t="str">
        <f t="shared" si="4"/>
        <v>Twoninezero</v>
      </c>
      <c r="K292" s="112" t="s">
        <v>694</v>
      </c>
    </row>
    <row r="293" spans="6:11" ht="17.5" x14ac:dyDescent="0.35">
      <c r="F293" s="112">
        <v>291</v>
      </c>
      <c r="G293" s="112" t="s">
        <v>292</v>
      </c>
      <c r="H293" s="112" t="s">
        <v>308</v>
      </c>
      <c r="I293" s="114" t="s">
        <v>300</v>
      </c>
      <c r="J293" s="112" t="str">
        <f t="shared" si="4"/>
        <v>Twonineone</v>
      </c>
      <c r="K293" s="112" t="s">
        <v>695</v>
      </c>
    </row>
    <row r="294" spans="6:11" ht="17.5" x14ac:dyDescent="0.35">
      <c r="F294" s="112">
        <v>292</v>
      </c>
      <c r="G294" s="112" t="s">
        <v>292</v>
      </c>
      <c r="H294" s="112" t="s">
        <v>308</v>
      </c>
      <c r="I294" s="114" t="s">
        <v>301</v>
      </c>
      <c r="J294" s="112" t="str">
        <f t="shared" ref="J294:J357" si="5">G294&amp;H294&amp;I294</f>
        <v>Twoninetwo</v>
      </c>
      <c r="K294" s="112" t="s">
        <v>696</v>
      </c>
    </row>
    <row r="295" spans="6:11" ht="17.5" x14ac:dyDescent="0.35">
      <c r="F295" s="112">
        <v>293</v>
      </c>
      <c r="G295" s="112" t="s">
        <v>292</v>
      </c>
      <c r="H295" s="112" t="s">
        <v>308</v>
      </c>
      <c r="I295" s="114" t="s">
        <v>302</v>
      </c>
      <c r="J295" s="112" t="str">
        <f t="shared" si="5"/>
        <v>Twoninethree</v>
      </c>
      <c r="K295" s="112" t="s">
        <v>697</v>
      </c>
    </row>
    <row r="296" spans="6:11" ht="17.5" x14ac:dyDescent="0.35">
      <c r="F296" s="112">
        <v>294</v>
      </c>
      <c r="G296" s="112" t="s">
        <v>292</v>
      </c>
      <c r="H296" s="112" t="s">
        <v>308</v>
      </c>
      <c r="I296" s="115" t="s">
        <v>303</v>
      </c>
      <c r="J296" s="112" t="str">
        <f t="shared" si="5"/>
        <v>Twoninefour</v>
      </c>
      <c r="K296" s="112" t="s">
        <v>698</v>
      </c>
    </row>
    <row r="297" spans="6:11" ht="17.5" x14ac:dyDescent="0.35">
      <c r="F297" s="112">
        <v>295</v>
      </c>
      <c r="G297" s="112" t="s">
        <v>292</v>
      </c>
      <c r="H297" s="112" t="s">
        <v>308</v>
      </c>
      <c r="I297" s="115" t="s">
        <v>304</v>
      </c>
      <c r="J297" s="112" t="str">
        <f t="shared" si="5"/>
        <v>Twoninefive</v>
      </c>
      <c r="K297" s="112" t="s">
        <v>699</v>
      </c>
    </row>
    <row r="298" spans="6:11" ht="17.5" x14ac:dyDescent="0.35">
      <c r="F298" s="112">
        <v>296</v>
      </c>
      <c r="G298" s="112" t="s">
        <v>292</v>
      </c>
      <c r="H298" s="112" t="s">
        <v>308</v>
      </c>
      <c r="I298" s="115" t="s">
        <v>305</v>
      </c>
      <c r="J298" s="112" t="str">
        <f t="shared" si="5"/>
        <v>Twoninesix</v>
      </c>
      <c r="K298" s="112" t="s">
        <v>700</v>
      </c>
    </row>
    <row r="299" spans="6:11" ht="17.5" x14ac:dyDescent="0.35">
      <c r="F299" s="112">
        <v>297</v>
      </c>
      <c r="G299" s="112" t="s">
        <v>292</v>
      </c>
      <c r="H299" s="112" t="s">
        <v>308</v>
      </c>
      <c r="I299" s="115" t="s">
        <v>306</v>
      </c>
      <c r="J299" s="112" t="str">
        <f t="shared" si="5"/>
        <v>Twonineseven</v>
      </c>
      <c r="K299" s="112" t="s">
        <v>701</v>
      </c>
    </row>
    <row r="300" spans="6:11" ht="17.5" x14ac:dyDescent="0.35">
      <c r="F300" s="112">
        <v>298</v>
      </c>
      <c r="G300" s="112" t="s">
        <v>292</v>
      </c>
      <c r="H300" s="112" t="s">
        <v>308</v>
      </c>
      <c r="I300" s="115" t="s">
        <v>307</v>
      </c>
      <c r="J300" s="112" t="str">
        <f t="shared" si="5"/>
        <v>Twonineeight</v>
      </c>
      <c r="K300" s="112" t="s">
        <v>702</v>
      </c>
    </row>
    <row r="301" spans="6:11" ht="17.5" x14ac:dyDescent="0.35">
      <c r="F301" s="112">
        <v>299</v>
      </c>
      <c r="G301" s="112" t="s">
        <v>292</v>
      </c>
      <c r="H301" s="112" t="s">
        <v>308</v>
      </c>
      <c r="I301" s="115" t="s">
        <v>308</v>
      </c>
      <c r="J301" s="112" t="str">
        <f t="shared" si="5"/>
        <v>Twoninenine</v>
      </c>
      <c r="K301" s="112" t="s">
        <v>703</v>
      </c>
    </row>
    <row r="302" spans="6:11" x14ac:dyDescent="0.35">
      <c r="F302" s="112">
        <v>300</v>
      </c>
      <c r="G302" s="112" t="s">
        <v>293</v>
      </c>
      <c r="H302" s="112" t="s">
        <v>422</v>
      </c>
      <c r="I302" s="112" t="s">
        <v>422</v>
      </c>
      <c r="J302" s="112" t="str">
        <f t="shared" si="5"/>
        <v>Threezerozero</v>
      </c>
      <c r="K302" s="112" t="s">
        <v>704</v>
      </c>
    </row>
    <row r="303" spans="6:11" ht="17.5" x14ac:dyDescent="0.35">
      <c r="F303" s="112">
        <v>301</v>
      </c>
      <c r="G303" s="112" t="s">
        <v>293</v>
      </c>
      <c r="H303" s="112" t="s">
        <v>422</v>
      </c>
      <c r="I303" s="114" t="s">
        <v>300</v>
      </c>
      <c r="J303" s="112" t="str">
        <f t="shared" si="5"/>
        <v>Threezeroone</v>
      </c>
      <c r="K303" s="112" t="s">
        <v>705</v>
      </c>
    </row>
    <row r="304" spans="6:11" ht="17.5" x14ac:dyDescent="0.35">
      <c r="F304" s="112">
        <v>302</v>
      </c>
      <c r="G304" s="112" t="s">
        <v>293</v>
      </c>
      <c r="H304" s="112" t="s">
        <v>422</v>
      </c>
      <c r="I304" s="114" t="s">
        <v>301</v>
      </c>
      <c r="J304" s="112" t="str">
        <f t="shared" si="5"/>
        <v>Threezerotwo</v>
      </c>
      <c r="K304" s="112" t="s">
        <v>706</v>
      </c>
    </row>
    <row r="305" spans="6:11" ht="17.5" x14ac:dyDescent="0.35">
      <c r="F305" s="112">
        <v>303</v>
      </c>
      <c r="G305" s="112" t="s">
        <v>293</v>
      </c>
      <c r="H305" s="112" t="s">
        <v>422</v>
      </c>
      <c r="I305" s="114" t="s">
        <v>302</v>
      </c>
      <c r="J305" s="112" t="str">
        <f t="shared" si="5"/>
        <v>Threezerothree</v>
      </c>
      <c r="K305" s="112" t="s">
        <v>707</v>
      </c>
    </row>
    <row r="306" spans="6:11" ht="17.5" x14ac:dyDescent="0.35">
      <c r="F306" s="112">
        <v>304</v>
      </c>
      <c r="G306" s="112" t="s">
        <v>293</v>
      </c>
      <c r="H306" s="112" t="s">
        <v>422</v>
      </c>
      <c r="I306" s="115" t="s">
        <v>303</v>
      </c>
      <c r="J306" s="112" t="str">
        <f t="shared" si="5"/>
        <v>Threezerofour</v>
      </c>
      <c r="K306" s="112" t="s">
        <v>708</v>
      </c>
    </row>
    <row r="307" spans="6:11" ht="17.5" x14ac:dyDescent="0.35">
      <c r="F307" s="112">
        <v>305</v>
      </c>
      <c r="G307" s="112" t="s">
        <v>293</v>
      </c>
      <c r="H307" s="112" t="s">
        <v>422</v>
      </c>
      <c r="I307" s="115" t="s">
        <v>304</v>
      </c>
      <c r="J307" s="112" t="str">
        <f t="shared" si="5"/>
        <v>Threezerofive</v>
      </c>
      <c r="K307" s="112" t="s">
        <v>709</v>
      </c>
    </row>
    <row r="308" spans="6:11" ht="17.5" x14ac:dyDescent="0.35">
      <c r="F308" s="112">
        <v>306</v>
      </c>
      <c r="G308" s="112" t="s">
        <v>293</v>
      </c>
      <c r="H308" s="112" t="s">
        <v>422</v>
      </c>
      <c r="I308" s="115" t="s">
        <v>305</v>
      </c>
      <c r="J308" s="112" t="str">
        <f t="shared" si="5"/>
        <v>Threezerosix</v>
      </c>
      <c r="K308" s="112" t="s">
        <v>710</v>
      </c>
    </row>
    <row r="309" spans="6:11" ht="17.5" x14ac:dyDescent="0.35">
      <c r="F309" s="112">
        <v>307</v>
      </c>
      <c r="G309" s="112" t="s">
        <v>293</v>
      </c>
      <c r="H309" s="112" t="s">
        <v>422</v>
      </c>
      <c r="I309" s="115" t="s">
        <v>306</v>
      </c>
      <c r="J309" s="112" t="str">
        <f t="shared" si="5"/>
        <v>Threezeroseven</v>
      </c>
      <c r="K309" s="112" t="s">
        <v>711</v>
      </c>
    </row>
    <row r="310" spans="6:11" ht="17.5" x14ac:dyDescent="0.35">
      <c r="F310" s="112">
        <v>308</v>
      </c>
      <c r="G310" s="112" t="s">
        <v>293</v>
      </c>
      <c r="H310" s="112" t="s">
        <v>422</v>
      </c>
      <c r="I310" s="115" t="s">
        <v>307</v>
      </c>
      <c r="J310" s="112" t="str">
        <f t="shared" si="5"/>
        <v>Threezeroeight</v>
      </c>
      <c r="K310" s="112" t="s">
        <v>712</v>
      </c>
    </row>
    <row r="311" spans="6:11" ht="17.5" x14ac:dyDescent="0.35">
      <c r="F311" s="112">
        <v>309</v>
      </c>
      <c r="G311" s="112" t="s">
        <v>293</v>
      </c>
      <c r="H311" s="112" t="s">
        <v>422</v>
      </c>
      <c r="I311" s="115" t="s">
        <v>308</v>
      </c>
      <c r="J311" s="112" t="str">
        <f t="shared" si="5"/>
        <v>Threezeronine</v>
      </c>
      <c r="K311" s="112" t="s">
        <v>713</v>
      </c>
    </row>
    <row r="312" spans="6:11" ht="17.5" x14ac:dyDescent="0.35">
      <c r="F312" s="112">
        <v>310</v>
      </c>
      <c r="G312" s="112" t="s">
        <v>293</v>
      </c>
      <c r="H312" s="114" t="s">
        <v>300</v>
      </c>
      <c r="I312" s="119" t="s">
        <v>422</v>
      </c>
      <c r="J312" s="112" t="str">
        <f t="shared" si="5"/>
        <v>Threeonezero</v>
      </c>
      <c r="K312" s="112" t="s">
        <v>714</v>
      </c>
    </row>
    <row r="313" spans="6:11" ht="17.5" x14ac:dyDescent="0.35">
      <c r="F313" s="112">
        <v>311</v>
      </c>
      <c r="G313" s="112" t="s">
        <v>293</v>
      </c>
      <c r="H313" s="114" t="s">
        <v>300</v>
      </c>
      <c r="I313" s="114" t="s">
        <v>300</v>
      </c>
      <c r="J313" s="112" t="str">
        <f t="shared" si="5"/>
        <v>Threeoneone</v>
      </c>
      <c r="K313" s="112" t="s">
        <v>715</v>
      </c>
    </row>
    <row r="314" spans="6:11" ht="17.5" x14ac:dyDescent="0.35">
      <c r="F314" s="112">
        <v>312</v>
      </c>
      <c r="G314" s="112" t="s">
        <v>293</v>
      </c>
      <c r="H314" s="114" t="s">
        <v>300</v>
      </c>
      <c r="I314" s="114" t="s">
        <v>301</v>
      </c>
      <c r="J314" s="112" t="str">
        <f t="shared" si="5"/>
        <v>Threeonetwo</v>
      </c>
      <c r="K314" s="112" t="s">
        <v>716</v>
      </c>
    </row>
    <row r="315" spans="6:11" ht="17.5" x14ac:dyDescent="0.35">
      <c r="F315" s="112">
        <v>313</v>
      </c>
      <c r="G315" s="112" t="s">
        <v>293</v>
      </c>
      <c r="H315" s="114" t="s">
        <v>300</v>
      </c>
      <c r="I315" s="114" t="s">
        <v>302</v>
      </c>
      <c r="J315" s="112" t="str">
        <f t="shared" si="5"/>
        <v>Threeonethree</v>
      </c>
      <c r="K315" s="112" t="s">
        <v>717</v>
      </c>
    </row>
    <row r="316" spans="6:11" ht="17.5" x14ac:dyDescent="0.35">
      <c r="F316" s="112">
        <v>314</v>
      </c>
      <c r="G316" s="112" t="s">
        <v>293</v>
      </c>
      <c r="H316" s="114" t="s">
        <v>300</v>
      </c>
      <c r="I316" s="115" t="s">
        <v>303</v>
      </c>
      <c r="J316" s="112" t="str">
        <f t="shared" si="5"/>
        <v>Threeonefour</v>
      </c>
      <c r="K316" s="112" t="s">
        <v>718</v>
      </c>
    </row>
    <row r="317" spans="6:11" ht="17.5" x14ac:dyDescent="0.35">
      <c r="F317" s="112">
        <v>315</v>
      </c>
      <c r="G317" s="112" t="s">
        <v>293</v>
      </c>
      <c r="H317" s="114" t="s">
        <v>300</v>
      </c>
      <c r="I317" s="115" t="s">
        <v>304</v>
      </c>
      <c r="J317" s="112" t="str">
        <f t="shared" si="5"/>
        <v>Threeonefive</v>
      </c>
      <c r="K317" s="112" t="s">
        <v>719</v>
      </c>
    </row>
    <row r="318" spans="6:11" ht="17.5" x14ac:dyDescent="0.35">
      <c r="F318" s="112">
        <v>316</v>
      </c>
      <c r="G318" s="112" t="s">
        <v>293</v>
      </c>
      <c r="H318" s="114" t="s">
        <v>300</v>
      </c>
      <c r="I318" s="115" t="s">
        <v>305</v>
      </c>
      <c r="J318" s="112" t="str">
        <f t="shared" si="5"/>
        <v>Threeonesix</v>
      </c>
      <c r="K318" s="112" t="s">
        <v>720</v>
      </c>
    </row>
    <row r="319" spans="6:11" ht="17.5" x14ac:dyDescent="0.35">
      <c r="F319" s="112">
        <v>317</v>
      </c>
      <c r="G319" s="112" t="s">
        <v>293</v>
      </c>
      <c r="H319" s="114" t="s">
        <v>300</v>
      </c>
      <c r="I319" s="115" t="s">
        <v>306</v>
      </c>
      <c r="J319" s="112" t="str">
        <f t="shared" si="5"/>
        <v>Threeoneseven</v>
      </c>
      <c r="K319" s="112" t="s">
        <v>721</v>
      </c>
    </row>
    <row r="320" spans="6:11" ht="17.5" x14ac:dyDescent="0.35">
      <c r="F320" s="112">
        <v>318</v>
      </c>
      <c r="G320" s="112" t="s">
        <v>293</v>
      </c>
      <c r="H320" s="114" t="s">
        <v>300</v>
      </c>
      <c r="I320" s="115" t="s">
        <v>307</v>
      </c>
      <c r="J320" s="112" t="str">
        <f t="shared" si="5"/>
        <v>Threeoneeight</v>
      </c>
      <c r="K320" s="112" t="s">
        <v>722</v>
      </c>
    </row>
    <row r="321" spans="6:11" ht="17.5" x14ac:dyDescent="0.35">
      <c r="F321" s="112">
        <v>319</v>
      </c>
      <c r="G321" s="112" t="s">
        <v>293</v>
      </c>
      <c r="H321" s="114" t="s">
        <v>300</v>
      </c>
      <c r="I321" s="115" t="s">
        <v>308</v>
      </c>
      <c r="J321" s="112" t="str">
        <f t="shared" si="5"/>
        <v>Threeonenine</v>
      </c>
      <c r="K321" s="112" t="s">
        <v>723</v>
      </c>
    </row>
    <row r="322" spans="6:11" ht="17.5" x14ac:dyDescent="0.35">
      <c r="F322" s="112">
        <v>320</v>
      </c>
      <c r="G322" s="112" t="s">
        <v>293</v>
      </c>
      <c r="H322" s="112" t="s">
        <v>301</v>
      </c>
      <c r="I322" s="119" t="s">
        <v>422</v>
      </c>
      <c r="J322" s="112" t="str">
        <f t="shared" si="5"/>
        <v>Threetwozero</v>
      </c>
      <c r="K322" s="112" t="s">
        <v>724</v>
      </c>
    </row>
    <row r="323" spans="6:11" ht="17.5" x14ac:dyDescent="0.35">
      <c r="F323" s="112">
        <v>321</v>
      </c>
      <c r="G323" s="112" t="s">
        <v>293</v>
      </c>
      <c r="H323" s="112" t="s">
        <v>301</v>
      </c>
      <c r="I323" s="114" t="s">
        <v>300</v>
      </c>
      <c r="J323" s="112" t="str">
        <f t="shared" si="5"/>
        <v>Threetwoone</v>
      </c>
      <c r="K323" s="112" t="s">
        <v>725</v>
      </c>
    </row>
    <row r="324" spans="6:11" ht="17.5" x14ac:dyDescent="0.35">
      <c r="F324" s="112">
        <v>322</v>
      </c>
      <c r="G324" s="112" t="s">
        <v>293</v>
      </c>
      <c r="H324" s="112" t="s">
        <v>301</v>
      </c>
      <c r="I324" s="114" t="s">
        <v>301</v>
      </c>
      <c r="J324" s="112" t="str">
        <f t="shared" si="5"/>
        <v>Threetwotwo</v>
      </c>
      <c r="K324" s="112" t="s">
        <v>726</v>
      </c>
    </row>
    <row r="325" spans="6:11" ht="17.5" x14ac:dyDescent="0.35">
      <c r="F325" s="112">
        <v>323</v>
      </c>
      <c r="G325" s="112" t="s">
        <v>293</v>
      </c>
      <c r="H325" s="112" t="s">
        <v>301</v>
      </c>
      <c r="I325" s="114" t="s">
        <v>302</v>
      </c>
      <c r="J325" s="112" t="str">
        <f t="shared" si="5"/>
        <v>Threetwothree</v>
      </c>
      <c r="K325" s="112" t="s">
        <v>727</v>
      </c>
    </row>
    <row r="326" spans="6:11" ht="17.5" x14ac:dyDescent="0.35">
      <c r="F326" s="112">
        <v>324</v>
      </c>
      <c r="G326" s="112" t="s">
        <v>293</v>
      </c>
      <c r="H326" s="112" t="s">
        <v>301</v>
      </c>
      <c r="I326" s="115" t="s">
        <v>303</v>
      </c>
      <c r="J326" s="112" t="str">
        <f t="shared" si="5"/>
        <v>Threetwofour</v>
      </c>
      <c r="K326" s="112" t="s">
        <v>728</v>
      </c>
    </row>
    <row r="327" spans="6:11" ht="17.5" x14ac:dyDescent="0.35">
      <c r="F327" s="112">
        <v>325</v>
      </c>
      <c r="G327" s="112" t="s">
        <v>293</v>
      </c>
      <c r="H327" s="112" t="s">
        <v>301</v>
      </c>
      <c r="I327" s="115" t="s">
        <v>304</v>
      </c>
      <c r="J327" s="112" t="str">
        <f t="shared" si="5"/>
        <v>Threetwofive</v>
      </c>
      <c r="K327" s="112" t="s">
        <v>729</v>
      </c>
    </row>
    <row r="328" spans="6:11" ht="17.5" x14ac:dyDescent="0.35">
      <c r="F328" s="112">
        <v>326</v>
      </c>
      <c r="G328" s="112" t="s">
        <v>293</v>
      </c>
      <c r="H328" s="112" t="s">
        <v>301</v>
      </c>
      <c r="I328" s="115" t="s">
        <v>305</v>
      </c>
      <c r="J328" s="112" t="str">
        <f t="shared" si="5"/>
        <v>Threetwosix</v>
      </c>
      <c r="K328" s="112" t="s">
        <v>730</v>
      </c>
    </row>
    <row r="329" spans="6:11" ht="17.5" x14ac:dyDescent="0.35">
      <c r="F329" s="112">
        <v>327</v>
      </c>
      <c r="G329" s="112" t="s">
        <v>293</v>
      </c>
      <c r="H329" s="112" t="s">
        <v>301</v>
      </c>
      <c r="I329" s="115" t="s">
        <v>306</v>
      </c>
      <c r="J329" s="112" t="str">
        <f t="shared" si="5"/>
        <v>Threetwoseven</v>
      </c>
      <c r="K329" s="112" t="s">
        <v>731</v>
      </c>
    </row>
    <row r="330" spans="6:11" ht="17.5" x14ac:dyDescent="0.35">
      <c r="F330" s="112">
        <v>328</v>
      </c>
      <c r="G330" s="112" t="s">
        <v>293</v>
      </c>
      <c r="H330" s="112" t="s">
        <v>301</v>
      </c>
      <c r="I330" s="115" t="s">
        <v>307</v>
      </c>
      <c r="J330" s="112" t="str">
        <f t="shared" si="5"/>
        <v>Threetwoeight</v>
      </c>
      <c r="K330" s="112" t="s">
        <v>732</v>
      </c>
    </row>
    <row r="331" spans="6:11" ht="17.5" x14ac:dyDescent="0.35">
      <c r="F331" s="112">
        <v>329</v>
      </c>
      <c r="G331" s="112" t="s">
        <v>293</v>
      </c>
      <c r="H331" s="112" t="s">
        <v>301</v>
      </c>
      <c r="I331" s="115" t="s">
        <v>308</v>
      </c>
      <c r="J331" s="112" t="str">
        <f t="shared" si="5"/>
        <v>Threetwonine</v>
      </c>
      <c r="K331" s="112" t="s">
        <v>733</v>
      </c>
    </row>
    <row r="332" spans="6:11" x14ac:dyDescent="0.35">
      <c r="F332" s="112">
        <v>330</v>
      </c>
      <c r="G332" s="112" t="s">
        <v>293</v>
      </c>
      <c r="H332" s="112" t="s">
        <v>302</v>
      </c>
      <c r="I332" s="112" t="s">
        <v>422</v>
      </c>
      <c r="J332" s="112" t="str">
        <f t="shared" si="5"/>
        <v>Threethreezero</v>
      </c>
      <c r="K332" s="112" t="s">
        <v>734</v>
      </c>
    </row>
    <row r="333" spans="6:11" ht="17.5" x14ac:dyDescent="0.35">
      <c r="F333" s="112">
        <v>331</v>
      </c>
      <c r="G333" s="112" t="s">
        <v>293</v>
      </c>
      <c r="H333" s="112" t="s">
        <v>302</v>
      </c>
      <c r="I333" s="114" t="s">
        <v>300</v>
      </c>
      <c r="J333" s="112" t="str">
        <f t="shared" si="5"/>
        <v>Threethreeone</v>
      </c>
      <c r="K333" s="112" t="s">
        <v>735</v>
      </c>
    </row>
    <row r="334" spans="6:11" ht="17.5" x14ac:dyDescent="0.35">
      <c r="F334" s="112">
        <v>332</v>
      </c>
      <c r="G334" s="112" t="s">
        <v>293</v>
      </c>
      <c r="H334" s="112" t="s">
        <v>302</v>
      </c>
      <c r="I334" s="114" t="s">
        <v>301</v>
      </c>
      <c r="J334" s="112" t="str">
        <f t="shared" si="5"/>
        <v>Threethreetwo</v>
      </c>
      <c r="K334" s="112" t="s">
        <v>736</v>
      </c>
    </row>
    <row r="335" spans="6:11" ht="17.5" x14ac:dyDescent="0.35">
      <c r="F335" s="112">
        <v>333</v>
      </c>
      <c r="G335" s="112" t="s">
        <v>293</v>
      </c>
      <c r="H335" s="112" t="s">
        <v>302</v>
      </c>
      <c r="I335" s="114" t="s">
        <v>302</v>
      </c>
      <c r="J335" s="112" t="str">
        <f t="shared" si="5"/>
        <v>Threethreethree</v>
      </c>
      <c r="K335" s="112" t="s">
        <v>737</v>
      </c>
    </row>
    <row r="336" spans="6:11" ht="17.5" x14ac:dyDescent="0.35">
      <c r="F336" s="112">
        <v>334</v>
      </c>
      <c r="G336" s="112" t="s">
        <v>293</v>
      </c>
      <c r="H336" s="112" t="s">
        <v>302</v>
      </c>
      <c r="I336" s="115" t="s">
        <v>303</v>
      </c>
      <c r="J336" s="112" t="str">
        <f t="shared" si="5"/>
        <v>Threethreefour</v>
      </c>
      <c r="K336" s="112" t="s">
        <v>738</v>
      </c>
    </row>
    <row r="337" spans="6:11" ht="17.5" x14ac:dyDescent="0.35">
      <c r="F337" s="112">
        <v>335</v>
      </c>
      <c r="G337" s="112" t="s">
        <v>293</v>
      </c>
      <c r="H337" s="112" t="s">
        <v>302</v>
      </c>
      <c r="I337" s="115" t="s">
        <v>304</v>
      </c>
      <c r="J337" s="112" t="str">
        <f t="shared" si="5"/>
        <v>Threethreefive</v>
      </c>
      <c r="K337" s="112" t="s">
        <v>739</v>
      </c>
    </row>
    <row r="338" spans="6:11" ht="17.5" x14ac:dyDescent="0.35">
      <c r="F338" s="112">
        <v>336</v>
      </c>
      <c r="G338" s="112" t="s">
        <v>293</v>
      </c>
      <c r="H338" s="112" t="s">
        <v>302</v>
      </c>
      <c r="I338" s="115" t="s">
        <v>305</v>
      </c>
      <c r="J338" s="112" t="str">
        <f t="shared" si="5"/>
        <v>Threethreesix</v>
      </c>
      <c r="K338" s="112" t="s">
        <v>740</v>
      </c>
    </row>
    <row r="339" spans="6:11" ht="17.5" x14ac:dyDescent="0.35">
      <c r="F339" s="112">
        <v>337</v>
      </c>
      <c r="G339" s="112" t="s">
        <v>293</v>
      </c>
      <c r="H339" s="112" t="s">
        <v>302</v>
      </c>
      <c r="I339" s="115" t="s">
        <v>306</v>
      </c>
      <c r="J339" s="112" t="str">
        <f t="shared" si="5"/>
        <v>Threethreeseven</v>
      </c>
      <c r="K339" s="112" t="s">
        <v>741</v>
      </c>
    </row>
    <row r="340" spans="6:11" ht="17.5" x14ac:dyDescent="0.35">
      <c r="F340" s="112">
        <v>338</v>
      </c>
      <c r="G340" s="112" t="s">
        <v>293</v>
      </c>
      <c r="H340" s="112" t="s">
        <v>302</v>
      </c>
      <c r="I340" s="115" t="s">
        <v>307</v>
      </c>
      <c r="J340" s="112" t="str">
        <f t="shared" si="5"/>
        <v>Threethreeeight</v>
      </c>
      <c r="K340" s="112" t="s">
        <v>742</v>
      </c>
    </row>
    <row r="341" spans="6:11" ht="17.5" x14ac:dyDescent="0.35">
      <c r="F341" s="112">
        <v>339</v>
      </c>
      <c r="G341" s="112" t="s">
        <v>293</v>
      </c>
      <c r="H341" s="112" t="s">
        <v>302</v>
      </c>
      <c r="I341" s="115" t="s">
        <v>308</v>
      </c>
      <c r="J341" s="112" t="str">
        <f t="shared" si="5"/>
        <v>Threethreenine</v>
      </c>
      <c r="K341" s="112" t="s">
        <v>743</v>
      </c>
    </row>
    <row r="342" spans="6:11" x14ac:dyDescent="0.35">
      <c r="F342" s="112">
        <v>340</v>
      </c>
      <c r="G342" s="112" t="s">
        <v>293</v>
      </c>
      <c r="H342" s="112" t="s">
        <v>303</v>
      </c>
      <c r="I342" s="112" t="s">
        <v>422</v>
      </c>
      <c r="J342" s="112" t="str">
        <f t="shared" si="5"/>
        <v>Threefourzero</v>
      </c>
      <c r="K342" s="112" t="s">
        <v>744</v>
      </c>
    </row>
    <row r="343" spans="6:11" ht="17.5" x14ac:dyDescent="0.35">
      <c r="F343" s="112">
        <v>341</v>
      </c>
      <c r="G343" s="112" t="s">
        <v>293</v>
      </c>
      <c r="H343" s="112" t="s">
        <v>303</v>
      </c>
      <c r="I343" s="114" t="s">
        <v>300</v>
      </c>
      <c r="J343" s="112" t="str">
        <f t="shared" si="5"/>
        <v>Threefourone</v>
      </c>
      <c r="K343" s="112" t="s">
        <v>745</v>
      </c>
    </row>
    <row r="344" spans="6:11" ht="17.5" x14ac:dyDescent="0.35">
      <c r="F344" s="112">
        <v>342</v>
      </c>
      <c r="G344" s="112" t="s">
        <v>293</v>
      </c>
      <c r="H344" s="112" t="s">
        <v>303</v>
      </c>
      <c r="I344" s="114" t="s">
        <v>301</v>
      </c>
      <c r="J344" s="112" t="str">
        <f t="shared" si="5"/>
        <v>Threefourtwo</v>
      </c>
      <c r="K344" s="112" t="s">
        <v>746</v>
      </c>
    </row>
    <row r="345" spans="6:11" ht="17.5" x14ac:dyDescent="0.35">
      <c r="F345" s="112">
        <v>343</v>
      </c>
      <c r="G345" s="112" t="s">
        <v>293</v>
      </c>
      <c r="H345" s="112" t="s">
        <v>303</v>
      </c>
      <c r="I345" s="114" t="s">
        <v>302</v>
      </c>
      <c r="J345" s="112" t="str">
        <f t="shared" si="5"/>
        <v>Threefourthree</v>
      </c>
      <c r="K345" s="112" t="s">
        <v>747</v>
      </c>
    </row>
    <row r="346" spans="6:11" ht="17.5" x14ac:dyDescent="0.35">
      <c r="F346" s="112">
        <v>344</v>
      </c>
      <c r="G346" s="112" t="s">
        <v>293</v>
      </c>
      <c r="H346" s="112" t="s">
        <v>303</v>
      </c>
      <c r="I346" s="115" t="s">
        <v>303</v>
      </c>
      <c r="J346" s="112" t="str">
        <f t="shared" si="5"/>
        <v>Threefourfour</v>
      </c>
      <c r="K346" s="112" t="s">
        <v>748</v>
      </c>
    </row>
    <row r="347" spans="6:11" ht="17.5" x14ac:dyDescent="0.35">
      <c r="F347" s="112">
        <v>345</v>
      </c>
      <c r="G347" s="112" t="s">
        <v>293</v>
      </c>
      <c r="H347" s="112" t="s">
        <v>303</v>
      </c>
      <c r="I347" s="115" t="s">
        <v>304</v>
      </c>
      <c r="J347" s="112" t="str">
        <f t="shared" si="5"/>
        <v>Threefourfive</v>
      </c>
      <c r="K347" s="112" t="s">
        <v>749</v>
      </c>
    </row>
    <row r="348" spans="6:11" ht="17.5" x14ac:dyDescent="0.35">
      <c r="F348" s="112">
        <v>346</v>
      </c>
      <c r="G348" s="112" t="s">
        <v>293</v>
      </c>
      <c r="H348" s="112" t="s">
        <v>303</v>
      </c>
      <c r="I348" s="115" t="s">
        <v>305</v>
      </c>
      <c r="J348" s="112" t="str">
        <f t="shared" si="5"/>
        <v>Threefoursix</v>
      </c>
      <c r="K348" s="112" t="s">
        <v>750</v>
      </c>
    </row>
    <row r="349" spans="6:11" ht="17.5" x14ac:dyDescent="0.35">
      <c r="F349" s="112">
        <v>347</v>
      </c>
      <c r="G349" s="112" t="s">
        <v>293</v>
      </c>
      <c r="H349" s="112" t="s">
        <v>303</v>
      </c>
      <c r="I349" s="115" t="s">
        <v>306</v>
      </c>
      <c r="J349" s="112" t="str">
        <f t="shared" si="5"/>
        <v>Threefourseven</v>
      </c>
      <c r="K349" s="112" t="s">
        <v>751</v>
      </c>
    </row>
    <row r="350" spans="6:11" ht="17.5" x14ac:dyDescent="0.35">
      <c r="F350" s="112">
        <v>348</v>
      </c>
      <c r="G350" s="112" t="s">
        <v>293</v>
      </c>
      <c r="H350" s="112" t="s">
        <v>303</v>
      </c>
      <c r="I350" s="115" t="s">
        <v>307</v>
      </c>
      <c r="J350" s="112" t="str">
        <f t="shared" si="5"/>
        <v>Threefoureight</v>
      </c>
      <c r="K350" s="112" t="s">
        <v>752</v>
      </c>
    </row>
    <row r="351" spans="6:11" ht="17.5" x14ac:dyDescent="0.35">
      <c r="F351" s="112">
        <v>349</v>
      </c>
      <c r="G351" s="112" t="s">
        <v>293</v>
      </c>
      <c r="H351" s="112" t="s">
        <v>303</v>
      </c>
      <c r="I351" s="115" t="s">
        <v>308</v>
      </c>
      <c r="J351" s="112" t="str">
        <f t="shared" si="5"/>
        <v>Threefournine</v>
      </c>
      <c r="K351" s="112" t="s">
        <v>753</v>
      </c>
    </row>
    <row r="352" spans="6:11" ht="17.5" x14ac:dyDescent="0.35">
      <c r="F352" s="112">
        <v>350</v>
      </c>
      <c r="G352" s="112" t="s">
        <v>293</v>
      </c>
      <c r="H352" s="112" t="s">
        <v>304</v>
      </c>
      <c r="I352" s="119" t="s">
        <v>422</v>
      </c>
      <c r="J352" s="112" t="str">
        <f t="shared" si="5"/>
        <v>Threefivezero</v>
      </c>
      <c r="K352" s="112" t="s">
        <v>754</v>
      </c>
    </row>
    <row r="353" spans="6:11" ht="17.5" x14ac:dyDescent="0.35">
      <c r="F353" s="112">
        <v>351</v>
      </c>
      <c r="G353" s="112" t="s">
        <v>293</v>
      </c>
      <c r="H353" s="112" t="s">
        <v>304</v>
      </c>
      <c r="I353" s="114" t="s">
        <v>300</v>
      </c>
      <c r="J353" s="112" t="str">
        <f t="shared" si="5"/>
        <v>Threefiveone</v>
      </c>
      <c r="K353" s="112" t="s">
        <v>755</v>
      </c>
    </row>
    <row r="354" spans="6:11" ht="17.5" x14ac:dyDescent="0.35">
      <c r="F354" s="112">
        <v>352</v>
      </c>
      <c r="G354" s="112" t="s">
        <v>293</v>
      </c>
      <c r="H354" s="112" t="s">
        <v>304</v>
      </c>
      <c r="I354" s="114" t="s">
        <v>301</v>
      </c>
      <c r="J354" s="112" t="str">
        <f t="shared" si="5"/>
        <v>Threefivetwo</v>
      </c>
      <c r="K354" s="112" t="s">
        <v>756</v>
      </c>
    </row>
    <row r="355" spans="6:11" ht="17.5" x14ac:dyDescent="0.35">
      <c r="F355" s="112">
        <v>353</v>
      </c>
      <c r="G355" s="112" t="s">
        <v>293</v>
      </c>
      <c r="H355" s="112" t="s">
        <v>304</v>
      </c>
      <c r="I355" s="114" t="s">
        <v>302</v>
      </c>
      <c r="J355" s="112" t="str">
        <f t="shared" si="5"/>
        <v>Threefivethree</v>
      </c>
      <c r="K355" s="112" t="s">
        <v>757</v>
      </c>
    </row>
    <row r="356" spans="6:11" ht="17.5" x14ac:dyDescent="0.35">
      <c r="F356" s="112">
        <v>354</v>
      </c>
      <c r="G356" s="112" t="s">
        <v>293</v>
      </c>
      <c r="H356" s="112" t="s">
        <v>304</v>
      </c>
      <c r="I356" s="115" t="s">
        <v>303</v>
      </c>
      <c r="J356" s="112" t="str">
        <f t="shared" si="5"/>
        <v>Threefivefour</v>
      </c>
      <c r="K356" s="112" t="s">
        <v>758</v>
      </c>
    </row>
    <row r="357" spans="6:11" ht="17.5" x14ac:dyDescent="0.35">
      <c r="F357" s="112">
        <v>355</v>
      </c>
      <c r="G357" s="112" t="s">
        <v>293</v>
      </c>
      <c r="H357" s="112" t="s">
        <v>304</v>
      </c>
      <c r="I357" s="115" t="s">
        <v>304</v>
      </c>
      <c r="J357" s="112" t="str">
        <f t="shared" si="5"/>
        <v>Threefivefive</v>
      </c>
      <c r="K357" s="112" t="s">
        <v>759</v>
      </c>
    </row>
    <row r="358" spans="6:11" ht="17.5" x14ac:dyDescent="0.35">
      <c r="F358" s="112">
        <v>356</v>
      </c>
      <c r="G358" s="112" t="s">
        <v>293</v>
      </c>
      <c r="H358" s="112" t="s">
        <v>304</v>
      </c>
      <c r="I358" s="115" t="s">
        <v>305</v>
      </c>
      <c r="J358" s="112" t="str">
        <f t="shared" ref="J358:J421" si="6">G358&amp;H358&amp;I358</f>
        <v>Threefivesix</v>
      </c>
      <c r="K358" s="112" t="s">
        <v>760</v>
      </c>
    </row>
    <row r="359" spans="6:11" ht="17.5" x14ac:dyDescent="0.35">
      <c r="F359" s="112">
        <v>357</v>
      </c>
      <c r="G359" s="112" t="s">
        <v>293</v>
      </c>
      <c r="H359" s="112" t="s">
        <v>304</v>
      </c>
      <c r="I359" s="115" t="s">
        <v>306</v>
      </c>
      <c r="J359" s="112" t="str">
        <f t="shared" si="6"/>
        <v>Threefiveseven</v>
      </c>
      <c r="K359" s="112" t="s">
        <v>761</v>
      </c>
    </row>
    <row r="360" spans="6:11" ht="17.5" x14ac:dyDescent="0.35">
      <c r="F360" s="112">
        <v>358</v>
      </c>
      <c r="G360" s="112" t="s">
        <v>293</v>
      </c>
      <c r="H360" s="112" t="s">
        <v>304</v>
      </c>
      <c r="I360" s="115" t="s">
        <v>307</v>
      </c>
      <c r="J360" s="112" t="str">
        <f t="shared" si="6"/>
        <v>Threefiveeight</v>
      </c>
      <c r="K360" s="112" t="s">
        <v>762</v>
      </c>
    </row>
    <row r="361" spans="6:11" ht="17.5" x14ac:dyDescent="0.35">
      <c r="F361" s="112">
        <v>359</v>
      </c>
      <c r="G361" s="112" t="s">
        <v>293</v>
      </c>
      <c r="H361" s="112" t="s">
        <v>304</v>
      </c>
      <c r="I361" s="115" t="s">
        <v>308</v>
      </c>
      <c r="J361" s="112" t="str">
        <f t="shared" si="6"/>
        <v>Threefivenine</v>
      </c>
      <c r="K361" s="112" t="s">
        <v>763</v>
      </c>
    </row>
    <row r="362" spans="6:11" ht="17.5" x14ac:dyDescent="0.35">
      <c r="F362" s="112">
        <v>360</v>
      </c>
      <c r="G362" s="112" t="s">
        <v>293</v>
      </c>
      <c r="H362" s="112" t="s">
        <v>305</v>
      </c>
      <c r="I362" s="119" t="s">
        <v>422</v>
      </c>
      <c r="J362" s="112" t="str">
        <f t="shared" si="6"/>
        <v>Threesixzero</v>
      </c>
      <c r="K362" s="112" t="s">
        <v>764</v>
      </c>
    </row>
    <row r="363" spans="6:11" ht="17.5" x14ac:dyDescent="0.35">
      <c r="F363" s="112">
        <v>361</v>
      </c>
      <c r="G363" s="112" t="s">
        <v>293</v>
      </c>
      <c r="H363" s="112" t="s">
        <v>305</v>
      </c>
      <c r="I363" s="114" t="s">
        <v>300</v>
      </c>
      <c r="J363" s="112" t="str">
        <f t="shared" si="6"/>
        <v>Threesixone</v>
      </c>
      <c r="K363" s="112" t="s">
        <v>765</v>
      </c>
    </row>
    <row r="364" spans="6:11" ht="17.5" x14ac:dyDescent="0.35">
      <c r="F364" s="112">
        <v>362</v>
      </c>
      <c r="G364" s="112" t="s">
        <v>293</v>
      </c>
      <c r="H364" s="112" t="s">
        <v>305</v>
      </c>
      <c r="I364" s="114" t="s">
        <v>301</v>
      </c>
      <c r="J364" s="112" t="str">
        <f t="shared" si="6"/>
        <v>Threesixtwo</v>
      </c>
      <c r="K364" s="112" t="s">
        <v>766</v>
      </c>
    </row>
    <row r="365" spans="6:11" ht="17.5" x14ac:dyDescent="0.35">
      <c r="F365" s="112">
        <v>363</v>
      </c>
      <c r="G365" s="112" t="s">
        <v>293</v>
      </c>
      <c r="H365" s="112" t="s">
        <v>305</v>
      </c>
      <c r="I365" s="114" t="s">
        <v>302</v>
      </c>
      <c r="J365" s="112" t="str">
        <f t="shared" si="6"/>
        <v>Threesixthree</v>
      </c>
      <c r="K365" s="112" t="s">
        <v>767</v>
      </c>
    </row>
    <row r="366" spans="6:11" ht="17.5" x14ac:dyDescent="0.35">
      <c r="F366" s="112">
        <v>364</v>
      </c>
      <c r="G366" s="112" t="s">
        <v>293</v>
      </c>
      <c r="H366" s="112" t="s">
        <v>305</v>
      </c>
      <c r="I366" s="115" t="s">
        <v>303</v>
      </c>
      <c r="J366" s="112" t="str">
        <f t="shared" si="6"/>
        <v>Threesixfour</v>
      </c>
      <c r="K366" s="112" t="s">
        <v>768</v>
      </c>
    </row>
    <row r="367" spans="6:11" ht="17.5" x14ac:dyDescent="0.35">
      <c r="F367" s="112">
        <v>365</v>
      </c>
      <c r="G367" s="112" t="s">
        <v>293</v>
      </c>
      <c r="H367" s="112" t="s">
        <v>305</v>
      </c>
      <c r="I367" s="115" t="s">
        <v>304</v>
      </c>
      <c r="J367" s="112" t="str">
        <f t="shared" si="6"/>
        <v>Threesixfive</v>
      </c>
      <c r="K367" s="112" t="s">
        <v>769</v>
      </c>
    </row>
    <row r="368" spans="6:11" ht="17.5" x14ac:dyDescent="0.35">
      <c r="F368" s="112">
        <v>366</v>
      </c>
      <c r="G368" s="112" t="s">
        <v>293</v>
      </c>
      <c r="H368" s="112" t="s">
        <v>305</v>
      </c>
      <c r="I368" s="115" t="s">
        <v>305</v>
      </c>
      <c r="J368" s="112" t="str">
        <f t="shared" si="6"/>
        <v>Threesixsix</v>
      </c>
      <c r="K368" s="112" t="s">
        <v>770</v>
      </c>
    </row>
    <row r="369" spans="6:11" ht="17.5" x14ac:dyDescent="0.35">
      <c r="F369" s="112">
        <v>367</v>
      </c>
      <c r="G369" s="112" t="s">
        <v>293</v>
      </c>
      <c r="H369" s="112" t="s">
        <v>305</v>
      </c>
      <c r="I369" s="115" t="s">
        <v>306</v>
      </c>
      <c r="J369" s="112" t="str">
        <f t="shared" si="6"/>
        <v>Threesixseven</v>
      </c>
      <c r="K369" s="112" t="s">
        <v>771</v>
      </c>
    </row>
    <row r="370" spans="6:11" ht="17.5" x14ac:dyDescent="0.35">
      <c r="F370" s="112">
        <v>368</v>
      </c>
      <c r="G370" s="112" t="s">
        <v>293</v>
      </c>
      <c r="H370" s="112" t="s">
        <v>305</v>
      </c>
      <c r="I370" s="115" t="s">
        <v>307</v>
      </c>
      <c r="J370" s="112" t="str">
        <f t="shared" si="6"/>
        <v>Threesixeight</v>
      </c>
      <c r="K370" s="112" t="s">
        <v>772</v>
      </c>
    </row>
    <row r="371" spans="6:11" ht="17.5" x14ac:dyDescent="0.35">
      <c r="F371" s="112">
        <v>369</v>
      </c>
      <c r="G371" s="112" t="s">
        <v>293</v>
      </c>
      <c r="H371" s="112" t="s">
        <v>305</v>
      </c>
      <c r="I371" s="115" t="s">
        <v>308</v>
      </c>
      <c r="J371" s="112" t="str">
        <f t="shared" si="6"/>
        <v>Threesixnine</v>
      </c>
      <c r="K371" s="112" t="s">
        <v>773</v>
      </c>
    </row>
    <row r="372" spans="6:11" x14ac:dyDescent="0.35">
      <c r="F372" s="112">
        <v>370</v>
      </c>
      <c r="G372" s="112" t="s">
        <v>293</v>
      </c>
      <c r="H372" s="112" t="s">
        <v>306</v>
      </c>
      <c r="I372" s="112" t="s">
        <v>422</v>
      </c>
      <c r="J372" s="112" t="str">
        <f t="shared" si="6"/>
        <v>Threesevenzero</v>
      </c>
      <c r="K372" s="112" t="s">
        <v>774</v>
      </c>
    </row>
    <row r="373" spans="6:11" ht="17.5" x14ac:dyDescent="0.35">
      <c r="F373" s="112">
        <v>371</v>
      </c>
      <c r="G373" s="112" t="s">
        <v>293</v>
      </c>
      <c r="H373" s="112" t="s">
        <v>306</v>
      </c>
      <c r="I373" s="114" t="s">
        <v>300</v>
      </c>
      <c r="J373" s="112" t="str">
        <f t="shared" si="6"/>
        <v>Threesevenone</v>
      </c>
      <c r="K373" s="112" t="s">
        <v>775</v>
      </c>
    </row>
    <row r="374" spans="6:11" ht="17.5" x14ac:dyDescent="0.35">
      <c r="F374" s="112">
        <v>372</v>
      </c>
      <c r="G374" s="112" t="s">
        <v>293</v>
      </c>
      <c r="H374" s="112" t="s">
        <v>306</v>
      </c>
      <c r="I374" s="114" t="s">
        <v>301</v>
      </c>
      <c r="J374" s="112" t="str">
        <f t="shared" si="6"/>
        <v>Threeseventwo</v>
      </c>
      <c r="K374" s="112" t="s">
        <v>776</v>
      </c>
    </row>
    <row r="375" spans="6:11" ht="17.5" x14ac:dyDescent="0.35">
      <c r="F375" s="112">
        <v>373</v>
      </c>
      <c r="G375" s="112" t="s">
        <v>293</v>
      </c>
      <c r="H375" s="112" t="s">
        <v>306</v>
      </c>
      <c r="I375" s="114" t="s">
        <v>302</v>
      </c>
      <c r="J375" s="112" t="str">
        <f t="shared" si="6"/>
        <v>Threeseventhree</v>
      </c>
      <c r="K375" s="112" t="s">
        <v>777</v>
      </c>
    </row>
    <row r="376" spans="6:11" ht="17.5" x14ac:dyDescent="0.35">
      <c r="F376" s="112">
        <v>374</v>
      </c>
      <c r="G376" s="112" t="s">
        <v>293</v>
      </c>
      <c r="H376" s="112" t="s">
        <v>306</v>
      </c>
      <c r="I376" s="115" t="s">
        <v>303</v>
      </c>
      <c r="J376" s="112" t="str">
        <f t="shared" si="6"/>
        <v>Threesevenfour</v>
      </c>
      <c r="K376" s="112" t="s">
        <v>778</v>
      </c>
    </row>
    <row r="377" spans="6:11" ht="17.5" x14ac:dyDescent="0.35">
      <c r="F377" s="112">
        <v>375</v>
      </c>
      <c r="G377" s="112" t="s">
        <v>293</v>
      </c>
      <c r="H377" s="112" t="s">
        <v>306</v>
      </c>
      <c r="I377" s="115" t="s">
        <v>304</v>
      </c>
      <c r="J377" s="112" t="str">
        <f t="shared" si="6"/>
        <v>Threesevenfive</v>
      </c>
      <c r="K377" s="112" t="s">
        <v>779</v>
      </c>
    </row>
    <row r="378" spans="6:11" ht="17.5" x14ac:dyDescent="0.35">
      <c r="F378" s="112">
        <v>376</v>
      </c>
      <c r="G378" s="112" t="s">
        <v>293</v>
      </c>
      <c r="H378" s="112" t="s">
        <v>306</v>
      </c>
      <c r="I378" s="115" t="s">
        <v>305</v>
      </c>
      <c r="J378" s="112" t="str">
        <f t="shared" si="6"/>
        <v>Threesevensix</v>
      </c>
      <c r="K378" s="112" t="s">
        <v>780</v>
      </c>
    </row>
    <row r="379" spans="6:11" ht="17.5" x14ac:dyDescent="0.35">
      <c r="F379" s="112">
        <v>377</v>
      </c>
      <c r="G379" s="112" t="s">
        <v>293</v>
      </c>
      <c r="H379" s="112" t="s">
        <v>306</v>
      </c>
      <c r="I379" s="115" t="s">
        <v>306</v>
      </c>
      <c r="J379" s="112" t="str">
        <f t="shared" si="6"/>
        <v>Threesevenseven</v>
      </c>
      <c r="K379" s="112" t="s">
        <v>781</v>
      </c>
    </row>
    <row r="380" spans="6:11" ht="17.5" x14ac:dyDescent="0.35">
      <c r="F380" s="112">
        <v>378</v>
      </c>
      <c r="G380" s="112" t="s">
        <v>293</v>
      </c>
      <c r="H380" s="112" t="s">
        <v>306</v>
      </c>
      <c r="I380" s="115" t="s">
        <v>307</v>
      </c>
      <c r="J380" s="112" t="str">
        <f t="shared" si="6"/>
        <v>Threeseveneight</v>
      </c>
      <c r="K380" s="112" t="s">
        <v>782</v>
      </c>
    </row>
    <row r="381" spans="6:11" ht="17.5" x14ac:dyDescent="0.35">
      <c r="F381" s="112">
        <v>379</v>
      </c>
      <c r="G381" s="112" t="s">
        <v>293</v>
      </c>
      <c r="H381" s="112" t="s">
        <v>306</v>
      </c>
      <c r="I381" s="115" t="s">
        <v>308</v>
      </c>
      <c r="J381" s="112" t="str">
        <f t="shared" si="6"/>
        <v>Threesevennine</v>
      </c>
      <c r="K381" s="112" t="s">
        <v>783</v>
      </c>
    </row>
    <row r="382" spans="6:11" x14ac:dyDescent="0.35">
      <c r="F382" s="112">
        <v>380</v>
      </c>
      <c r="G382" s="112" t="s">
        <v>293</v>
      </c>
      <c r="H382" s="112" t="s">
        <v>307</v>
      </c>
      <c r="I382" s="112" t="s">
        <v>422</v>
      </c>
      <c r="J382" s="112" t="str">
        <f t="shared" si="6"/>
        <v>Threeeightzero</v>
      </c>
      <c r="K382" s="112" t="s">
        <v>784</v>
      </c>
    </row>
    <row r="383" spans="6:11" ht="17.5" x14ac:dyDescent="0.35">
      <c r="F383" s="112">
        <v>381</v>
      </c>
      <c r="G383" s="112" t="s">
        <v>293</v>
      </c>
      <c r="H383" s="112" t="s">
        <v>307</v>
      </c>
      <c r="I383" s="114" t="s">
        <v>300</v>
      </c>
      <c r="J383" s="112" t="str">
        <f t="shared" si="6"/>
        <v>Threeeightone</v>
      </c>
      <c r="K383" s="112" t="s">
        <v>785</v>
      </c>
    </row>
    <row r="384" spans="6:11" ht="17.5" x14ac:dyDescent="0.35">
      <c r="F384" s="112">
        <v>382</v>
      </c>
      <c r="G384" s="112" t="s">
        <v>293</v>
      </c>
      <c r="H384" s="112" t="s">
        <v>307</v>
      </c>
      <c r="I384" s="114" t="s">
        <v>301</v>
      </c>
      <c r="J384" s="112" t="str">
        <f t="shared" si="6"/>
        <v>Threeeighttwo</v>
      </c>
      <c r="K384" s="112" t="s">
        <v>786</v>
      </c>
    </row>
    <row r="385" spans="6:11" ht="17.5" x14ac:dyDescent="0.35">
      <c r="F385" s="112">
        <v>383</v>
      </c>
      <c r="G385" s="112" t="s">
        <v>293</v>
      </c>
      <c r="H385" s="112" t="s">
        <v>307</v>
      </c>
      <c r="I385" s="114" t="s">
        <v>302</v>
      </c>
      <c r="J385" s="112" t="str">
        <f t="shared" si="6"/>
        <v>Threeeightthree</v>
      </c>
      <c r="K385" s="112" t="s">
        <v>787</v>
      </c>
    </row>
    <row r="386" spans="6:11" ht="17.5" x14ac:dyDescent="0.35">
      <c r="F386" s="112">
        <v>384</v>
      </c>
      <c r="G386" s="112" t="s">
        <v>293</v>
      </c>
      <c r="H386" s="112" t="s">
        <v>307</v>
      </c>
      <c r="I386" s="115" t="s">
        <v>303</v>
      </c>
      <c r="J386" s="112" t="str">
        <f t="shared" si="6"/>
        <v>Threeeightfour</v>
      </c>
      <c r="K386" s="112" t="s">
        <v>788</v>
      </c>
    </row>
    <row r="387" spans="6:11" ht="17.5" x14ac:dyDescent="0.35">
      <c r="F387" s="112">
        <v>385</v>
      </c>
      <c r="G387" s="112" t="s">
        <v>293</v>
      </c>
      <c r="H387" s="112" t="s">
        <v>307</v>
      </c>
      <c r="I387" s="115" t="s">
        <v>304</v>
      </c>
      <c r="J387" s="112" t="str">
        <f t="shared" si="6"/>
        <v>Threeeightfive</v>
      </c>
      <c r="K387" s="112" t="s">
        <v>789</v>
      </c>
    </row>
    <row r="388" spans="6:11" ht="17.5" x14ac:dyDescent="0.35">
      <c r="F388" s="112">
        <v>386</v>
      </c>
      <c r="G388" s="112" t="s">
        <v>293</v>
      </c>
      <c r="H388" s="112" t="s">
        <v>307</v>
      </c>
      <c r="I388" s="115" t="s">
        <v>305</v>
      </c>
      <c r="J388" s="112" t="str">
        <f t="shared" si="6"/>
        <v>Threeeightsix</v>
      </c>
      <c r="K388" s="112" t="s">
        <v>790</v>
      </c>
    </row>
    <row r="389" spans="6:11" ht="17.5" x14ac:dyDescent="0.35">
      <c r="F389" s="112">
        <v>387</v>
      </c>
      <c r="G389" s="112" t="s">
        <v>293</v>
      </c>
      <c r="H389" s="112" t="s">
        <v>307</v>
      </c>
      <c r="I389" s="115" t="s">
        <v>306</v>
      </c>
      <c r="J389" s="112" t="str">
        <f t="shared" si="6"/>
        <v>Threeeightseven</v>
      </c>
      <c r="K389" s="112" t="s">
        <v>791</v>
      </c>
    </row>
    <row r="390" spans="6:11" ht="17.5" x14ac:dyDescent="0.35">
      <c r="F390" s="112">
        <v>388</v>
      </c>
      <c r="G390" s="112" t="s">
        <v>293</v>
      </c>
      <c r="H390" s="112" t="s">
        <v>307</v>
      </c>
      <c r="I390" s="115" t="s">
        <v>307</v>
      </c>
      <c r="J390" s="112" t="str">
        <f t="shared" si="6"/>
        <v>Threeeighteight</v>
      </c>
      <c r="K390" s="112" t="s">
        <v>792</v>
      </c>
    </row>
    <row r="391" spans="6:11" ht="17.5" x14ac:dyDescent="0.35">
      <c r="F391" s="112">
        <v>389</v>
      </c>
      <c r="G391" s="112" t="s">
        <v>293</v>
      </c>
      <c r="H391" s="112" t="s">
        <v>307</v>
      </c>
      <c r="I391" s="115" t="s">
        <v>308</v>
      </c>
      <c r="J391" s="112" t="str">
        <f t="shared" si="6"/>
        <v>Threeeightnine</v>
      </c>
      <c r="K391" s="112" t="s">
        <v>793</v>
      </c>
    </row>
    <row r="392" spans="6:11" ht="17.5" x14ac:dyDescent="0.35">
      <c r="F392" s="112">
        <v>390</v>
      </c>
      <c r="G392" s="112" t="s">
        <v>293</v>
      </c>
      <c r="H392" s="112" t="s">
        <v>308</v>
      </c>
      <c r="I392" s="119" t="s">
        <v>422</v>
      </c>
      <c r="J392" s="112" t="str">
        <f t="shared" si="6"/>
        <v>Threeninezero</v>
      </c>
      <c r="K392" s="112" t="s">
        <v>794</v>
      </c>
    </row>
    <row r="393" spans="6:11" ht="17.5" x14ac:dyDescent="0.35">
      <c r="F393" s="112">
        <v>391</v>
      </c>
      <c r="G393" s="112" t="s">
        <v>293</v>
      </c>
      <c r="H393" s="112" t="s">
        <v>308</v>
      </c>
      <c r="I393" s="114" t="s">
        <v>300</v>
      </c>
      <c r="J393" s="112" t="str">
        <f t="shared" si="6"/>
        <v>Threenineone</v>
      </c>
      <c r="K393" s="112" t="s">
        <v>795</v>
      </c>
    </row>
    <row r="394" spans="6:11" ht="17.5" x14ac:dyDescent="0.35">
      <c r="F394" s="112">
        <v>392</v>
      </c>
      <c r="G394" s="112" t="s">
        <v>293</v>
      </c>
      <c r="H394" s="112" t="s">
        <v>308</v>
      </c>
      <c r="I394" s="114" t="s">
        <v>301</v>
      </c>
      <c r="J394" s="112" t="str">
        <f t="shared" si="6"/>
        <v>Threeninetwo</v>
      </c>
      <c r="K394" s="112" t="s">
        <v>796</v>
      </c>
    </row>
    <row r="395" spans="6:11" ht="17.5" x14ac:dyDescent="0.35">
      <c r="F395" s="112">
        <v>393</v>
      </c>
      <c r="G395" s="112" t="s">
        <v>293</v>
      </c>
      <c r="H395" s="112" t="s">
        <v>308</v>
      </c>
      <c r="I395" s="114" t="s">
        <v>302</v>
      </c>
      <c r="J395" s="112" t="str">
        <f t="shared" si="6"/>
        <v>Threeninethree</v>
      </c>
      <c r="K395" s="112" t="s">
        <v>797</v>
      </c>
    </row>
    <row r="396" spans="6:11" ht="17.5" x14ac:dyDescent="0.35">
      <c r="F396" s="112">
        <v>394</v>
      </c>
      <c r="G396" s="112" t="s">
        <v>293</v>
      </c>
      <c r="H396" s="112" t="s">
        <v>308</v>
      </c>
      <c r="I396" s="115" t="s">
        <v>303</v>
      </c>
      <c r="J396" s="112" t="str">
        <f t="shared" si="6"/>
        <v>Threeninefour</v>
      </c>
      <c r="K396" s="112" t="s">
        <v>798</v>
      </c>
    </row>
    <row r="397" spans="6:11" ht="17.5" x14ac:dyDescent="0.35">
      <c r="F397" s="112">
        <v>395</v>
      </c>
      <c r="G397" s="112" t="s">
        <v>293</v>
      </c>
      <c r="H397" s="112" t="s">
        <v>308</v>
      </c>
      <c r="I397" s="115" t="s">
        <v>304</v>
      </c>
      <c r="J397" s="112" t="str">
        <f t="shared" si="6"/>
        <v>Threeninefive</v>
      </c>
      <c r="K397" s="112" t="s">
        <v>799</v>
      </c>
    </row>
    <row r="398" spans="6:11" ht="17.5" x14ac:dyDescent="0.35">
      <c r="F398" s="112">
        <v>396</v>
      </c>
      <c r="G398" s="112" t="s">
        <v>293</v>
      </c>
      <c r="H398" s="112" t="s">
        <v>308</v>
      </c>
      <c r="I398" s="115" t="s">
        <v>305</v>
      </c>
      <c r="J398" s="112" t="str">
        <f t="shared" si="6"/>
        <v>Threeninesix</v>
      </c>
      <c r="K398" s="112" t="s">
        <v>800</v>
      </c>
    </row>
    <row r="399" spans="6:11" ht="17.5" x14ac:dyDescent="0.35">
      <c r="F399" s="112">
        <v>397</v>
      </c>
      <c r="G399" s="112" t="s">
        <v>293</v>
      </c>
      <c r="H399" s="112" t="s">
        <v>308</v>
      </c>
      <c r="I399" s="115" t="s">
        <v>306</v>
      </c>
      <c r="J399" s="112" t="str">
        <f t="shared" si="6"/>
        <v>Threenineseven</v>
      </c>
      <c r="K399" s="112" t="s">
        <v>801</v>
      </c>
    </row>
    <row r="400" spans="6:11" ht="17.5" x14ac:dyDescent="0.35">
      <c r="F400" s="112">
        <v>398</v>
      </c>
      <c r="G400" s="112" t="s">
        <v>293</v>
      </c>
      <c r="H400" s="112" t="s">
        <v>308</v>
      </c>
      <c r="I400" s="115" t="s">
        <v>307</v>
      </c>
      <c r="J400" s="112" t="str">
        <f t="shared" si="6"/>
        <v>Threenineeight</v>
      </c>
      <c r="K400" s="112" t="s">
        <v>802</v>
      </c>
    </row>
    <row r="401" spans="6:11" ht="17.5" x14ac:dyDescent="0.35">
      <c r="F401" s="112">
        <v>399</v>
      </c>
      <c r="G401" s="112" t="s">
        <v>293</v>
      </c>
      <c r="H401" s="112" t="s">
        <v>308</v>
      </c>
      <c r="I401" s="115" t="s">
        <v>308</v>
      </c>
      <c r="J401" s="112" t="str">
        <f t="shared" si="6"/>
        <v>Threeninenine</v>
      </c>
      <c r="K401" s="112" t="s">
        <v>803</v>
      </c>
    </row>
    <row r="402" spans="6:11" ht="17.5" x14ac:dyDescent="0.35">
      <c r="F402" s="112">
        <v>400</v>
      </c>
      <c r="G402" s="112" t="s">
        <v>294</v>
      </c>
      <c r="H402" s="112" t="s">
        <v>422</v>
      </c>
      <c r="I402" s="119" t="s">
        <v>422</v>
      </c>
      <c r="J402" s="112" t="str">
        <f t="shared" si="6"/>
        <v>Fourzerozero</v>
      </c>
      <c r="K402" s="112" t="s">
        <v>804</v>
      </c>
    </row>
    <row r="403" spans="6:11" ht="17.5" x14ac:dyDescent="0.35">
      <c r="F403" s="112">
        <v>401</v>
      </c>
      <c r="G403" s="112" t="s">
        <v>294</v>
      </c>
      <c r="H403" s="112" t="s">
        <v>422</v>
      </c>
      <c r="I403" s="114" t="s">
        <v>300</v>
      </c>
      <c r="J403" s="112" t="str">
        <f t="shared" si="6"/>
        <v>Fourzeroone</v>
      </c>
      <c r="K403" s="112" t="s">
        <v>805</v>
      </c>
    </row>
    <row r="404" spans="6:11" ht="17.5" x14ac:dyDescent="0.35">
      <c r="F404" s="112">
        <v>402</v>
      </c>
      <c r="G404" s="112" t="s">
        <v>294</v>
      </c>
      <c r="H404" s="112" t="s">
        <v>422</v>
      </c>
      <c r="I404" s="114" t="s">
        <v>301</v>
      </c>
      <c r="J404" s="112" t="str">
        <f t="shared" si="6"/>
        <v>Fourzerotwo</v>
      </c>
      <c r="K404" s="112" t="s">
        <v>806</v>
      </c>
    </row>
    <row r="405" spans="6:11" ht="17.5" x14ac:dyDescent="0.35">
      <c r="F405" s="112">
        <v>403</v>
      </c>
      <c r="G405" s="112" t="s">
        <v>294</v>
      </c>
      <c r="H405" s="112" t="s">
        <v>422</v>
      </c>
      <c r="I405" s="114" t="s">
        <v>302</v>
      </c>
      <c r="J405" s="112" t="str">
        <f t="shared" si="6"/>
        <v>Fourzerothree</v>
      </c>
      <c r="K405" s="112" t="s">
        <v>807</v>
      </c>
    </row>
    <row r="406" spans="6:11" ht="17.5" x14ac:dyDescent="0.35">
      <c r="F406" s="112">
        <v>404</v>
      </c>
      <c r="G406" s="112" t="s">
        <v>294</v>
      </c>
      <c r="H406" s="112" t="s">
        <v>422</v>
      </c>
      <c r="I406" s="115" t="s">
        <v>303</v>
      </c>
      <c r="J406" s="112" t="str">
        <f t="shared" si="6"/>
        <v>Fourzerofour</v>
      </c>
      <c r="K406" s="112" t="s">
        <v>808</v>
      </c>
    </row>
    <row r="407" spans="6:11" ht="17.5" x14ac:dyDescent="0.35">
      <c r="F407" s="112">
        <v>405</v>
      </c>
      <c r="G407" s="112" t="s">
        <v>294</v>
      </c>
      <c r="H407" s="112" t="s">
        <v>422</v>
      </c>
      <c r="I407" s="115" t="s">
        <v>304</v>
      </c>
      <c r="J407" s="112" t="str">
        <f t="shared" si="6"/>
        <v>Fourzerofive</v>
      </c>
      <c r="K407" s="112" t="s">
        <v>809</v>
      </c>
    </row>
    <row r="408" spans="6:11" ht="17.5" x14ac:dyDescent="0.35">
      <c r="F408" s="112">
        <v>406</v>
      </c>
      <c r="G408" s="112" t="s">
        <v>294</v>
      </c>
      <c r="H408" s="112" t="s">
        <v>422</v>
      </c>
      <c r="I408" s="115" t="s">
        <v>305</v>
      </c>
      <c r="J408" s="112" t="str">
        <f t="shared" si="6"/>
        <v>Fourzerosix</v>
      </c>
      <c r="K408" s="112" t="s">
        <v>810</v>
      </c>
    </row>
    <row r="409" spans="6:11" ht="17.5" x14ac:dyDescent="0.35">
      <c r="F409" s="112">
        <v>407</v>
      </c>
      <c r="G409" s="112" t="s">
        <v>294</v>
      </c>
      <c r="H409" s="112" t="s">
        <v>422</v>
      </c>
      <c r="I409" s="115" t="s">
        <v>306</v>
      </c>
      <c r="J409" s="112" t="str">
        <f t="shared" si="6"/>
        <v>Fourzeroseven</v>
      </c>
      <c r="K409" s="112" t="s">
        <v>811</v>
      </c>
    </row>
    <row r="410" spans="6:11" ht="17.5" x14ac:dyDescent="0.35">
      <c r="F410" s="112">
        <v>408</v>
      </c>
      <c r="G410" s="112" t="s">
        <v>294</v>
      </c>
      <c r="H410" s="112" t="s">
        <v>422</v>
      </c>
      <c r="I410" s="115" t="s">
        <v>307</v>
      </c>
      <c r="J410" s="112" t="str">
        <f t="shared" si="6"/>
        <v>Fourzeroeight</v>
      </c>
      <c r="K410" s="112" t="s">
        <v>812</v>
      </c>
    </row>
    <row r="411" spans="6:11" ht="17.5" x14ac:dyDescent="0.35">
      <c r="F411" s="112">
        <v>409</v>
      </c>
      <c r="G411" s="112" t="s">
        <v>294</v>
      </c>
      <c r="H411" s="112" t="s">
        <v>422</v>
      </c>
      <c r="I411" s="115" t="s">
        <v>308</v>
      </c>
      <c r="J411" s="112" t="str">
        <f t="shared" si="6"/>
        <v>Fourzeronine</v>
      </c>
      <c r="K411" s="112" t="s">
        <v>813</v>
      </c>
    </row>
    <row r="412" spans="6:11" ht="17.5" x14ac:dyDescent="0.35">
      <c r="F412" s="112">
        <v>410</v>
      </c>
      <c r="G412" s="112" t="s">
        <v>294</v>
      </c>
      <c r="H412" s="114" t="s">
        <v>300</v>
      </c>
      <c r="I412" s="112" t="s">
        <v>422</v>
      </c>
      <c r="J412" s="112" t="str">
        <f t="shared" si="6"/>
        <v>Fouronezero</v>
      </c>
      <c r="K412" s="112" t="s">
        <v>814</v>
      </c>
    </row>
    <row r="413" spans="6:11" ht="17.5" x14ac:dyDescent="0.35">
      <c r="F413" s="112">
        <v>411</v>
      </c>
      <c r="G413" s="112" t="s">
        <v>294</v>
      </c>
      <c r="H413" s="114" t="s">
        <v>300</v>
      </c>
      <c r="I413" s="114" t="s">
        <v>300</v>
      </c>
      <c r="J413" s="112" t="str">
        <f t="shared" si="6"/>
        <v>Fouroneone</v>
      </c>
      <c r="K413" s="112" t="s">
        <v>815</v>
      </c>
    </row>
    <row r="414" spans="6:11" ht="17.5" x14ac:dyDescent="0.35">
      <c r="F414" s="112">
        <v>412</v>
      </c>
      <c r="G414" s="112" t="s">
        <v>294</v>
      </c>
      <c r="H414" s="114" t="s">
        <v>300</v>
      </c>
      <c r="I414" s="114" t="s">
        <v>301</v>
      </c>
      <c r="J414" s="112" t="str">
        <f t="shared" si="6"/>
        <v>Fouronetwo</v>
      </c>
      <c r="K414" s="112" t="s">
        <v>816</v>
      </c>
    </row>
    <row r="415" spans="6:11" ht="17.5" x14ac:dyDescent="0.35">
      <c r="F415" s="112">
        <v>413</v>
      </c>
      <c r="G415" s="112" t="s">
        <v>294</v>
      </c>
      <c r="H415" s="114" t="s">
        <v>300</v>
      </c>
      <c r="I415" s="114" t="s">
        <v>302</v>
      </c>
      <c r="J415" s="112" t="str">
        <f t="shared" si="6"/>
        <v>Fouronethree</v>
      </c>
      <c r="K415" s="112" t="s">
        <v>817</v>
      </c>
    </row>
    <row r="416" spans="6:11" ht="17.5" x14ac:dyDescent="0.35">
      <c r="F416" s="112">
        <v>414</v>
      </c>
      <c r="G416" s="112" t="s">
        <v>294</v>
      </c>
      <c r="H416" s="114" t="s">
        <v>300</v>
      </c>
      <c r="I416" s="115" t="s">
        <v>303</v>
      </c>
      <c r="J416" s="112" t="str">
        <f t="shared" si="6"/>
        <v>Fouronefour</v>
      </c>
      <c r="K416" s="112" t="s">
        <v>818</v>
      </c>
    </row>
    <row r="417" spans="6:11" ht="17.5" x14ac:dyDescent="0.35">
      <c r="F417" s="112">
        <v>415</v>
      </c>
      <c r="G417" s="112" t="s">
        <v>294</v>
      </c>
      <c r="H417" s="114" t="s">
        <v>300</v>
      </c>
      <c r="I417" s="115" t="s">
        <v>304</v>
      </c>
      <c r="J417" s="112" t="str">
        <f t="shared" si="6"/>
        <v>Fouronefive</v>
      </c>
      <c r="K417" s="112" t="s">
        <v>819</v>
      </c>
    </row>
    <row r="418" spans="6:11" ht="17.5" x14ac:dyDescent="0.35">
      <c r="F418" s="112">
        <v>416</v>
      </c>
      <c r="G418" s="112" t="s">
        <v>294</v>
      </c>
      <c r="H418" s="114" t="s">
        <v>300</v>
      </c>
      <c r="I418" s="115" t="s">
        <v>305</v>
      </c>
      <c r="J418" s="112" t="str">
        <f t="shared" si="6"/>
        <v>Fouronesix</v>
      </c>
      <c r="K418" s="112" t="s">
        <v>820</v>
      </c>
    </row>
    <row r="419" spans="6:11" ht="17.5" x14ac:dyDescent="0.35">
      <c r="F419" s="112">
        <v>417</v>
      </c>
      <c r="G419" s="112" t="s">
        <v>294</v>
      </c>
      <c r="H419" s="114" t="s">
        <v>300</v>
      </c>
      <c r="I419" s="115" t="s">
        <v>306</v>
      </c>
      <c r="J419" s="112" t="str">
        <f t="shared" si="6"/>
        <v>Fouroneseven</v>
      </c>
      <c r="K419" s="112" t="s">
        <v>821</v>
      </c>
    </row>
    <row r="420" spans="6:11" ht="17.5" x14ac:dyDescent="0.35">
      <c r="F420" s="112">
        <v>418</v>
      </c>
      <c r="G420" s="112" t="s">
        <v>294</v>
      </c>
      <c r="H420" s="114" t="s">
        <v>300</v>
      </c>
      <c r="I420" s="115" t="s">
        <v>307</v>
      </c>
      <c r="J420" s="112" t="str">
        <f t="shared" si="6"/>
        <v>Fouroneeight</v>
      </c>
      <c r="K420" s="112" t="s">
        <v>822</v>
      </c>
    </row>
    <row r="421" spans="6:11" ht="17.5" x14ac:dyDescent="0.35">
      <c r="F421" s="112">
        <v>419</v>
      </c>
      <c r="G421" s="112" t="s">
        <v>294</v>
      </c>
      <c r="H421" s="114" t="s">
        <v>300</v>
      </c>
      <c r="I421" s="115" t="s">
        <v>308</v>
      </c>
      <c r="J421" s="112" t="str">
        <f t="shared" si="6"/>
        <v>Fouronenine</v>
      </c>
      <c r="K421" s="112" t="s">
        <v>823</v>
      </c>
    </row>
    <row r="422" spans="6:11" x14ac:dyDescent="0.35">
      <c r="F422" s="112">
        <v>420</v>
      </c>
      <c r="G422" s="112" t="s">
        <v>294</v>
      </c>
      <c r="H422" s="112" t="s">
        <v>301</v>
      </c>
      <c r="I422" s="112" t="s">
        <v>422</v>
      </c>
      <c r="J422" s="112" t="str">
        <f t="shared" ref="J422:J485" si="7">G422&amp;H422&amp;I422</f>
        <v>Fourtwozero</v>
      </c>
      <c r="K422" s="112" t="s">
        <v>824</v>
      </c>
    </row>
    <row r="423" spans="6:11" ht="17.5" x14ac:dyDescent="0.35">
      <c r="F423" s="112">
        <v>421</v>
      </c>
      <c r="G423" s="112" t="s">
        <v>294</v>
      </c>
      <c r="H423" s="112" t="s">
        <v>301</v>
      </c>
      <c r="I423" s="114" t="s">
        <v>300</v>
      </c>
      <c r="J423" s="112" t="str">
        <f t="shared" si="7"/>
        <v>Fourtwoone</v>
      </c>
      <c r="K423" s="112" t="s">
        <v>825</v>
      </c>
    </row>
    <row r="424" spans="6:11" ht="17.5" x14ac:dyDescent="0.35">
      <c r="F424" s="112">
        <v>422</v>
      </c>
      <c r="G424" s="112" t="s">
        <v>294</v>
      </c>
      <c r="H424" s="112" t="s">
        <v>301</v>
      </c>
      <c r="I424" s="114" t="s">
        <v>301</v>
      </c>
      <c r="J424" s="112" t="str">
        <f t="shared" si="7"/>
        <v>Fourtwotwo</v>
      </c>
      <c r="K424" s="112" t="s">
        <v>826</v>
      </c>
    </row>
    <row r="425" spans="6:11" ht="17.5" x14ac:dyDescent="0.35">
      <c r="F425" s="112">
        <v>423</v>
      </c>
      <c r="G425" s="112" t="s">
        <v>294</v>
      </c>
      <c r="H425" s="112" t="s">
        <v>301</v>
      </c>
      <c r="I425" s="114" t="s">
        <v>302</v>
      </c>
      <c r="J425" s="112" t="str">
        <f t="shared" si="7"/>
        <v>Fourtwothree</v>
      </c>
      <c r="K425" s="112" t="s">
        <v>827</v>
      </c>
    </row>
    <row r="426" spans="6:11" ht="17.5" x14ac:dyDescent="0.35">
      <c r="F426" s="112">
        <v>424</v>
      </c>
      <c r="G426" s="112" t="s">
        <v>294</v>
      </c>
      <c r="H426" s="112" t="s">
        <v>301</v>
      </c>
      <c r="I426" s="115" t="s">
        <v>303</v>
      </c>
      <c r="J426" s="112" t="str">
        <f t="shared" si="7"/>
        <v>Fourtwofour</v>
      </c>
      <c r="K426" s="112" t="s">
        <v>828</v>
      </c>
    </row>
    <row r="427" spans="6:11" ht="17.5" x14ac:dyDescent="0.35">
      <c r="F427" s="112">
        <v>425</v>
      </c>
      <c r="G427" s="112" t="s">
        <v>294</v>
      </c>
      <c r="H427" s="112" t="s">
        <v>301</v>
      </c>
      <c r="I427" s="115" t="s">
        <v>304</v>
      </c>
      <c r="J427" s="112" t="str">
        <f t="shared" si="7"/>
        <v>Fourtwofive</v>
      </c>
      <c r="K427" s="112" t="s">
        <v>829</v>
      </c>
    </row>
    <row r="428" spans="6:11" ht="17.5" x14ac:dyDescent="0.35">
      <c r="F428" s="112">
        <v>426</v>
      </c>
      <c r="G428" s="112" t="s">
        <v>294</v>
      </c>
      <c r="H428" s="112" t="s">
        <v>301</v>
      </c>
      <c r="I428" s="115" t="s">
        <v>305</v>
      </c>
      <c r="J428" s="112" t="str">
        <f t="shared" si="7"/>
        <v>Fourtwosix</v>
      </c>
      <c r="K428" s="112" t="s">
        <v>830</v>
      </c>
    </row>
    <row r="429" spans="6:11" ht="17.5" x14ac:dyDescent="0.35">
      <c r="F429" s="112">
        <v>427</v>
      </c>
      <c r="G429" s="112" t="s">
        <v>294</v>
      </c>
      <c r="H429" s="112" t="s">
        <v>301</v>
      </c>
      <c r="I429" s="115" t="s">
        <v>306</v>
      </c>
      <c r="J429" s="112" t="str">
        <f t="shared" si="7"/>
        <v>Fourtwoseven</v>
      </c>
      <c r="K429" s="112" t="s">
        <v>831</v>
      </c>
    </row>
    <row r="430" spans="6:11" ht="17.5" x14ac:dyDescent="0.35">
      <c r="F430" s="112">
        <v>428</v>
      </c>
      <c r="G430" s="112" t="s">
        <v>294</v>
      </c>
      <c r="H430" s="112" t="s">
        <v>301</v>
      </c>
      <c r="I430" s="115" t="s">
        <v>307</v>
      </c>
      <c r="J430" s="112" t="str">
        <f t="shared" si="7"/>
        <v>Fourtwoeight</v>
      </c>
      <c r="K430" s="112" t="s">
        <v>832</v>
      </c>
    </row>
    <row r="431" spans="6:11" ht="17.5" x14ac:dyDescent="0.35">
      <c r="F431" s="112">
        <v>429</v>
      </c>
      <c r="G431" s="112" t="s">
        <v>294</v>
      </c>
      <c r="H431" s="112" t="s">
        <v>301</v>
      </c>
      <c r="I431" s="115" t="s">
        <v>308</v>
      </c>
      <c r="J431" s="112" t="str">
        <f t="shared" si="7"/>
        <v>Fourtwonine</v>
      </c>
      <c r="K431" s="112" t="s">
        <v>833</v>
      </c>
    </row>
    <row r="432" spans="6:11" ht="17.5" x14ac:dyDescent="0.35">
      <c r="F432" s="112">
        <v>430</v>
      </c>
      <c r="G432" s="112" t="s">
        <v>294</v>
      </c>
      <c r="H432" s="112" t="s">
        <v>302</v>
      </c>
      <c r="I432" s="119" t="s">
        <v>422</v>
      </c>
      <c r="J432" s="112" t="str">
        <f t="shared" si="7"/>
        <v>Fourthreezero</v>
      </c>
      <c r="K432" s="112" t="s">
        <v>834</v>
      </c>
    </row>
    <row r="433" spans="6:11" ht="17.5" x14ac:dyDescent="0.35">
      <c r="F433" s="112">
        <v>431</v>
      </c>
      <c r="G433" s="112" t="s">
        <v>294</v>
      </c>
      <c r="H433" s="112" t="s">
        <v>302</v>
      </c>
      <c r="I433" s="114" t="s">
        <v>300</v>
      </c>
      <c r="J433" s="112" t="str">
        <f t="shared" si="7"/>
        <v>Fourthreeone</v>
      </c>
      <c r="K433" s="112" t="s">
        <v>835</v>
      </c>
    </row>
    <row r="434" spans="6:11" ht="17.5" x14ac:dyDescent="0.35">
      <c r="F434" s="112">
        <v>432</v>
      </c>
      <c r="G434" s="112" t="s">
        <v>294</v>
      </c>
      <c r="H434" s="112" t="s">
        <v>302</v>
      </c>
      <c r="I434" s="114" t="s">
        <v>301</v>
      </c>
      <c r="J434" s="112" t="str">
        <f t="shared" si="7"/>
        <v>Fourthreetwo</v>
      </c>
      <c r="K434" s="112" t="s">
        <v>836</v>
      </c>
    </row>
    <row r="435" spans="6:11" ht="17.5" x14ac:dyDescent="0.35">
      <c r="F435" s="112">
        <v>433</v>
      </c>
      <c r="G435" s="112" t="s">
        <v>294</v>
      </c>
      <c r="H435" s="112" t="s">
        <v>302</v>
      </c>
      <c r="I435" s="114" t="s">
        <v>302</v>
      </c>
      <c r="J435" s="112" t="str">
        <f t="shared" si="7"/>
        <v>Fourthreethree</v>
      </c>
      <c r="K435" s="112" t="s">
        <v>837</v>
      </c>
    </row>
    <row r="436" spans="6:11" ht="17.5" x14ac:dyDescent="0.35">
      <c r="F436" s="112">
        <v>434</v>
      </c>
      <c r="G436" s="112" t="s">
        <v>294</v>
      </c>
      <c r="H436" s="112" t="s">
        <v>302</v>
      </c>
      <c r="I436" s="115" t="s">
        <v>303</v>
      </c>
      <c r="J436" s="112" t="str">
        <f t="shared" si="7"/>
        <v>Fourthreefour</v>
      </c>
      <c r="K436" s="112" t="s">
        <v>838</v>
      </c>
    </row>
    <row r="437" spans="6:11" ht="17.5" x14ac:dyDescent="0.35">
      <c r="F437" s="112">
        <v>435</v>
      </c>
      <c r="G437" s="112" t="s">
        <v>294</v>
      </c>
      <c r="H437" s="112" t="s">
        <v>302</v>
      </c>
      <c r="I437" s="115" t="s">
        <v>304</v>
      </c>
      <c r="J437" s="112" t="str">
        <f t="shared" si="7"/>
        <v>Fourthreefive</v>
      </c>
      <c r="K437" s="112" t="s">
        <v>839</v>
      </c>
    </row>
    <row r="438" spans="6:11" ht="17.5" x14ac:dyDescent="0.35">
      <c r="F438" s="112">
        <v>436</v>
      </c>
      <c r="G438" s="112" t="s">
        <v>294</v>
      </c>
      <c r="H438" s="112" t="s">
        <v>302</v>
      </c>
      <c r="I438" s="115" t="s">
        <v>305</v>
      </c>
      <c r="J438" s="112" t="str">
        <f t="shared" si="7"/>
        <v>Fourthreesix</v>
      </c>
      <c r="K438" s="112" t="s">
        <v>840</v>
      </c>
    </row>
    <row r="439" spans="6:11" ht="17.5" x14ac:dyDescent="0.35">
      <c r="F439" s="112">
        <v>437</v>
      </c>
      <c r="G439" s="112" t="s">
        <v>294</v>
      </c>
      <c r="H439" s="112" t="s">
        <v>302</v>
      </c>
      <c r="I439" s="115" t="s">
        <v>306</v>
      </c>
      <c r="J439" s="112" t="str">
        <f t="shared" si="7"/>
        <v>Fourthreeseven</v>
      </c>
      <c r="K439" s="112" t="s">
        <v>841</v>
      </c>
    </row>
    <row r="440" spans="6:11" ht="17.5" x14ac:dyDescent="0.35">
      <c r="F440" s="112">
        <v>438</v>
      </c>
      <c r="G440" s="112" t="s">
        <v>294</v>
      </c>
      <c r="H440" s="112" t="s">
        <v>302</v>
      </c>
      <c r="I440" s="115" t="s">
        <v>307</v>
      </c>
      <c r="J440" s="112" t="str">
        <f t="shared" si="7"/>
        <v>Fourthreeeight</v>
      </c>
      <c r="K440" s="112" t="s">
        <v>842</v>
      </c>
    </row>
    <row r="441" spans="6:11" ht="17.5" x14ac:dyDescent="0.35">
      <c r="F441" s="112">
        <v>439</v>
      </c>
      <c r="G441" s="112" t="s">
        <v>294</v>
      </c>
      <c r="H441" s="112" t="s">
        <v>302</v>
      </c>
      <c r="I441" s="115" t="s">
        <v>308</v>
      </c>
      <c r="J441" s="112" t="str">
        <f t="shared" si="7"/>
        <v>Fourthreenine</v>
      </c>
      <c r="K441" s="112" t="s">
        <v>843</v>
      </c>
    </row>
    <row r="442" spans="6:11" ht="17.5" x14ac:dyDescent="0.35">
      <c r="F442" s="112">
        <v>440</v>
      </c>
      <c r="G442" s="112" t="s">
        <v>294</v>
      </c>
      <c r="H442" s="112" t="s">
        <v>303</v>
      </c>
      <c r="I442" s="119" t="s">
        <v>422</v>
      </c>
      <c r="J442" s="112" t="str">
        <f t="shared" si="7"/>
        <v>Fourfourzero</v>
      </c>
      <c r="K442" s="112" t="s">
        <v>844</v>
      </c>
    </row>
    <row r="443" spans="6:11" ht="17.5" x14ac:dyDescent="0.35">
      <c r="F443" s="112">
        <v>441</v>
      </c>
      <c r="G443" s="112" t="s">
        <v>294</v>
      </c>
      <c r="H443" s="112" t="s">
        <v>303</v>
      </c>
      <c r="I443" s="114" t="s">
        <v>300</v>
      </c>
      <c r="J443" s="112" t="str">
        <f t="shared" si="7"/>
        <v>Fourfourone</v>
      </c>
      <c r="K443" s="112" t="s">
        <v>845</v>
      </c>
    </row>
    <row r="444" spans="6:11" ht="17.5" x14ac:dyDescent="0.35">
      <c r="F444" s="112">
        <v>442</v>
      </c>
      <c r="G444" s="112" t="s">
        <v>294</v>
      </c>
      <c r="H444" s="112" t="s">
        <v>303</v>
      </c>
      <c r="I444" s="114" t="s">
        <v>301</v>
      </c>
      <c r="J444" s="112" t="str">
        <f t="shared" si="7"/>
        <v>Fourfourtwo</v>
      </c>
      <c r="K444" s="112" t="s">
        <v>846</v>
      </c>
    </row>
    <row r="445" spans="6:11" ht="17.5" x14ac:dyDescent="0.35">
      <c r="F445" s="112">
        <v>443</v>
      </c>
      <c r="G445" s="112" t="s">
        <v>294</v>
      </c>
      <c r="H445" s="112" t="s">
        <v>303</v>
      </c>
      <c r="I445" s="114" t="s">
        <v>302</v>
      </c>
      <c r="J445" s="112" t="str">
        <f t="shared" si="7"/>
        <v>Fourfourthree</v>
      </c>
      <c r="K445" s="112" t="s">
        <v>847</v>
      </c>
    </row>
    <row r="446" spans="6:11" ht="17.5" x14ac:dyDescent="0.35">
      <c r="F446" s="112">
        <v>444</v>
      </c>
      <c r="G446" s="112" t="s">
        <v>294</v>
      </c>
      <c r="H446" s="112" t="s">
        <v>303</v>
      </c>
      <c r="I446" s="115" t="s">
        <v>303</v>
      </c>
      <c r="J446" s="112" t="str">
        <f t="shared" si="7"/>
        <v>Fourfourfour</v>
      </c>
      <c r="K446" s="112" t="s">
        <v>848</v>
      </c>
    </row>
    <row r="447" spans="6:11" ht="17.5" x14ac:dyDescent="0.35">
      <c r="F447" s="112">
        <v>445</v>
      </c>
      <c r="G447" s="112" t="s">
        <v>294</v>
      </c>
      <c r="H447" s="112" t="s">
        <v>303</v>
      </c>
      <c r="I447" s="115" t="s">
        <v>304</v>
      </c>
      <c r="J447" s="112" t="str">
        <f t="shared" si="7"/>
        <v>Fourfourfive</v>
      </c>
      <c r="K447" s="112" t="s">
        <v>849</v>
      </c>
    </row>
    <row r="448" spans="6:11" ht="17.5" x14ac:dyDescent="0.35">
      <c r="F448" s="112">
        <v>446</v>
      </c>
      <c r="G448" s="112" t="s">
        <v>294</v>
      </c>
      <c r="H448" s="112" t="s">
        <v>303</v>
      </c>
      <c r="I448" s="115" t="s">
        <v>305</v>
      </c>
      <c r="J448" s="112" t="str">
        <f t="shared" si="7"/>
        <v>Fourfoursix</v>
      </c>
      <c r="K448" s="112" t="s">
        <v>850</v>
      </c>
    </row>
    <row r="449" spans="6:11" ht="17.5" x14ac:dyDescent="0.35">
      <c r="F449" s="112">
        <v>447</v>
      </c>
      <c r="G449" s="112" t="s">
        <v>294</v>
      </c>
      <c r="H449" s="112" t="s">
        <v>303</v>
      </c>
      <c r="I449" s="115" t="s">
        <v>306</v>
      </c>
      <c r="J449" s="112" t="str">
        <f t="shared" si="7"/>
        <v>Fourfourseven</v>
      </c>
      <c r="K449" s="112" t="s">
        <v>851</v>
      </c>
    </row>
    <row r="450" spans="6:11" ht="17.5" x14ac:dyDescent="0.35">
      <c r="F450" s="112">
        <v>448</v>
      </c>
      <c r="G450" s="112" t="s">
        <v>294</v>
      </c>
      <c r="H450" s="112" t="s">
        <v>303</v>
      </c>
      <c r="I450" s="115" t="s">
        <v>307</v>
      </c>
      <c r="J450" s="112" t="str">
        <f t="shared" si="7"/>
        <v>Fourfoureight</v>
      </c>
      <c r="K450" s="112" t="s">
        <v>852</v>
      </c>
    </row>
    <row r="451" spans="6:11" ht="17.5" x14ac:dyDescent="0.35">
      <c r="F451" s="112">
        <v>449</v>
      </c>
      <c r="G451" s="112" t="s">
        <v>294</v>
      </c>
      <c r="H451" s="112" t="s">
        <v>303</v>
      </c>
      <c r="I451" s="115" t="s">
        <v>308</v>
      </c>
      <c r="J451" s="112" t="str">
        <f t="shared" si="7"/>
        <v>Fourfournine</v>
      </c>
      <c r="K451" s="112" t="s">
        <v>853</v>
      </c>
    </row>
    <row r="452" spans="6:11" x14ac:dyDescent="0.35">
      <c r="F452" s="112">
        <v>450</v>
      </c>
      <c r="G452" s="112" t="s">
        <v>294</v>
      </c>
      <c r="H452" s="112" t="s">
        <v>304</v>
      </c>
      <c r="I452" s="112" t="s">
        <v>422</v>
      </c>
      <c r="J452" s="112" t="str">
        <f t="shared" si="7"/>
        <v>Fourfivezero</v>
      </c>
      <c r="K452" s="112" t="s">
        <v>854</v>
      </c>
    </row>
    <row r="453" spans="6:11" ht="17.5" x14ac:dyDescent="0.35">
      <c r="F453" s="112">
        <v>451</v>
      </c>
      <c r="G453" s="112" t="s">
        <v>294</v>
      </c>
      <c r="H453" s="112" t="s">
        <v>304</v>
      </c>
      <c r="I453" s="114" t="s">
        <v>300</v>
      </c>
      <c r="J453" s="112" t="str">
        <f t="shared" si="7"/>
        <v>Fourfiveone</v>
      </c>
      <c r="K453" s="112" t="s">
        <v>855</v>
      </c>
    </row>
    <row r="454" spans="6:11" ht="17.5" x14ac:dyDescent="0.35">
      <c r="F454" s="112">
        <v>452</v>
      </c>
      <c r="G454" s="112" t="s">
        <v>294</v>
      </c>
      <c r="H454" s="112" t="s">
        <v>304</v>
      </c>
      <c r="I454" s="114" t="s">
        <v>301</v>
      </c>
      <c r="J454" s="112" t="str">
        <f t="shared" si="7"/>
        <v>Fourfivetwo</v>
      </c>
      <c r="K454" s="112" t="s">
        <v>856</v>
      </c>
    </row>
    <row r="455" spans="6:11" ht="17.5" x14ac:dyDescent="0.35">
      <c r="F455" s="112">
        <v>453</v>
      </c>
      <c r="G455" s="112" t="s">
        <v>294</v>
      </c>
      <c r="H455" s="112" t="s">
        <v>304</v>
      </c>
      <c r="I455" s="114" t="s">
        <v>302</v>
      </c>
      <c r="J455" s="112" t="str">
        <f t="shared" si="7"/>
        <v>Fourfivethree</v>
      </c>
      <c r="K455" s="112" t="s">
        <v>857</v>
      </c>
    </row>
    <row r="456" spans="6:11" ht="17.5" x14ac:dyDescent="0.35">
      <c r="F456" s="112">
        <v>454</v>
      </c>
      <c r="G456" s="112" t="s">
        <v>294</v>
      </c>
      <c r="H456" s="112" t="s">
        <v>304</v>
      </c>
      <c r="I456" s="115" t="s">
        <v>303</v>
      </c>
      <c r="J456" s="112" t="str">
        <f t="shared" si="7"/>
        <v>Fourfivefour</v>
      </c>
      <c r="K456" s="112" t="s">
        <v>858</v>
      </c>
    </row>
    <row r="457" spans="6:11" ht="17.5" x14ac:dyDescent="0.35">
      <c r="F457" s="112">
        <v>455</v>
      </c>
      <c r="G457" s="112" t="s">
        <v>294</v>
      </c>
      <c r="H457" s="112" t="s">
        <v>304</v>
      </c>
      <c r="I457" s="115" t="s">
        <v>304</v>
      </c>
      <c r="J457" s="112" t="str">
        <f t="shared" si="7"/>
        <v>Fourfivefive</v>
      </c>
      <c r="K457" s="112" t="s">
        <v>859</v>
      </c>
    </row>
    <row r="458" spans="6:11" ht="17.5" x14ac:dyDescent="0.35">
      <c r="F458" s="112">
        <v>456</v>
      </c>
      <c r="G458" s="112" t="s">
        <v>294</v>
      </c>
      <c r="H458" s="112" t="s">
        <v>304</v>
      </c>
      <c r="I458" s="115" t="s">
        <v>305</v>
      </c>
      <c r="J458" s="112" t="str">
        <f t="shared" si="7"/>
        <v>Fourfivesix</v>
      </c>
      <c r="K458" s="112" t="s">
        <v>860</v>
      </c>
    </row>
    <row r="459" spans="6:11" ht="17.5" x14ac:dyDescent="0.35">
      <c r="F459" s="112">
        <v>457</v>
      </c>
      <c r="G459" s="112" t="s">
        <v>294</v>
      </c>
      <c r="H459" s="112" t="s">
        <v>304</v>
      </c>
      <c r="I459" s="115" t="s">
        <v>306</v>
      </c>
      <c r="J459" s="112" t="str">
        <f t="shared" si="7"/>
        <v>Fourfiveseven</v>
      </c>
      <c r="K459" s="112" t="s">
        <v>861</v>
      </c>
    </row>
    <row r="460" spans="6:11" ht="17.5" x14ac:dyDescent="0.35">
      <c r="F460" s="112">
        <v>458</v>
      </c>
      <c r="G460" s="112" t="s">
        <v>294</v>
      </c>
      <c r="H460" s="112" t="s">
        <v>304</v>
      </c>
      <c r="I460" s="115" t="s">
        <v>307</v>
      </c>
      <c r="J460" s="112" t="str">
        <f t="shared" si="7"/>
        <v>Fourfiveeight</v>
      </c>
      <c r="K460" s="112" t="s">
        <v>862</v>
      </c>
    </row>
    <row r="461" spans="6:11" ht="17.5" x14ac:dyDescent="0.35">
      <c r="F461" s="112">
        <v>459</v>
      </c>
      <c r="G461" s="112" t="s">
        <v>294</v>
      </c>
      <c r="H461" s="112" t="s">
        <v>304</v>
      </c>
      <c r="I461" s="115" t="s">
        <v>308</v>
      </c>
      <c r="J461" s="112" t="str">
        <f t="shared" si="7"/>
        <v>Fourfivenine</v>
      </c>
      <c r="K461" s="112" t="s">
        <v>863</v>
      </c>
    </row>
    <row r="462" spans="6:11" x14ac:dyDescent="0.35">
      <c r="F462" s="112">
        <v>460</v>
      </c>
      <c r="G462" s="112" t="s">
        <v>294</v>
      </c>
      <c r="H462" s="112" t="s">
        <v>305</v>
      </c>
      <c r="I462" s="112" t="s">
        <v>422</v>
      </c>
      <c r="J462" s="112" t="str">
        <f t="shared" si="7"/>
        <v>Foursixzero</v>
      </c>
      <c r="K462" s="112" t="s">
        <v>864</v>
      </c>
    </row>
    <row r="463" spans="6:11" ht="17.5" x14ac:dyDescent="0.35">
      <c r="F463" s="112">
        <v>461</v>
      </c>
      <c r="G463" s="112" t="s">
        <v>294</v>
      </c>
      <c r="H463" s="112" t="s">
        <v>305</v>
      </c>
      <c r="I463" s="114" t="s">
        <v>300</v>
      </c>
      <c r="J463" s="112" t="str">
        <f t="shared" si="7"/>
        <v>Foursixone</v>
      </c>
      <c r="K463" s="112" t="s">
        <v>865</v>
      </c>
    </row>
    <row r="464" spans="6:11" ht="17.5" x14ac:dyDescent="0.35">
      <c r="F464" s="112">
        <v>462</v>
      </c>
      <c r="G464" s="112" t="s">
        <v>294</v>
      </c>
      <c r="H464" s="112" t="s">
        <v>305</v>
      </c>
      <c r="I464" s="114" t="s">
        <v>301</v>
      </c>
      <c r="J464" s="112" t="str">
        <f t="shared" si="7"/>
        <v>Foursixtwo</v>
      </c>
      <c r="K464" s="112" t="s">
        <v>866</v>
      </c>
    </row>
    <row r="465" spans="6:11" ht="17.5" x14ac:dyDescent="0.35">
      <c r="F465" s="112">
        <v>463</v>
      </c>
      <c r="G465" s="112" t="s">
        <v>294</v>
      </c>
      <c r="H465" s="112" t="s">
        <v>305</v>
      </c>
      <c r="I465" s="114" t="s">
        <v>302</v>
      </c>
      <c r="J465" s="112" t="str">
        <f t="shared" si="7"/>
        <v>Foursixthree</v>
      </c>
      <c r="K465" s="112" t="s">
        <v>867</v>
      </c>
    </row>
    <row r="466" spans="6:11" ht="17.5" x14ac:dyDescent="0.35">
      <c r="F466" s="112">
        <v>464</v>
      </c>
      <c r="G466" s="112" t="s">
        <v>294</v>
      </c>
      <c r="H466" s="112" t="s">
        <v>305</v>
      </c>
      <c r="I466" s="115" t="s">
        <v>303</v>
      </c>
      <c r="J466" s="112" t="str">
        <f t="shared" si="7"/>
        <v>Foursixfour</v>
      </c>
      <c r="K466" s="112" t="s">
        <v>868</v>
      </c>
    </row>
    <row r="467" spans="6:11" ht="17.5" x14ac:dyDescent="0.35">
      <c r="F467" s="112">
        <v>465</v>
      </c>
      <c r="G467" s="112" t="s">
        <v>294</v>
      </c>
      <c r="H467" s="112" t="s">
        <v>305</v>
      </c>
      <c r="I467" s="115" t="s">
        <v>304</v>
      </c>
      <c r="J467" s="112" t="str">
        <f t="shared" si="7"/>
        <v>Foursixfive</v>
      </c>
      <c r="K467" s="112" t="s">
        <v>869</v>
      </c>
    </row>
    <row r="468" spans="6:11" ht="17.5" x14ac:dyDescent="0.35">
      <c r="F468" s="112">
        <v>466</v>
      </c>
      <c r="G468" s="112" t="s">
        <v>294</v>
      </c>
      <c r="H468" s="112" t="s">
        <v>305</v>
      </c>
      <c r="I468" s="115" t="s">
        <v>305</v>
      </c>
      <c r="J468" s="112" t="str">
        <f t="shared" si="7"/>
        <v>Foursixsix</v>
      </c>
      <c r="K468" s="112" t="s">
        <v>870</v>
      </c>
    </row>
    <row r="469" spans="6:11" ht="17.5" x14ac:dyDescent="0.35">
      <c r="F469" s="112">
        <v>467</v>
      </c>
      <c r="G469" s="112" t="s">
        <v>294</v>
      </c>
      <c r="H469" s="112" t="s">
        <v>305</v>
      </c>
      <c r="I469" s="115" t="s">
        <v>306</v>
      </c>
      <c r="J469" s="112" t="str">
        <f t="shared" si="7"/>
        <v>Foursixseven</v>
      </c>
      <c r="K469" s="112" t="s">
        <v>871</v>
      </c>
    </row>
    <row r="470" spans="6:11" ht="17.5" x14ac:dyDescent="0.35">
      <c r="F470" s="112">
        <v>468</v>
      </c>
      <c r="G470" s="112" t="s">
        <v>294</v>
      </c>
      <c r="H470" s="112" t="s">
        <v>305</v>
      </c>
      <c r="I470" s="115" t="s">
        <v>307</v>
      </c>
      <c r="J470" s="112" t="str">
        <f t="shared" si="7"/>
        <v>Foursixeight</v>
      </c>
      <c r="K470" s="112" t="s">
        <v>872</v>
      </c>
    </row>
    <row r="471" spans="6:11" ht="17.5" x14ac:dyDescent="0.35">
      <c r="F471" s="112">
        <v>469</v>
      </c>
      <c r="G471" s="112" t="s">
        <v>294</v>
      </c>
      <c r="H471" s="112" t="s">
        <v>305</v>
      </c>
      <c r="I471" s="115" t="s">
        <v>308</v>
      </c>
      <c r="J471" s="112" t="str">
        <f t="shared" si="7"/>
        <v>Foursixnine</v>
      </c>
      <c r="K471" s="112" t="s">
        <v>873</v>
      </c>
    </row>
    <row r="472" spans="6:11" ht="17.5" x14ac:dyDescent="0.35">
      <c r="F472" s="112">
        <v>470</v>
      </c>
      <c r="G472" s="112" t="s">
        <v>294</v>
      </c>
      <c r="H472" s="112" t="s">
        <v>306</v>
      </c>
      <c r="I472" s="119" t="s">
        <v>422</v>
      </c>
      <c r="J472" s="112" t="str">
        <f t="shared" si="7"/>
        <v>Foursevenzero</v>
      </c>
      <c r="K472" s="112" t="s">
        <v>874</v>
      </c>
    </row>
    <row r="473" spans="6:11" ht="17.5" x14ac:dyDescent="0.35">
      <c r="F473" s="112">
        <v>471</v>
      </c>
      <c r="G473" s="112" t="s">
        <v>294</v>
      </c>
      <c r="H473" s="112" t="s">
        <v>306</v>
      </c>
      <c r="I473" s="114" t="s">
        <v>300</v>
      </c>
      <c r="J473" s="112" t="str">
        <f t="shared" si="7"/>
        <v>Foursevenone</v>
      </c>
      <c r="K473" s="112" t="s">
        <v>875</v>
      </c>
    </row>
    <row r="474" spans="6:11" ht="17.5" x14ac:dyDescent="0.35">
      <c r="F474" s="112">
        <v>472</v>
      </c>
      <c r="G474" s="112" t="s">
        <v>294</v>
      </c>
      <c r="H474" s="112" t="s">
        <v>306</v>
      </c>
      <c r="I474" s="114" t="s">
        <v>301</v>
      </c>
      <c r="J474" s="112" t="str">
        <f t="shared" si="7"/>
        <v>Fourseventwo</v>
      </c>
      <c r="K474" s="112" t="s">
        <v>876</v>
      </c>
    </row>
    <row r="475" spans="6:11" ht="17.5" x14ac:dyDescent="0.35">
      <c r="F475" s="112">
        <v>473</v>
      </c>
      <c r="G475" s="112" t="s">
        <v>294</v>
      </c>
      <c r="H475" s="112" t="s">
        <v>306</v>
      </c>
      <c r="I475" s="114" t="s">
        <v>302</v>
      </c>
      <c r="J475" s="112" t="str">
        <f t="shared" si="7"/>
        <v>Fourseventhree</v>
      </c>
      <c r="K475" s="112" t="s">
        <v>877</v>
      </c>
    </row>
    <row r="476" spans="6:11" ht="17.5" x14ac:dyDescent="0.35">
      <c r="F476" s="112">
        <v>474</v>
      </c>
      <c r="G476" s="112" t="s">
        <v>294</v>
      </c>
      <c r="H476" s="112" t="s">
        <v>306</v>
      </c>
      <c r="I476" s="115" t="s">
        <v>303</v>
      </c>
      <c r="J476" s="112" t="str">
        <f t="shared" si="7"/>
        <v>Foursevenfour</v>
      </c>
      <c r="K476" s="112" t="s">
        <v>878</v>
      </c>
    </row>
    <row r="477" spans="6:11" ht="17.5" x14ac:dyDescent="0.35">
      <c r="F477" s="112">
        <v>475</v>
      </c>
      <c r="G477" s="112" t="s">
        <v>294</v>
      </c>
      <c r="H477" s="112" t="s">
        <v>306</v>
      </c>
      <c r="I477" s="115" t="s">
        <v>304</v>
      </c>
      <c r="J477" s="112" t="str">
        <f t="shared" si="7"/>
        <v>Foursevenfive</v>
      </c>
      <c r="K477" s="112" t="s">
        <v>879</v>
      </c>
    </row>
    <row r="478" spans="6:11" ht="17.5" x14ac:dyDescent="0.35">
      <c r="F478" s="112">
        <v>476</v>
      </c>
      <c r="G478" s="112" t="s">
        <v>294</v>
      </c>
      <c r="H478" s="112" t="s">
        <v>306</v>
      </c>
      <c r="I478" s="115" t="s">
        <v>305</v>
      </c>
      <c r="J478" s="112" t="str">
        <f t="shared" si="7"/>
        <v>Foursevensix</v>
      </c>
      <c r="K478" s="112" t="s">
        <v>880</v>
      </c>
    </row>
    <row r="479" spans="6:11" ht="17.5" x14ac:dyDescent="0.35">
      <c r="F479" s="112">
        <v>477</v>
      </c>
      <c r="G479" s="112" t="s">
        <v>294</v>
      </c>
      <c r="H479" s="112" t="s">
        <v>306</v>
      </c>
      <c r="I479" s="115" t="s">
        <v>306</v>
      </c>
      <c r="J479" s="112" t="str">
        <f t="shared" si="7"/>
        <v>Foursevenseven</v>
      </c>
      <c r="K479" s="112" t="s">
        <v>881</v>
      </c>
    </row>
    <row r="480" spans="6:11" ht="17.5" x14ac:dyDescent="0.35">
      <c r="F480" s="112">
        <v>478</v>
      </c>
      <c r="G480" s="112" t="s">
        <v>294</v>
      </c>
      <c r="H480" s="112" t="s">
        <v>306</v>
      </c>
      <c r="I480" s="115" t="s">
        <v>307</v>
      </c>
      <c r="J480" s="112" t="str">
        <f t="shared" si="7"/>
        <v>Fourseveneight</v>
      </c>
      <c r="K480" s="112" t="s">
        <v>882</v>
      </c>
    </row>
    <row r="481" spans="6:11" ht="17.5" x14ac:dyDescent="0.35">
      <c r="F481" s="112">
        <v>479</v>
      </c>
      <c r="G481" s="112" t="s">
        <v>294</v>
      </c>
      <c r="H481" s="112" t="s">
        <v>306</v>
      </c>
      <c r="I481" s="115" t="s">
        <v>308</v>
      </c>
      <c r="J481" s="112" t="str">
        <f t="shared" si="7"/>
        <v>Foursevennine</v>
      </c>
      <c r="K481" s="112" t="s">
        <v>883</v>
      </c>
    </row>
    <row r="482" spans="6:11" ht="17.5" x14ac:dyDescent="0.35">
      <c r="F482" s="112">
        <v>480</v>
      </c>
      <c r="G482" s="112" t="s">
        <v>294</v>
      </c>
      <c r="H482" s="112" t="s">
        <v>307</v>
      </c>
      <c r="I482" s="119" t="s">
        <v>422</v>
      </c>
      <c r="J482" s="112" t="str">
        <f t="shared" si="7"/>
        <v>Foureightzero</v>
      </c>
      <c r="K482" s="112" t="s">
        <v>884</v>
      </c>
    </row>
    <row r="483" spans="6:11" ht="17.5" x14ac:dyDescent="0.35">
      <c r="F483" s="112">
        <v>481</v>
      </c>
      <c r="G483" s="112" t="s">
        <v>294</v>
      </c>
      <c r="H483" s="112" t="s">
        <v>307</v>
      </c>
      <c r="I483" s="114" t="s">
        <v>300</v>
      </c>
      <c r="J483" s="112" t="str">
        <f t="shared" si="7"/>
        <v>Foureightone</v>
      </c>
      <c r="K483" s="112" t="s">
        <v>885</v>
      </c>
    </row>
    <row r="484" spans="6:11" ht="17.5" x14ac:dyDescent="0.35">
      <c r="F484" s="112">
        <v>482</v>
      </c>
      <c r="G484" s="112" t="s">
        <v>294</v>
      </c>
      <c r="H484" s="112" t="s">
        <v>307</v>
      </c>
      <c r="I484" s="114" t="s">
        <v>301</v>
      </c>
      <c r="J484" s="112" t="str">
        <f t="shared" si="7"/>
        <v>Foureighttwo</v>
      </c>
      <c r="K484" s="112" t="s">
        <v>886</v>
      </c>
    </row>
    <row r="485" spans="6:11" ht="17.5" x14ac:dyDescent="0.35">
      <c r="F485" s="112">
        <v>483</v>
      </c>
      <c r="G485" s="112" t="s">
        <v>294</v>
      </c>
      <c r="H485" s="112" t="s">
        <v>307</v>
      </c>
      <c r="I485" s="114" t="s">
        <v>302</v>
      </c>
      <c r="J485" s="112" t="str">
        <f t="shared" si="7"/>
        <v>Foureightthree</v>
      </c>
      <c r="K485" s="112" t="s">
        <v>887</v>
      </c>
    </row>
    <row r="486" spans="6:11" ht="17.5" x14ac:dyDescent="0.35">
      <c r="F486" s="112">
        <v>484</v>
      </c>
      <c r="G486" s="112" t="s">
        <v>294</v>
      </c>
      <c r="H486" s="112" t="s">
        <v>307</v>
      </c>
      <c r="I486" s="115" t="s">
        <v>303</v>
      </c>
      <c r="J486" s="112" t="str">
        <f t="shared" ref="J486:J549" si="8">G486&amp;H486&amp;I486</f>
        <v>Foureightfour</v>
      </c>
      <c r="K486" s="112" t="s">
        <v>888</v>
      </c>
    </row>
    <row r="487" spans="6:11" ht="17.5" x14ac:dyDescent="0.35">
      <c r="F487" s="112">
        <v>485</v>
      </c>
      <c r="G487" s="112" t="s">
        <v>294</v>
      </c>
      <c r="H487" s="112" t="s">
        <v>307</v>
      </c>
      <c r="I487" s="115" t="s">
        <v>304</v>
      </c>
      <c r="J487" s="112" t="str">
        <f t="shared" si="8"/>
        <v>Foureightfive</v>
      </c>
      <c r="K487" s="112" t="s">
        <v>889</v>
      </c>
    </row>
    <row r="488" spans="6:11" ht="17.5" x14ac:dyDescent="0.35">
      <c r="F488" s="112">
        <v>486</v>
      </c>
      <c r="G488" s="112" t="s">
        <v>294</v>
      </c>
      <c r="H488" s="112" t="s">
        <v>307</v>
      </c>
      <c r="I488" s="115" t="s">
        <v>305</v>
      </c>
      <c r="J488" s="112" t="str">
        <f t="shared" si="8"/>
        <v>Foureightsix</v>
      </c>
      <c r="K488" s="112" t="s">
        <v>890</v>
      </c>
    </row>
    <row r="489" spans="6:11" ht="17.5" x14ac:dyDescent="0.35">
      <c r="F489" s="112">
        <v>487</v>
      </c>
      <c r="G489" s="112" t="s">
        <v>294</v>
      </c>
      <c r="H489" s="112" t="s">
        <v>307</v>
      </c>
      <c r="I489" s="115" t="s">
        <v>306</v>
      </c>
      <c r="J489" s="112" t="str">
        <f t="shared" si="8"/>
        <v>Foureightseven</v>
      </c>
      <c r="K489" s="112" t="s">
        <v>891</v>
      </c>
    </row>
    <row r="490" spans="6:11" ht="17.5" x14ac:dyDescent="0.35">
      <c r="F490" s="112">
        <v>488</v>
      </c>
      <c r="G490" s="112" t="s">
        <v>294</v>
      </c>
      <c r="H490" s="112" t="s">
        <v>307</v>
      </c>
      <c r="I490" s="115" t="s">
        <v>307</v>
      </c>
      <c r="J490" s="112" t="str">
        <f t="shared" si="8"/>
        <v>Foureighteight</v>
      </c>
      <c r="K490" s="112" t="s">
        <v>892</v>
      </c>
    </row>
    <row r="491" spans="6:11" ht="17.5" x14ac:dyDescent="0.35">
      <c r="F491" s="112">
        <v>489</v>
      </c>
      <c r="G491" s="112" t="s">
        <v>294</v>
      </c>
      <c r="H491" s="112" t="s">
        <v>307</v>
      </c>
      <c r="I491" s="115" t="s">
        <v>308</v>
      </c>
      <c r="J491" s="112" t="str">
        <f t="shared" si="8"/>
        <v>Foureightnine</v>
      </c>
      <c r="K491" s="112" t="s">
        <v>893</v>
      </c>
    </row>
    <row r="492" spans="6:11" x14ac:dyDescent="0.35">
      <c r="F492" s="112">
        <v>490</v>
      </c>
      <c r="G492" s="112" t="s">
        <v>294</v>
      </c>
      <c r="H492" s="112" t="s">
        <v>308</v>
      </c>
      <c r="I492" s="112" t="s">
        <v>422</v>
      </c>
      <c r="J492" s="112" t="str">
        <f t="shared" si="8"/>
        <v>Fourninezero</v>
      </c>
      <c r="K492" s="112" t="s">
        <v>894</v>
      </c>
    </row>
    <row r="493" spans="6:11" ht="17.5" x14ac:dyDescent="0.35">
      <c r="F493" s="112">
        <v>491</v>
      </c>
      <c r="G493" s="112" t="s">
        <v>294</v>
      </c>
      <c r="H493" s="112" t="s">
        <v>308</v>
      </c>
      <c r="I493" s="114" t="s">
        <v>300</v>
      </c>
      <c r="J493" s="112" t="str">
        <f t="shared" si="8"/>
        <v>Fournineone</v>
      </c>
      <c r="K493" s="112" t="s">
        <v>895</v>
      </c>
    </row>
    <row r="494" spans="6:11" ht="17.5" x14ac:dyDescent="0.35">
      <c r="F494" s="112">
        <v>492</v>
      </c>
      <c r="G494" s="112" t="s">
        <v>294</v>
      </c>
      <c r="H494" s="112" t="s">
        <v>308</v>
      </c>
      <c r="I494" s="114" t="s">
        <v>301</v>
      </c>
      <c r="J494" s="112" t="str">
        <f t="shared" si="8"/>
        <v>Fourninetwo</v>
      </c>
      <c r="K494" s="112" t="s">
        <v>896</v>
      </c>
    </row>
    <row r="495" spans="6:11" ht="17.5" x14ac:dyDescent="0.35">
      <c r="F495" s="112">
        <v>493</v>
      </c>
      <c r="G495" s="112" t="s">
        <v>294</v>
      </c>
      <c r="H495" s="112" t="s">
        <v>308</v>
      </c>
      <c r="I495" s="114" t="s">
        <v>302</v>
      </c>
      <c r="J495" s="112" t="str">
        <f t="shared" si="8"/>
        <v>Fourninethree</v>
      </c>
      <c r="K495" s="112" t="s">
        <v>897</v>
      </c>
    </row>
    <row r="496" spans="6:11" ht="17.5" x14ac:dyDescent="0.35">
      <c r="F496" s="112">
        <v>494</v>
      </c>
      <c r="G496" s="112" t="s">
        <v>294</v>
      </c>
      <c r="H496" s="112" t="s">
        <v>308</v>
      </c>
      <c r="I496" s="115" t="s">
        <v>303</v>
      </c>
      <c r="J496" s="112" t="str">
        <f t="shared" si="8"/>
        <v>Fourninefour</v>
      </c>
      <c r="K496" s="112" t="s">
        <v>898</v>
      </c>
    </row>
    <row r="497" spans="6:11" ht="17.5" x14ac:dyDescent="0.35">
      <c r="F497" s="112">
        <v>495</v>
      </c>
      <c r="G497" s="112" t="s">
        <v>294</v>
      </c>
      <c r="H497" s="112" t="s">
        <v>308</v>
      </c>
      <c r="I497" s="115" t="s">
        <v>304</v>
      </c>
      <c r="J497" s="112" t="str">
        <f t="shared" si="8"/>
        <v>Fourninefive</v>
      </c>
      <c r="K497" s="112" t="s">
        <v>899</v>
      </c>
    </row>
    <row r="498" spans="6:11" ht="17.5" x14ac:dyDescent="0.35">
      <c r="F498" s="112">
        <v>496</v>
      </c>
      <c r="G498" s="112" t="s">
        <v>294</v>
      </c>
      <c r="H498" s="112" t="s">
        <v>308</v>
      </c>
      <c r="I498" s="115" t="s">
        <v>305</v>
      </c>
      <c r="J498" s="112" t="str">
        <f t="shared" si="8"/>
        <v>Fourninesix</v>
      </c>
      <c r="K498" s="112" t="s">
        <v>900</v>
      </c>
    </row>
    <row r="499" spans="6:11" ht="17.5" x14ac:dyDescent="0.35">
      <c r="F499" s="112">
        <v>497</v>
      </c>
      <c r="G499" s="112" t="s">
        <v>294</v>
      </c>
      <c r="H499" s="112" t="s">
        <v>308</v>
      </c>
      <c r="I499" s="115" t="s">
        <v>306</v>
      </c>
      <c r="J499" s="112" t="str">
        <f t="shared" si="8"/>
        <v>Fournineseven</v>
      </c>
      <c r="K499" s="112" t="s">
        <v>901</v>
      </c>
    </row>
    <row r="500" spans="6:11" ht="17.5" x14ac:dyDescent="0.35">
      <c r="F500" s="112">
        <v>498</v>
      </c>
      <c r="G500" s="112" t="s">
        <v>294</v>
      </c>
      <c r="H500" s="112" t="s">
        <v>308</v>
      </c>
      <c r="I500" s="115" t="s">
        <v>307</v>
      </c>
      <c r="J500" s="112" t="str">
        <f t="shared" si="8"/>
        <v>Fournineeight</v>
      </c>
      <c r="K500" s="112" t="s">
        <v>902</v>
      </c>
    </row>
    <row r="501" spans="6:11" ht="17.5" x14ac:dyDescent="0.35">
      <c r="F501" s="112">
        <v>499</v>
      </c>
      <c r="G501" s="112" t="s">
        <v>294</v>
      </c>
      <c r="H501" s="112" t="s">
        <v>308</v>
      </c>
      <c r="I501" s="115" t="s">
        <v>308</v>
      </c>
      <c r="J501" s="112" t="str">
        <f t="shared" si="8"/>
        <v>Fourninenine</v>
      </c>
      <c r="K501" s="112" t="s">
        <v>903</v>
      </c>
    </row>
    <row r="502" spans="6:11" x14ac:dyDescent="0.35">
      <c r="F502" s="112">
        <v>500</v>
      </c>
      <c r="G502" s="112" t="s">
        <v>295</v>
      </c>
      <c r="H502" s="112" t="s">
        <v>422</v>
      </c>
      <c r="I502" s="112" t="s">
        <v>422</v>
      </c>
      <c r="J502" s="112" t="str">
        <f t="shared" si="8"/>
        <v>Fivezerozero</v>
      </c>
      <c r="K502" s="112" t="s">
        <v>904</v>
      </c>
    </row>
    <row r="503" spans="6:11" ht="17.5" x14ac:dyDescent="0.35">
      <c r="F503" s="112">
        <v>501</v>
      </c>
      <c r="G503" s="112" t="s">
        <v>295</v>
      </c>
      <c r="H503" s="112" t="s">
        <v>422</v>
      </c>
      <c r="I503" s="114" t="s">
        <v>300</v>
      </c>
      <c r="J503" s="112" t="str">
        <f t="shared" si="8"/>
        <v>Fivezeroone</v>
      </c>
      <c r="K503" s="112" t="s">
        <v>905</v>
      </c>
    </row>
    <row r="504" spans="6:11" ht="17.5" x14ac:dyDescent="0.35">
      <c r="F504" s="112">
        <v>502</v>
      </c>
      <c r="G504" s="112" t="s">
        <v>295</v>
      </c>
      <c r="H504" s="112" t="s">
        <v>422</v>
      </c>
      <c r="I504" s="114" t="s">
        <v>301</v>
      </c>
      <c r="J504" s="112" t="str">
        <f t="shared" si="8"/>
        <v>Fivezerotwo</v>
      </c>
      <c r="K504" s="112" t="s">
        <v>906</v>
      </c>
    </row>
    <row r="505" spans="6:11" ht="17.5" x14ac:dyDescent="0.35">
      <c r="F505" s="112">
        <v>503</v>
      </c>
      <c r="G505" s="112" t="s">
        <v>295</v>
      </c>
      <c r="H505" s="112" t="s">
        <v>422</v>
      </c>
      <c r="I505" s="114" t="s">
        <v>302</v>
      </c>
      <c r="J505" s="112" t="str">
        <f t="shared" si="8"/>
        <v>Fivezerothree</v>
      </c>
      <c r="K505" s="112" t="s">
        <v>907</v>
      </c>
    </row>
    <row r="506" spans="6:11" ht="17.5" x14ac:dyDescent="0.35">
      <c r="F506" s="112">
        <v>504</v>
      </c>
      <c r="G506" s="112" t="s">
        <v>295</v>
      </c>
      <c r="H506" s="112" t="s">
        <v>422</v>
      </c>
      <c r="I506" s="115" t="s">
        <v>303</v>
      </c>
      <c r="J506" s="112" t="str">
        <f t="shared" si="8"/>
        <v>Fivezerofour</v>
      </c>
      <c r="K506" s="112" t="s">
        <v>908</v>
      </c>
    </row>
    <row r="507" spans="6:11" ht="17.5" x14ac:dyDescent="0.35">
      <c r="F507" s="112">
        <v>505</v>
      </c>
      <c r="G507" s="112" t="s">
        <v>295</v>
      </c>
      <c r="H507" s="112" t="s">
        <v>422</v>
      </c>
      <c r="I507" s="115" t="s">
        <v>304</v>
      </c>
      <c r="J507" s="112" t="str">
        <f t="shared" si="8"/>
        <v>Fivezerofive</v>
      </c>
      <c r="K507" s="112" t="s">
        <v>909</v>
      </c>
    </row>
    <row r="508" spans="6:11" ht="17.5" x14ac:dyDescent="0.35">
      <c r="F508" s="112">
        <v>506</v>
      </c>
      <c r="G508" s="112" t="s">
        <v>295</v>
      </c>
      <c r="H508" s="112" t="s">
        <v>422</v>
      </c>
      <c r="I508" s="115" t="s">
        <v>305</v>
      </c>
      <c r="J508" s="112" t="str">
        <f t="shared" si="8"/>
        <v>Fivezerosix</v>
      </c>
      <c r="K508" s="112" t="s">
        <v>910</v>
      </c>
    </row>
    <row r="509" spans="6:11" ht="17.5" x14ac:dyDescent="0.35">
      <c r="F509" s="112">
        <v>507</v>
      </c>
      <c r="G509" s="112" t="s">
        <v>295</v>
      </c>
      <c r="H509" s="112" t="s">
        <v>422</v>
      </c>
      <c r="I509" s="115" t="s">
        <v>306</v>
      </c>
      <c r="J509" s="112" t="str">
        <f t="shared" si="8"/>
        <v>Fivezeroseven</v>
      </c>
      <c r="K509" s="112" t="s">
        <v>911</v>
      </c>
    </row>
    <row r="510" spans="6:11" ht="17.5" x14ac:dyDescent="0.35">
      <c r="F510" s="112">
        <v>508</v>
      </c>
      <c r="G510" s="112" t="s">
        <v>295</v>
      </c>
      <c r="H510" s="112" t="s">
        <v>422</v>
      </c>
      <c r="I510" s="115" t="s">
        <v>307</v>
      </c>
      <c r="J510" s="112" t="str">
        <f t="shared" si="8"/>
        <v>Fivezeroeight</v>
      </c>
      <c r="K510" s="112" t="s">
        <v>912</v>
      </c>
    </row>
    <row r="511" spans="6:11" ht="17.5" x14ac:dyDescent="0.35">
      <c r="F511" s="112">
        <v>509</v>
      </c>
      <c r="G511" s="112" t="s">
        <v>295</v>
      </c>
      <c r="H511" s="112" t="s">
        <v>422</v>
      </c>
      <c r="I511" s="115" t="s">
        <v>308</v>
      </c>
      <c r="J511" s="112" t="str">
        <f t="shared" si="8"/>
        <v>Fivezeronine</v>
      </c>
      <c r="K511" s="112" t="s">
        <v>913</v>
      </c>
    </row>
    <row r="512" spans="6:11" ht="17.5" x14ac:dyDescent="0.35">
      <c r="F512" s="112">
        <v>510</v>
      </c>
      <c r="G512" s="112" t="s">
        <v>295</v>
      </c>
      <c r="H512" s="114" t="s">
        <v>300</v>
      </c>
      <c r="I512" s="119" t="s">
        <v>422</v>
      </c>
      <c r="J512" s="112" t="str">
        <f t="shared" si="8"/>
        <v>Fiveonezero</v>
      </c>
      <c r="K512" s="112" t="s">
        <v>914</v>
      </c>
    </row>
    <row r="513" spans="6:11" ht="17.5" x14ac:dyDescent="0.35">
      <c r="F513" s="112">
        <v>511</v>
      </c>
      <c r="G513" s="112" t="s">
        <v>295</v>
      </c>
      <c r="H513" s="114" t="s">
        <v>300</v>
      </c>
      <c r="I513" s="114" t="s">
        <v>300</v>
      </c>
      <c r="J513" s="112" t="str">
        <f t="shared" si="8"/>
        <v>Fiveoneone</v>
      </c>
      <c r="K513" s="112" t="s">
        <v>915</v>
      </c>
    </row>
    <row r="514" spans="6:11" ht="17.5" x14ac:dyDescent="0.35">
      <c r="F514" s="112">
        <v>512</v>
      </c>
      <c r="G514" s="112" t="s">
        <v>295</v>
      </c>
      <c r="H514" s="114" t="s">
        <v>300</v>
      </c>
      <c r="I514" s="114" t="s">
        <v>301</v>
      </c>
      <c r="J514" s="112" t="str">
        <f t="shared" si="8"/>
        <v>Fiveonetwo</v>
      </c>
      <c r="K514" s="112" t="s">
        <v>916</v>
      </c>
    </row>
    <row r="515" spans="6:11" ht="17.5" x14ac:dyDescent="0.35">
      <c r="F515" s="112">
        <v>513</v>
      </c>
      <c r="G515" s="112" t="s">
        <v>295</v>
      </c>
      <c r="H515" s="114" t="s">
        <v>300</v>
      </c>
      <c r="I515" s="114" t="s">
        <v>302</v>
      </c>
      <c r="J515" s="112" t="str">
        <f t="shared" si="8"/>
        <v>Fiveonethree</v>
      </c>
      <c r="K515" s="112" t="s">
        <v>917</v>
      </c>
    </row>
    <row r="516" spans="6:11" ht="17.5" x14ac:dyDescent="0.35">
      <c r="F516" s="112">
        <v>514</v>
      </c>
      <c r="G516" s="112" t="s">
        <v>295</v>
      </c>
      <c r="H516" s="114" t="s">
        <v>300</v>
      </c>
      <c r="I516" s="115" t="s">
        <v>303</v>
      </c>
      <c r="J516" s="112" t="str">
        <f t="shared" si="8"/>
        <v>Fiveonefour</v>
      </c>
      <c r="K516" s="112" t="s">
        <v>918</v>
      </c>
    </row>
    <row r="517" spans="6:11" ht="17.5" x14ac:dyDescent="0.35">
      <c r="F517" s="112">
        <v>515</v>
      </c>
      <c r="G517" s="112" t="s">
        <v>295</v>
      </c>
      <c r="H517" s="114" t="s">
        <v>300</v>
      </c>
      <c r="I517" s="115" t="s">
        <v>304</v>
      </c>
      <c r="J517" s="112" t="str">
        <f t="shared" si="8"/>
        <v>Fiveonefive</v>
      </c>
      <c r="K517" s="112" t="s">
        <v>919</v>
      </c>
    </row>
    <row r="518" spans="6:11" ht="17.5" x14ac:dyDescent="0.35">
      <c r="F518" s="112">
        <v>516</v>
      </c>
      <c r="G518" s="112" t="s">
        <v>295</v>
      </c>
      <c r="H518" s="114" t="s">
        <v>300</v>
      </c>
      <c r="I518" s="115" t="s">
        <v>305</v>
      </c>
      <c r="J518" s="112" t="str">
        <f t="shared" si="8"/>
        <v>Fiveonesix</v>
      </c>
      <c r="K518" s="112" t="s">
        <v>920</v>
      </c>
    </row>
    <row r="519" spans="6:11" ht="17.5" x14ac:dyDescent="0.35">
      <c r="F519" s="112">
        <v>517</v>
      </c>
      <c r="G519" s="112" t="s">
        <v>295</v>
      </c>
      <c r="H519" s="114" t="s">
        <v>300</v>
      </c>
      <c r="I519" s="115" t="s">
        <v>306</v>
      </c>
      <c r="J519" s="112" t="str">
        <f t="shared" si="8"/>
        <v>Fiveoneseven</v>
      </c>
      <c r="K519" s="112" t="s">
        <v>921</v>
      </c>
    </row>
    <row r="520" spans="6:11" ht="17.5" x14ac:dyDescent="0.35">
      <c r="F520" s="112">
        <v>518</v>
      </c>
      <c r="G520" s="112" t="s">
        <v>295</v>
      </c>
      <c r="H520" s="114" t="s">
        <v>300</v>
      </c>
      <c r="I520" s="115" t="s">
        <v>307</v>
      </c>
      <c r="J520" s="112" t="str">
        <f t="shared" si="8"/>
        <v>Fiveoneeight</v>
      </c>
      <c r="K520" s="112" t="s">
        <v>922</v>
      </c>
    </row>
    <row r="521" spans="6:11" ht="17.5" x14ac:dyDescent="0.35">
      <c r="F521" s="112">
        <v>519</v>
      </c>
      <c r="G521" s="112" t="s">
        <v>295</v>
      </c>
      <c r="H521" s="114" t="s">
        <v>300</v>
      </c>
      <c r="I521" s="115" t="s">
        <v>308</v>
      </c>
      <c r="J521" s="112" t="str">
        <f t="shared" si="8"/>
        <v>Fiveonenine</v>
      </c>
      <c r="K521" s="112" t="s">
        <v>923</v>
      </c>
    </row>
    <row r="522" spans="6:11" ht="17.5" x14ac:dyDescent="0.35">
      <c r="F522" s="112">
        <v>520</v>
      </c>
      <c r="G522" s="112" t="s">
        <v>295</v>
      </c>
      <c r="H522" s="112" t="s">
        <v>301</v>
      </c>
      <c r="I522" s="119" t="s">
        <v>422</v>
      </c>
      <c r="J522" s="112" t="str">
        <f t="shared" si="8"/>
        <v>Fivetwozero</v>
      </c>
      <c r="K522" s="112" t="s">
        <v>924</v>
      </c>
    </row>
    <row r="523" spans="6:11" ht="17.5" x14ac:dyDescent="0.35">
      <c r="F523" s="112">
        <v>521</v>
      </c>
      <c r="G523" s="112" t="s">
        <v>295</v>
      </c>
      <c r="H523" s="112" t="s">
        <v>301</v>
      </c>
      <c r="I523" s="114" t="s">
        <v>300</v>
      </c>
      <c r="J523" s="112" t="str">
        <f t="shared" si="8"/>
        <v>Fivetwoone</v>
      </c>
      <c r="K523" s="112" t="s">
        <v>925</v>
      </c>
    </row>
    <row r="524" spans="6:11" ht="17.5" x14ac:dyDescent="0.35">
      <c r="F524" s="112">
        <v>522</v>
      </c>
      <c r="G524" s="112" t="s">
        <v>295</v>
      </c>
      <c r="H524" s="112" t="s">
        <v>301</v>
      </c>
      <c r="I524" s="114" t="s">
        <v>301</v>
      </c>
      <c r="J524" s="112" t="str">
        <f t="shared" si="8"/>
        <v>Fivetwotwo</v>
      </c>
      <c r="K524" s="112" t="s">
        <v>926</v>
      </c>
    </row>
    <row r="525" spans="6:11" ht="17.5" x14ac:dyDescent="0.35">
      <c r="F525" s="112">
        <v>523</v>
      </c>
      <c r="G525" s="112" t="s">
        <v>295</v>
      </c>
      <c r="H525" s="112" t="s">
        <v>301</v>
      </c>
      <c r="I525" s="114" t="s">
        <v>302</v>
      </c>
      <c r="J525" s="112" t="str">
        <f t="shared" si="8"/>
        <v>Fivetwothree</v>
      </c>
      <c r="K525" s="112" t="s">
        <v>927</v>
      </c>
    </row>
    <row r="526" spans="6:11" ht="17.5" x14ac:dyDescent="0.35">
      <c r="F526" s="112">
        <v>524</v>
      </c>
      <c r="G526" s="112" t="s">
        <v>295</v>
      </c>
      <c r="H526" s="112" t="s">
        <v>301</v>
      </c>
      <c r="I526" s="115" t="s">
        <v>303</v>
      </c>
      <c r="J526" s="112" t="str">
        <f t="shared" si="8"/>
        <v>Fivetwofour</v>
      </c>
      <c r="K526" s="112" t="s">
        <v>928</v>
      </c>
    </row>
    <row r="527" spans="6:11" ht="17.5" x14ac:dyDescent="0.35">
      <c r="F527" s="112">
        <v>525</v>
      </c>
      <c r="G527" s="112" t="s">
        <v>295</v>
      </c>
      <c r="H527" s="112" t="s">
        <v>301</v>
      </c>
      <c r="I527" s="115" t="s">
        <v>304</v>
      </c>
      <c r="J527" s="112" t="str">
        <f t="shared" si="8"/>
        <v>Fivetwofive</v>
      </c>
      <c r="K527" s="112" t="s">
        <v>929</v>
      </c>
    </row>
    <row r="528" spans="6:11" ht="17.5" x14ac:dyDescent="0.35">
      <c r="F528" s="112">
        <v>526</v>
      </c>
      <c r="G528" s="112" t="s">
        <v>295</v>
      </c>
      <c r="H528" s="112" t="s">
        <v>301</v>
      </c>
      <c r="I528" s="115" t="s">
        <v>305</v>
      </c>
      <c r="J528" s="112" t="str">
        <f t="shared" si="8"/>
        <v>Fivetwosix</v>
      </c>
      <c r="K528" s="112" t="s">
        <v>930</v>
      </c>
    </row>
    <row r="529" spans="6:11" ht="17.5" x14ac:dyDescent="0.35">
      <c r="F529" s="112">
        <v>527</v>
      </c>
      <c r="G529" s="112" t="s">
        <v>295</v>
      </c>
      <c r="H529" s="112" t="s">
        <v>301</v>
      </c>
      <c r="I529" s="115" t="s">
        <v>306</v>
      </c>
      <c r="J529" s="112" t="str">
        <f t="shared" si="8"/>
        <v>Fivetwoseven</v>
      </c>
      <c r="K529" s="112" t="s">
        <v>931</v>
      </c>
    </row>
    <row r="530" spans="6:11" ht="17.5" x14ac:dyDescent="0.35">
      <c r="F530" s="112">
        <v>528</v>
      </c>
      <c r="G530" s="112" t="s">
        <v>295</v>
      </c>
      <c r="H530" s="112" t="s">
        <v>301</v>
      </c>
      <c r="I530" s="115" t="s">
        <v>307</v>
      </c>
      <c r="J530" s="112" t="str">
        <f t="shared" si="8"/>
        <v>Fivetwoeight</v>
      </c>
      <c r="K530" s="112" t="s">
        <v>932</v>
      </c>
    </row>
    <row r="531" spans="6:11" ht="17.5" x14ac:dyDescent="0.35">
      <c r="F531" s="112">
        <v>529</v>
      </c>
      <c r="G531" s="112" t="s">
        <v>295</v>
      </c>
      <c r="H531" s="112" t="s">
        <v>301</v>
      </c>
      <c r="I531" s="115" t="s">
        <v>308</v>
      </c>
      <c r="J531" s="112" t="str">
        <f t="shared" si="8"/>
        <v>Fivetwonine</v>
      </c>
      <c r="K531" s="112" t="s">
        <v>933</v>
      </c>
    </row>
    <row r="532" spans="6:11" x14ac:dyDescent="0.35">
      <c r="F532" s="112">
        <v>530</v>
      </c>
      <c r="G532" s="112" t="s">
        <v>295</v>
      </c>
      <c r="H532" s="112" t="s">
        <v>302</v>
      </c>
      <c r="I532" s="112" t="s">
        <v>422</v>
      </c>
      <c r="J532" s="112" t="str">
        <f t="shared" si="8"/>
        <v>Fivethreezero</v>
      </c>
      <c r="K532" s="112" t="s">
        <v>934</v>
      </c>
    </row>
    <row r="533" spans="6:11" ht="17.5" x14ac:dyDescent="0.35">
      <c r="F533" s="112">
        <v>531</v>
      </c>
      <c r="G533" s="112" t="s">
        <v>295</v>
      </c>
      <c r="H533" s="112" t="s">
        <v>302</v>
      </c>
      <c r="I533" s="114" t="s">
        <v>300</v>
      </c>
      <c r="J533" s="112" t="str">
        <f t="shared" si="8"/>
        <v>Fivethreeone</v>
      </c>
      <c r="K533" s="112" t="s">
        <v>935</v>
      </c>
    </row>
    <row r="534" spans="6:11" ht="17.5" x14ac:dyDescent="0.35">
      <c r="F534" s="112">
        <v>532</v>
      </c>
      <c r="G534" s="112" t="s">
        <v>295</v>
      </c>
      <c r="H534" s="112" t="s">
        <v>302</v>
      </c>
      <c r="I534" s="114" t="s">
        <v>301</v>
      </c>
      <c r="J534" s="112" t="str">
        <f t="shared" si="8"/>
        <v>Fivethreetwo</v>
      </c>
      <c r="K534" s="112" t="s">
        <v>936</v>
      </c>
    </row>
    <row r="535" spans="6:11" ht="17.5" x14ac:dyDescent="0.35">
      <c r="F535" s="112">
        <v>533</v>
      </c>
      <c r="G535" s="112" t="s">
        <v>295</v>
      </c>
      <c r="H535" s="112" t="s">
        <v>302</v>
      </c>
      <c r="I535" s="114" t="s">
        <v>302</v>
      </c>
      <c r="J535" s="112" t="str">
        <f t="shared" si="8"/>
        <v>Fivethreethree</v>
      </c>
      <c r="K535" s="112" t="s">
        <v>937</v>
      </c>
    </row>
    <row r="536" spans="6:11" ht="17.5" x14ac:dyDescent="0.35">
      <c r="F536" s="112">
        <v>534</v>
      </c>
      <c r="G536" s="112" t="s">
        <v>295</v>
      </c>
      <c r="H536" s="112" t="s">
        <v>302</v>
      </c>
      <c r="I536" s="115" t="s">
        <v>303</v>
      </c>
      <c r="J536" s="112" t="str">
        <f t="shared" si="8"/>
        <v>Fivethreefour</v>
      </c>
      <c r="K536" s="112" t="s">
        <v>938</v>
      </c>
    </row>
    <row r="537" spans="6:11" ht="17.5" x14ac:dyDescent="0.35">
      <c r="F537" s="112">
        <v>535</v>
      </c>
      <c r="G537" s="112" t="s">
        <v>295</v>
      </c>
      <c r="H537" s="112" t="s">
        <v>302</v>
      </c>
      <c r="I537" s="115" t="s">
        <v>304</v>
      </c>
      <c r="J537" s="112" t="str">
        <f t="shared" si="8"/>
        <v>Fivethreefive</v>
      </c>
      <c r="K537" s="112" t="s">
        <v>939</v>
      </c>
    </row>
    <row r="538" spans="6:11" ht="17.5" x14ac:dyDescent="0.35">
      <c r="F538" s="112">
        <v>536</v>
      </c>
      <c r="G538" s="112" t="s">
        <v>295</v>
      </c>
      <c r="H538" s="112" t="s">
        <v>302</v>
      </c>
      <c r="I538" s="115" t="s">
        <v>305</v>
      </c>
      <c r="J538" s="112" t="str">
        <f t="shared" si="8"/>
        <v>Fivethreesix</v>
      </c>
      <c r="K538" s="112" t="s">
        <v>940</v>
      </c>
    </row>
    <row r="539" spans="6:11" ht="17.5" x14ac:dyDescent="0.35">
      <c r="F539" s="112">
        <v>537</v>
      </c>
      <c r="G539" s="112" t="s">
        <v>295</v>
      </c>
      <c r="H539" s="112" t="s">
        <v>302</v>
      </c>
      <c r="I539" s="115" t="s">
        <v>306</v>
      </c>
      <c r="J539" s="112" t="str">
        <f t="shared" si="8"/>
        <v>Fivethreeseven</v>
      </c>
      <c r="K539" s="112" t="s">
        <v>941</v>
      </c>
    </row>
    <row r="540" spans="6:11" ht="17.5" x14ac:dyDescent="0.35">
      <c r="F540" s="112">
        <v>538</v>
      </c>
      <c r="G540" s="112" t="s">
        <v>295</v>
      </c>
      <c r="H540" s="112" t="s">
        <v>302</v>
      </c>
      <c r="I540" s="115" t="s">
        <v>307</v>
      </c>
      <c r="J540" s="112" t="str">
        <f t="shared" si="8"/>
        <v>Fivethreeeight</v>
      </c>
      <c r="K540" s="112" t="s">
        <v>942</v>
      </c>
    </row>
    <row r="541" spans="6:11" ht="17.5" x14ac:dyDescent="0.35">
      <c r="F541" s="112">
        <v>539</v>
      </c>
      <c r="G541" s="112" t="s">
        <v>295</v>
      </c>
      <c r="H541" s="112" t="s">
        <v>302</v>
      </c>
      <c r="I541" s="115" t="s">
        <v>308</v>
      </c>
      <c r="J541" s="112" t="str">
        <f t="shared" si="8"/>
        <v>Fivethreenine</v>
      </c>
      <c r="K541" s="112" t="s">
        <v>943</v>
      </c>
    </row>
    <row r="542" spans="6:11" x14ac:dyDescent="0.35">
      <c r="F542" s="112">
        <v>540</v>
      </c>
      <c r="G542" s="112" t="s">
        <v>295</v>
      </c>
      <c r="H542" s="112" t="s">
        <v>303</v>
      </c>
      <c r="I542" s="112" t="s">
        <v>422</v>
      </c>
      <c r="J542" s="112" t="str">
        <f t="shared" si="8"/>
        <v>Fivefourzero</v>
      </c>
      <c r="K542" s="112" t="s">
        <v>944</v>
      </c>
    </row>
    <row r="543" spans="6:11" ht="17.5" x14ac:dyDescent="0.35">
      <c r="F543" s="112">
        <v>541</v>
      </c>
      <c r="G543" s="112" t="s">
        <v>295</v>
      </c>
      <c r="H543" s="112" t="s">
        <v>303</v>
      </c>
      <c r="I543" s="114" t="s">
        <v>300</v>
      </c>
      <c r="J543" s="112" t="str">
        <f t="shared" si="8"/>
        <v>Fivefourone</v>
      </c>
      <c r="K543" s="112" t="s">
        <v>945</v>
      </c>
    </row>
    <row r="544" spans="6:11" ht="17.5" x14ac:dyDescent="0.35">
      <c r="F544" s="112">
        <v>542</v>
      </c>
      <c r="G544" s="112" t="s">
        <v>295</v>
      </c>
      <c r="H544" s="112" t="s">
        <v>303</v>
      </c>
      <c r="I544" s="114" t="s">
        <v>301</v>
      </c>
      <c r="J544" s="112" t="str">
        <f t="shared" si="8"/>
        <v>Fivefourtwo</v>
      </c>
      <c r="K544" s="112" t="s">
        <v>946</v>
      </c>
    </row>
    <row r="545" spans="6:11" ht="17.5" x14ac:dyDescent="0.35">
      <c r="F545" s="112">
        <v>543</v>
      </c>
      <c r="G545" s="112" t="s">
        <v>295</v>
      </c>
      <c r="H545" s="112" t="s">
        <v>303</v>
      </c>
      <c r="I545" s="114" t="s">
        <v>302</v>
      </c>
      <c r="J545" s="112" t="str">
        <f t="shared" si="8"/>
        <v>Fivefourthree</v>
      </c>
      <c r="K545" s="112" t="s">
        <v>947</v>
      </c>
    </row>
    <row r="546" spans="6:11" ht="17.5" x14ac:dyDescent="0.35">
      <c r="F546" s="112">
        <v>544</v>
      </c>
      <c r="G546" s="112" t="s">
        <v>295</v>
      </c>
      <c r="H546" s="112" t="s">
        <v>303</v>
      </c>
      <c r="I546" s="115" t="s">
        <v>303</v>
      </c>
      <c r="J546" s="112" t="str">
        <f t="shared" si="8"/>
        <v>Fivefourfour</v>
      </c>
      <c r="K546" s="112" t="s">
        <v>948</v>
      </c>
    </row>
    <row r="547" spans="6:11" ht="17.5" x14ac:dyDescent="0.35">
      <c r="F547" s="112">
        <v>545</v>
      </c>
      <c r="G547" s="112" t="s">
        <v>295</v>
      </c>
      <c r="H547" s="112" t="s">
        <v>303</v>
      </c>
      <c r="I547" s="115" t="s">
        <v>304</v>
      </c>
      <c r="J547" s="112" t="str">
        <f t="shared" si="8"/>
        <v>Fivefourfive</v>
      </c>
      <c r="K547" s="112" t="s">
        <v>949</v>
      </c>
    </row>
    <row r="548" spans="6:11" ht="17.5" x14ac:dyDescent="0.35">
      <c r="F548" s="112">
        <v>546</v>
      </c>
      <c r="G548" s="112" t="s">
        <v>295</v>
      </c>
      <c r="H548" s="112" t="s">
        <v>303</v>
      </c>
      <c r="I548" s="115" t="s">
        <v>305</v>
      </c>
      <c r="J548" s="112" t="str">
        <f t="shared" si="8"/>
        <v>Fivefoursix</v>
      </c>
      <c r="K548" s="112" t="s">
        <v>950</v>
      </c>
    </row>
    <row r="549" spans="6:11" ht="17.5" x14ac:dyDescent="0.35">
      <c r="F549" s="112">
        <v>547</v>
      </c>
      <c r="G549" s="112" t="s">
        <v>295</v>
      </c>
      <c r="H549" s="112" t="s">
        <v>303</v>
      </c>
      <c r="I549" s="115" t="s">
        <v>306</v>
      </c>
      <c r="J549" s="112" t="str">
        <f t="shared" si="8"/>
        <v>Fivefourseven</v>
      </c>
      <c r="K549" s="112" t="s">
        <v>951</v>
      </c>
    </row>
    <row r="550" spans="6:11" ht="17.5" x14ac:dyDescent="0.35">
      <c r="F550" s="112">
        <v>548</v>
      </c>
      <c r="G550" s="112" t="s">
        <v>295</v>
      </c>
      <c r="H550" s="112" t="s">
        <v>303</v>
      </c>
      <c r="I550" s="115" t="s">
        <v>307</v>
      </c>
      <c r="J550" s="112" t="str">
        <f t="shared" ref="J550:J613" si="9">G550&amp;H550&amp;I550</f>
        <v>Fivefoureight</v>
      </c>
      <c r="K550" s="112" t="s">
        <v>952</v>
      </c>
    </row>
    <row r="551" spans="6:11" ht="17.5" x14ac:dyDescent="0.35">
      <c r="F551" s="112">
        <v>549</v>
      </c>
      <c r="G551" s="112" t="s">
        <v>295</v>
      </c>
      <c r="H551" s="112" t="s">
        <v>303</v>
      </c>
      <c r="I551" s="115" t="s">
        <v>308</v>
      </c>
      <c r="J551" s="112" t="str">
        <f t="shared" si="9"/>
        <v>Fivefournine</v>
      </c>
      <c r="K551" s="112" t="s">
        <v>953</v>
      </c>
    </row>
    <row r="552" spans="6:11" ht="17.5" x14ac:dyDescent="0.35">
      <c r="F552" s="112">
        <v>550</v>
      </c>
      <c r="G552" s="112" t="s">
        <v>295</v>
      </c>
      <c r="H552" s="112" t="s">
        <v>304</v>
      </c>
      <c r="I552" s="119" t="s">
        <v>422</v>
      </c>
      <c r="J552" s="112" t="str">
        <f t="shared" si="9"/>
        <v>Fivefivezero</v>
      </c>
      <c r="K552" s="112" t="s">
        <v>954</v>
      </c>
    </row>
    <row r="553" spans="6:11" ht="17.5" x14ac:dyDescent="0.35">
      <c r="F553" s="112">
        <v>551</v>
      </c>
      <c r="G553" s="112" t="s">
        <v>295</v>
      </c>
      <c r="H553" s="112" t="s">
        <v>304</v>
      </c>
      <c r="I553" s="114" t="s">
        <v>300</v>
      </c>
      <c r="J553" s="112" t="str">
        <f t="shared" si="9"/>
        <v>Fivefiveone</v>
      </c>
      <c r="K553" s="112" t="s">
        <v>955</v>
      </c>
    </row>
    <row r="554" spans="6:11" ht="17.5" x14ac:dyDescent="0.35">
      <c r="F554" s="112">
        <v>552</v>
      </c>
      <c r="G554" s="112" t="s">
        <v>295</v>
      </c>
      <c r="H554" s="112" t="s">
        <v>304</v>
      </c>
      <c r="I554" s="114" t="s">
        <v>301</v>
      </c>
      <c r="J554" s="112" t="str">
        <f t="shared" si="9"/>
        <v>Fivefivetwo</v>
      </c>
      <c r="K554" s="112" t="s">
        <v>956</v>
      </c>
    </row>
    <row r="555" spans="6:11" ht="17.5" x14ac:dyDescent="0.35">
      <c r="F555" s="112">
        <v>553</v>
      </c>
      <c r="G555" s="112" t="s">
        <v>295</v>
      </c>
      <c r="H555" s="112" t="s">
        <v>304</v>
      </c>
      <c r="I555" s="114" t="s">
        <v>302</v>
      </c>
      <c r="J555" s="112" t="str">
        <f t="shared" si="9"/>
        <v>Fivefivethree</v>
      </c>
      <c r="K555" s="112" t="s">
        <v>957</v>
      </c>
    </row>
    <row r="556" spans="6:11" ht="17.5" x14ac:dyDescent="0.35">
      <c r="F556" s="112">
        <v>554</v>
      </c>
      <c r="G556" s="112" t="s">
        <v>295</v>
      </c>
      <c r="H556" s="112" t="s">
        <v>304</v>
      </c>
      <c r="I556" s="115" t="s">
        <v>303</v>
      </c>
      <c r="J556" s="112" t="str">
        <f t="shared" si="9"/>
        <v>Fivefivefour</v>
      </c>
      <c r="K556" s="112" t="s">
        <v>958</v>
      </c>
    </row>
    <row r="557" spans="6:11" ht="17.5" x14ac:dyDescent="0.35">
      <c r="F557" s="112">
        <v>555</v>
      </c>
      <c r="G557" s="112" t="s">
        <v>295</v>
      </c>
      <c r="H557" s="112" t="s">
        <v>304</v>
      </c>
      <c r="I557" s="115" t="s">
        <v>304</v>
      </c>
      <c r="J557" s="112" t="str">
        <f t="shared" si="9"/>
        <v>Fivefivefive</v>
      </c>
      <c r="K557" s="112" t="s">
        <v>959</v>
      </c>
    </row>
    <row r="558" spans="6:11" ht="17.5" x14ac:dyDescent="0.35">
      <c r="F558" s="112">
        <v>556</v>
      </c>
      <c r="G558" s="112" t="s">
        <v>295</v>
      </c>
      <c r="H558" s="112" t="s">
        <v>304</v>
      </c>
      <c r="I558" s="115" t="s">
        <v>305</v>
      </c>
      <c r="J558" s="112" t="str">
        <f t="shared" si="9"/>
        <v>Fivefivesix</v>
      </c>
      <c r="K558" s="112" t="s">
        <v>960</v>
      </c>
    </row>
    <row r="559" spans="6:11" ht="17.5" x14ac:dyDescent="0.35">
      <c r="F559" s="112">
        <v>557</v>
      </c>
      <c r="G559" s="112" t="s">
        <v>295</v>
      </c>
      <c r="H559" s="112" t="s">
        <v>304</v>
      </c>
      <c r="I559" s="115" t="s">
        <v>306</v>
      </c>
      <c r="J559" s="112" t="str">
        <f t="shared" si="9"/>
        <v>Fivefiveseven</v>
      </c>
      <c r="K559" s="112" t="s">
        <v>961</v>
      </c>
    </row>
    <row r="560" spans="6:11" ht="17.5" x14ac:dyDescent="0.35">
      <c r="F560" s="112">
        <v>558</v>
      </c>
      <c r="G560" s="112" t="s">
        <v>295</v>
      </c>
      <c r="H560" s="112" t="s">
        <v>304</v>
      </c>
      <c r="I560" s="115" t="s">
        <v>307</v>
      </c>
      <c r="J560" s="112" t="str">
        <f t="shared" si="9"/>
        <v>Fivefiveeight</v>
      </c>
      <c r="K560" s="112" t="s">
        <v>962</v>
      </c>
    </row>
    <row r="561" spans="6:11" ht="17.5" x14ac:dyDescent="0.35">
      <c r="F561" s="112">
        <v>559</v>
      </c>
      <c r="G561" s="112" t="s">
        <v>295</v>
      </c>
      <c r="H561" s="112" t="s">
        <v>304</v>
      </c>
      <c r="I561" s="115" t="s">
        <v>308</v>
      </c>
      <c r="J561" s="112" t="str">
        <f t="shared" si="9"/>
        <v>Fivefivenine</v>
      </c>
      <c r="K561" s="112" t="s">
        <v>963</v>
      </c>
    </row>
    <row r="562" spans="6:11" ht="17.5" x14ac:dyDescent="0.35">
      <c r="F562" s="112">
        <v>560</v>
      </c>
      <c r="G562" s="112" t="s">
        <v>295</v>
      </c>
      <c r="H562" s="112" t="s">
        <v>305</v>
      </c>
      <c r="I562" s="119" t="s">
        <v>422</v>
      </c>
      <c r="J562" s="112" t="str">
        <f t="shared" si="9"/>
        <v>Fivesixzero</v>
      </c>
      <c r="K562" s="112" t="s">
        <v>964</v>
      </c>
    </row>
    <row r="563" spans="6:11" ht="17.5" x14ac:dyDescent="0.35">
      <c r="F563" s="112">
        <v>561</v>
      </c>
      <c r="G563" s="112" t="s">
        <v>295</v>
      </c>
      <c r="H563" s="112" t="s">
        <v>305</v>
      </c>
      <c r="I563" s="114" t="s">
        <v>300</v>
      </c>
      <c r="J563" s="112" t="str">
        <f t="shared" si="9"/>
        <v>Fivesixone</v>
      </c>
      <c r="K563" s="112" t="s">
        <v>965</v>
      </c>
    </row>
    <row r="564" spans="6:11" ht="17.5" x14ac:dyDescent="0.35">
      <c r="F564" s="112">
        <v>562</v>
      </c>
      <c r="G564" s="112" t="s">
        <v>295</v>
      </c>
      <c r="H564" s="112" t="s">
        <v>305</v>
      </c>
      <c r="I564" s="114" t="s">
        <v>301</v>
      </c>
      <c r="J564" s="112" t="str">
        <f t="shared" si="9"/>
        <v>Fivesixtwo</v>
      </c>
      <c r="K564" s="112" t="s">
        <v>966</v>
      </c>
    </row>
    <row r="565" spans="6:11" ht="17.5" x14ac:dyDescent="0.35">
      <c r="F565" s="112">
        <v>563</v>
      </c>
      <c r="G565" s="112" t="s">
        <v>295</v>
      </c>
      <c r="H565" s="112" t="s">
        <v>305</v>
      </c>
      <c r="I565" s="114" t="s">
        <v>302</v>
      </c>
      <c r="J565" s="112" t="str">
        <f t="shared" si="9"/>
        <v>Fivesixthree</v>
      </c>
      <c r="K565" s="112" t="s">
        <v>967</v>
      </c>
    </row>
    <row r="566" spans="6:11" ht="17.5" x14ac:dyDescent="0.35">
      <c r="F566" s="112">
        <v>564</v>
      </c>
      <c r="G566" s="112" t="s">
        <v>295</v>
      </c>
      <c r="H566" s="112" t="s">
        <v>305</v>
      </c>
      <c r="I566" s="115" t="s">
        <v>303</v>
      </c>
      <c r="J566" s="112" t="str">
        <f t="shared" si="9"/>
        <v>Fivesixfour</v>
      </c>
      <c r="K566" s="112" t="s">
        <v>968</v>
      </c>
    </row>
    <row r="567" spans="6:11" ht="17.5" x14ac:dyDescent="0.35">
      <c r="F567" s="112">
        <v>565</v>
      </c>
      <c r="G567" s="112" t="s">
        <v>295</v>
      </c>
      <c r="H567" s="112" t="s">
        <v>305</v>
      </c>
      <c r="I567" s="115" t="s">
        <v>304</v>
      </c>
      <c r="J567" s="112" t="str">
        <f t="shared" si="9"/>
        <v>Fivesixfive</v>
      </c>
      <c r="K567" s="112" t="s">
        <v>969</v>
      </c>
    </row>
    <row r="568" spans="6:11" ht="17.5" x14ac:dyDescent="0.35">
      <c r="F568" s="112">
        <v>566</v>
      </c>
      <c r="G568" s="112" t="s">
        <v>295</v>
      </c>
      <c r="H568" s="112" t="s">
        <v>305</v>
      </c>
      <c r="I568" s="115" t="s">
        <v>305</v>
      </c>
      <c r="J568" s="112" t="str">
        <f t="shared" si="9"/>
        <v>Fivesixsix</v>
      </c>
      <c r="K568" s="112" t="s">
        <v>970</v>
      </c>
    </row>
    <row r="569" spans="6:11" ht="17.5" x14ac:dyDescent="0.35">
      <c r="F569" s="112">
        <v>567</v>
      </c>
      <c r="G569" s="112" t="s">
        <v>295</v>
      </c>
      <c r="H569" s="112" t="s">
        <v>305</v>
      </c>
      <c r="I569" s="115" t="s">
        <v>306</v>
      </c>
      <c r="J569" s="112" t="str">
        <f t="shared" si="9"/>
        <v>Fivesixseven</v>
      </c>
      <c r="K569" s="112" t="s">
        <v>971</v>
      </c>
    </row>
    <row r="570" spans="6:11" ht="17.5" x14ac:dyDescent="0.35">
      <c r="F570" s="112">
        <v>568</v>
      </c>
      <c r="G570" s="112" t="s">
        <v>295</v>
      </c>
      <c r="H570" s="112" t="s">
        <v>305</v>
      </c>
      <c r="I570" s="115" t="s">
        <v>307</v>
      </c>
      <c r="J570" s="112" t="str">
        <f t="shared" si="9"/>
        <v>Fivesixeight</v>
      </c>
      <c r="K570" s="112" t="s">
        <v>972</v>
      </c>
    </row>
    <row r="571" spans="6:11" ht="17.5" x14ac:dyDescent="0.35">
      <c r="F571" s="112">
        <v>569</v>
      </c>
      <c r="G571" s="112" t="s">
        <v>295</v>
      </c>
      <c r="H571" s="112" t="s">
        <v>305</v>
      </c>
      <c r="I571" s="115" t="s">
        <v>308</v>
      </c>
      <c r="J571" s="112" t="str">
        <f t="shared" si="9"/>
        <v>Fivesixnine</v>
      </c>
      <c r="K571" s="112" t="s">
        <v>973</v>
      </c>
    </row>
    <row r="572" spans="6:11" x14ac:dyDescent="0.35">
      <c r="F572" s="112">
        <v>570</v>
      </c>
      <c r="G572" s="112" t="s">
        <v>295</v>
      </c>
      <c r="H572" s="112" t="s">
        <v>306</v>
      </c>
      <c r="I572" s="112" t="s">
        <v>422</v>
      </c>
      <c r="J572" s="112" t="str">
        <f t="shared" si="9"/>
        <v>Fivesevenzero</v>
      </c>
      <c r="K572" s="112" t="s">
        <v>974</v>
      </c>
    </row>
    <row r="573" spans="6:11" ht="17.5" x14ac:dyDescent="0.35">
      <c r="F573" s="112">
        <v>571</v>
      </c>
      <c r="G573" s="112" t="s">
        <v>295</v>
      </c>
      <c r="H573" s="112" t="s">
        <v>306</v>
      </c>
      <c r="I573" s="114" t="s">
        <v>300</v>
      </c>
      <c r="J573" s="112" t="str">
        <f t="shared" si="9"/>
        <v>Fivesevenone</v>
      </c>
      <c r="K573" s="112" t="s">
        <v>975</v>
      </c>
    </row>
    <row r="574" spans="6:11" ht="17.5" x14ac:dyDescent="0.35">
      <c r="F574" s="112">
        <v>572</v>
      </c>
      <c r="G574" s="112" t="s">
        <v>295</v>
      </c>
      <c r="H574" s="112" t="s">
        <v>306</v>
      </c>
      <c r="I574" s="114" t="s">
        <v>301</v>
      </c>
      <c r="J574" s="112" t="str">
        <f t="shared" si="9"/>
        <v>Fiveseventwo</v>
      </c>
      <c r="K574" s="112" t="s">
        <v>976</v>
      </c>
    </row>
    <row r="575" spans="6:11" ht="17.5" x14ac:dyDescent="0.35">
      <c r="F575" s="112">
        <v>573</v>
      </c>
      <c r="G575" s="112" t="s">
        <v>295</v>
      </c>
      <c r="H575" s="112" t="s">
        <v>306</v>
      </c>
      <c r="I575" s="114" t="s">
        <v>302</v>
      </c>
      <c r="J575" s="112" t="str">
        <f t="shared" si="9"/>
        <v>Fiveseventhree</v>
      </c>
      <c r="K575" s="112" t="s">
        <v>977</v>
      </c>
    </row>
    <row r="576" spans="6:11" ht="17.5" x14ac:dyDescent="0.35">
      <c r="F576" s="112">
        <v>574</v>
      </c>
      <c r="G576" s="112" t="s">
        <v>295</v>
      </c>
      <c r="H576" s="112" t="s">
        <v>306</v>
      </c>
      <c r="I576" s="115" t="s">
        <v>303</v>
      </c>
      <c r="J576" s="112" t="str">
        <f t="shared" si="9"/>
        <v>Fivesevenfour</v>
      </c>
      <c r="K576" s="112" t="s">
        <v>978</v>
      </c>
    </row>
    <row r="577" spans="6:11" ht="17.5" x14ac:dyDescent="0.35">
      <c r="F577" s="112">
        <v>575</v>
      </c>
      <c r="G577" s="112" t="s">
        <v>295</v>
      </c>
      <c r="H577" s="112" t="s">
        <v>306</v>
      </c>
      <c r="I577" s="115" t="s">
        <v>304</v>
      </c>
      <c r="J577" s="112" t="str">
        <f t="shared" si="9"/>
        <v>Fivesevenfive</v>
      </c>
      <c r="K577" s="112" t="s">
        <v>979</v>
      </c>
    </row>
    <row r="578" spans="6:11" ht="17.5" x14ac:dyDescent="0.35">
      <c r="F578" s="112">
        <v>576</v>
      </c>
      <c r="G578" s="112" t="s">
        <v>295</v>
      </c>
      <c r="H578" s="112" t="s">
        <v>306</v>
      </c>
      <c r="I578" s="115" t="s">
        <v>305</v>
      </c>
      <c r="J578" s="112" t="str">
        <f t="shared" si="9"/>
        <v>Fivesevensix</v>
      </c>
      <c r="K578" s="112" t="s">
        <v>980</v>
      </c>
    </row>
    <row r="579" spans="6:11" ht="17.5" x14ac:dyDescent="0.35">
      <c r="F579" s="112">
        <v>577</v>
      </c>
      <c r="G579" s="112" t="s">
        <v>295</v>
      </c>
      <c r="H579" s="112" t="s">
        <v>306</v>
      </c>
      <c r="I579" s="115" t="s">
        <v>306</v>
      </c>
      <c r="J579" s="112" t="str">
        <f t="shared" si="9"/>
        <v>Fivesevenseven</v>
      </c>
      <c r="K579" s="112" t="s">
        <v>981</v>
      </c>
    </row>
    <row r="580" spans="6:11" ht="17.5" x14ac:dyDescent="0.35">
      <c r="F580" s="112">
        <v>578</v>
      </c>
      <c r="G580" s="112" t="s">
        <v>295</v>
      </c>
      <c r="H580" s="112" t="s">
        <v>306</v>
      </c>
      <c r="I580" s="115" t="s">
        <v>307</v>
      </c>
      <c r="J580" s="112" t="str">
        <f t="shared" si="9"/>
        <v>Fiveseveneight</v>
      </c>
      <c r="K580" s="112" t="s">
        <v>982</v>
      </c>
    </row>
    <row r="581" spans="6:11" ht="17.5" x14ac:dyDescent="0.35">
      <c r="F581" s="112">
        <v>579</v>
      </c>
      <c r="G581" s="112" t="s">
        <v>295</v>
      </c>
      <c r="H581" s="112" t="s">
        <v>306</v>
      </c>
      <c r="I581" s="115" t="s">
        <v>308</v>
      </c>
      <c r="J581" s="112" t="str">
        <f t="shared" si="9"/>
        <v>Fivesevennine</v>
      </c>
      <c r="K581" s="112" t="s">
        <v>983</v>
      </c>
    </row>
    <row r="582" spans="6:11" x14ac:dyDescent="0.35">
      <c r="F582" s="112">
        <v>580</v>
      </c>
      <c r="G582" s="112" t="s">
        <v>295</v>
      </c>
      <c r="H582" s="112" t="s">
        <v>307</v>
      </c>
      <c r="I582" s="112" t="s">
        <v>422</v>
      </c>
      <c r="J582" s="112" t="str">
        <f t="shared" si="9"/>
        <v>Fiveeightzero</v>
      </c>
      <c r="K582" s="112" t="s">
        <v>984</v>
      </c>
    </row>
    <row r="583" spans="6:11" ht="17.5" x14ac:dyDescent="0.35">
      <c r="F583" s="112">
        <v>581</v>
      </c>
      <c r="G583" s="112" t="s">
        <v>295</v>
      </c>
      <c r="H583" s="112" t="s">
        <v>307</v>
      </c>
      <c r="I583" s="114" t="s">
        <v>300</v>
      </c>
      <c r="J583" s="112" t="str">
        <f t="shared" si="9"/>
        <v>Fiveeightone</v>
      </c>
      <c r="K583" s="112" t="s">
        <v>985</v>
      </c>
    </row>
    <row r="584" spans="6:11" ht="17.5" x14ac:dyDescent="0.35">
      <c r="F584" s="112">
        <v>582</v>
      </c>
      <c r="G584" s="112" t="s">
        <v>295</v>
      </c>
      <c r="H584" s="112" t="s">
        <v>307</v>
      </c>
      <c r="I584" s="114" t="s">
        <v>301</v>
      </c>
      <c r="J584" s="112" t="str">
        <f t="shared" si="9"/>
        <v>Fiveeighttwo</v>
      </c>
      <c r="K584" s="112" t="s">
        <v>986</v>
      </c>
    </row>
    <row r="585" spans="6:11" ht="17.5" x14ac:dyDescent="0.35">
      <c r="F585" s="112">
        <v>583</v>
      </c>
      <c r="G585" s="112" t="s">
        <v>295</v>
      </c>
      <c r="H585" s="112" t="s">
        <v>307</v>
      </c>
      <c r="I585" s="114" t="s">
        <v>302</v>
      </c>
      <c r="J585" s="112" t="str">
        <f t="shared" si="9"/>
        <v>Fiveeightthree</v>
      </c>
      <c r="K585" s="112" t="s">
        <v>987</v>
      </c>
    </row>
    <row r="586" spans="6:11" ht="17.5" x14ac:dyDescent="0.35">
      <c r="F586" s="112">
        <v>584</v>
      </c>
      <c r="G586" s="112" t="s">
        <v>295</v>
      </c>
      <c r="H586" s="112" t="s">
        <v>307</v>
      </c>
      <c r="I586" s="115" t="s">
        <v>303</v>
      </c>
      <c r="J586" s="112" t="str">
        <f t="shared" si="9"/>
        <v>Fiveeightfour</v>
      </c>
      <c r="K586" s="112" t="s">
        <v>988</v>
      </c>
    </row>
    <row r="587" spans="6:11" ht="17.5" x14ac:dyDescent="0.35">
      <c r="F587" s="112">
        <v>585</v>
      </c>
      <c r="G587" s="112" t="s">
        <v>295</v>
      </c>
      <c r="H587" s="112" t="s">
        <v>307</v>
      </c>
      <c r="I587" s="115" t="s">
        <v>304</v>
      </c>
      <c r="J587" s="112" t="str">
        <f t="shared" si="9"/>
        <v>Fiveeightfive</v>
      </c>
      <c r="K587" s="112" t="s">
        <v>989</v>
      </c>
    </row>
    <row r="588" spans="6:11" ht="17.5" x14ac:dyDescent="0.35">
      <c r="F588" s="112">
        <v>586</v>
      </c>
      <c r="G588" s="112" t="s">
        <v>295</v>
      </c>
      <c r="H588" s="112" t="s">
        <v>307</v>
      </c>
      <c r="I588" s="115" t="s">
        <v>305</v>
      </c>
      <c r="J588" s="112" t="str">
        <f t="shared" si="9"/>
        <v>Fiveeightsix</v>
      </c>
      <c r="K588" s="112" t="s">
        <v>990</v>
      </c>
    </row>
    <row r="589" spans="6:11" ht="17.5" x14ac:dyDescent="0.35">
      <c r="F589" s="112">
        <v>587</v>
      </c>
      <c r="G589" s="112" t="s">
        <v>295</v>
      </c>
      <c r="H589" s="112" t="s">
        <v>307</v>
      </c>
      <c r="I589" s="115" t="s">
        <v>306</v>
      </c>
      <c r="J589" s="112" t="str">
        <f t="shared" si="9"/>
        <v>Fiveeightseven</v>
      </c>
      <c r="K589" s="112" t="s">
        <v>991</v>
      </c>
    </row>
    <row r="590" spans="6:11" ht="17.5" x14ac:dyDescent="0.35">
      <c r="F590" s="112">
        <v>588</v>
      </c>
      <c r="G590" s="112" t="s">
        <v>295</v>
      </c>
      <c r="H590" s="112" t="s">
        <v>307</v>
      </c>
      <c r="I590" s="115" t="s">
        <v>307</v>
      </c>
      <c r="J590" s="112" t="str">
        <f t="shared" si="9"/>
        <v>Fiveeighteight</v>
      </c>
      <c r="K590" s="112" t="s">
        <v>992</v>
      </c>
    </row>
    <row r="591" spans="6:11" ht="17.5" x14ac:dyDescent="0.35">
      <c r="F591" s="112">
        <v>589</v>
      </c>
      <c r="G591" s="112" t="s">
        <v>295</v>
      </c>
      <c r="H591" s="112" t="s">
        <v>307</v>
      </c>
      <c r="I591" s="115" t="s">
        <v>308</v>
      </c>
      <c r="J591" s="112" t="str">
        <f t="shared" si="9"/>
        <v>Fiveeightnine</v>
      </c>
      <c r="K591" s="112" t="s">
        <v>993</v>
      </c>
    </row>
    <row r="592" spans="6:11" ht="17.5" x14ac:dyDescent="0.35">
      <c r="F592" s="112">
        <v>590</v>
      </c>
      <c r="G592" s="112" t="s">
        <v>295</v>
      </c>
      <c r="H592" s="112" t="s">
        <v>308</v>
      </c>
      <c r="I592" s="119" t="s">
        <v>422</v>
      </c>
      <c r="J592" s="112" t="str">
        <f t="shared" si="9"/>
        <v>Fiveninezero</v>
      </c>
      <c r="K592" s="112" t="s">
        <v>994</v>
      </c>
    </row>
    <row r="593" spans="6:11" ht="17.5" x14ac:dyDescent="0.35">
      <c r="F593" s="112">
        <v>591</v>
      </c>
      <c r="G593" s="112" t="s">
        <v>295</v>
      </c>
      <c r="H593" s="112" t="s">
        <v>308</v>
      </c>
      <c r="I593" s="114" t="s">
        <v>300</v>
      </c>
      <c r="J593" s="112" t="str">
        <f t="shared" si="9"/>
        <v>Fivenineone</v>
      </c>
      <c r="K593" s="112" t="s">
        <v>995</v>
      </c>
    </row>
    <row r="594" spans="6:11" ht="17.5" x14ac:dyDescent="0.35">
      <c r="F594" s="112">
        <v>592</v>
      </c>
      <c r="G594" s="112" t="s">
        <v>295</v>
      </c>
      <c r="H594" s="112" t="s">
        <v>308</v>
      </c>
      <c r="I594" s="114" t="s">
        <v>301</v>
      </c>
      <c r="J594" s="112" t="str">
        <f t="shared" si="9"/>
        <v>Fiveninetwo</v>
      </c>
      <c r="K594" s="112" t="s">
        <v>996</v>
      </c>
    </row>
    <row r="595" spans="6:11" ht="17.5" x14ac:dyDescent="0.35">
      <c r="F595" s="112">
        <v>593</v>
      </c>
      <c r="G595" s="112" t="s">
        <v>295</v>
      </c>
      <c r="H595" s="112" t="s">
        <v>308</v>
      </c>
      <c r="I595" s="114" t="s">
        <v>302</v>
      </c>
      <c r="J595" s="112" t="str">
        <f t="shared" si="9"/>
        <v>Fiveninethree</v>
      </c>
      <c r="K595" s="112" t="s">
        <v>997</v>
      </c>
    </row>
    <row r="596" spans="6:11" ht="17.5" x14ac:dyDescent="0.35">
      <c r="F596" s="112">
        <v>594</v>
      </c>
      <c r="G596" s="112" t="s">
        <v>295</v>
      </c>
      <c r="H596" s="112" t="s">
        <v>308</v>
      </c>
      <c r="I596" s="115" t="s">
        <v>303</v>
      </c>
      <c r="J596" s="112" t="str">
        <f t="shared" si="9"/>
        <v>Fiveninefour</v>
      </c>
      <c r="K596" s="112" t="s">
        <v>998</v>
      </c>
    </row>
    <row r="597" spans="6:11" ht="17.5" x14ac:dyDescent="0.35">
      <c r="F597" s="112">
        <v>595</v>
      </c>
      <c r="G597" s="112" t="s">
        <v>295</v>
      </c>
      <c r="H597" s="112" t="s">
        <v>308</v>
      </c>
      <c r="I597" s="115" t="s">
        <v>304</v>
      </c>
      <c r="J597" s="112" t="str">
        <f t="shared" si="9"/>
        <v>Fiveninefive</v>
      </c>
      <c r="K597" s="112" t="s">
        <v>999</v>
      </c>
    </row>
    <row r="598" spans="6:11" ht="17.5" x14ac:dyDescent="0.35">
      <c r="F598" s="112">
        <v>596</v>
      </c>
      <c r="G598" s="112" t="s">
        <v>295</v>
      </c>
      <c r="H598" s="112" t="s">
        <v>308</v>
      </c>
      <c r="I598" s="115" t="s">
        <v>305</v>
      </c>
      <c r="J598" s="112" t="str">
        <f t="shared" si="9"/>
        <v>Fiveninesix</v>
      </c>
      <c r="K598" s="112" t="s">
        <v>1000</v>
      </c>
    </row>
    <row r="599" spans="6:11" ht="17.5" x14ac:dyDescent="0.35">
      <c r="F599" s="112">
        <v>597</v>
      </c>
      <c r="G599" s="112" t="s">
        <v>295</v>
      </c>
      <c r="H599" s="112" t="s">
        <v>308</v>
      </c>
      <c r="I599" s="115" t="s">
        <v>306</v>
      </c>
      <c r="J599" s="112" t="str">
        <f t="shared" si="9"/>
        <v>Fivenineseven</v>
      </c>
      <c r="K599" s="112" t="s">
        <v>1001</v>
      </c>
    </row>
    <row r="600" spans="6:11" ht="17.5" x14ac:dyDescent="0.35">
      <c r="F600" s="112">
        <v>598</v>
      </c>
      <c r="G600" s="112" t="s">
        <v>295</v>
      </c>
      <c r="H600" s="112" t="s">
        <v>308</v>
      </c>
      <c r="I600" s="115" t="s">
        <v>307</v>
      </c>
      <c r="J600" s="112" t="str">
        <f t="shared" si="9"/>
        <v>Fivenineeight</v>
      </c>
      <c r="K600" s="112" t="s">
        <v>1002</v>
      </c>
    </row>
    <row r="601" spans="6:11" ht="17.5" x14ac:dyDescent="0.35">
      <c r="F601" s="112">
        <v>599</v>
      </c>
      <c r="G601" s="112" t="s">
        <v>295</v>
      </c>
      <c r="H601" s="112" t="s">
        <v>308</v>
      </c>
      <c r="I601" s="115" t="s">
        <v>308</v>
      </c>
      <c r="J601" s="112" t="str">
        <f t="shared" si="9"/>
        <v>Fiveninenine</v>
      </c>
      <c r="K601" s="112" t="s">
        <v>1003</v>
      </c>
    </row>
    <row r="602" spans="6:11" ht="17.5" x14ac:dyDescent="0.35">
      <c r="F602" s="112">
        <v>600</v>
      </c>
      <c r="G602" s="112" t="s">
        <v>296</v>
      </c>
      <c r="H602" s="112" t="s">
        <v>422</v>
      </c>
      <c r="I602" s="119" t="s">
        <v>422</v>
      </c>
      <c r="J602" s="112" t="str">
        <f t="shared" si="9"/>
        <v>Sixzerozero</v>
      </c>
      <c r="K602" s="112" t="s">
        <v>1004</v>
      </c>
    </row>
    <row r="603" spans="6:11" ht="17.5" x14ac:dyDescent="0.35">
      <c r="F603" s="112">
        <v>601</v>
      </c>
      <c r="G603" s="112" t="s">
        <v>296</v>
      </c>
      <c r="H603" s="112" t="s">
        <v>422</v>
      </c>
      <c r="I603" s="114" t="s">
        <v>300</v>
      </c>
      <c r="J603" s="112" t="str">
        <f t="shared" si="9"/>
        <v>Sixzeroone</v>
      </c>
      <c r="K603" s="112" t="s">
        <v>1005</v>
      </c>
    </row>
    <row r="604" spans="6:11" ht="17.5" x14ac:dyDescent="0.35">
      <c r="F604" s="112">
        <v>602</v>
      </c>
      <c r="G604" s="112" t="s">
        <v>296</v>
      </c>
      <c r="H604" s="112" t="s">
        <v>422</v>
      </c>
      <c r="I604" s="114" t="s">
        <v>301</v>
      </c>
      <c r="J604" s="112" t="str">
        <f t="shared" si="9"/>
        <v>Sixzerotwo</v>
      </c>
      <c r="K604" s="112" t="s">
        <v>1006</v>
      </c>
    </row>
    <row r="605" spans="6:11" ht="17.5" x14ac:dyDescent="0.35">
      <c r="F605" s="112">
        <v>603</v>
      </c>
      <c r="G605" s="112" t="s">
        <v>296</v>
      </c>
      <c r="H605" s="112" t="s">
        <v>422</v>
      </c>
      <c r="I605" s="114" t="s">
        <v>302</v>
      </c>
      <c r="J605" s="112" t="str">
        <f t="shared" si="9"/>
        <v>Sixzerothree</v>
      </c>
      <c r="K605" s="112" t="s">
        <v>1007</v>
      </c>
    </row>
    <row r="606" spans="6:11" ht="17.5" x14ac:dyDescent="0.35">
      <c r="F606" s="112">
        <v>604</v>
      </c>
      <c r="G606" s="112" t="s">
        <v>296</v>
      </c>
      <c r="H606" s="112" t="s">
        <v>422</v>
      </c>
      <c r="I606" s="115" t="s">
        <v>303</v>
      </c>
      <c r="J606" s="112" t="str">
        <f t="shared" si="9"/>
        <v>Sixzerofour</v>
      </c>
      <c r="K606" s="112" t="s">
        <v>1008</v>
      </c>
    </row>
    <row r="607" spans="6:11" ht="17.5" x14ac:dyDescent="0.35">
      <c r="F607" s="112">
        <v>605</v>
      </c>
      <c r="G607" s="112" t="s">
        <v>296</v>
      </c>
      <c r="H607" s="112" t="s">
        <v>422</v>
      </c>
      <c r="I607" s="115" t="s">
        <v>304</v>
      </c>
      <c r="J607" s="112" t="str">
        <f t="shared" si="9"/>
        <v>Sixzerofive</v>
      </c>
      <c r="K607" s="112" t="s">
        <v>1009</v>
      </c>
    </row>
    <row r="608" spans="6:11" ht="17.5" x14ac:dyDescent="0.35">
      <c r="F608" s="112">
        <v>606</v>
      </c>
      <c r="G608" s="112" t="s">
        <v>296</v>
      </c>
      <c r="H608" s="112" t="s">
        <v>422</v>
      </c>
      <c r="I608" s="115" t="s">
        <v>305</v>
      </c>
      <c r="J608" s="112" t="str">
        <f t="shared" si="9"/>
        <v>Sixzerosix</v>
      </c>
      <c r="K608" s="112" t="s">
        <v>1010</v>
      </c>
    </row>
    <row r="609" spans="6:11" ht="17.5" x14ac:dyDescent="0.35">
      <c r="F609" s="112">
        <v>607</v>
      </c>
      <c r="G609" s="112" t="s">
        <v>296</v>
      </c>
      <c r="H609" s="112" t="s">
        <v>422</v>
      </c>
      <c r="I609" s="115" t="s">
        <v>306</v>
      </c>
      <c r="J609" s="112" t="str">
        <f t="shared" si="9"/>
        <v>Sixzeroseven</v>
      </c>
      <c r="K609" s="112" t="s">
        <v>1011</v>
      </c>
    </row>
    <row r="610" spans="6:11" ht="17.5" x14ac:dyDescent="0.35">
      <c r="F610" s="112">
        <v>608</v>
      </c>
      <c r="G610" s="112" t="s">
        <v>296</v>
      </c>
      <c r="H610" s="112" t="s">
        <v>422</v>
      </c>
      <c r="I610" s="115" t="s">
        <v>307</v>
      </c>
      <c r="J610" s="112" t="str">
        <f t="shared" si="9"/>
        <v>Sixzeroeight</v>
      </c>
      <c r="K610" s="112" t="s">
        <v>1012</v>
      </c>
    </row>
    <row r="611" spans="6:11" ht="17.5" x14ac:dyDescent="0.35">
      <c r="F611" s="112">
        <v>609</v>
      </c>
      <c r="G611" s="112" t="s">
        <v>296</v>
      </c>
      <c r="H611" s="112" t="s">
        <v>422</v>
      </c>
      <c r="I611" s="115" t="s">
        <v>308</v>
      </c>
      <c r="J611" s="112" t="str">
        <f t="shared" si="9"/>
        <v>Sixzeronine</v>
      </c>
      <c r="K611" s="112" t="s">
        <v>1013</v>
      </c>
    </row>
    <row r="612" spans="6:11" ht="17.5" x14ac:dyDescent="0.35">
      <c r="F612" s="112">
        <v>610</v>
      </c>
      <c r="G612" s="112" t="s">
        <v>296</v>
      </c>
      <c r="H612" s="114" t="s">
        <v>300</v>
      </c>
      <c r="I612" s="112" t="s">
        <v>422</v>
      </c>
      <c r="J612" s="112" t="str">
        <f t="shared" si="9"/>
        <v>Sixonezero</v>
      </c>
      <c r="K612" s="112" t="s">
        <v>1014</v>
      </c>
    </row>
    <row r="613" spans="6:11" ht="17.5" x14ac:dyDescent="0.35">
      <c r="F613" s="112">
        <v>611</v>
      </c>
      <c r="G613" s="112" t="s">
        <v>296</v>
      </c>
      <c r="H613" s="114" t="s">
        <v>300</v>
      </c>
      <c r="I613" s="114" t="s">
        <v>300</v>
      </c>
      <c r="J613" s="112" t="str">
        <f t="shared" si="9"/>
        <v>Sixoneone</v>
      </c>
      <c r="K613" s="112" t="s">
        <v>1015</v>
      </c>
    </row>
    <row r="614" spans="6:11" ht="17.5" x14ac:dyDescent="0.35">
      <c r="F614" s="112">
        <v>612</v>
      </c>
      <c r="G614" s="112" t="s">
        <v>296</v>
      </c>
      <c r="H614" s="114" t="s">
        <v>300</v>
      </c>
      <c r="I614" s="114" t="s">
        <v>301</v>
      </c>
      <c r="J614" s="112" t="str">
        <f t="shared" ref="J614:J677" si="10">G614&amp;H614&amp;I614</f>
        <v>Sixonetwo</v>
      </c>
      <c r="K614" s="112" t="s">
        <v>1016</v>
      </c>
    </row>
    <row r="615" spans="6:11" ht="17.5" x14ac:dyDescent="0.35">
      <c r="F615" s="112">
        <v>613</v>
      </c>
      <c r="G615" s="112" t="s">
        <v>296</v>
      </c>
      <c r="H615" s="114" t="s">
        <v>300</v>
      </c>
      <c r="I615" s="114" t="s">
        <v>302</v>
      </c>
      <c r="J615" s="112" t="str">
        <f t="shared" si="10"/>
        <v>Sixonethree</v>
      </c>
      <c r="K615" s="112" t="s">
        <v>1017</v>
      </c>
    </row>
    <row r="616" spans="6:11" ht="17.5" x14ac:dyDescent="0.35">
      <c r="F616" s="112">
        <v>614</v>
      </c>
      <c r="G616" s="112" t="s">
        <v>296</v>
      </c>
      <c r="H616" s="114" t="s">
        <v>300</v>
      </c>
      <c r="I616" s="115" t="s">
        <v>303</v>
      </c>
      <c r="J616" s="112" t="str">
        <f t="shared" si="10"/>
        <v>Sixonefour</v>
      </c>
      <c r="K616" s="112" t="s">
        <v>1018</v>
      </c>
    </row>
    <row r="617" spans="6:11" ht="17.5" x14ac:dyDescent="0.35">
      <c r="F617" s="112">
        <v>615</v>
      </c>
      <c r="G617" s="112" t="s">
        <v>296</v>
      </c>
      <c r="H617" s="114" t="s">
        <v>300</v>
      </c>
      <c r="I617" s="115" t="s">
        <v>304</v>
      </c>
      <c r="J617" s="112" t="str">
        <f t="shared" si="10"/>
        <v>Sixonefive</v>
      </c>
      <c r="K617" s="112" t="s">
        <v>1019</v>
      </c>
    </row>
    <row r="618" spans="6:11" ht="17.5" x14ac:dyDescent="0.35">
      <c r="F618" s="112">
        <v>616</v>
      </c>
      <c r="G618" s="112" t="s">
        <v>296</v>
      </c>
      <c r="H618" s="114" t="s">
        <v>300</v>
      </c>
      <c r="I618" s="115" t="s">
        <v>305</v>
      </c>
      <c r="J618" s="112" t="str">
        <f t="shared" si="10"/>
        <v>Sixonesix</v>
      </c>
      <c r="K618" s="112" t="s">
        <v>1020</v>
      </c>
    </row>
    <row r="619" spans="6:11" ht="17.5" x14ac:dyDescent="0.35">
      <c r="F619" s="112">
        <v>617</v>
      </c>
      <c r="G619" s="112" t="s">
        <v>296</v>
      </c>
      <c r="H619" s="114" t="s">
        <v>300</v>
      </c>
      <c r="I619" s="115" t="s">
        <v>306</v>
      </c>
      <c r="J619" s="112" t="str">
        <f t="shared" si="10"/>
        <v>Sixoneseven</v>
      </c>
      <c r="K619" s="112" t="s">
        <v>1021</v>
      </c>
    </row>
    <row r="620" spans="6:11" ht="17.5" x14ac:dyDescent="0.35">
      <c r="F620" s="112">
        <v>618</v>
      </c>
      <c r="G620" s="112" t="s">
        <v>296</v>
      </c>
      <c r="H620" s="114" t="s">
        <v>300</v>
      </c>
      <c r="I620" s="115" t="s">
        <v>307</v>
      </c>
      <c r="J620" s="112" t="str">
        <f t="shared" si="10"/>
        <v>Sixoneeight</v>
      </c>
      <c r="K620" s="112" t="s">
        <v>1022</v>
      </c>
    </row>
    <row r="621" spans="6:11" ht="17.5" x14ac:dyDescent="0.35">
      <c r="F621" s="112">
        <v>619</v>
      </c>
      <c r="G621" s="112" t="s">
        <v>296</v>
      </c>
      <c r="H621" s="114" t="s">
        <v>300</v>
      </c>
      <c r="I621" s="115" t="s">
        <v>308</v>
      </c>
      <c r="J621" s="112" t="str">
        <f t="shared" si="10"/>
        <v>Sixonenine</v>
      </c>
      <c r="K621" s="112" t="s">
        <v>1023</v>
      </c>
    </row>
    <row r="622" spans="6:11" x14ac:dyDescent="0.35">
      <c r="F622" s="112">
        <v>620</v>
      </c>
      <c r="G622" s="112" t="s">
        <v>296</v>
      </c>
      <c r="H622" s="112" t="s">
        <v>301</v>
      </c>
      <c r="I622" s="112" t="s">
        <v>422</v>
      </c>
      <c r="J622" s="112" t="str">
        <f t="shared" si="10"/>
        <v>Sixtwozero</v>
      </c>
      <c r="K622" s="112" t="s">
        <v>1024</v>
      </c>
    </row>
    <row r="623" spans="6:11" ht="17.5" x14ac:dyDescent="0.35">
      <c r="F623" s="112">
        <v>621</v>
      </c>
      <c r="G623" s="112" t="s">
        <v>296</v>
      </c>
      <c r="H623" s="112" t="s">
        <v>301</v>
      </c>
      <c r="I623" s="114" t="s">
        <v>300</v>
      </c>
      <c r="J623" s="112" t="str">
        <f t="shared" si="10"/>
        <v>Sixtwoone</v>
      </c>
      <c r="K623" s="112" t="s">
        <v>1025</v>
      </c>
    </row>
    <row r="624" spans="6:11" ht="17.5" x14ac:dyDescent="0.35">
      <c r="F624" s="112">
        <v>622</v>
      </c>
      <c r="G624" s="112" t="s">
        <v>296</v>
      </c>
      <c r="H624" s="112" t="s">
        <v>301</v>
      </c>
      <c r="I624" s="114" t="s">
        <v>301</v>
      </c>
      <c r="J624" s="112" t="str">
        <f t="shared" si="10"/>
        <v>Sixtwotwo</v>
      </c>
      <c r="K624" s="112" t="s">
        <v>1026</v>
      </c>
    </row>
    <row r="625" spans="6:11" ht="17.5" x14ac:dyDescent="0.35">
      <c r="F625" s="112">
        <v>623</v>
      </c>
      <c r="G625" s="112" t="s">
        <v>296</v>
      </c>
      <c r="H625" s="112" t="s">
        <v>301</v>
      </c>
      <c r="I625" s="114" t="s">
        <v>302</v>
      </c>
      <c r="J625" s="112" t="str">
        <f t="shared" si="10"/>
        <v>Sixtwothree</v>
      </c>
      <c r="K625" s="112" t="s">
        <v>1027</v>
      </c>
    </row>
    <row r="626" spans="6:11" ht="17.5" x14ac:dyDescent="0.35">
      <c r="F626" s="112">
        <v>624</v>
      </c>
      <c r="G626" s="112" t="s">
        <v>296</v>
      </c>
      <c r="H626" s="112" t="s">
        <v>301</v>
      </c>
      <c r="I626" s="115" t="s">
        <v>303</v>
      </c>
      <c r="J626" s="112" t="str">
        <f t="shared" si="10"/>
        <v>Sixtwofour</v>
      </c>
      <c r="K626" s="112" t="s">
        <v>1028</v>
      </c>
    </row>
    <row r="627" spans="6:11" ht="17.5" x14ac:dyDescent="0.35">
      <c r="F627" s="112">
        <v>625</v>
      </c>
      <c r="G627" s="112" t="s">
        <v>296</v>
      </c>
      <c r="H627" s="112" t="s">
        <v>301</v>
      </c>
      <c r="I627" s="115" t="s">
        <v>304</v>
      </c>
      <c r="J627" s="112" t="str">
        <f t="shared" si="10"/>
        <v>Sixtwofive</v>
      </c>
      <c r="K627" s="112" t="s">
        <v>1029</v>
      </c>
    </row>
    <row r="628" spans="6:11" ht="17.5" x14ac:dyDescent="0.35">
      <c r="F628" s="112">
        <v>626</v>
      </c>
      <c r="G628" s="112" t="s">
        <v>296</v>
      </c>
      <c r="H628" s="112" t="s">
        <v>301</v>
      </c>
      <c r="I628" s="115" t="s">
        <v>305</v>
      </c>
      <c r="J628" s="112" t="str">
        <f t="shared" si="10"/>
        <v>Sixtwosix</v>
      </c>
      <c r="K628" s="112" t="s">
        <v>1030</v>
      </c>
    </row>
    <row r="629" spans="6:11" ht="17.5" x14ac:dyDescent="0.35">
      <c r="F629" s="112">
        <v>627</v>
      </c>
      <c r="G629" s="112" t="s">
        <v>296</v>
      </c>
      <c r="H629" s="112" t="s">
        <v>301</v>
      </c>
      <c r="I629" s="115" t="s">
        <v>306</v>
      </c>
      <c r="J629" s="112" t="str">
        <f t="shared" si="10"/>
        <v>Sixtwoseven</v>
      </c>
      <c r="K629" s="112" t="s">
        <v>1031</v>
      </c>
    </row>
    <row r="630" spans="6:11" ht="17.5" x14ac:dyDescent="0.35">
      <c r="F630" s="112">
        <v>628</v>
      </c>
      <c r="G630" s="112" t="s">
        <v>296</v>
      </c>
      <c r="H630" s="112" t="s">
        <v>301</v>
      </c>
      <c r="I630" s="115" t="s">
        <v>307</v>
      </c>
      <c r="J630" s="112" t="str">
        <f t="shared" si="10"/>
        <v>Sixtwoeight</v>
      </c>
      <c r="K630" s="112" t="s">
        <v>1032</v>
      </c>
    </row>
    <row r="631" spans="6:11" ht="17.5" x14ac:dyDescent="0.35">
      <c r="F631" s="112">
        <v>629</v>
      </c>
      <c r="G631" s="112" t="s">
        <v>296</v>
      </c>
      <c r="H631" s="112" t="s">
        <v>301</v>
      </c>
      <c r="I631" s="115" t="s">
        <v>308</v>
      </c>
      <c r="J631" s="112" t="str">
        <f t="shared" si="10"/>
        <v>Sixtwonine</v>
      </c>
      <c r="K631" s="112" t="s">
        <v>1033</v>
      </c>
    </row>
    <row r="632" spans="6:11" ht="17.5" x14ac:dyDescent="0.35">
      <c r="F632" s="112">
        <v>630</v>
      </c>
      <c r="G632" s="112" t="s">
        <v>296</v>
      </c>
      <c r="H632" s="112" t="s">
        <v>302</v>
      </c>
      <c r="I632" s="119" t="s">
        <v>422</v>
      </c>
      <c r="J632" s="112" t="str">
        <f t="shared" si="10"/>
        <v>Sixthreezero</v>
      </c>
      <c r="K632" s="112" t="s">
        <v>1034</v>
      </c>
    </row>
    <row r="633" spans="6:11" ht="17.5" x14ac:dyDescent="0.35">
      <c r="F633" s="112">
        <v>631</v>
      </c>
      <c r="G633" s="112" t="s">
        <v>296</v>
      </c>
      <c r="H633" s="112" t="s">
        <v>302</v>
      </c>
      <c r="I633" s="114" t="s">
        <v>300</v>
      </c>
      <c r="J633" s="112" t="str">
        <f t="shared" si="10"/>
        <v>Sixthreeone</v>
      </c>
      <c r="K633" s="112" t="s">
        <v>1035</v>
      </c>
    </row>
    <row r="634" spans="6:11" ht="17.5" x14ac:dyDescent="0.35">
      <c r="F634" s="112">
        <v>632</v>
      </c>
      <c r="G634" s="112" t="s">
        <v>296</v>
      </c>
      <c r="H634" s="112" t="s">
        <v>302</v>
      </c>
      <c r="I634" s="114" t="s">
        <v>301</v>
      </c>
      <c r="J634" s="112" t="str">
        <f t="shared" si="10"/>
        <v>Sixthreetwo</v>
      </c>
      <c r="K634" s="112" t="s">
        <v>1036</v>
      </c>
    </row>
    <row r="635" spans="6:11" ht="17.5" x14ac:dyDescent="0.35">
      <c r="F635" s="112">
        <v>633</v>
      </c>
      <c r="G635" s="112" t="s">
        <v>296</v>
      </c>
      <c r="H635" s="112" t="s">
        <v>302</v>
      </c>
      <c r="I635" s="114" t="s">
        <v>302</v>
      </c>
      <c r="J635" s="112" t="str">
        <f t="shared" si="10"/>
        <v>Sixthreethree</v>
      </c>
      <c r="K635" s="112" t="s">
        <v>1037</v>
      </c>
    </row>
    <row r="636" spans="6:11" ht="17.5" x14ac:dyDescent="0.35">
      <c r="F636" s="112">
        <v>634</v>
      </c>
      <c r="G636" s="112" t="s">
        <v>296</v>
      </c>
      <c r="H636" s="112" t="s">
        <v>302</v>
      </c>
      <c r="I636" s="115" t="s">
        <v>303</v>
      </c>
      <c r="J636" s="112" t="str">
        <f t="shared" si="10"/>
        <v>Sixthreefour</v>
      </c>
      <c r="K636" s="112" t="s">
        <v>1038</v>
      </c>
    </row>
    <row r="637" spans="6:11" ht="17.5" x14ac:dyDescent="0.35">
      <c r="F637" s="112">
        <v>635</v>
      </c>
      <c r="G637" s="112" t="s">
        <v>296</v>
      </c>
      <c r="H637" s="112" t="s">
        <v>302</v>
      </c>
      <c r="I637" s="115" t="s">
        <v>304</v>
      </c>
      <c r="J637" s="112" t="str">
        <f t="shared" si="10"/>
        <v>Sixthreefive</v>
      </c>
      <c r="K637" s="112" t="s">
        <v>1039</v>
      </c>
    </row>
    <row r="638" spans="6:11" ht="17.5" x14ac:dyDescent="0.35">
      <c r="F638" s="112">
        <v>636</v>
      </c>
      <c r="G638" s="112" t="s">
        <v>296</v>
      </c>
      <c r="H638" s="112" t="s">
        <v>302</v>
      </c>
      <c r="I638" s="115" t="s">
        <v>305</v>
      </c>
      <c r="J638" s="112" t="str">
        <f t="shared" si="10"/>
        <v>Sixthreesix</v>
      </c>
      <c r="K638" s="112" t="s">
        <v>1040</v>
      </c>
    </row>
    <row r="639" spans="6:11" ht="17.5" x14ac:dyDescent="0.35">
      <c r="F639" s="112">
        <v>637</v>
      </c>
      <c r="G639" s="112" t="s">
        <v>296</v>
      </c>
      <c r="H639" s="112" t="s">
        <v>302</v>
      </c>
      <c r="I639" s="115" t="s">
        <v>306</v>
      </c>
      <c r="J639" s="112" t="str">
        <f t="shared" si="10"/>
        <v>Sixthreeseven</v>
      </c>
      <c r="K639" s="112" t="s">
        <v>1041</v>
      </c>
    </row>
    <row r="640" spans="6:11" ht="17.5" x14ac:dyDescent="0.35">
      <c r="F640" s="112">
        <v>638</v>
      </c>
      <c r="G640" s="112" t="s">
        <v>296</v>
      </c>
      <c r="H640" s="112" t="s">
        <v>302</v>
      </c>
      <c r="I640" s="115" t="s">
        <v>307</v>
      </c>
      <c r="J640" s="112" t="str">
        <f t="shared" si="10"/>
        <v>Sixthreeeight</v>
      </c>
      <c r="K640" s="112" t="s">
        <v>1042</v>
      </c>
    </row>
    <row r="641" spans="6:11" ht="17.5" x14ac:dyDescent="0.35">
      <c r="F641" s="112">
        <v>639</v>
      </c>
      <c r="G641" s="112" t="s">
        <v>296</v>
      </c>
      <c r="H641" s="112" t="s">
        <v>302</v>
      </c>
      <c r="I641" s="115" t="s">
        <v>308</v>
      </c>
      <c r="J641" s="112" t="str">
        <f t="shared" si="10"/>
        <v>Sixthreenine</v>
      </c>
      <c r="K641" s="112" t="s">
        <v>1043</v>
      </c>
    </row>
    <row r="642" spans="6:11" ht="17.5" x14ac:dyDescent="0.35">
      <c r="F642" s="112">
        <v>640</v>
      </c>
      <c r="G642" s="112" t="s">
        <v>296</v>
      </c>
      <c r="H642" s="112" t="s">
        <v>303</v>
      </c>
      <c r="I642" s="119" t="s">
        <v>422</v>
      </c>
      <c r="J642" s="112" t="str">
        <f t="shared" si="10"/>
        <v>Sixfourzero</v>
      </c>
      <c r="K642" s="112" t="s">
        <v>1044</v>
      </c>
    </row>
    <row r="643" spans="6:11" ht="17.5" x14ac:dyDescent="0.35">
      <c r="F643" s="112">
        <v>641</v>
      </c>
      <c r="G643" s="112" t="s">
        <v>296</v>
      </c>
      <c r="H643" s="112" t="s">
        <v>303</v>
      </c>
      <c r="I643" s="114" t="s">
        <v>300</v>
      </c>
      <c r="J643" s="112" t="str">
        <f t="shared" si="10"/>
        <v>Sixfourone</v>
      </c>
      <c r="K643" s="112" t="s">
        <v>1045</v>
      </c>
    </row>
    <row r="644" spans="6:11" ht="17.5" x14ac:dyDescent="0.35">
      <c r="F644" s="112">
        <v>642</v>
      </c>
      <c r="G644" s="112" t="s">
        <v>296</v>
      </c>
      <c r="H644" s="112" t="s">
        <v>303</v>
      </c>
      <c r="I644" s="114" t="s">
        <v>301</v>
      </c>
      <c r="J644" s="112" t="str">
        <f t="shared" si="10"/>
        <v>Sixfourtwo</v>
      </c>
      <c r="K644" s="112" t="s">
        <v>1046</v>
      </c>
    </row>
    <row r="645" spans="6:11" ht="17.5" x14ac:dyDescent="0.35">
      <c r="F645" s="112">
        <v>643</v>
      </c>
      <c r="G645" s="112" t="s">
        <v>296</v>
      </c>
      <c r="H645" s="112" t="s">
        <v>303</v>
      </c>
      <c r="I645" s="114" t="s">
        <v>302</v>
      </c>
      <c r="J645" s="112" t="str">
        <f t="shared" si="10"/>
        <v>Sixfourthree</v>
      </c>
      <c r="K645" s="112" t="s">
        <v>1047</v>
      </c>
    </row>
    <row r="646" spans="6:11" ht="17.5" x14ac:dyDescent="0.35">
      <c r="F646" s="112">
        <v>644</v>
      </c>
      <c r="G646" s="112" t="s">
        <v>296</v>
      </c>
      <c r="H646" s="112" t="s">
        <v>303</v>
      </c>
      <c r="I646" s="115" t="s">
        <v>303</v>
      </c>
      <c r="J646" s="112" t="str">
        <f t="shared" si="10"/>
        <v>Sixfourfour</v>
      </c>
      <c r="K646" s="112" t="s">
        <v>1048</v>
      </c>
    </row>
    <row r="647" spans="6:11" ht="17.5" x14ac:dyDescent="0.35">
      <c r="F647" s="112">
        <v>645</v>
      </c>
      <c r="G647" s="112" t="s">
        <v>296</v>
      </c>
      <c r="H647" s="112" t="s">
        <v>303</v>
      </c>
      <c r="I647" s="115" t="s">
        <v>304</v>
      </c>
      <c r="J647" s="112" t="str">
        <f t="shared" si="10"/>
        <v>Sixfourfive</v>
      </c>
      <c r="K647" s="112" t="s">
        <v>1049</v>
      </c>
    </row>
    <row r="648" spans="6:11" ht="17.5" x14ac:dyDescent="0.35">
      <c r="F648" s="112">
        <v>646</v>
      </c>
      <c r="G648" s="112" t="s">
        <v>296</v>
      </c>
      <c r="H648" s="112" t="s">
        <v>303</v>
      </c>
      <c r="I648" s="115" t="s">
        <v>305</v>
      </c>
      <c r="J648" s="112" t="str">
        <f t="shared" si="10"/>
        <v>Sixfoursix</v>
      </c>
      <c r="K648" s="112" t="s">
        <v>1050</v>
      </c>
    </row>
    <row r="649" spans="6:11" ht="17.5" x14ac:dyDescent="0.35">
      <c r="F649" s="112">
        <v>647</v>
      </c>
      <c r="G649" s="112" t="s">
        <v>296</v>
      </c>
      <c r="H649" s="112" t="s">
        <v>303</v>
      </c>
      <c r="I649" s="115" t="s">
        <v>306</v>
      </c>
      <c r="J649" s="112" t="str">
        <f t="shared" si="10"/>
        <v>Sixfourseven</v>
      </c>
      <c r="K649" s="112" t="s">
        <v>1051</v>
      </c>
    </row>
    <row r="650" spans="6:11" ht="17.5" x14ac:dyDescent="0.35">
      <c r="F650" s="112">
        <v>648</v>
      </c>
      <c r="G650" s="112" t="s">
        <v>296</v>
      </c>
      <c r="H650" s="112" t="s">
        <v>303</v>
      </c>
      <c r="I650" s="115" t="s">
        <v>307</v>
      </c>
      <c r="J650" s="112" t="str">
        <f t="shared" si="10"/>
        <v>Sixfoureight</v>
      </c>
      <c r="K650" s="112" t="s">
        <v>1052</v>
      </c>
    </row>
    <row r="651" spans="6:11" ht="17.5" x14ac:dyDescent="0.35">
      <c r="F651" s="112">
        <v>649</v>
      </c>
      <c r="G651" s="112" t="s">
        <v>296</v>
      </c>
      <c r="H651" s="112" t="s">
        <v>303</v>
      </c>
      <c r="I651" s="115" t="s">
        <v>308</v>
      </c>
      <c r="J651" s="112" t="str">
        <f t="shared" si="10"/>
        <v>Sixfournine</v>
      </c>
      <c r="K651" s="112" t="s">
        <v>1053</v>
      </c>
    </row>
    <row r="652" spans="6:11" x14ac:dyDescent="0.35">
      <c r="F652" s="112">
        <v>650</v>
      </c>
      <c r="G652" s="112" t="s">
        <v>296</v>
      </c>
      <c r="H652" s="112" t="s">
        <v>304</v>
      </c>
      <c r="I652" s="112" t="s">
        <v>422</v>
      </c>
      <c r="J652" s="112" t="str">
        <f t="shared" si="10"/>
        <v>Sixfivezero</v>
      </c>
      <c r="K652" s="112" t="s">
        <v>1054</v>
      </c>
    </row>
    <row r="653" spans="6:11" ht="17.5" x14ac:dyDescent="0.35">
      <c r="F653" s="112">
        <v>651</v>
      </c>
      <c r="G653" s="112" t="s">
        <v>296</v>
      </c>
      <c r="H653" s="112" t="s">
        <v>304</v>
      </c>
      <c r="I653" s="114" t="s">
        <v>300</v>
      </c>
      <c r="J653" s="112" t="str">
        <f t="shared" si="10"/>
        <v>Sixfiveone</v>
      </c>
      <c r="K653" s="112" t="s">
        <v>1055</v>
      </c>
    </row>
    <row r="654" spans="6:11" ht="17.5" x14ac:dyDescent="0.35">
      <c r="F654" s="112">
        <v>652</v>
      </c>
      <c r="G654" s="112" t="s">
        <v>296</v>
      </c>
      <c r="H654" s="112" t="s">
        <v>304</v>
      </c>
      <c r="I654" s="114" t="s">
        <v>301</v>
      </c>
      <c r="J654" s="112" t="str">
        <f t="shared" si="10"/>
        <v>Sixfivetwo</v>
      </c>
      <c r="K654" s="112" t="s">
        <v>1056</v>
      </c>
    </row>
    <row r="655" spans="6:11" ht="17.5" x14ac:dyDescent="0.35">
      <c r="F655" s="112">
        <v>653</v>
      </c>
      <c r="G655" s="112" t="s">
        <v>296</v>
      </c>
      <c r="H655" s="112" t="s">
        <v>304</v>
      </c>
      <c r="I655" s="114" t="s">
        <v>302</v>
      </c>
      <c r="J655" s="112" t="str">
        <f t="shared" si="10"/>
        <v>Sixfivethree</v>
      </c>
      <c r="K655" s="112" t="s">
        <v>1057</v>
      </c>
    </row>
    <row r="656" spans="6:11" ht="17.5" x14ac:dyDescent="0.35">
      <c r="F656" s="112">
        <v>654</v>
      </c>
      <c r="G656" s="112" t="s">
        <v>296</v>
      </c>
      <c r="H656" s="112" t="s">
        <v>304</v>
      </c>
      <c r="I656" s="115" t="s">
        <v>303</v>
      </c>
      <c r="J656" s="112" t="str">
        <f t="shared" si="10"/>
        <v>Sixfivefour</v>
      </c>
      <c r="K656" s="112" t="s">
        <v>1058</v>
      </c>
    </row>
    <row r="657" spans="6:11" ht="17.5" x14ac:dyDescent="0.35">
      <c r="F657" s="112">
        <v>655</v>
      </c>
      <c r="G657" s="112" t="s">
        <v>296</v>
      </c>
      <c r="H657" s="112" t="s">
        <v>304</v>
      </c>
      <c r="I657" s="115" t="s">
        <v>304</v>
      </c>
      <c r="J657" s="112" t="str">
        <f t="shared" si="10"/>
        <v>Sixfivefive</v>
      </c>
      <c r="K657" s="112" t="s">
        <v>1059</v>
      </c>
    </row>
    <row r="658" spans="6:11" ht="17.5" x14ac:dyDescent="0.35">
      <c r="F658" s="112">
        <v>656</v>
      </c>
      <c r="G658" s="112" t="s">
        <v>296</v>
      </c>
      <c r="H658" s="112" t="s">
        <v>304</v>
      </c>
      <c r="I658" s="115" t="s">
        <v>305</v>
      </c>
      <c r="J658" s="112" t="str">
        <f t="shared" si="10"/>
        <v>Sixfivesix</v>
      </c>
      <c r="K658" s="112" t="s">
        <v>1060</v>
      </c>
    </row>
    <row r="659" spans="6:11" ht="17.5" x14ac:dyDescent="0.35">
      <c r="F659" s="112">
        <v>657</v>
      </c>
      <c r="G659" s="112" t="s">
        <v>296</v>
      </c>
      <c r="H659" s="112" t="s">
        <v>304</v>
      </c>
      <c r="I659" s="115" t="s">
        <v>306</v>
      </c>
      <c r="J659" s="112" t="str">
        <f t="shared" si="10"/>
        <v>Sixfiveseven</v>
      </c>
      <c r="K659" s="112" t="s">
        <v>1061</v>
      </c>
    </row>
    <row r="660" spans="6:11" ht="17.5" x14ac:dyDescent="0.35">
      <c r="F660" s="112">
        <v>658</v>
      </c>
      <c r="G660" s="112" t="s">
        <v>296</v>
      </c>
      <c r="H660" s="112" t="s">
        <v>304</v>
      </c>
      <c r="I660" s="115" t="s">
        <v>307</v>
      </c>
      <c r="J660" s="112" t="str">
        <f t="shared" si="10"/>
        <v>Sixfiveeight</v>
      </c>
      <c r="K660" s="112" t="s">
        <v>1062</v>
      </c>
    </row>
    <row r="661" spans="6:11" ht="17.5" x14ac:dyDescent="0.35">
      <c r="F661" s="112">
        <v>659</v>
      </c>
      <c r="G661" s="112" t="s">
        <v>296</v>
      </c>
      <c r="H661" s="112" t="s">
        <v>304</v>
      </c>
      <c r="I661" s="115" t="s">
        <v>308</v>
      </c>
      <c r="J661" s="112" t="str">
        <f t="shared" si="10"/>
        <v>Sixfivenine</v>
      </c>
      <c r="K661" s="112" t="s">
        <v>1063</v>
      </c>
    </row>
    <row r="662" spans="6:11" x14ac:dyDescent="0.35">
      <c r="F662" s="112">
        <v>660</v>
      </c>
      <c r="G662" s="112" t="s">
        <v>296</v>
      </c>
      <c r="H662" s="112" t="s">
        <v>305</v>
      </c>
      <c r="I662" s="112" t="s">
        <v>422</v>
      </c>
      <c r="J662" s="112" t="str">
        <f t="shared" si="10"/>
        <v>Sixsixzero</v>
      </c>
      <c r="K662" s="112" t="s">
        <v>1064</v>
      </c>
    </row>
    <row r="663" spans="6:11" ht="17.5" x14ac:dyDescent="0.35">
      <c r="F663" s="112">
        <v>661</v>
      </c>
      <c r="G663" s="112" t="s">
        <v>296</v>
      </c>
      <c r="H663" s="112" t="s">
        <v>305</v>
      </c>
      <c r="I663" s="114" t="s">
        <v>300</v>
      </c>
      <c r="J663" s="112" t="str">
        <f t="shared" si="10"/>
        <v>Sixsixone</v>
      </c>
      <c r="K663" s="112" t="s">
        <v>1065</v>
      </c>
    </row>
    <row r="664" spans="6:11" ht="17.5" x14ac:dyDescent="0.35">
      <c r="F664" s="112">
        <v>662</v>
      </c>
      <c r="G664" s="112" t="s">
        <v>296</v>
      </c>
      <c r="H664" s="112" t="s">
        <v>305</v>
      </c>
      <c r="I664" s="114" t="s">
        <v>301</v>
      </c>
      <c r="J664" s="112" t="str">
        <f t="shared" si="10"/>
        <v>Sixsixtwo</v>
      </c>
      <c r="K664" s="112" t="s">
        <v>1066</v>
      </c>
    </row>
    <row r="665" spans="6:11" ht="17.5" x14ac:dyDescent="0.35">
      <c r="F665" s="112">
        <v>663</v>
      </c>
      <c r="G665" s="112" t="s">
        <v>296</v>
      </c>
      <c r="H665" s="112" t="s">
        <v>305</v>
      </c>
      <c r="I665" s="114" t="s">
        <v>302</v>
      </c>
      <c r="J665" s="112" t="str">
        <f t="shared" si="10"/>
        <v>Sixsixthree</v>
      </c>
      <c r="K665" s="112" t="s">
        <v>1067</v>
      </c>
    </row>
    <row r="666" spans="6:11" ht="17.5" x14ac:dyDescent="0.35">
      <c r="F666" s="112">
        <v>664</v>
      </c>
      <c r="G666" s="112" t="s">
        <v>296</v>
      </c>
      <c r="H666" s="112" t="s">
        <v>305</v>
      </c>
      <c r="I666" s="115" t="s">
        <v>303</v>
      </c>
      <c r="J666" s="112" t="str">
        <f t="shared" si="10"/>
        <v>Sixsixfour</v>
      </c>
      <c r="K666" s="112" t="s">
        <v>1068</v>
      </c>
    </row>
    <row r="667" spans="6:11" ht="17.5" x14ac:dyDescent="0.35">
      <c r="F667" s="112">
        <v>665</v>
      </c>
      <c r="G667" s="112" t="s">
        <v>296</v>
      </c>
      <c r="H667" s="112" t="s">
        <v>305</v>
      </c>
      <c r="I667" s="115" t="s">
        <v>304</v>
      </c>
      <c r="J667" s="112" t="str">
        <f t="shared" si="10"/>
        <v>Sixsixfive</v>
      </c>
      <c r="K667" s="112" t="s">
        <v>1069</v>
      </c>
    </row>
    <row r="668" spans="6:11" ht="17.5" x14ac:dyDescent="0.35">
      <c r="F668" s="112">
        <v>666</v>
      </c>
      <c r="G668" s="112" t="s">
        <v>296</v>
      </c>
      <c r="H668" s="112" t="s">
        <v>305</v>
      </c>
      <c r="I668" s="115" t="s">
        <v>305</v>
      </c>
      <c r="J668" s="112" t="str">
        <f t="shared" si="10"/>
        <v>Sixsixsix</v>
      </c>
      <c r="K668" s="112" t="s">
        <v>1070</v>
      </c>
    </row>
    <row r="669" spans="6:11" ht="17.5" x14ac:dyDescent="0.35">
      <c r="F669" s="112">
        <v>667</v>
      </c>
      <c r="G669" s="112" t="s">
        <v>296</v>
      </c>
      <c r="H669" s="112" t="s">
        <v>305</v>
      </c>
      <c r="I669" s="115" t="s">
        <v>306</v>
      </c>
      <c r="J669" s="112" t="str">
        <f t="shared" si="10"/>
        <v>Sixsixseven</v>
      </c>
      <c r="K669" s="112" t="s">
        <v>1071</v>
      </c>
    </row>
    <row r="670" spans="6:11" ht="17.5" x14ac:dyDescent="0.35">
      <c r="F670" s="112">
        <v>668</v>
      </c>
      <c r="G670" s="112" t="s">
        <v>296</v>
      </c>
      <c r="H670" s="112" t="s">
        <v>305</v>
      </c>
      <c r="I670" s="115" t="s">
        <v>307</v>
      </c>
      <c r="J670" s="112" t="str">
        <f t="shared" si="10"/>
        <v>Sixsixeight</v>
      </c>
      <c r="K670" s="112" t="s">
        <v>1072</v>
      </c>
    </row>
    <row r="671" spans="6:11" ht="17.5" x14ac:dyDescent="0.35">
      <c r="F671" s="112">
        <v>669</v>
      </c>
      <c r="G671" s="112" t="s">
        <v>296</v>
      </c>
      <c r="H671" s="112" t="s">
        <v>305</v>
      </c>
      <c r="I671" s="115" t="s">
        <v>308</v>
      </c>
      <c r="J671" s="112" t="str">
        <f t="shared" si="10"/>
        <v>Sixsixnine</v>
      </c>
      <c r="K671" s="112" t="s">
        <v>1073</v>
      </c>
    </row>
    <row r="672" spans="6:11" ht="17.5" x14ac:dyDescent="0.35">
      <c r="F672" s="112">
        <v>670</v>
      </c>
      <c r="G672" s="112" t="s">
        <v>296</v>
      </c>
      <c r="H672" s="112" t="s">
        <v>306</v>
      </c>
      <c r="I672" s="119" t="s">
        <v>422</v>
      </c>
      <c r="J672" s="112" t="str">
        <f t="shared" si="10"/>
        <v>Sixsevenzero</v>
      </c>
      <c r="K672" s="112" t="s">
        <v>1074</v>
      </c>
    </row>
    <row r="673" spans="6:11" ht="17.5" x14ac:dyDescent="0.35">
      <c r="F673" s="112">
        <v>671</v>
      </c>
      <c r="G673" s="112" t="s">
        <v>296</v>
      </c>
      <c r="H673" s="112" t="s">
        <v>306</v>
      </c>
      <c r="I673" s="114" t="s">
        <v>300</v>
      </c>
      <c r="J673" s="112" t="str">
        <f t="shared" si="10"/>
        <v>Sixsevenone</v>
      </c>
      <c r="K673" s="112" t="s">
        <v>1075</v>
      </c>
    </row>
    <row r="674" spans="6:11" ht="17.5" x14ac:dyDescent="0.35">
      <c r="F674" s="112">
        <v>672</v>
      </c>
      <c r="G674" s="112" t="s">
        <v>296</v>
      </c>
      <c r="H674" s="112" t="s">
        <v>306</v>
      </c>
      <c r="I674" s="114" t="s">
        <v>301</v>
      </c>
      <c r="J674" s="112" t="str">
        <f t="shared" si="10"/>
        <v>Sixseventwo</v>
      </c>
      <c r="K674" s="112" t="s">
        <v>1076</v>
      </c>
    </row>
    <row r="675" spans="6:11" ht="17.5" x14ac:dyDescent="0.35">
      <c r="F675" s="112">
        <v>673</v>
      </c>
      <c r="G675" s="112" t="s">
        <v>296</v>
      </c>
      <c r="H675" s="112" t="s">
        <v>306</v>
      </c>
      <c r="I675" s="114" t="s">
        <v>302</v>
      </c>
      <c r="J675" s="112" t="str">
        <f t="shared" si="10"/>
        <v>Sixseventhree</v>
      </c>
      <c r="K675" s="112" t="s">
        <v>1077</v>
      </c>
    </row>
    <row r="676" spans="6:11" ht="17.5" x14ac:dyDescent="0.35">
      <c r="F676" s="112">
        <v>674</v>
      </c>
      <c r="G676" s="112" t="s">
        <v>296</v>
      </c>
      <c r="H676" s="112" t="s">
        <v>306</v>
      </c>
      <c r="I676" s="115" t="s">
        <v>303</v>
      </c>
      <c r="J676" s="112" t="str">
        <f t="shared" si="10"/>
        <v>Sixsevenfour</v>
      </c>
      <c r="K676" s="112" t="s">
        <v>1078</v>
      </c>
    </row>
    <row r="677" spans="6:11" ht="17.5" x14ac:dyDescent="0.35">
      <c r="F677" s="112">
        <v>675</v>
      </c>
      <c r="G677" s="112" t="s">
        <v>296</v>
      </c>
      <c r="H677" s="112" t="s">
        <v>306</v>
      </c>
      <c r="I677" s="115" t="s">
        <v>304</v>
      </c>
      <c r="J677" s="112" t="str">
        <f t="shared" si="10"/>
        <v>Sixsevenfive</v>
      </c>
      <c r="K677" s="112" t="s">
        <v>1079</v>
      </c>
    </row>
    <row r="678" spans="6:11" ht="17.5" x14ac:dyDescent="0.35">
      <c r="F678" s="112">
        <v>676</v>
      </c>
      <c r="G678" s="112" t="s">
        <v>296</v>
      </c>
      <c r="H678" s="112" t="s">
        <v>306</v>
      </c>
      <c r="I678" s="115" t="s">
        <v>305</v>
      </c>
      <c r="J678" s="112" t="str">
        <f t="shared" ref="J678:J741" si="11">G678&amp;H678&amp;I678</f>
        <v>Sixsevensix</v>
      </c>
      <c r="K678" s="112" t="s">
        <v>1080</v>
      </c>
    </row>
    <row r="679" spans="6:11" ht="17.5" x14ac:dyDescent="0.35">
      <c r="F679" s="112">
        <v>677</v>
      </c>
      <c r="G679" s="112" t="s">
        <v>296</v>
      </c>
      <c r="H679" s="112" t="s">
        <v>306</v>
      </c>
      <c r="I679" s="115" t="s">
        <v>306</v>
      </c>
      <c r="J679" s="112" t="str">
        <f t="shared" si="11"/>
        <v>Sixsevenseven</v>
      </c>
      <c r="K679" s="112" t="s">
        <v>1081</v>
      </c>
    </row>
    <row r="680" spans="6:11" ht="17.5" x14ac:dyDescent="0.35">
      <c r="F680" s="112">
        <v>678</v>
      </c>
      <c r="G680" s="112" t="s">
        <v>296</v>
      </c>
      <c r="H680" s="112" t="s">
        <v>306</v>
      </c>
      <c r="I680" s="115" t="s">
        <v>307</v>
      </c>
      <c r="J680" s="112" t="str">
        <f t="shared" si="11"/>
        <v>Sixseveneight</v>
      </c>
      <c r="K680" s="112" t="s">
        <v>1082</v>
      </c>
    </row>
    <row r="681" spans="6:11" ht="17.5" x14ac:dyDescent="0.35">
      <c r="F681" s="112">
        <v>679</v>
      </c>
      <c r="G681" s="112" t="s">
        <v>296</v>
      </c>
      <c r="H681" s="112" t="s">
        <v>306</v>
      </c>
      <c r="I681" s="115" t="s">
        <v>308</v>
      </c>
      <c r="J681" s="112" t="str">
        <f t="shared" si="11"/>
        <v>Sixsevennine</v>
      </c>
      <c r="K681" s="112" t="s">
        <v>1083</v>
      </c>
    </row>
    <row r="682" spans="6:11" ht="17.5" x14ac:dyDescent="0.35">
      <c r="F682" s="112">
        <v>680</v>
      </c>
      <c r="G682" s="112" t="s">
        <v>296</v>
      </c>
      <c r="H682" s="112" t="s">
        <v>307</v>
      </c>
      <c r="I682" s="119" t="s">
        <v>422</v>
      </c>
      <c r="J682" s="112" t="str">
        <f t="shared" si="11"/>
        <v>Sixeightzero</v>
      </c>
      <c r="K682" s="112" t="s">
        <v>1084</v>
      </c>
    </row>
    <row r="683" spans="6:11" ht="17.5" x14ac:dyDescent="0.35">
      <c r="F683" s="112">
        <v>681</v>
      </c>
      <c r="G683" s="112" t="s">
        <v>296</v>
      </c>
      <c r="H683" s="112" t="s">
        <v>307</v>
      </c>
      <c r="I683" s="114" t="s">
        <v>300</v>
      </c>
      <c r="J683" s="112" t="str">
        <f t="shared" si="11"/>
        <v>Sixeightone</v>
      </c>
      <c r="K683" s="112" t="s">
        <v>1085</v>
      </c>
    </row>
    <row r="684" spans="6:11" ht="17.5" x14ac:dyDescent="0.35">
      <c r="F684" s="112">
        <v>682</v>
      </c>
      <c r="G684" s="112" t="s">
        <v>296</v>
      </c>
      <c r="H684" s="112" t="s">
        <v>307</v>
      </c>
      <c r="I684" s="114" t="s">
        <v>301</v>
      </c>
      <c r="J684" s="112" t="str">
        <f t="shared" si="11"/>
        <v>Sixeighttwo</v>
      </c>
      <c r="K684" s="112" t="s">
        <v>1086</v>
      </c>
    </row>
    <row r="685" spans="6:11" ht="17.5" x14ac:dyDescent="0.35">
      <c r="F685" s="112">
        <v>683</v>
      </c>
      <c r="G685" s="112" t="s">
        <v>296</v>
      </c>
      <c r="H685" s="112" t="s">
        <v>307</v>
      </c>
      <c r="I685" s="114" t="s">
        <v>302</v>
      </c>
      <c r="J685" s="112" t="str">
        <f t="shared" si="11"/>
        <v>Sixeightthree</v>
      </c>
      <c r="K685" s="112" t="s">
        <v>1087</v>
      </c>
    </row>
    <row r="686" spans="6:11" ht="17.5" x14ac:dyDescent="0.35">
      <c r="F686" s="112">
        <v>684</v>
      </c>
      <c r="G686" s="112" t="s">
        <v>296</v>
      </c>
      <c r="H686" s="112" t="s">
        <v>307</v>
      </c>
      <c r="I686" s="115" t="s">
        <v>303</v>
      </c>
      <c r="J686" s="112" t="str">
        <f t="shared" si="11"/>
        <v>Sixeightfour</v>
      </c>
      <c r="K686" s="112" t="s">
        <v>1088</v>
      </c>
    </row>
    <row r="687" spans="6:11" ht="17.5" x14ac:dyDescent="0.35">
      <c r="F687" s="112">
        <v>685</v>
      </c>
      <c r="G687" s="112" t="s">
        <v>296</v>
      </c>
      <c r="H687" s="112" t="s">
        <v>307</v>
      </c>
      <c r="I687" s="115" t="s">
        <v>304</v>
      </c>
      <c r="J687" s="112" t="str">
        <f t="shared" si="11"/>
        <v>Sixeightfive</v>
      </c>
      <c r="K687" s="112" t="s">
        <v>1089</v>
      </c>
    </row>
    <row r="688" spans="6:11" ht="17.5" x14ac:dyDescent="0.35">
      <c r="F688" s="112">
        <v>686</v>
      </c>
      <c r="G688" s="112" t="s">
        <v>296</v>
      </c>
      <c r="H688" s="112" t="s">
        <v>307</v>
      </c>
      <c r="I688" s="115" t="s">
        <v>305</v>
      </c>
      <c r="J688" s="112" t="str">
        <f t="shared" si="11"/>
        <v>Sixeightsix</v>
      </c>
      <c r="K688" s="112" t="s">
        <v>1090</v>
      </c>
    </row>
    <row r="689" spans="6:11" ht="17.5" x14ac:dyDescent="0.35">
      <c r="F689" s="112">
        <v>687</v>
      </c>
      <c r="G689" s="112" t="s">
        <v>296</v>
      </c>
      <c r="H689" s="112" t="s">
        <v>307</v>
      </c>
      <c r="I689" s="115" t="s">
        <v>306</v>
      </c>
      <c r="J689" s="112" t="str">
        <f t="shared" si="11"/>
        <v>Sixeightseven</v>
      </c>
      <c r="K689" s="112" t="s">
        <v>1091</v>
      </c>
    </row>
    <row r="690" spans="6:11" ht="17.5" x14ac:dyDescent="0.35">
      <c r="F690" s="112">
        <v>688</v>
      </c>
      <c r="G690" s="112" t="s">
        <v>296</v>
      </c>
      <c r="H690" s="112" t="s">
        <v>307</v>
      </c>
      <c r="I690" s="115" t="s">
        <v>307</v>
      </c>
      <c r="J690" s="112" t="str">
        <f t="shared" si="11"/>
        <v>Sixeighteight</v>
      </c>
      <c r="K690" s="112" t="s">
        <v>1092</v>
      </c>
    </row>
    <row r="691" spans="6:11" ht="17.5" x14ac:dyDescent="0.35">
      <c r="F691" s="112">
        <v>689</v>
      </c>
      <c r="G691" s="112" t="s">
        <v>296</v>
      </c>
      <c r="H691" s="112" t="s">
        <v>307</v>
      </c>
      <c r="I691" s="115" t="s">
        <v>308</v>
      </c>
      <c r="J691" s="112" t="str">
        <f t="shared" si="11"/>
        <v>Sixeightnine</v>
      </c>
      <c r="K691" s="112" t="s">
        <v>1093</v>
      </c>
    </row>
    <row r="692" spans="6:11" x14ac:dyDescent="0.35">
      <c r="F692" s="112">
        <v>690</v>
      </c>
      <c r="G692" s="112" t="s">
        <v>296</v>
      </c>
      <c r="H692" s="112" t="s">
        <v>308</v>
      </c>
      <c r="I692" s="112" t="s">
        <v>422</v>
      </c>
      <c r="J692" s="112" t="str">
        <f t="shared" si="11"/>
        <v>Sixninezero</v>
      </c>
      <c r="K692" s="112" t="s">
        <v>1094</v>
      </c>
    </row>
    <row r="693" spans="6:11" ht="17.5" x14ac:dyDescent="0.35">
      <c r="F693" s="112">
        <v>691</v>
      </c>
      <c r="G693" s="112" t="s">
        <v>296</v>
      </c>
      <c r="H693" s="112" t="s">
        <v>308</v>
      </c>
      <c r="I693" s="114" t="s">
        <v>300</v>
      </c>
      <c r="J693" s="112" t="str">
        <f t="shared" si="11"/>
        <v>Sixnineone</v>
      </c>
      <c r="K693" s="112" t="s">
        <v>1095</v>
      </c>
    </row>
    <row r="694" spans="6:11" ht="17.5" x14ac:dyDescent="0.35">
      <c r="F694" s="112">
        <v>692</v>
      </c>
      <c r="G694" s="112" t="s">
        <v>296</v>
      </c>
      <c r="H694" s="112" t="s">
        <v>308</v>
      </c>
      <c r="I694" s="114" t="s">
        <v>301</v>
      </c>
      <c r="J694" s="112" t="str">
        <f t="shared" si="11"/>
        <v>Sixninetwo</v>
      </c>
      <c r="K694" s="112" t="s">
        <v>1096</v>
      </c>
    </row>
    <row r="695" spans="6:11" ht="17.5" x14ac:dyDescent="0.35">
      <c r="F695" s="112">
        <v>693</v>
      </c>
      <c r="G695" s="112" t="s">
        <v>296</v>
      </c>
      <c r="H695" s="112" t="s">
        <v>308</v>
      </c>
      <c r="I695" s="114" t="s">
        <v>302</v>
      </c>
      <c r="J695" s="112" t="str">
        <f t="shared" si="11"/>
        <v>Sixninethree</v>
      </c>
      <c r="K695" s="112" t="s">
        <v>1097</v>
      </c>
    </row>
    <row r="696" spans="6:11" ht="17.5" x14ac:dyDescent="0.35">
      <c r="F696" s="112">
        <v>694</v>
      </c>
      <c r="G696" s="112" t="s">
        <v>296</v>
      </c>
      <c r="H696" s="112" t="s">
        <v>308</v>
      </c>
      <c r="I696" s="115" t="s">
        <v>303</v>
      </c>
      <c r="J696" s="112" t="str">
        <f t="shared" si="11"/>
        <v>Sixninefour</v>
      </c>
      <c r="K696" s="112" t="s">
        <v>1098</v>
      </c>
    </row>
    <row r="697" spans="6:11" ht="17.5" x14ac:dyDescent="0.35">
      <c r="F697" s="112">
        <v>695</v>
      </c>
      <c r="G697" s="112" t="s">
        <v>296</v>
      </c>
      <c r="H697" s="112" t="s">
        <v>308</v>
      </c>
      <c r="I697" s="115" t="s">
        <v>304</v>
      </c>
      <c r="J697" s="112" t="str">
        <f t="shared" si="11"/>
        <v>Sixninefive</v>
      </c>
      <c r="K697" s="112" t="s">
        <v>1099</v>
      </c>
    </row>
    <row r="698" spans="6:11" ht="17.5" x14ac:dyDescent="0.35">
      <c r="F698" s="112">
        <v>696</v>
      </c>
      <c r="G698" s="112" t="s">
        <v>296</v>
      </c>
      <c r="H698" s="112" t="s">
        <v>308</v>
      </c>
      <c r="I698" s="115" t="s">
        <v>305</v>
      </c>
      <c r="J698" s="112" t="str">
        <f t="shared" si="11"/>
        <v>Sixninesix</v>
      </c>
      <c r="K698" s="112" t="s">
        <v>1100</v>
      </c>
    </row>
    <row r="699" spans="6:11" ht="17.5" x14ac:dyDescent="0.35">
      <c r="F699" s="112">
        <v>697</v>
      </c>
      <c r="G699" s="112" t="s">
        <v>296</v>
      </c>
      <c r="H699" s="112" t="s">
        <v>308</v>
      </c>
      <c r="I699" s="115" t="s">
        <v>306</v>
      </c>
      <c r="J699" s="112" t="str">
        <f t="shared" si="11"/>
        <v>Sixnineseven</v>
      </c>
      <c r="K699" s="112" t="s">
        <v>1101</v>
      </c>
    </row>
    <row r="700" spans="6:11" ht="17.5" x14ac:dyDescent="0.35">
      <c r="F700" s="112">
        <v>698</v>
      </c>
      <c r="G700" s="112" t="s">
        <v>296</v>
      </c>
      <c r="H700" s="112" t="s">
        <v>308</v>
      </c>
      <c r="I700" s="115" t="s">
        <v>307</v>
      </c>
      <c r="J700" s="112" t="str">
        <f t="shared" si="11"/>
        <v>Sixnineeight</v>
      </c>
      <c r="K700" s="112" t="s">
        <v>1102</v>
      </c>
    </row>
    <row r="701" spans="6:11" ht="17.5" x14ac:dyDescent="0.35">
      <c r="F701" s="112">
        <v>699</v>
      </c>
      <c r="G701" s="112" t="s">
        <v>296</v>
      </c>
      <c r="H701" s="112" t="s">
        <v>308</v>
      </c>
      <c r="I701" s="115" t="s">
        <v>308</v>
      </c>
      <c r="J701" s="112" t="str">
        <f t="shared" si="11"/>
        <v>Sixninenine</v>
      </c>
      <c r="K701" s="112" t="s">
        <v>1103</v>
      </c>
    </row>
    <row r="702" spans="6:11" x14ac:dyDescent="0.35">
      <c r="F702" s="112">
        <v>700</v>
      </c>
      <c r="G702" s="112" t="s">
        <v>297</v>
      </c>
      <c r="H702" s="112" t="s">
        <v>422</v>
      </c>
      <c r="I702" s="112" t="s">
        <v>422</v>
      </c>
      <c r="J702" s="112" t="str">
        <f t="shared" si="11"/>
        <v>Sevenzerozero</v>
      </c>
      <c r="K702" s="112" t="s">
        <v>1104</v>
      </c>
    </row>
    <row r="703" spans="6:11" ht="17.5" x14ac:dyDescent="0.35">
      <c r="F703" s="112">
        <v>701</v>
      </c>
      <c r="G703" s="112" t="s">
        <v>297</v>
      </c>
      <c r="H703" s="112" t="s">
        <v>422</v>
      </c>
      <c r="I703" s="114" t="s">
        <v>300</v>
      </c>
      <c r="J703" s="112" t="str">
        <f t="shared" si="11"/>
        <v>Sevenzeroone</v>
      </c>
      <c r="K703" s="112" t="s">
        <v>1105</v>
      </c>
    </row>
    <row r="704" spans="6:11" ht="17.5" x14ac:dyDescent="0.35">
      <c r="F704" s="112">
        <v>702</v>
      </c>
      <c r="G704" s="112" t="s">
        <v>297</v>
      </c>
      <c r="H704" s="112" t="s">
        <v>422</v>
      </c>
      <c r="I704" s="114" t="s">
        <v>301</v>
      </c>
      <c r="J704" s="112" t="str">
        <f t="shared" si="11"/>
        <v>Sevenzerotwo</v>
      </c>
      <c r="K704" s="112" t="s">
        <v>1106</v>
      </c>
    </row>
    <row r="705" spans="6:11" ht="17.5" x14ac:dyDescent="0.35">
      <c r="F705" s="112">
        <v>703</v>
      </c>
      <c r="G705" s="112" t="s">
        <v>297</v>
      </c>
      <c r="H705" s="112" t="s">
        <v>422</v>
      </c>
      <c r="I705" s="114" t="s">
        <v>302</v>
      </c>
      <c r="J705" s="112" t="str">
        <f t="shared" si="11"/>
        <v>Sevenzerothree</v>
      </c>
      <c r="K705" s="112" t="s">
        <v>1107</v>
      </c>
    </row>
    <row r="706" spans="6:11" ht="17.5" x14ac:dyDescent="0.35">
      <c r="F706" s="112">
        <v>704</v>
      </c>
      <c r="G706" s="112" t="s">
        <v>297</v>
      </c>
      <c r="H706" s="112" t="s">
        <v>422</v>
      </c>
      <c r="I706" s="115" t="s">
        <v>303</v>
      </c>
      <c r="J706" s="112" t="str">
        <f t="shared" si="11"/>
        <v>Sevenzerofour</v>
      </c>
      <c r="K706" s="112" t="s">
        <v>1108</v>
      </c>
    </row>
    <row r="707" spans="6:11" ht="17.5" x14ac:dyDescent="0.35">
      <c r="F707" s="112">
        <v>705</v>
      </c>
      <c r="G707" s="112" t="s">
        <v>297</v>
      </c>
      <c r="H707" s="112" t="s">
        <v>422</v>
      </c>
      <c r="I707" s="115" t="s">
        <v>304</v>
      </c>
      <c r="J707" s="112" t="str">
        <f t="shared" si="11"/>
        <v>Sevenzerofive</v>
      </c>
      <c r="K707" s="112" t="s">
        <v>1109</v>
      </c>
    </row>
    <row r="708" spans="6:11" ht="17.5" x14ac:dyDescent="0.35">
      <c r="F708" s="112">
        <v>706</v>
      </c>
      <c r="G708" s="112" t="s">
        <v>297</v>
      </c>
      <c r="H708" s="112" t="s">
        <v>422</v>
      </c>
      <c r="I708" s="115" t="s">
        <v>305</v>
      </c>
      <c r="J708" s="112" t="str">
        <f t="shared" si="11"/>
        <v>Sevenzerosix</v>
      </c>
      <c r="K708" s="112" t="s">
        <v>1110</v>
      </c>
    </row>
    <row r="709" spans="6:11" ht="17.5" x14ac:dyDescent="0.35">
      <c r="F709" s="112">
        <v>707</v>
      </c>
      <c r="G709" s="112" t="s">
        <v>297</v>
      </c>
      <c r="H709" s="112" t="s">
        <v>422</v>
      </c>
      <c r="I709" s="115" t="s">
        <v>306</v>
      </c>
      <c r="J709" s="112" t="str">
        <f t="shared" si="11"/>
        <v>Sevenzeroseven</v>
      </c>
      <c r="K709" s="112" t="s">
        <v>1111</v>
      </c>
    </row>
    <row r="710" spans="6:11" ht="17.5" x14ac:dyDescent="0.35">
      <c r="F710" s="112">
        <v>708</v>
      </c>
      <c r="G710" s="112" t="s">
        <v>297</v>
      </c>
      <c r="H710" s="112" t="s">
        <v>422</v>
      </c>
      <c r="I710" s="115" t="s">
        <v>307</v>
      </c>
      <c r="J710" s="112" t="str">
        <f t="shared" si="11"/>
        <v>Sevenzeroeight</v>
      </c>
      <c r="K710" s="112" t="s">
        <v>1112</v>
      </c>
    </row>
    <row r="711" spans="6:11" ht="17.5" x14ac:dyDescent="0.35">
      <c r="F711" s="112">
        <v>709</v>
      </c>
      <c r="G711" s="112" t="s">
        <v>297</v>
      </c>
      <c r="H711" s="112" t="s">
        <v>422</v>
      </c>
      <c r="I711" s="115" t="s">
        <v>308</v>
      </c>
      <c r="J711" s="112" t="str">
        <f t="shared" si="11"/>
        <v>Sevenzeronine</v>
      </c>
      <c r="K711" s="112" t="s">
        <v>1113</v>
      </c>
    </row>
    <row r="712" spans="6:11" ht="17.5" x14ac:dyDescent="0.35">
      <c r="F712" s="112">
        <v>710</v>
      </c>
      <c r="G712" s="112" t="s">
        <v>297</v>
      </c>
      <c r="H712" s="114" t="s">
        <v>300</v>
      </c>
      <c r="I712" s="119" t="s">
        <v>422</v>
      </c>
      <c r="J712" s="112" t="str">
        <f t="shared" si="11"/>
        <v>Sevenonezero</v>
      </c>
      <c r="K712" s="112" t="s">
        <v>1114</v>
      </c>
    </row>
    <row r="713" spans="6:11" ht="17.5" x14ac:dyDescent="0.35">
      <c r="F713" s="112">
        <v>711</v>
      </c>
      <c r="G713" s="112" t="s">
        <v>297</v>
      </c>
      <c r="H713" s="114" t="s">
        <v>300</v>
      </c>
      <c r="I713" s="114" t="s">
        <v>300</v>
      </c>
      <c r="J713" s="112" t="str">
        <f t="shared" si="11"/>
        <v>Sevenoneone</v>
      </c>
      <c r="K713" s="112" t="s">
        <v>1115</v>
      </c>
    </row>
    <row r="714" spans="6:11" ht="17.5" x14ac:dyDescent="0.35">
      <c r="F714" s="112">
        <v>712</v>
      </c>
      <c r="G714" s="112" t="s">
        <v>297</v>
      </c>
      <c r="H714" s="114" t="s">
        <v>300</v>
      </c>
      <c r="I714" s="114" t="s">
        <v>301</v>
      </c>
      <c r="J714" s="112" t="str">
        <f t="shared" si="11"/>
        <v>Sevenonetwo</v>
      </c>
      <c r="K714" s="112" t="s">
        <v>1116</v>
      </c>
    </row>
    <row r="715" spans="6:11" ht="17.5" x14ac:dyDescent="0.35">
      <c r="F715" s="112">
        <v>713</v>
      </c>
      <c r="G715" s="112" t="s">
        <v>297</v>
      </c>
      <c r="H715" s="114" t="s">
        <v>300</v>
      </c>
      <c r="I715" s="114" t="s">
        <v>302</v>
      </c>
      <c r="J715" s="112" t="str">
        <f t="shared" si="11"/>
        <v>Sevenonethree</v>
      </c>
      <c r="K715" s="112" t="s">
        <v>1117</v>
      </c>
    </row>
    <row r="716" spans="6:11" ht="17.5" x14ac:dyDescent="0.35">
      <c r="F716" s="112">
        <v>714</v>
      </c>
      <c r="G716" s="112" t="s">
        <v>297</v>
      </c>
      <c r="H716" s="114" t="s">
        <v>300</v>
      </c>
      <c r="I716" s="115" t="s">
        <v>303</v>
      </c>
      <c r="J716" s="112" t="str">
        <f t="shared" si="11"/>
        <v>Sevenonefour</v>
      </c>
      <c r="K716" s="112" t="s">
        <v>1118</v>
      </c>
    </row>
    <row r="717" spans="6:11" ht="17.5" x14ac:dyDescent="0.35">
      <c r="F717" s="112">
        <v>715</v>
      </c>
      <c r="G717" s="112" t="s">
        <v>297</v>
      </c>
      <c r="H717" s="114" t="s">
        <v>300</v>
      </c>
      <c r="I717" s="115" t="s">
        <v>304</v>
      </c>
      <c r="J717" s="112" t="str">
        <f t="shared" si="11"/>
        <v>Sevenonefive</v>
      </c>
      <c r="K717" s="112" t="s">
        <v>1119</v>
      </c>
    </row>
    <row r="718" spans="6:11" ht="17.5" x14ac:dyDescent="0.35">
      <c r="F718" s="112">
        <v>716</v>
      </c>
      <c r="G718" s="112" t="s">
        <v>297</v>
      </c>
      <c r="H718" s="114" t="s">
        <v>300</v>
      </c>
      <c r="I718" s="115" t="s">
        <v>305</v>
      </c>
      <c r="J718" s="112" t="str">
        <f t="shared" si="11"/>
        <v>Sevenonesix</v>
      </c>
      <c r="K718" s="112" t="s">
        <v>1120</v>
      </c>
    </row>
    <row r="719" spans="6:11" ht="17.5" x14ac:dyDescent="0.35">
      <c r="F719" s="112">
        <v>717</v>
      </c>
      <c r="G719" s="112" t="s">
        <v>297</v>
      </c>
      <c r="H719" s="114" t="s">
        <v>300</v>
      </c>
      <c r="I719" s="115" t="s">
        <v>306</v>
      </c>
      <c r="J719" s="112" t="str">
        <f t="shared" si="11"/>
        <v>Sevenoneseven</v>
      </c>
      <c r="K719" s="112" t="s">
        <v>1121</v>
      </c>
    </row>
    <row r="720" spans="6:11" ht="17.5" x14ac:dyDescent="0.35">
      <c r="F720" s="112">
        <v>718</v>
      </c>
      <c r="G720" s="112" t="s">
        <v>297</v>
      </c>
      <c r="H720" s="114" t="s">
        <v>300</v>
      </c>
      <c r="I720" s="115" t="s">
        <v>307</v>
      </c>
      <c r="J720" s="112" t="str">
        <f t="shared" si="11"/>
        <v>Sevenoneeight</v>
      </c>
      <c r="K720" s="112" t="s">
        <v>1122</v>
      </c>
    </row>
    <row r="721" spans="6:11" ht="17.5" x14ac:dyDescent="0.35">
      <c r="F721" s="112">
        <v>719</v>
      </c>
      <c r="G721" s="112" t="s">
        <v>297</v>
      </c>
      <c r="H721" s="114" t="s">
        <v>300</v>
      </c>
      <c r="I721" s="115" t="s">
        <v>308</v>
      </c>
      <c r="J721" s="112" t="str">
        <f t="shared" si="11"/>
        <v>Sevenonenine</v>
      </c>
      <c r="K721" s="112" t="s">
        <v>1123</v>
      </c>
    </row>
    <row r="722" spans="6:11" ht="17.5" x14ac:dyDescent="0.35">
      <c r="F722" s="112">
        <v>720</v>
      </c>
      <c r="G722" s="112" t="s">
        <v>297</v>
      </c>
      <c r="H722" s="112" t="s">
        <v>301</v>
      </c>
      <c r="I722" s="119" t="s">
        <v>422</v>
      </c>
      <c r="J722" s="112" t="str">
        <f t="shared" si="11"/>
        <v>Seventwozero</v>
      </c>
      <c r="K722" s="112" t="s">
        <v>1124</v>
      </c>
    </row>
    <row r="723" spans="6:11" ht="17.5" x14ac:dyDescent="0.35">
      <c r="F723" s="112">
        <v>721</v>
      </c>
      <c r="G723" s="112" t="s">
        <v>297</v>
      </c>
      <c r="H723" s="112" t="s">
        <v>301</v>
      </c>
      <c r="I723" s="114" t="s">
        <v>300</v>
      </c>
      <c r="J723" s="112" t="str">
        <f t="shared" si="11"/>
        <v>Seventwoone</v>
      </c>
      <c r="K723" s="112" t="s">
        <v>1125</v>
      </c>
    </row>
    <row r="724" spans="6:11" ht="17.5" x14ac:dyDescent="0.35">
      <c r="F724" s="112">
        <v>722</v>
      </c>
      <c r="G724" s="112" t="s">
        <v>297</v>
      </c>
      <c r="H724" s="112" t="s">
        <v>301</v>
      </c>
      <c r="I724" s="114" t="s">
        <v>301</v>
      </c>
      <c r="J724" s="112" t="str">
        <f t="shared" si="11"/>
        <v>Seventwotwo</v>
      </c>
      <c r="K724" s="112" t="s">
        <v>1126</v>
      </c>
    </row>
    <row r="725" spans="6:11" ht="17.5" x14ac:dyDescent="0.35">
      <c r="F725" s="112">
        <v>723</v>
      </c>
      <c r="G725" s="112" t="s">
        <v>297</v>
      </c>
      <c r="H725" s="112" t="s">
        <v>301</v>
      </c>
      <c r="I725" s="114" t="s">
        <v>302</v>
      </c>
      <c r="J725" s="112" t="str">
        <f t="shared" si="11"/>
        <v>Seventwothree</v>
      </c>
      <c r="K725" s="112" t="s">
        <v>1127</v>
      </c>
    </row>
    <row r="726" spans="6:11" ht="17.5" x14ac:dyDescent="0.35">
      <c r="F726" s="112">
        <v>724</v>
      </c>
      <c r="G726" s="112" t="s">
        <v>297</v>
      </c>
      <c r="H726" s="112" t="s">
        <v>301</v>
      </c>
      <c r="I726" s="115" t="s">
        <v>303</v>
      </c>
      <c r="J726" s="112" t="str">
        <f t="shared" si="11"/>
        <v>Seventwofour</v>
      </c>
      <c r="K726" s="112" t="s">
        <v>1128</v>
      </c>
    </row>
    <row r="727" spans="6:11" ht="17.5" x14ac:dyDescent="0.35">
      <c r="F727" s="112">
        <v>725</v>
      </c>
      <c r="G727" s="112" t="s">
        <v>297</v>
      </c>
      <c r="H727" s="112" t="s">
        <v>301</v>
      </c>
      <c r="I727" s="115" t="s">
        <v>304</v>
      </c>
      <c r="J727" s="112" t="str">
        <f t="shared" si="11"/>
        <v>Seventwofive</v>
      </c>
      <c r="K727" s="112" t="s">
        <v>1129</v>
      </c>
    </row>
    <row r="728" spans="6:11" ht="17.5" x14ac:dyDescent="0.35">
      <c r="F728" s="112">
        <v>726</v>
      </c>
      <c r="G728" s="112" t="s">
        <v>297</v>
      </c>
      <c r="H728" s="112" t="s">
        <v>301</v>
      </c>
      <c r="I728" s="115" t="s">
        <v>305</v>
      </c>
      <c r="J728" s="112" t="str">
        <f t="shared" si="11"/>
        <v>Seventwosix</v>
      </c>
      <c r="K728" s="112" t="s">
        <v>1130</v>
      </c>
    </row>
    <row r="729" spans="6:11" ht="17.5" x14ac:dyDescent="0.35">
      <c r="F729" s="112">
        <v>727</v>
      </c>
      <c r="G729" s="112" t="s">
        <v>297</v>
      </c>
      <c r="H729" s="112" t="s">
        <v>301</v>
      </c>
      <c r="I729" s="115" t="s">
        <v>306</v>
      </c>
      <c r="J729" s="112" t="str">
        <f t="shared" si="11"/>
        <v>Seventwoseven</v>
      </c>
      <c r="K729" s="112" t="s">
        <v>1131</v>
      </c>
    </row>
    <row r="730" spans="6:11" ht="17.5" x14ac:dyDescent="0.35">
      <c r="F730" s="112">
        <v>728</v>
      </c>
      <c r="G730" s="112" t="s">
        <v>297</v>
      </c>
      <c r="H730" s="112" t="s">
        <v>301</v>
      </c>
      <c r="I730" s="115" t="s">
        <v>307</v>
      </c>
      <c r="J730" s="112" t="str">
        <f t="shared" si="11"/>
        <v>Seventwoeight</v>
      </c>
      <c r="K730" s="112" t="s">
        <v>1132</v>
      </c>
    </row>
    <row r="731" spans="6:11" ht="17.5" x14ac:dyDescent="0.35">
      <c r="F731" s="112">
        <v>729</v>
      </c>
      <c r="G731" s="112" t="s">
        <v>297</v>
      </c>
      <c r="H731" s="112" t="s">
        <v>301</v>
      </c>
      <c r="I731" s="115" t="s">
        <v>308</v>
      </c>
      <c r="J731" s="112" t="str">
        <f t="shared" si="11"/>
        <v>Seventwonine</v>
      </c>
      <c r="K731" s="112" t="s">
        <v>1133</v>
      </c>
    </row>
    <row r="732" spans="6:11" x14ac:dyDescent="0.35">
      <c r="F732" s="112">
        <v>730</v>
      </c>
      <c r="G732" s="112" t="s">
        <v>297</v>
      </c>
      <c r="H732" s="112" t="s">
        <v>302</v>
      </c>
      <c r="I732" s="112" t="s">
        <v>422</v>
      </c>
      <c r="J732" s="112" t="str">
        <f t="shared" si="11"/>
        <v>Seventhreezero</v>
      </c>
      <c r="K732" s="112" t="s">
        <v>1134</v>
      </c>
    </row>
    <row r="733" spans="6:11" ht="17.5" x14ac:dyDescent="0.35">
      <c r="F733" s="112">
        <v>731</v>
      </c>
      <c r="G733" s="112" t="s">
        <v>297</v>
      </c>
      <c r="H733" s="112" t="s">
        <v>302</v>
      </c>
      <c r="I733" s="114" t="s">
        <v>300</v>
      </c>
      <c r="J733" s="112" t="str">
        <f t="shared" si="11"/>
        <v>Seventhreeone</v>
      </c>
      <c r="K733" s="112" t="s">
        <v>1135</v>
      </c>
    </row>
    <row r="734" spans="6:11" ht="17.5" x14ac:dyDescent="0.35">
      <c r="F734" s="112">
        <v>732</v>
      </c>
      <c r="G734" s="112" t="s">
        <v>297</v>
      </c>
      <c r="H734" s="112" t="s">
        <v>302</v>
      </c>
      <c r="I734" s="114" t="s">
        <v>301</v>
      </c>
      <c r="J734" s="112" t="str">
        <f t="shared" si="11"/>
        <v>Seventhreetwo</v>
      </c>
      <c r="K734" s="112" t="s">
        <v>1136</v>
      </c>
    </row>
    <row r="735" spans="6:11" ht="17.5" x14ac:dyDescent="0.35">
      <c r="F735" s="112">
        <v>733</v>
      </c>
      <c r="G735" s="112" t="s">
        <v>297</v>
      </c>
      <c r="H735" s="112" t="s">
        <v>302</v>
      </c>
      <c r="I735" s="114" t="s">
        <v>302</v>
      </c>
      <c r="J735" s="112" t="str">
        <f t="shared" si="11"/>
        <v>Seventhreethree</v>
      </c>
      <c r="K735" s="112" t="s">
        <v>1137</v>
      </c>
    </row>
    <row r="736" spans="6:11" ht="17.5" x14ac:dyDescent="0.35">
      <c r="F736" s="112">
        <v>734</v>
      </c>
      <c r="G736" s="112" t="s">
        <v>297</v>
      </c>
      <c r="H736" s="112" t="s">
        <v>302</v>
      </c>
      <c r="I736" s="115" t="s">
        <v>303</v>
      </c>
      <c r="J736" s="112" t="str">
        <f t="shared" si="11"/>
        <v>Seventhreefour</v>
      </c>
      <c r="K736" s="112" t="s">
        <v>1138</v>
      </c>
    </row>
    <row r="737" spans="6:11" ht="17.5" x14ac:dyDescent="0.35">
      <c r="F737" s="112">
        <v>735</v>
      </c>
      <c r="G737" s="112" t="s">
        <v>297</v>
      </c>
      <c r="H737" s="112" t="s">
        <v>302</v>
      </c>
      <c r="I737" s="115" t="s">
        <v>304</v>
      </c>
      <c r="J737" s="112" t="str">
        <f t="shared" si="11"/>
        <v>Seventhreefive</v>
      </c>
      <c r="K737" s="112" t="s">
        <v>1139</v>
      </c>
    </row>
    <row r="738" spans="6:11" ht="17.5" x14ac:dyDescent="0.35">
      <c r="F738" s="112">
        <v>736</v>
      </c>
      <c r="G738" s="112" t="s">
        <v>297</v>
      </c>
      <c r="H738" s="112" t="s">
        <v>302</v>
      </c>
      <c r="I738" s="115" t="s">
        <v>305</v>
      </c>
      <c r="J738" s="112" t="str">
        <f t="shared" si="11"/>
        <v>Seventhreesix</v>
      </c>
      <c r="K738" s="112" t="s">
        <v>1140</v>
      </c>
    </row>
    <row r="739" spans="6:11" ht="17.5" x14ac:dyDescent="0.35">
      <c r="F739" s="112">
        <v>737</v>
      </c>
      <c r="G739" s="112" t="s">
        <v>297</v>
      </c>
      <c r="H739" s="112" t="s">
        <v>302</v>
      </c>
      <c r="I739" s="115" t="s">
        <v>306</v>
      </c>
      <c r="J739" s="112" t="str">
        <f t="shared" si="11"/>
        <v>Seventhreeseven</v>
      </c>
      <c r="K739" s="112" t="s">
        <v>1141</v>
      </c>
    </row>
    <row r="740" spans="6:11" ht="17.5" x14ac:dyDescent="0.35">
      <c r="F740" s="112">
        <v>738</v>
      </c>
      <c r="G740" s="112" t="s">
        <v>297</v>
      </c>
      <c r="H740" s="112" t="s">
        <v>302</v>
      </c>
      <c r="I740" s="115" t="s">
        <v>307</v>
      </c>
      <c r="J740" s="112" t="str">
        <f t="shared" si="11"/>
        <v>Seventhreeeight</v>
      </c>
      <c r="K740" s="112" t="s">
        <v>1142</v>
      </c>
    </row>
    <row r="741" spans="6:11" ht="17.5" x14ac:dyDescent="0.35">
      <c r="F741" s="112">
        <v>739</v>
      </c>
      <c r="G741" s="112" t="s">
        <v>297</v>
      </c>
      <c r="H741" s="112" t="s">
        <v>302</v>
      </c>
      <c r="I741" s="115" t="s">
        <v>308</v>
      </c>
      <c r="J741" s="112" t="str">
        <f t="shared" si="11"/>
        <v>Seventhreenine</v>
      </c>
      <c r="K741" s="112" t="s">
        <v>1143</v>
      </c>
    </row>
    <row r="742" spans="6:11" x14ac:dyDescent="0.35">
      <c r="F742" s="112">
        <v>740</v>
      </c>
      <c r="G742" s="112" t="s">
        <v>297</v>
      </c>
      <c r="H742" s="112" t="s">
        <v>303</v>
      </c>
      <c r="I742" s="112" t="s">
        <v>422</v>
      </c>
      <c r="J742" s="112" t="str">
        <f t="shared" ref="J742:J752" si="12">G742&amp;H742&amp;I742</f>
        <v>Sevenfourzero</v>
      </c>
      <c r="K742" s="112" t="s">
        <v>1144</v>
      </c>
    </row>
    <row r="743" spans="6:11" ht="17.5" x14ac:dyDescent="0.35">
      <c r="F743" s="112">
        <v>741</v>
      </c>
      <c r="G743" s="112" t="s">
        <v>297</v>
      </c>
      <c r="H743" s="112" t="s">
        <v>303</v>
      </c>
      <c r="I743" s="114" t="s">
        <v>300</v>
      </c>
      <c r="J743" s="112" t="str">
        <f t="shared" si="12"/>
        <v>Sevenfourone</v>
      </c>
      <c r="K743" s="112" t="s">
        <v>1145</v>
      </c>
    </row>
    <row r="744" spans="6:11" ht="17.5" x14ac:dyDescent="0.35">
      <c r="F744" s="112">
        <v>742</v>
      </c>
      <c r="G744" s="112" t="s">
        <v>297</v>
      </c>
      <c r="H744" s="112" t="s">
        <v>303</v>
      </c>
      <c r="I744" s="114" t="s">
        <v>301</v>
      </c>
      <c r="J744" s="112" t="str">
        <f t="shared" si="12"/>
        <v>Sevenfourtwo</v>
      </c>
      <c r="K744" s="112" t="s">
        <v>1146</v>
      </c>
    </row>
    <row r="745" spans="6:11" ht="17.5" x14ac:dyDescent="0.35">
      <c r="F745" s="112">
        <v>743</v>
      </c>
      <c r="G745" s="112" t="s">
        <v>297</v>
      </c>
      <c r="H745" s="112" t="s">
        <v>303</v>
      </c>
      <c r="I745" s="114" t="s">
        <v>302</v>
      </c>
      <c r="J745" s="112" t="str">
        <f t="shared" si="12"/>
        <v>Sevenfourthree</v>
      </c>
      <c r="K745" s="112" t="s">
        <v>1147</v>
      </c>
    </row>
    <row r="746" spans="6:11" ht="17.5" x14ac:dyDescent="0.35">
      <c r="F746" s="112">
        <v>744</v>
      </c>
      <c r="G746" s="112" t="s">
        <v>297</v>
      </c>
      <c r="H746" s="112" t="s">
        <v>303</v>
      </c>
      <c r="I746" s="115" t="s">
        <v>303</v>
      </c>
      <c r="J746" s="112" t="str">
        <f t="shared" si="12"/>
        <v>Sevenfourfour</v>
      </c>
      <c r="K746" s="112" t="s">
        <v>1148</v>
      </c>
    </row>
    <row r="747" spans="6:11" ht="17.5" x14ac:dyDescent="0.35">
      <c r="F747" s="112">
        <v>745</v>
      </c>
      <c r="G747" s="112" t="s">
        <v>297</v>
      </c>
      <c r="H747" s="112" t="s">
        <v>303</v>
      </c>
      <c r="I747" s="115" t="s">
        <v>304</v>
      </c>
      <c r="J747" s="112" t="str">
        <f t="shared" si="12"/>
        <v>Sevenfourfive</v>
      </c>
      <c r="K747" s="112" t="s">
        <v>1149</v>
      </c>
    </row>
    <row r="748" spans="6:11" ht="17.5" x14ac:dyDescent="0.35">
      <c r="F748" s="112">
        <v>746</v>
      </c>
      <c r="G748" s="112" t="s">
        <v>297</v>
      </c>
      <c r="H748" s="112" t="s">
        <v>303</v>
      </c>
      <c r="I748" s="115" t="s">
        <v>305</v>
      </c>
      <c r="J748" s="112" t="str">
        <f t="shared" si="12"/>
        <v>Sevenfoursix</v>
      </c>
      <c r="K748" s="112" t="s">
        <v>1150</v>
      </c>
    </row>
    <row r="749" spans="6:11" ht="17.5" x14ac:dyDescent="0.35">
      <c r="F749" s="112">
        <v>747</v>
      </c>
      <c r="G749" s="112" t="s">
        <v>297</v>
      </c>
      <c r="H749" s="112" t="s">
        <v>303</v>
      </c>
      <c r="I749" s="115" t="s">
        <v>306</v>
      </c>
      <c r="J749" s="112" t="str">
        <f t="shared" si="12"/>
        <v>Sevenfourseven</v>
      </c>
      <c r="K749" s="112" t="s">
        <v>1151</v>
      </c>
    </row>
    <row r="750" spans="6:11" ht="17.5" x14ac:dyDescent="0.35">
      <c r="F750" s="112">
        <v>748</v>
      </c>
      <c r="G750" s="112" t="s">
        <v>297</v>
      </c>
      <c r="H750" s="112" t="s">
        <v>303</v>
      </c>
      <c r="I750" s="115" t="s">
        <v>307</v>
      </c>
      <c r="J750" s="112" t="str">
        <f t="shared" si="12"/>
        <v>Sevenfoureight</v>
      </c>
      <c r="K750" s="112" t="s">
        <v>1152</v>
      </c>
    </row>
    <row r="751" spans="6:11" ht="17.5" x14ac:dyDescent="0.35">
      <c r="F751" s="112">
        <v>749</v>
      </c>
      <c r="G751" s="112" t="s">
        <v>297</v>
      </c>
      <c r="H751" s="112" t="s">
        <v>303</v>
      </c>
      <c r="I751" s="115" t="s">
        <v>308</v>
      </c>
      <c r="J751" s="112" t="str">
        <f t="shared" si="12"/>
        <v>Sevenfournine</v>
      </c>
      <c r="K751" s="112" t="s">
        <v>1153</v>
      </c>
    </row>
    <row r="752" spans="6:11" ht="17.5" x14ac:dyDescent="0.35">
      <c r="F752" s="112">
        <v>750</v>
      </c>
      <c r="G752" s="112" t="s">
        <v>297</v>
      </c>
      <c r="H752" s="112" t="s">
        <v>304</v>
      </c>
      <c r="I752" s="119" t="s">
        <v>422</v>
      </c>
      <c r="J752" s="112" t="str">
        <f t="shared" si="12"/>
        <v>Sevenfivezero</v>
      </c>
      <c r="K752" s="112" t="s">
        <v>1154</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BI89"/>
  <sheetViews>
    <sheetView tabSelected="1" zoomScale="60" zoomScaleNormal="60" workbookViewId="0">
      <pane xSplit="6" topLeftCell="AB1" activePane="topRight" state="frozen"/>
      <selection activeCell="A4" sqref="A4"/>
      <selection pane="topRight" activeCell="AF30" sqref="AF30"/>
    </sheetView>
  </sheetViews>
  <sheetFormatPr defaultColWidth="9.1796875" defaultRowHeight="21" x14ac:dyDescent="0.5"/>
  <cols>
    <col min="1" max="1" width="30.1796875" style="247" hidden="1" customWidth="1"/>
    <col min="2" max="2" width="28.54296875" style="247" hidden="1" customWidth="1"/>
    <col min="3" max="3" width="33.1796875" style="253" customWidth="1"/>
    <col min="4" max="4" width="3.453125" style="143" hidden="1" customWidth="1"/>
    <col min="5" max="5" width="14" style="143" hidden="1" customWidth="1"/>
    <col min="6" max="6" width="13.81640625" style="248" hidden="1" customWidth="1"/>
    <col min="7" max="8" width="41.7265625" style="248" bestFit="1" customWidth="1"/>
    <col min="9" max="14" width="41.7265625" style="143" bestFit="1" customWidth="1"/>
    <col min="15" max="19" width="44.453125" style="143" bestFit="1" customWidth="1"/>
    <col min="20" max="20" width="39.36328125" style="143" bestFit="1" customWidth="1"/>
    <col min="21" max="22" width="44.453125" style="143" bestFit="1" customWidth="1"/>
    <col min="23" max="56" width="43.54296875" style="143" bestFit="1" customWidth="1"/>
    <col min="57" max="57" width="35.26953125" style="143" customWidth="1"/>
    <col min="58" max="58" width="34.6328125" style="143" customWidth="1"/>
    <col min="59" max="16384" width="9.1796875" style="143"/>
  </cols>
  <sheetData>
    <row r="1" spans="1:58" ht="21.5" thickBot="1" x14ac:dyDescent="0.55000000000000004">
      <c r="A1" s="136" t="s">
        <v>17</v>
      </c>
      <c r="B1" s="137"/>
      <c r="C1" s="138" t="s">
        <v>18</v>
      </c>
      <c r="D1" s="139" t="s">
        <v>18</v>
      </c>
      <c r="E1" s="140" t="s">
        <v>19</v>
      </c>
      <c r="F1" s="141" t="s">
        <v>20</v>
      </c>
      <c r="G1" s="142" t="s">
        <v>21</v>
      </c>
      <c r="H1" s="142" t="s">
        <v>22</v>
      </c>
      <c r="I1" s="142" t="s">
        <v>1296</v>
      </c>
      <c r="J1" s="142" t="s">
        <v>1297</v>
      </c>
      <c r="K1" s="142" t="s">
        <v>1298</v>
      </c>
      <c r="L1" s="142" t="s">
        <v>1299</v>
      </c>
      <c r="M1" s="142" t="s">
        <v>1300</v>
      </c>
      <c r="N1" s="142" t="s">
        <v>1301</v>
      </c>
      <c r="O1" s="142" t="s">
        <v>1302</v>
      </c>
      <c r="P1" s="142" t="s">
        <v>1303</v>
      </c>
      <c r="Q1" s="142" t="s">
        <v>1304</v>
      </c>
      <c r="R1" s="142" t="s">
        <v>1305</v>
      </c>
      <c r="S1" s="142" t="s">
        <v>1306</v>
      </c>
      <c r="T1" s="142" t="s">
        <v>1307</v>
      </c>
      <c r="U1" s="142" t="s">
        <v>1308</v>
      </c>
      <c r="V1" s="142" t="s">
        <v>1309</v>
      </c>
      <c r="W1" s="142" t="s">
        <v>1310</v>
      </c>
      <c r="X1" s="142" t="s">
        <v>1311</v>
      </c>
      <c r="Y1" s="142" t="s">
        <v>1312</v>
      </c>
      <c r="Z1" s="142" t="s">
        <v>1313</v>
      </c>
      <c r="AA1" s="142" t="s">
        <v>1264</v>
      </c>
      <c r="AB1" s="142" t="s">
        <v>1265</v>
      </c>
      <c r="AC1" s="142" t="s">
        <v>1266</v>
      </c>
      <c r="AD1" s="142" t="s">
        <v>1267</v>
      </c>
      <c r="AE1" s="142" t="s">
        <v>1268</v>
      </c>
      <c r="AF1" s="142" t="s">
        <v>1269</v>
      </c>
      <c r="AG1" s="142" t="s">
        <v>1270</v>
      </c>
      <c r="AH1" s="142" t="s">
        <v>1271</v>
      </c>
      <c r="AI1" s="142" t="s">
        <v>1272</v>
      </c>
      <c r="AJ1" s="142" t="s">
        <v>1273</v>
      </c>
      <c r="AK1" s="142" t="s">
        <v>1274</v>
      </c>
      <c r="AL1" s="142" t="s">
        <v>1275</v>
      </c>
      <c r="AM1" s="142" t="s">
        <v>1276</v>
      </c>
      <c r="AN1" s="142" t="s">
        <v>1277</v>
      </c>
      <c r="AO1" s="142" t="s">
        <v>1278</v>
      </c>
      <c r="AP1" s="142" t="s">
        <v>1279</v>
      </c>
      <c r="AQ1" s="142" t="s">
        <v>1280</v>
      </c>
      <c r="AR1" s="142" t="s">
        <v>1281</v>
      </c>
      <c r="AS1" s="142" t="s">
        <v>1282</v>
      </c>
      <c r="AT1" s="142" t="s">
        <v>1283</v>
      </c>
      <c r="AU1" s="142" t="s">
        <v>1284</v>
      </c>
      <c r="AV1" s="142" t="s">
        <v>1285</v>
      </c>
      <c r="AW1" s="142" t="s">
        <v>1286</v>
      </c>
      <c r="AX1" s="142" t="s">
        <v>1287</v>
      </c>
      <c r="AY1" s="142" t="s">
        <v>1288</v>
      </c>
      <c r="AZ1" s="142" t="s">
        <v>1289</v>
      </c>
      <c r="BA1" s="142" t="s">
        <v>1290</v>
      </c>
      <c r="BB1" s="142" t="s">
        <v>1291</v>
      </c>
      <c r="BC1" s="142" t="s">
        <v>1292</v>
      </c>
      <c r="BD1" s="142" t="s">
        <v>1293</v>
      </c>
      <c r="BE1" s="142" t="s">
        <v>1294</v>
      </c>
      <c r="BF1" s="142" t="s">
        <v>1295</v>
      </c>
    </row>
    <row r="2" spans="1:58" ht="21.5" thickBot="1" x14ac:dyDescent="0.55000000000000004">
      <c r="A2" s="136" t="s">
        <v>2</v>
      </c>
      <c r="B2" s="137"/>
      <c r="C2" s="138" t="s">
        <v>23</v>
      </c>
      <c r="D2" s="144"/>
      <c r="E2" s="145"/>
      <c r="F2" s="146"/>
      <c r="G2" s="147">
        <v>1</v>
      </c>
      <c r="H2" s="147">
        <v>2</v>
      </c>
      <c r="I2" s="147">
        <v>3</v>
      </c>
      <c r="J2" s="147">
        <v>4</v>
      </c>
      <c r="K2" s="147">
        <v>5</v>
      </c>
      <c r="L2" s="147">
        <v>6</v>
      </c>
      <c r="M2" s="147">
        <v>7</v>
      </c>
      <c r="N2" s="147">
        <v>8</v>
      </c>
      <c r="O2" s="147">
        <v>9</v>
      </c>
      <c r="P2" s="147">
        <v>10</v>
      </c>
      <c r="Q2" s="147">
        <v>11</v>
      </c>
      <c r="R2" s="147">
        <v>12</v>
      </c>
      <c r="S2" s="147">
        <v>13</v>
      </c>
      <c r="T2" s="147">
        <v>14</v>
      </c>
      <c r="U2" s="147">
        <v>15</v>
      </c>
      <c r="V2" s="147">
        <v>16</v>
      </c>
      <c r="W2" s="147">
        <v>17</v>
      </c>
      <c r="X2" s="147">
        <v>18</v>
      </c>
      <c r="Y2" s="147">
        <v>19</v>
      </c>
      <c r="Z2" s="147">
        <v>20</v>
      </c>
      <c r="AA2" s="147">
        <v>21</v>
      </c>
      <c r="AB2" s="147">
        <v>22</v>
      </c>
      <c r="AC2" s="147">
        <v>23</v>
      </c>
      <c r="AD2" s="147">
        <v>24</v>
      </c>
      <c r="AE2" s="147">
        <v>25</v>
      </c>
      <c r="AF2" s="147">
        <v>26</v>
      </c>
      <c r="AG2" s="147">
        <v>27</v>
      </c>
      <c r="AH2" s="147">
        <v>28</v>
      </c>
      <c r="AI2" s="147">
        <v>29</v>
      </c>
      <c r="AJ2" s="147">
        <v>30</v>
      </c>
      <c r="AK2" s="147">
        <v>31</v>
      </c>
      <c r="AL2" s="147">
        <v>32</v>
      </c>
      <c r="AM2" s="147">
        <v>33</v>
      </c>
      <c r="AN2" s="147">
        <v>34</v>
      </c>
      <c r="AO2" s="147">
        <v>35</v>
      </c>
      <c r="AP2" s="147">
        <v>36</v>
      </c>
      <c r="AQ2" s="147">
        <v>37</v>
      </c>
      <c r="AR2" s="147">
        <v>38</v>
      </c>
      <c r="AS2" s="147">
        <v>39</v>
      </c>
      <c r="AT2" s="147">
        <v>40</v>
      </c>
      <c r="AU2" s="147">
        <v>41</v>
      </c>
      <c r="AV2" s="147">
        <v>42</v>
      </c>
      <c r="AW2" s="147">
        <v>43</v>
      </c>
      <c r="AX2" s="147">
        <v>44</v>
      </c>
      <c r="AY2" s="147">
        <v>45</v>
      </c>
      <c r="AZ2" s="147">
        <v>46</v>
      </c>
      <c r="BA2" s="147">
        <v>47</v>
      </c>
      <c r="BB2" s="147">
        <v>48</v>
      </c>
      <c r="BC2" s="147">
        <v>49</v>
      </c>
      <c r="BD2" s="147">
        <v>50</v>
      </c>
    </row>
    <row r="3" spans="1:58" ht="44.5" customHeight="1" x14ac:dyDescent="0.5">
      <c r="A3" s="136"/>
      <c r="B3" s="137"/>
      <c r="C3" s="148" t="s">
        <v>24</v>
      </c>
      <c r="D3" s="139" t="s">
        <v>24</v>
      </c>
      <c r="E3" s="140" t="s">
        <v>25</v>
      </c>
      <c r="F3" s="149" t="s">
        <v>26</v>
      </c>
      <c r="G3" s="150" t="s">
        <v>27</v>
      </c>
      <c r="H3" s="150" t="s">
        <v>27</v>
      </c>
      <c r="I3" s="150" t="s">
        <v>27</v>
      </c>
      <c r="J3" s="150" t="s">
        <v>27</v>
      </c>
      <c r="K3" s="150" t="s">
        <v>27</v>
      </c>
      <c r="L3" s="150" t="s">
        <v>27</v>
      </c>
      <c r="M3" s="150" t="s">
        <v>27</v>
      </c>
      <c r="N3" s="150" t="s">
        <v>27</v>
      </c>
      <c r="O3" s="150" t="s">
        <v>27</v>
      </c>
      <c r="P3" s="150" t="s">
        <v>27</v>
      </c>
      <c r="Q3" s="150" t="s">
        <v>27</v>
      </c>
      <c r="R3" s="150" t="s">
        <v>27</v>
      </c>
      <c r="S3" s="150" t="s">
        <v>27</v>
      </c>
      <c r="T3" s="150" t="s">
        <v>27</v>
      </c>
      <c r="U3" s="150" t="s">
        <v>27</v>
      </c>
      <c r="V3" s="150" t="s">
        <v>27</v>
      </c>
      <c r="W3" s="150" t="s">
        <v>27</v>
      </c>
      <c r="X3" s="150" t="s">
        <v>27</v>
      </c>
      <c r="Y3" s="150" t="s">
        <v>27</v>
      </c>
      <c r="Z3" s="150" t="s">
        <v>27</v>
      </c>
      <c r="AA3" s="150" t="s">
        <v>27</v>
      </c>
      <c r="AB3" s="150" t="s">
        <v>27</v>
      </c>
      <c r="AC3" s="150" t="s">
        <v>27</v>
      </c>
      <c r="AD3" s="150" t="s">
        <v>27</v>
      </c>
      <c r="AE3" s="150" t="s">
        <v>27</v>
      </c>
      <c r="AF3" s="150" t="s">
        <v>27</v>
      </c>
      <c r="AG3" s="150" t="s">
        <v>27</v>
      </c>
      <c r="AH3" s="150" t="s">
        <v>27</v>
      </c>
      <c r="AI3" s="150" t="s">
        <v>27</v>
      </c>
      <c r="AJ3" s="150" t="s">
        <v>27</v>
      </c>
      <c r="AK3" s="150" t="s">
        <v>27</v>
      </c>
      <c r="AL3" s="150" t="s">
        <v>27</v>
      </c>
      <c r="AM3" s="150" t="s">
        <v>28</v>
      </c>
      <c r="AN3" s="150" t="s">
        <v>28</v>
      </c>
      <c r="AO3" s="150" t="s">
        <v>28</v>
      </c>
      <c r="AP3" s="150" t="s">
        <v>28</v>
      </c>
      <c r="AQ3" s="150" t="s">
        <v>28</v>
      </c>
      <c r="AR3" s="150" t="s">
        <v>28</v>
      </c>
      <c r="AS3" s="150" t="s">
        <v>28</v>
      </c>
      <c r="AT3" s="150" t="s">
        <v>28</v>
      </c>
      <c r="AU3" s="150" t="s">
        <v>28</v>
      </c>
      <c r="AV3" s="150" t="s">
        <v>28</v>
      </c>
      <c r="AW3" s="150" t="s">
        <v>28</v>
      </c>
      <c r="AX3" s="150" t="s">
        <v>28</v>
      </c>
      <c r="AY3" s="150" t="s">
        <v>27</v>
      </c>
      <c r="AZ3" s="150" t="s">
        <v>27</v>
      </c>
      <c r="BA3" s="150" t="s">
        <v>27</v>
      </c>
      <c r="BB3" s="150" t="s">
        <v>27</v>
      </c>
      <c r="BC3" s="150" t="s">
        <v>27</v>
      </c>
      <c r="BD3" s="150" t="s">
        <v>27</v>
      </c>
      <c r="BE3" s="150" t="s">
        <v>27</v>
      </c>
      <c r="BF3" s="150" t="s">
        <v>27</v>
      </c>
    </row>
    <row r="4" spans="1:58" x14ac:dyDescent="0.5">
      <c r="A4" s="137"/>
      <c r="B4" s="137"/>
      <c r="C4" s="151" t="s">
        <v>29</v>
      </c>
      <c r="D4" s="152" t="s">
        <v>30</v>
      </c>
      <c r="E4" s="153" t="s">
        <v>31</v>
      </c>
      <c r="F4" s="151" t="s">
        <v>32</v>
      </c>
      <c r="G4" s="154" t="s">
        <v>191</v>
      </c>
      <c r="H4" s="154" t="s">
        <v>191</v>
      </c>
      <c r="I4" s="154" t="s">
        <v>191</v>
      </c>
      <c r="J4" s="154" t="s">
        <v>191</v>
      </c>
      <c r="K4" s="154" t="s">
        <v>191</v>
      </c>
      <c r="L4" s="154" t="s">
        <v>191</v>
      </c>
      <c r="M4" s="154" t="s">
        <v>191</v>
      </c>
      <c r="N4" s="154" t="s">
        <v>191</v>
      </c>
      <c r="O4" s="154" t="s">
        <v>191</v>
      </c>
      <c r="P4" s="154" t="s">
        <v>191</v>
      </c>
      <c r="Q4" s="154" t="s">
        <v>191</v>
      </c>
      <c r="R4" s="154" t="s">
        <v>191</v>
      </c>
      <c r="S4" s="154" t="s">
        <v>191</v>
      </c>
      <c r="T4" s="154" t="s">
        <v>191</v>
      </c>
      <c r="U4" s="154" t="s">
        <v>191</v>
      </c>
      <c r="V4" s="154" t="s">
        <v>191</v>
      </c>
      <c r="W4" s="154" t="s">
        <v>191</v>
      </c>
      <c r="X4" s="154" t="s">
        <v>191</v>
      </c>
      <c r="Y4" s="154" t="s">
        <v>191</v>
      </c>
      <c r="Z4" s="154" t="s">
        <v>191</v>
      </c>
      <c r="AA4" s="154" t="s">
        <v>191</v>
      </c>
      <c r="AB4" s="154" t="s">
        <v>191</v>
      </c>
      <c r="AC4" s="154" t="s">
        <v>191</v>
      </c>
      <c r="AD4" s="154" t="s">
        <v>191</v>
      </c>
      <c r="AE4" s="154" t="s">
        <v>191</v>
      </c>
      <c r="AF4" s="154" t="s">
        <v>191</v>
      </c>
      <c r="AG4" s="154" t="s">
        <v>191</v>
      </c>
      <c r="AH4" s="154" t="s">
        <v>191</v>
      </c>
      <c r="AI4" s="154" t="s">
        <v>191</v>
      </c>
      <c r="AJ4" s="154" t="s">
        <v>191</v>
      </c>
      <c r="AK4" s="154" t="s">
        <v>191</v>
      </c>
      <c r="AL4" s="154" t="s">
        <v>191</v>
      </c>
      <c r="AM4" s="154" t="s">
        <v>191</v>
      </c>
      <c r="AN4" s="154" t="s">
        <v>191</v>
      </c>
      <c r="AO4" s="154" t="s">
        <v>191</v>
      </c>
      <c r="AP4" s="154" t="s">
        <v>191</v>
      </c>
      <c r="AQ4" s="154" t="s">
        <v>191</v>
      </c>
      <c r="AR4" s="154" t="s">
        <v>191</v>
      </c>
      <c r="AS4" s="154" t="s">
        <v>191</v>
      </c>
      <c r="AT4" s="154" t="s">
        <v>191</v>
      </c>
      <c r="AU4" s="154" t="s">
        <v>191</v>
      </c>
      <c r="AV4" s="154" t="s">
        <v>191</v>
      </c>
      <c r="AW4" s="154" t="s">
        <v>191</v>
      </c>
      <c r="AX4" s="154" t="s">
        <v>191</v>
      </c>
      <c r="AY4" s="154" t="s">
        <v>191</v>
      </c>
      <c r="AZ4" s="154" t="s">
        <v>191</v>
      </c>
      <c r="BA4" s="154" t="s">
        <v>191</v>
      </c>
      <c r="BB4" s="154" t="s">
        <v>191</v>
      </c>
      <c r="BC4" s="154" t="s">
        <v>191</v>
      </c>
      <c r="BD4" s="154" t="s">
        <v>191</v>
      </c>
      <c r="BE4" s="154" t="s">
        <v>191</v>
      </c>
      <c r="BF4" s="154" t="s">
        <v>191</v>
      </c>
    </row>
    <row r="5" spans="1:58" x14ac:dyDescent="0.5">
      <c r="A5" s="137"/>
      <c r="B5" s="137"/>
      <c r="C5" s="151" t="s">
        <v>34</v>
      </c>
      <c r="D5" s="152" t="s">
        <v>35</v>
      </c>
      <c r="E5" s="153" t="s">
        <v>36</v>
      </c>
      <c r="F5" s="151"/>
      <c r="G5" s="155" t="b">
        <v>1</v>
      </c>
      <c r="H5" s="155" t="b">
        <v>1</v>
      </c>
      <c r="I5" s="155" t="b">
        <v>1</v>
      </c>
      <c r="J5" s="155" t="b">
        <v>1</v>
      </c>
      <c r="K5" s="155" t="b">
        <v>1</v>
      </c>
      <c r="L5" s="155" t="b">
        <v>1</v>
      </c>
      <c r="M5" s="155" t="b">
        <v>1</v>
      </c>
      <c r="N5" s="155" t="b">
        <v>1</v>
      </c>
      <c r="O5" s="155" t="b">
        <v>1</v>
      </c>
      <c r="P5" s="155" t="b">
        <v>1</v>
      </c>
      <c r="Q5" s="155" t="b">
        <v>1</v>
      </c>
      <c r="R5" s="155" t="b">
        <v>1</v>
      </c>
      <c r="S5" s="155" t="b">
        <v>1</v>
      </c>
      <c r="T5" s="155" t="b">
        <v>1</v>
      </c>
      <c r="U5" s="155" t="b">
        <v>1</v>
      </c>
      <c r="V5" s="155" t="b">
        <v>1</v>
      </c>
      <c r="W5" s="155" t="b">
        <v>1</v>
      </c>
      <c r="X5" s="155" t="b">
        <v>1</v>
      </c>
      <c r="Y5" s="155" t="b">
        <v>1</v>
      </c>
      <c r="Z5" s="155" t="b">
        <v>1</v>
      </c>
      <c r="AA5" s="155" t="b">
        <v>1</v>
      </c>
      <c r="AB5" s="155" t="b">
        <v>1</v>
      </c>
      <c r="AC5" s="155" t="b">
        <v>1</v>
      </c>
      <c r="AD5" s="155" t="b">
        <v>1</v>
      </c>
      <c r="AE5" s="155" t="b">
        <v>1</v>
      </c>
      <c r="AF5" s="155" t="b">
        <v>1</v>
      </c>
      <c r="AG5" s="155" t="b">
        <v>1</v>
      </c>
      <c r="AH5" s="155" t="b">
        <v>1</v>
      </c>
      <c r="AI5" s="155" t="b">
        <v>1</v>
      </c>
      <c r="AJ5" s="155" t="b">
        <v>1</v>
      </c>
      <c r="AK5" s="155" t="b">
        <v>1</v>
      </c>
      <c r="AL5" s="155" t="b">
        <v>1</v>
      </c>
      <c r="AM5" s="155" t="b">
        <v>1</v>
      </c>
      <c r="AN5" s="155" t="b">
        <v>1</v>
      </c>
      <c r="AO5" s="155" t="b">
        <v>1</v>
      </c>
      <c r="AP5" s="155" t="b">
        <v>1</v>
      </c>
      <c r="AQ5" s="155" t="b">
        <v>1</v>
      </c>
      <c r="AR5" s="155" t="b">
        <v>1</v>
      </c>
      <c r="AS5" s="155" t="b">
        <v>1</v>
      </c>
      <c r="AT5" s="155" t="b">
        <v>1</v>
      </c>
      <c r="AU5" s="155" t="b">
        <v>1</v>
      </c>
      <c r="AV5" s="155" t="b">
        <v>1</v>
      </c>
      <c r="AW5" s="155" t="b">
        <v>1</v>
      </c>
      <c r="AX5" s="155" t="b">
        <v>1</v>
      </c>
      <c r="AY5" s="155" t="b">
        <v>1</v>
      </c>
      <c r="AZ5" s="155" t="b">
        <v>1</v>
      </c>
      <c r="BA5" s="155" t="b">
        <v>1</v>
      </c>
      <c r="BB5" s="155" t="b">
        <v>1</v>
      </c>
      <c r="BC5" s="155" t="b">
        <v>1</v>
      </c>
      <c r="BD5" s="155" t="b">
        <v>1</v>
      </c>
      <c r="BE5" s="155" t="b">
        <v>1</v>
      </c>
      <c r="BF5" s="155" t="b">
        <v>1</v>
      </c>
    </row>
    <row r="6" spans="1:58" x14ac:dyDescent="0.5">
      <c r="A6" s="137"/>
      <c r="B6" s="137"/>
      <c r="C6" s="151" t="s">
        <v>37</v>
      </c>
      <c r="D6" s="152" t="s">
        <v>38</v>
      </c>
      <c r="E6" s="153" t="s">
        <v>39</v>
      </c>
      <c r="F6" s="151"/>
      <c r="G6" s="155" t="b">
        <v>1</v>
      </c>
      <c r="H6" s="155" t="b">
        <v>1</v>
      </c>
      <c r="I6" s="155" t="b">
        <v>1</v>
      </c>
      <c r="J6" s="155" t="b">
        <v>1</v>
      </c>
      <c r="K6" s="155" t="b">
        <v>1</v>
      </c>
      <c r="L6" s="155" t="b">
        <v>1</v>
      </c>
      <c r="M6" s="155" t="b">
        <v>1</v>
      </c>
      <c r="N6" s="155" t="b">
        <v>1</v>
      </c>
      <c r="O6" s="155" t="b">
        <v>1</v>
      </c>
      <c r="P6" s="155" t="b">
        <v>1</v>
      </c>
      <c r="Q6" s="155" t="b">
        <v>1</v>
      </c>
      <c r="R6" s="155" t="b">
        <v>1</v>
      </c>
      <c r="S6" s="155" t="b">
        <v>1</v>
      </c>
      <c r="T6" s="155" t="b">
        <v>1</v>
      </c>
      <c r="U6" s="155" t="b">
        <v>1</v>
      </c>
      <c r="V6" s="155" t="b">
        <v>1</v>
      </c>
      <c r="W6" s="155" t="b">
        <v>1</v>
      </c>
      <c r="X6" s="155" t="b">
        <v>1</v>
      </c>
      <c r="Y6" s="155" t="b">
        <v>1</v>
      </c>
      <c r="Z6" s="155" t="b">
        <v>1</v>
      </c>
      <c r="AA6" s="155" t="b">
        <v>1</v>
      </c>
      <c r="AB6" s="155" t="b">
        <v>1</v>
      </c>
      <c r="AC6" s="155" t="b">
        <v>1</v>
      </c>
      <c r="AD6" s="155" t="b">
        <v>1</v>
      </c>
      <c r="AE6" s="155" t="b">
        <v>1</v>
      </c>
      <c r="AF6" s="155" t="b">
        <v>1</v>
      </c>
      <c r="AG6" s="155" t="b">
        <v>1</v>
      </c>
      <c r="AH6" s="155" t="b">
        <v>1</v>
      </c>
      <c r="AI6" s="155" t="b">
        <v>1</v>
      </c>
      <c r="AJ6" s="155" t="b">
        <v>1</v>
      </c>
      <c r="AK6" s="155" t="b">
        <v>1</v>
      </c>
      <c r="AL6" s="155" t="b">
        <v>1</v>
      </c>
      <c r="AM6" s="155" t="b">
        <v>1</v>
      </c>
      <c r="AN6" s="155" t="b">
        <v>1</v>
      </c>
      <c r="AO6" s="155" t="b">
        <v>1</v>
      </c>
      <c r="AP6" s="155" t="b">
        <v>1</v>
      </c>
      <c r="AQ6" s="155" t="b">
        <v>1</v>
      </c>
      <c r="AR6" s="155" t="b">
        <v>1</v>
      </c>
      <c r="AS6" s="155" t="b">
        <v>1</v>
      </c>
      <c r="AT6" s="155" t="b">
        <v>1</v>
      </c>
      <c r="AU6" s="155" t="b">
        <v>1</v>
      </c>
      <c r="AV6" s="155" t="b">
        <v>1</v>
      </c>
      <c r="AW6" s="155" t="b">
        <v>1</v>
      </c>
      <c r="AX6" s="155" t="b">
        <v>1</v>
      </c>
      <c r="AY6" s="155" t="b">
        <v>1</v>
      </c>
      <c r="AZ6" s="155" t="b">
        <v>1</v>
      </c>
      <c r="BA6" s="155" t="b">
        <v>1</v>
      </c>
      <c r="BB6" s="155" t="b">
        <v>1</v>
      </c>
      <c r="BC6" s="155" t="b">
        <v>1</v>
      </c>
      <c r="BD6" s="155" t="b">
        <v>1</v>
      </c>
      <c r="BE6" s="155" t="b">
        <v>1</v>
      </c>
      <c r="BF6" s="155" t="b">
        <v>1</v>
      </c>
    </row>
    <row r="7" spans="1:58" x14ac:dyDescent="0.5">
      <c r="A7" s="137"/>
      <c r="B7" s="137"/>
      <c r="C7" s="151"/>
      <c r="D7" s="152"/>
      <c r="E7" s="153"/>
      <c r="F7" s="156"/>
      <c r="G7" s="155"/>
      <c r="H7" s="155"/>
      <c r="I7" s="155"/>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5"/>
      <c r="AT7" s="155"/>
      <c r="AU7" s="155"/>
      <c r="AV7" s="155"/>
      <c r="AW7" s="155"/>
      <c r="AX7" s="155"/>
      <c r="AY7" s="155"/>
      <c r="AZ7" s="155"/>
      <c r="BA7" s="155"/>
      <c r="BB7" s="155"/>
      <c r="BC7" s="155"/>
      <c r="BD7" s="155"/>
      <c r="BE7" s="155"/>
      <c r="BF7" s="155"/>
    </row>
    <row r="8" spans="1:58" ht="30" customHeight="1" x14ac:dyDescent="0.5">
      <c r="A8" s="137"/>
      <c r="B8" s="137"/>
      <c r="C8" s="151"/>
      <c r="D8" s="152"/>
      <c r="E8" s="153"/>
      <c r="F8" s="157"/>
      <c r="G8" s="158"/>
      <c r="H8" s="158"/>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row>
    <row r="9" spans="1:58" ht="144" customHeight="1" x14ac:dyDescent="0.5">
      <c r="A9" s="137"/>
      <c r="B9" s="137"/>
      <c r="C9" s="151" t="s">
        <v>40</v>
      </c>
      <c r="D9" s="152" t="s">
        <v>41</v>
      </c>
      <c r="E9" s="159" t="s">
        <v>42</v>
      </c>
      <c r="F9" s="151" t="s">
        <v>43</v>
      </c>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BC9" s="160"/>
      <c r="BD9" s="160"/>
      <c r="BE9" s="160"/>
      <c r="BF9" s="160"/>
    </row>
    <row r="10" spans="1:58" ht="31.5" customHeight="1" x14ac:dyDescent="0.5">
      <c r="A10" s="137"/>
      <c r="B10" s="137"/>
      <c r="C10" s="151" t="s">
        <v>44</v>
      </c>
      <c r="D10" s="152" t="s">
        <v>45</v>
      </c>
      <c r="E10" s="153" t="s">
        <v>46</v>
      </c>
      <c r="F10" s="156" t="s">
        <v>47</v>
      </c>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c r="BE10" s="161"/>
      <c r="BF10" s="161"/>
    </row>
    <row r="11" spans="1:58" ht="62.25" customHeight="1" x14ac:dyDescent="0.5">
      <c r="A11" s="137"/>
      <c r="B11" s="137"/>
      <c r="C11" s="151" t="s">
        <v>48</v>
      </c>
      <c r="D11" s="152" t="s">
        <v>49</v>
      </c>
      <c r="E11" s="153" t="s">
        <v>50</v>
      </c>
      <c r="F11" s="151" t="s">
        <v>51</v>
      </c>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K11" s="160"/>
      <c r="AL11" s="160"/>
      <c r="AM11" s="160"/>
      <c r="AN11" s="160"/>
      <c r="AO11" s="160"/>
      <c r="AP11" s="160"/>
      <c r="AQ11" s="160"/>
      <c r="AR11" s="160"/>
      <c r="AS11" s="160"/>
      <c r="AT11" s="160"/>
      <c r="AU11" s="160"/>
      <c r="AV11" s="160"/>
      <c r="AW11" s="160"/>
      <c r="AX11" s="160"/>
      <c r="AY11" s="160"/>
      <c r="AZ11" s="160"/>
      <c r="BA11" s="160"/>
      <c r="BB11" s="160"/>
      <c r="BC11" s="160"/>
      <c r="BD11" s="160"/>
      <c r="BE11" s="160"/>
      <c r="BF11" s="160"/>
    </row>
    <row r="12" spans="1:58" ht="21.5" thickBot="1" x14ac:dyDescent="0.55000000000000004">
      <c r="A12" s="137"/>
      <c r="B12" s="137"/>
      <c r="C12" s="162" t="s">
        <v>52</v>
      </c>
      <c r="D12" s="163" t="s">
        <v>53</v>
      </c>
      <c r="E12" s="164" t="s">
        <v>54</v>
      </c>
      <c r="F12" s="162" t="s">
        <v>55</v>
      </c>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c r="AG12" s="165"/>
      <c r="AH12" s="165"/>
      <c r="AI12" s="165"/>
      <c r="AJ12" s="165"/>
      <c r="AK12" s="165"/>
      <c r="AL12" s="165"/>
      <c r="AM12" s="165"/>
      <c r="AN12" s="165"/>
      <c r="AO12" s="165"/>
      <c r="AP12" s="165"/>
      <c r="AQ12" s="165"/>
      <c r="AR12" s="165"/>
      <c r="AS12" s="165"/>
      <c r="AT12" s="165"/>
      <c r="AU12" s="165"/>
      <c r="AV12" s="165"/>
      <c r="AW12" s="165"/>
      <c r="AX12" s="165"/>
      <c r="AY12" s="165"/>
      <c r="AZ12" s="165"/>
      <c r="BA12" s="165"/>
      <c r="BB12" s="165"/>
      <c r="BC12" s="165"/>
      <c r="BD12" s="165"/>
      <c r="BE12" s="165"/>
      <c r="BF12" s="165"/>
    </row>
    <row r="13" spans="1:58" ht="31.5" customHeight="1" thickBot="1" x14ac:dyDescent="0.55000000000000004">
      <c r="A13" s="137"/>
      <c r="B13" s="137"/>
      <c r="C13" s="166"/>
      <c r="D13" s="166"/>
      <c r="E13" s="166"/>
      <c r="F13" s="166"/>
      <c r="G13" s="167"/>
      <c r="H13" s="167"/>
      <c r="I13" s="167"/>
      <c r="J13" s="167"/>
      <c r="K13" s="167"/>
      <c r="L13" s="167"/>
      <c r="M13" s="167"/>
      <c r="N13" s="167"/>
      <c r="O13" s="167"/>
      <c r="P13" s="167"/>
      <c r="Q13" s="167"/>
      <c r="R13" s="167"/>
      <c r="S13" s="167"/>
      <c r="T13" s="167"/>
      <c r="U13" s="167"/>
      <c r="V13" s="167"/>
      <c r="W13" s="167"/>
      <c r="X13" s="167"/>
      <c r="Y13" s="167"/>
      <c r="Z13" s="167"/>
      <c r="AA13" s="167"/>
      <c r="AB13" s="167"/>
      <c r="AC13" s="167"/>
      <c r="AD13" s="167"/>
      <c r="AE13" s="167"/>
      <c r="AF13" s="167"/>
      <c r="AG13" s="167"/>
      <c r="AH13" s="167"/>
      <c r="AI13" s="167"/>
      <c r="AJ13" s="167"/>
      <c r="AK13" s="167"/>
      <c r="AL13" s="167"/>
      <c r="AM13" s="167"/>
      <c r="AN13" s="167"/>
      <c r="AO13" s="167"/>
      <c r="AP13" s="167"/>
      <c r="AQ13" s="167"/>
      <c r="AR13" s="167"/>
      <c r="AS13" s="167"/>
      <c r="AT13" s="167"/>
      <c r="AU13" s="167"/>
      <c r="AV13" s="167"/>
      <c r="AW13" s="167"/>
      <c r="AX13" s="167"/>
      <c r="AY13" s="167"/>
      <c r="AZ13" s="167"/>
      <c r="BA13" s="167"/>
      <c r="BB13" s="167"/>
      <c r="BC13" s="167"/>
      <c r="BD13" s="167"/>
      <c r="BE13" s="167"/>
      <c r="BF13" s="167"/>
    </row>
    <row r="14" spans="1:58" ht="21.5" thickBot="1" x14ac:dyDescent="0.55000000000000004">
      <c r="A14" s="168" t="s">
        <v>56</v>
      </c>
      <c r="B14" s="169" t="s">
        <v>57</v>
      </c>
      <c r="C14" s="170" t="s">
        <v>58</v>
      </c>
      <c r="D14" s="171" t="s">
        <v>59</v>
      </c>
      <c r="E14" s="172" t="s">
        <v>60</v>
      </c>
      <c r="F14" s="172" t="s">
        <v>20</v>
      </c>
      <c r="G14" s="173"/>
      <c r="H14" s="173"/>
      <c r="I14" s="173"/>
      <c r="J14" s="173"/>
      <c r="K14" s="173"/>
      <c r="L14" s="173"/>
      <c r="M14" s="173"/>
      <c r="N14" s="173"/>
      <c r="O14" s="173"/>
      <c r="P14" s="300"/>
      <c r="Q14" s="300"/>
      <c r="R14" s="300"/>
      <c r="S14" s="300"/>
      <c r="T14" s="300"/>
      <c r="U14" s="300"/>
      <c r="V14" s="300"/>
      <c r="W14" s="300"/>
      <c r="X14" s="300"/>
      <c r="Y14" s="300"/>
      <c r="Z14" s="300"/>
      <c r="AA14" s="300"/>
      <c r="AB14" s="300"/>
      <c r="AC14" s="300"/>
      <c r="AD14" s="300"/>
      <c r="AE14" s="300"/>
      <c r="AF14" s="300"/>
      <c r="AG14" s="300"/>
      <c r="AH14" s="300"/>
      <c r="AI14" s="300"/>
      <c r="AJ14" s="300"/>
      <c r="AK14" s="300"/>
      <c r="AL14" s="300"/>
      <c r="AM14" s="300"/>
      <c r="AN14" s="300"/>
      <c r="AO14" s="300"/>
      <c r="AP14" s="300"/>
      <c r="AQ14" s="300"/>
      <c r="AR14" s="300"/>
      <c r="AS14" s="300"/>
      <c r="AT14" s="300"/>
      <c r="AU14" s="300"/>
      <c r="AV14" s="300"/>
      <c r="AW14" s="300"/>
      <c r="AX14" s="300"/>
      <c r="AY14" s="300"/>
      <c r="AZ14" s="300"/>
      <c r="BA14" s="300"/>
      <c r="BB14" s="300"/>
      <c r="BC14" s="300"/>
      <c r="BD14" s="300"/>
      <c r="BE14" s="300"/>
      <c r="BF14" s="300"/>
    </row>
    <row r="15" spans="1:58" s="181" customFormat="1" ht="42.5" thickBot="1" x14ac:dyDescent="0.55000000000000004">
      <c r="A15" s="174" t="s">
        <v>62</v>
      </c>
      <c r="B15" s="175" t="s">
        <v>61</v>
      </c>
      <c r="C15" s="176" t="s">
        <v>62</v>
      </c>
      <c r="D15" s="177" t="str">
        <f t="shared" ref="D15:D54" si="0">SUBSTITUTE(A15," ","") &amp; "_" &amp; SUBSTITUTE(IF(B15="N/A","",B15&amp; "_")," ","")  &amp; SUBSTITUTE(SUBSTITUTE(C15," ",""),"/","")</f>
        <v>SupervisoryOrganisation_SupervisoryOrganisation</v>
      </c>
      <c r="E15" s="178" t="str">
        <f t="shared" ref="E15:E54" si="1">D15&amp;2</f>
        <v>SupervisoryOrganisation_SupervisoryOrganisation2</v>
      </c>
      <c r="F15" s="179"/>
      <c r="G15" s="180" t="s">
        <v>1204</v>
      </c>
      <c r="H15" s="298" t="s">
        <v>1204</v>
      </c>
      <c r="I15" s="298" t="s">
        <v>1204</v>
      </c>
      <c r="J15" s="298" t="s">
        <v>1204</v>
      </c>
      <c r="K15" s="298" t="s">
        <v>1204</v>
      </c>
      <c r="L15" s="298" t="s">
        <v>1204</v>
      </c>
      <c r="M15" s="298" t="s">
        <v>1204</v>
      </c>
      <c r="N15" s="298" t="s">
        <v>1204</v>
      </c>
      <c r="O15" s="298" t="s">
        <v>1204</v>
      </c>
      <c r="P15" s="298" t="s">
        <v>1204</v>
      </c>
      <c r="Q15" s="298" t="s">
        <v>1204</v>
      </c>
      <c r="R15" s="298" t="s">
        <v>1204</v>
      </c>
      <c r="S15" s="298" t="s">
        <v>1204</v>
      </c>
      <c r="T15" s="298" t="s">
        <v>1204</v>
      </c>
      <c r="U15" s="298" t="s">
        <v>1204</v>
      </c>
      <c r="V15" s="298" t="s">
        <v>1204</v>
      </c>
      <c r="W15" s="298" t="s">
        <v>1204</v>
      </c>
      <c r="X15" s="298" t="s">
        <v>1204</v>
      </c>
      <c r="Y15" s="298" t="s">
        <v>1204</v>
      </c>
      <c r="Z15" s="298" t="s">
        <v>1204</v>
      </c>
      <c r="AA15" s="298" t="s">
        <v>1204</v>
      </c>
      <c r="AB15" s="298" t="s">
        <v>1204</v>
      </c>
      <c r="AC15" s="298" t="s">
        <v>1204</v>
      </c>
      <c r="AD15" s="298" t="s">
        <v>1204</v>
      </c>
      <c r="AE15" s="298" t="s">
        <v>1204</v>
      </c>
      <c r="AF15" s="298" t="s">
        <v>1204</v>
      </c>
      <c r="AG15" s="298" t="s">
        <v>1204</v>
      </c>
      <c r="AH15" s="298" t="s">
        <v>1204</v>
      </c>
      <c r="AI15" s="298" t="s">
        <v>1204</v>
      </c>
      <c r="AJ15" s="298" t="s">
        <v>1204</v>
      </c>
      <c r="AK15" s="298" t="s">
        <v>1204</v>
      </c>
      <c r="AL15" s="298" t="s">
        <v>1204</v>
      </c>
      <c r="AM15" s="335" t="s">
        <v>1442</v>
      </c>
      <c r="AN15" s="335" t="s">
        <v>1442</v>
      </c>
      <c r="AO15" s="335" t="s">
        <v>1442</v>
      </c>
      <c r="AP15" s="335" t="s">
        <v>1442</v>
      </c>
      <c r="AQ15" s="335" t="s">
        <v>1442</v>
      </c>
      <c r="AR15" s="335" t="s">
        <v>1442</v>
      </c>
      <c r="AS15" s="335" t="s">
        <v>1442</v>
      </c>
      <c r="AT15" s="335" t="s">
        <v>1442</v>
      </c>
      <c r="AU15" s="335" t="s">
        <v>1442</v>
      </c>
      <c r="AV15" s="335" t="s">
        <v>1442</v>
      </c>
      <c r="AW15" s="335" t="s">
        <v>1442</v>
      </c>
      <c r="AX15" s="335" t="s">
        <v>1442</v>
      </c>
      <c r="AY15" s="298" t="s">
        <v>1204</v>
      </c>
      <c r="AZ15" s="298" t="s">
        <v>1204</v>
      </c>
      <c r="BA15" s="298" t="s">
        <v>1204</v>
      </c>
      <c r="BB15" s="298" t="s">
        <v>1204</v>
      </c>
      <c r="BC15" s="298" t="s">
        <v>1204</v>
      </c>
      <c r="BD15" s="298" t="s">
        <v>1204</v>
      </c>
      <c r="BE15" s="298" t="s">
        <v>1204</v>
      </c>
      <c r="BF15" s="298" t="s">
        <v>1204</v>
      </c>
    </row>
    <row r="16" spans="1:58" ht="21.5" thickBot="1" x14ac:dyDescent="0.55000000000000004">
      <c r="A16" s="182" t="s">
        <v>64</v>
      </c>
      <c r="B16" s="183" t="s">
        <v>61</v>
      </c>
      <c r="C16" s="184" t="s">
        <v>65</v>
      </c>
      <c r="D16" s="185" t="str">
        <f t="shared" si="0"/>
        <v>LegalNameInformation_Country</v>
      </c>
      <c r="E16" s="186" t="str">
        <f t="shared" si="1"/>
        <v>LegalNameInformation_Country2</v>
      </c>
      <c r="F16" s="187" t="s">
        <v>67</v>
      </c>
      <c r="G16" s="260" t="s">
        <v>227</v>
      </c>
      <c r="H16" s="188" t="s">
        <v>227</v>
      </c>
      <c r="I16" s="188" t="s">
        <v>227</v>
      </c>
      <c r="J16" s="188" t="s">
        <v>227</v>
      </c>
      <c r="K16" s="188" t="s">
        <v>227</v>
      </c>
      <c r="L16" s="188" t="s">
        <v>227</v>
      </c>
      <c r="M16" s="188" t="s">
        <v>227</v>
      </c>
      <c r="N16" s="188" t="s">
        <v>227</v>
      </c>
      <c r="O16" s="188" t="s">
        <v>227</v>
      </c>
      <c r="P16" s="188" t="s">
        <v>227</v>
      </c>
      <c r="Q16" s="188" t="s">
        <v>227</v>
      </c>
      <c r="R16" s="188" t="s">
        <v>227</v>
      </c>
      <c r="S16" s="188" t="s">
        <v>227</v>
      </c>
      <c r="T16" s="188" t="s">
        <v>227</v>
      </c>
      <c r="U16" s="188" t="s">
        <v>227</v>
      </c>
      <c r="V16" s="188" t="s">
        <v>227</v>
      </c>
      <c r="W16" s="269" t="s">
        <v>227</v>
      </c>
      <c r="X16" s="188" t="s">
        <v>227</v>
      </c>
      <c r="Y16" s="188" t="s">
        <v>227</v>
      </c>
      <c r="Z16" s="188" t="s">
        <v>227</v>
      </c>
      <c r="AA16" s="188" t="s">
        <v>227</v>
      </c>
      <c r="AB16" s="188" t="s">
        <v>227</v>
      </c>
      <c r="AC16" s="188" t="s">
        <v>227</v>
      </c>
      <c r="AD16" s="188" t="s">
        <v>227</v>
      </c>
      <c r="AE16" s="188" t="s">
        <v>227</v>
      </c>
      <c r="AF16" s="188" t="s">
        <v>227</v>
      </c>
      <c r="AG16" s="188" t="s">
        <v>227</v>
      </c>
      <c r="AH16" s="188" t="s">
        <v>227</v>
      </c>
      <c r="AI16" s="188" t="s">
        <v>227</v>
      </c>
      <c r="AJ16" s="188" t="s">
        <v>227</v>
      </c>
      <c r="AK16" s="188" t="s">
        <v>227</v>
      </c>
      <c r="AL16" s="188" t="s">
        <v>227</v>
      </c>
      <c r="AM16" s="189" t="s">
        <v>227</v>
      </c>
      <c r="AN16" s="189" t="s">
        <v>227</v>
      </c>
      <c r="AO16" s="189" t="s">
        <v>227</v>
      </c>
      <c r="AP16" s="189" t="s">
        <v>227</v>
      </c>
      <c r="AQ16" s="189" t="s">
        <v>227</v>
      </c>
      <c r="AR16" s="189" t="s">
        <v>227</v>
      </c>
      <c r="AS16" s="189" t="s">
        <v>227</v>
      </c>
      <c r="AT16" s="189" t="s">
        <v>227</v>
      </c>
      <c r="AU16" s="189" t="s">
        <v>227</v>
      </c>
      <c r="AV16" s="189" t="s">
        <v>227</v>
      </c>
      <c r="AW16" s="189" t="s">
        <v>227</v>
      </c>
      <c r="AX16" s="189" t="s">
        <v>227</v>
      </c>
      <c r="AY16" s="189" t="s">
        <v>227</v>
      </c>
      <c r="AZ16" s="189" t="s">
        <v>227</v>
      </c>
      <c r="BA16" s="189" t="s">
        <v>227</v>
      </c>
      <c r="BB16" s="189" t="s">
        <v>227</v>
      </c>
      <c r="BC16" s="189" t="s">
        <v>227</v>
      </c>
      <c r="BD16" s="189" t="s">
        <v>227</v>
      </c>
      <c r="BE16" s="189" t="s">
        <v>227</v>
      </c>
      <c r="BF16" s="189" t="s">
        <v>227</v>
      </c>
    </row>
    <row r="17" spans="1:58" ht="21.5" hidden="1" thickBot="1" x14ac:dyDescent="0.55000000000000004">
      <c r="A17" s="182" t="s">
        <v>64</v>
      </c>
      <c r="B17" s="183" t="s">
        <v>61</v>
      </c>
      <c r="C17" s="184" t="s">
        <v>1159</v>
      </c>
      <c r="D17" s="185" t="str">
        <f>SUBSTITUTE(A17," ","") &amp; "_" &amp; SUBSTITUTE(IF(B17="N/A","",B17&amp; "_")," ","")  &amp; SUBSTITUTE(SUBSTITUTE(C17," ",""),"/","")</f>
        <v>LegalNameInformation_Prefix</v>
      </c>
      <c r="E17" s="186" t="str">
        <f>D17&amp;2</f>
        <v>LegalNameInformation_Prefix2</v>
      </c>
      <c r="F17" s="190"/>
      <c r="G17" s="263" t="s">
        <v>1196</v>
      </c>
      <c r="H17" s="191" t="s">
        <v>1195</v>
      </c>
      <c r="I17" s="191" t="s">
        <v>1195</v>
      </c>
      <c r="J17" s="191" t="s">
        <v>1196</v>
      </c>
      <c r="K17" s="191" t="s">
        <v>1196</v>
      </c>
      <c r="L17" s="191" t="s">
        <v>1196</v>
      </c>
      <c r="M17" s="191" t="s">
        <v>1196</v>
      </c>
      <c r="N17" s="191" t="s">
        <v>1196</v>
      </c>
      <c r="O17" s="191" t="s">
        <v>1196</v>
      </c>
      <c r="P17" s="191" t="s">
        <v>1196</v>
      </c>
      <c r="Q17" s="191" t="s">
        <v>1196</v>
      </c>
      <c r="R17" s="191" t="s">
        <v>1196</v>
      </c>
      <c r="S17" s="191" t="s">
        <v>1196</v>
      </c>
      <c r="T17" s="191" t="s">
        <v>1196</v>
      </c>
      <c r="U17" s="191" t="s">
        <v>1196</v>
      </c>
      <c r="V17" s="191" t="s">
        <v>1196</v>
      </c>
      <c r="W17" s="295" t="s">
        <v>1196</v>
      </c>
      <c r="X17" s="191" t="s">
        <v>1196</v>
      </c>
      <c r="Y17" s="191" t="s">
        <v>1196</v>
      </c>
      <c r="Z17" s="191" t="s">
        <v>1196</v>
      </c>
      <c r="AA17" s="191" t="s">
        <v>1196</v>
      </c>
      <c r="AB17" s="191" t="s">
        <v>1196</v>
      </c>
      <c r="AC17" s="191" t="s">
        <v>1196</v>
      </c>
      <c r="AD17" s="191" t="s">
        <v>1196</v>
      </c>
      <c r="AE17" s="191" t="s">
        <v>1196</v>
      </c>
      <c r="AF17" s="191" t="s">
        <v>1196</v>
      </c>
      <c r="AG17" s="191" t="s">
        <v>1196</v>
      </c>
      <c r="AH17" s="191" t="s">
        <v>1196</v>
      </c>
      <c r="AI17" s="191" t="s">
        <v>1196</v>
      </c>
      <c r="AJ17" s="191" t="s">
        <v>1196</v>
      </c>
      <c r="AK17" s="191" t="s">
        <v>1196</v>
      </c>
      <c r="AL17" s="191" t="s">
        <v>1196</v>
      </c>
      <c r="AM17" s="192" t="s">
        <v>1196</v>
      </c>
      <c r="AN17" s="192" t="s">
        <v>1196</v>
      </c>
      <c r="AO17" s="192" t="s">
        <v>1196</v>
      </c>
      <c r="AP17" s="192" t="s">
        <v>1196</v>
      </c>
      <c r="AQ17" s="192" t="s">
        <v>1196</v>
      </c>
      <c r="AR17" s="192" t="s">
        <v>1196</v>
      </c>
      <c r="AS17" s="192" t="s">
        <v>1196</v>
      </c>
      <c r="AT17" s="192" t="s">
        <v>1196</v>
      </c>
      <c r="AU17" s="192" t="s">
        <v>1196</v>
      </c>
      <c r="AV17" s="192" t="s">
        <v>1196</v>
      </c>
      <c r="AW17" s="192" t="s">
        <v>1196</v>
      </c>
      <c r="AX17" s="192" t="s">
        <v>1196</v>
      </c>
      <c r="AY17" s="192" t="s">
        <v>1196</v>
      </c>
      <c r="AZ17" s="192" t="s">
        <v>1196</v>
      </c>
      <c r="BA17" s="192" t="s">
        <v>1196</v>
      </c>
      <c r="BB17" s="192" t="s">
        <v>1196</v>
      </c>
      <c r="BC17" s="192" t="s">
        <v>1196</v>
      </c>
      <c r="BD17" s="192" t="s">
        <v>1196</v>
      </c>
      <c r="BE17" s="192" t="s">
        <v>1196</v>
      </c>
      <c r="BF17" s="192" t="s">
        <v>1196</v>
      </c>
    </row>
    <row r="18" spans="1:58" s="201" customFormat="1" ht="21.5" thickBot="1" x14ac:dyDescent="0.55000000000000004">
      <c r="A18" s="193" t="s">
        <v>64</v>
      </c>
      <c r="B18" s="194" t="s">
        <v>61</v>
      </c>
      <c r="C18" s="195" t="s">
        <v>68</v>
      </c>
      <c r="D18" s="196" t="str">
        <f t="shared" si="0"/>
        <v>LegalNameInformation_GivenName</v>
      </c>
      <c r="E18" s="197" t="str">
        <f t="shared" si="1"/>
        <v>LegalNameInformation_GivenName2</v>
      </c>
      <c r="F18" s="198" t="s">
        <v>69</v>
      </c>
      <c r="G18" s="296" t="s">
        <v>1321</v>
      </c>
      <c r="H18" s="199" t="s">
        <v>1320</v>
      </c>
      <c r="I18" s="199" t="s">
        <v>1322</v>
      </c>
      <c r="J18" s="199" t="s">
        <v>1323</v>
      </c>
      <c r="K18" s="199" t="s">
        <v>1324</v>
      </c>
      <c r="L18" s="199" t="s">
        <v>1325</v>
      </c>
      <c r="M18" s="199" t="s">
        <v>1326</v>
      </c>
      <c r="N18" s="199" t="s">
        <v>1327</v>
      </c>
      <c r="O18" s="199" t="s">
        <v>1328</v>
      </c>
      <c r="P18" s="199" t="s">
        <v>1329</v>
      </c>
      <c r="Q18" s="199" t="s">
        <v>1330</v>
      </c>
      <c r="R18" s="199" t="s">
        <v>1331</v>
      </c>
      <c r="S18" s="199" t="s">
        <v>1332</v>
      </c>
      <c r="T18" s="199" t="s">
        <v>1333</v>
      </c>
      <c r="U18" s="199" t="s">
        <v>1334</v>
      </c>
      <c r="V18" s="199" t="s">
        <v>1335</v>
      </c>
      <c r="W18" s="297" t="s">
        <v>1336</v>
      </c>
      <c r="X18" s="199" t="s">
        <v>1337</v>
      </c>
      <c r="Y18" s="199" t="s">
        <v>1338</v>
      </c>
      <c r="Z18" s="199" t="s">
        <v>1339</v>
      </c>
      <c r="AA18" s="199" t="s">
        <v>1340</v>
      </c>
      <c r="AB18" s="199" t="s">
        <v>1341</v>
      </c>
      <c r="AC18" s="199" t="s">
        <v>1342</v>
      </c>
      <c r="AD18" s="199" t="s">
        <v>1343</v>
      </c>
      <c r="AE18" s="199" t="s">
        <v>1344</v>
      </c>
      <c r="AF18" s="199" t="s">
        <v>1345</v>
      </c>
      <c r="AG18" s="199" t="s">
        <v>1346</v>
      </c>
      <c r="AH18" s="199" t="s">
        <v>1347</v>
      </c>
      <c r="AI18" s="199" t="s">
        <v>1348</v>
      </c>
      <c r="AJ18" s="199" t="s">
        <v>1349</v>
      </c>
      <c r="AK18" s="199" t="s">
        <v>1350</v>
      </c>
      <c r="AL18" s="199" t="s">
        <v>1351</v>
      </c>
      <c r="AM18" s="200" t="s">
        <v>1321</v>
      </c>
      <c r="AN18" s="200" t="s">
        <v>1320</v>
      </c>
      <c r="AO18" s="200" t="s">
        <v>1322</v>
      </c>
      <c r="AP18" s="200" t="s">
        <v>1323</v>
      </c>
      <c r="AQ18" s="200" t="s">
        <v>1324</v>
      </c>
      <c r="AR18" s="200" t="s">
        <v>1325</v>
      </c>
      <c r="AS18" s="200" t="s">
        <v>1326</v>
      </c>
      <c r="AT18" s="200" t="s">
        <v>1327</v>
      </c>
      <c r="AU18" s="200" t="s">
        <v>1328</v>
      </c>
      <c r="AV18" s="200" t="s">
        <v>1329</v>
      </c>
      <c r="AW18" s="200" t="s">
        <v>1330</v>
      </c>
      <c r="AX18" s="200" t="s">
        <v>1331</v>
      </c>
      <c r="AY18" s="200" t="s">
        <v>1332</v>
      </c>
      <c r="AZ18" s="200" t="s">
        <v>1333</v>
      </c>
      <c r="BA18" s="200" t="s">
        <v>1334</v>
      </c>
      <c r="BB18" s="200" t="s">
        <v>1335</v>
      </c>
      <c r="BC18" s="200" t="s">
        <v>1336</v>
      </c>
      <c r="BD18" s="200" t="s">
        <v>1337</v>
      </c>
      <c r="BE18" s="200" t="s">
        <v>1338</v>
      </c>
      <c r="BF18" s="200" t="s">
        <v>1339</v>
      </c>
    </row>
    <row r="19" spans="1:58" s="201" customFormat="1" ht="21.5" thickBot="1" x14ac:dyDescent="0.55000000000000004">
      <c r="A19" s="193" t="s">
        <v>64</v>
      </c>
      <c r="B19" s="194" t="s">
        <v>61</v>
      </c>
      <c r="C19" s="195" t="s">
        <v>1155</v>
      </c>
      <c r="D19" s="196" t="str">
        <f t="shared" si="0"/>
        <v>LegalNameInformation_FamilyName</v>
      </c>
      <c r="E19" s="197" t="str">
        <f t="shared" si="1"/>
        <v>LegalNameInformation_FamilyName2</v>
      </c>
      <c r="F19" s="198" t="s">
        <v>69</v>
      </c>
      <c r="G19" s="201" t="s">
        <v>1319</v>
      </c>
      <c r="H19" s="299" t="s">
        <v>1319</v>
      </c>
      <c r="I19" s="299" t="s">
        <v>1263</v>
      </c>
      <c r="J19" s="299" t="s">
        <v>1319</v>
      </c>
      <c r="K19" s="299" t="s">
        <v>1319</v>
      </c>
      <c r="L19" s="299" t="s">
        <v>1319</v>
      </c>
      <c r="M19" s="299" t="s">
        <v>1319</v>
      </c>
      <c r="N19" s="299" t="s">
        <v>1319</v>
      </c>
      <c r="O19" s="299" t="s">
        <v>1319</v>
      </c>
      <c r="P19" s="201" t="s">
        <v>1319</v>
      </c>
      <c r="Q19" s="201" t="s">
        <v>1319</v>
      </c>
      <c r="R19" s="201" t="s">
        <v>1319</v>
      </c>
      <c r="S19" s="201" t="s">
        <v>1319</v>
      </c>
      <c r="T19" s="201" t="s">
        <v>1319</v>
      </c>
      <c r="U19" s="201" t="s">
        <v>1319</v>
      </c>
      <c r="V19" s="201" t="s">
        <v>1319</v>
      </c>
      <c r="W19" s="201" t="s">
        <v>1319</v>
      </c>
      <c r="X19" s="201" t="s">
        <v>1319</v>
      </c>
      <c r="Y19" s="201" t="s">
        <v>1319</v>
      </c>
      <c r="Z19" s="201" t="s">
        <v>1319</v>
      </c>
      <c r="AA19" s="201" t="s">
        <v>1319</v>
      </c>
      <c r="AB19" s="201" t="s">
        <v>1319</v>
      </c>
      <c r="AC19" s="201" t="s">
        <v>1319</v>
      </c>
      <c r="AD19" s="201" t="s">
        <v>1319</v>
      </c>
      <c r="AE19" s="201" t="s">
        <v>1319</v>
      </c>
      <c r="AF19" s="201" t="s">
        <v>1319</v>
      </c>
      <c r="AG19" s="201" t="s">
        <v>1319</v>
      </c>
      <c r="AH19" s="201" t="s">
        <v>1319</v>
      </c>
      <c r="AI19" s="201" t="s">
        <v>1319</v>
      </c>
      <c r="AJ19" s="201" t="s">
        <v>1319</v>
      </c>
      <c r="AK19" s="201" t="s">
        <v>1319</v>
      </c>
      <c r="AL19" s="201" t="s">
        <v>1319</v>
      </c>
      <c r="AM19" s="201" t="s">
        <v>1319</v>
      </c>
      <c r="AN19" s="201" t="s">
        <v>1319</v>
      </c>
      <c r="AO19" s="201" t="s">
        <v>1319</v>
      </c>
      <c r="AP19" s="201" t="s">
        <v>1319</v>
      </c>
      <c r="AQ19" s="201" t="s">
        <v>1319</v>
      </c>
      <c r="AR19" s="201" t="s">
        <v>1319</v>
      </c>
      <c r="AS19" s="201" t="s">
        <v>1319</v>
      </c>
      <c r="AT19" s="201" t="s">
        <v>1319</v>
      </c>
      <c r="AU19" s="201" t="s">
        <v>1319</v>
      </c>
      <c r="AV19" s="201" t="s">
        <v>1319</v>
      </c>
      <c r="AW19" s="201" t="s">
        <v>1319</v>
      </c>
      <c r="AX19" s="201" t="s">
        <v>1319</v>
      </c>
      <c r="AY19" s="201" t="s">
        <v>1319</v>
      </c>
      <c r="AZ19" s="201" t="s">
        <v>1319</v>
      </c>
      <c r="BA19" s="201" t="s">
        <v>1319</v>
      </c>
      <c r="BB19" s="201" t="s">
        <v>1319</v>
      </c>
      <c r="BC19" s="201" t="s">
        <v>1319</v>
      </c>
      <c r="BD19" s="201" t="s">
        <v>1319</v>
      </c>
      <c r="BE19" s="201" t="s">
        <v>1319</v>
      </c>
      <c r="BF19" s="299" t="s">
        <v>1319</v>
      </c>
    </row>
    <row r="20" spans="1:58" ht="21.5" thickBot="1" x14ac:dyDescent="0.55000000000000004">
      <c r="A20" s="182" t="s">
        <v>70</v>
      </c>
      <c r="B20" s="183" t="s">
        <v>71</v>
      </c>
      <c r="C20" s="195" t="s">
        <v>1205</v>
      </c>
      <c r="D20" s="185" t="str">
        <f t="shared" si="0"/>
        <v>ContactInformation_Phone_PhoneNumber</v>
      </c>
      <c r="E20" s="186" t="str">
        <f t="shared" si="1"/>
        <v>ContactInformation_Phone_PhoneNumber2</v>
      </c>
      <c r="F20" s="187"/>
      <c r="G20" s="188" t="s">
        <v>1165</v>
      </c>
      <c r="H20" s="188" t="s">
        <v>1165</v>
      </c>
      <c r="I20" s="264" t="s">
        <v>1165</v>
      </c>
      <c r="J20" s="264" t="s">
        <v>1165</v>
      </c>
      <c r="K20" s="264" t="s">
        <v>1165</v>
      </c>
      <c r="L20" s="188" t="s">
        <v>1165</v>
      </c>
      <c r="M20" s="188" t="s">
        <v>1165</v>
      </c>
      <c r="N20" s="264" t="s">
        <v>1165</v>
      </c>
      <c r="O20" s="264" t="s">
        <v>1165</v>
      </c>
      <c r="P20" s="264" t="s">
        <v>1165</v>
      </c>
      <c r="Q20" s="264" t="s">
        <v>1165</v>
      </c>
      <c r="R20" s="264" t="s">
        <v>1165</v>
      </c>
      <c r="S20" s="264" t="s">
        <v>1165</v>
      </c>
      <c r="T20" s="264" t="s">
        <v>1165</v>
      </c>
      <c r="U20" s="264" t="s">
        <v>1165</v>
      </c>
      <c r="V20" s="264" t="s">
        <v>1165</v>
      </c>
      <c r="W20" s="264" t="s">
        <v>1165</v>
      </c>
      <c r="X20" s="264" t="s">
        <v>1165</v>
      </c>
      <c r="Y20" s="264" t="s">
        <v>1165</v>
      </c>
      <c r="Z20" s="264" t="s">
        <v>1165</v>
      </c>
      <c r="AA20" s="264" t="s">
        <v>1165</v>
      </c>
      <c r="AB20" s="264" t="s">
        <v>1165</v>
      </c>
      <c r="AC20" s="264" t="s">
        <v>1165</v>
      </c>
      <c r="AD20" s="264" t="s">
        <v>1165</v>
      </c>
      <c r="AE20" s="264" t="s">
        <v>1165</v>
      </c>
      <c r="AF20" s="264" t="s">
        <v>1165</v>
      </c>
      <c r="AG20" s="264" t="s">
        <v>1165</v>
      </c>
      <c r="AH20" s="264" t="s">
        <v>1165</v>
      </c>
      <c r="AI20" s="264" t="s">
        <v>1165</v>
      </c>
      <c r="AJ20" s="264" t="s">
        <v>1165</v>
      </c>
      <c r="AK20" s="264" t="s">
        <v>1165</v>
      </c>
      <c r="AL20" s="264" t="s">
        <v>1165</v>
      </c>
      <c r="AM20" s="264" t="s">
        <v>1165</v>
      </c>
      <c r="AN20" s="264" t="s">
        <v>1165</v>
      </c>
      <c r="AO20" s="264" t="s">
        <v>1165</v>
      </c>
      <c r="AP20" s="264" t="s">
        <v>1165</v>
      </c>
      <c r="AQ20" s="264" t="s">
        <v>1165</v>
      </c>
      <c r="AR20" s="264" t="s">
        <v>1165</v>
      </c>
      <c r="AS20" s="264" t="s">
        <v>1165</v>
      </c>
      <c r="AT20" s="264" t="s">
        <v>1165</v>
      </c>
      <c r="AU20" s="264" t="s">
        <v>1165</v>
      </c>
      <c r="AV20" s="264" t="s">
        <v>1165</v>
      </c>
      <c r="AW20" s="264" t="s">
        <v>1165</v>
      </c>
      <c r="AX20" s="264" t="s">
        <v>1165</v>
      </c>
      <c r="AY20" s="264" t="s">
        <v>1165</v>
      </c>
      <c r="AZ20" s="264" t="s">
        <v>1165</v>
      </c>
      <c r="BA20" s="264" t="s">
        <v>1165</v>
      </c>
      <c r="BB20" s="264" t="s">
        <v>1165</v>
      </c>
      <c r="BC20" s="264" t="s">
        <v>1165</v>
      </c>
      <c r="BD20" s="264" t="s">
        <v>1165</v>
      </c>
      <c r="BE20" s="283" t="s">
        <v>1165</v>
      </c>
      <c r="BF20" s="264" t="s">
        <v>1165</v>
      </c>
    </row>
    <row r="21" spans="1:58" ht="21.5" thickBot="1" x14ac:dyDescent="0.55000000000000004">
      <c r="A21" s="182" t="s">
        <v>70</v>
      </c>
      <c r="B21" s="183" t="s">
        <v>71</v>
      </c>
      <c r="C21" s="195" t="s">
        <v>1206</v>
      </c>
      <c r="D21" s="185" t="str">
        <f t="shared" si="0"/>
        <v>ContactInformation_Phone_PhoneDevice</v>
      </c>
      <c r="E21" s="186" t="str">
        <f t="shared" si="1"/>
        <v>ContactInformation_Phone_PhoneDevice2</v>
      </c>
      <c r="F21" s="187"/>
      <c r="G21" s="188" t="s">
        <v>73</v>
      </c>
      <c r="H21" s="188" t="s">
        <v>73</v>
      </c>
      <c r="I21" s="188" t="s">
        <v>73</v>
      </c>
      <c r="J21" s="188" t="s">
        <v>73</v>
      </c>
      <c r="K21" s="188" t="s">
        <v>73</v>
      </c>
      <c r="L21" s="188" t="s">
        <v>73</v>
      </c>
      <c r="M21" s="188" t="s">
        <v>73</v>
      </c>
      <c r="N21" s="188" t="s">
        <v>73</v>
      </c>
      <c r="O21" s="188" t="s">
        <v>73</v>
      </c>
      <c r="P21" s="188" t="s">
        <v>73</v>
      </c>
      <c r="Q21" s="188" t="s">
        <v>73</v>
      </c>
      <c r="R21" s="188" t="s">
        <v>73</v>
      </c>
      <c r="S21" s="188" t="s">
        <v>73</v>
      </c>
      <c r="T21" s="188" t="s">
        <v>73</v>
      </c>
      <c r="U21" s="188" t="s">
        <v>73</v>
      </c>
      <c r="V21" s="188" t="s">
        <v>73</v>
      </c>
      <c r="W21" s="188" t="s">
        <v>73</v>
      </c>
      <c r="X21" s="188" t="s">
        <v>73</v>
      </c>
      <c r="Y21" s="188" t="s">
        <v>73</v>
      </c>
      <c r="Z21" s="188" t="s">
        <v>73</v>
      </c>
      <c r="AA21" s="188" t="s">
        <v>73</v>
      </c>
      <c r="AB21" s="188" t="s">
        <v>73</v>
      </c>
      <c r="AC21" s="188" t="s">
        <v>73</v>
      </c>
      <c r="AD21" s="188" t="s">
        <v>73</v>
      </c>
      <c r="AE21" s="188" t="s">
        <v>73</v>
      </c>
      <c r="AF21" s="188" t="s">
        <v>73</v>
      </c>
      <c r="AG21" s="188" t="s">
        <v>73</v>
      </c>
      <c r="AH21" s="188" t="s">
        <v>73</v>
      </c>
      <c r="AI21" s="188" t="s">
        <v>73</v>
      </c>
      <c r="AJ21" s="188" t="s">
        <v>73</v>
      </c>
      <c r="AK21" s="188" t="s">
        <v>73</v>
      </c>
      <c r="AL21" s="188" t="s">
        <v>73</v>
      </c>
      <c r="AM21" s="188" t="s">
        <v>73</v>
      </c>
      <c r="AN21" s="188" t="s">
        <v>73</v>
      </c>
      <c r="AO21" s="188" t="s">
        <v>73</v>
      </c>
      <c r="AP21" s="188" t="s">
        <v>73</v>
      </c>
      <c r="AQ21" s="188" t="s">
        <v>73</v>
      </c>
      <c r="AR21" s="188" t="s">
        <v>73</v>
      </c>
      <c r="AS21" s="188" t="s">
        <v>73</v>
      </c>
      <c r="AT21" s="188" t="s">
        <v>73</v>
      </c>
      <c r="AU21" s="188" t="s">
        <v>73</v>
      </c>
      <c r="AV21" s="188" t="s">
        <v>73</v>
      </c>
      <c r="AW21" s="188" t="s">
        <v>73</v>
      </c>
      <c r="AX21" s="188" t="s">
        <v>73</v>
      </c>
      <c r="AY21" s="188" t="s">
        <v>73</v>
      </c>
      <c r="AZ21" s="188" t="s">
        <v>73</v>
      </c>
      <c r="BA21" s="188" t="s">
        <v>73</v>
      </c>
      <c r="BB21" s="188" t="s">
        <v>73</v>
      </c>
      <c r="BC21" s="188" t="s">
        <v>73</v>
      </c>
      <c r="BD21" s="188" t="s">
        <v>73</v>
      </c>
      <c r="BE21" s="260" t="s">
        <v>73</v>
      </c>
      <c r="BF21" s="188" t="s">
        <v>73</v>
      </c>
    </row>
    <row r="22" spans="1:58" ht="21.5" thickBot="1" x14ac:dyDescent="0.55000000000000004">
      <c r="A22" s="182" t="s">
        <v>70</v>
      </c>
      <c r="B22" s="183" t="s">
        <v>71</v>
      </c>
      <c r="C22" s="195" t="s">
        <v>74</v>
      </c>
      <c r="D22" s="185" t="str">
        <f t="shared" si="0"/>
        <v>ContactInformation_Phone_Type</v>
      </c>
      <c r="E22" s="186" t="str">
        <f t="shared" si="1"/>
        <v>ContactInformation_Phone_Type2</v>
      </c>
      <c r="F22" s="187"/>
      <c r="G22" s="188" t="s">
        <v>76</v>
      </c>
      <c r="H22" s="188" t="s">
        <v>76</v>
      </c>
      <c r="I22" s="188" t="s">
        <v>76</v>
      </c>
      <c r="J22" s="188" t="s">
        <v>76</v>
      </c>
      <c r="K22" s="188" t="s">
        <v>76</v>
      </c>
      <c r="L22" s="188" t="s">
        <v>76</v>
      </c>
      <c r="M22" s="188" t="s">
        <v>76</v>
      </c>
      <c r="N22" s="188" t="s">
        <v>76</v>
      </c>
      <c r="O22" s="188" t="s">
        <v>76</v>
      </c>
      <c r="P22" s="188" t="s">
        <v>76</v>
      </c>
      <c r="Q22" s="188" t="s">
        <v>76</v>
      </c>
      <c r="R22" s="188" t="s">
        <v>76</v>
      </c>
      <c r="S22" s="188" t="s">
        <v>76</v>
      </c>
      <c r="T22" s="188" t="s">
        <v>76</v>
      </c>
      <c r="U22" s="188" t="s">
        <v>76</v>
      </c>
      <c r="V22" s="188" t="s">
        <v>76</v>
      </c>
      <c r="W22" s="188" t="s">
        <v>76</v>
      </c>
      <c r="X22" s="188" t="s">
        <v>76</v>
      </c>
      <c r="Y22" s="188" t="s">
        <v>76</v>
      </c>
      <c r="Z22" s="188" t="s">
        <v>76</v>
      </c>
      <c r="AA22" s="188" t="s">
        <v>76</v>
      </c>
      <c r="AB22" s="188" t="s">
        <v>76</v>
      </c>
      <c r="AC22" s="188" t="s">
        <v>76</v>
      </c>
      <c r="AD22" s="188" t="s">
        <v>76</v>
      </c>
      <c r="AE22" s="188" t="s">
        <v>76</v>
      </c>
      <c r="AF22" s="188" t="s">
        <v>76</v>
      </c>
      <c r="AG22" s="188" t="s">
        <v>76</v>
      </c>
      <c r="AH22" s="188" t="s">
        <v>76</v>
      </c>
      <c r="AI22" s="188" t="s">
        <v>76</v>
      </c>
      <c r="AJ22" s="188" t="s">
        <v>76</v>
      </c>
      <c r="AK22" s="188" t="s">
        <v>76</v>
      </c>
      <c r="AL22" s="188" t="s">
        <v>76</v>
      </c>
      <c r="AM22" s="188" t="s">
        <v>76</v>
      </c>
      <c r="AN22" s="188" t="s">
        <v>76</v>
      </c>
      <c r="AO22" s="188" t="s">
        <v>76</v>
      </c>
      <c r="AP22" s="188" t="s">
        <v>76</v>
      </c>
      <c r="AQ22" s="188" t="s">
        <v>76</v>
      </c>
      <c r="AR22" s="188" t="s">
        <v>76</v>
      </c>
      <c r="AS22" s="188" t="s">
        <v>76</v>
      </c>
      <c r="AT22" s="188" t="s">
        <v>76</v>
      </c>
      <c r="AU22" s="188" t="s">
        <v>76</v>
      </c>
      <c r="AV22" s="188" t="s">
        <v>76</v>
      </c>
      <c r="AW22" s="188" t="s">
        <v>76</v>
      </c>
      <c r="AX22" s="188" t="s">
        <v>76</v>
      </c>
      <c r="AY22" s="188" t="s">
        <v>76</v>
      </c>
      <c r="AZ22" s="188" t="s">
        <v>76</v>
      </c>
      <c r="BA22" s="188" t="s">
        <v>76</v>
      </c>
      <c r="BB22" s="188" t="s">
        <v>76</v>
      </c>
      <c r="BC22" s="188" t="s">
        <v>76</v>
      </c>
      <c r="BD22" s="188" t="s">
        <v>76</v>
      </c>
      <c r="BE22" s="188" t="s">
        <v>76</v>
      </c>
      <c r="BF22" s="188" t="s">
        <v>76</v>
      </c>
    </row>
    <row r="23" spans="1:58" s="206" customFormat="1" ht="21.5" thickBot="1" x14ac:dyDescent="0.55000000000000004">
      <c r="A23" s="182" t="s">
        <v>70</v>
      </c>
      <c r="B23" s="183" t="s">
        <v>77</v>
      </c>
      <c r="C23" s="195" t="s">
        <v>1207</v>
      </c>
      <c r="D23" s="202" t="str">
        <f t="shared" si="0"/>
        <v>ContactInformation_Address_EffectiveDate</v>
      </c>
      <c r="E23" s="203" t="str">
        <f t="shared" si="1"/>
        <v>ContactInformation_Address_EffectiveDate2</v>
      </c>
      <c r="F23" s="204"/>
      <c r="G23" s="205">
        <f t="shared" ref="G23:P23" ca="1" si="2">TODAY()-31</f>
        <v>45689</v>
      </c>
      <c r="H23" s="205">
        <f t="shared" ca="1" si="2"/>
        <v>45689</v>
      </c>
      <c r="I23" s="205">
        <f t="shared" ca="1" si="2"/>
        <v>45689</v>
      </c>
      <c r="J23" s="205">
        <f t="shared" ca="1" si="2"/>
        <v>45689</v>
      </c>
      <c r="K23" s="205">
        <f t="shared" ca="1" si="2"/>
        <v>45689</v>
      </c>
      <c r="L23" s="205">
        <f t="shared" ca="1" si="2"/>
        <v>45689</v>
      </c>
      <c r="M23" s="205">
        <f t="shared" ca="1" si="2"/>
        <v>45689</v>
      </c>
      <c r="N23" s="205">
        <f t="shared" ca="1" si="2"/>
        <v>45689</v>
      </c>
      <c r="O23" s="205">
        <f t="shared" ca="1" si="2"/>
        <v>45689</v>
      </c>
      <c r="P23" s="205">
        <f t="shared" ca="1" si="2"/>
        <v>45689</v>
      </c>
      <c r="Q23" s="205">
        <f t="shared" ref="Q23" ca="1" si="3">TODAY()-31</f>
        <v>45689</v>
      </c>
      <c r="R23" s="207">
        <f ca="1">TODAY()-31</f>
        <v>45689</v>
      </c>
      <c r="S23" s="207">
        <f ca="1">TODAY()-31</f>
        <v>45689</v>
      </c>
      <c r="T23" s="207">
        <f ca="1">TODAY()-31</f>
        <v>45689</v>
      </c>
      <c r="U23" s="207">
        <f ca="1">TODAY()-31</f>
        <v>45689</v>
      </c>
      <c r="V23" s="207">
        <f ca="1">TODAY()-31</f>
        <v>45689</v>
      </c>
      <c r="W23" s="207">
        <f ca="1">TODAY()+60</f>
        <v>45780</v>
      </c>
      <c r="X23" s="207">
        <f t="shared" ref="X23:AE23" ca="1" si="4">TODAY()-31</f>
        <v>45689</v>
      </c>
      <c r="Y23" s="133">
        <f t="shared" ca="1" si="4"/>
        <v>45689</v>
      </c>
      <c r="Z23" s="133">
        <f t="shared" ca="1" si="4"/>
        <v>45689</v>
      </c>
      <c r="AA23" s="133">
        <f t="shared" ca="1" si="4"/>
        <v>45689</v>
      </c>
      <c r="AB23" s="133">
        <f t="shared" ca="1" si="4"/>
        <v>45689</v>
      </c>
      <c r="AC23" s="133">
        <f t="shared" ca="1" si="4"/>
        <v>45689</v>
      </c>
      <c r="AD23" s="133">
        <f t="shared" ca="1" si="4"/>
        <v>45689</v>
      </c>
      <c r="AE23" s="133">
        <f t="shared" ca="1" si="4"/>
        <v>45689</v>
      </c>
      <c r="AF23" s="133">
        <f ca="1">TODAY()+91</f>
        <v>45811</v>
      </c>
      <c r="AG23" s="133">
        <f ca="1">TODAY()-31</f>
        <v>45689</v>
      </c>
      <c r="AH23" s="133">
        <f ca="1">TODAY()+91</f>
        <v>45811</v>
      </c>
      <c r="AI23" s="133">
        <f ca="1">TODAY()-31</f>
        <v>45689</v>
      </c>
      <c r="AJ23" s="133">
        <f ca="1">TODAY()-31</f>
        <v>45689</v>
      </c>
      <c r="AK23" s="133">
        <f ca="1">TODAY()-31</f>
        <v>45689</v>
      </c>
      <c r="AL23" s="133">
        <f ca="1">TODAY()-31</f>
        <v>45689</v>
      </c>
      <c r="AM23" s="334">
        <f ca="1">TODAY()+14</f>
        <v>45734</v>
      </c>
      <c r="AN23" s="334">
        <f ca="1">TODAY()-31</f>
        <v>45689</v>
      </c>
      <c r="AO23" s="334">
        <f ca="1">TODAY()-31</f>
        <v>45689</v>
      </c>
      <c r="AP23" s="334">
        <f ca="1">TODAY()-31</f>
        <v>45689</v>
      </c>
      <c r="AQ23" s="334">
        <f ca="1">TODAY()-31</f>
        <v>45689</v>
      </c>
      <c r="AR23" s="334">
        <f ca="1">TODAY()-60</f>
        <v>45660</v>
      </c>
      <c r="AS23" s="334">
        <f t="shared" ref="AS23:BF23" ca="1" si="5">TODAY()-31</f>
        <v>45689</v>
      </c>
      <c r="AT23" s="334">
        <f t="shared" ca="1" si="5"/>
        <v>45689</v>
      </c>
      <c r="AU23" s="334">
        <f t="shared" ca="1" si="5"/>
        <v>45689</v>
      </c>
      <c r="AV23" s="334">
        <f t="shared" ca="1" si="5"/>
        <v>45689</v>
      </c>
      <c r="AW23" s="334">
        <f t="shared" ca="1" si="5"/>
        <v>45689</v>
      </c>
      <c r="AX23" s="334">
        <f t="shared" ca="1" si="5"/>
        <v>45689</v>
      </c>
      <c r="AY23" s="334">
        <f t="shared" ca="1" si="5"/>
        <v>45689</v>
      </c>
      <c r="AZ23" s="334">
        <f t="shared" ca="1" si="5"/>
        <v>45689</v>
      </c>
      <c r="BA23" s="334">
        <f t="shared" ca="1" si="5"/>
        <v>45689</v>
      </c>
      <c r="BB23" s="334">
        <f t="shared" ca="1" si="5"/>
        <v>45689</v>
      </c>
      <c r="BC23" s="334">
        <f t="shared" ca="1" si="5"/>
        <v>45689</v>
      </c>
      <c r="BD23" s="334">
        <f t="shared" ca="1" si="5"/>
        <v>45689</v>
      </c>
      <c r="BE23" s="334">
        <f t="shared" ca="1" si="5"/>
        <v>45689</v>
      </c>
      <c r="BF23" s="334">
        <f t="shared" ca="1" si="5"/>
        <v>45689</v>
      </c>
    </row>
    <row r="24" spans="1:58" ht="21.5" thickBot="1" x14ac:dyDescent="0.55000000000000004">
      <c r="A24" s="182" t="s">
        <v>70</v>
      </c>
      <c r="B24" s="183" t="s">
        <v>77</v>
      </c>
      <c r="C24" s="195" t="s">
        <v>65</v>
      </c>
      <c r="D24" s="185" t="str">
        <f t="shared" si="0"/>
        <v>ContactInformation_Address_Country</v>
      </c>
      <c r="E24" s="186" t="str">
        <f t="shared" si="1"/>
        <v>ContactInformation_Address_Country2</v>
      </c>
      <c r="F24" s="187"/>
      <c r="G24" s="188" t="s">
        <v>227</v>
      </c>
      <c r="H24" s="188" t="s">
        <v>227</v>
      </c>
      <c r="I24" s="188" t="s">
        <v>227</v>
      </c>
      <c r="J24" s="188" t="s">
        <v>227</v>
      </c>
      <c r="K24" s="188" t="s">
        <v>227</v>
      </c>
      <c r="L24" s="188" t="s">
        <v>227</v>
      </c>
      <c r="M24" s="188" t="s">
        <v>227</v>
      </c>
      <c r="N24" s="188" t="s">
        <v>227</v>
      </c>
      <c r="O24" s="188" t="s">
        <v>227</v>
      </c>
      <c r="P24" s="188" t="s">
        <v>227</v>
      </c>
      <c r="Q24" s="188" t="s">
        <v>227</v>
      </c>
      <c r="R24" s="188" t="s">
        <v>227</v>
      </c>
      <c r="S24" s="188" t="s">
        <v>227</v>
      </c>
      <c r="T24" s="188" t="s">
        <v>227</v>
      </c>
      <c r="U24" s="188" t="s">
        <v>227</v>
      </c>
      <c r="V24" s="188" t="s">
        <v>227</v>
      </c>
      <c r="W24" s="188" t="s">
        <v>227</v>
      </c>
      <c r="X24" s="188" t="s">
        <v>227</v>
      </c>
      <c r="Y24" s="188" t="s">
        <v>227</v>
      </c>
      <c r="Z24" s="188" t="s">
        <v>227</v>
      </c>
      <c r="AA24" s="188" t="s">
        <v>227</v>
      </c>
      <c r="AB24" s="188" t="s">
        <v>227</v>
      </c>
      <c r="AC24" s="188" t="s">
        <v>227</v>
      </c>
      <c r="AD24" s="188" t="s">
        <v>227</v>
      </c>
      <c r="AE24" s="188" t="s">
        <v>227</v>
      </c>
      <c r="AF24" s="188" t="s">
        <v>227</v>
      </c>
      <c r="AG24" s="188" t="s">
        <v>227</v>
      </c>
      <c r="AH24" s="188" t="s">
        <v>227</v>
      </c>
      <c r="AI24" s="188" t="s">
        <v>227</v>
      </c>
      <c r="AJ24" s="188" t="s">
        <v>227</v>
      </c>
      <c r="AK24" s="188" t="s">
        <v>227</v>
      </c>
      <c r="AL24" s="188" t="s">
        <v>227</v>
      </c>
      <c r="AM24" s="188" t="s">
        <v>227</v>
      </c>
      <c r="AN24" s="188" t="s">
        <v>227</v>
      </c>
      <c r="AO24" s="188" t="s">
        <v>227</v>
      </c>
      <c r="AP24" s="188" t="s">
        <v>227</v>
      </c>
      <c r="AQ24" s="188" t="s">
        <v>227</v>
      </c>
      <c r="AR24" s="188" t="s">
        <v>227</v>
      </c>
      <c r="AS24" s="188" t="s">
        <v>227</v>
      </c>
      <c r="AT24" s="188" t="s">
        <v>227</v>
      </c>
      <c r="AU24" s="188" t="s">
        <v>227</v>
      </c>
      <c r="AV24" s="188" t="s">
        <v>227</v>
      </c>
      <c r="AW24" s="188" t="s">
        <v>227</v>
      </c>
      <c r="AX24" s="188" t="s">
        <v>227</v>
      </c>
      <c r="AY24" s="188" t="s">
        <v>227</v>
      </c>
      <c r="AZ24" s="188" t="s">
        <v>227</v>
      </c>
      <c r="BA24" s="188" t="s">
        <v>227</v>
      </c>
      <c r="BB24" s="188" t="s">
        <v>227</v>
      </c>
      <c r="BC24" s="188" t="s">
        <v>227</v>
      </c>
      <c r="BD24" s="188" t="s">
        <v>227</v>
      </c>
      <c r="BE24" s="188" t="s">
        <v>227</v>
      </c>
      <c r="BF24" s="188" t="s">
        <v>227</v>
      </c>
    </row>
    <row r="25" spans="1:58" ht="21.5" thickBot="1" x14ac:dyDescent="0.55000000000000004">
      <c r="A25" s="182" t="s">
        <v>70</v>
      </c>
      <c r="B25" s="183" t="s">
        <v>77</v>
      </c>
      <c r="C25" s="195" t="s">
        <v>1182</v>
      </c>
      <c r="D25" s="185" t="str">
        <f t="shared" si="0"/>
        <v>ContactInformation_Address_StreetName</v>
      </c>
      <c r="E25" s="186" t="str">
        <f t="shared" si="1"/>
        <v>ContactInformation_Address_StreetName2</v>
      </c>
      <c r="F25" s="187"/>
      <c r="G25" s="188" t="s">
        <v>1181</v>
      </c>
      <c r="H25" s="188" t="s">
        <v>1181</v>
      </c>
      <c r="I25" s="188" t="s">
        <v>1181</v>
      </c>
      <c r="J25" s="188" t="s">
        <v>1181</v>
      </c>
      <c r="K25" s="188" t="s">
        <v>1181</v>
      </c>
      <c r="L25" s="188" t="s">
        <v>1181</v>
      </c>
      <c r="M25" s="188" t="s">
        <v>1181</v>
      </c>
      <c r="N25" s="188" t="s">
        <v>1181</v>
      </c>
      <c r="O25" s="188" t="s">
        <v>1181</v>
      </c>
      <c r="P25" s="188" t="s">
        <v>1181</v>
      </c>
      <c r="Q25" s="188" t="s">
        <v>1181</v>
      </c>
      <c r="R25" s="188" t="s">
        <v>1181</v>
      </c>
      <c r="S25" s="188" t="s">
        <v>1181</v>
      </c>
      <c r="T25" s="188" t="s">
        <v>1181</v>
      </c>
      <c r="U25" s="188" t="s">
        <v>1181</v>
      </c>
      <c r="V25" s="188" t="s">
        <v>1181</v>
      </c>
      <c r="W25" s="188" t="s">
        <v>1181</v>
      </c>
      <c r="X25" s="188" t="s">
        <v>1181</v>
      </c>
      <c r="Y25" s="188" t="s">
        <v>1181</v>
      </c>
      <c r="Z25" s="188" t="s">
        <v>1181</v>
      </c>
      <c r="AA25" s="188" t="s">
        <v>1181</v>
      </c>
      <c r="AB25" s="188" t="s">
        <v>1181</v>
      </c>
      <c r="AC25" s="188" t="s">
        <v>1181</v>
      </c>
      <c r="AD25" s="188" t="s">
        <v>1181</v>
      </c>
      <c r="AE25" s="188" t="s">
        <v>1181</v>
      </c>
      <c r="AF25" s="188" t="s">
        <v>1181</v>
      </c>
      <c r="AG25" s="188" t="s">
        <v>1181</v>
      </c>
      <c r="AH25" s="188" t="s">
        <v>1181</v>
      </c>
      <c r="AI25" s="188" t="s">
        <v>1181</v>
      </c>
      <c r="AJ25" s="188" t="s">
        <v>1181</v>
      </c>
      <c r="AK25" s="188" t="s">
        <v>1181</v>
      </c>
      <c r="AL25" s="188" t="s">
        <v>1181</v>
      </c>
      <c r="AM25" s="188" t="s">
        <v>1181</v>
      </c>
      <c r="AN25" s="188" t="s">
        <v>1181</v>
      </c>
      <c r="AO25" s="188" t="s">
        <v>1181</v>
      </c>
      <c r="AP25" s="188" t="s">
        <v>1181</v>
      </c>
      <c r="AQ25" s="188" t="s">
        <v>1181</v>
      </c>
      <c r="AR25" s="188" t="s">
        <v>1181</v>
      </c>
      <c r="AS25" s="188" t="s">
        <v>1181</v>
      </c>
      <c r="AT25" s="188" t="s">
        <v>1181</v>
      </c>
      <c r="AU25" s="188" t="s">
        <v>1181</v>
      </c>
      <c r="AV25" s="188" t="s">
        <v>1181</v>
      </c>
      <c r="AW25" s="188" t="s">
        <v>1181</v>
      </c>
      <c r="AX25" s="188" t="s">
        <v>1181</v>
      </c>
      <c r="AY25" s="188" t="s">
        <v>1181</v>
      </c>
      <c r="AZ25" s="188" t="s">
        <v>1181</v>
      </c>
      <c r="BA25" s="188" t="s">
        <v>1181</v>
      </c>
      <c r="BB25" s="188" t="s">
        <v>1181</v>
      </c>
      <c r="BC25" s="188" t="s">
        <v>1181</v>
      </c>
      <c r="BD25" s="188" t="s">
        <v>1181</v>
      </c>
      <c r="BE25" s="188" t="s">
        <v>1181</v>
      </c>
      <c r="BF25" s="188" t="s">
        <v>1181</v>
      </c>
    </row>
    <row r="26" spans="1:58" ht="21.5" thickBot="1" x14ac:dyDescent="0.55000000000000004">
      <c r="A26" s="182" t="s">
        <v>70</v>
      </c>
      <c r="B26" s="183" t="s">
        <v>77</v>
      </c>
      <c r="C26" s="195" t="s">
        <v>1183</v>
      </c>
      <c r="D26" s="185" t="str">
        <f>SUBSTITUTE(A26," ","") &amp; "_" &amp; SUBSTITUTE(IF(B26="N/A","",B26&amp; "_")," ","")  &amp; SUBSTITUTE(SUBSTITUTE(C26," ",""),"/","")</f>
        <v>ContactInformation_Address_Province</v>
      </c>
      <c r="E26" s="186" t="str">
        <f>D26&amp;2</f>
        <v>ContactInformation_Address_Province2</v>
      </c>
      <c r="F26" s="187" t="s">
        <v>1184</v>
      </c>
      <c r="G26" s="188" t="s">
        <v>1172</v>
      </c>
      <c r="H26" s="188" t="s">
        <v>1172</v>
      </c>
      <c r="I26" s="188" t="s">
        <v>1172</v>
      </c>
      <c r="J26" s="188" t="s">
        <v>1172</v>
      </c>
      <c r="K26" s="188" t="s">
        <v>1172</v>
      </c>
      <c r="L26" s="188" t="s">
        <v>1172</v>
      </c>
      <c r="M26" s="188" t="s">
        <v>1172</v>
      </c>
      <c r="N26" s="188" t="s">
        <v>1172</v>
      </c>
      <c r="O26" s="188" t="s">
        <v>1172</v>
      </c>
      <c r="P26" s="188" t="s">
        <v>1172</v>
      </c>
      <c r="Q26" s="188" t="s">
        <v>1172</v>
      </c>
      <c r="R26" s="188" t="s">
        <v>1172</v>
      </c>
      <c r="S26" s="188" t="s">
        <v>1172</v>
      </c>
      <c r="T26" s="188" t="s">
        <v>1172</v>
      </c>
      <c r="U26" s="188" t="s">
        <v>1172</v>
      </c>
      <c r="V26" s="188" t="s">
        <v>1172</v>
      </c>
      <c r="W26" s="188" t="s">
        <v>1172</v>
      </c>
      <c r="X26" s="188" t="s">
        <v>1172</v>
      </c>
      <c r="Y26" s="188" t="s">
        <v>1172</v>
      </c>
      <c r="Z26" s="188" t="s">
        <v>1172</v>
      </c>
      <c r="AA26" s="188" t="s">
        <v>1172</v>
      </c>
      <c r="AB26" s="188" t="s">
        <v>1172</v>
      </c>
      <c r="AC26" s="188" t="s">
        <v>1172</v>
      </c>
      <c r="AD26" s="188" t="s">
        <v>1172</v>
      </c>
      <c r="AE26" s="188" t="s">
        <v>1172</v>
      </c>
      <c r="AF26" s="188" t="s">
        <v>1172</v>
      </c>
      <c r="AG26" s="188" t="s">
        <v>1172</v>
      </c>
      <c r="AH26" s="188" t="s">
        <v>1172</v>
      </c>
      <c r="AI26" s="188" t="s">
        <v>1172</v>
      </c>
      <c r="AJ26" s="188" t="s">
        <v>1172</v>
      </c>
      <c r="AK26" s="188" t="s">
        <v>1172</v>
      </c>
      <c r="AL26" s="188" t="s">
        <v>1172</v>
      </c>
      <c r="AM26" s="188" t="s">
        <v>1172</v>
      </c>
      <c r="AN26" s="188" t="s">
        <v>1172</v>
      </c>
      <c r="AO26" s="188" t="s">
        <v>1172</v>
      </c>
      <c r="AP26" s="188" t="s">
        <v>1172</v>
      </c>
      <c r="AQ26" s="188" t="s">
        <v>1172</v>
      </c>
      <c r="AR26" s="188" t="s">
        <v>1172</v>
      </c>
      <c r="AS26" s="188" t="s">
        <v>1172</v>
      </c>
      <c r="AT26" s="188" t="s">
        <v>1172</v>
      </c>
      <c r="AU26" s="188" t="s">
        <v>1172</v>
      </c>
      <c r="AV26" s="188" t="s">
        <v>1172</v>
      </c>
      <c r="AW26" s="188" t="s">
        <v>1172</v>
      </c>
      <c r="AX26" s="188" t="s">
        <v>1172</v>
      </c>
      <c r="AY26" s="188" t="s">
        <v>1172</v>
      </c>
      <c r="AZ26" s="188" t="s">
        <v>1172</v>
      </c>
      <c r="BA26" s="188" t="s">
        <v>1172</v>
      </c>
      <c r="BB26" s="188" t="s">
        <v>1172</v>
      </c>
      <c r="BC26" s="188" t="s">
        <v>1172</v>
      </c>
      <c r="BD26" s="188" t="s">
        <v>1172</v>
      </c>
      <c r="BE26" s="188" t="s">
        <v>1172</v>
      </c>
      <c r="BF26" s="188" t="s">
        <v>1172</v>
      </c>
    </row>
    <row r="27" spans="1:58" ht="21.5" thickBot="1" x14ac:dyDescent="0.55000000000000004">
      <c r="A27" s="182" t="s">
        <v>70</v>
      </c>
      <c r="B27" s="183" t="s">
        <v>77</v>
      </c>
      <c r="C27" s="195" t="s">
        <v>1208</v>
      </c>
      <c r="D27" s="185" t="str">
        <f t="shared" si="0"/>
        <v>ContactInformation_Address_PostalCode</v>
      </c>
      <c r="E27" s="186" t="str">
        <f t="shared" si="1"/>
        <v>ContactInformation_Address_PostalCode2</v>
      </c>
      <c r="F27" s="187"/>
      <c r="G27" s="188" t="s">
        <v>1169</v>
      </c>
      <c r="H27" s="188" t="s">
        <v>1169</v>
      </c>
      <c r="I27" s="188">
        <v>1</v>
      </c>
      <c r="J27" s="188">
        <v>1</v>
      </c>
      <c r="K27" s="188">
        <v>1</v>
      </c>
      <c r="L27" s="188" t="s">
        <v>1169</v>
      </c>
      <c r="M27" s="188" t="s">
        <v>1169</v>
      </c>
      <c r="N27" s="188">
        <v>1</v>
      </c>
      <c r="O27" s="188">
        <v>1</v>
      </c>
      <c r="P27" s="188">
        <v>1</v>
      </c>
      <c r="Q27" s="188">
        <v>1</v>
      </c>
      <c r="R27" s="188">
        <v>1</v>
      </c>
      <c r="S27" s="188">
        <v>1</v>
      </c>
      <c r="T27" s="188">
        <v>1</v>
      </c>
      <c r="U27" s="188">
        <v>1</v>
      </c>
      <c r="V27" s="188">
        <v>1</v>
      </c>
      <c r="W27" s="188">
        <v>1</v>
      </c>
      <c r="X27" s="188">
        <v>1</v>
      </c>
      <c r="Y27" s="188">
        <v>1</v>
      </c>
      <c r="Z27" s="188">
        <v>1</v>
      </c>
      <c r="AA27" s="188">
        <v>1</v>
      </c>
      <c r="AB27" s="188">
        <v>1</v>
      </c>
      <c r="AC27" s="188">
        <v>1</v>
      </c>
      <c r="AD27" s="188">
        <v>1</v>
      </c>
      <c r="AE27" s="188">
        <v>1</v>
      </c>
      <c r="AF27" s="188">
        <v>1</v>
      </c>
      <c r="AG27" s="188">
        <v>1</v>
      </c>
      <c r="AH27" s="188">
        <v>1</v>
      </c>
      <c r="AI27" s="188">
        <v>1</v>
      </c>
      <c r="AJ27" s="188">
        <v>1</v>
      </c>
      <c r="AK27" s="188">
        <v>1</v>
      </c>
      <c r="AL27" s="188">
        <v>1</v>
      </c>
      <c r="AM27" s="188">
        <v>1</v>
      </c>
      <c r="AN27" s="188">
        <v>1</v>
      </c>
      <c r="AO27" s="188">
        <v>1</v>
      </c>
      <c r="AP27" s="188">
        <v>1</v>
      </c>
      <c r="AQ27" s="188">
        <v>1</v>
      </c>
      <c r="AR27" s="188">
        <v>1</v>
      </c>
      <c r="AS27" s="188">
        <v>1</v>
      </c>
      <c r="AT27" s="188">
        <v>1</v>
      </c>
      <c r="AU27" s="188">
        <v>1</v>
      </c>
      <c r="AV27" s="188">
        <v>1</v>
      </c>
      <c r="AW27" s="188">
        <v>1</v>
      </c>
      <c r="AX27" s="188">
        <v>1</v>
      </c>
      <c r="AY27" s="188">
        <v>1</v>
      </c>
      <c r="AZ27" s="188">
        <v>1</v>
      </c>
      <c r="BA27" s="188">
        <v>1</v>
      </c>
      <c r="BB27" s="188">
        <v>1</v>
      </c>
      <c r="BC27" s="188">
        <v>1</v>
      </c>
      <c r="BD27" s="188">
        <v>1</v>
      </c>
      <c r="BE27" s="188">
        <v>1</v>
      </c>
      <c r="BF27" s="188">
        <v>1</v>
      </c>
    </row>
    <row r="28" spans="1:58" ht="21.5" thickBot="1" x14ac:dyDescent="0.55000000000000004">
      <c r="A28" s="182" t="s">
        <v>70</v>
      </c>
      <c r="B28" s="183" t="s">
        <v>77</v>
      </c>
      <c r="C28" s="195" t="s">
        <v>78</v>
      </c>
      <c r="D28" s="185" t="str">
        <f>SUBSTITUTE(A28," ","") &amp; "_" &amp; SUBSTITUTE(IF(B28="N/A","",B28&amp; "_")," ","")  &amp; SUBSTITUTE(SUBSTITUTE(C28," ",""),"/","")</f>
        <v>ContactInformation_Address_City</v>
      </c>
      <c r="E28" s="186" t="str">
        <f>D28&amp;2</f>
        <v>ContactInformation_Address_City2</v>
      </c>
      <c r="F28" s="187"/>
      <c r="G28" s="188" t="s">
        <v>1166</v>
      </c>
      <c r="H28" s="188" t="s">
        <v>1166</v>
      </c>
      <c r="I28" s="188" t="s">
        <v>1166</v>
      </c>
      <c r="J28" s="188" t="s">
        <v>1166</v>
      </c>
      <c r="K28" s="188" t="s">
        <v>1166</v>
      </c>
      <c r="L28" s="188" t="s">
        <v>1166</v>
      </c>
      <c r="M28" s="188" t="s">
        <v>1166</v>
      </c>
      <c r="N28" s="188" t="s">
        <v>1166</v>
      </c>
      <c r="O28" s="188" t="s">
        <v>1166</v>
      </c>
      <c r="P28" s="188" t="s">
        <v>1166</v>
      </c>
      <c r="Q28" s="188" t="s">
        <v>1166</v>
      </c>
      <c r="R28" s="188" t="s">
        <v>1166</v>
      </c>
      <c r="S28" s="188" t="s">
        <v>1166</v>
      </c>
      <c r="T28" s="188" t="s">
        <v>1166</v>
      </c>
      <c r="U28" s="188" t="s">
        <v>1166</v>
      </c>
      <c r="V28" s="188" t="s">
        <v>1166</v>
      </c>
      <c r="W28" s="188" t="s">
        <v>1166</v>
      </c>
      <c r="X28" s="188" t="s">
        <v>1166</v>
      </c>
      <c r="Y28" s="188" t="s">
        <v>1166</v>
      </c>
      <c r="Z28" s="188" t="s">
        <v>1166</v>
      </c>
      <c r="AA28" s="188" t="s">
        <v>1166</v>
      </c>
      <c r="AB28" s="188" t="s">
        <v>1166</v>
      </c>
      <c r="AC28" s="188" t="s">
        <v>1166</v>
      </c>
      <c r="AD28" s="188" t="s">
        <v>1166</v>
      </c>
      <c r="AE28" s="188" t="s">
        <v>1166</v>
      </c>
      <c r="AF28" s="188" t="s">
        <v>1166</v>
      </c>
      <c r="AG28" s="188" t="s">
        <v>1166</v>
      </c>
      <c r="AH28" s="188" t="s">
        <v>1166</v>
      </c>
      <c r="AI28" s="188" t="s">
        <v>1166</v>
      </c>
      <c r="AJ28" s="188" t="s">
        <v>1166</v>
      </c>
      <c r="AK28" s="188" t="s">
        <v>1166</v>
      </c>
      <c r="AL28" s="188" t="s">
        <v>1166</v>
      </c>
      <c r="AM28" s="188" t="s">
        <v>1166</v>
      </c>
      <c r="AN28" s="188" t="s">
        <v>1166</v>
      </c>
      <c r="AO28" s="188" t="s">
        <v>1166</v>
      </c>
      <c r="AP28" s="188" t="s">
        <v>1166</v>
      </c>
      <c r="AQ28" s="188" t="s">
        <v>1166</v>
      </c>
      <c r="AR28" s="188" t="s">
        <v>1166</v>
      </c>
      <c r="AS28" s="188" t="s">
        <v>1166</v>
      </c>
      <c r="AT28" s="188" t="s">
        <v>1166</v>
      </c>
      <c r="AU28" s="188" t="s">
        <v>1166</v>
      </c>
      <c r="AV28" s="188" t="s">
        <v>1166</v>
      </c>
      <c r="AW28" s="188" t="s">
        <v>1166</v>
      </c>
      <c r="AX28" s="188" t="s">
        <v>1166</v>
      </c>
      <c r="AY28" s="188" t="s">
        <v>1166</v>
      </c>
      <c r="AZ28" s="188" t="s">
        <v>1166</v>
      </c>
      <c r="BA28" s="188" t="s">
        <v>1166</v>
      </c>
      <c r="BB28" s="188" t="s">
        <v>1166</v>
      </c>
      <c r="BC28" s="188" t="s">
        <v>1166</v>
      </c>
      <c r="BD28" s="188" t="s">
        <v>1166</v>
      </c>
      <c r="BE28" s="188" t="s">
        <v>1166</v>
      </c>
      <c r="BF28" s="188" t="s">
        <v>1166</v>
      </c>
    </row>
    <row r="29" spans="1:58" ht="21.5" thickBot="1" x14ac:dyDescent="0.55000000000000004">
      <c r="A29" s="182" t="s">
        <v>70</v>
      </c>
      <c r="B29" s="183" t="s">
        <v>77</v>
      </c>
      <c r="C29" s="195" t="s">
        <v>1209</v>
      </c>
      <c r="D29" s="185" t="str">
        <f>SUBSTITUTE(A29," ","") &amp; "_" &amp; SUBSTITUTE(IF(B29="N/A","",B29&amp; "_")," ","")  &amp; SUBSTITUTE(SUBSTITUTE(C29," ",""),"/","")</f>
        <v>ContactInformation_Address_houseNumber</v>
      </c>
      <c r="E29" s="186" t="str">
        <f>D29&amp;2</f>
        <v>ContactInformation_Address_houseNumber2</v>
      </c>
      <c r="F29" s="187"/>
      <c r="G29" s="188" t="s">
        <v>1170</v>
      </c>
      <c r="H29" s="188" t="s">
        <v>1170</v>
      </c>
      <c r="I29" s="188" t="s">
        <v>1170</v>
      </c>
      <c r="J29" s="188" t="s">
        <v>1170</v>
      </c>
      <c r="K29" s="188" t="s">
        <v>1170</v>
      </c>
      <c r="L29" s="188" t="s">
        <v>1170</v>
      </c>
      <c r="M29" s="188" t="s">
        <v>1170</v>
      </c>
      <c r="N29" s="188" t="s">
        <v>1170</v>
      </c>
      <c r="O29" s="188" t="s">
        <v>1170</v>
      </c>
      <c r="P29" s="188" t="s">
        <v>1170</v>
      </c>
      <c r="Q29" s="188" t="s">
        <v>1170</v>
      </c>
      <c r="R29" s="188" t="s">
        <v>1170</v>
      </c>
      <c r="S29" s="188" t="s">
        <v>1170</v>
      </c>
      <c r="T29" s="188" t="s">
        <v>1170</v>
      </c>
      <c r="U29" s="188" t="s">
        <v>1170</v>
      </c>
      <c r="V29" s="188" t="s">
        <v>1170</v>
      </c>
      <c r="W29" s="188" t="s">
        <v>1170</v>
      </c>
      <c r="X29" s="188" t="s">
        <v>1170</v>
      </c>
      <c r="Y29" s="188" t="s">
        <v>1170</v>
      </c>
      <c r="Z29" s="188" t="s">
        <v>1170</v>
      </c>
      <c r="AA29" s="188" t="s">
        <v>1170</v>
      </c>
      <c r="AB29" s="188" t="s">
        <v>1170</v>
      </c>
      <c r="AC29" s="188" t="s">
        <v>1170</v>
      </c>
      <c r="AD29" s="188" t="s">
        <v>1170</v>
      </c>
      <c r="AE29" s="188" t="s">
        <v>1170</v>
      </c>
      <c r="AF29" s="188" t="s">
        <v>1170</v>
      </c>
      <c r="AG29" s="188" t="s">
        <v>1170</v>
      </c>
      <c r="AH29" s="188" t="s">
        <v>1170</v>
      </c>
      <c r="AI29" s="188" t="s">
        <v>1170</v>
      </c>
      <c r="AJ29" s="188" t="s">
        <v>1170</v>
      </c>
      <c r="AK29" s="188" t="s">
        <v>1170</v>
      </c>
      <c r="AL29" s="188" t="s">
        <v>1170</v>
      </c>
      <c r="AM29" s="188" t="s">
        <v>1170</v>
      </c>
      <c r="AN29" s="188" t="s">
        <v>1170</v>
      </c>
      <c r="AO29" s="188" t="s">
        <v>1170</v>
      </c>
      <c r="AP29" s="188" t="s">
        <v>1170</v>
      </c>
      <c r="AQ29" s="188" t="s">
        <v>1170</v>
      </c>
      <c r="AR29" s="188" t="s">
        <v>1170</v>
      </c>
      <c r="AS29" s="188" t="s">
        <v>1170</v>
      </c>
      <c r="AT29" s="188" t="s">
        <v>1170</v>
      </c>
      <c r="AU29" s="188" t="s">
        <v>1170</v>
      </c>
      <c r="AV29" s="188" t="s">
        <v>1170</v>
      </c>
      <c r="AW29" s="188" t="s">
        <v>1170</v>
      </c>
      <c r="AX29" s="188" t="s">
        <v>1170</v>
      </c>
      <c r="AY29" s="188" t="s">
        <v>1170</v>
      </c>
      <c r="AZ29" s="188" t="s">
        <v>1170</v>
      </c>
      <c r="BA29" s="188" t="s">
        <v>1170</v>
      </c>
      <c r="BB29" s="188" t="s">
        <v>1170</v>
      </c>
      <c r="BC29" s="188" t="s">
        <v>1170</v>
      </c>
      <c r="BD29" s="188" t="s">
        <v>1170</v>
      </c>
      <c r="BE29" s="188" t="s">
        <v>1170</v>
      </c>
      <c r="BF29" s="188" t="s">
        <v>1170</v>
      </c>
    </row>
    <row r="30" spans="1:58" ht="21.5" thickBot="1" x14ac:dyDescent="0.55000000000000004">
      <c r="A30" s="182" t="s">
        <v>70</v>
      </c>
      <c r="B30" s="183" t="s">
        <v>77</v>
      </c>
      <c r="C30" s="195" t="s">
        <v>1168</v>
      </c>
      <c r="D30" s="185" t="str">
        <f t="shared" si="0"/>
        <v>ContactInformation_Address_Municipality</v>
      </c>
      <c r="E30" s="186" t="str">
        <f t="shared" si="1"/>
        <v>ContactInformation_Address_Municipality2</v>
      </c>
      <c r="F30" s="187"/>
      <c r="G30" s="188" t="s">
        <v>1170</v>
      </c>
      <c r="H30" s="188" t="s">
        <v>1170</v>
      </c>
      <c r="I30" s="188" t="s">
        <v>1170</v>
      </c>
      <c r="J30" s="188" t="s">
        <v>1170</v>
      </c>
      <c r="K30" s="188" t="s">
        <v>1170</v>
      </c>
      <c r="L30" s="188" t="s">
        <v>1170</v>
      </c>
      <c r="M30" s="188" t="s">
        <v>1170</v>
      </c>
      <c r="N30" s="188" t="s">
        <v>1170</v>
      </c>
      <c r="O30" s="188" t="s">
        <v>1170</v>
      </c>
      <c r="P30" s="188" t="s">
        <v>1170</v>
      </c>
      <c r="Q30" s="188" t="s">
        <v>1170</v>
      </c>
      <c r="R30" s="188" t="s">
        <v>1170</v>
      </c>
      <c r="S30" s="188" t="s">
        <v>1170</v>
      </c>
      <c r="T30" s="188" t="s">
        <v>1170</v>
      </c>
      <c r="U30" s="188" t="s">
        <v>1170</v>
      </c>
      <c r="V30" s="188" t="s">
        <v>1170</v>
      </c>
      <c r="W30" s="188" t="s">
        <v>1170</v>
      </c>
      <c r="X30" s="188" t="s">
        <v>1170</v>
      </c>
      <c r="Y30" s="188" t="s">
        <v>1170</v>
      </c>
      <c r="Z30" s="188" t="s">
        <v>1170</v>
      </c>
      <c r="AA30" s="188" t="s">
        <v>1170</v>
      </c>
      <c r="AB30" s="188" t="s">
        <v>1170</v>
      </c>
      <c r="AC30" s="188" t="s">
        <v>1170</v>
      </c>
      <c r="AD30" s="188" t="s">
        <v>1170</v>
      </c>
      <c r="AE30" s="188" t="s">
        <v>1170</v>
      </c>
      <c r="AF30" s="188" t="s">
        <v>1170</v>
      </c>
      <c r="AG30" s="188" t="s">
        <v>1170</v>
      </c>
      <c r="AH30" s="188" t="s">
        <v>1170</v>
      </c>
      <c r="AI30" s="188" t="s">
        <v>1170</v>
      </c>
      <c r="AJ30" s="188" t="s">
        <v>1170</v>
      </c>
      <c r="AK30" s="188" t="s">
        <v>1170</v>
      </c>
      <c r="AL30" s="188" t="s">
        <v>1170</v>
      </c>
      <c r="AM30" s="188" t="s">
        <v>1170</v>
      </c>
      <c r="AN30" s="188" t="s">
        <v>1170</v>
      </c>
      <c r="AO30" s="188" t="s">
        <v>1170</v>
      </c>
      <c r="AP30" s="188" t="s">
        <v>1170</v>
      </c>
      <c r="AQ30" s="188" t="s">
        <v>1170</v>
      </c>
      <c r="AR30" s="188" t="s">
        <v>1170</v>
      </c>
      <c r="AS30" s="188" t="s">
        <v>1170</v>
      </c>
      <c r="AT30" s="188" t="s">
        <v>1170</v>
      </c>
      <c r="AU30" s="188" t="s">
        <v>1170</v>
      </c>
      <c r="AV30" s="188" t="s">
        <v>1170</v>
      </c>
      <c r="AW30" s="188" t="s">
        <v>1170</v>
      </c>
      <c r="AX30" s="188" t="s">
        <v>1170</v>
      </c>
      <c r="AY30" s="188" t="s">
        <v>1170</v>
      </c>
      <c r="AZ30" s="188" t="s">
        <v>1170</v>
      </c>
      <c r="BA30" s="188" t="s">
        <v>1170</v>
      </c>
      <c r="BB30" s="188" t="s">
        <v>1170</v>
      </c>
      <c r="BC30" s="188" t="s">
        <v>1170</v>
      </c>
      <c r="BD30" s="188" t="s">
        <v>1170</v>
      </c>
      <c r="BE30" s="188" t="s">
        <v>1170</v>
      </c>
      <c r="BF30" s="188" t="s">
        <v>1170</v>
      </c>
    </row>
    <row r="31" spans="1:58" ht="21.5" thickBot="1" x14ac:dyDescent="0.55000000000000004">
      <c r="A31" s="182" t="s">
        <v>70</v>
      </c>
      <c r="B31" s="183" t="s">
        <v>77</v>
      </c>
      <c r="C31" s="195" t="s">
        <v>1167</v>
      </c>
      <c r="D31" s="185" t="str">
        <f t="shared" si="0"/>
        <v>ContactInformation_Address_District</v>
      </c>
      <c r="E31" s="186" t="str">
        <f t="shared" si="1"/>
        <v>ContactInformation_Address_District2</v>
      </c>
      <c r="F31" s="187"/>
      <c r="G31" s="188" t="s">
        <v>1166</v>
      </c>
      <c r="H31" s="188" t="s">
        <v>1166</v>
      </c>
      <c r="I31" s="188" t="s">
        <v>1166</v>
      </c>
      <c r="J31" s="188" t="s">
        <v>1166</v>
      </c>
      <c r="K31" s="188" t="s">
        <v>1166</v>
      </c>
      <c r="L31" s="188" t="s">
        <v>1166</v>
      </c>
      <c r="M31" s="188" t="s">
        <v>1166</v>
      </c>
      <c r="N31" s="188" t="s">
        <v>1166</v>
      </c>
      <c r="O31" s="188" t="s">
        <v>1166</v>
      </c>
      <c r="P31" s="188" t="s">
        <v>1166</v>
      </c>
      <c r="Q31" s="188" t="s">
        <v>1166</v>
      </c>
      <c r="R31" s="188" t="s">
        <v>1166</v>
      </c>
      <c r="S31" s="188" t="s">
        <v>1166</v>
      </c>
      <c r="T31" s="188" t="s">
        <v>1166</v>
      </c>
      <c r="U31" s="188" t="s">
        <v>1166</v>
      </c>
      <c r="V31" s="188" t="s">
        <v>1166</v>
      </c>
      <c r="W31" s="188" t="s">
        <v>1166</v>
      </c>
      <c r="X31" s="188" t="s">
        <v>1166</v>
      </c>
      <c r="Y31" s="188" t="s">
        <v>1166</v>
      </c>
      <c r="Z31" s="188" t="s">
        <v>1166</v>
      </c>
      <c r="AA31" s="188" t="s">
        <v>1166</v>
      </c>
      <c r="AB31" s="188" t="s">
        <v>1166</v>
      </c>
      <c r="AC31" s="188" t="s">
        <v>1166</v>
      </c>
      <c r="AD31" s="188" t="s">
        <v>1166</v>
      </c>
      <c r="AE31" s="188" t="s">
        <v>1166</v>
      </c>
      <c r="AF31" s="188" t="s">
        <v>1166</v>
      </c>
      <c r="AG31" s="188" t="s">
        <v>1166</v>
      </c>
      <c r="AH31" s="188" t="s">
        <v>1166</v>
      </c>
      <c r="AI31" s="188" t="s">
        <v>1166</v>
      </c>
      <c r="AJ31" s="188" t="s">
        <v>1166</v>
      </c>
      <c r="AK31" s="188" t="s">
        <v>1166</v>
      </c>
      <c r="AL31" s="188" t="s">
        <v>1166</v>
      </c>
      <c r="AM31" s="188" t="s">
        <v>1166</v>
      </c>
      <c r="AN31" s="188" t="s">
        <v>1166</v>
      </c>
      <c r="AO31" s="188" t="s">
        <v>1166</v>
      </c>
      <c r="AP31" s="188" t="s">
        <v>1166</v>
      </c>
      <c r="AQ31" s="188" t="s">
        <v>1166</v>
      </c>
      <c r="AR31" s="188" t="s">
        <v>1166</v>
      </c>
      <c r="AS31" s="188" t="s">
        <v>1166</v>
      </c>
      <c r="AT31" s="188" t="s">
        <v>1166</v>
      </c>
      <c r="AU31" s="188" t="s">
        <v>1166</v>
      </c>
      <c r="AV31" s="188" t="s">
        <v>1166</v>
      </c>
      <c r="AW31" s="188" t="s">
        <v>1166</v>
      </c>
      <c r="AX31" s="188" t="s">
        <v>1166</v>
      </c>
      <c r="AY31" s="188" t="s">
        <v>1166</v>
      </c>
      <c r="AZ31" s="188" t="s">
        <v>1166</v>
      </c>
      <c r="BA31" s="188" t="s">
        <v>1166</v>
      </c>
      <c r="BB31" s="188" t="s">
        <v>1166</v>
      </c>
      <c r="BC31" s="188" t="s">
        <v>1166</v>
      </c>
      <c r="BD31" s="188" t="s">
        <v>1166</v>
      </c>
      <c r="BE31" s="188" t="s">
        <v>1166</v>
      </c>
      <c r="BF31" s="188" t="s">
        <v>1166</v>
      </c>
    </row>
    <row r="32" spans="1:58" ht="21.5" thickBot="1" x14ac:dyDescent="0.55000000000000004">
      <c r="A32" s="182" t="s">
        <v>70</v>
      </c>
      <c r="B32" s="183" t="s">
        <v>77</v>
      </c>
      <c r="C32" s="195" t="s">
        <v>74</v>
      </c>
      <c r="D32" s="185" t="str">
        <f t="shared" si="0"/>
        <v>ContactInformation_Address_Type</v>
      </c>
      <c r="E32" s="186" t="str">
        <f t="shared" si="1"/>
        <v>ContactInformation_Address_Type2</v>
      </c>
      <c r="F32" s="187" t="s">
        <v>82</v>
      </c>
      <c r="G32" s="188" t="s">
        <v>76</v>
      </c>
      <c r="H32" s="188" t="s">
        <v>76</v>
      </c>
      <c r="I32" s="188" t="s">
        <v>76</v>
      </c>
      <c r="J32" s="188" t="s">
        <v>76</v>
      </c>
      <c r="K32" s="188" t="s">
        <v>76</v>
      </c>
      <c r="L32" s="188" t="s">
        <v>76</v>
      </c>
      <c r="M32" s="188" t="s">
        <v>76</v>
      </c>
      <c r="N32" s="188" t="s">
        <v>76</v>
      </c>
      <c r="O32" s="260" t="s">
        <v>76</v>
      </c>
      <c r="P32" s="188" t="s">
        <v>76</v>
      </c>
      <c r="Q32" s="188" t="s">
        <v>76</v>
      </c>
      <c r="R32" s="188" t="s">
        <v>76</v>
      </c>
      <c r="S32" s="188" t="s">
        <v>76</v>
      </c>
      <c r="T32" s="188" t="s">
        <v>76</v>
      </c>
      <c r="U32" s="188" t="s">
        <v>76</v>
      </c>
      <c r="V32" s="188" t="s">
        <v>76</v>
      </c>
      <c r="W32" s="188" t="s">
        <v>76</v>
      </c>
      <c r="X32" s="188" t="s">
        <v>76</v>
      </c>
      <c r="Y32" s="188" t="s">
        <v>76</v>
      </c>
      <c r="Z32" s="188" t="s">
        <v>76</v>
      </c>
      <c r="AA32" s="188" t="s">
        <v>76</v>
      </c>
      <c r="AB32" s="188" t="s">
        <v>76</v>
      </c>
      <c r="AC32" s="188" t="s">
        <v>76</v>
      </c>
      <c r="AD32" s="188" t="s">
        <v>76</v>
      </c>
      <c r="AE32" s="188" t="s">
        <v>76</v>
      </c>
      <c r="AF32" s="188" t="s">
        <v>76</v>
      </c>
      <c r="AG32" s="188" t="s">
        <v>76</v>
      </c>
      <c r="AH32" s="188" t="s">
        <v>76</v>
      </c>
      <c r="AI32" s="188" t="s">
        <v>76</v>
      </c>
      <c r="AJ32" s="188" t="s">
        <v>76</v>
      </c>
      <c r="AK32" s="188" t="s">
        <v>76</v>
      </c>
      <c r="AL32" s="188" t="s">
        <v>76</v>
      </c>
      <c r="AM32" s="188" t="s">
        <v>76</v>
      </c>
      <c r="AN32" s="188" t="s">
        <v>76</v>
      </c>
      <c r="AO32" s="188" t="s">
        <v>76</v>
      </c>
      <c r="AP32" s="188" t="s">
        <v>76</v>
      </c>
      <c r="AQ32" s="188" t="s">
        <v>76</v>
      </c>
      <c r="AR32" s="188" t="s">
        <v>76</v>
      </c>
      <c r="AS32" s="188" t="s">
        <v>76</v>
      </c>
      <c r="AT32" s="188" t="s">
        <v>76</v>
      </c>
      <c r="AU32" s="188" t="s">
        <v>76</v>
      </c>
      <c r="AV32" s="188" t="s">
        <v>76</v>
      </c>
      <c r="AW32" s="188" t="s">
        <v>76</v>
      </c>
      <c r="AX32" s="188" t="s">
        <v>76</v>
      </c>
      <c r="AY32" s="188" t="s">
        <v>76</v>
      </c>
      <c r="AZ32" s="188" t="s">
        <v>76</v>
      </c>
      <c r="BA32" s="188" t="s">
        <v>76</v>
      </c>
      <c r="BB32" s="188" t="s">
        <v>76</v>
      </c>
      <c r="BC32" s="188" t="s">
        <v>76</v>
      </c>
      <c r="BD32" s="188" t="s">
        <v>76</v>
      </c>
      <c r="BE32" s="188" t="s">
        <v>76</v>
      </c>
      <c r="BF32" s="188" t="s">
        <v>76</v>
      </c>
    </row>
    <row r="33" spans="1:61" ht="21.5" thickBot="1" x14ac:dyDescent="0.55000000000000004">
      <c r="A33" s="182" t="s">
        <v>70</v>
      </c>
      <c r="B33" s="183" t="s">
        <v>84</v>
      </c>
      <c r="C33" s="195" t="s">
        <v>1210</v>
      </c>
      <c r="D33" s="185" t="str">
        <f t="shared" si="0"/>
        <v>ContactInformation_Email_UseFor</v>
      </c>
      <c r="E33" s="186" t="str">
        <f t="shared" si="1"/>
        <v>ContactInformation_Email_UseFor2</v>
      </c>
      <c r="F33" s="187"/>
      <c r="G33" s="188" t="s">
        <v>83</v>
      </c>
      <c r="H33" s="188" t="s">
        <v>83</v>
      </c>
      <c r="I33" s="188" t="s">
        <v>83</v>
      </c>
      <c r="J33" s="188" t="s">
        <v>83</v>
      </c>
      <c r="K33" s="188" t="s">
        <v>83</v>
      </c>
      <c r="L33" s="188" t="s">
        <v>83</v>
      </c>
      <c r="M33" s="188" t="s">
        <v>83</v>
      </c>
      <c r="N33" s="188" t="s">
        <v>83</v>
      </c>
      <c r="O33" s="260" t="s">
        <v>83</v>
      </c>
      <c r="P33" s="188" t="s">
        <v>83</v>
      </c>
      <c r="Q33" s="188" t="s">
        <v>83</v>
      </c>
      <c r="R33" s="188" t="s">
        <v>83</v>
      </c>
      <c r="S33" s="188" t="s">
        <v>83</v>
      </c>
      <c r="T33" s="188" t="s">
        <v>83</v>
      </c>
      <c r="U33" s="188" t="s">
        <v>83</v>
      </c>
      <c r="V33" s="188" t="s">
        <v>83</v>
      </c>
      <c r="W33" s="188" t="s">
        <v>83</v>
      </c>
      <c r="X33" s="188" t="s">
        <v>83</v>
      </c>
      <c r="Y33" s="188" t="s">
        <v>83</v>
      </c>
      <c r="Z33" s="188" t="s">
        <v>83</v>
      </c>
      <c r="AA33" s="188" t="s">
        <v>83</v>
      </c>
      <c r="AB33" s="188" t="s">
        <v>83</v>
      </c>
      <c r="AC33" s="188" t="s">
        <v>83</v>
      </c>
      <c r="AD33" s="188" t="s">
        <v>83</v>
      </c>
      <c r="AE33" s="188" t="s">
        <v>83</v>
      </c>
      <c r="AF33" s="188" t="s">
        <v>83</v>
      </c>
      <c r="AG33" s="188" t="s">
        <v>83</v>
      </c>
      <c r="AH33" s="188" t="s">
        <v>83</v>
      </c>
      <c r="AI33" s="188" t="s">
        <v>83</v>
      </c>
      <c r="AJ33" s="188" t="s">
        <v>83</v>
      </c>
      <c r="AK33" s="188" t="s">
        <v>83</v>
      </c>
      <c r="AL33" s="188" t="s">
        <v>83</v>
      </c>
      <c r="AM33" s="188" t="s">
        <v>83</v>
      </c>
      <c r="AN33" s="188" t="s">
        <v>83</v>
      </c>
      <c r="AO33" s="188" t="s">
        <v>83</v>
      </c>
      <c r="AP33" s="188" t="s">
        <v>83</v>
      </c>
      <c r="AQ33" s="188" t="s">
        <v>83</v>
      </c>
      <c r="AR33" s="188" t="s">
        <v>83</v>
      </c>
      <c r="AS33" s="188" t="s">
        <v>83</v>
      </c>
      <c r="AT33" s="188" t="s">
        <v>83</v>
      </c>
      <c r="AU33" s="188" t="s">
        <v>83</v>
      </c>
      <c r="AV33" s="188" t="s">
        <v>83</v>
      </c>
      <c r="AW33" s="188" t="s">
        <v>83</v>
      </c>
      <c r="AX33" s="188" t="s">
        <v>83</v>
      </c>
      <c r="AY33" s="188" t="s">
        <v>83</v>
      </c>
      <c r="AZ33" s="188" t="s">
        <v>83</v>
      </c>
      <c r="BA33" s="188" t="s">
        <v>83</v>
      </c>
      <c r="BB33" s="188" t="s">
        <v>83</v>
      </c>
      <c r="BC33" s="188" t="s">
        <v>83</v>
      </c>
      <c r="BD33" s="188" t="s">
        <v>83</v>
      </c>
      <c r="BE33" s="188" t="s">
        <v>83</v>
      </c>
      <c r="BF33" s="188" t="s">
        <v>83</v>
      </c>
    </row>
    <row r="34" spans="1:61" ht="21.5" thickBot="1" x14ac:dyDescent="0.55000000000000004">
      <c r="A34" s="182" t="s">
        <v>70</v>
      </c>
      <c r="B34" s="183" t="s">
        <v>84</v>
      </c>
      <c r="C34" s="195" t="s">
        <v>1211</v>
      </c>
      <c r="D34" s="185" t="str">
        <f t="shared" si="0"/>
        <v>ContactInformation_Email_EmailAddress</v>
      </c>
      <c r="E34" s="186" t="str">
        <f t="shared" si="1"/>
        <v>ContactInformation_Email_EmailAddress2</v>
      </c>
      <c r="F34" s="187"/>
      <c r="G34" s="188" t="s">
        <v>1185</v>
      </c>
      <c r="H34" s="208" t="s">
        <v>1185</v>
      </c>
      <c r="I34" s="208" t="s">
        <v>1185</v>
      </c>
      <c r="J34" s="208" t="s">
        <v>1185</v>
      </c>
      <c r="K34" s="208" t="s">
        <v>1185</v>
      </c>
      <c r="L34" s="188" t="s">
        <v>1185</v>
      </c>
      <c r="M34" s="208" t="s">
        <v>1185</v>
      </c>
      <c r="N34" s="208" t="s">
        <v>1185</v>
      </c>
      <c r="O34" s="262" t="s">
        <v>1185</v>
      </c>
      <c r="P34" s="208" t="s">
        <v>1185</v>
      </c>
      <c r="Q34" s="208" t="s">
        <v>1185</v>
      </c>
      <c r="R34" s="208" t="s">
        <v>1185</v>
      </c>
      <c r="S34" s="208" t="s">
        <v>1185</v>
      </c>
      <c r="T34" s="208" t="s">
        <v>1185</v>
      </c>
      <c r="U34" s="208" t="s">
        <v>1185</v>
      </c>
      <c r="V34" s="208" t="s">
        <v>1185</v>
      </c>
      <c r="W34" s="208" t="s">
        <v>1185</v>
      </c>
      <c r="X34" s="208" t="s">
        <v>1185</v>
      </c>
      <c r="Y34" s="208" t="s">
        <v>1185</v>
      </c>
      <c r="Z34" s="208" t="s">
        <v>1185</v>
      </c>
      <c r="AA34" s="208" t="s">
        <v>1185</v>
      </c>
      <c r="AB34" s="208" t="s">
        <v>1185</v>
      </c>
      <c r="AC34" s="208" t="s">
        <v>1185</v>
      </c>
      <c r="AD34" s="208" t="s">
        <v>1185</v>
      </c>
      <c r="AE34" s="208" t="s">
        <v>1185</v>
      </c>
      <c r="AF34" s="208" t="s">
        <v>1185</v>
      </c>
      <c r="AG34" s="208" t="s">
        <v>1185</v>
      </c>
      <c r="AH34" s="208" t="s">
        <v>1185</v>
      </c>
      <c r="AI34" s="208" t="s">
        <v>1185</v>
      </c>
      <c r="AJ34" s="208" t="s">
        <v>1185</v>
      </c>
      <c r="AK34" s="208" t="s">
        <v>1185</v>
      </c>
      <c r="AL34" s="208" t="s">
        <v>1185</v>
      </c>
      <c r="AM34" s="208" t="s">
        <v>1185</v>
      </c>
      <c r="AN34" s="208" t="s">
        <v>1185</v>
      </c>
      <c r="AO34" s="208" t="s">
        <v>1185</v>
      </c>
      <c r="AP34" s="208" t="s">
        <v>1185</v>
      </c>
      <c r="AQ34" s="208" t="s">
        <v>1185</v>
      </c>
      <c r="AR34" s="208" t="s">
        <v>1185</v>
      </c>
      <c r="AS34" s="208" t="s">
        <v>1185</v>
      </c>
      <c r="AT34" s="208" t="s">
        <v>1185</v>
      </c>
      <c r="AU34" s="208" t="s">
        <v>1185</v>
      </c>
      <c r="AV34" s="208" t="s">
        <v>1185</v>
      </c>
      <c r="AW34" s="208" t="s">
        <v>1185</v>
      </c>
      <c r="AX34" s="208" t="s">
        <v>1185</v>
      </c>
      <c r="AY34" s="208" t="s">
        <v>1185</v>
      </c>
      <c r="AZ34" s="208" t="s">
        <v>1185</v>
      </c>
      <c r="BA34" s="208" t="s">
        <v>1185</v>
      </c>
      <c r="BB34" s="208" t="s">
        <v>1185</v>
      </c>
      <c r="BC34" s="208" t="s">
        <v>1185</v>
      </c>
      <c r="BD34" s="208" t="s">
        <v>1185</v>
      </c>
      <c r="BE34" s="208" t="s">
        <v>1185</v>
      </c>
      <c r="BF34" s="208" t="s">
        <v>1185</v>
      </c>
    </row>
    <row r="35" spans="1:61" s="212" customFormat="1" ht="21.5" thickBot="1" x14ac:dyDescent="0.55000000000000004">
      <c r="A35" s="174" t="s">
        <v>86</v>
      </c>
      <c r="B35" s="175" t="s">
        <v>61</v>
      </c>
      <c r="C35" s="195" t="s">
        <v>74</v>
      </c>
      <c r="D35" s="209" t="str">
        <f t="shared" si="0"/>
        <v>JobDetails_Type</v>
      </c>
      <c r="E35" s="210" t="str">
        <f t="shared" si="1"/>
        <v>JobDetails_Type2</v>
      </c>
      <c r="F35" s="211"/>
      <c r="G35" s="188" t="s">
        <v>76</v>
      </c>
      <c r="H35" s="191" t="s">
        <v>76</v>
      </c>
      <c r="I35" s="191" t="s">
        <v>76</v>
      </c>
      <c r="J35" s="191" t="s">
        <v>76</v>
      </c>
      <c r="K35" s="191" t="s">
        <v>76</v>
      </c>
      <c r="L35" s="188" t="s">
        <v>76</v>
      </c>
      <c r="M35" s="191" t="s">
        <v>76</v>
      </c>
      <c r="N35" s="191" t="s">
        <v>76</v>
      </c>
      <c r="O35" s="307" t="s">
        <v>76</v>
      </c>
      <c r="P35" s="263" t="s">
        <v>76</v>
      </c>
      <c r="Q35" s="191" t="s">
        <v>76</v>
      </c>
      <c r="R35" s="191" t="s">
        <v>76</v>
      </c>
      <c r="S35" s="191" t="s">
        <v>76</v>
      </c>
      <c r="T35" s="191" t="s">
        <v>76</v>
      </c>
      <c r="U35" s="295" t="s">
        <v>76</v>
      </c>
      <c r="V35" s="191" t="s">
        <v>76</v>
      </c>
      <c r="W35" s="191" t="s">
        <v>76</v>
      </c>
      <c r="X35" s="191" t="s">
        <v>76</v>
      </c>
      <c r="Y35" s="191" t="s">
        <v>76</v>
      </c>
      <c r="Z35" s="191" t="s">
        <v>76</v>
      </c>
      <c r="AA35" s="191" t="s">
        <v>76</v>
      </c>
      <c r="AB35" s="191" t="s">
        <v>76</v>
      </c>
      <c r="AC35" s="191" t="s">
        <v>76</v>
      </c>
      <c r="AD35" s="191" t="s">
        <v>76</v>
      </c>
      <c r="AE35" s="191" t="s">
        <v>76</v>
      </c>
      <c r="AF35" s="191" t="s">
        <v>76</v>
      </c>
      <c r="AG35" s="191" t="s">
        <v>76</v>
      </c>
      <c r="AH35" s="191" t="s">
        <v>76</v>
      </c>
      <c r="AI35" s="191" t="s">
        <v>76</v>
      </c>
      <c r="AJ35" s="191" t="s">
        <v>76</v>
      </c>
      <c r="AK35" s="191" t="s">
        <v>76</v>
      </c>
      <c r="AL35" s="191" t="s">
        <v>76</v>
      </c>
      <c r="AM35" s="191" t="s">
        <v>76</v>
      </c>
      <c r="AN35" s="191" t="s">
        <v>76</v>
      </c>
      <c r="AO35" s="191" t="s">
        <v>76</v>
      </c>
      <c r="AP35" s="191" t="s">
        <v>76</v>
      </c>
      <c r="AQ35" s="191" t="s">
        <v>76</v>
      </c>
      <c r="AR35" s="191" t="s">
        <v>76</v>
      </c>
      <c r="AS35" s="191" t="s">
        <v>76</v>
      </c>
      <c r="AT35" s="191" t="s">
        <v>76</v>
      </c>
      <c r="AU35" s="191" t="s">
        <v>76</v>
      </c>
      <c r="AV35" s="191" t="s">
        <v>76</v>
      </c>
      <c r="AW35" s="191" t="s">
        <v>76</v>
      </c>
      <c r="AX35" s="191" t="s">
        <v>76</v>
      </c>
      <c r="AY35" s="191" t="s">
        <v>76</v>
      </c>
      <c r="AZ35" s="191" t="s">
        <v>76</v>
      </c>
      <c r="BA35" s="191" t="s">
        <v>76</v>
      </c>
      <c r="BB35" s="191" t="s">
        <v>76</v>
      </c>
      <c r="BC35" s="191" t="s">
        <v>76</v>
      </c>
      <c r="BD35" s="191" t="s">
        <v>76</v>
      </c>
      <c r="BE35" s="191" t="s">
        <v>76</v>
      </c>
      <c r="BF35" s="191" t="s">
        <v>76</v>
      </c>
    </row>
    <row r="36" spans="1:61" ht="21.5" thickBot="1" x14ac:dyDescent="0.55000000000000004">
      <c r="A36" s="182" t="s">
        <v>86</v>
      </c>
      <c r="B36" s="183" t="s">
        <v>61</v>
      </c>
      <c r="C36" s="195" t="s">
        <v>1212</v>
      </c>
      <c r="D36" s="185" t="str">
        <f t="shared" si="0"/>
        <v>JobDetails_HireDate</v>
      </c>
      <c r="E36" s="186" t="str">
        <f t="shared" si="1"/>
        <v>JobDetails_HireDate2</v>
      </c>
      <c r="F36" s="187"/>
      <c r="G36" s="310">
        <f ca="1">G23</f>
        <v>45689</v>
      </c>
      <c r="H36" s="310">
        <f t="shared" ref="H36:BF36" ca="1" si="6">H23</f>
        <v>45689</v>
      </c>
      <c r="I36" s="310">
        <f t="shared" ca="1" si="6"/>
        <v>45689</v>
      </c>
      <c r="J36" s="310">
        <f t="shared" ca="1" si="6"/>
        <v>45689</v>
      </c>
      <c r="K36" s="310">
        <f t="shared" ca="1" si="6"/>
        <v>45689</v>
      </c>
      <c r="L36" s="310">
        <f t="shared" ca="1" si="6"/>
        <v>45689</v>
      </c>
      <c r="M36" s="310">
        <f t="shared" ca="1" si="6"/>
        <v>45689</v>
      </c>
      <c r="N36" s="310">
        <f t="shared" ca="1" si="6"/>
        <v>45689</v>
      </c>
      <c r="O36" s="310">
        <f t="shared" ca="1" si="6"/>
        <v>45689</v>
      </c>
      <c r="P36" s="310">
        <f t="shared" ca="1" si="6"/>
        <v>45689</v>
      </c>
      <c r="Q36" s="310">
        <f t="shared" ca="1" si="6"/>
        <v>45689</v>
      </c>
      <c r="R36" s="310">
        <f t="shared" ca="1" si="6"/>
        <v>45689</v>
      </c>
      <c r="S36" s="313">
        <f t="shared" ca="1" si="6"/>
        <v>45689</v>
      </c>
      <c r="T36" s="313">
        <f t="shared" ca="1" si="6"/>
        <v>45689</v>
      </c>
      <c r="U36" s="313">
        <f t="shared" ca="1" si="6"/>
        <v>45689</v>
      </c>
      <c r="V36" s="313">
        <f t="shared" ca="1" si="6"/>
        <v>45689</v>
      </c>
      <c r="W36" s="313">
        <f t="shared" ca="1" si="6"/>
        <v>45780</v>
      </c>
      <c r="X36" s="313">
        <f t="shared" ca="1" si="6"/>
        <v>45689</v>
      </c>
      <c r="Y36" s="313">
        <f t="shared" ca="1" si="6"/>
        <v>45689</v>
      </c>
      <c r="Z36" s="313">
        <f t="shared" ca="1" si="6"/>
        <v>45689</v>
      </c>
      <c r="AA36" s="310">
        <f t="shared" ca="1" si="6"/>
        <v>45689</v>
      </c>
      <c r="AB36" s="310">
        <f t="shared" ca="1" si="6"/>
        <v>45689</v>
      </c>
      <c r="AC36" s="310">
        <f t="shared" ca="1" si="6"/>
        <v>45689</v>
      </c>
      <c r="AD36" s="310">
        <f t="shared" ca="1" si="6"/>
        <v>45689</v>
      </c>
      <c r="AE36" s="310">
        <f t="shared" ca="1" si="6"/>
        <v>45689</v>
      </c>
      <c r="AF36" s="310">
        <f t="shared" ca="1" si="6"/>
        <v>45811</v>
      </c>
      <c r="AG36" s="310">
        <f t="shared" ca="1" si="6"/>
        <v>45689</v>
      </c>
      <c r="AH36" s="310">
        <f t="shared" ca="1" si="6"/>
        <v>45811</v>
      </c>
      <c r="AI36" s="310">
        <f t="shared" ca="1" si="6"/>
        <v>45689</v>
      </c>
      <c r="AJ36" s="310">
        <f t="shared" ca="1" si="6"/>
        <v>45689</v>
      </c>
      <c r="AK36" s="310">
        <f t="shared" ca="1" si="6"/>
        <v>45689</v>
      </c>
      <c r="AL36" s="310">
        <f t="shared" ca="1" si="6"/>
        <v>45689</v>
      </c>
      <c r="AM36" s="310">
        <f t="shared" ca="1" si="6"/>
        <v>45734</v>
      </c>
      <c r="AN36" s="310">
        <f t="shared" ca="1" si="6"/>
        <v>45689</v>
      </c>
      <c r="AO36" s="310">
        <f t="shared" ca="1" si="6"/>
        <v>45689</v>
      </c>
      <c r="AP36" s="310">
        <f t="shared" ca="1" si="6"/>
        <v>45689</v>
      </c>
      <c r="AQ36" s="310">
        <f t="shared" ca="1" si="6"/>
        <v>45689</v>
      </c>
      <c r="AR36" s="310">
        <f t="shared" ca="1" si="6"/>
        <v>45660</v>
      </c>
      <c r="AS36" s="310">
        <f t="shared" ca="1" si="6"/>
        <v>45689</v>
      </c>
      <c r="AT36" s="310">
        <f t="shared" ca="1" si="6"/>
        <v>45689</v>
      </c>
      <c r="AU36" s="310">
        <f t="shared" ca="1" si="6"/>
        <v>45689</v>
      </c>
      <c r="AV36" s="310">
        <f t="shared" ca="1" si="6"/>
        <v>45689</v>
      </c>
      <c r="AW36" s="310">
        <f t="shared" ca="1" si="6"/>
        <v>45689</v>
      </c>
      <c r="AX36" s="310">
        <f t="shared" ca="1" si="6"/>
        <v>45689</v>
      </c>
      <c r="AY36" s="310">
        <f t="shared" ca="1" si="6"/>
        <v>45689</v>
      </c>
      <c r="AZ36" s="310">
        <f t="shared" ca="1" si="6"/>
        <v>45689</v>
      </c>
      <c r="BA36" s="310">
        <f t="shared" ca="1" si="6"/>
        <v>45689</v>
      </c>
      <c r="BB36" s="310">
        <f t="shared" ca="1" si="6"/>
        <v>45689</v>
      </c>
      <c r="BC36" s="310">
        <f t="shared" ca="1" si="6"/>
        <v>45689</v>
      </c>
      <c r="BD36" s="310">
        <f t="shared" ca="1" si="6"/>
        <v>45689</v>
      </c>
      <c r="BE36" s="310">
        <f t="shared" ca="1" si="6"/>
        <v>45689</v>
      </c>
      <c r="BF36" s="310">
        <f t="shared" ca="1" si="6"/>
        <v>45689</v>
      </c>
      <c r="BG36" s="310"/>
    </row>
    <row r="37" spans="1:61" ht="20.149999999999999" customHeight="1" thickBot="1" x14ac:dyDescent="0.55000000000000004">
      <c r="A37" s="213" t="s">
        <v>86</v>
      </c>
      <c r="B37" s="214" t="s">
        <v>61</v>
      </c>
      <c r="C37" s="195" t="s">
        <v>88</v>
      </c>
      <c r="D37" s="215" t="str">
        <f t="shared" si="0"/>
        <v>JobDetails_Reason</v>
      </c>
      <c r="E37" s="216" t="str">
        <f t="shared" si="1"/>
        <v>JobDetails_Reason2</v>
      </c>
      <c r="F37" s="217" t="s">
        <v>92</v>
      </c>
      <c r="G37" s="188" t="s">
        <v>27</v>
      </c>
      <c r="H37" s="191" t="s">
        <v>27</v>
      </c>
      <c r="I37" s="191" t="s">
        <v>27</v>
      </c>
      <c r="J37" s="191" t="s">
        <v>27</v>
      </c>
      <c r="K37" s="267" t="s">
        <v>27</v>
      </c>
      <c r="L37" s="267" t="s">
        <v>27</v>
      </c>
      <c r="M37" s="267" t="s">
        <v>27</v>
      </c>
      <c r="N37" s="267" t="s">
        <v>27</v>
      </c>
      <c r="O37" s="311" t="s">
        <v>27</v>
      </c>
      <c r="P37" s="312" t="s">
        <v>27</v>
      </c>
      <c r="Q37" s="191" t="s">
        <v>27</v>
      </c>
      <c r="R37" s="191" t="s">
        <v>27</v>
      </c>
      <c r="S37" s="191" t="s">
        <v>27</v>
      </c>
      <c r="T37" s="191" t="s">
        <v>27</v>
      </c>
      <c r="U37" s="191" t="s">
        <v>27</v>
      </c>
      <c r="V37" s="191" t="s">
        <v>27</v>
      </c>
      <c r="W37" s="191" t="s">
        <v>27</v>
      </c>
      <c r="X37" s="191" t="s">
        <v>27</v>
      </c>
      <c r="Y37" s="191" t="s">
        <v>27</v>
      </c>
      <c r="Z37" s="191" t="s">
        <v>27</v>
      </c>
      <c r="AA37" s="191" t="s">
        <v>27</v>
      </c>
      <c r="AB37" s="191" t="s">
        <v>27</v>
      </c>
      <c r="AC37" s="191" t="s">
        <v>27</v>
      </c>
      <c r="AD37" s="191" t="s">
        <v>27</v>
      </c>
      <c r="AE37" s="191" t="s">
        <v>27</v>
      </c>
      <c r="AF37" s="295" t="s">
        <v>27</v>
      </c>
      <c r="AG37" s="191" t="s">
        <v>27</v>
      </c>
      <c r="AH37" s="191" t="s">
        <v>27</v>
      </c>
      <c r="AI37" s="191" t="s">
        <v>27</v>
      </c>
      <c r="AJ37" s="191" t="s">
        <v>27</v>
      </c>
      <c r="AK37" s="191" t="s">
        <v>27</v>
      </c>
      <c r="AL37" s="191" t="s">
        <v>27</v>
      </c>
      <c r="AM37" s="191" t="s">
        <v>27</v>
      </c>
      <c r="AN37" s="191" t="s">
        <v>27</v>
      </c>
      <c r="AO37" s="191" t="s">
        <v>27</v>
      </c>
      <c r="AP37" s="263" t="s">
        <v>27</v>
      </c>
      <c r="AQ37" s="191" t="s">
        <v>27</v>
      </c>
      <c r="AR37" s="191" t="s">
        <v>27</v>
      </c>
      <c r="AS37" s="191" t="s">
        <v>27</v>
      </c>
      <c r="AT37" s="191" t="s">
        <v>27</v>
      </c>
      <c r="AU37" s="191" t="s">
        <v>27</v>
      </c>
      <c r="AV37" s="191" t="s">
        <v>27</v>
      </c>
      <c r="AW37" s="191" t="s">
        <v>27</v>
      </c>
      <c r="AX37" s="191" t="s">
        <v>27</v>
      </c>
      <c r="AY37" s="191" t="s">
        <v>27</v>
      </c>
      <c r="AZ37" s="191" t="s">
        <v>27</v>
      </c>
      <c r="BA37" s="191" t="s">
        <v>27</v>
      </c>
      <c r="BB37" s="191" t="s">
        <v>27</v>
      </c>
      <c r="BC37" s="191" t="s">
        <v>27</v>
      </c>
      <c r="BD37" s="191" t="s">
        <v>27</v>
      </c>
      <c r="BE37" s="191" t="s">
        <v>27</v>
      </c>
      <c r="BF37" s="191" t="s">
        <v>27</v>
      </c>
    </row>
    <row r="38" spans="1:61" ht="21.5" thickBot="1" x14ac:dyDescent="0.55000000000000004">
      <c r="A38" s="213" t="s">
        <v>86</v>
      </c>
      <c r="B38" s="214" t="s">
        <v>61</v>
      </c>
      <c r="C38" s="195" t="s">
        <v>90</v>
      </c>
      <c r="D38" s="215" t="str">
        <f t="shared" si="0"/>
        <v>JobDetails_Position</v>
      </c>
      <c r="E38" s="216" t="str">
        <f t="shared" si="1"/>
        <v>JobDetails_Position2</v>
      </c>
      <c r="F38" s="218" t="s">
        <v>94</v>
      </c>
      <c r="G38" s="188" t="s">
        <v>33</v>
      </c>
      <c r="H38" s="188" t="s">
        <v>33</v>
      </c>
      <c r="I38" s="188" t="s">
        <v>33</v>
      </c>
      <c r="J38" s="188" t="s">
        <v>33</v>
      </c>
      <c r="K38" s="191" t="s">
        <v>33</v>
      </c>
      <c r="L38" s="191" t="s">
        <v>33</v>
      </c>
      <c r="M38" s="191" t="s">
        <v>33</v>
      </c>
      <c r="N38" s="191" t="s">
        <v>33</v>
      </c>
      <c r="O38" s="307" t="s">
        <v>33</v>
      </c>
      <c r="P38" s="307" t="s">
        <v>33</v>
      </c>
      <c r="Q38" s="191" t="s">
        <v>33</v>
      </c>
      <c r="R38" s="191" t="s">
        <v>33</v>
      </c>
      <c r="S38" s="316" t="s">
        <v>33</v>
      </c>
      <c r="T38" s="319" t="s">
        <v>33</v>
      </c>
      <c r="U38" s="319" t="s">
        <v>33</v>
      </c>
      <c r="V38" s="319" t="s">
        <v>33</v>
      </c>
      <c r="W38" s="319" t="s">
        <v>33</v>
      </c>
      <c r="X38" s="319" t="s">
        <v>33</v>
      </c>
      <c r="Y38" s="319" t="s">
        <v>33</v>
      </c>
      <c r="Z38" s="319" t="s">
        <v>33</v>
      </c>
      <c r="AA38" s="319" t="s">
        <v>33</v>
      </c>
      <c r="AB38" s="319" t="s">
        <v>33</v>
      </c>
      <c r="AC38" s="319" t="s">
        <v>33</v>
      </c>
      <c r="AD38" s="319" t="s">
        <v>33</v>
      </c>
      <c r="AE38" s="319" t="s">
        <v>33</v>
      </c>
      <c r="AF38" s="319" t="s">
        <v>33</v>
      </c>
      <c r="AG38" s="319" t="s">
        <v>33</v>
      </c>
      <c r="AH38" s="319" t="s">
        <v>33</v>
      </c>
      <c r="AI38" s="319" t="s">
        <v>33</v>
      </c>
      <c r="AJ38" s="319" t="s">
        <v>33</v>
      </c>
      <c r="AK38" s="319" t="s">
        <v>33</v>
      </c>
      <c r="AL38" s="319" t="s">
        <v>33</v>
      </c>
      <c r="AM38" s="143" t="s">
        <v>191</v>
      </c>
      <c r="AN38" s="143" t="s">
        <v>191</v>
      </c>
      <c r="AO38" s="143" t="s">
        <v>191</v>
      </c>
      <c r="AP38" s="143" t="s">
        <v>191</v>
      </c>
      <c r="AQ38" s="276" t="s">
        <v>191</v>
      </c>
      <c r="AR38" s="276" t="s">
        <v>191</v>
      </c>
      <c r="AS38" s="276" t="s">
        <v>191</v>
      </c>
      <c r="AT38" s="276" t="s">
        <v>191</v>
      </c>
      <c r="AU38" s="276" t="s">
        <v>191</v>
      </c>
      <c r="AV38" s="276" t="s">
        <v>191</v>
      </c>
      <c r="AW38" s="276" t="s">
        <v>191</v>
      </c>
      <c r="AX38" s="276" t="s">
        <v>191</v>
      </c>
      <c r="AY38" s="317" t="s">
        <v>33</v>
      </c>
      <c r="AZ38" s="317" t="s">
        <v>33</v>
      </c>
      <c r="BA38" s="317" t="s">
        <v>33</v>
      </c>
      <c r="BB38" s="317" t="s">
        <v>33</v>
      </c>
      <c r="BC38" s="317" t="s">
        <v>33</v>
      </c>
      <c r="BD38" s="317" t="s">
        <v>33</v>
      </c>
      <c r="BE38" s="317" t="s">
        <v>33</v>
      </c>
      <c r="BF38" s="317" t="s">
        <v>33</v>
      </c>
    </row>
    <row r="39" spans="1:61" ht="21.5" thickBot="1" x14ac:dyDescent="0.55000000000000004">
      <c r="A39" s="213" t="s">
        <v>86</v>
      </c>
      <c r="B39" s="214" t="s">
        <v>61</v>
      </c>
      <c r="C39" s="195" t="s">
        <v>1213</v>
      </c>
      <c r="D39" s="215" t="str">
        <f t="shared" si="0"/>
        <v>JobDetails_EmployeeType</v>
      </c>
      <c r="E39" s="216" t="str">
        <f t="shared" si="1"/>
        <v>JobDetails_EmployeeType2</v>
      </c>
      <c r="F39" s="218"/>
      <c r="G39" s="288" t="s">
        <v>95</v>
      </c>
      <c r="H39" s="288" t="s">
        <v>95</v>
      </c>
      <c r="I39" s="288" t="s">
        <v>95</v>
      </c>
      <c r="J39" s="288" t="s">
        <v>96</v>
      </c>
      <c r="K39" s="288" t="s">
        <v>96</v>
      </c>
      <c r="L39" s="288" t="s">
        <v>95</v>
      </c>
      <c r="M39" s="304" t="s">
        <v>95</v>
      </c>
      <c r="N39" s="288" t="s">
        <v>95</v>
      </c>
      <c r="O39" s="308" t="s">
        <v>96</v>
      </c>
      <c r="P39" s="304" t="s">
        <v>95</v>
      </c>
      <c r="Q39" s="290" t="s">
        <v>1377</v>
      </c>
      <c r="R39" s="290" t="s">
        <v>96</v>
      </c>
      <c r="S39" s="290" t="s">
        <v>95</v>
      </c>
      <c r="T39" s="290" t="s">
        <v>95</v>
      </c>
      <c r="U39" s="290" t="s">
        <v>95</v>
      </c>
      <c r="V39" s="290" t="s">
        <v>96</v>
      </c>
      <c r="W39" s="290" t="s">
        <v>96</v>
      </c>
      <c r="X39" s="290" t="s">
        <v>96</v>
      </c>
      <c r="Y39" s="290" t="s">
        <v>96</v>
      </c>
      <c r="Z39" s="290" t="s">
        <v>95</v>
      </c>
      <c r="AA39" s="301" t="s">
        <v>95</v>
      </c>
      <c r="AB39" s="301" t="s">
        <v>96</v>
      </c>
      <c r="AC39" s="301" t="s">
        <v>95</v>
      </c>
      <c r="AD39" s="301" t="s">
        <v>96</v>
      </c>
      <c r="AE39" s="301" t="s">
        <v>96</v>
      </c>
      <c r="AF39" s="321" t="s">
        <v>96</v>
      </c>
      <c r="AG39" s="301" t="s">
        <v>95</v>
      </c>
      <c r="AH39" s="301" t="s">
        <v>96</v>
      </c>
      <c r="AI39" s="289" t="s">
        <v>96</v>
      </c>
      <c r="AJ39" s="289" t="s">
        <v>96</v>
      </c>
      <c r="AK39" s="289" t="s">
        <v>95</v>
      </c>
      <c r="AL39" s="289" t="s">
        <v>95</v>
      </c>
      <c r="AM39" s="314" t="s">
        <v>96</v>
      </c>
      <c r="AN39" s="314" t="s">
        <v>95</v>
      </c>
      <c r="AO39" s="314" t="s">
        <v>96</v>
      </c>
      <c r="AP39" s="323" t="s">
        <v>95</v>
      </c>
      <c r="AQ39" s="314" t="s">
        <v>96</v>
      </c>
      <c r="AR39" s="314" t="s">
        <v>95</v>
      </c>
      <c r="AS39" s="314" t="s">
        <v>96</v>
      </c>
      <c r="AT39" s="314" t="s">
        <v>95</v>
      </c>
      <c r="AU39" s="314" t="s">
        <v>96</v>
      </c>
      <c r="AV39" s="314" t="s">
        <v>95</v>
      </c>
      <c r="AW39" s="314" t="s">
        <v>96</v>
      </c>
      <c r="AX39" s="314" t="s">
        <v>95</v>
      </c>
      <c r="AY39" s="314" t="s">
        <v>96</v>
      </c>
      <c r="AZ39" s="314" t="s">
        <v>96</v>
      </c>
      <c r="BA39" s="314" t="s">
        <v>95</v>
      </c>
      <c r="BB39" s="314" t="s">
        <v>95</v>
      </c>
      <c r="BC39" s="314" t="s">
        <v>96</v>
      </c>
      <c r="BD39" s="314" t="s">
        <v>96</v>
      </c>
      <c r="BE39" s="314" t="s">
        <v>95</v>
      </c>
      <c r="BF39" s="314" t="s">
        <v>95</v>
      </c>
    </row>
    <row r="40" spans="1:61" ht="21.5" thickBot="1" x14ac:dyDescent="0.55000000000000004">
      <c r="A40" s="213" t="s">
        <v>86</v>
      </c>
      <c r="B40" s="214" t="s">
        <v>61</v>
      </c>
      <c r="C40" s="195" t="s">
        <v>1214</v>
      </c>
      <c r="D40" s="215" t="str">
        <f t="shared" si="0"/>
        <v>JobDetails_JobProfile</v>
      </c>
      <c r="E40" s="216" t="str">
        <f t="shared" si="1"/>
        <v>JobDetails_JobProfile2</v>
      </c>
      <c r="F40" s="218"/>
      <c r="G40" s="290" t="s">
        <v>1164</v>
      </c>
      <c r="H40" s="290" t="s">
        <v>1164</v>
      </c>
      <c r="I40" s="290" t="s">
        <v>1164</v>
      </c>
      <c r="J40" s="290" t="s">
        <v>1164</v>
      </c>
      <c r="K40" s="290" t="s">
        <v>1164</v>
      </c>
      <c r="L40" s="306" t="s">
        <v>1164</v>
      </c>
      <c r="M40" s="304" t="s">
        <v>1164</v>
      </c>
      <c r="N40" s="306" t="s">
        <v>1164</v>
      </c>
      <c r="O40" s="304" t="s">
        <v>1164</v>
      </c>
      <c r="P40" s="304" t="s">
        <v>1164</v>
      </c>
      <c r="Q40" s="290" t="s">
        <v>1164</v>
      </c>
      <c r="R40" s="290" t="s">
        <v>1164</v>
      </c>
      <c r="S40" s="290" t="s">
        <v>1164</v>
      </c>
      <c r="T40" s="290" t="s">
        <v>1164</v>
      </c>
      <c r="U40" s="290" t="s">
        <v>1164</v>
      </c>
      <c r="V40" s="290" t="s">
        <v>1164</v>
      </c>
      <c r="W40" s="290" t="s">
        <v>1164</v>
      </c>
      <c r="X40" s="290" t="s">
        <v>1164</v>
      </c>
      <c r="Y40" s="290" t="s">
        <v>1164</v>
      </c>
      <c r="Z40" s="290" t="s">
        <v>1164</v>
      </c>
      <c r="AA40" s="301" t="s">
        <v>1164</v>
      </c>
      <c r="AB40" s="301" t="s">
        <v>1164</v>
      </c>
      <c r="AC40" s="301" t="s">
        <v>1164</v>
      </c>
      <c r="AD40" s="301" t="s">
        <v>1164</v>
      </c>
      <c r="AE40" s="301" t="s">
        <v>1390</v>
      </c>
      <c r="AF40" s="321" t="s">
        <v>1390</v>
      </c>
      <c r="AG40" s="301" t="s">
        <v>1390</v>
      </c>
      <c r="AH40" s="301" t="s">
        <v>1390</v>
      </c>
      <c r="AI40" s="292" t="s">
        <v>1391</v>
      </c>
      <c r="AJ40" s="291" t="s">
        <v>1391</v>
      </c>
      <c r="AK40" s="291" t="s">
        <v>1391</v>
      </c>
      <c r="AL40" s="291" t="s">
        <v>1391</v>
      </c>
      <c r="AM40" s="314" t="s">
        <v>1392</v>
      </c>
      <c r="AN40" s="314" t="s">
        <v>1392</v>
      </c>
      <c r="AO40" s="314" t="s">
        <v>1393</v>
      </c>
      <c r="AP40" s="323" t="s">
        <v>1393</v>
      </c>
      <c r="AQ40" s="314" t="s">
        <v>1394</v>
      </c>
      <c r="AR40" s="314" t="s">
        <v>1394</v>
      </c>
      <c r="AS40" s="314" t="s">
        <v>1395</v>
      </c>
      <c r="AT40" s="314" t="s">
        <v>1395</v>
      </c>
      <c r="AU40" s="314" t="s">
        <v>1396</v>
      </c>
      <c r="AV40" s="314" t="s">
        <v>1396</v>
      </c>
      <c r="AW40" s="314" t="s">
        <v>1397</v>
      </c>
      <c r="AX40" s="314" t="s">
        <v>1397</v>
      </c>
      <c r="AY40" s="314" t="s">
        <v>1398</v>
      </c>
      <c r="AZ40" s="314" t="s">
        <v>1398</v>
      </c>
      <c r="BA40" s="314" t="s">
        <v>1398</v>
      </c>
      <c r="BB40" s="314" t="s">
        <v>1398</v>
      </c>
      <c r="BC40" s="314" t="s">
        <v>1399</v>
      </c>
      <c r="BD40" s="314" t="s">
        <v>1399</v>
      </c>
      <c r="BE40" s="314" t="s">
        <v>1399</v>
      </c>
      <c r="BF40" s="314" t="s">
        <v>1399</v>
      </c>
    </row>
    <row r="41" spans="1:61" ht="21.5" thickBot="1" x14ac:dyDescent="0.55000000000000004">
      <c r="A41" s="182" t="s">
        <v>86</v>
      </c>
      <c r="B41" s="183" t="s">
        <v>61</v>
      </c>
      <c r="C41" s="195" t="s">
        <v>1215</v>
      </c>
      <c r="D41" s="185" t="str">
        <f t="shared" si="0"/>
        <v>JobDetails_TimeType</v>
      </c>
      <c r="E41" s="186" t="str">
        <f t="shared" si="1"/>
        <v>JobDetails_TimeType2</v>
      </c>
      <c r="F41" s="190"/>
      <c r="G41" s="288" t="s">
        <v>105</v>
      </c>
      <c r="H41" s="288" t="s">
        <v>104</v>
      </c>
      <c r="I41" s="288" t="s">
        <v>104</v>
      </c>
      <c r="J41" s="288" t="s">
        <v>104</v>
      </c>
      <c r="K41" s="288" t="s">
        <v>105</v>
      </c>
      <c r="L41" s="288" t="s">
        <v>104</v>
      </c>
      <c r="M41" s="304" t="s">
        <v>105</v>
      </c>
      <c r="N41" s="288" t="s">
        <v>104</v>
      </c>
      <c r="O41" s="304" t="s">
        <v>105</v>
      </c>
      <c r="P41" s="304" t="s">
        <v>105</v>
      </c>
      <c r="Q41" s="290" t="s">
        <v>1378</v>
      </c>
      <c r="R41" s="290" t="s">
        <v>1389</v>
      </c>
      <c r="S41" s="290" t="s">
        <v>105</v>
      </c>
      <c r="T41" s="290" t="s">
        <v>104</v>
      </c>
      <c r="U41" s="290" t="s">
        <v>104</v>
      </c>
      <c r="V41" s="290" t="s">
        <v>104</v>
      </c>
      <c r="W41" s="290" t="s">
        <v>105</v>
      </c>
      <c r="X41" s="290" t="s">
        <v>104</v>
      </c>
      <c r="Y41" s="290" t="s">
        <v>105</v>
      </c>
      <c r="Z41" s="290" t="s">
        <v>104</v>
      </c>
      <c r="AA41" s="301" t="s">
        <v>105</v>
      </c>
      <c r="AB41" s="301" t="s">
        <v>104</v>
      </c>
      <c r="AC41" s="301" t="s">
        <v>104</v>
      </c>
      <c r="AD41" s="301" t="s">
        <v>104</v>
      </c>
      <c r="AE41" s="301" t="s">
        <v>104</v>
      </c>
      <c r="AF41" s="321" t="s">
        <v>105</v>
      </c>
      <c r="AG41" s="301" t="s">
        <v>104</v>
      </c>
      <c r="AH41" s="301" t="s">
        <v>104</v>
      </c>
      <c r="AI41" s="289" t="s">
        <v>104</v>
      </c>
      <c r="AJ41" s="289" t="s">
        <v>105</v>
      </c>
      <c r="AK41" s="289" t="s">
        <v>105</v>
      </c>
      <c r="AL41" s="289" t="s">
        <v>104</v>
      </c>
      <c r="AM41" s="314" t="s">
        <v>104</v>
      </c>
      <c r="AN41" s="314" t="s">
        <v>105</v>
      </c>
      <c r="AO41" s="314" t="s">
        <v>104</v>
      </c>
      <c r="AP41" s="314" t="s">
        <v>104</v>
      </c>
      <c r="AQ41" s="314" t="s">
        <v>104</v>
      </c>
      <c r="AR41" s="314" t="s">
        <v>105</v>
      </c>
      <c r="AS41" s="314" t="s">
        <v>104</v>
      </c>
      <c r="AT41" s="314" t="s">
        <v>105</v>
      </c>
      <c r="AU41" s="314" t="s">
        <v>104</v>
      </c>
      <c r="AV41" s="314" t="s">
        <v>105</v>
      </c>
      <c r="AW41" s="314" t="s">
        <v>104</v>
      </c>
      <c r="AX41" s="314" t="s">
        <v>105</v>
      </c>
      <c r="AY41" s="314" t="s">
        <v>104</v>
      </c>
      <c r="AZ41" s="314" t="s">
        <v>105</v>
      </c>
      <c r="BA41" s="314" t="s">
        <v>104</v>
      </c>
      <c r="BB41" s="314" t="s">
        <v>105</v>
      </c>
      <c r="BC41" s="314" t="s">
        <v>104</v>
      </c>
      <c r="BD41" s="314" t="s">
        <v>104</v>
      </c>
      <c r="BE41" s="314" t="s">
        <v>105</v>
      </c>
      <c r="BF41" s="314" t="s">
        <v>104</v>
      </c>
    </row>
    <row r="42" spans="1:61" ht="21.5" thickBot="1" x14ac:dyDescent="0.55000000000000004">
      <c r="A42" s="182" t="s">
        <v>86</v>
      </c>
      <c r="B42" s="183" t="s">
        <v>61</v>
      </c>
      <c r="C42" s="195" t="s">
        <v>106</v>
      </c>
      <c r="D42" s="185" t="str">
        <f>SUBSTITUTE(A42," ","") &amp; "_" &amp; SUBSTITUTE(IF(B42="N/A","",B42&amp; "_")," ","")  &amp; SUBSTITUTE(SUBSTITUTE(C42," ",""),"/","")</f>
        <v>JobDetails_Location</v>
      </c>
      <c r="E42" s="186" t="str">
        <f t="shared" si="1"/>
        <v>JobDetails_Location2</v>
      </c>
      <c r="F42" s="190"/>
      <c r="G42" s="293">
        <v>766</v>
      </c>
      <c r="H42" s="293">
        <v>766</v>
      </c>
      <c r="I42" s="293">
        <v>766</v>
      </c>
      <c r="J42" s="293">
        <v>766</v>
      </c>
      <c r="K42" s="293">
        <v>766</v>
      </c>
      <c r="L42" s="293">
        <v>766</v>
      </c>
      <c r="M42" s="305">
        <v>766</v>
      </c>
      <c r="N42" s="293">
        <v>766</v>
      </c>
      <c r="O42" s="305">
        <v>766</v>
      </c>
      <c r="P42" s="305">
        <v>766</v>
      </c>
      <c r="Q42" s="303">
        <v>766</v>
      </c>
      <c r="R42" s="303">
        <v>766</v>
      </c>
      <c r="S42" s="318">
        <v>766</v>
      </c>
      <c r="T42" s="303">
        <v>766</v>
      </c>
      <c r="U42" s="303">
        <v>766</v>
      </c>
      <c r="V42" s="303">
        <v>766</v>
      </c>
      <c r="W42" s="303">
        <v>766</v>
      </c>
      <c r="X42" s="303">
        <v>766</v>
      </c>
      <c r="Y42" s="303">
        <v>766</v>
      </c>
      <c r="Z42" s="303">
        <v>766</v>
      </c>
      <c r="AA42" s="302">
        <v>766</v>
      </c>
      <c r="AB42" s="302">
        <v>766</v>
      </c>
      <c r="AC42" s="302">
        <v>766</v>
      </c>
      <c r="AD42" s="302">
        <v>766</v>
      </c>
      <c r="AE42" s="302">
        <v>766</v>
      </c>
      <c r="AF42" s="322">
        <v>766</v>
      </c>
      <c r="AG42" s="302">
        <v>766</v>
      </c>
      <c r="AH42" s="302">
        <v>766</v>
      </c>
      <c r="AI42" s="294">
        <v>766</v>
      </c>
      <c r="AJ42" s="294">
        <v>766</v>
      </c>
      <c r="AK42" s="294">
        <v>766</v>
      </c>
      <c r="AL42" s="294">
        <v>766</v>
      </c>
      <c r="AM42" s="315">
        <v>766</v>
      </c>
      <c r="AN42" s="315">
        <v>766</v>
      </c>
      <c r="AO42" s="315">
        <v>766</v>
      </c>
      <c r="AP42" s="315">
        <v>766</v>
      </c>
      <c r="AQ42" s="315">
        <v>766</v>
      </c>
      <c r="AR42" s="315">
        <v>766</v>
      </c>
      <c r="AS42" s="315">
        <v>766</v>
      </c>
      <c r="AT42" s="315">
        <v>766</v>
      </c>
      <c r="AU42" s="315">
        <v>766</v>
      </c>
      <c r="AV42" s="315">
        <v>766</v>
      </c>
      <c r="AW42" s="315">
        <v>766</v>
      </c>
      <c r="AX42" s="315">
        <v>766</v>
      </c>
      <c r="AY42" s="315">
        <v>766</v>
      </c>
      <c r="AZ42" s="315">
        <v>766</v>
      </c>
      <c r="BA42" s="315">
        <v>766</v>
      </c>
      <c r="BB42" s="315">
        <v>766</v>
      </c>
      <c r="BC42" s="315">
        <v>766</v>
      </c>
      <c r="BD42" s="315">
        <v>766</v>
      </c>
      <c r="BE42" s="315">
        <v>766</v>
      </c>
      <c r="BF42" s="315">
        <v>766</v>
      </c>
    </row>
    <row r="43" spans="1:61" ht="21.5" thickBot="1" x14ac:dyDescent="0.55000000000000004">
      <c r="A43" s="213" t="s">
        <v>86</v>
      </c>
      <c r="B43" s="214" t="s">
        <v>108</v>
      </c>
      <c r="C43" s="195" t="s">
        <v>1216</v>
      </c>
      <c r="D43" s="215" t="str">
        <f t="shared" si="0"/>
        <v>JobDetails_AdditionalInformation_PayRateType</v>
      </c>
      <c r="E43" s="216" t="str">
        <f t="shared" si="1"/>
        <v>JobDetails_AdditionalInformation_PayRateType2</v>
      </c>
      <c r="F43" s="218"/>
      <c r="G43" s="188" t="s">
        <v>133</v>
      </c>
      <c r="H43" s="188" t="s">
        <v>133</v>
      </c>
      <c r="I43" s="188" t="s">
        <v>133</v>
      </c>
      <c r="J43" s="188" t="s">
        <v>133</v>
      </c>
      <c r="K43" s="188" t="s">
        <v>133</v>
      </c>
      <c r="L43" s="188" t="s">
        <v>133</v>
      </c>
      <c r="M43" s="220" t="s">
        <v>133</v>
      </c>
      <c r="N43" s="188" t="s">
        <v>133</v>
      </c>
      <c r="O43" s="260" t="s">
        <v>133</v>
      </c>
      <c r="P43" s="275" t="s">
        <v>133</v>
      </c>
      <c r="Q43" s="188" t="s">
        <v>133</v>
      </c>
      <c r="R43" s="188" t="s">
        <v>133</v>
      </c>
      <c r="S43" s="252" t="s">
        <v>133</v>
      </c>
      <c r="T43" s="252" t="s">
        <v>133</v>
      </c>
      <c r="U43" s="252" t="s">
        <v>133</v>
      </c>
      <c r="V43" s="252" t="s">
        <v>133</v>
      </c>
      <c r="W43" s="252" t="s">
        <v>133</v>
      </c>
      <c r="X43" s="252" t="s">
        <v>133</v>
      </c>
      <c r="Y43" s="252" t="s">
        <v>133</v>
      </c>
      <c r="Z43" s="252" t="s">
        <v>133</v>
      </c>
      <c r="AA43" s="135" t="s">
        <v>133</v>
      </c>
      <c r="AB43" s="135" t="s">
        <v>133</v>
      </c>
      <c r="AC43" s="135" t="s">
        <v>133</v>
      </c>
      <c r="AD43" s="320" t="s">
        <v>133</v>
      </c>
      <c r="AE43" s="135" t="s">
        <v>133</v>
      </c>
      <c r="AF43" s="135" t="s">
        <v>133</v>
      </c>
      <c r="AG43" s="135" t="s">
        <v>133</v>
      </c>
      <c r="AH43" s="135" t="s">
        <v>133</v>
      </c>
      <c r="AI43" s="135" t="s">
        <v>133</v>
      </c>
      <c r="AJ43" s="135" t="s">
        <v>133</v>
      </c>
      <c r="AK43" s="135" t="s">
        <v>133</v>
      </c>
      <c r="AL43" s="135" t="s">
        <v>133</v>
      </c>
      <c r="AM43" s="135" t="s">
        <v>133</v>
      </c>
      <c r="AN43" s="135" t="s">
        <v>133</v>
      </c>
      <c r="AO43" s="135" t="s">
        <v>133</v>
      </c>
      <c r="AP43" s="135" t="s">
        <v>133</v>
      </c>
      <c r="AQ43" s="135" t="s">
        <v>133</v>
      </c>
      <c r="AR43" s="135" t="s">
        <v>133</v>
      </c>
      <c r="AS43" s="135" t="s">
        <v>133</v>
      </c>
      <c r="AT43" s="135" t="s">
        <v>133</v>
      </c>
      <c r="AU43" s="135" t="s">
        <v>133</v>
      </c>
      <c r="AV43" s="135" t="s">
        <v>133</v>
      </c>
      <c r="AW43" s="135" t="s">
        <v>133</v>
      </c>
      <c r="AX43" s="135" t="s">
        <v>133</v>
      </c>
      <c r="AY43" s="135" t="s">
        <v>133</v>
      </c>
      <c r="AZ43" s="135" t="s">
        <v>133</v>
      </c>
      <c r="BA43" s="135" t="s">
        <v>133</v>
      </c>
      <c r="BB43" s="135" t="s">
        <v>133</v>
      </c>
      <c r="BC43" s="135" t="s">
        <v>133</v>
      </c>
      <c r="BD43" s="135" t="s">
        <v>133</v>
      </c>
      <c r="BE43" s="135" t="s">
        <v>133</v>
      </c>
      <c r="BF43" s="135" t="s">
        <v>133</v>
      </c>
      <c r="BG43" s="135"/>
      <c r="BH43" s="135"/>
      <c r="BI43" s="135"/>
    </row>
    <row r="44" spans="1:61" ht="21.5" thickBot="1" x14ac:dyDescent="0.55000000000000004">
      <c r="A44" s="182" t="s">
        <v>86</v>
      </c>
      <c r="B44" s="183" t="s">
        <v>108</v>
      </c>
      <c r="C44" s="195" t="s">
        <v>1217</v>
      </c>
      <c r="D44" s="185" t="str">
        <f t="shared" si="0"/>
        <v>JobDetails_AdditionalInformation_ScheduledWeeklyHours</v>
      </c>
      <c r="E44" s="186" t="str">
        <f t="shared" si="1"/>
        <v>JobDetails_AdditionalInformation_ScheduledWeeklyHours2</v>
      </c>
      <c r="F44" s="190"/>
      <c r="G44" s="221">
        <v>20</v>
      </c>
      <c r="H44" s="221">
        <v>40</v>
      </c>
      <c r="I44" s="221">
        <v>40</v>
      </c>
      <c r="J44" s="221">
        <v>40</v>
      </c>
      <c r="K44" s="221">
        <v>20</v>
      </c>
      <c r="L44" s="221">
        <v>40</v>
      </c>
      <c r="M44" s="221">
        <v>30</v>
      </c>
      <c r="N44" s="221">
        <v>40</v>
      </c>
      <c r="O44" s="286">
        <v>10</v>
      </c>
      <c r="P44" s="286">
        <v>20</v>
      </c>
      <c r="Q44" s="221">
        <v>40</v>
      </c>
      <c r="R44" s="221">
        <v>20</v>
      </c>
      <c r="S44" s="221">
        <v>20</v>
      </c>
      <c r="T44" s="221">
        <v>40</v>
      </c>
      <c r="U44" s="221">
        <v>40</v>
      </c>
      <c r="V44" s="221">
        <v>40</v>
      </c>
      <c r="W44" s="221">
        <v>20</v>
      </c>
      <c r="X44" s="221">
        <v>40</v>
      </c>
      <c r="Y44" s="221">
        <v>30</v>
      </c>
      <c r="Z44" s="221">
        <v>40</v>
      </c>
      <c r="AA44" s="132">
        <v>10</v>
      </c>
      <c r="AB44" s="132">
        <v>40</v>
      </c>
      <c r="AC44" s="132">
        <v>40</v>
      </c>
      <c r="AD44" s="132">
        <v>40</v>
      </c>
      <c r="AE44" s="132">
        <v>40</v>
      </c>
      <c r="AF44" s="132">
        <v>20</v>
      </c>
      <c r="AG44" s="132">
        <v>40</v>
      </c>
      <c r="AH44" s="132">
        <v>40</v>
      </c>
      <c r="AI44" s="132">
        <v>40</v>
      </c>
      <c r="AJ44" s="132">
        <v>20</v>
      </c>
      <c r="AK44" s="132">
        <v>10</v>
      </c>
      <c r="AL44" s="132">
        <v>40</v>
      </c>
      <c r="AM44" s="337">
        <v>40</v>
      </c>
      <c r="AQ44" s="337">
        <v>40</v>
      </c>
      <c r="AR44" s="337">
        <v>30</v>
      </c>
      <c r="AS44" s="337">
        <v>40</v>
      </c>
      <c r="AT44" s="337">
        <v>10</v>
      </c>
      <c r="AU44" s="337">
        <v>40</v>
      </c>
      <c r="AV44" s="337">
        <v>20</v>
      </c>
      <c r="AW44" s="337">
        <v>40</v>
      </c>
      <c r="AX44" s="337">
        <v>10</v>
      </c>
      <c r="AY44" s="337">
        <v>40</v>
      </c>
      <c r="AZ44" s="337">
        <v>20</v>
      </c>
      <c r="BA44" s="337">
        <v>40</v>
      </c>
      <c r="BB44" s="337">
        <v>20</v>
      </c>
      <c r="BC44" s="337">
        <v>40</v>
      </c>
      <c r="BD44" s="337">
        <v>40</v>
      </c>
      <c r="BE44" s="337">
        <v>20</v>
      </c>
      <c r="BF44" s="337">
        <v>40</v>
      </c>
    </row>
    <row r="45" spans="1:61" ht="21.5" thickBot="1" x14ac:dyDescent="0.55000000000000004">
      <c r="A45" s="213" t="s">
        <v>86</v>
      </c>
      <c r="B45" s="214" t="s">
        <v>108</v>
      </c>
      <c r="C45" s="254" t="s">
        <v>1218</v>
      </c>
      <c r="D45" s="215" t="str">
        <f t="shared" si="0"/>
        <v>JobDetails_AdditionalInformation_SchoolName</v>
      </c>
      <c r="E45" s="216" t="str">
        <f t="shared" si="1"/>
        <v>JobDetails_AdditionalInformation_SchoolName2</v>
      </c>
      <c r="F45" s="218"/>
      <c r="G45" s="260" t="s">
        <v>1170</v>
      </c>
      <c r="H45" s="188" t="s">
        <v>1170</v>
      </c>
      <c r="I45" s="188" t="s">
        <v>1170</v>
      </c>
      <c r="J45" s="188" t="s">
        <v>1170</v>
      </c>
      <c r="K45" s="188" t="s">
        <v>1170</v>
      </c>
      <c r="L45" s="188" t="s">
        <v>1170</v>
      </c>
      <c r="M45" s="188" t="s">
        <v>1170</v>
      </c>
      <c r="N45" s="269" t="s">
        <v>1170</v>
      </c>
      <c r="O45" s="260" t="s">
        <v>1170</v>
      </c>
      <c r="P45" s="260" t="s">
        <v>1170</v>
      </c>
      <c r="Q45" s="188" t="s">
        <v>1170</v>
      </c>
      <c r="R45" s="188" t="s">
        <v>1170</v>
      </c>
      <c r="S45" s="188" t="s">
        <v>1170</v>
      </c>
      <c r="T45" s="188" t="s">
        <v>1170</v>
      </c>
      <c r="U45" s="188" t="s">
        <v>1170</v>
      </c>
      <c r="V45" s="188" t="s">
        <v>1170</v>
      </c>
      <c r="W45" s="188" t="s">
        <v>1170</v>
      </c>
      <c r="X45" s="188" t="s">
        <v>1170</v>
      </c>
      <c r="Y45" s="188" t="s">
        <v>1170</v>
      </c>
      <c r="Z45" s="188" t="s">
        <v>1170</v>
      </c>
      <c r="AA45" s="188" t="s">
        <v>1170</v>
      </c>
      <c r="AB45" s="188" t="s">
        <v>1170</v>
      </c>
      <c r="AC45" s="188" t="s">
        <v>1170</v>
      </c>
      <c r="AD45" s="188" t="s">
        <v>1170</v>
      </c>
      <c r="AE45" s="188" t="s">
        <v>1170</v>
      </c>
      <c r="AF45" s="188" t="s">
        <v>1170</v>
      </c>
      <c r="AG45" s="188" t="s">
        <v>1170</v>
      </c>
      <c r="AH45" s="188" t="s">
        <v>1170</v>
      </c>
      <c r="AI45" s="188" t="s">
        <v>1170</v>
      </c>
      <c r="AJ45" s="188" t="s">
        <v>1170</v>
      </c>
      <c r="AK45" s="188" t="s">
        <v>1170</v>
      </c>
      <c r="AL45" s="188" t="s">
        <v>1170</v>
      </c>
      <c r="AM45" s="188" t="s">
        <v>1170</v>
      </c>
      <c r="AN45" s="188" t="s">
        <v>1170</v>
      </c>
      <c r="AO45" s="188" t="s">
        <v>1170</v>
      </c>
      <c r="AP45" s="188" t="s">
        <v>1170</v>
      </c>
      <c r="AQ45" s="188" t="s">
        <v>1170</v>
      </c>
      <c r="AR45" s="188" t="s">
        <v>1170</v>
      </c>
      <c r="AS45" s="188" t="s">
        <v>1170</v>
      </c>
      <c r="AT45" s="188" t="s">
        <v>1170</v>
      </c>
      <c r="AU45" s="188" t="s">
        <v>1170</v>
      </c>
      <c r="AV45" s="188" t="s">
        <v>1170</v>
      </c>
      <c r="AW45" s="188" t="s">
        <v>1170</v>
      </c>
      <c r="AX45" s="188" t="s">
        <v>1170</v>
      </c>
      <c r="AY45" s="188" t="s">
        <v>1170</v>
      </c>
      <c r="AZ45" s="188" t="s">
        <v>1170</v>
      </c>
      <c r="BA45" s="188" t="s">
        <v>1170</v>
      </c>
      <c r="BB45" s="188" t="s">
        <v>1170</v>
      </c>
      <c r="BC45" s="188" t="s">
        <v>1170</v>
      </c>
      <c r="BD45" s="188" t="s">
        <v>1170</v>
      </c>
      <c r="BE45" s="188" t="s">
        <v>1170</v>
      </c>
      <c r="BF45" s="188" t="s">
        <v>1170</v>
      </c>
      <c r="BG45" s="188"/>
    </row>
    <row r="46" spans="1:61" s="181" customFormat="1" ht="27" customHeight="1" thickBot="1" x14ac:dyDescent="0.55000000000000004">
      <c r="A46" s="222" t="s">
        <v>86</v>
      </c>
      <c r="B46" s="223" t="s">
        <v>108</v>
      </c>
      <c r="C46" s="254" t="s">
        <v>1219</v>
      </c>
      <c r="D46" s="224" t="str">
        <f t="shared" si="0"/>
        <v>JobDetails_AdditionalInformation_SchoolType</v>
      </c>
      <c r="E46" s="225" t="str">
        <f t="shared" si="1"/>
        <v>JobDetails_AdditionalInformation_SchoolType2</v>
      </c>
      <c r="F46" s="226" t="s">
        <v>114</v>
      </c>
      <c r="G46" s="260" t="s">
        <v>1255</v>
      </c>
      <c r="H46" s="188" t="s">
        <v>1255</v>
      </c>
      <c r="I46" s="188" t="s">
        <v>1255</v>
      </c>
      <c r="J46" s="188" t="s">
        <v>1255</v>
      </c>
      <c r="K46" s="188" t="s">
        <v>1255</v>
      </c>
      <c r="L46" s="188" t="s">
        <v>1255</v>
      </c>
      <c r="M46" s="188" t="s">
        <v>1255</v>
      </c>
      <c r="N46" s="269" t="s">
        <v>1255</v>
      </c>
      <c r="O46" s="260" t="s">
        <v>1255</v>
      </c>
      <c r="P46" s="260" t="s">
        <v>1255</v>
      </c>
      <c r="Q46" s="188" t="s">
        <v>1255</v>
      </c>
      <c r="R46" s="188" t="s">
        <v>1255</v>
      </c>
      <c r="S46" s="188" t="s">
        <v>1255</v>
      </c>
      <c r="T46" s="188" t="s">
        <v>1255</v>
      </c>
      <c r="U46" s="188" t="s">
        <v>1255</v>
      </c>
      <c r="V46" s="188" t="s">
        <v>1255</v>
      </c>
      <c r="W46" s="188" t="s">
        <v>1255</v>
      </c>
      <c r="X46" s="188" t="s">
        <v>1255</v>
      </c>
      <c r="Y46" s="188" t="s">
        <v>1255</v>
      </c>
      <c r="Z46" s="188" t="s">
        <v>1255</v>
      </c>
      <c r="AA46" s="188" t="s">
        <v>1255</v>
      </c>
      <c r="AB46" s="188" t="s">
        <v>1255</v>
      </c>
      <c r="AC46" s="188" t="s">
        <v>1255</v>
      </c>
      <c r="AD46" s="188" t="s">
        <v>1255</v>
      </c>
      <c r="AE46" s="188" t="s">
        <v>1255</v>
      </c>
      <c r="AF46" s="188" t="s">
        <v>1255</v>
      </c>
      <c r="AG46" s="188" t="s">
        <v>1255</v>
      </c>
      <c r="AH46" s="188" t="s">
        <v>1255</v>
      </c>
      <c r="AI46" s="188" t="s">
        <v>1255</v>
      </c>
      <c r="AJ46" s="188" t="s">
        <v>1255</v>
      </c>
      <c r="AK46" s="188" t="s">
        <v>1255</v>
      </c>
      <c r="AL46" s="188" t="s">
        <v>1255</v>
      </c>
      <c r="AM46" s="188" t="s">
        <v>1255</v>
      </c>
      <c r="AN46" s="188" t="s">
        <v>1255</v>
      </c>
      <c r="AO46" s="188" t="s">
        <v>1255</v>
      </c>
      <c r="AP46" s="188" t="s">
        <v>1255</v>
      </c>
      <c r="AQ46" s="188" t="s">
        <v>1255</v>
      </c>
      <c r="AR46" s="188" t="s">
        <v>1255</v>
      </c>
      <c r="AS46" s="188" t="s">
        <v>1255</v>
      </c>
      <c r="AT46" s="188" t="s">
        <v>1255</v>
      </c>
      <c r="AU46" s="188" t="s">
        <v>1255</v>
      </c>
      <c r="AV46" s="188" t="s">
        <v>1255</v>
      </c>
      <c r="AW46" s="188" t="s">
        <v>1255</v>
      </c>
      <c r="AX46" s="188" t="s">
        <v>1255</v>
      </c>
      <c r="AY46" s="188" t="s">
        <v>1255</v>
      </c>
      <c r="AZ46" s="188" t="s">
        <v>1255</v>
      </c>
      <c r="BA46" s="188" t="s">
        <v>1255</v>
      </c>
      <c r="BB46" s="188" t="s">
        <v>1255</v>
      </c>
      <c r="BC46" s="188" t="s">
        <v>1255</v>
      </c>
      <c r="BD46" s="188" t="s">
        <v>1255</v>
      </c>
      <c r="BE46" s="188" t="s">
        <v>1255</v>
      </c>
      <c r="BF46" s="188" t="s">
        <v>1255</v>
      </c>
      <c r="BG46" s="188"/>
    </row>
    <row r="47" spans="1:61" ht="21.5" thickBot="1" x14ac:dyDescent="0.55000000000000004">
      <c r="A47" s="182" t="s">
        <v>86</v>
      </c>
      <c r="B47" s="183" t="s">
        <v>108</v>
      </c>
      <c r="C47" s="254" t="s">
        <v>1220</v>
      </c>
      <c r="D47" s="185" t="str">
        <f t="shared" si="0"/>
        <v>JobDetails_AdditionalInformation_SchoolStartDate</v>
      </c>
      <c r="E47" s="186" t="str">
        <f t="shared" si="1"/>
        <v>JobDetails_AdditionalInformation_SchoolStartDate2</v>
      </c>
      <c r="F47" s="187"/>
      <c r="G47" s="261">
        <v>43831</v>
      </c>
      <c r="H47" s="205">
        <v>43831</v>
      </c>
      <c r="I47" s="205">
        <v>43831</v>
      </c>
      <c r="J47" s="205">
        <v>43831</v>
      </c>
      <c r="K47" s="205">
        <v>43831</v>
      </c>
      <c r="L47" s="205">
        <v>43831</v>
      </c>
      <c r="M47" s="205">
        <v>43831</v>
      </c>
      <c r="N47" s="205">
        <v>43831</v>
      </c>
      <c r="O47" s="261">
        <v>43831</v>
      </c>
      <c r="P47" s="261">
        <v>43831</v>
      </c>
      <c r="Q47" s="205">
        <v>43831</v>
      </c>
      <c r="R47" s="205">
        <v>43831</v>
      </c>
      <c r="S47" s="205">
        <v>43831</v>
      </c>
      <c r="T47" s="205">
        <v>43831</v>
      </c>
      <c r="U47" s="205">
        <v>43831</v>
      </c>
      <c r="V47" s="205">
        <v>43831</v>
      </c>
      <c r="W47" s="205">
        <v>43831</v>
      </c>
      <c r="X47" s="205">
        <v>43831</v>
      </c>
      <c r="Y47" s="205">
        <v>43831</v>
      </c>
      <c r="Z47" s="205">
        <v>43831</v>
      </c>
      <c r="AA47" s="205">
        <v>43831</v>
      </c>
      <c r="AB47" s="205">
        <v>43831</v>
      </c>
      <c r="AC47" s="205">
        <v>43831</v>
      </c>
      <c r="AD47" s="205">
        <v>43831</v>
      </c>
      <c r="AE47" s="205">
        <v>43831</v>
      </c>
      <c r="AF47" s="205">
        <v>43831</v>
      </c>
      <c r="AG47" s="205">
        <v>43831</v>
      </c>
      <c r="AH47" s="205">
        <v>43831</v>
      </c>
      <c r="AI47" s="205">
        <v>43831</v>
      </c>
      <c r="AJ47" s="205">
        <v>43831</v>
      </c>
      <c r="AK47" s="205">
        <v>43831</v>
      </c>
      <c r="AL47" s="205">
        <v>43831</v>
      </c>
      <c r="AM47" s="205">
        <v>43831</v>
      </c>
      <c r="AN47" s="205">
        <v>43831</v>
      </c>
      <c r="AO47" s="205">
        <v>43831</v>
      </c>
      <c r="AP47" s="205">
        <v>43831</v>
      </c>
      <c r="AQ47" s="205">
        <v>43831</v>
      </c>
      <c r="AR47" s="205">
        <v>43831</v>
      </c>
      <c r="AS47" s="205">
        <v>43831</v>
      </c>
      <c r="AT47" s="205">
        <v>43831</v>
      </c>
      <c r="AU47" s="205">
        <v>43831</v>
      </c>
      <c r="AV47" s="205">
        <v>43831</v>
      </c>
      <c r="AW47" s="205">
        <v>43831</v>
      </c>
      <c r="AX47" s="205">
        <v>43831</v>
      </c>
      <c r="AY47" s="205">
        <v>43831</v>
      </c>
      <c r="AZ47" s="205">
        <v>43831</v>
      </c>
      <c r="BA47" s="205">
        <v>43831</v>
      </c>
      <c r="BB47" s="205">
        <v>43831</v>
      </c>
      <c r="BC47" s="205">
        <v>43831</v>
      </c>
      <c r="BD47" s="205">
        <v>43831</v>
      </c>
      <c r="BE47" s="205">
        <v>43831</v>
      </c>
      <c r="BF47" s="205">
        <v>43831</v>
      </c>
      <c r="BG47" s="205"/>
    </row>
    <row r="48" spans="1:61" ht="21.5" thickBot="1" x14ac:dyDescent="0.55000000000000004">
      <c r="A48" s="182" t="s">
        <v>1186</v>
      </c>
      <c r="B48" s="183" t="s">
        <v>61</v>
      </c>
      <c r="C48" s="254" t="s">
        <v>1221</v>
      </c>
      <c r="D48" s="185" t="str">
        <f t="shared" si="0"/>
        <v>MaintainEmployeeContract_SchoolEndDate</v>
      </c>
      <c r="E48" s="186" t="str">
        <f t="shared" si="1"/>
        <v>MaintainEmployeeContract_SchoolEndDate2</v>
      </c>
      <c r="F48" s="187"/>
      <c r="G48" s="261">
        <v>45293</v>
      </c>
      <c r="H48" s="205">
        <v>45293</v>
      </c>
      <c r="I48" s="205">
        <v>45293</v>
      </c>
      <c r="J48" s="205">
        <v>45293</v>
      </c>
      <c r="K48" s="205">
        <v>45293</v>
      </c>
      <c r="L48" s="205">
        <v>45293</v>
      </c>
      <c r="M48" s="205">
        <v>45293</v>
      </c>
      <c r="N48" s="205">
        <v>45293</v>
      </c>
      <c r="O48" s="261">
        <v>45293</v>
      </c>
      <c r="P48" s="261">
        <v>45293</v>
      </c>
      <c r="Q48" s="205">
        <v>45293</v>
      </c>
      <c r="R48" s="205">
        <v>45293</v>
      </c>
      <c r="S48" s="205">
        <v>45293</v>
      </c>
      <c r="T48" s="205">
        <v>45293</v>
      </c>
      <c r="U48" s="205">
        <v>45293</v>
      </c>
      <c r="V48" s="205">
        <v>45293</v>
      </c>
      <c r="W48" s="205">
        <v>45293</v>
      </c>
      <c r="X48" s="205">
        <v>45293</v>
      </c>
      <c r="Y48" s="205">
        <v>45293</v>
      </c>
      <c r="Z48" s="205">
        <v>45293</v>
      </c>
      <c r="AA48" s="205">
        <v>45293</v>
      </c>
      <c r="AB48" s="205">
        <v>45293</v>
      </c>
      <c r="AC48" s="205">
        <v>45293</v>
      </c>
      <c r="AD48" s="205">
        <v>45293</v>
      </c>
      <c r="AE48" s="205">
        <v>45293</v>
      </c>
      <c r="AF48" s="205">
        <v>45293</v>
      </c>
      <c r="AG48" s="205">
        <v>45293</v>
      </c>
      <c r="AH48" s="205">
        <v>45293</v>
      </c>
      <c r="AI48" s="205">
        <v>45293</v>
      </c>
      <c r="AJ48" s="205">
        <v>45293</v>
      </c>
      <c r="AK48" s="205">
        <v>45293</v>
      </c>
      <c r="AL48" s="205">
        <v>45293</v>
      </c>
      <c r="AM48" s="205">
        <v>45293</v>
      </c>
      <c r="AN48" s="205">
        <v>45293</v>
      </c>
      <c r="AO48" s="205">
        <v>45293</v>
      </c>
      <c r="AP48" s="205">
        <v>45293</v>
      </c>
      <c r="AQ48" s="205">
        <v>45293</v>
      </c>
      <c r="AR48" s="205">
        <v>45293</v>
      </c>
      <c r="AS48" s="205">
        <v>45293</v>
      </c>
      <c r="AT48" s="205">
        <v>45293</v>
      </c>
      <c r="AU48" s="205">
        <v>45293</v>
      </c>
      <c r="AV48" s="205">
        <v>45293</v>
      </c>
      <c r="AW48" s="205">
        <v>45293</v>
      </c>
      <c r="AX48" s="205">
        <v>45293</v>
      </c>
      <c r="AY48" s="205">
        <v>45293</v>
      </c>
      <c r="AZ48" s="205">
        <v>45293</v>
      </c>
      <c r="BA48" s="205">
        <v>45293</v>
      </c>
      <c r="BB48" s="205">
        <v>45293</v>
      </c>
      <c r="BC48" s="205">
        <v>45293</v>
      </c>
      <c r="BD48" s="205">
        <v>45293</v>
      </c>
      <c r="BE48" s="205">
        <v>45293</v>
      </c>
      <c r="BF48" s="205">
        <v>45293</v>
      </c>
      <c r="BG48" s="205"/>
    </row>
    <row r="49" spans="1:58" ht="21.5" thickBot="1" x14ac:dyDescent="0.55000000000000004">
      <c r="A49" s="182" t="s">
        <v>1186</v>
      </c>
      <c r="B49" s="183" t="s">
        <v>61</v>
      </c>
      <c r="C49" s="195" t="s">
        <v>1222</v>
      </c>
      <c r="D49" s="185" t="str">
        <f t="shared" si="0"/>
        <v>MaintainEmployeeContract_AdditionalJobClassifications</v>
      </c>
      <c r="E49" s="186" t="str">
        <f t="shared" si="1"/>
        <v>MaintainEmployeeContract_AdditionalJobClassifications2</v>
      </c>
      <c r="F49" s="187" t="s">
        <v>114</v>
      </c>
      <c r="G49" s="134" t="s">
        <v>1171</v>
      </c>
      <c r="H49" s="134" t="s">
        <v>1316</v>
      </c>
      <c r="I49" s="134" t="s">
        <v>1171</v>
      </c>
      <c r="J49" s="134" t="s">
        <v>1354</v>
      </c>
      <c r="K49" s="134" t="s">
        <v>1443</v>
      </c>
      <c r="L49" s="134" t="s">
        <v>1376</v>
      </c>
      <c r="M49" s="134" t="s">
        <v>1171</v>
      </c>
      <c r="N49" s="134" t="s">
        <v>1444</v>
      </c>
      <c r="O49" s="134" t="s">
        <v>1171</v>
      </c>
      <c r="P49" s="134" t="s">
        <v>1171</v>
      </c>
      <c r="Q49" s="134" t="s">
        <v>1445</v>
      </c>
      <c r="R49" s="134" t="s">
        <v>1446</v>
      </c>
      <c r="S49" s="227" t="s">
        <v>1447</v>
      </c>
      <c r="T49" s="227" t="s">
        <v>1171</v>
      </c>
      <c r="U49" s="227" t="s">
        <v>1171</v>
      </c>
      <c r="V49" s="227" t="s">
        <v>1171</v>
      </c>
      <c r="W49" s="227" t="s">
        <v>1171</v>
      </c>
      <c r="X49" s="227" t="s">
        <v>1171</v>
      </c>
      <c r="Y49" s="227" t="s">
        <v>1171</v>
      </c>
      <c r="Z49" s="227" t="s">
        <v>1171</v>
      </c>
      <c r="AA49" s="134" t="s">
        <v>1171</v>
      </c>
      <c r="AB49" s="134" t="s">
        <v>1171</v>
      </c>
      <c r="AC49" s="134" t="s">
        <v>1171</v>
      </c>
      <c r="AD49" s="134" t="s">
        <v>1171</v>
      </c>
      <c r="AE49" s="134" t="s">
        <v>1171</v>
      </c>
      <c r="AF49" s="134" t="s">
        <v>1171</v>
      </c>
      <c r="AG49" s="134" t="s">
        <v>1171</v>
      </c>
      <c r="AH49" s="134" t="s">
        <v>1171</v>
      </c>
      <c r="AI49" s="134" t="s">
        <v>1171</v>
      </c>
      <c r="AJ49" s="134" t="s">
        <v>1171</v>
      </c>
      <c r="AK49" s="134" t="s">
        <v>1171</v>
      </c>
      <c r="AL49" s="134" t="s">
        <v>1171</v>
      </c>
      <c r="AM49" s="336" t="s">
        <v>1171</v>
      </c>
      <c r="AN49" s="336" t="s">
        <v>1171</v>
      </c>
      <c r="AO49" s="336" t="s">
        <v>1171</v>
      </c>
      <c r="AP49" s="336" t="s">
        <v>1171</v>
      </c>
      <c r="AQ49" s="336" t="s">
        <v>1171</v>
      </c>
      <c r="AR49" s="336" t="s">
        <v>1171</v>
      </c>
      <c r="AS49" s="336" t="s">
        <v>1171</v>
      </c>
      <c r="AT49" s="336" t="s">
        <v>1171</v>
      </c>
      <c r="AU49" s="336" t="s">
        <v>1171</v>
      </c>
      <c r="AV49" s="336" t="s">
        <v>1171</v>
      </c>
      <c r="AW49" s="336" t="s">
        <v>1171</v>
      </c>
      <c r="AX49" s="336" t="s">
        <v>1171</v>
      </c>
      <c r="AY49" s="336" t="s">
        <v>1171</v>
      </c>
      <c r="AZ49" s="336" t="s">
        <v>1171</v>
      </c>
      <c r="BA49" s="336" t="s">
        <v>1171</v>
      </c>
      <c r="BB49" s="336" t="s">
        <v>1171</v>
      </c>
      <c r="BC49" s="336" t="s">
        <v>1171</v>
      </c>
      <c r="BD49" s="336" t="s">
        <v>1171</v>
      </c>
      <c r="BE49" s="336" t="s">
        <v>1171</v>
      </c>
      <c r="BF49" s="336" t="s">
        <v>1171</v>
      </c>
    </row>
    <row r="50" spans="1:58" ht="19.899999999999999" customHeight="1" thickBot="1" x14ac:dyDescent="0.55000000000000004">
      <c r="A50" s="182" t="s">
        <v>1186</v>
      </c>
      <c r="B50" s="183" t="s">
        <v>61</v>
      </c>
      <c r="C50" s="195" t="s">
        <v>1223</v>
      </c>
      <c r="D50" s="228" t="s">
        <v>1197</v>
      </c>
      <c r="E50" s="229" t="s">
        <v>1198</v>
      </c>
      <c r="F50" s="230" t="s">
        <v>114</v>
      </c>
      <c r="G50" s="260" t="s">
        <v>110</v>
      </c>
      <c r="H50" s="264" t="s">
        <v>1315</v>
      </c>
      <c r="I50" s="264" t="s">
        <v>1315</v>
      </c>
      <c r="J50" s="264" t="s">
        <v>1315</v>
      </c>
      <c r="K50" s="264" t="s">
        <v>1315</v>
      </c>
      <c r="L50" s="264" t="s">
        <v>1315</v>
      </c>
      <c r="M50" s="264" t="s">
        <v>1315</v>
      </c>
      <c r="N50" s="264" t="s">
        <v>1315</v>
      </c>
      <c r="O50" s="264" t="s">
        <v>1315</v>
      </c>
      <c r="P50" s="227" t="s">
        <v>1315</v>
      </c>
      <c r="Q50" s="264" t="s">
        <v>1315</v>
      </c>
      <c r="R50" s="264" t="s">
        <v>1315</v>
      </c>
      <c r="S50" s="264" t="s">
        <v>1315</v>
      </c>
      <c r="T50" s="264" t="s">
        <v>1315</v>
      </c>
      <c r="U50" s="264" t="s">
        <v>1315</v>
      </c>
      <c r="V50" s="264" t="s">
        <v>1315</v>
      </c>
      <c r="W50" s="264" t="s">
        <v>1315</v>
      </c>
      <c r="X50" s="264" t="s">
        <v>1315</v>
      </c>
      <c r="Y50" s="264" t="s">
        <v>1315</v>
      </c>
      <c r="Z50" s="264" t="s">
        <v>1315</v>
      </c>
      <c r="AA50" s="264" t="s">
        <v>1315</v>
      </c>
      <c r="AB50" s="264" t="s">
        <v>1315</v>
      </c>
      <c r="AC50" s="264" t="s">
        <v>1315</v>
      </c>
      <c r="AD50" s="264" t="s">
        <v>1315</v>
      </c>
      <c r="AE50" s="264" t="s">
        <v>1315</v>
      </c>
      <c r="AF50" s="264" t="s">
        <v>1315</v>
      </c>
      <c r="AG50" s="264" t="s">
        <v>1315</v>
      </c>
      <c r="AH50" s="264" t="s">
        <v>1315</v>
      </c>
      <c r="AI50" s="264" t="s">
        <v>1315</v>
      </c>
      <c r="AJ50" s="264" t="s">
        <v>1315</v>
      </c>
      <c r="AK50" s="264" t="s">
        <v>1315</v>
      </c>
      <c r="AL50" s="264" t="s">
        <v>1315</v>
      </c>
      <c r="AM50" s="264" t="s">
        <v>1315</v>
      </c>
      <c r="AN50" s="264" t="s">
        <v>1315</v>
      </c>
      <c r="AO50" s="264" t="s">
        <v>1315</v>
      </c>
      <c r="AP50" s="264" t="s">
        <v>1315</v>
      </c>
      <c r="AQ50" s="264" t="s">
        <v>1315</v>
      </c>
      <c r="AR50" s="264" t="s">
        <v>1315</v>
      </c>
      <c r="AS50" s="264" t="s">
        <v>1315</v>
      </c>
      <c r="AT50" s="264" t="s">
        <v>1315</v>
      </c>
      <c r="AU50" s="264" t="s">
        <v>1315</v>
      </c>
      <c r="AV50" s="264" t="s">
        <v>1315</v>
      </c>
      <c r="AW50" s="264" t="s">
        <v>1315</v>
      </c>
      <c r="AX50" s="264" t="s">
        <v>1315</v>
      </c>
      <c r="AY50" s="264" t="s">
        <v>1315</v>
      </c>
      <c r="AZ50" s="264" t="s">
        <v>1315</v>
      </c>
      <c r="BA50" s="264" t="s">
        <v>1315</v>
      </c>
      <c r="BB50" s="264" t="s">
        <v>1315</v>
      </c>
      <c r="BC50" s="264" t="s">
        <v>1315</v>
      </c>
      <c r="BD50" s="264" t="s">
        <v>1315</v>
      </c>
      <c r="BE50" s="264" t="s">
        <v>1315</v>
      </c>
      <c r="BF50" s="264" t="s">
        <v>1315</v>
      </c>
    </row>
    <row r="51" spans="1:58" ht="19.899999999999999" customHeight="1" thickBot="1" x14ac:dyDescent="0.55000000000000004">
      <c r="A51" s="182" t="s">
        <v>1186</v>
      </c>
      <c r="B51" s="183" t="s">
        <v>61</v>
      </c>
      <c r="C51" s="195" t="s">
        <v>1224</v>
      </c>
      <c r="D51" s="228" t="s">
        <v>1199</v>
      </c>
      <c r="E51" s="229" t="s">
        <v>1200</v>
      </c>
      <c r="F51" s="231" t="s">
        <v>1201</v>
      </c>
      <c r="G51" s="260" t="s">
        <v>61</v>
      </c>
      <c r="H51" s="284" t="s">
        <v>61</v>
      </c>
      <c r="I51" s="284" t="s">
        <v>61</v>
      </c>
      <c r="J51" s="284">
        <f ca="1">TODAY()+365</f>
        <v>46085</v>
      </c>
      <c r="K51" s="284">
        <f ca="1">TODAY()+365</f>
        <v>46085</v>
      </c>
      <c r="L51" s="285" t="s">
        <v>61</v>
      </c>
      <c r="M51" s="285" t="s">
        <v>61</v>
      </c>
      <c r="N51" s="285" t="s">
        <v>61</v>
      </c>
      <c r="O51" s="324">
        <f ca="1">TODAY()+365</f>
        <v>46085</v>
      </c>
      <c r="P51" s="325" t="s">
        <v>61</v>
      </c>
      <c r="Q51" s="324">
        <f t="shared" ref="Q51" ca="1" si="7">TODAY()+365</f>
        <v>46085</v>
      </c>
      <c r="R51" s="130" t="s">
        <v>61</v>
      </c>
      <c r="S51" s="232">
        <f ca="1">TODAY()+365</f>
        <v>46085</v>
      </c>
      <c r="T51" s="232">
        <f ca="1">TODAY()+365</f>
        <v>46085</v>
      </c>
      <c r="U51" s="232">
        <f ca="1">TODAY()+365</f>
        <v>46085</v>
      </c>
      <c r="V51" s="232">
        <f ca="1">TODAY()+365</f>
        <v>46085</v>
      </c>
      <c r="W51" s="232" t="s">
        <v>61</v>
      </c>
      <c r="X51" s="232" t="s">
        <v>61</v>
      </c>
      <c r="Y51" s="232">
        <f ca="1">TODAY()+365</f>
        <v>46085</v>
      </c>
      <c r="Z51" s="232" t="s">
        <v>61</v>
      </c>
      <c r="AA51" s="130">
        <f t="shared" ref="AA51:AG51" ca="1" si="8">TODAY()+365</f>
        <v>46085</v>
      </c>
      <c r="AB51" s="130">
        <f t="shared" ca="1" si="8"/>
        <v>46085</v>
      </c>
      <c r="AC51" s="130">
        <f t="shared" ca="1" si="8"/>
        <v>46085</v>
      </c>
      <c r="AD51" s="130">
        <f t="shared" ca="1" si="8"/>
        <v>46085</v>
      </c>
      <c r="AE51" s="130">
        <f t="shared" ca="1" si="8"/>
        <v>46085</v>
      </c>
      <c r="AF51" s="130">
        <f t="shared" ca="1" si="8"/>
        <v>46085</v>
      </c>
      <c r="AG51" s="130">
        <f t="shared" ca="1" si="8"/>
        <v>46085</v>
      </c>
      <c r="AH51" s="130" t="s">
        <v>61</v>
      </c>
      <c r="AI51" s="130" t="s">
        <v>61</v>
      </c>
      <c r="AJ51" s="130">
        <f ca="1">TODAY()+365</f>
        <v>46085</v>
      </c>
      <c r="AK51" s="130" t="s">
        <v>61</v>
      </c>
      <c r="AL51" s="130">
        <f ca="1">TODAY()+365</f>
        <v>46085</v>
      </c>
      <c r="AM51" s="130" t="s">
        <v>61</v>
      </c>
      <c r="AN51" s="130">
        <f ca="1">TODAY()+365</f>
        <v>46085</v>
      </c>
      <c r="AO51" s="130" t="s">
        <v>61</v>
      </c>
      <c r="AP51" s="130">
        <f ca="1">TODAY()+365</f>
        <v>46085</v>
      </c>
      <c r="AQ51" s="130" t="s">
        <v>61</v>
      </c>
      <c r="AR51" s="130">
        <f ca="1">TODAY()+365</f>
        <v>46085</v>
      </c>
      <c r="AS51" s="130" t="s">
        <v>61</v>
      </c>
      <c r="AT51" s="130">
        <f ca="1">TODAY()+365</f>
        <v>46085</v>
      </c>
      <c r="AU51" s="130" t="s">
        <v>61</v>
      </c>
      <c r="AV51" s="130">
        <f ca="1">TODAY()+365</f>
        <v>46085</v>
      </c>
      <c r="AW51" s="130">
        <f ca="1">TODAY()+365</f>
        <v>46085</v>
      </c>
      <c r="AX51" s="130" t="s">
        <v>61</v>
      </c>
      <c r="AY51" s="130" t="s">
        <v>61</v>
      </c>
      <c r="AZ51" s="130">
        <f ca="1">TODAY()+365</f>
        <v>46085</v>
      </c>
      <c r="BA51" s="130">
        <f ca="1">TODAY()+365</f>
        <v>46085</v>
      </c>
      <c r="BB51" s="130" t="s">
        <v>61</v>
      </c>
      <c r="BC51" s="130" t="s">
        <v>61</v>
      </c>
      <c r="BD51" s="130">
        <f ca="1">TODAY()+365</f>
        <v>46085</v>
      </c>
      <c r="BE51" s="130" t="s">
        <v>61</v>
      </c>
      <c r="BF51" s="130" t="s">
        <v>61</v>
      </c>
    </row>
    <row r="52" spans="1:58" s="181" customFormat="1" ht="19.899999999999999" customHeight="1" thickBot="1" x14ac:dyDescent="0.55000000000000004">
      <c r="A52" s="222" t="s">
        <v>1186</v>
      </c>
      <c r="B52" s="223" t="s">
        <v>61</v>
      </c>
      <c r="C52" s="195" t="s">
        <v>1225</v>
      </c>
      <c r="D52" s="233" t="s">
        <v>1202</v>
      </c>
      <c r="E52" s="234" t="s">
        <v>131</v>
      </c>
      <c r="F52" s="235" t="s">
        <v>114</v>
      </c>
      <c r="G52" s="260">
        <v>110</v>
      </c>
      <c r="H52" s="188">
        <v>110</v>
      </c>
      <c r="I52" s="188">
        <v>110</v>
      </c>
      <c r="J52" s="188">
        <v>110</v>
      </c>
      <c r="K52" s="188">
        <v>110</v>
      </c>
      <c r="L52" s="188">
        <v>110</v>
      </c>
      <c r="M52" s="188">
        <v>110</v>
      </c>
      <c r="N52" s="188">
        <v>110</v>
      </c>
      <c r="O52" s="188">
        <v>110</v>
      </c>
      <c r="P52" s="309">
        <v>110</v>
      </c>
      <c r="Q52" s="188">
        <v>110</v>
      </c>
      <c r="R52" s="188">
        <v>110</v>
      </c>
      <c r="S52" s="188">
        <v>110</v>
      </c>
      <c r="T52" s="188">
        <v>110</v>
      </c>
      <c r="U52" s="188">
        <v>110</v>
      </c>
      <c r="V52" s="188">
        <v>110</v>
      </c>
      <c r="W52" s="188">
        <v>110</v>
      </c>
      <c r="X52" s="188">
        <v>110</v>
      </c>
      <c r="Y52" s="188">
        <v>110</v>
      </c>
      <c r="Z52" s="188">
        <v>110</v>
      </c>
      <c r="AA52" s="188">
        <v>110</v>
      </c>
      <c r="AB52" s="188">
        <v>110</v>
      </c>
      <c r="AC52" s="188">
        <v>110</v>
      </c>
      <c r="AD52" s="188">
        <v>110</v>
      </c>
      <c r="AE52" s="188">
        <v>110</v>
      </c>
      <c r="AF52" s="188">
        <v>110</v>
      </c>
      <c r="AG52" s="188">
        <v>110</v>
      </c>
      <c r="AH52" s="188">
        <v>110</v>
      </c>
      <c r="AI52" s="188">
        <v>110</v>
      </c>
      <c r="AJ52" s="188">
        <v>110</v>
      </c>
      <c r="AK52" s="188">
        <v>110</v>
      </c>
      <c r="AL52" s="188">
        <v>110</v>
      </c>
      <c r="AM52" s="188">
        <v>110</v>
      </c>
      <c r="AN52" s="188">
        <v>110</v>
      </c>
      <c r="AO52" s="188">
        <v>110</v>
      </c>
      <c r="AP52" s="188">
        <v>110</v>
      </c>
      <c r="AQ52" s="188">
        <v>110</v>
      </c>
      <c r="AR52" s="188">
        <v>110</v>
      </c>
      <c r="AS52" s="188">
        <v>110</v>
      </c>
      <c r="AT52" s="188">
        <v>110</v>
      </c>
      <c r="AU52" s="188">
        <v>110</v>
      </c>
      <c r="AV52" s="188">
        <v>110</v>
      </c>
      <c r="AW52" s="188">
        <v>110</v>
      </c>
      <c r="AX52" s="188">
        <v>110</v>
      </c>
      <c r="AY52" s="188">
        <v>110</v>
      </c>
      <c r="AZ52" s="188">
        <v>110</v>
      </c>
      <c r="BA52" s="188">
        <v>110</v>
      </c>
      <c r="BB52" s="188">
        <v>110</v>
      </c>
      <c r="BC52" s="188">
        <v>110</v>
      </c>
      <c r="BD52" s="188">
        <v>110</v>
      </c>
      <c r="BE52" s="188">
        <v>110</v>
      </c>
      <c r="BF52" s="188">
        <v>110</v>
      </c>
    </row>
    <row r="53" spans="1:58" ht="21.5" thickBot="1" x14ac:dyDescent="0.55000000000000004">
      <c r="A53" s="213" t="s">
        <v>117</v>
      </c>
      <c r="B53" s="214" t="s">
        <v>61</v>
      </c>
      <c r="C53" s="195" t="s">
        <v>115</v>
      </c>
      <c r="D53" s="215" t="str">
        <f t="shared" si="0"/>
        <v>ChangeOrganizationAssignments_Comments</v>
      </c>
      <c r="E53" s="216" t="str">
        <f t="shared" si="1"/>
        <v>ChangeOrganizationAssignments_Comments2</v>
      </c>
      <c r="F53" s="236"/>
      <c r="G53" s="263" t="s">
        <v>116</v>
      </c>
      <c r="H53" s="188" t="s">
        <v>116</v>
      </c>
      <c r="I53" s="191" t="s">
        <v>116</v>
      </c>
      <c r="J53" s="191" t="s">
        <v>116</v>
      </c>
      <c r="K53" s="191" t="s">
        <v>116</v>
      </c>
      <c r="L53" s="191" t="s">
        <v>116</v>
      </c>
      <c r="M53" s="191" t="s">
        <v>116</v>
      </c>
      <c r="N53" s="191" t="s">
        <v>116</v>
      </c>
      <c r="O53" s="191" t="s">
        <v>116</v>
      </c>
      <c r="P53" s="307" t="s">
        <v>116</v>
      </c>
      <c r="Q53" s="191" t="s">
        <v>116</v>
      </c>
      <c r="R53" s="191" t="s">
        <v>116</v>
      </c>
      <c r="S53" s="191" t="s">
        <v>116</v>
      </c>
      <c r="T53" s="191" t="s">
        <v>116</v>
      </c>
      <c r="U53" s="191" t="s">
        <v>116</v>
      </c>
      <c r="V53" s="191" t="s">
        <v>116</v>
      </c>
      <c r="W53" s="191" t="s">
        <v>116</v>
      </c>
      <c r="X53" s="191" t="s">
        <v>116</v>
      </c>
      <c r="Y53" s="191" t="s">
        <v>116</v>
      </c>
      <c r="Z53" s="191" t="s">
        <v>116</v>
      </c>
      <c r="AA53" s="191" t="s">
        <v>116</v>
      </c>
      <c r="AB53" s="191" t="s">
        <v>116</v>
      </c>
      <c r="AC53" s="191" t="s">
        <v>116</v>
      </c>
      <c r="AD53" s="191" t="s">
        <v>116</v>
      </c>
      <c r="AE53" s="191" t="s">
        <v>116</v>
      </c>
      <c r="AF53" s="191" t="s">
        <v>116</v>
      </c>
      <c r="AG53" s="191" t="s">
        <v>116</v>
      </c>
      <c r="AH53" s="191" t="s">
        <v>116</v>
      </c>
      <c r="AI53" s="191" t="s">
        <v>116</v>
      </c>
      <c r="AJ53" s="191" t="s">
        <v>116</v>
      </c>
      <c r="AK53" s="191" t="s">
        <v>116</v>
      </c>
      <c r="AL53" s="191" t="s">
        <v>116</v>
      </c>
      <c r="AM53" s="192" t="s">
        <v>116</v>
      </c>
      <c r="AN53" s="192" t="s">
        <v>116</v>
      </c>
      <c r="AO53" s="192" t="s">
        <v>116</v>
      </c>
      <c r="AP53" s="192" t="s">
        <v>116</v>
      </c>
      <c r="AQ53" s="192" t="s">
        <v>116</v>
      </c>
      <c r="AR53" s="192" t="s">
        <v>116</v>
      </c>
      <c r="AS53" s="192" t="s">
        <v>116</v>
      </c>
      <c r="AT53" s="192" t="s">
        <v>116</v>
      </c>
      <c r="AU53" s="192" t="s">
        <v>116</v>
      </c>
      <c r="AV53" s="192" t="s">
        <v>116</v>
      </c>
      <c r="AW53" s="192" t="s">
        <v>116</v>
      </c>
      <c r="AX53" s="192" t="s">
        <v>116</v>
      </c>
      <c r="AY53" s="192" t="s">
        <v>116</v>
      </c>
      <c r="AZ53" s="192" t="s">
        <v>116</v>
      </c>
      <c r="BA53" s="192" t="s">
        <v>116</v>
      </c>
      <c r="BB53" s="192" t="s">
        <v>116</v>
      </c>
      <c r="BC53" s="192" t="s">
        <v>116</v>
      </c>
      <c r="BD53" s="192" t="s">
        <v>116</v>
      </c>
      <c r="BE53" s="192" t="s">
        <v>116</v>
      </c>
      <c r="BF53" s="192" t="s">
        <v>116</v>
      </c>
    </row>
    <row r="54" spans="1:58" ht="21.5" thickBot="1" x14ac:dyDescent="0.55000000000000004">
      <c r="A54" s="213" t="s">
        <v>117</v>
      </c>
      <c r="B54" s="214" t="s">
        <v>61</v>
      </c>
      <c r="C54" s="195" t="s">
        <v>1226</v>
      </c>
      <c r="D54" s="215" t="str">
        <f t="shared" si="0"/>
        <v>ChangeOrganizationAssignments_ContractType</v>
      </c>
      <c r="E54" s="216" t="str">
        <f t="shared" si="1"/>
        <v>ChangeOrganizationAssignments_ContractType2</v>
      </c>
      <c r="F54" s="236"/>
      <c r="G54" s="279" t="s">
        <v>1188</v>
      </c>
      <c r="H54" s="237" t="s">
        <v>1188</v>
      </c>
      <c r="I54" s="237" t="s">
        <v>1188</v>
      </c>
      <c r="J54" s="288" t="s">
        <v>96</v>
      </c>
      <c r="K54" s="288" t="s">
        <v>96</v>
      </c>
      <c r="L54" s="237" t="s">
        <v>1188</v>
      </c>
      <c r="M54" s="237" t="s">
        <v>1188</v>
      </c>
      <c r="N54" s="237" t="s">
        <v>1188</v>
      </c>
      <c r="O54" s="288" t="s">
        <v>96</v>
      </c>
      <c r="P54" s="279" t="s">
        <v>1188</v>
      </c>
      <c r="Q54" s="237" t="s">
        <v>1377</v>
      </c>
      <c r="R54" s="237" t="s">
        <v>1377</v>
      </c>
      <c r="S54" s="288" t="s">
        <v>1188</v>
      </c>
      <c r="T54" s="237" t="s">
        <v>1188</v>
      </c>
      <c r="U54" s="237" t="s">
        <v>1188</v>
      </c>
      <c r="V54" s="237" t="s">
        <v>1377</v>
      </c>
      <c r="W54" s="237" t="s">
        <v>96</v>
      </c>
      <c r="X54" s="237" t="s">
        <v>96</v>
      </c>
      <c r="Y54" s="237" t="s">
        <v>96</v>
      </c>
      <c r="Z54" s="237" t="s">
        <v>1188</v>
      </c>
      <c r="AA54" s="237" t="s">
        <v>1188</v>
      </c>
      <c r="AB54" s="219" t="s">
        <v>96</v>
      </c>
      <c r="AC54" s="237" t="s">
        <v>1188</v>
      </c>
      <c r="AD54" s="219" t="s">
        <v>96</v>
      </c>
      <c r="AE54" s="219" t="s">
        <v>96</v>
      </c>
      <c r="AF54" s="219" t="s">
        <v>96</v>
      </c>
      <c r="AG54" s="237" t="s">
        <v>1188</v>
      </c>
      <c r="AH54" s="219" t="s">
        <v>96</v>
      </c>
      <c r="AI54" s="219" t="s">
        <v>96</v>
      </c>
      <c r="AJ54" s="219" t="s">
        <v>96</v>
      </c>
      <c r="AK54" s="237" t="s">
        <v>1188</v>
      </c>
      <c r="AL54" s="237" t="s">
        <v>1188</v>
      </c>
      <c r="AM54" s="332" t="s">
        <v>96</v>
      </c>
      <c r="AN54" s="332" t="s">
        <v>1188</v>
      </c>
      <c r="AO54" s="332" t="s">
        <v>96</v>
      </c>
      <c r="AP54" s="332" t="s">
        <v>96</v>
      </c>
      <c r="AQ54" s="332" t="s">
        <v>96</v>
      </c>
      <c r="AR54" s="332" t="s">
        <v>1188</v>
      </c>
      <c r="AS54" s="333" t="s">
        <v>96</v>
      </c>
      <c r="AT54" s="332" t="s">
        <v>1188</v>
      </c>
      <c r="AU54" s="333" t="s">
        <v>96</v>
      </c>
      <c r="AV54" s="332" t="s">
        <v>1188</v>
      </c>
      <c r="AW54" s="333" t="s">
        <v>96</v>
      </c>
      <c r="AX54" s="332" t="s">
        <v>1188</v>
      </c>
      <c r="AY54" s="333" t="s">
        <v>96</v>
      </c>
      <c r="AZ54" s="332" t="s">
        <v>1188</v>
      </c>
      <c r="BA54" s="332" t="s">
        <v>1188</v>
      </c>
      <c r="BB54" s="332" t="s">
        <v>1188</v>
      </c>
      <c r="BC54" s="333" t="s">
        <v>96</v>
      </c>
      <c r="BD54" s="333" t="s">
        <v>96</v>
      </c>
      <c r="BE54" s="332" t="s">
        <v>1188</v>
      </c>
      <c r="BF54" s="332" t="s">
        <v>1188</v>
      </c>
    </row>
    <row r="55" spans="1:58" ht="21.5" thickBot="1" x14ac:dyDescent="0.55000000000000004">
      <c r="A55" s="238" t="s">
        <v>138</v>
      </c>
      <c r="B55" s="183" t="s">
        <v>139</v>
      </c>
      <c r="C55" s="195" t="s">
        <v>1187</v>
      </c>
      <c r="D55" s="185" t="str">
        <f t="shared" ref="D55:D68" si="9">SUBSTITUTE(A55," ","") &amp; "_" &amp; SUBSTITUTE(IF(B55="N/A","",B55&amp; "_")," ","")  &amp; SUBSTITUTE(SUBSTITUTE(C55," ",""),"/","")</f>
        <v>ChangeMyGovernmentIDs_NationalIDs_Status</v>
      </c>
      <c r="E55" s="186" t="str">
        <f t="shared" ref="E55:E68" si="10">D55&amp;2</f>
        <v>ChangeMyGovernmentIDs_NationalIDs_Status2</v>
      </c>
      <c r="F55" s="187"/>
      <c r="G55" s="263" t="s">
        <v>129</v>
      </c>
      <c r="H55" s="191" t="s">
        <v>129</v>
      </c>
      <c r="I55" s="191" t="s">
        <v>129</v>
      </c>
      <c r="J55" s="191" t="s">
        <v>129</v>
      </c>
      <c r="K55" s="191" t="s">
        <v>129</v>
      </c>
      <c r="L55" s="191" t="s">
        <v>129</v>
      </c>
      <c r="M55" s="191" t="s">
        <v>129</v>
      </c>
      <c r="N55" s="191" t="s">
        <v>129</v>
      </c>
      <c r="O55" s="191" t="s">
        <v>129</v>
      </c>
      <c r="P55" s="263" t="s">
        <v>129</v>
      </c>
      <c r="Q55" s="191" t="s">
        <v>129</v>
      </c>
      <c r="R55" s="191" t="s">
        <v>129</v>
      </c>
      <c r="S55" s="191" t="s">
        <v>129</v>
      </c>
      <c r="T55" s="191" t="s">
        <v>129</v>
      </c>
      <c r="U55" s="191" t="s">
        <v>129</v>
      </c>
      <c r="V55" s="191" t="s">
        <v>129</v>
      </c>
      <c r="W55" s="191" t="s">
        <v>129</v>
      </c>
      <c r="X55" s="191" t="s">
        <v>129</v>
      </c>
      <c r="Y55" s="191" t="s">
        <v>129</v>
      </c>
      <c r="Z55" s="191" t="s">
        <v>129</v>
      </c>
      <c r="AA55" s="191" t="s">
        <v>129</v>
      </c>
      <c r="AB55" s="191" t="s">
        <v>129</v>
      </c>
      <c r="AC55" s="191" t="s">
        <v>129</v>
      </c>
      <c r="AD55" s="191" t="s">
        <v>129</v>
      </c>
      <c r="AE55" s="191" t="s">
        <v>129</v>
      </c>
      <c r="AF55" s="191" t="s">
        <v>129</v>
      </c>
      <c r="AG55" s="191" t="s">
        <v>129</v>
      </c>
      <c r="AH55" s="191" t="s">
        <v>129</v>
      </c>
      <c r="AI55" s="191" t="s">
        <v>129</v>
      </c>
      <c r="AJ55" s="191" t="s">
        <v>129</v>
      </c>
      <c r="AK55" s="191" t="s">
        <v>129</v>
      </c>
      <c r="AL55" s="191" t="s">
        <v>129</v>
      </c>
      <c r="AM55" s="192" t="s">
        <v>129</v>
      </c>
      <c r="AN55" s="192" t="s">
        <v>129</v>
      </c>
      <c r="AO55" s="192" t="s">
        <v>129</v>
      </c>
      <c r="AP55" s="192" t="s">
        <v>129</v>
      </c>
      <c r="AQ55" s="192" t="s">
        <v>129</v>
      </c>
      <c r="AR55" s="192" t="s">
        <v>129</v>
      </c>
      <c r="AS55" s="192" t="s">
        <v>129</v>
      </c>
      <c r="AT55" s="192" t="s">
        <v>129</v>
      </c>
      <c r="AU55" s="192" t="s">
        <v>129</v>
      </c>
      <c r="AV55" s="192" t="s">
        <v>129</v>
      </c>
      <c r="AW55" s="192" t="s">
        <v>129</v>
      </c>
      <c r="AX55" s="192" t="s">
        <v>129</v>
      </c>
      <c r="AY55" s="192" t="s">
        <v>129</v>
      </c>
      <c r="AZ55" s="192" t="s">
        <v>129</v>
      </c>
      <c r="BA55" s="192" t="s">
        <v>129</v>
      </c>
      <c r="BB55" s="192" t="s">
        <v>129</v>
      </c>
      <c r="BC55" s="192" t="s">
        <v>129</v>
      </c>
      <c r="BD55" s="192" t="s">
        <v>129</v>
      </c>
      <c r="BE55" s="192" t="s">
        <v>129</v>
      </c>
      <c r="BF55" s="192" t="s">
        <v>129</v>
      </c>
    </row>
    <row r="56" spans="1:58" ht="21.5" thickBot="1" x14ac:dyDescent="0.55000000000000004">
      <c r="A56" s="238" t="s">
        <v>138</v>
      </c>
      <c r="B56" s="183" t="s">
        <v>139</v>
      </c>
      <c r="C56" s="195" t="s">
        <v>1227</v>
      </c>
      <c r="D56" s="185" t="str">
        <f t="shared" si="9"/>
        <v>ChangeMyGovernmentIDs_NationalIDs_DateEmployeeSigned</v>
      </c>
      <c r="E56" s="186" t="str">
        <f t="shared" si="10"/>
        <v>ChangeMyGovernmentIDs_NationalIDs_DateEmployeeSigned2</v>
      </c>
      <c r="F56" s="187"/>
      <c r="G56" s="261">
        <f ca="1">G36</f>
        <v>45689</v>
      </c>
      <c r="H56" s="239">
        <f ca="1">H36</f>
        <v>45689</v>
      </c>
      <c r="I56" s="239">
        <f ca="1">I36</f>
        <v>45689</v>
      </c>
      <c r="J56" s="239">
        <f ca="1">J36</f>
        <v>45689</v>
      </c>
      <c r="K56" s="239">
        <f ca="1">K36</f>
        <v>45689</v>
      </c>
      <c r="L56" s="239" t="str">
        <f>L41</f>
        <v>Full time</v>
      </c>
      <c r="M56" s="239">
        <f ca="1">M36</f>
        <v>45689</v>
      </c>
      <c r="N56" s="239">
        <f ca="1">N36</f>
        <v>45689</v>
      </c>
      <c r="O56" s="239">
        <f t="shared" ref="O56:BF56" ca="1" si="11">O36</f>
        <v>45689</v>
      </c>
      <c r="P56" s="239">
        <f t="shared" ca="1" si="11"/>
        <v>45689</v>
      </c>
      <c r="Q56" s="239">
        <f t="shared" ca="1" si="11"/>
        <v>45689</v>
      </c>
      <c r="R56" s="239">
        <f t="shared" ca="1" si="11"/>
        <v>45689</v>
      </c>
      <c r="S56" s="239">
        <f t="shared" ca="1" si="11"/>
        <v>45689</v>
      </c>
      <c r="T56" s="239">
        <f t="shared" ca="1" si="11"/>
        <v>45689</v>
      </c>
      <c r="U56" s="239">
        <f t="shared" ca="1" si="11"/>
        <v>45689</v>
      </c>
      <c r="V56" s="239">
        <f t="shared" ca="1" si="11"/>
        <v>45689</v>
      </c>
      <c r="W56" s="239">
        <f t="shared" ca="1" si="11"/>
        <v>45780</v>
      </c>
      <c r="X56" s="239">
        <f t="shared" ca="1" si="11"/>
        <v>45689</v>
      </c>
      <c r="Y56" s="239">
        <f t="shared" ca="1" si="11"/>
        <v>45689</v>
      </c>
      <c r="Z56" s="239">
        <f t="shared" ca="1" si="11"/>
        <v>45689</v>
      </c>
      <c r="AA56" s="239">
        <f t="shared" ca="1" si="11"/>
        <v>45689</v>
      </c>
      <c r="AB56" s="239">
        <f t="shared" ca="1" si="11"/>
        <v>45689</v>
      </c>
      <c r="AC56" s="239">
        <f t="shared" ca="1" si="11"/>
        <v>45689</v>
      </c>
      <c r="AD56" s="239">
        <f t="shared" ca="1" si="11"/>
        <v>45689</v>
      </c>
      <c r="AE56" s="239">
        <f t="shared" ca="1" si="11"/>
        <v>45689</v>
      </c>
      <c r="AF56" s="239">
        <f t="shared" ca="1" si="11"/>
        <v>45811</v>
      </c>
      <c r="AG56" s="239">
        <f t="shared" ca="1" si="11"/>
        <v>45689</v>
      </c>
      <c r="AH56" s="239">
        <f t="shared" ca="1" si="11"/>
        <v>45811</v>
      </c>
      <c r="AI56" s="239">
        <f t="shared" ca="1" si="11"/>
        <v>45689</v>
      </c>
      <c r="AJ56" s="239">
        <f t="shared" ca="1" si="11"/>
        <v>45689</v>
      </c>
      <c r="AK56" s="239">
        <f t="shared" ca="1" si="11"/>
        <v>45689</v>
      </c>
      <c r="AL56" s="239">
        <f t="shared" ca="1" si="11"/>
        <v>45689</v>
      </c>
      <c r="AM56" s="239">
        <f t="shared" ca="1" si="11"/>
        <v>45734</v>
      </c>
      <c r="AN56" s="239">
        <f t="shared" ca="1" si="11"/>
        <v>45689</v>
      </c>
      <c r="AO56" s="239">
        <f t="shared" ca="1" si="11"/>
        <v>45689</v>
      </c>
      <c r="AP56" s="239">
        <f t="shared" ca="1" si="11"/>
        <v>45689</v>
      </c>
      <c r="AQ56" s="239">
        <f t="shared" ca="1" si="11"/>
        <v>45689</v>
      </c>
      <c r="AR56" s="239">
        <f t="shared" ca="1" si="11"/>
        <v>45660</v>
      </c>
      <c r="AS56" s="239">
        <f t="shared" ca="1" si="11"/>
        <v>45689</v>
      </c>
      <c r="AT56" s="239">
        <f t="shared" ca="1" si="11"/>
        <v>45689</v>
      </c>
      <c r="AU56" s="239">
        <f t="shared" ca="1" si="11"/>
        <v>45689</v>
      </c>
      <c r="AV56" s="239">
        <f t="shared" ca="1" si="11"/>
        <v>45689</v>
      </c>
      <c r="AW56" s="239">
        <f t="shared" ca="1" si="11"/>
        <v>45689</v>
      </c>
      <c r="AX56" s="239">
        <f t="shared" ca="1" si="11"/>
        <v>45689</v>
      </c>
      <c r="AY56" s="239">
        <f t="shared" ca="1" si="11"/>
        <v>45689</v>
      </c>
      <c r="AZ56" s="239">
        <f t="shared" ca="1" si="11"/>
        <v>45689</v>
      </c>
      <c r="BA56" s="239">
        <f t="shared" ca="1" si="11"/>
        <v>45689</v>
      </c>
      <c r="BB56" s="239">
        <f t="shared" ca="1" si="11"/>
        <v>45689</v>
      </c>
      <c r="BC56" s="239">
        <f t="shared" ca="1" si="11"/>
        <v>45689</v>
      </c>
      <c r="BD56" s="239">
        <f t="shared" ca="1" si="11"/>
        <v>45689</v>
      </c>
      <c r="BE56" s="239">
        <f t="shared" ca="1" si="11"/>
        <v>45689</v>
      </c>
      <c r="BF56" s="239">
        <f t="shared" ca="1" si="11"/>
        <v>45689</v>
      </c>
    </row>
    <row r="57" spans="1:58" s="244" customFormat="1" ht="21.5" thickBot="1" x14ac:dyDescent="0.55000000000000004">
      <c r="A57" s="240" t="s">
        <v>138</v>
      </c>
      <c r="B57" s="241" t="s">
        <v>139</v>
      </c>
      <c r="C57" s="195" t="s">
        <v>1228</v>
      </c>
      <c r="D57" s="202" t="str">
        <f t="shared" si="9"/>
        <v>ChangeMyGovernmentIDs_NationalIDs_DateEmployerSigned</v>
      </c>
      <c r="E57" s="203" t="str">
        <f t="shared" si="10"/>
        <v>ChangeMyGovernmentIDs_NationalIDs_DateEmployerSigned2</v>
      </c>
      <c r="F57" s="242" t="s">
        <v>69</v>
      </c>
      <c r="G57" s="205">
        <v>46012</v>
      </c>
      <c r="H57" s="287">
        <f ca="1">H36</f>
        <v>45689</v>
      </c>
      <c r="I57" s="287">
        <f ca="1">I36</f>
        <v>45689</v>
      </c>
      <c r="J57" s="287">
        <f ca="1">J36</f>
        <v>45689</v>
      </c>
      <c r="K57" s="239">
        <f ca="1">K36</f>
        <v>45689</v>
      </c>
      <c r="L57" s="239" t="str">
        <f>L41</f>
        <v>Full time</v>
      </c>
      <c r="M57" s="239">
        <f ca="1">M36</f>
        <v>45689</v>
      </c>
      <c r="N57" s="239">
        <f ca="1">N36</f>
        <v>45689</v>
      </c>
      <c r="O57" s="239">
        <f t="shared" ref="O57:BF57" ca="1" si="12">O36</f>
        <v>45689</v>
      </c>
      <c r="P57" s="239">
        <f t="shared" ca="1" si="12"/>
        <v>45689</v>
      </c>
      <c r="Q57" s="239">
        <f t="shared" ca="1" si="12"/>
        <v>45689</v>
      </c>
      <c r="R57" s="239">
        <f t="shared" ca="1" si="12"/>
        <v>45689</v>
      </c>
      <c r="S57" s="239">
        <f t="shared" ca="1" si="12"/>
        <v>45689</v>
      </c>
      <c r="T57" s="239">
        <f t="shared" ca="1" si="12"/>
        <v>45689</v>
      </c>
      <c r="U57" s="239">
        <f t="shared" ca="1" si="12"/>
        <v>45689</v>
      </c>
      <c r="V57" s="239">
        <f t="shared" ca="1" si="12"/>
        <v>45689</v>
      </c>
      <c r="W57" s="239">
        <f t="shared" ca="1" si="12"/>
        <v>45780</v>
      </c>
      <c r="X57" s="239">
        <f t="shared" ca="1" si="12"/>
        <v>45689</v>
      </c>
      <c r="Y57" s="239">
        <f t="shared" ca="1" si="12"/>
        <v>45689</v>
      </c>
      <c r="Z57" s="239">
        <f t="shared" ca="1" si="12"/>
        <v>45689</v>
      </c>
      <c r="AA57" s="239">
        <f t="shared" ca="1" si="12"/>
        <v>45689</v>
      </c>
      <c r="AB57" s="239">
        <f t="shared" ca="1" si="12"/>
        <v>45689</v>
      </c>
      <c r="AC57" s="239">
        <f t="shared" ca="1" si="12"/>
        <v>45689</v>
      </c>
      <c r="AD57" s="239">
        <f t="shared" ca="1" si="12"/>
        <v>45689</v>
      </c>
      <c r="AE57" s="239">
        <f t="shared" ca="1" si="12"/>
        <v>45689</v>
      </c>
      <c r="AF57" s="239">
        <f t="shared" ca="1" si="12"/>
        <v>45811</v>
      </c>
      <c r="AG57" s="239">
        <f t="shared" ca="1" si="12"/>
        <v>45689</v>
      </c>
      <c r="AH57" s="239">
        <f t="shared" ca="1" si="12"/>
        <v>45811</v>
      </c>
      <c r="AI57" s="239">
        <f t="shared" ca="1" si="12"/>
        <v>45689</v>
      </c>
      <c r="AJ57" s="239">
        <f t="shared" ca="1" si="12"/>
        <v>45689</v>
      </c>
      <c r="AK57" s="239">
        <f t="shared" ca="1" si="12"/>
        <v>45689</v>
      </c>
      <c r="AL57" s="239">
        <f t="shared" ca="1" si="12"/>
        <v>45689</v>
      </c>
      <c r="AM57" s="239">
        <f t="shared" ca="1" si="12"/>
        <v>45734</v>
      </c>
      <c r="AN57" s="239">
        <f t="shared" ca="1" si="12"/>
        <v>45689</v>
      </c>
      <c r="AO57" s="239">
        <f t="shared" ca="1" si="12"/>
        <v>45689</v>
      </c>
      <c r="AP57" s="239">
        <f t="shared" ca="1" si="12"/>
        <v>45689</v>
      </c>
      <c r="AQ57" s="239">
        <f t="shared" ca="1" si="12"/>
        <v>45689</v>
      </c>
      <c r="AR57" s="239">
        <f t="shared" ca="1" si="12"/>
        <v>45660</v>
      </c>
      <c r="AS57" s="239">
        <f t="shared" ca="1" si="12"/>
        <v>45689</v>
      </c>
      <c r="AT57" s="239">
        <f t="shared" ca="1" si="12"/>
        <v>45689</v>
      </c>
      <c r="AU57" s="239">
        <f t="shared" ca="1" si="12"/>
        <v>45689</v>
      </c>
      <c r="AV57" s="239">
        <f t="shared" ca="1" si="12"/>
        <v>45689</v>
      </c>
      <c r="AW57" s="239">
        <f t="shared" ca="1" si="12"/>
        <v>45689</v>
      </c>
      <c r="AX57" s="239">
        <f t="shared" ca="1" si="12"/>
        <v>45689</v>
      </c>
      <c r="AY57" s="239">
        <f t="shared" ca="1" si="12"/>
        <v>45689</v>
      </c>
      <c r="AZ57" s="239">
        <f t="shared" ca="1" si="12"/>
        <v>45689</v>
      </c>
      <c r="BA57" s="239">
        <f t="shared" ca="1" si="12"/>
        <v>45689</v>
      </c>
      <c r="BB57" s="239">
        <f t="shared" ca="1" si="12"/>
        <v>45689</v>
      </c>
      <c r="BC57" s="239">
        <f t="shared" ca="1" si="12"/>
        <v>45689</v>
      </c>
      <c r="BD57" s="239">
        <f t="shared" ca="1" si="12"/>
        <v>45689</v>
      </c>
      <c r="BE57" s="239">
        <f t="shared" ca="1" si="12"/>
        <v>45689</v>
      </c>
      <c r="BF57" s="239">
        <f t="shared" ca="1" si="12"/>
        <v>45689</v>
      </c>
    </row>
    <row r="58" spans="1:58" ht="21.5" thickBot="1" x14ac:dyDescent="0.55000000000000004">
      <c r="A58" s="238" t="s">
        <v>134</v>
      </c>
      <c r="B58" s="183" t="s">
        <v>61</v>
      </c>
      <c r="C58" s="195" t="s">
        <v>1229</v>
      </c>
      <c r="D58" s="185" t="str">
        <f t="shared" si="9"/>
        <v>ChangeMyPersonalInformation_ContractEndDate</v>
      </c>
      <c r="E58" s="186" t="str">
        <f t="shared" si="10"/>
        <v>ChangeMyPersonalInformation_ContractEndDate2</v>
      </c>
      <c r="F58" s="187"/>
      <c r="G58" s="243">
        <f>G52</f>
        <v>110</v>
      </c>
      <c r="H58" s="243" t="str">
        <f>H51</f>
        <v>N/A</v>
      </c>
      <c r="I58" s="243" t="str">
        <f>I51</f>
        <v>N/A</v>
      </c>
      <c r="J58" s="259">
        <f ca="1">J51</f>
        <v>46085</v>
      </c>
      <c r="K58" s="265">
        <f ca="1">K51</f>
        <v>46085</v>
      </c>
      <c r="L58" s="265" t="str">
        <f t="shared" ref="L58:BF58" si="13">L51</f>
        <v>N/A</v>
      </c>
      <c r="M58" s="265" t="str">
        <f t="shared" si="13"/>
        <v>N/A</v>
      </c>
      <c r="N58" s="265" t="str">
        <f t="shared" si="13"/>
        <v>N/A</v>
      </c>
      <c r="O58" s="265">
        <f t="shared" ca="1" si="13"/>
        <v>46085</v>
      </c>
      <c r="P58" s="265" t="str">
        <f t="shared" si="13"/>
        <v>N/A</v>
      </c>
      <c r="Q58" s="265">
        <f t="shared" ca="1" si="13"/>
        <v>46085</v>
      </c>
      <c r="R58" s="265" t="str">
        <f t="shared" si="13"/>
        <v>N/A</v>
      </c>
      <c r="S58" s="265">
        <f ca="1">S51</f>
        <v>46085</v>
      </c>
      <c r="T58" s="265">
        <f t="shared" ca="1" si="13"/>
        <v>46085</v>
      </c>
      <c r="U58" s="265">
        <f t="shared" ca="1" si="13"/>
        <v>46085</v>
      </c>
      <c r="V58" s="265">
        <f t="shared" ca="1" si="13"/>
        <v>46085</v>
      </c>
      <c r="W58" s="265" t="str">
        <f t="shared" si="13"/>
        <v>N/A</v>
      </c>
      <c r="X58" s="265" t="str">
        <f t="shared" si="13"/>
        <v>N/A</v>
      </c>
      <c r="Y58" s="265">
        <f t="shared" ca="1" si="13"/>
        <v>46085</v>
      </c>
      <c r="Z58" s="265" t="str">
        <f t="shared" si="13"/>
        <v>N/A</v>
      </c>
      <c r="AA58" s="265">
        <f t="shared" ca="1" si="13"/>
        <v>46085</v>
      </c>
      <c r="AB58" s="265">
        <f t="shared" ca="1" si="13"/>
        <v>46085</v>
      </c>
      <c r="AC58" s="265">
        <f t="shared" ca="1" si="13"/>
        <v>46085</v>
      </c>
      <c r="AD58" s="265">
        <f t="shared" ca="1" si="13"/>
        <v>46085</v>
      </c>
      <c r="AE58" s="265">
        <f t="shared" ca="1" si="13"/>
        <v>46085</v>
      </c>
      <c r="AF58" s="265">
        <f t="shared" ca="1" si="13"/>
        <v>46085</v>
      </c>
      <c r="AG58" s="265">
        <f t="shared" ca="1" si="13"/>
        <v>46085</v>
      </c>
      <c r="AH58" s="265" t="str">
        <f t="shared" si="13"/>
        <v>N/A</v>
      </c>
      <c r="AI58" s="265" t="str">
        <f t="shared" si="13"/>
        <v>N/A</v>
      </c>
      <c r="AJ58" s="265">
        <f t="shared" ca="1" si="13"/>
        <v>46085</v>
      </c>
      <c r="AK58" s="265" t="str">
        <f t="shared" si="13"/>
        <v>N/A</v>
      </c>
      <c r="AL58" s="265">
        <f t="shared" ca="1" si="13"/>
        <v>46085</v>
      </c>
      <c r="AM58" s="265" t="str">
        <f t="shared" si="13"/>
        <v>N/A</v>
      </c>
      <c r="AN58" s="265">
        <f t="shared" ca="1" si="13"/>
        <v>46085</v>
      </c>
      <c r="AO58" s="265" t="str">
        <f t="shared" si="13"/>
        <v>N/A</v>
      </c>
      <c r="AP58" s="265">
        <f t="shared" ca="1" si="13"/>
        <v>46085</v>
      </c>
      <c r="AQ58" s="265" t="str">
        <f t="shared" si="13"/>
        <v>N/A</v>
      </c>
      <c r="AR58" s="265">
        <f t="shared" ca="1" si="13"/>
        <v>46085</v>
      </c>
      <c r="AS58" s="265" t="str">
        <f t="shared" si="13"/>
        <v>N/A</v>
      </c>
      <c r="AT58" s="265">
        <f t="shared" ca="1" si="13"/>
        <v>46085</v>
      </c>
      <c r="AU58" s="265" t="str">
        <f t="shared" si="13"/>
        <v>N/A</v>
      </c>
      <c r="AV58" s="265">
        <f t="shared" ca="1" si="13"/>
        <v>46085</v>
      </c>
      <c r="AW58" s="265">
        <f t="shared" ca="1" si="13"/>
        <v>46085</v>
      </c>
      <c r="AX58" s="265" t="str">
        <f t="shared" si="13"/>
        <v>N/A</v>
      </c>
      <c r="AY58" s="265" t="str">
        <f t="shared" si="13"/>
        <v>N/A</v>
      </c>
      <c r="AZ58" s="265">
        <f t="shared" ca="1" si="13"/>
        <v>46085</v>
      </c>
      <c r="BA58" s="265">
        <f t="shared" ca="1" si="13"/>
        <v>46085</v>
      </c>
      <c r="BB58" s="265" t="str">
        <f t="shared" si="13"/>
        <v>N/A</v>
      </c>
      <c r="BC58" s="265" t="str">
        <f t="shared" si="13"/>
        <v>N/A</v>
      </c>
      <c r="BD58" s="265">
        <f t="shared" ca="1" si="13"/>
        <v>46085</v>
      </c>
      <c r="BE58" s="265" t="str">
        <f t="shared" si="13"/>
        <v>N/A</v>
      </c>
      <c r="BF58" s="265" t="str">
        <f t="shared" si="13"/>
        <v>N/A</v>
      </c>
    </row>
    <row r="59" spans="1:58" ht="21.5" thickBot="1" x14ac:dyDescent="0.55000000000000004">
      <c r="A59" s="238" t="s">
        <v>134</v>
      </c>
      <c r="B59" s="183" t="s">
        <v>61</v>
      </c>
      <c r="C59" s="195" t="s">
        <v>1230</v>
      </c>
      <c r="D59" s="185" t="str">
        <f t="shared" si="9"/>
        <v>ChangeMyPersonalInformation_CostCenter</v>
      </c>
      <c r="E59" s="186" t="str">
        <f t="shared" si="10"/>
        <v>ChangeMyPersonalInformation_CostCenter2</v>
      </c>
      <c r="F59" s="187"/>
      <c r="G59" s="237" t="s">
        <v>1160</v>
      </c>
      <c r="H59" s="237" t="s">
        <v>1160</v>
      </c>
      <c r="I59" s="237" t="s">
        <v>1160</v>
      </c>
      <c r="J59" s="237" t="s">
        <v>1160</v>
      </c>
      <c r="K59" s="237" t="s">
        <v>1160</v>
      </c>
      <c r="L59" s="237" t="s">
        <v>1160</v>
      </c>
      <c r="M59" s="237" t="s">
        <v>1160</v>
      </c>
      <c r="N59" s="237" t="s">
        <v>1160</v>
      </c>
      <c r="O59" s="237" t="s">
        <v>1160</v>
      </c>
      <c r="P59" s="237" t="s">
        <v>1160</v>
      </c>
      <c r="Q59" s="237" t="s">
        <v>1160</v>
      </c>
      <c r="R59" s="237" t="s">
        <v>1160</v>
      </c>
      <c r="S59" s="279" t="s">
        <v>1160</v>
      </c>
      <c r="T59" s="237" t="s">
        <v>1160</v>
      </c>
      <c r="U59" s="237" t="s">
        <v>1160</v>
      </c>
      <c r="V59" s="237" t="s">
        <v>1160</v>
      </c>
      <c r="W59" s="237" t="s">
        <v>1160</v>
      </c>
      <c r="X59" s="237" t="s">
        <v>1160</v>
      </c>
      <c r="Y59" s="237" t="s">
        <v>1160</v>
      </c>
      <c r="Z59" s="237" t="s">
        <v>1160</v>
      </c>
      <c r="AA59" s="237" t="s">
        <v>1160</v>
      </c>
      <c r="AB59" s="237" t="s">
        <v>1160</v>
      </c>
      <c r="AC59" s="237" t="s">
        <v>1160</v>
      </c>
      <c r="AD59" s="237" t="s">
        <v>1160</v>
      </c>
      <c r="AE59" s="237" t="s">
        <v>1160</v>
      </c>
      <c r="AF59" s="237" t="s">
        <v>1160</v>
      </c>
      <c r="AG59" s="237" t="s">
        <v>1160</v>
      </c>
      <c r="AH59" s="237" t="s">
        <v>1160</v>
      </c>
      <c r="AI59" s="237" t="s">
        <v>1160</v>
      </c>
      <c r="AJ59" s="237" t="s">
        <v>1160</v>
      </c>
      <c r="AK59" s="237" t="s">
        <v>1160</v>
      </c>
      <c r="AL59" s="237" t="s">
        <v>1160</v>
      </c>
      <c r="AM59" s="332" t="s">
        <v>1436</v>
      </c>
      <c r="AN59" s="332" t="s">
        <v>1436</v>
      </c>
      <c r="AO59" s="332" t="s">
        <v>1436</v>
      </c>
      <c r="AP59" s="332" t="s">
        <v>1436</v>
      </c>
      <c r="AQ59" s="332" t="s">
        <v>1436</v>
      </c>
      <c r="AR59" s="332" t="s">
        <v>1436</v>
      </c>
      <c r="AS59" s="332" t="s">
        <v>1436</v>
      </c>
      <c r="AT59" s="332" t="s">
        <v>1436</v>
      </c>
      <c r="AU59" s="332" t="s">
        <v>1436</v>
      </c>
      <c r="AV59" s="332" t="s">
        <v>1436</v>
      </c>
      <c r="AW59" s="332" t="s">
        <v>1436</v>
      </c>
      <c r="AX59" s="332" t="s">
        <v>1436</v>
      </c>
      <c r="AY59" s="332" t="s">
        <v>1160</v>
      </c>
      <c r="AZ59" s="332" t="s">
        <v>1160</v>
      </c>
      <c r="BA59" s="332" t="s">
        <v>1160</v>
      </c>
      <c r="BB59" s="332" t="s">
        <v>1160</v>
      </c>
      <c r="BC59" s="332" t="s">
        <v>1160</v>
      </c>
      <c r="BD59" s="332" t="s">
        <v>1160</v>
      </c>
      <c r="BE59" s="332" t="s">
        <v>1160</v>
      </c>
      <c r="BF59" s="332" t="s">
        <v>1160</v>
      </c>
    </row>
    <row r="60" spans="1:58" ht="21.5" thickBot="1" x14ac:dyDescent="0.55000000000000004">
      <c r="A60" s="238" t="s">
        <v>134</v>
      </c>
      <c r="B60" s="183" t="s">
        <v>61</v>
      </c>
      <c r="C60" s="195" t="s">
        <v>1231</v>
      </c>
      <c r="D60" s="185" t="str">
        <f t="shared" si="9"/>
        <v>ChangeMyPersonalInformation_DepartmentSection</v>
      </c>
      <c r="E60" s="186" t="str">
        <f t="shared" si="10"/>
        <v>ChangeMyPersonalInformation_DepartmentSection2</v>
      </c>
      <c r="F60" s="187"/>
      <c r="G60" s="266" t="s">
        <v>1314</v>
      </c>
      <c r="H60" s="266" t="s">
        <v>1317</v>
      </c>
      <c r="I60" s="266" t="s">
        <v>1352</v>
      </c>
      <c r="J60" s="266" t="s">
        <v>1355</v>
      </c>
      <c r="K60" s="266" t="s">
        <v>1355</v>
      </c>
      <c r="L60" s="266" t="s">
        <v>1355</v>
      </c>
      <c r="M60" s="245" t="s">
        <v>1355</v>
      </c>
      <c r="N60" s="245" t="s">
        <v>1356</v>
      </c>
      <c r="O60" s="245" t="s">
        <v>1357</v>
      </c>
      <c r="P60" s="245" t="s">
        <v>1358</v>
      </c>
      <c r="Q60" s="245" t="s">
        <v>1359</v>
      </c>
      <c r="R60" s="245" t="s">
        <v>1360</v>
      </c>
      <c r="S60" s="245" t="s">
        <v>1361</v>
      </c>
      <c r="T60" s="245" t="s">
        <v>1382</v>
      </c>
      <c r="U60" s="245" t="s">
        <v>1383</v>
      </c>
      <c r="V60" s="245" t="s">
        <v>1384</v>
      </c>
      <c r="W60" s="245" t="s">
        <v>1385</v>
      </c>
      <c r="X60" s="245" t="s">
        <v>1386</v>
      </c>
      <c r="Y60" s="245" t="s">
        <v>1387</v>
      </c>
      <c r="Z60" s="245" t="s">
        <v>1388</v>
      </c>
      <c r="AA60" s="245" t="s">
        <v>1382</v>
      </c>
      <c r="AB60" s="245" t="s">
        <v>1360</v>
      </c>
      <c r="AC60" s="245" t="s">
        <v>1437</v>
      </c>
      <c r="AD60" s="245" t="s">
        <v>1438</v>
      </c>
      <c r="AE60" s="245" t="s">
        <v>1439</v>
      </c>
      <c r="AF60" s="245" t="s">
        <v>1439</v>
      </c>
      <c r="AG60" s="245" t="s">
        <v>1439</v>
      </c>
      <c r="AH60" s="245" t="s">
        <v>1439</v>
      </c>
      <c r="AI60" s="245" t="s">
        <v>1383</v>
      </c>
      <c r="AJ60" s="245" t="s">
        <v>1384</v>
      </c>
      <c r="AK60" s="245" t="s">
        <v>1386</v>
      </c>
      <c r="AL60" s="245" t="s">
        <v>1388</v>
      </c>
      <c r="AM60" s="333" t="s">
        <v>1440</v>
      </c>
      <c r="AN60" s="333" t="s">
        <v>1440</v>
      </c>
      <c r="AO60" s="333" t="s">
        <v>1440</v>
      </c>
      <c r="AP60" s="333" t="s">
        <v>1440</v>
      </c>
      <c r="AQ60" s="333" t="s">
        <v>1440</v>
      </c>
      <c r="AR60" s="333" t="s">
        <v>1440</v>
      </c>
      <c r="AS60" s="333" t="s">
        <v>1440</v>
      </c>
      <c r="AT60" s="333" t="s">
        <v>1440</v>
      </c>
      <c r="AU60" s="333" t="s">
        <v>1440</v>
      </c>
      <c r="AV60" s="333" t="s">
        <v>1440</v>
      </c>
      <c r="AW60" s="333" t="s">
        <v>1440</v>
      </c>
      <c r="AX60" s="333" t="s">
        <v>1440</v>
      </c>
      <c r="AY60" s="333" t="s">
        <v>1441</v>
      </c>
      <c r="AZ60" s="333" t="s">
        <v>1441</v>
      </c>
      <c r="BA60" s="333" t="s">
        <v>1441</v>
      </c>
      <c r="BB60" s="333" t="s">
        <v>1441</v>
      </c>
      <c r="BC60" s="333" t="s">
        <v>1441</v>
      </c>
      <c r="BD60" s="333" t="s">
        <v>1441</v>
      </c>
      <c r="BE60" s="333" t="s">
        <v>1441</v>
      </c>
      <c r="BF60" s="333" t="s">
        <v>1441</v>
      </c>
    </row>
    <row r="61" spans="1:58" ht="19.899999999999999" customHeight="1" thickBot="1" x14ac:dyDescent="0.55000000000000004">
      <c r="A61" s="238" t="s">
        <v>134</v>
      </c>
      <c r="B61" s="183" t="s">
        <v>61</v>
      </c>
      <c r="C61" s="254" t="s">
        <v>1232</v>
      </c>
      <c r="D61" s="255" t="str">
        <f t="shared" si="9"/>
        <v>ChangeMyPersonalInformation_UrządSkarbowy</v>
      </c>
      <c r="E61" s="256" t="str">
        <f t="shared" si="10"/>
        <v>ChangeMyPersonalInformation_UrządSkarbowy2</v>
      </c>
      <c r="F61" s="257"/>
      <c r="G61" s="258" t="s">
        <v>1256</v>
      </c>
      <c r="H61" s="258" t="s">
        <v>1256</v>
      </c>
      <c r="I61" s="258" t="s">
        <v>1256</v>
      </c>
      <c r="J61" s="258" t="s">
        <v>1256</v>
      </c>
      <c r="K61" s="258" t="s">
        <v>1256</v>
      </c>
      <c r="L61" s="258" t="s">
        <v>1256</v>
      </c>
      <c r="M61" s="258" t="s">
        <v>1256</v>
      </c>
      <c r="N61" s="258" t="s">
        <v>1256</v>
      </c>
      <c r="O61" s="258" t="s">
        <v>1256</v>
      </c>
      <c r="P61" s="258" t="s">
        <v>1256</v>
      </c>
      <c r="Q61" s="258" t="s">
        <v>1256</v>
      </c>
      <c r="R61" s="258" t="s">
        <v>1256</v>
      </c>
      <c r="S61" s="280" t="s">
        <v>1256</v>
      </c>
      <c r="T61" s="258" t="s">
        <v>1256</v>
      </c>
      <c r="U61" s="280" t="s">
        <v>1256</v>
      </c>
      <c r="V61" s="258" t="s">
        <v>1256</v>
      </c>
      <c r="W61" s="258" t="s">
        <v>1256</v>
      </c>
      <c r="X61" s="258" t="s">
        <v>1256</v>
      </c>
      <c r="Y61" s="258" t="s">
        <v>1256</v>
      </c>
      <c r="Z61" s="258" t="s">
        <v>1256</v>
      </c>
      <c r="AA61" s="258" t="s">
        <v>1256</v>
      </c>
      <c r="AB61" s="258" t="s">
        <v>1256</v>
      </c>
      <c r="AC61" s="258" t="s">
        <v>1256</v>
      </c>
      <c r="AD61" s="258" t="s">
        <v>1256</v>
      </c>
      <c r="AE61" s="258" t="s">
        <v>1256</v>
      </c>
      <c r="AF61" s="258" t="s">
        <v>1256</v>
      </c>
      <c r="AG61" s="258" t="s">
        <v>1256</v>
      </c>
      <c r="AH61" s="258" t="s">
        <v>1256</v>
      </c>
      <c r="AI61" s="258" t="s">
        <v>1256</v>
      </c>
      <c r="AJ61" s="258" t="s">
        <v>1256</v>
      </c>
      <c r="AK61" s="258" t="s">
        <v>1256</v>
      </c>
      <c r="AL61" s="258" t="s">
        <v>1256</v>
      </c>
      <c r="AM61" s="258" t="s">
        <v>1256</v>
      </c>
      <c r="AN61" s="258" t="s">
        <v>1256</v>
      </c>
      <c r="AO61" s="258" t="s">
        <v>1256</v>
      </c>
      <c r="AP61" s="258" t="s">
        <v>1256</v>
      </c>
      <c r="AQ61" s="258" t="s">
        <v>1256</v>
      </c>
      <c r="AR61" s="258" t="s">
        <v>1256</v>
      </c>
      <c r="AS61" s="258" t="s">
        <v>1256</v>
      </c>
      <c r="AT61" s="258" t="s">
        <v>1256</v>
      </c>
      <c r="AU61" s="258" t="s">
        <v>1256</v>
      </c>
      <c r="AV61" s="258" t="s">
        <v>1256</v>
      </c>
      <c r="AW61" s="258" t="s">
        <v>1256</v>
      </c>
      <c r="AX61" s="258" t="s">
        <v>1256</v>
      </c>
      <c r="AY61" s="258" t="s">
        <v>1256</v>
      </c>
      <c r="AZ61" s="258" t="s">
        <v>1256</v>
      </c>
      <c r="BA61" s="258" t="s">
        <v>1256</v>
      </c>
      <c r="BB61" s="258" t="s">
        <v>1256</v>
      </c>
      <c r="BC61" s="258" t="s">
        <v>1256</v>
      </c>
      <c r="BD61" s="258" t="s">
        <v>1256</v>
      </c>
      <c r="BE61" s="258" t="s">
        <v>1256</v>
      </c>
      <c r="BF61" s="258" t="s">
        <v>1256</v>
      </c>
    </row>
    <row r="62" spans="1:58" ht="19.5" customHeight="1" thickBot="1" x14ac:dyDescent="0.55000000000000004">
      <c r="A62" s="238" t="s">
        <v>134</v>
      </c>
      <c r="B62" s="183" t="s">
        <v>61</v>
      </c>
      <c r="C62" s="254" t="s">
        <v>1233</v>
      </c>
      <c r="D62" s="255" t="str">
        <f t="shared" si="9"/>
        <v>ChangeMyPersonalInformation_Ulgapodatkowa</v>
      </c>
      <c r="E62" s="256" t="str">
        <f t="shared" si="10"/>
        <v>ChangeMyPersonalInformation_Ulgapodatkowa2</v>
      </c>
      <c r="F62" s="257"/>
      <c r="G62" s="258" t="s">
        <v>1257</v>
      </c>
      <c r="H62" s="258" t="s">
        <v>1257</v>
      </c>
      <c r="I62" s="258" t="s">
        <v>1257</v>
      </c>
      <c r="J62" s="258" t="s">
        <v>1257</v>
      </c>
      <c r="K62" s="258" t="s">
        <v>1257</v>
      </c>
      <c r="L62" s="258" t="s">
        <v>1257</v>
      </c>
      <c r="M62" s="258" t="s">
        <v>1257</v>
      </c>
      <c r="N62" s="258" t="s">
        <v>1257</v>
      </c>
      <c r="O62" s="258" t="s">
        <v>1257</v>
      </c>
      <c r="P62" s="258" t="s">
        <v>1257</v>
      </c>
      <c r="Q62" s="258" t="s">
        <v>1257</v>
      </c>
      <c r="R62" s="258" t="s">
        <v>1257</v>
      </c>
      <c r="S62" s="280" t="s">
        <v>1257</v>
      </c>
      <c r="T62" s="258" t="s">
        <v>1257</v>
      </c>
      <c r="U62" s="280" t="s">
        <v>1257</v>
      </c>
      <c r="V62" s="258" t="s">
        <v>1257</v>
      </c>
      <c r="W62" s="258" t="s">
        <v>1257</v>
      </c>
      <c r="X62" s="258" t="s">
        <v>1257</v>
      </c>
      <c r="Y62" s="258" t="s">
        <v>1257</v>
      </c>
      <c r="Z62" s="258" t="s">
        <v>1257</v>
      </c>
      <c r="AA62" s="258" t="s">
        <v>1257</v>
      </c>
      <c r="AB62" s="258" t="s">
        <v>1257</v>
      </c>
      <c r="AC62" s="258" t="s">
        <v>1257</v>
      </c>
      <c r="AD62" s="258" t="s">
        <v>1257</v>
      </c>
      <c r="AE62" s="258" t="s">
        <v>1257</v>
      </c>
      <c r="AF62" s="258" t="s">
        <v>1257</v>
      </c>
      <c r="AG62" s="258" t="s">
        <v>1257</v>
      </c>
      <c r="AH62" s="258" t="s">
        <v>1257</v>
      </c>
      <c r="AI62" s="258" t="s">
        <v>1257</v>
      </c>
      <c r="AJ62" s="258" t="s">
        <v>1257</v>
      </c>
      <c r="AK62" s="258" t="s">
        <v>1257</v>
      </c>
      <c r="AL62" s="258" t="s">
        <v>1257</v>
      </c>
      <c r="AM62" s="258" t="s">
        <v>1257</v>
      </c>
      <c r="AN62" s="258" t="s">
        <v>1257</v>
      </c>
      <c r="AO62" s="258" t="s">
        <v>1257</v>
      </c>
      <c r="AP62" s="258" t="s">
        <v>1257</v>
      </c>
      <c r="AQ62" s="258" t="s">
        <v>1257</v>
      </c>
      <c r="AR62" s="258" t="s">
        <v>1257</v>
      </c>
      <c r="AS62" s="258" t="s">
        <v>1257</v>
      </c>
      <c r="AT62" s="258" t="s">
        <v>1257</v>
      </c>
      <c r="AU62" s="258" t="s">
        <v>1257</v>
      </c>
      <c r="AV62" s="258" t="s">
        <v>1257</v>
      </c>
      <c r="AW62" s="258" t="s">
        <v>1257</v>
      </c>
      <c r="AX62" s="258" t="s">
        <v>1257</v>
      </c>
      <c r="AY62" s="258" t="s">
        <v>1257</v>
      </c>
      <c r="AZ62" s="258" t="s">
        <v>1257</v>
      </c>
      <c r="BA62" s="258" t="s">
        <v>1257</v>
      </c>
      <c r="BB62" s="258" t="s">
        <v>1257</v>
      </c>
      <c r="BC62" s="258" t="s">
        <v>1257</v>
      </c>
      <c r="BD62" s="258" t="s">
        <v>1257</v>
      </c>
      <c r="BE62" s="258" t="s">
        <v>1257</v>
      </c>
      <c r="BF62" s="258" t="s">
        <v>1257</v>
      </c>
    </row>
    <row r="63" spans="1:58" ht="19.5" customHeight="1" thickBot="1" x14ac:dyDescent="0.55000000000000004">
      <c r="A63" s="238" t="s">
        <v>1173</v>
      </c>
      <c r="B63" s="183" t="s">
        <v>61</v>
      </c>
      <c r="C63" s="254" t="s">
        <v>1234</v>
      </c>
      <c r="D63" s="255" t="str">
        <f t="shared" si="9"/>
        <v>PaymentElectionOption_Częśćulgi</v>
      </c>
      <c r="E63" s="256" t="str">
        <f t="shared" si="10"/>
        <v>PaymentElectionOption_Częśćulgi2</v>
      </c>
      <c r="F63" s="257"/>
      <c r="G63" s="258" t="s">
        <v>1258</v>
      </c>
      <c r="H63" s="258" t="s">
        <v>1258</v>
      </c>
      <c r="I63" s="258" t="s">
        <v>1258</v>
      </c>
      <c r="J63" s="258" t="s">
        <v>1258</v>
      </c>
      <c r="K63" s="258" t="s">
        <v>1258</v>
      </c>
      <c r="L63" s="258" t="s">
        <v>1258</v>
      </c>
      <c r="M63" s="258" t="s">
        <v>1258</v>
      </c>
      <c r="N63" s="258" t="s">
        <v>1258</v>
      </c>
      <c r="O63" s="258" t="s">
        <v>1258</v>
      </c>
      <c r="P63" s="258" t="s">
        <v>1258</v>
      </c>
      <c r="Q63" s="258" t="s">
        <v>1258</v>
      </c>
      <c r="R63" s="258" t="s">
        <v>1258</v>
      </c>
      <c r="S63" s="280" t="s">
        <v>1258</v>
      </c>
      <c r="T63" s="258" t="s">
        <v>1258</v>
      </c>
      <c r="U63" s="280" t="s">
        <v>1258</v>
      </c>
      <c r="V63" s="258" t="s">
        <v>1258</v>
      </c>
      <c r="W63" s="258" t="s">
        <v>1258</v>
      </c>
      <c r="X63" s="258" t="s">
        <v>1258</v>
      </c>
      <c r="Y63" s="258" t="s">
        <v>1258</v>
      </c>
      <c r="Z63" s="258" t="s">
        <v>1258</v>
      </c>
      <c r="AA63" s="258" t="s">
        <v>1258</v>
      </c>
      <c r="AB63" s="258" t="s">
        <v>1258</v>
      </c>
      <c r="AC63" s="258" t="s">
        <v>1258</v>
      </c>
      <c r="AD63" s="258" t="s">
        <v>1258</v>
      </c>
      <c r="AE63" s="258" t="s">
        <v>1258</v>
      </c>
      <c r="AF63" s="258" t="s">
        <v>1258</v>
      </c>
      <c r="AG63" s="258" t="s">
        <v>1258</v>
      </c>
      <c r="AH63" s="258" t="s">
        <v>1258</v>
      </c>
      <c r="AI63" s="258" t="s">
        <v>1258</v>
      </c>
      <c r="AJ63" s="258" t="s">
        <v>1258</v>
      </c>
      <c r="AK63" s="258" t="s">
        <v>1258</v>
      </c>
      <c r="AL63" s="258" t="s">
        <v>1258</v>
      </c>
      <c r="AM63" s="258" t="s">
        <v>1258</v>
      </c>
      <c r="AN63" s="258" t="s">
        <v>1258</v>
      </c>
      <c r="AO63" s="258" t="s">
        <v>1258</v>
      </c>
      <c r="AP63" s="258" t="s">
        <v>1258</v>
      </c>
      <c r="AQ63" s="258" t="s">
        <v>1258</v>
      </c>
      <c r="AR63" s="258" t="s">
        <v>1258</v>
      </c>
      <c r="AS63" s="258" t="s">
        <v>1258</v>
      </c>
      <c r="AT63" s="258" t="s">
        <v>1258</v>
      </c>
      <c r="AU63" s="258" t="s">
        <v>1258</v>
      </c>
      <c r="AV63" s="258" t="s">
        <v>1258</v>
      </c>
      <c r="AW63" s="258" t="s">
        <v>1258</v>
      </c>
      <c r="AX63" s="258" t="s">
        <v>1258</v>
      </c>
      <c r="AY63" s="258" t="s">
        <v>1258</v>
      </c>
      <c r="AZ63" s="258" t="s">
        <v>1258</v>
      </c>
      <c r="BA63" s="258" t="s">
        <v>1258</v>
      </c>
      <c r="BB63" s="258" t="s">
        <v>1258</v>
      </c>
      <c r="BC63" s="258" t="s">
        <v>1258</v>
      </c>
      <c r="BD63" s="258" t="s">
        <v>1258</v>
      </c>
      <c r="BE63" s="258" t="s">
        <v>1258</v>
      </c>
      <c r="BF63" s="258" t="s">
        <v>1258</v>
      </c>
    </row>
    <row r="64" spans="1:58" ht="19.5" customHeight="1" thickBot="1" x14ac:dyDescent="0.55000000000000004">
      <c r="A64" s="238" t="s">
        <v>1173</v>
      </c>
      <c r="B64" s="183" t="s">
        <v>61</v>
      </c>
      <c r="C64" s="254" t="s">
        <v>1235</v>
      </c>
      <c r="D64" s="255" t="str">
        <f t="shared" si="9"/>
        <v>PaymentElectionOption_Typopodatkowania</v>
      </c>
      <c r="E64" s="256" t="str">
        <f t="shared" si="10"/>
        <v>PaymentElectionOption_Typopodatkowania2</v>
      </c>
      <c r="F64" s="257"/>
      <c r="G64" s="258" t="s">
        <v>1259</v>
      </c>
      <c r="H64" s="258" t="s">
        <v>1259</v>
      </c>
      <c r="I64" s="258" t="s">
        <v>1259</v>
      </c>
      <c r="J64" s="258" t="s">
        <v>1259</v>
      </c>
      <c r="K64" s="258" t="s">
        <v>1259</v>
      </c>
      <c r="L64" s="258" t="s">
        <v>1259</v>
      </c>
      <c r="M64" s="258" t="s">
        <v>1259</v>
      </c>
      <c r="N64" s="258" t="s">
        <v>1259</v>
      </c>
      <c r="O64" s="258" t="s">
        <v>1259</v>
      </c>
      <c r="P64" s="258" t="s">
        <v>1259</v>
      </c>
      <c r="Q64" s="258" t="s">
        <v>1259</v>
      </c>
      <c r="R64" s="258" t="s">
        <v>1259</v>
      </c>
      <c r="S64" s="280" t="s">
        <v>1259</v>
      </c>
      <c r="T64" s="258" t="s">
        <v>1259</v>
      </c>
      <c r="U64" s="280" t="s">
        <v>1259</v>
      </c>
      <c r="V64" s="258" t="s">
        <v>1259</v>
      </c>
      <c r="W64" s="258" t="s">
        <v>1259</v>
      </c>
      <c r="X64" s="258" t="s">
        <v>1259</v>
      </c>
      <c r="Y64" s="258" t="s">
        <v>1259</v>
      </c>
      <c r="Z64" s="258" t="s">
        <v>1259</v>
      </c>
      <c r="AA64" s="258" t="s">
        <v>1259</v>
      </c>
      <c r="AB64" s="258" t="s">
        <v>1259</v>
      </c>
      <c r="AC64" s="258" t="s">
        <v>1259</v>
      </c>
      <c r="AD64" s="258" t="s">
        <v>1259</v>
      </c>
      <c r="AE64" s="258" t="s">
        <v>1259</v>
      </c>
      <c r="AF64" s="258" t="s">
        <v>1259</v>
      </c>
      <c r="AG64" s="258" t="s">
        <v>1259</v>
      </c>
      <c r="AH64" s="258" t="s">
        <v>1259</v>
      </c>
      <c r="AI64" s="258" t="s">
        <v>1259</v>
      </c>
      <c r="AJ64" s="258" t="s">
        <v>1259</v>
      </c>
      <c r="AK64" s="258" t="s">
        <v>1259</v>
      </c>
      <c r="AL64" s="258" t="s">
        <v>1259</v>
      </c>
      <c r="AM64" s="258" t="s">
        <v>1259</v>
      </c>
      <c r="AN64" s="258" t="s">
        <v>1259</v>
      </c>
      <c r="AO64" s="258" t="s">
        <v>1259</v>
      </c>
      <c r="AP64" s="258" t="s">
        <v>1259</v>
      </c>
      <c r="AQ64" s="258" t="s">
        <v>1259</v>
      </c>
      <c r="AR64" s="258" t="s">
        <v>1259</v>
      </c>
      <c r="AS64" s="258" t="s">
        <v>1259</v>
      </c>
      <c r="AT64" s="258" t="s">
        <v>1259</v>
      </c>
      <c r="AU64" s="258" t="s">
        <v>1259</v>
      </c>
      <c r="AV64" s="258" t="s">
        <v>1259</v>
      </c>
      <c r="AW64" s="258" t="s">
        <v>1259</v>
      </c>
      <c r="AX64" s="258" t="s">
        <v>1259</v>
      </c>
      <c r="AY64" s="258" t="s">
        <v>1259</v>
      </c>
      <c r="AZ64" s="258" t="s">
        <v>1259</v>
      </c>
      <c r="BA64" s="258" t="s">
        <v>1259</v>
      </c>
      <c r="BB64" s="258" t="s">
        <v>1259</v>
      </c>
      <c r="BC64" s="258" t="s">
        <v>1259</v>
      </c>
      <c r="BD64" s="258" t="s">
        <v>1259</v>
      </c>
      <c r="BE64" s="258" t="s">
        <v>1259</v>
      </c>
      <c r="BF64" s="258" t="s">
        <v>1259</v>
      </c>
    </row>
    <row r="65" spans="1:58" ht="19.899999999999999" customHeight="1" thickBot="1" x14ac:dyDescent="0.55000000000000004">
      <c r="A65" s="238" t="s">
        <v>1173</v>
      </c>
      <c r="B65" s="183" t="s">
        <v>61</v>
      </c>
      <c r="C65" s="254" t="s">
        <v>1236</v>
      </c>
      <c r="D65" s="255" t="str">
        <f t="shared" si="9"/>
        <v>PaymentElectionOption_Identyfikatorpodatkowy</v>
      </c>
      <c r="E65" s="256" t="str">
        <f t="shared" si="10"/>
        <v>PaymentElectionOption_Identyfikatorpodatkowy2</v>
      </c>
      <c r="F65" s="257"/>
      <c r="G65" s="258" t="s">
        <v>1260</v>
      </c>
      <c r="H65" s="258" t="s">
        <v>1260</v>
      </c>
      <c r="I65" s="258" t="s">
        <v>1260</v>
      </c>
      <c r="J65" s="258" t="s">
        <v>1260</v>
      </c>
      <c r="K65" s="258" t="s">
        <v>1260</v>
      </c>
      <c r="L65" s="258" t="s">
        <v>1260</v>
      </c>
      <c r="M65" s="258" t="s">
        <v>1260</v>
      </c>
      <c r="N65" s="258" t="s">
        <v>1260</v>
      </c>
      <c r="O65" s="258" t="s">
        <v>1260</v>
      </c>
      <c r="P65" s="258" t="s">
        <v>1260</v>
      </c>
      <c r="Q65" s="258" t="s">
        <v>1260</v>
      </c>
      <c r="R65" s="258" t="s">
        <v>1260</v>
      </c>
      <c r="S65" s="280" t="s">
        <v>1260</v>
      </c>
      <c r="T65" s="258" t="s">
        <v>1260</v>
      </c>
      <c r="U65" s="280" t="s">
        <v>1260</v>
      </c>
      <c r="V65" s="258" t="s">
        <v>1260</v>
      </c>
      <c r="W65" s="258" t="s">
        <v>1260</v>
      </c>
      <c r="X65" s="258" t="s">
        <v>1260</v>
      </c>
      <c r="Y65" s="258" t="s">
        <v>1260</v>
      </c>
      <c r="Z65" s="258" t="s">
        <v>1260</v>
      </c>
      <c r="AA65" s="258" t="s">
        <v>1260</v>
      </c>
      <c r="AB65" s="258" t="s">
        <v>1260</v>
      </c>
      <c r="AC65" s="258" t="s">
        <v>1260</v>
      </c>
      <c r="AD65" s="258" t="s">
        <v>1260</v>
      </c>
      <c r="AE65" s="258" t="s">
        <v>1260</v>
      </c>
      <c r="AF65" s="258" t="s">
        <v>1260</v>
      </c>
      <c r="AG65" s="258" t="s">
        <v>1260</v>
      </c>
      <c r="AH65" s="258" t="s">
        <v>1260</v>
      </c>
      <c r="AI65" s="258" t="s">
        <v>1260</v>
      </c>
      <c r="AJ65" s="258" t="s">
        <v>1260</v>
      </c>
      <c r="AK65" s="258" t="s">
        <v>1260</v>
      </c>
      <c r="AL65" s="258" t="s">
        <v>1260</v>
      </c>
      <c r="AM65" s="258" t="s">
        <v>1260</v>
      </c>
      <c r="AN65" s="258" t="s">
        <v>1260</v>
      </c>
      <c r="AO65" s="258" t="s">
        <v>1260</v>
      </c>
      <c r="AP65" s="258" t="s">
        <v>1260</v>
      </c>
      <c r="AQ65" s="258" t="s">
        <v>1260</v>
      </c>
      <c r="AR65" s="258" t="s">
        <v>1260</v>
      </c>
      <c r="AS65" s="258" t="s">
        <v>1260</v>
      </c>
      <c r="AT65" s="258" t="s">
        <v>1260</v>
      </c>
      <c r="AU65" s="258" t="s">
        <v>1260</v>
      </c>
      <c r="AV65" s="258" t="s">
        <v>1260</v>
      </c>
      <c r="AW65" s="258" t="s">
        <v>1260</v>
      </c>
      <c r="AX65" s="258" t="s">
        <v>1260</v>
      </c>
      <c r="AY65" s="258" t="s">
        <v>1260</v>
      </c>
      <c r="AZ65" s="258" t="s">
        <v>1260</v>
      </c>
      <c r="BA65" s="258" t="s">
        <v>1260</v>
      </c>
      <c r="BB65" s="258" t="s">
        <v>1260</v>
      </c>
      <c r="BC65" s="258" t="s">
        <v>1260</v>
      </c>
      <c r="BD65" s="258" t="s">
        <v>1260</v>
      </c>
      <c r="BE65" s="258" t="s">
        <v>1260</v>
      </c>
      <c r="BF65" s="258" t="s">
        <v>1260</v>
      </c>
    </row>
    <row r="66" spans="1:58" ht="19.899999999999999" customHeight="1" thickBot="1" x14ac:dyDescent="0.55000000000000004">
      <c r="A66" s="238" t="s">
        <v>1173</v>
      </c>
      <c r="B66" s="183" t="s">
        <v>61</v>
      </c>
      <c r="C66" s="254" t="s">
        <v>1237</v>
      </c>
      <c r="D66" s="255" t="str">
        <f t="shared" si="9"/>
        <v>PaymentElectionOption_FirstEverJobDetails</v>
      </c>
      <c r="E66" s="256" t="str">
        <f t="shared" si="10"/>
        <v>PaymentElectionOption_FirstEverJobDetails2</v>
      </c>
      <c r="F66" s="257"/>
      <c r="G66" s="258" t="s">
        <v>33</v>
      </c>
      <c r="H66" s="258" t="s">
        <v>33</v>
      </c>
      <c r="I66" s="258" t="s">
        <v>33</v>
      </c>
      <c r="J66" s="258" t="s">
        <v>191</v>
      </c>
      <c r="K66" s="258" t="s">
        <v>33</v>
      </c>
      <c r="L66" s="258" t="s">
        <v>33</v>
      </c>
      <c r="M66" s="258" t="s">
        <v>33</v>
      </c>
      <c r="N66" s="278" t="s">
        <v>33</v>
      </c>
      <c r="O66" s="278" t="s">
        <v>33</v>
      </c>
      <c r="P66" s="278" t="s">
        <v>33</v>
      </c>
      <c r="Q66" s="278" t="s">
        <v>33</v>
      </c>
      <c r="R66" s="278" t="s">
        <v>33</v>
      </c>
      <c r="S66" s="281" t="s">
        <v>33</v>
      </c>
      <c r="T66" s="278" t="s">
        <v>33</v>
      </c>
      <c r="U66" s="281" t="s">
        <v>33</v>
      </c>
      <c r="V66" s="278" t="s">
        <v>33</v>
      </c>
      <c r="W66" s="278" t="s">
        <v>33</v>
      </c>
      <c r="X66" s="278" t="s">
        <v>33</v>
      </c>
      <c r="Y66" s="278" t="s">
        <v>33</v>
      </c>
      <c r="Z66" s="278" t="s">
        <v>33</v>
      </c>
      <c r="AA66" s="278" t="s">
        <v>33</v>
      </c>
      <c r="AB66" s="278" t="s">
        <v>33</v>
      </c>
      <c r="AC66" s="278" t="s">
        <v>33</v>
      </c>
      <c r="AD66" s="278" t="s">
        <v>33</v>
      </c>
      <c r="AE66" s="278" t="s">
        <v>33</v>
      </c>
      <c r="AF66" s="278" t="s">
        <v>33</v>
      </c>
      <c r="AG66" s="278" t="s">
        <v>33</v>
      </c>
      <c r="AH66" s="278" t="s">
        <v>33</v>
      </c>
      <c r="AI66" s="278" t="s">
        <v>33</v>
      </c>
      <c r="AJ66" s="278" t="s">
        <v>33</v>
      </c>
      <c r="AK66" s="278" t="s">
        <v>33</v>
      </c>
      <c r="AL66" s="278" t="s">
        <v>33</v>
      </c>
      <c r="AM66" s="278" t="s">
        <v>33</v>
      </c>
      <c r="AN66" s="278" t="s">
        <v>191</v>
      </c>
      <c r="AO66" s="278" t="s">
        <v>33</v>
      </c>
      <c r="AP66" s="278" t="s">
        <v>33</v>
      </c>
      <c r="AQ66" s="278" t="s">
        <v>33</v>
      </c>
      <c r="AR66" s="278" t="s">
        <v>33</v>
      </c>
      <c r="AS66" s="278" t="s">
        <v>33</v>
      </c>
      <c r="AT66" s="278" t="s">
        <v>33</v>
      </c>
      <c r="AU66" s="278" t="s">
        <v>191</v>
      </c>
      <c r="AV66" s="278" t="s">
        <v>33</v>
      </c>
      <c r="AW66" s="278" t="s">
        <v>191</v>
      </c>
      <c r="AX66" s="278" t="s">
        <v>33</v>
      </c>
      <c r="AY66" s="278" t="s">
        <v>33</v>
      </c>
      <c r="AZ66" s="278" t="s">
        <v>33</v>
      </c>
      <c r="BA66" s="278" t="s">
        <v>33</v>
      </c>
      <c r="BB66" s="278" t="s">
        <v>33</v>
      </c>
      <c r="BC66" s="278" t="s">
        <v>33</v>
      </c>
      <c r="BD66" s="278" t="s">
        <v>33</v>
      </c>
      <c r="BE66" s="278" t="s">
        <v>33</v>
      </c>
      <c r="BF66" s="278" t="s">
        <v>33</v>
      </c>
    </row>
    <row r="67" spans="1:58" ht="19.5" customHeight="1" thickBot="1" x14ac:dyDescent="0.55000000000000004">
      <c r="A67" s="238" t="s">
        <v>1173</v>
      </c>
      <c r="B67" s="183" t="s">
        <v>61</v>
      </c>
      <c r="C67" s="195" t="s">
        <v>140</v>
      </c>
      <c r="D67" s="185" t="str">
        <f t="shared" si="9"/>
        <v>PaymentElectionOption_Country1</v>
      </c>
      <c r="E67" s="186" t="str">
        <f t="shared" si="10"/>
        <v>PaymentElectionOption_Country12</v>
      </c>
      <c r="F67" s="187"/>
      <c r="G67" s="188" t="s">
        <v>227</v>
      </c>
      <c r="H67" s="188" t="s">
        <v>227</v>
      </c>
      <c r="I67" s="188" t="s">
        <v>227</v>
      </c>
      <c r="J67" s="188" t="s">
        <v>227</v>
      </c>
      <c r="K67" s="188" t="s">
        <v>227</v>
      </c>
      <c r="L67" s="188" t="s">
        <v>227</v>
      </c>
      <c r="M67" s="188" t="s">
        <v>227</v>
      </c>
      <c r="N67" s="188" t="s">
        <v>227</v>
      </c>
      <c r="O67" s="188" t="s">
        <v>227</v>
      </c>
      <c r="P67" s="188" t="s">
        <v>227</v>
      </c>
      <c r="Q67" s="188" t="s">
        <v>227</v>
      </c>
      <c r="R67" s="188" t="s">
        <v>227</v>
      </c>
      <c r="S67" s="260" t="s">
        <v>227</v>
      </c>
      <c r="T67" s="188" t="s">
        <v>227</v>
      </c>
      <c r="U67" s="260" t="s">
        <v>227</v>
      </c>
      <c r="V67" s="188" t="s">
        <v>227</v>
      </c>
      <c r="W67" s="188" t="s">
        <v>227</v>
      </c>
      <c r="X67" s="188" t="s">
        <v>227</v>
      </c>
      <c r="Y67" s="188" t="s">
        <v>227</v>
      </c>
      <c r="Z67" s="188" t="s">
        <v>227</v>
      </c>
      <c r="AA67" s="188" t="s">
        <v>227</v>
      </c>
      <c r="AB67" s="188" t="s">
        <v>227</v>
      </c>
      <c r="AC67" s="188" t="s">
        <v>227</v>
      </c>
      <c r="AD67" s="188" t="s">
        <v>227</v>
      </c>
      <c r="AE67" s="188" t="s">
        <v>227</v>
      </c>
      <c r="AF67" s="188" t="s">
        <v>227</v>
      </c>
      <c r="AG67" s="188" t="s">
        <v>227</v>
      </c>
      <c r="AH67" s="188" t="s">
        <v>227</v>
      </c>
      <c r="AI67" s="188" t="s">
        <v>227</v>
      </c>
      <c r="AJ67" s="188" t="s">
        <v>227</v>
      </c>
      <c r="AK67" s="188" t="s">
        <v>227</v>
      </c>
      <c r="AL67" s="188" t="s">
        <v>227</v>
      </c>
      <c r="AM67" s="188" t="s">
        <v>227</v>
      </c>
      <c r="AN67" s="188" t="s">
        <v>227</v>
      </c>
      <c r="AO67" s="188" t="s">
        <v>227</v>
      </c>
      <c r="AP67" s="188" t="s">
        <v>227</v>
      </c>
      <c r="AQ67" s="188" t="s">
        <v>227</v>
      </c>
      <c r="AR67" s="188" t="s">
        <v>227</v>
      </c>
      <c r="AS67" s="188" t="s">
        <v>227</v>
      </c>
      <c r="AT67" s="188" t="s">
        <v>227</v>
      </c>
      <c r="AU67" s="188" t="s">
        <v>227</v>
      </c>
      <c r="AV67" s="188" t="s">
        <v>227</v>
      </c>
      <c r="AW67" s="188" t="s">
        <v>227</v>
      </c>
      <c r="AX67" s="188" t="s">
        <v>227</v>
      </c>
      <c r="AY67" s="188" t="s">
        <v>227</v>
      </c>
      <c r="AZ67" s="188" t="s">
        <v>227</v>
      </c>
      <c r="BA67" s="188" t="s">
        <v>227</v>
      </c>
      <c r="BB67" s="188" t="s">
        <v>227</v>
      </c>
      <c r="BC67" s="188" t="s">
        <v>227</v>
      </c>
      <c r="BD67" s="188" t="s">
        <v>227</v>
      </c>
      <c r="BE67" s="188" t="s">
        <v>227</v>
      </c>
      <c r="BF67" s="188" t="s">
        <v>227</v>
      </c>
    </row>
    <row r="68" spans="1:58" s="206" customFormat="1" ht="17.5" customHeight="1" thickBot="1" x14ac:dyDescent="0.55000000000000004">
      <c r="A68" s="182" t="s">
        <v>132</v>
      </c>
      <c r="B68" s="183" t="s">
        <v>61</v>
      </c>
      <c r="C68" s="195" t="s">
        <v>1238</v>
      </c>
      <c r="D68" s="202" t="str">
        <f t="shared" si="9"/>
        <v>ProposeCompensationHire_NationalIDType1</v>
      </c>
      <c r="E68" s="203" t="str">
        <f t="shared" si="10"/>
        <v>ProposeCompensationHire_NationalIDType12</v>
      </c>
      <c r="F68" s="204"/>
      <c r="G68" s="246" t="s">
        <v>1261</v>
      </c>
      <c r="H68" s="246" t="s">
        <v>1261</v>
      </c>
      <c r="I68" s="246" t="s">
        <v>1261</v>
      </c>
      <c r="J68" s="246" t="s">
        <v>1261</v>
      </c>
      <c r="K68" s="246" t="s">
        <v>1261</v>
      </c>
      <c r="L68" s="246" t="s">
        <v>1261</v>
      </c>
      <c r="M68" s="246" t="s">
        <v>1261</v>
      </c>
      <c r="N68" s="246" t="s">
        <v>1261</v>
      </c>
      <c r="O68" s="246" t="s">
        <v>1261</v>
      </c>
      <c r="P68" s="246" t="s">
        <v>1261</v>
      </c>
      <c r="Q68" s="246" t="s">
        <v>1261</v>
      </c>
      <c r="R68" s="246" t="s">
        <v>1261</v>
      </c>
      <c r="S68" s="282" t="s">
        <v>1261</v>
      </c>
      <c r="T68" s="246" t="s">
        <v>1261</v>
      </c>
      <c r="U68" s="282" t="s">
        <v>1261</v>
      </c>
      <c r="V68" s="246" t="s">
        <v>1261</v>
      </c>
      <c r="W68" s="246" t="s">
        <v>1261</v>
      </c>
      <c r="X68" s="246" t="s">
        <v>1261</v>
      </c>
      <c r="Y68" s="246" t="s">
        <v>1261</v>
      </c>
      <c r="Z68" s="246" t="s">
        <v>1261</v>
      </c>
      <c r="AA68" s="246" t="s">
        <v>1261</v>
      </c>
      <c r="AB68" s="246" t="s">
        <v>1261</v>
      </c>
      <c r="AC68" s="246" t="s">
        <v>1261</v>
      </c>
      <c r="AD68" s="246" t="s">
        <v>1261</v>
      </c>
      <c r="AE68" s="246" t="s">
        <v>1261</v>
      </c>
      <c r="AF68" s="246" t="s">
        <v>1261</v>
      </c>
      <c r="AG68" s="246" t="s">
        <v>1261</v>
      </c>
      <c r="AH68" s="246" t="s">
        <v>1261</v>
      </c>
      <c r="AI68" s="246" t="s">
        <v>1261</v>
      </c>
      <c r="AJ68" s="246" t="s">
        <v>1261</v>
      </c>
      <c r="AK68" s="246" t="s">
        <v>1261</v>
      </c>
      <c r="AL68" s="246" t="s">
        <v>1261</v>
      </c>
      <c r="AM68" s="246" t="s">
        <v>1261</v>
      </c>
      <c r="AN68" s="246" t="s">
        <v>1261</v>
      </c>
      <c r="AO68" s="246" t="s">
        <v>1261</v>
      </c>
      <c r="AP68" s="246" t="s">
        <v>1261</v>
      </c>
      <c r="AQ68" s="246" t="s">
        <v>1261</v>
      </c>
      <c r="AR68" s="246" t="s">
        <v>1261</v>
      </c>
      <c r="AS68" s="246" t="s">
        <v>1261</v>
      </c>
      <c r="AT68" s="246" t="s">
        <v>1261</v>
      </c>
      <c r="AU68" s="246" t="s">
        <v>1261</v>
      </c>
      <c r="AV68" s="246" t="s">
        <v>1261</v>
      </c>
      <c r="AW68" s="246" t="s">
        <v>1261</v>
      </c>
      <c r="AX68" s="246" t="s">
        <v>1261</v>
      </c>
      <c r="AY68" s="246" t="s">
        <v>1261</v>
      </c>
      <c r="AZ68" s="246" t="s">
        <v>1261</v>
      </c>
      <c r="BA68" s="246" t="s">
        <v>1261</v>
      </c>
      <c r="BB68" s="246" t="s">
        <v>1261</v>
      </c>
      <c r="BC68" s="246" t="s">
        <v>1261</v>
      </c>
      <c r="BD68" s="246" t="s">
        <v>1261</v>
      </c>
      <c r="BE68" s="246" t="s">
        <v>1261</v>
      </c>
      <c r="BF68" s="246" t="s">
        <v>1261</v>
      </c>
    </row>
    <row r="69" spans="1:58" ht="17.5" customHeight="1" thickBot="1" x14ac:dyDescent="0.55000000000000004">
      <c r="A69" s="182" t="s">
        <v>120</v>
      </c>
      <c r="B69" s="183" t="s">
        <v>61</v>
      </c>
      <c r="C69" s="195" t="s">
        <v>1239</v>
      </c>
      <c r="D69" s="185" t="s">
        <v>1175</v>
      </c>
      <c r="E69" s="186" t="s">
        <v>1176</v>
      </c>
      <c r="F69" s="187"/>
      <c r="G69" s="246">
        <v>9477896611</v>
      </c>
      <c r="H69" s="246">
        <v>9477896612</v>
      </c>
      <c r="I69" s="246">
        <v>9477896613</v>
      </c>
      <c r="J69" s="246">
        <v>9477896614</v>
      </c>
      <c r="K69" s="246">
        <v>9477896615</v>
      </c>
      <c r="L69" s="246">
        <v>9477896616</v>
      </c>
      <c r="M69" s="246">
        <v>9477896617</v>
      </c>
      <c r="N69" s="246">
        <v>9477896618</v>
      </c>
      <c r="O69" s="246">
        <v>9477896619</v>
      </c>
      <c r="P69" s="246">
        <v>9477896620</v>
      </c>
      <c r="Q69" s="246">
        <v>9477896621</v>
      </c>
      <c r="R69" s="246">
        <v>9477896622</v>
      </c>
      <c r="S69" s="282">
        <v>9477896623</v>
      </c>
      <c r="T69" s="246">
        <v>9477896624</v>
      </c>
      <c r="U69" s="282">
        <v>9477896625</v>
      </c>
      <c r="V69" s="246">
        <v>9477896626</v>
      </c>
      <c r="W69" s="246">
        <v>9477896627</v>
      </c>
      <c r="X69" s="246">
        <v>9477896628</v>
      </c>
      <c r="Y69" s="246">
        <v>9477896629</v>
      </c>
      <c r="Z69" s="246">
        <v>9477896630</v>
      </c>
      <c r="AA69" s="246">
        <v>9477896631</v>
      </c>
      <c r="AB69" s="246">
        <v>9477896632</v>
      </c>
      <c r="AC69" s="246">
        <v>9477896633</v>
      </c>
      <c r="AD69" s="246">
        <v>9477896634</v>
      </c>
      <c r="AE69" s="246">
        <v>9477896635</v>
      </c>
      <c r="AF69" s="246">
        <v>9477896636</v>
      </c>
      <c r="AG69" s="246">
        <v>9477896637</v>
      </c>
      <c r="AH69" s="246">
        <v>9477896638</v>
      </c>
      <c r="AI69" s="246">
        <v>9477896639</v>
      </c>
      <c r="AJ69" s="246">
        <v>9477896640</v>
      </c>
      <c r="AK69" s="246">
        <v>9477896641</v>
      </c>
      <c r="AL69" s="246">
        <v>9477896642</v>
      </c>
      <c r="AM69" s="246">
        <v>9477896643</v>
      </c>
      <c r="AN69" s="246">
        <v>9477896644</v>
      </c>
      <c r="AO69" s="246">
        <v>9477896645</v>
      </c>
      <c r="AP69" s="246">
        <v>9477896646</v>
      </c>
      <c r="AQ69" s="246">
        <v>9477896647</v>
      </c>
      <c r="AR69" s="246">
        <v>9477896648</v>
      </c>
      <c r="AS69" s="246">
        <v>9477896649</v>
      </c>
      <c r="AT69" s="246">
        <v>9477896650</v>
      </c>
      <c r="AU69" s="246">
        <v>9477896651</v>
      </c>
      <c r="AV69" s="246">
        <v>9477896652</v>
      </c>
      <c r="AW69" s="246">
        <v>9477896653</v>
      </c>
      <c r="AX69" s="246">
        <v>9477896654</v>
      </c>
      <c r="AY69" s="246">
        <v>9477896655</v>
      </c>
      <c r="AZ69" s="246">
        <v>9477896656</v>
      </c>
      <c r="BA69" s="246">
        <v>9477896657</v>
      </c>
      <c r="BB69" s="246">
        <v>9477896658</v>
      </c>
      <c r="BC69" s="246">
        <v>9477896659</v>
      </c>
      <c r="BD69" s="246">
        <v>9477896660</v>
      </c>
      <c r="BE69" s="246">
        <v>9477896661</v>
      </c>
      <c r="BF69" s="246">
        <v>9477896662</v>
      </c>
    </row>
    <row r="70" spans="1:58" ht="17.5" customHeight="1" x14ac:dyDescent="0.5">
      <c r="A70" s="182" t="s">
        <v>120</v>
      </c>
      <c r="B70" s="183" t="s">
        <v>61</v>
      </c>
      <c r="C70" s="195" t="s">
        <v>1240</v>
      </c>
      <c r="D70" s="185" t="str">
        <f>SUBSTITUTE(A70," ","") &amp; "_" &amp; SUBSTITUTE(IF(B70="N/A","",B70&amp; "_")," ","")  &amp; SUBSTITUTE(SUBSTITUTE(C70," ",""),"/","")</f>
        <v>AssignPayGroup_Country2</v>
      </c>
      <c r="E70" s="186" t="str">
        <f>D70&amp;2</f>
        <v>AssignPayGroup_Country22</v>
      </c>
      <c r="F70" s="187"/>
      <c r="G70" s="188" t="s">
        <v>227</v>
      </c>
      <c r="H70" s="188" t="s">
        <v>227</v>
      </c>
      <c r="I70" s="188" t="s">
        <v>227</v>
      </c>
      <c r="J70" s="188" t="s">
        <v>227</v>
      </c>
      <c r="K70" s="188" t="s">
        <v>227</v>
      </c>
      <c r="L70" s="188" t="s">
        <v>227</v>
      </c>
      <c r="M70" s="188" t="s">
        <v>227</v>
      </c>
      <c r="N70" s="188" t="s">
        <v>227</v>
      </c>
      <c r="O70" s="188" t="s">
        <v>227</v>
      </c>
      <c r="P70" s="188" t="s">
        <v>227</v>
      </c>
      <c r="Q70" s="188" t="s">
        <v>227</v>
      </c>
      <c r="R70" s="188" t="s">
        <v>227</v>
      </c>
      <c r="S70" s="260" t="s">
        <v>227</v>
      </c>
      <c r="T70" s="188" t="s">
        <v>227</v>
      </c>
      <c r="U70" s="260" t="s">
        <v>227</v>
      </c>
      <c r="V70" s="188" t="s">
        <v>227</v>
      </c>
      <c r="W70" s="188" t="s">
        <v>227</v>
      </c>
      <c r="X70" s="188" t="s">
        <v>227</v>
      </c>
      <c r="Y70" s="188" t="s">
        <v>227</v>
      </c>
      <c r="Z70" s="188" t="s">
        <v>227</v>
      </c>
      <c r="AA70" s="188" t="s">
        <v>227</v>
      </c>
      <c r="AB70" s="188" t="s">
        <v>227</v>
      </c>
      <c r="AC70" s="188" t="s">
        <v>227</v>
      </c>
      <c r="AD70" s="188" t="s">
        <v>227</v>
      </c>
      <c r="AE70" s="188" t="s">
        <v>227</v>
      </c>
      <c r="AF70" s="188" t="s">
        <v>227</v>
      </c>
      <c r="AG70" s="188" t="s">
        <v>227</v>
      </c>
      <c r="AH70" s="188" t="s">
        <v>227</v>
      </c>
      <c r="AI70" s="188" t="s">
        <v>227</v>
      </c>
      <c r="AJ70" s="188" t="s">
        <v>227</v>
      </c>
      <c r="AK70" s="188" t="s">
        <v>227</v>
      </c>
      <c r="AL70" s="188" t="s">
        <v>227</v>
      </c>
      <c r="AM70" s="188" t="s">
        <v>227</v>
      </c>
      <c r="AN70" s="188" t="s">
        <v>227</v>
      </c>
      <c r="AO70" s="188" t="s">
        <v>227</v>
      </c>
      <c r="AP70" s="188" t="s">
        <v>227</v>
      </c>
      <c r="AQ70" s="188" t="s">
        <v>227</v>
      </c>
      <c r="AR70" s="188" t="s">
        <v>227</v>
      </c>
      <c r="AS70" s="188" t="s">
        <v>227</v>
      </c>
      <c r="AT70" s="188" t="s">
        <v>227</v>
      </c>
      <c r="AU70" s="188" t="s">
        <v>227</v>
      </c>
      <c r="AV70" s="188" t="s">
        <v>227</v>
      </c>
      <c r="AW70" s="188" t="s">
        <v>227</v>
      </c>
      <c r="AX70" s="188" t="s">
        <v>227</v>
      </c>
      <c r="AY70" s="188" t="s">
        <v>227</v>
      </c>
      <c r="AZ70" s="188" t="s">
        <v>227</v>
      </c>
      <c r="BA70" s="188" t="s">
        <v>227</v>
      </c>
      <c r="BB70" s="188" t="s">
        <v>227</v>
      </c>
      <c r="BC70" s="188" t="s">
        <v>227</v>
      </c>
      <c r="BD70" s="188" t="s">
        <v>227</v>
      </c>
      <c r="BE70" s="188" t="s">
        <v>227</v>
      </c>
      <c r="BF70" s="188" t="s">
        <v>227</v>
      </c>
    </row>
    <row r="71" spans="1:58" x14ac:dyDescent="0.5">
      <c r="C71" s="195" t="s">
        <v>1241</v>
      </c>
      <c r="G71" s="246" t="s">
        <v>1190</v>
      </c>
      <c r="H71" s="246" t="s">
        <v>1190</v>
      </c>
      <c r="I71" s="246" t="s">
        <v>1190</v>
      </c>
      <c r="J71" s="246" t="s">
        <v>1190</v>
      </c>
      <c r="K71" s="246" t="s">
        <v>1190</v>
      </c>
      <c r="L71" s="246" t="s">
        <v>1190</v>
      </c>
      <c r="M71" s="246" t="s">
        <v>1190</v>
      </c>
      <c r="N71" s="246" t="s">
        <v>1190</v>
      </c>
      <c r="O71" s="246" t="s">
        <v>1190</v>
      </c>
      <c r="P71" s="246" t="s">
        <v>1190</v>
      </c>
      <c r="Q71" s="246" t="s">
        <v>1190</v>
      </c>
      <c r="R71" s="246" t="s">
        <v>1190</v>
      </c>
      <c r="S71" s="282" t="s">
        <v>1190</v>
      </c>
      <c r="T71" s="246" t="s">
        <v>1190</v>
      </c>
      <c r="U71" s="282" t="s">
        <v>1190</v>
      </c>
      <c r="V71" s="246" t="s">
        <v>1190</v>
      </c>
      <c r="W71" s="246" t="s">
        <v>1190</v>
      </c>
      <c r="X71" s="246" t="s">
        <v>1190</v>
      </c>
      <c r="Y71" s="246" t="s">
        <v>1190</v>
      </c>
      <c r="Z71" s="246" t="s">
        <v>1190</v>
      </c>
      <c r="AA71" s="246" t="s">
        <v>1190</v>
      </c>
      <c r="AB71" s="246" t="s">
        <v>1190</v>
      </c>
      <c r="AC71" s="246" t="s">
        <v>1190</v>
      </c>
      <c r="AD71" s="246" t="s">
        <v>1190</v>
      </c>
      <c r="AE71" s="246" t="s">
        <v>1190</v>
      </c>
      <c r="AF71" s="246" t="s">
        <v>1190</v>
      </c>
      <c r="AG71" s="246" t="s">
        <v>1190</v>
      </c>
      <c r="AH71" s="246" t="s">
        <v>1190</v>
      </c>
      <c r="AI71" s="246" t="s">
        <v>1190</v>
      </c>
      <c r="AJ71" s="246" t="s">
        <v>1190</v>
      </c>
      <c r="AK71" s="246" t="s">
        <v>1190</v>
      </c>
      <c r="AL71" s="246" t="s">
        <v>1190</v>
      </c>
      <c r="AM71" s="246" t="s">
        <v>1190</v>
      </c>
      <c r="AN71" s="246" t="s">
        <v>1190</v>
      </c>
      <c r="AO71" s="246" t="s">
        <v>1190</v>
      </c>
      <c r="AP71" s="246" t="s">
        <v>1190</v>
      </c>
      <c r="AQ71" s="246" t="s">
        <v>1190</v>
      </c>
      <c r="AR71" s="246" t="s">
        <v>1190</v>
      </c>
      <c r="AS71" s="246" t="s">
        <v>1190</v>
      </c>
      <c r="AT71" s="246" t="s">
        <v>1190</v>
      </c>
      <c r="AU71" s="246" t="s">
        <v>1190</v>
      </c>
      <c r="AV71" s="246" t="s">
        <v>1190</v>
      </c>
      <c r="AW71" s="246" t="s">
        <v>1190</v>
      </c>
      <c r="AX71" s="246" t="s">
        <v>1190</v>
      </c>
      <c r="AY71" s="246" t="s">
        <v>1190</v>
      </c>
      <c r="AZ71" s="246" t="s">
        <v>1190</v>
      </c>
      <c r="BA71" s="246" t="s">
        <v>1190</v>
      </c>
      <c r="BB71" s="246" t="s">
        <v>1190</v>
      </c>
      <c r="BC71" s="246" t="s">
        <v>1190</v>
      </c>
      <c r="BD71" s="246" t="s">
        <v>1190</v>
      </c>
      <c r="BE71" s="246" t="s">
        <v>1190</v>
      </c>
      <c r="BF71" s="246" t="s">
        <v>1190</v>
      </c>
    </row>
    <row r="72" spans="1:58" x14ac:dyDescent="0.5">
      <c r="C72" s="195" t="s">
        <v>1242</v>
      </c>
      <c r="G72" s="246">
        <v>47678965345</v>
      </c>
      <c r="H72" s="246">
        <v>47678965346</v>
      </c>
      <c r="I72" s="246">
        <v>47678965347</v>
      </c>
      <c r="J72" s="246">
        <v>47678965348</v>
      </c>
      <c r="K72" s="246">
        <v>47678965349</v>
      </c>
      <c r="L72" s="246">
        <v>47678965350</v>
      </c>
      <c r="M72" s="246">
        <v>47678965351</v>
      </c>
      <c r="N72" s="246">
        <v>47678965352</v>
      </c>
      <c r="O72" s="246">
        <v>47678965353</v>
      </c>
      <c r="P72" s="246">
        <v>47678965354</v>
      </c>
      <c r="Q72" s="246">
        <v>47678965355</v>
      </c>
      <c r="R72" s="246">
        <v>47678965356</v>
      </c>
      <c r="S72" s="282">
        <v>47678965357</v>
      </c>
      <c r="T72" s="246">
        <v>47678965358</v>
      </c>
      <c r="U72" s="282">
        <v>47678965359</v>
      </c>
      <c r="V72" s="246">
        <v>47678965360</v>
      </c>
      <c r="W72" s="246">
        <v>47678965361</v>
      </c>
      <c r="X72" s="246">
        <v>47678965362</v>
      </c>
      <c r="Y72" s="246">
        <v>47678965363</v>
      </c>
      <c r="Z72" s="246">
        <v>47678965364</v>
      </c>
      <c r="AA72" s="246">
        <v>47678965365</v>
      </c>
      <c r="AB72" s="246">
        <v>47678965366</v>
      </c>
      <c r="AC72" s="246">
        <v>47678965367</v>
      </c>
      <c r="AD72" s="246">
        <v>47678965368</v>
      </c>
      <c r="AE72" s="246">
        <v>47678965369</v>
      </c>
      <c r="AF72" s="246">
        <v>47678965370</v>
      </c>
      <c r="AG72" s="246">
        <v>47678965371</v>
      </c>
      <c r="AH72" s="246">
        <v>47678965372</v>
      </c>
      <c r="AI72" s="246">
        <v>47678965373</v>
      </c>
      <c r="AJ72" s="246">
        <v>47678965374</v>
      </c>
      <c r="AK72" s="246">
        <v>47678965375</v>
      </c>
      <c r="AL72" s="246">
        <v>47678965376</v>
      </c>
      <c r="AM72" s="246">
        <v>47678965377</v>
      </c>
      <c r="AN72" s="246">
        <v>47678965378</v>
      </c>
      <c r="AO72" s="246">
        <v>47678965379</v>
      </c>
      <c r="AP72" s="246">
        <v>47678965380</v>
      </c>
      <c r="AQ72" s="246">
        <v>47678965381</v>
      </c>
      <c r="AR72" s="246">
        <v>47678965382</v>
      </c>
      <c r="AS72" s="246">
        <v>47678965383</v>
      </c>
      <c r="AT72" s="246">
        <v>47678965384</v>
      </c>
      <c r="AU72" s="246">
        <v>47678965385</v>
      </c>
      <c r="AV72" s="246">
        <v>47678965386</v>
      </c>
      <c r="AW72" s="246">
        <v>47678965387</v>
      </c>
      <c r="AX72" s="246">
        <v>47678965388</v>
      </c>
      <c r="AY72" s="246">
        <v>47678965389</v>
      </c>
      <c r="AZ72" s="246">
        <v>47678965390</v>
      </c>
      <c r="BA72" s="246">
        <v>47678965391</v>
      </c>
      <c r="BB72" s="246">
        <v>47678965392</v>
      </c>
      <c r="BC72" s="246">
        <v>47678965393</v>
      </c>
      <c r="BD72" s="246">
        <v>47678965394</v>
      </c>
      <c r="BE72" s="246">
        <v>47678965395</v>
      </c>
      <c r="BF72" s="246">
        <v>47678965396</v>
      </c>
    </row>
    <row r="73" spans="1:58" x14ac:dyDescent="0.5">
      <c r="C73" s="195" t="s">
        <v>1243</v>
      </c>
      <c r="G73" s="188" t="s">
        <v>227</v>
      </c>
      <c r="H73" s="188" t="s">
        <v>227</v>
      </c>
      <c r="I73" s="188" t="s">
        <v>227</v>
      </c>
      <c r="J73" s="188" t="s">
        <v>227</v>
      </c>
      <c r="K73" s="188" t="s">
        <v>227</v>
      </c>
      <c r="L73" s="188" t="s">
        <v>227</v>
      </c>
      <c r="M73" s="188" t="s">
        <v>227</v>
      </c>
      <c r="N73" s="188" t="s">
        <v>227</v>
      </c>
      <c r="O73" s="188" t="s">
        <v>227</v>
      </c>
      <c r="P73" s="188" t="s">
        <v>227</v>
      </c>
      <c r="Q73" s="188" t="s">
        <v>227</v>
      </c>
      <c r="R73" s="188" t="s">
        <v>227</v>
      </c>
      <c r="S73" s="260" t="s">
        <v>227</v>
      </c>
      <c r="T73" s="188" t="s">
        <v>227</v>
      </c>
      <c r="U73" s="260" t="s">
        <v>227</v>
      </c>
      <c r="V73" s="188" t="s">
        <v>227</v>
      </c>
      <c r="W73" s="188" t="s">
        <v>227</v>
      </c>
      <c r="X73" s="188" t="s">
        <v>227</v>
      </c>
      <c r="Y73" s="188" t="s">
        <v>227</v>
      </c>
      <c r="Z73" s="188" t="s">
        <v>227</v>
      </c>
      <c r="AA73" s="188" t="s">
        <v>227</v>
      </c>
      <c r="AB73" s="188" t="s">
        <v>227</v>
      </c>
      <c r="AC73" s="188" t="s">
        <v>227</v>
      </c>
      <c r="AD73" s="188" t="s">
        <v>227</v>
      </c>
      <c r="AE73" s="188" t="s">
        <v>227</v>
      </c>
      <c r="AF73" s="188" t="s">
        <v>227</v>
      </c>
      <c r="AG73" s="188" t="s">
        <v>227</v>
      </c>
      <c r="AH73" s="188" t="s">
        <v>227</v>
      </c>
      <c r="AI73" s="188" t="s">
        <v>227</v>
      </c>
      <c r="AJ73" s="188" t="s">
        <v>227</v>
      </c>
      <c r="AK73" s="188" t="s">
        <v>227</v>
      </c>
      <c r="AL73" s="188" t="s">
        <v>227</v>
      </c>
      <c r="AM73" s="188" t="s">
        <v>227</v>
      </c>
      <c r="AN73" s="188" t="s">
        <v>227</v>
      </c>
      <c r="AO73" s="188" t="s">
        <v>227</v>
      </c>
      <c r="AP73" s="188" t="s">
        <v>227</v>
      </c>
      <c r="AQ73" s="188" t="s">
        <v>227</v>
      </c>
      <c r="AR73" s="188" t="s">
        <v>227</v>
      </c>
      <c r="AS73" s="188" t="s">
        <v>227</v>
      </c>
      <c r="AT73" s="188" t="s">
        <v>227</v>
      </c>
      <c r="AU73" s="188" t="s">
        <v>227</v>
      </c>
      <c r="AV73" s="188" t="s">
        <v>227</v>
      </c>
      <c r="AW73" s="188" t="s">
        <v>227</v>
      </c>
      <c r="AX73" s="188" t="s">
        <v>227</v>
      </c>
      <c r="AY73" s="188" t="s">
        <v>227</v>
      </c>
      <c r="AZ73" s="188" t="s">
        <v>227</v>
      </c>
      <c r="BA73" s="188" t="s">
        <v>227</v>
      </c>
      <c r="BB73" s="188" t="s">
        <v>227</v>
      </c>
      <c r="BC73" s="188" t="s">
        <v>227</v>
      </c>
      <c r="BD73" s="188" t="s">
        <v>227</v>
      </c>
      <c r="BE73" s="188" t="s">
        <v>227</v>
      </c>
      <c r="BF73" s="188" t="s">
        <v>227</v>
      </c>
    </row>
    <row r="74" spans="1:58" x14ac:dyDescent="0.5">
      <c r="C74" s="195" t="s">
        <v>1244</v>
      </c>
      <c r="G74" s="246" t="s">
        <v>1262</v>
      </c>
      <c r="H74" s="246" t="s">
        <v>1262</v>
      </c>
      <c r="I74" s="246" t="s">
        <v>1262</v>
      </c>
      <c r="J74" s="246" t="s">
        <v>1262</v>
      </c>
      <c r="K74" s="246" t="s">
        <v>1262</v>
      </c>
      <c r="L74" s="246" t="s">
        <v>1262</v>
      </c>
      <c r="M74" s="246" t="s">
        <v>1262</v>
      </c>
      <c r="N74" s="246" t="s">
        <v>1262</v>
      </c>
      <c r="O74" s="246" t="s">
        <v>1262</v>
      </c>
      <c r="P74" s="246" t="s">
        <v>1262</v>
      </c>
      <c r="Q74" s="246" t="s">
        <v>1262</v>
      </c>
      <c r="R74" s="246" t="s">
        <v>1262</v>
      </c>
      <c r="S74" s="282" t="s">
        <v>1262</v>
      </c>
      <c r="T74" s="246" t="s">
        <v>1262</v>
      </c>
      <c r="U74" s="282" t="s">
        <v>1262</v>
      </c>
      <c r="V74" s="246" t="s">
        <v>1262</v>
      </c>
      <c r="W74" s="246" t="s">
        <v>1262</v>
      </c>
      <c r="X74" s="246" t="s">
        <v>1262</v>
      </c>
      <c r="Y74" s="246" t="s">
        <v>1262</v>
      </c>
      <c r="Z74" s="246" t="s">
        <v>1262</v>
      </c>
      <c r="AA74" s="246" t="s">
        <v>1262</v>
      </c>
      <c r="AB74" s="246" t="s">
        <v>1262</v>
      </c>
      <c r="AC74" s="246" t="s">
        <v>1262</v>
      </c>
      <c r="AD74" s="246" t="s">
        <v>1262</v>
      </c>
      <c r="AE74" s="246" t="s">
        <v>1262</v>
      </c>
      <c r="AF74" s="246" t="s">
        <v>1262</v>
      </c>
      <c r="AG74" s="246" t="s">
        <v>1262</v>
      </c>
      <c r="AH74" s="246" t="s">
        <v>1262</v>
      </c>
      <c r="AI74" s="246" t="s">
        <v>1262</v>
      </c>
      <c r="AJ74" s="246" t="s">
        <v>1262</v>
      </c>
      <c r="AK74" s="246" t="s">
        <v>1262</v>
      </c>
      <c r="AL74" s="246" t="s">
        <v>1262</v>
      </c>
      <c r="AM74" s="246" t="s">
        <v>1262</v>
      </c>
      <c r="AN74" s="246" t="s">
        <v>1262</v>
      </c>
      <c r="AO74" s="246" t="s">
        <v>1262</v>
      </c>
      <c r="AP74" s="246" t="s">
        <v>1262</v>
      </c>
      <c r="AQ74" s="246" t="s">
        <v>1262</v>
      </c>
      <c r="AR74" s="246" t="s">
        <v>1262</v>
      </c>
      <c r="AS74" s="246" t="s">
        <v>1262</v>
      </c>
      <c r="AT74" s="246" t="s">
        <v>1262</v>
      </c>
      <c r="AU74" s="246" t="s">
        <v>1262</v>
      </c>
      <c r="AV74" s="246" t="s">
        <v>1262</v>
      </c>
      <c r="AW74" s="246" t="s">
        <v>1262</v>
      </c>
      <c r="AX74" s="246" t="s">
        <v>1262</v>
      </c>
      <c r="AY74" s="246" t="s">
        <v>1262</v>
      </c>
      <c r="AZ74" s="246" t="s">
        <v>1262</v>
      </c>
      <c r="BA74" s="246" t="s">
        <v>1262</v>
      </c>
      <c r="BB74" s="246" t="s">
        <v>1262</v>
      </c>
      <c r="BC74" s="246" t="s">
        <v>1262</v>
      </c>
      <c r="BD74" s="246" t="s">
        <v>1262</v>
      </c>
      <c r="BE74" s="246" t="s">
        <v>1262</v>
      </c>
      <c r="BF74" s="246" t="s">
        <v>1262</v>
      </c>
    </row>
    <row r="75" spans="1:58" x14ac:dyDescent="0.5">
      <c r="C75" s="195" t="s">
        <v>1245</v>
      </c>
      <c r="G75" s="246" t="s">
        <v>1362</v>
      </c>
      <c r="H75" s="246" t="s">
        <v>1363</v>
      </c>
      <c r="I75" s="246" t="s">
        <v>1364</v>
      </c>
      <c r="J75" s="246" t="s">
        <v>1365</v>
      </c>
      <c r="K75" s="246" t="s">
        <v>1366</v>
      </c>
      <c r="L75" s="246" t="s">
        <v>1367</v>
      </c>
      <c r="M75" s="246" t="s">
        <v>1368</v>
      </c>
      <c r="N75" s="246" t="s">
        <v>1369</v>
      </c>
      <c r="O75" s="246" t="s">
        <v>1370</v>
      </c>
      <c r="P75" s="246" t="s">
        <v>1371</v>
      </c>
      <c r="Q75" s="246" t="s">
        <v>1372</v>
      </c>
      <c r="R75" s="246" t="s">
        <v>1373</v>
      </c>
      <c r="S75" s="282" t="s">
        <v>1374</v>
      </c>
      <c r="T75" s="246" t="s">
        <v>1379</v>
      </c>
      <c r="U75" s="282" t="s">
        <v>1380</v>
      </c>
      <c r="V75" s="246" t="s">
        <v>1381</v>
      </c>
      <c r="W75" s="246" t="s">
        <v>1400</v>
      </c>
      <c r="X75" s="246" t="s">
        <v>1401</v>
      </c>
      <c r="Y75" s="246" t="s">
        <v>1402</v>
      </c>
      <c r="Z75" s="246" t="s">
        <v>1403</v>
      </c>
      <c r="AA75" s="246" t="s">
        <v>1404</v>
      </c>
      <c r="AB75" s="246" t="s">
        <v>1405</v>
      </c>
      <c r="AC75" s="246" t="s">
        <v>1406</v>
      </c>
      <c r="AD75" s="246" t="s">
        <v>1407</v>
      </c>
      <c r="AE75" s="246" t="s">
        <v>1408</v>
      </c>
      <c r="AF75" s="246" t="s">
        <v>1409</v>
      </c>
      <c r="AG75" s="246" t="s">
        <v>1410</v>
      </c>
      <c r="AH75" s="246" t="s">
        <v>1411</v>
      </c>
      <c r="AI75" s="246" t="s">
        <v>1412</v>
      </c>
      <c r="AJ75" s="246" t="s">
        <v>1413</v>
      </c>
      <c r="AK75" s="246" t="s">
        <v>1414</v>
      </c>
      <c r="AL75" s="246" t="s">
        <v>1415</v>
      </c>
      <c r="AM75" s="246" t="s">
        <v>1416</v>
      </c>
      <c r="AN75" s="246" t="s">
        <v>1417</v>
      </c>
      <c r="AO75" s="246" t="s">
        <v>1418</v>
      </c>
      <c r="AP75" s="246" t="s">
        <v>1419</v>
      </c>
      <c r="AQ75" s="246" t="s">
        <v>1420</v>
      </c>
      <c r="AR75" s="246" t="s">
        <v>1421</v>
      </c>
      <c r="AS75" s="246" t="s">
        <v>1422</v>
      </c>
      <c r="AT75" s="246" t="s">
        <v>1423</v>
      </c>
      <c r="AU75" s="246" t="s">
        <v>1424</v>
      </c>
      <c r="AV75" s="246" t="s">
        <v>1425</v>
      </c>
      <c r="AW75" s="246" t="s">
        <v>1426</v>
      </c>
      <c r="AX75" s="246" t="s">
        <v>1427</v>
      </c>
      <c r="AY75" s="246" t="s">
        <v>1428</v>
      </c>
      <c r="AZ75" s="246" t="s">
        <v>1429</v>
      </c>
      <c r="BA75" s="246" t="s">
        <v>1430</v>
      </c>
      <c r="BB75" s="246" t="s">
        <v>1431</v>
      </c>
      <c r="BC75" s="246" t="s">
        <v>1432</v>
      </c>
      <c r="BD75" s="246" t="s">
        <v>1433</v>
      </c>
      <c r="BE75" s="246" t="s">
        <v>1434</v>
      </c>
      <c r="BF75" s="246" t="s">
        <v>1435</v>
      </c>
    </row>
    <row r="76" spans="1:58" x14ac:dyDescent="0.5">
      <c r="C76" s="195" t="s">
        <v>135</v>
      </c>
      <c r="F76" s="268"/>
      <c r="G76" s="188" t="s">
        <v>1161</v>
      </c>
      <c r="H76" s="264" t="s">
        <v>1318</v>
      </c>
      <c r="I76" s="264" t="s">
        <v>1161</v>
      </c>
      <c r="J76" s="264" t="s">
        <v>1318</v>
      </c>
      <c r="K76" s="264" t="s">
        <v>1161</v>
      </c>
      <c r="L76" s="264" t="s">
        <v>1318</v>
      </c>
      <c r="M76" s="264" t="s">
        <v>1161</v>
      </c>
      <c r="N76" s="264" t="s">
        <v>1318</v>
      </c>
      <c r="O76" s="264" t="s">
        <v>1161</v>
      </c>
      <c r="P76" s="264" t="s">
        <v>1318</v>
      </c>
      <c r="Q76" s="264" t="s">
        <v>1161</v>
      </c>
      <c r="R76" s="264" t="s">
        <v>1318</v>
      </c>
      <c r="S76" s="283" t="s">
        <v>1161</v>
      </c>
      <c r="T76" s="264" t="s">
        <v>1318</v>
      </c>
      <c r="U76" s="264" t="s">
        <v>1161</v>
      </c>
      <c r="V76" s="264" t="s">
        <v>1161</v>
      </c>
      <c r="W76" s="131" t="s">
        <v>1161</v>
      </c>
      <c r="X76" s="131" t="s">
        <v>1161</v>
      </c>
      <c r="Y76" s="131" t="s">
        <v>1161</v>
      </c>
      <c r="Z76" s="131" t="s">
        <v>1161</v>
      </c>
      <c r="AA76" s="131" t="s">
        <v>1161</v>
      </c>
      <c r="AB76" s="131" t="s">
        <v>1161</v>
      </c>
      <c r="AC76" s="131" t="s">
        <v>1161</v>
      </c>
      <c r="AD76" s="131" t="s">
        <v>1161</v>
      </c>
      <c r="AE76" s="131" t="s">
        <v>1161</v>
      </c>
      <c r="AF76" s="131" t="s">
        <v>1161</v>
      </c>
      <c r="AG76" s="131" t="s">
        <v>1161</v>
      </c>
      <c r="AH76" s="131" t="s">
        <v>1161</v>
      </c>
      <c r="AI76" s="131" t="s">
        <v>1161</v>
      </c>
      <c r="AJ76" s="131" t="s">
        <v>1161</v>
      </c>
      <c r="AK76" s="131" t="s">
        <v>1161</v>
      </c>
      <c r="AL76" s="131" t="s">
        <v>1161</v>
      </c>
      <c r="AM76" s="326" t="s">
        <v>1161</v>
      </c>
      <c r="AN76" s="326" t="s">
        <v>1161</v>
      </c>
      <c r="AO76" s="326" t="s">
        <v>1161</v>
      </c>
      <c r="AP76" s="326" t="s">
        <v>1161</v>
      </c>
      <c r="AQ76" s="326" t="s">
        <v>1161</v>
      </c>
      <c r="AR76" s="326" t="s">
        <v>1161</v>
      </c>
      <c r="AS76" s="326" t="s">
        <v>1161</v>
      </c>
      <c r="AT76" s="326" t="s">
        <v>1161</v>
      </c>
      <c r="AU76" s="326" t="s">
        <v>1161</v>
      </c>
      <c r="AV76" s="326" t="s">
        <v>1161</v>
      </c>
      <c r="AW76" s="326" t="s">
        <v>1161</v>
      </c>
      <c r="AX76" s="326" t="s">
        <v>1161</v>
      </c>
      <c r="AY76" s="326" t="s">
        <v>1161</v>
      </c>
      <c r="AZ76" s="326" t="s">
        <v>1161</v>
      </c>
      <c r="BA76" s="326" t="s">
        <v>1161</v>
      </c>
      <c r="BB76" s="326" t="s">
        <v>1161</v>
      </c>
      <c r="BC76" s="326" t="s">
        <v>1161</v>
      </c>
      <c r="BD76" s="326" t="s">
        <v>1161</v>
      </c>
      <c r="BE76" s="326" t="s">
        <v>1161</v>
      </c>
      <c r="BF76" s="326" t="s">
        <v>1161</v>
      </c>
    </row>
    <row r="77" spans="1:58" x14ac:dyDescent="0.5">
      <c r="C77" s="195" t="s">
        <v>1246</v>
      </c>
      <c r="F77" s="268"/>
      <c r="G77" s="270">
        <v>35591</v>
      </c>
      <c r="H77" s="270">
        <v>35956</v>
      </c>
      <c r="I77" s="270">
        <v>34130</v>
      </c>
      <c r="J77" s="270">
        <v>35591</v>
      </c>
      <c r="K77" s="270">
        <v>35591</v>
      </c>
      <c r="L77" s="270">
        <v>35591</v>
      </c>
      <c r="M77" s="270">
        <v>35591</v>
      </c>
      <c r="N77" s="271">
        <v>35591</v>
      </c>
      <c r="O77" s="270">
        <v>35591</v>
      </c>
      <c r="P77" s="270">
        <v>35591</v>
      </c>
      <c r="Q77" s="270">
        <v>35591</v>
      </c>
      <c r="R77" s="270">
        <v>35591</v>
      </c>
      <c r="S77" s="271">
        <v>35591</v>
      </c>
      <c r="T77" s="270">
        <v>35591</v>
      </c>
      <c r="U77" s="270">
        <v>35591</v>
      </c>
      <c r="V77" s="270">
        <v>35591</v>
      </c>
      <c r="W77" s="125">
        <v>35591</v>
      </c>
      <c r="X77" s="125">
        <v>35591</v>
      </c>
      <c r="Y77" s="125">
        <v>35591</v>
      </c>
      <c r="Z77" s="125">
        <v>35591</v>
      </c>
      <c r="AA77" s="125">
        <v>35591</v>
      </c>
      <c r="AB77" s="125">
        <v>35591</v>
      </c>
      <c r="AC77" s="125">
        <v>35591</v>
      </c>
      <c r="AD77" s="125">
        <v>35591</v>
      </c>
      <c r="AE77" s="125">
        <v>35591</v>
      </c>
      <c r="AF77" s="125">
        <v>35591</v>
      </c>
      <c r="AG77" s="125">
        <v>35591</v>
      </c>
      <c r="AH77" s="125">
        <v>35591</v>
      </c>
      <c r="AI77" s="125">
        <v>35591</v>
      </c>
      <c r="AJ77" s="125">
        <v>35591</v>
      </c>
      <c r="AK77" s="125">
        <v>35591</v>
      </c>
      <c r="AL77" s="125">
        <v>35591</v>
      </c>
      <c r="AM77" s="327">
        <v>35591</v>
      </c>
      <c r="AN77" s="327">
        <v>35591</v>
      </c>
      <c r="AO77" s="327">
        <v>35591</v>
      </c>
      <c r="AP77" s="327">
        <v>35591</v>
      </c>
      <c r="AQ77" s="327">
        <v>35591</v>
      </c>
      <c r="AR77" s="327">
        <v>35591</v>
      </c>
      <c r="AS77" s="327">
        <v>35591</v>
      </c>
      <c r="AT77" s="327">
        <v>35591</v>
      </c>
      <c r="AU77" s="327">
        <v>35591</v>
      </c>
      <c r="AV77" s="327">
        <v>35591</v>
      </c>
      <c r="AW77" s="327">
        <v>35591</v>
      </c>
      <c r="AX77" s="327">
        <v>35591</v>
      </c>
      <c r="AY77" s="327">
        <v>35591</v>
      </c>
      <c r="AZ77" s="327">
        <v>35591</v>
      </c>
      <c r="BA77" s="327">
        <v>35591</v>
      </c>
      <c r="BB77" s="327">
        <v>35591</v>
      </c>
      <c r="BC77" s="327">
        <v>35591</v>
      </c>
      <c r="BD77" s="327">
        <v>35591</v>
      </c>
      <c r="BE77" s="327">
        <v>35591</v>
      </c>
      <c r="BF77" s="327">
        <v>35591</v>
      </c>
    </row>
    <row r="78" spans="1:58" x14ac:dyDescent="0.5">
      <c r="C78" s="195" t="s">
        <v>1247</v>
      </c>
      <c r="F78" s="268"/>
      <c r="G78" s="249" t="s">
        <v>1179</v>
      </c>
      <c r="H78" s="249" t="s">
        <v>1203</v>
      </c>
      <c r="I78" s="249" t="s">
        <v>1179</v>
      </c>
      <c r="J78" s="249" t="s">
        <v>1203</v>
      </c>
      <c r="K78" s="249" t="s">
        <v>1179</v>
      </c>
      <c r="L78" s="249" t="s">
        <v>1203</v>
      </c>
      <c r="M78" s="249" t="s">
        <v>1179</v>
      </c>
      <c r="N78" s="272" t="s">
        <v>1203</v>
      </c>
      <c r="O78" s="251" t="s">
        <v>1179</v>
      </c>
      <c r="P78" s="251" t="s">
        <v>1203</v>
      </c>
      <c r="Q78" s="251" t="s">
        <v>1179</v>
      </c>
      <c r="R78" s="251" t="s">
        <v>1203</v>
      </c>
      <c r="S78" s="251" t="s">
        <v>1179</v>
      </c>
      <c r="T78" s="251" t="s">
        <v>1203</v>
      </c>
      <c r="U78" s="251" t="s">
        <v>1179</v>
      </c>
      <c r="V78" s="251" t="s">
        <v>1179</v>
      </c>
      <c r="W78" s="126" t="s">
        <v>1179</v>
      </c>
      <c r="X78" s="126" t="s">
        <v>1179</v>
      </c>
      <c r="Y78" s="126" t="s">
        <v>1179</v>
      </c>
      <c r="Z78" s="126" t="s">
        <v>1179</v>
      </c>
      <c r="AA78" s="126" t="s">
        <v>1179</v>
      </c>
      <c r="AB78" s="126" t="s">
        <v>1179</v>
      </c>
      <c r="AC78" s="126" t="s">
        <v>1179</v>
      </c>
      <c r="AD78" s="126" t="s">
        <v>1179</v>
      </c>
      <c r="AE78" s="126" t="s">
        <v>1179</v>
      </c>
      <c r="AF78" s="126" t="s">
        <v>1179</v>
      </c>
      <c r="AG78" s="126" t="s">
        <v>1179</v>
      </c>
      <c r="AH78" s="126" t="s">
        <v>1179</v>
      </c>
      <c r="AI78" s="126" t="s">
        <v>1179</v>
      </c>
      <c r="AJ78" s="126" t="s">
        <v>1179</v>
      </c>
      <c r="AK78" s="126" t="s">
        <v>1179</v>
      </c>
      <c r="AL78" s="126" t="s">
        <v>1179</v>
      </c>
      <c r="AM78" s="328" t="s">
        <v>1179</v>
      </c>
      <c r="AN78" s="328" t="s">
        <v>1179</v>
      </c>
      <c r="AO78" s="328" t="s">
        <v>1179</v>
      </c>
      <c r="AP78" s="328" t="s">
        <v>1179</v>
      </c>
      <c r="AQ78" s="328" t="s">
        <v>1179</v>
      </c>
      <c r="AR78" s="328" t="s">
        <v>1179</v>
      </c>
      <c r="AS78" s="328" t="s">
        <v>1179</v>
      </c>
      <c r="AT78" s="328" t="s">
        <v>1179</v>
      </c>
      <c r="AU78" s="328" t="s">
        <v>1179</v>
      </c>
      <c r="AV78" s="328" t="s">
        <v>1179</v>
      </c>
      <c r="AW78" s="328" t="s">
        <v>1179</v>
      </c>
      <c r="AX78" s="328" t="s">
        <v>1179</v>
      </c>
      <c r="AY78" s="328" t="s">
        <v>1179</v>
      </c>
      <c r="AZ78" s="328" t="s">
        <v>1179</v>
      </c>
      <c r="BA78" s="328" t="s">
        <v>1179</v>
      </c>
      <c r="BB78" s="328" t="s">
        <v>1179</v>
      </c>
      <c r="BC78" s="328" t="s">
        <v>1179</v>
      </c>
      <c r="BD78" s="328" t="s">
        <v>1179</v>
      </c>
      <c r="BE78" s="328" t="s">
        <v>1179</v>
      </c>
      <c r="BF78" s="328" t="s">
        <v>1179</v>
      </c>
    </row>
    <row r="79" spans="1:58" x14ac:dyDescent="0.5">
      <c r="C79" s="195" t="s">
        <v>1248</v>
      </c>
      <c r="F79" s="268"/>
      <c r="G79" s="250" t="s">
        <v>1180</v>
      </c>
      <c r="H79" s="250" t="s">
        <v>61</v>
      </c>
      <c r="I79" s="250" t="s">
        <v>1353</v>
      </c>
      <c r="J79" s="250" t="s">
        <v>61</v>
      </c>
      <c r="K79" s="250" t="s">
        <v>1375</v>
      </c>
      <c r="L79" s="250" t="s">
        <v>61</v>
      </c>
      <c r="M79" s="250" t="s">
        <v>1375</v>
      </c>
      <c r="N79" s="273" t="s">
        <v>61</v>
      </c>
      <c r="O79" s="277" t="s">
        <v>1375</v>
      </c>
      <c r="P79" s="277" t="s">
        <v>61</v>
      </c>
      <c r="Q79" s="277" t="s">
        <v>1375</v>
      </c>
      <c r="R79" s="277" t="s">
        <v>61</v>
      </c>
      <c r="S79" s="277" t="s">
        <v>1375</v>
      </c>
      <c r="T79" s="277" t="s">
        <v>61</v>
      </c>
      <c r="U79" s="277" t="s">
        <v>1375</v>
      </c>
      <c r="V79" s="277" t="s">
        <v>1375</v>
      </c>
      <c r="W79" s="127" t="s">
        <v>1375</v>
      </c>
      <c r="X79" s="127" t="s">
        <v>1375</v>
      </c>
      <c r="Y79" s="127" t="s">
        <v>1375</v>
      </c>
      <c r="Z79" s="127" t="s">
        <v>1375</v>
      </c>
      <c r="AA79" s="127" t="s">
        <v>1375</v>
      </c>
      <c r="AB79" s="127" t="s">
        <v>1375</v>
      </c>
      <c r="AC79" s="127" t="s">
        <v>1375</v>
      </c>
      <c r="AD79" s="127" t="s">
        <v>1375</v>
      </c>
      <c r="AE79" s="127" t="s">
        <v>1375</v>
      </c>
      <c r="AF79" s="127" t="s">
        <v>1375</v>
      </c>
      <c r="AG79" s="127" t="s">
        <v>1375</v>
      </c>
      <c r="AH79" s="127" t="s">
        <v>1375</v>
      </c>
      <c r="AI79" s="127" t="s">
        <v>1375</v>
      </c>
      <c r="AJ79" s="127" t="s">
        <v>1375</v>
      </c>
      <c r="AK79" s="127" t="s">
        <v>1375</v>
      </c>
      <c r="AL79" s="127" t="s">
        <v>1375</v>
      </c>
      <c r="AM79" s="329" t="s">
        <v>1375</v>
      </c>
      <c r="AN79" s="329" t="s">
        <v>1375</v>
      </c>
      <c r="AO79" s="329" t="s">
        <v>1375</v>
      </c>
      <c r="AP79" s="329" t="s">
        <v>1375</v>
      </c>
      <c r="AQ79" s="329" t="s">
        <v>1375</v>
      </c>
      <c r="AR79" s="329" t="s">
        <v>1375</v>
      </c>
      <c r="AS79" s="329" t="s">
        <v>1375</v>
      </c>
      <c r="AT79" s="329" t="s">
        <v>1375</v>
      </c>
      <c r="AU79" s="329" t="s">
        <v>1375</v>
      </c>
      <c r="AV79" s="329" t="s">
        <v>1375</v>
      </c>
      <c r="AW79" s="329" t="s">
        <v>1375</v>
      </c>
      <c r="AX79" s="329" t="s">
        <v>1375</v>
      </c>
      <c r="AY79" s="329" t="s">
        <v>1375</v>
      </c>
      <c r="AZ79" s="329" t="s">
        <v>1375</v>
      </c>
      <c r="BA79" s="329" t="s">
        <v>1375</v>
      </c>
      <c r="BB79" s="329" t="s">
        <v>1375</v>
      </c>
      <c r="BC79" s="329" t="s">
        <v>1375</v>
      </c>
      <c r="BD79" s="329" t="s">
        <v>1375</v>
      </c>
      <c r="BE79" s="329" t="s">
        <v>1375</v>
      </c>
      <c r="BF79" s="329" t="s">
        <v>1375</v>
      </c>
    </row>
    <row r="80" spans="1:58" x14ac:dyDescent="0.5">
      <c r="C80" s="195" t="s">
        <v>1249</v>
      </c>
      <c r="F80" s="268"/>
      <c r="G80" s="251" t="s">
        <v>1178</v>
      </c>
      <c r="H80" s="251" t="s">
        <v>1178</v>
      </c>
      <c r="I80" s="251" t="s">
        <v>1178</v>
      </c>
      <c r="J80" s="251" t="s">
        <v>1178</v>
      </c>
      <c r="K80" s="251" t="s">
        <v>1178</v>
      </c>
      <c r="L80" s="251" t="s">
        <v>1178</v>
      </c>
      <c r="M80" s="251" t="s">
        <v>1178</v>
      </c>
      <c r="N80" s="274" t="s">
        <v>1178</v>
      </c>
      <c r="O80" s="251" t="s">
        <v>1178</v>
      </c>
      <c r="P80" s="251" t="s">
        <v>1178</v>
      </c>
      <c r="Q80" s="251" t="s">
        <v>1178</v>
      </c>
      <c r="R80" s="251" t="s">
        <v>1178</v>
      </c>
      <c r="S80" s="251" t="s">
        <v>1178</v>
      </c>
      <c r="T80" s="251" t="s">
        <v>1178</v>
      </c>
      <c r="U80" s="251" t="s">
        <v>1178</v>
      </c>
      <c r="V80" s="251" t="s">
        <v>1178</v>
      </c>
      <c r="W80" s="128" t="s">
        <v>1178</v>
      </c>
      <c r="X80" s="128" t="s">
        <v>1178</v>
      </c>
      <c r="Y80" s="128" t="s">
        <v>1178</v>
      </c>
      <c r="Z80" s="128" t="s">
        <v>1178</v>
      </c>
      <c r="AA80" s="128" t="s">
        <v>1178</v>
      </c>
      <c r="AB80" s="128" t="s">
        <v>1178</v>
      </c>
      <c r="AC80" s="128" t="s">
        <v>1178</v>
      </c>
      <c r="AD80" s="128" t="s">
        <v>1178</v>
      </c>
      <c r="AE80" s="128" t="s">
        <v>1178</v>
      </c>
      <c r="AF80" s="128" t="s">
        <v>1178</v>
      </c>
      <c r="AG80" s="128" t="s">
        <v>1178</v>
      </c>
      <c r="AH80" s="128" t="s">
        <v>1178</v>
      </c>
      <c r="AI80" s="128" t="s">
        <v>1178</v>
      </c>
      <c r="AJ80" s="128" t="s">
        <v>1178</v>
      </c>
      <c r="AK80" s="128" t="s">
        <v>1178</v>
      </c>
      <c r="AL80" s="128" t="s">
        <v>1178</v>
      </c>
      <c r="AM80" s="330" t="s">
        <v>1178</v>
      </c>
      <c r="AN80" s="330" t="s">
        <v>1178</v>
      </c>
      <c r="AO80" s="330" t="s">
        <v>1178</v>
      </c>
      <c r="AP80" s="330" t="s">
        <v>1178</v>
      </c>
      <c r="AQ80" s="330" t="s">
        <v>1178</v>
      </c>
      <c r="AR80" s="330" t="s">
        <v>1178</v>
      </c>
      <c r="AS80" s="330" t="s">
        <v>1178</v>
      </c>
      <c r="AT80" s="330" t="s">
        <v>1178</v>
      </c>
      <c r="AU80" s="330" t="s">
        <v>1178</v>
      </c>
      <c r="AV80" s="330" t="s">
        <v>1178</v>
      </c>
      <c r="AW80" s="330" t="s">
        <v>1178</v>
      </c>
      <c r="AX80" s="330" t="s">
        <v>1178</v>
      </c>
      <c r="AY80" s="330" t="s">
        <v>1178</v>
      </c>
      <c r="AZ80" s="330" t="s">
        <v>1178</v>
      </c>
      <c r="BA80" s="330" t="s">
        <v>1178</v>
      </c>
      <c r="BB80" s="330" t="s">
        <v>1178</v>
      </c>
      <c r="BC80" s="330" t="s">
        <v>1178</v>
      </c>
      <c r="BD80" s="330" t="s">
        <v>1178</v>
      </c>
      <c r="BE80" s="330" t="s">
        <v>1178</v>
      </c>
      <c r="BF80" s="330" t="s">
        <v>1178</v>
      </c>
    </row>
    <row r="81" spans="3:58" x14ac:dyDescent="0.5">
      <c r="C81" s="195" t="s">
        <v>1250</v>
      </c>
      <c r="F81" s="268"/>
      <c r="G81" s="188" t="s">
        <v>1189</v>
      </c>
      <c r="H81" s="188" t="s">
        <v>1189</v>
      </c>
      <c r="I81" s="188" t="s">
        <v>1189</v>
      </c>
      <c r="J81" s="188" t="s">
        <v>1189</v>
      </c>
      <c r="K81" s="188" t="s">
        <v>1189</v>
      </c>
      <c r="L81" s="188" t="s">
        <v>1189</v>
      </c>
      <c r="M81" s="188" t="s">
        <v>1189</v>
      </c>
      <c r="N81" s="260" t="s">
        <v>1189</v>
      </c>
      <c r="O81" s="188" t="s">
        <v>1189</v>
      </c>
      <c r="P81" s="188" t="s">
        <v>1189</v>
      </c>
      <c r="Q81" s="188" t="s">
        <v>1189</v>
      </c>
      <c r="R81" s="188" t="s">
        <v>1189</v>
      </c>
      <c r="S81" s="188" t="s">
        <v>1189</v>
      </c>
      <c r="T81" s="188" t="s">
        <v>1189</v>
      </c>
      <c r="U81" s="188" t="s">
        <v>1189</v>
      </c>
      <c r="V81" s="188" t="s">
        <v>1189</v>
      </c>
      <c r="W81" s="123" t="s">
        <v>1189</v>
      </c>
      <c r="X81" s="123" t="s">
        <v>1189</v>
      </c>
      <c r="Y81" s="123" t="s">
        <v>1189</v>
      </c>
      <c r="Z81" s="123" t="s">
        <v>1189</v>
      </c>
      <c r="AA81" s="123" t="s">
        <v>1189</v>
      </c>
      <c r="AB81" s="123" t="s">
        <v>1189</v>
      </c>
      <c r="AC81" s="123" t="s">
        <v>1189</v>
      </c>
      <c r="AD81" s="123" t="s">
        <v>1189</v>
      </c>
      <c r="AE81" s="123" t="s">
        <v>1189</v>
      </c>
      <c r="AF81" s="123" t="s">
        <v>1189</v>
      </c>
      <c r="AG81" s="123" t="s">
        <v>1189</v>
      </c>
      <c r="AH81" s="123" t="s">
        <v>1189</v>
      </c>
      <c r="AI81" s="123" t="s">
        <v>1189</v>
      </c>
      <c r="AJ81" s="123" t="s">
        <v>1189</v>
      </c>
      <c r="AK81" s="123" t="s">
        <v>1189</v>
      </c>
      <c r="AL81" s="123" t="s">
        <v>1189</v>
      </c>
      <c r="AM81" s="124" t="s">
        <v>1189</v>
      </c>
      <c r="AN81" s="124" t="s">
        <v>1189</v>
      </c>
      <c r="AO81" s="124" t="s">
        <v>1189</v>
      </c>
      <c r="AP81" s="124" t="s">
        <v>1189</v>
      </c>
      <c r="AQ81" s="124" t="s">
        <v>1189</v>
      </c>
      <c r="AR81" s="124" t="s">
        <v>1189</v>
      </c>
      <c r="AS81" s="124" t="s">
        <v>1189</v>
      </c>
      <c r="AT81" s="124" t="s">
        <v>1189</v>
      </c>
      <c r="AU81" s="124" t="s">
        <v>1189</v>
      </c>
      <c r="AV81" s="124" t="s">
        <v>1189</v>
      </c>
      <c r="AW81" s="124" t="s">
        <v>1189</v>
      </c>
      <c r="AX81" s="124" t="s">
        <v>1189</v>
      </c>
      <c r="AY81" s="124" t="s">
        <v>1189</v>
      </c>
      <c r="AZ81" s="124" t="s">
        <v>1189</v>
      </c>
      <c r="BA81" s="124" t="s">
        <v>1189</v>
      </c>
      <c r="BB81" s="124" t="s">
        <v>1189</v>
      </c>
      <c r="BC81" s="124" t="s">
        <v>1189</v>
      </c>
      <c r="BD81" s="124" t="s">
        <v>1189</v>
      </c>
      <c r="BE81" s="124" t="s">
        <v>1189</v>
      </c>
      <c r="BF81" s="124" t="s">
        <v>1189</v>
      </c>
    </row>
    <row r="82" spans="3:58" x14ac:dyDescent="0.5">
      <c r="C82" s="195" t="s">
        <v>1251</v>
      </c>
      <c r="F82" s="268"/>
      <c r="G82" s="252" t="s">
        <v>1191</v>
      </c>
      <c r="H82" s="252" t="s">
        <v>1191</v>
      </c>
      <c r="I82" s="252" t="s">
        <v>1191</v>
      </c>
      <c r="J82" s="252" t="s">
        <v>1191</v>
      </c>
      <c r="K82" s="252" t="s">
        <v>1191</v>
      </c>
      <c r="L82" s="252" t="s">
        <v>1191</v>
      </c>
      <c r="M82" s="252" t="s">
        <v>1191</v>
      </c>
      <c r="N82" s="275" t="s">
        <v>1191</v>
      </c>
      <c r="O82" s="252" t="s">
        <v>1191</v>
      </c>
      <c r="P82" s="252" t="s">
        <v>1191</v>
      </c>
      <c r="Q82" s="252" t="s">
        <v>1191</v>
      </c>
      <c r="R82" s="252" t="s">
        <v>1191</v>
      </c>
      <c r="S82" s="252" t="s">
        <v>1191</v>
      </c>
      <c r="T82" s="252" t="s">
        <v>1191</v>
      </c>
      <c r="U82" s="252" t="s">
        <v>1191</v>
      </c>
      <c r="V82" s="252" t="s">
        <v>1191</v>
      </c>
      <c r="W82" s="129" t="s">
        <v>1191</v>
      </c>
      <c r="X82" s="129" t="s">
        <v>1191</v>
      </c>
      <c r="Y82" s="129" t="s">
        <v>1191</v>
      </c>
      <c r="Z82" s="129" t="s">
        <v>1191</v>
      </c>
      <c r="AA82" s="129" t="s">
        <v>1191</v>
      </c>
      <c r="AB82" s="129" t="s">
        <v>1191</v>
      </c>
      <c r="AC82" s="129" t="s">
        <v>1191</v>
      </c>
      <c r="AD82" s="129" t="s">
        <v>1191</v>
      </c>
      <c r="AE82" s="129" t="s">
        <v>1191</v>
      </c>
      <c r="AF82" s="129" t="s">
        <v>1191</v>
      </c>
      <c r="AG82" s="129" t="s">
        <v>1191</v>
      </c>
      <c r="AH82" s="129" t="s">
        <v>1191</v>
      </c>
      <c r="AI82" s="129" t="s">
        <v>1191</v>
      </c>
      <c r="AJ82" s="129" t="s">
        <v>1191</v>
      </c>
      <c r="AK82" s="129" t="s">
        <v>1191</v>
      </c>
      <c r="AL82" s="129" t="s">
        <v>1191</v>
      </c>
      <c r="AM82" s="331" t="s">
        <v>1191</v>
      </c>
      <c r="AN82" s="331" t="s">
        <v>1191</v>
      </c>
      <c r="AO82" s="331" t="s">
        <v>1191</v>
      </c>
      <c r="AP82" s="331" t="s">
        <v>1191</v>
      </c>
      <c r="AQ82" s="331" t="s">
        <v>1191</v>
      </c>
      <c r="AR82" s="331" t="s">
        <v>1191</v>
      </c>
      <c r="AS82" s="331" t="s">
        <v>1191</v>
      </c>
      <c r="AT82" s="331" t="s">
        <v>1191</v>
      </c>
      <c r="AU82" s="331" t="s">
        <v>1191</v>
      </c>
      <c r="AV82" s="331" t="s">
        <v>1191</v>
      </c>
      <c r="AW82" s="331" t="s">
        <v>1191</v>
      </c>
      <c r="AX82" s="331" t="s">
        <v>1191</v>
      </c>
      <c r="AY82" s="331" t="s">
        <v>1191</v>
      </c>
      <c r="AZ82" s="331" t="s">
        <v>1191</v>
      </c>
      <c r="BA82" s="331" t="s">
        <v>1191</v>
      </c>
      <c r="BB82" s="331" t="s">
        <v>1191</v>
      </c>
      <c r="BC82" s="331" t="s">
        <v>1191</v>
      </c>
      <c r="BD82" s="331" t="s">
        <v>1191</v>
      </c>
      <c r="BE82" s="331" t="s">
        <v>1191</v>
      </c>
      <c r="BF82" s="331" t="s">
        <v>1191</v>
      </c>
    </row>
    <row r="83" spans="3:58" x14ac:dyDescent="0.5">
      <c r="C83" s="195" t="s">
        <v>1252</v>
      </c>
      <c r="F83" s="268"/>
      <c r="G83" s="188" t="s">
        <v>148</v>
      </c>
      <c r="H83" s="188" t="s">
        <v>148</v>
      </c>
      <c r="I83" s="188" t="s">
        <v>148</v>
      </c>
      <c r="J83" s="188" t="s">
        <v>148</v>
      </c>
      <c r="K83" s="188" t="s">
        <v>148</v>
      </c>
      <c r="L83" s="188" t="s">
        <v>148</v>
      </c>
      <c r="M83" s="188" t="s">
        <v>148</v>
      </c>
      <c r="N83" s="260" t="s">
        <v>148</v>
      </c>
      <c r="O83" s="188" t="s">
        <v>148</v>
      </c>
      <c r="P83" s="188" t="s">
        <v>148</v>
      </c>
      <c r="Q83" s="188" t="s">
        <v>148</v>
      </c>
      <c r="R83" s="188" t="s">
        <v>148</v>
      </c>
      <c r="S83" s="188" t="s">
        <v>148</v>
      </c>
      <c r="T83" s="188" t="s">
        <v>148</v>
      </c>
      <c r="U83" s="188" t="s">
        <v>148</v>
      </c>
      <c r="V83" s="188" t="s">
        <v>148</v>
      </c>
      <c r="W83" s="123" t="s">
        <v>148</v>
      </c>
      <c r="X83" s="123" t="s">
        <v>148</v>
      </c>
      <c r="Y83" s="123" t="s">
        <v>148</v>
      </c>
      <c r="Z83" s="123" t="s">
        <v>148</v>
      </c>
      <c r="AA83" s="123" t="s">
        <v>148</v>
      </c>
      <c r="AB83" s="123" t="s">
        <v>148</v>
      </c>
      <c r="AC83" s="123" t="s">
        <v>148</v>
      </c>
      <c r="AD83" s="123" t="s">
        <v>148</v>
      </c>
      <c r="AE83" s="123" t="s">
        <v>148</v>
      </c>
      <c r="AF83" s="123" t="s">
        <v>148</v>
      </c>
      <c r="AG83" s="123" t="s">
        <v>148</v>
      </c>
      <c r="AH83" s="123" t="s">
        <v>148</v>
      </c>
      <c r="AI83" s="123" t="s">
        <v>148</v>
      </c>
      <c r="AJ83" s="123" t="s">
        <v>148</v>
      </c>
      <c r="AK83" s="123" t="s">
        <v>148</v>
      </c>
      <c r="AL83" s="123" t="s">
        <v>148</v>
      </c>
      <c r="AM83" s="124" t="s">
        <v>148</v>
      </c>
      <c r="AN83" s="124" t="s">
        <v>148</v>
      </c>
      <c r="AO83" s="124" t="s">
        <v>148</v>
      </c>
      <c r="AP83" s="124" t="s">
        <v>148</v>
      </c>
      <c r="AQ83" s="124" t="s">
        <v>148</v>
      </c>
      <c r="AR83" s="124" t="s">
        <v>148</v>
      </c>
      <c r="AS83" s="124" t="s">
        <v>148</v>
      </c>
      <c r="AT83" s="124" t="s">
        <v>148</v>
      </c>
      <c r="AU83" s="124" t="s">
        <v>148</v>
      </c>
      <c r="AV83" s="124" t="s">
        <v>148</v>
      </c>
      <c r="AW83" s="124" t="s">
        <v>148</v>
      </c>
      <c r="AX83" s="124" t="s">
        <v>148</v>
      </c>
      <c r="AY83" s="124" t="s">
        <v>148</v>
      </c>
      <c r="AZ83" s="124" t="s">
        <v>148</v>
      </c>
      <c r="BA83" s="124" t="s">
        <v>148</v>
      </c>
      <c r="BB83" s="124" t="s">
        <v>148</v>
      </c>
      <c r="BC83" s="124" t="s">
        <v>148</v>
      </c>
      <c r="BD83" s="124" t="s">
        <v>148</v>
      </c>
      <c r="BE83" s="124" t="s">
        <v>148</v>
      </c>
      <c r="BF83" s="124" t="s">
        <v>148</v>
      </c>
    </row>
    <row r="84" spans="3:58" x14ac:dyDescent="0.5">
      <c r="C84" s="195" t="s">
        <v>1253</v>
      </c>
      <c r="F84" s="268"/>
      <c r="G84" s="251" t="s">
        <v>1193</v>
      </c>
      <c r="H84" s="251" t="s">
        <v>1193</v>
      </c>
      <c r="I84" s="251" t="s">
        <v>1193</v>
      </c>
      <c r="J84" s="251" t="s">
        <v>1193</v>
      </c>
      <c r="K84" s="251" t="s">
        <v>1193</v>
      </c>
      <c r="L84" s="251" t="s">
        <v>1193</v>
      </c>
      <c r="M84" s="251" t="s">
        <v>1193</v>
      </c>
      <c r="N84" s="274" t="s">
        <v>1193</v>
      </c>
      <c r="O84" s="251" t="s">
        <v>1193</v>
      </c>
      <c r="P84" s="251" t="s">
        <v>1193</v>
      </c>
      <c r="Q84" s="251" t="s">
        <v>1193</v>
      </c>
      <c r="R84" s="251" t="s">
        <v>1193</v>
      </c>
      <c r="S84" s="251" t="s">
        <v>1193</v>
      </c>
      <c r="T84" s="251" t="s">
        <v>1193</v>
      </c>
      <c r="U84" s="251" t="s">
        <v>1193</v>
      </c>
      <c r="V84" s="251" t="s">
        <v>1193</v>
      </c>
      <c r="W84" s="128" t="s">
        <v>1193</v>
      </c>
      <c r="X84" s="128" t="s">
        <v>1193</v>
      </c>
      <c r="Y84" s="128" t="s">
        <v>1193</v>
      </c>
      <c r="Z84" s="128" t="s">
        <v>1193</v>
      </c>
      <c r="AA84" s="128" t="s">
        <v>1193</v>
      </c>
      <c r="AB84" s="128" t="s">
        <v>1193</v>
      </c>
      <c r="AC84" s="128" t="s">
        <v>1193</v>
      </c>
      <c r="AD84" s="128" t="s">
        <v>1193</v>
      </c>
      <c r="AE84" s="128" t="s">
        <v>1193</v>
      </c>
      <c r="AF84" s="128" t="s">
        <v>1193</v>
      </c>
      <c r="AG84" s="128" t="s">
        <v>1193</v>
      </c>
      <c r="AH84" s="128" t="s">
        <v>1193</v>
      </c>
      <c r="AI84" s="128" t="s">
        <v>1193</v>
      </c>
      <c r="AJ84" s="128" t="s">
        <v>1193</v>
      </c>
      <c r="AK84" s="128" t="s">
        <v>1193</v>
      </c>
      <c r="AL84" s="128" t="s">
        <v>1193</v>
      </c>
      <c r="AM84" s="330" t="s">
        <v>1193</v>
      </c>
      <c r="AN84" s="330" t="s">
        <v>1193</v>
      </c>
      <c r="AO84" s="330" t="s">
        <v>1193</v>
      </c>
      <c r="AP84" s="330" t="s">
        <v>1193</v>
      </c>
      <c r="AQ84" s="330" t="s">
        <v>1193</v>
      </c>
      <c r="AR84" s="330" t="s">
        <v>1193</v>
      </c>
      <c r="AS84" s="330" t="s">
        <v>1193</v>
      </c>
      <c r="AT84" s="330" t="s">
        <v>1193</v>
      </c>
      <c r="AU84" s="330" t="s">
        <v>1193</v>
      </c>
      <c r="AV84" s="330" t="s">
        <v>1193</v>
      </c>
      <c r="AW84" s="330" t="s">
        <v>1193</v>
      </c>
      <c r="AX84" s="330" t="s">
        <v>1193</v>
      </c>
      <c r="AY84" s="330" t="s">
        <v>1193</v>
      </c>
      <c r="AZ84" s="330" t="s">
        <v>1193</v>
      </c>
      <c r="BA84" s="330" t="s">
        <v>1193</v>
      </c>
      <c r="BB84" s="330" t="s">
        <v>1193</v>
      </c>
      <c r="BC84" s="330" t="s">
        <v>1193</v>
      </c>
      <c r="BD84" s="330" t="s">
        <v>1193</v>
      </c>
      <c r="BE84" s="330" t="s">
        <v>1193</v>
      </c>
      <c r="BF84" s="330" t="s">
        <v>1193</v>
      </c>
    </row>
    <row r="85" spans="3:58" x14ac:dyDescent="0.5">
      <c r="C85" s="195" t="s">
        <v>1174</v>
      </c>
      <c r="F85" s="268"/>
      <c r="G85" s="251" t="s">
        <v>1192</v>
      </c>
      <c r="H85" s="251" t="s">
        <v>1192</v>
      </c>
      <c r="I85" s="251" t="s">
        <v>1192</v>
      </c>
      <c r="J85" s="251" t="s">
        <v>1192</v>
      </c>
      <c r="K85" s="251" t="s">
        <v>1192</v>
      </c>
      <c r="L85" s="251" t="s">
        <v>1192</v>
      </c>
      <c r="M85" s="251" t="s">
        <v>1192</v>
      </c>
      <c r="N85" s="274" t="s">
        <v>1192</v>
      </c>
      <c r="O85" s="251" t="s">
        <v>1192</v>
      </c>
      <c r="P85" s="251" t="s">
        <v>1192</v>
      </c>
      <c r="Q85" s="251" t="s">
        <v>1192</v>
      </c>
      <c r="R85" s="251" t="s">
        <v>1192</v>
      </c>
      <c r="S85" s="251" t="s">
        <v>1192</v>
      </c>
      <c r="T85" s="251" t="s">
        <v>1192</v>
      </c>
      <c r="U85" s="251" t="s">
        <v>1192</v>
      </c>
      <c r="V85" s="251" t="s">
        <v>1192</v>
      </c>
      <c r="W85" s="128" t="s">
        <v>1192</v>
      </c>
      <c r="X85" s="128" t="s">
        <v>1192</v>
      </c>
      <c r="Y85" s="128" t="s">
        <v>1192</v>
      </c>
      <c r="Z85" s="128" t="s">
        <v>1192</v>
      </c>
      <c r="AA85" s="128" t="s">
        <v>1192</v>
      </c>
      <c r="AB85" s="128" t="s">
        <v>1192</v>
      </c>
      <c r="AC85" s="128" t="s">
        <v>1192</v>
      </c>
      <c r="AD85" s="128" t="s">
        <v>1192</v>
      </c>
      <c r="AE85" s="128" t="s">
        <v>1192</v>
      </c>
      <c r="AF85" s="128" t="s">
        <v>1192</v>
      </c>
      <c r="AG85" s="128" t="s">
        <v>1192</v>
      </c>
      <c r="AH85" s="128" t="s">
        <v>1192</v>
      </c>
      <c r="AI85" s="128" t="s">
        <v>1192</v>
      </c>
      <c r="AJ85" s="128" t="s">
        <v>1192</v>
      </c>
      <c r="AK85" s="128" t="s">
        <v>1192</v>
      </c>
      <c r="AL85" s="128" t="s">
        <v>1192</v>
      </c>
      <c r="AM85" s="330" t="s">
        <v>1192</v>
      </c>
      <c r="AN85" s="330" t="s">
        <v>1192</v>
      </c>
      <c r="AO85" s="330" t="s">
        <v>1192</v>
      </c>
      <c r="AP85" s="330" t="s">
        <v>1192</v>
      </c>
      <c r="AQ85" s="330" t="s">
        <v>1192</v>
      </c>
      <c r="AR85" s="330" t="s">
        <v>1192</v>
      </c>
      <c r="AS85" s="330" t="s">
        <v>1192</v>
      </c>
      <c r="AT85" s="330" t="s">
        <v>1192</v>
      </c>
      <c r="AU85" s="330" t="s">
        <v>1192</v>
      </c>
      <c r="AV85" s="330" t="s">
        <v>1192</v>
      </c>
      <c r="AW85" s="330" t="s">
        <v>1192</v>
      </c>
      <c r="AX85" s="330" t="s">
        <v>1192</v>
      </c>
      <c r="AY85" s="330" t="s">
        <v>1192</v>
      </c>
      <c r="AZ85" s="330" t="s">
        <v>1192</v>
      </c>
      <c r="BA85" s="330" t="s">
        <v>1192</v>
      </c>
      <c r="BB85" s="330" t="s">
        <v>1192</v>
      </c>
      <c r="BC85" s="330" t="s">
        <v>1192</v>
      </c>
      <c r="BD85" s="330" t="s">
        <v>1192</v>
      </c>
      <c r="BE85" s="330" t="s">
        <v>1192</v>
      </c>
      <c r="BF85" s="330" t="s">
        <v>1192</v>
      </c>
    </row>
    <row r="86" spans="3:58" x14ac:dyDescent="0.5">
      <c r="C86" s="195" t="s">
        <v>133</v>
      </c>
      <c r="F86" s="268"/>
      <c r="G86" s="188" t="s">
        <v>118</v>
      </c>
      <c r="H86" s="188" t="s">
        <v>118</v>
      </c>
      <c r="I86" s="188" t="s">
        <v>118</v>
      </c>
      <c r="J86" s="188" t="s">
        <v>118</v>
      </c>
      <c r="K86" s="188" t="s">
        <v>118</v>
      </c>
      <c r="L86" s="188" t="s">
        <v>118</v>
      </c>
      <c r="M86" s="188" t="s">
        <v>118</v>
      </c>
      <c r="N86" s="260" t="s">
        <v>118</v>
      </c>
      <c r="O86" s="188" t="s">
        <v>118</v>
      </c>
      <c r="P86" s="188" t="s">
        <v>118</v>
      </c>
      <c r="Q86" s="188" t="s">
        <v>118</v>
      </c>
      <c r="R86" s="188" t="s">
        <v>118</v>
      </c>
      <c r="S86" s="188" t="s">
        <v>118</v>
      </c>
      <c r="T86" s="188" t="s">
        <v>118</v>
      </c>
      <c r="U86" s="188" t="s">
        <v>118</v>
      </c>
      <c r="V86" s="188" t="s">
        <v>118</v>
      </c>
      <c r="W86" s="123" t="s">
        <v>118</v>
      </c>
      <c r="X86" s="123" t="s">
        <v>118</v>
      </c>
      <c r="Y86" s="123" t="s">
        <v>118</v>
      </c>
      <c r="Z86" s="123" t="s">
        <v>118</v>
      </c>
      <c r="AA86" s="123" t="s">
        <v>118</v>
      </c>
      <c r="AB86" s="123" t="s">
        <v>118</v>
      </c>
      <c r="AC86" s="123" t="s">
        <v>118</v>
      </c>
      <c r="AD86" s="123" t="s">
        <v>118</v>
      </c>
      <c r="AE86" s="123" t="s">
        <v>118</v>
      </c>
      <c r="AF86" s="123" t="s">
        <v>118</v>
      </c>
      <c r="AG86" s="123" t="s">
        <v>118</v>
      </c>
      <c r="AH86" s="123" t="s">
        <v>118</v>
      </c>
      <c r="AI86" s="123" t="s">
        <v>118</v>
      </c>
      <c r="AJ86" s="123" t="s">
        <v>118</v>
      </c>
      <c r="AK86" s="123" t="s">
        <v>118</v>
      </c>
      <c r="AL86" s="123" t="s">
        <v>118</v>
      </c>
      <c r="AM86" s="124" t="s">
        <v>118</v>
      </c>
      <c r="AN86" s="124" t="s">
        <v>118</v>
      </c>
      <c r="AO86" s="124" t="s">
        <v>118</v>
      </c>
      <c r="AP86" s="124" t="s">
        <v>118</v>
      </c>
      <c r="AQ86" s="124" t="s">
        <v>118</v>
      </c>
      <c r="AR86" s="124" t="s">
        <v>118</v>
      </c>
      <c r="AS86" s="124" t="s">
        <v>118</v>
      </c>
      <c r="AT86" s="124" t="s">
        <v>118</v>
      </c>
      <c r="AU86" s="124" t="s">
        <v>118</v>
      </c>
      <c r="AV86" s="124" t="s">
        <v>118</v>
      </c>
      <c r="AW86" s="124" t="s">
        <v>118</v>
      </c>
      <c r="AX86" s="124" t="s">
        <v>118</v>
      </c>
      <c r="AY86" s="124" t="s">
        <v>118</v>
      </c>
      <c r="AZ86" s="124" t="s">
        <v>118</v>
      </c>
      <c r="BA86" s="124" t="s">
        <v>118</v>
      </c>
      <c r="BB86" s="124" t="s">
        <v>118</v>
      </c>
      <c r="BC86" s="124" t="s">
        <v>118</v>
      </c>
      <c r="BD86" s="124" t="s">
        <v>118</v>
      </c>
      <c r="BE86" s="124" t="s">
        <v>118</v>
      </c>
      <c r="BF86" s="124" t="s">
        <v>118</v>
      </c>
    </row>
    <row r="87" spans="3:58" x14ac:dyDescent="0.5">
      <c r="C87" s="195" t="s">
        <v>1254</v>
      </c>
      <c r="F87" s="268"/>
      <c r="G87" s="188" t="s">
        <v>1177</v>
      </c>
      <c r="H87" s="188" t="s">
        <v>1177</v>
      </c>
      <c r="I87" s="188" t="s">
        <v>1177</v>
      </c>
      <c r="J87" s="188" t="s">
        <v>1177</v>
      </c>
      <c r="K87" s="188" t="s">
        <v>1177</v>
      </c>
      <c r="L87" s="188" t="s">
        <v>1177</v>
      </c>
      <c r="M87" s="188" t="s">
        <v>1177</v>
      </c>
      <c r="N87" s="260" t="s">
        <v>1177</v>
      </c>
      <c r="O87" s="188" t="s">
        <v>1177</v>
      </c>
      <c r="P87" s="188" t="s">
        <v>1177</v>
      </c>
      <c r="Q87" s="188" t="s">
        <v>1177</v>
      </c>
      <c r="R87" s="188" t="s">
        <v>1177</v>
      </c>
      <c r="S87" s="188" t="s">
        <v>1177</v>
      </c>
      <c r="T87" s="188" t="s">
        <v>1177</v>
      </c>
      <c r="U87" s="188" t="s">
        <v>1177</v>
      </c>
      <c r="V87" s="188" t="s">
        <v>1177</v>
      </c>
      <c r="W87" s="123" t="s">
        <v>1177</v>
      </c>
      <c r="X87" s="123" t="s">
        <v>1177</v>
      </c>
      <c r="Y87" s="123" t="s">
        <v>1177</v>
      </c>
      <c r="Z87" s="123" t="s">
        <v>1177</v>
      </c>
      <c r="AA87" s="123" t="s">
        <v>1177</v>
      </c>
      <c r="AB87" s="123" t="s">
        <v>1177</v>
      </c>
      <c r="AC87" s="123" t="s">
        <v>1177</v>
      </c>
      <c r="AD87" s="123" t="s">
        <v>1177</v>
      </c>
      <c r="AE87" s="123" t="s">
        <v>1177</v>
      </c>
      <c r="AF87" s="123" t="s">
        <v>1177</v>
      </c>
      <c r="AG87" s="123" t="s">
        <v>1177</v>
      </c>
      <c r="AH87" s="123" t="s">
        <v>1177</v>
      </c>
      <c r="AI87" s="123" t="s">
        <v>1177</v>
      </c>
      <c r="AJ87" s="123" t="s">
        <v>1177</v>
      </c>
      <c r="AK87" s="123" t="s">
        <v>1177</v>
      </c>
      <c r="AL87" s="123" t="s">
        <v>1177</v>
      </c>
      <c r="AM87" s="124" t="s">
        <v>1177</v>
      </c>
      <c r="AN87" s="124" t="s">
        <v>1177</v>
      </c>
      <c r="AO87" s="124" t="s">
        <v>1177</v>
      </c>
      <c r="AP87" s="124" t="s">
        <v>1177</v>
      </c>
      <c r="AQ87" s="124" t="s">
        <v>1177</v>
      </c>
      <c r="AR87" s="124" t="s">
        <v>1177</v>
      </c>
      <c r="AS87" s="124" t="s">
        <v>1177</v>
      </c>
      <c r="AT87" s="124" t="s">
        <v>1177</v>
      </c>
      <c r="AU87" s="124" t="s">
        <v>1177</v>
      </c>
      <c r="AV87" s="124" t="s">
        <v>1177</v>
      </c>
      <c r="AW87" s="124" t="s">
        <v>1177</v>
      </c>
      <c r="AX87" s="124" t="s">
        <v>1177</v>
      </c>
      <c r="AY87" s="124" t="s">
        <v>1177</v>
      </c>
      <c r="AZ87" s="124" t="s">
        <v>1177</v>
      </c>
      <c r="BA87" s="124" t="s">
        <v>1177</v>
      </c>
      <c r="BB87" s="124" t="s">
        <v>1177</v>
      </c>
      <c r="BC87" s="124" t="s">
        <v>1177</v>
      </c>
      <c r="BD87" s="124" t="s">
        <v>1177</v>
      </c>
      <c r="BE87" s="124" t="s">
        <v>1177</v>
      </c>
      <c r="BF87" s="124" t="s">
        <v>1177</v>
      </c>
    </row>
    <row r="88" spans="3:58" x14ac:dyDescent="0.5">
      <c r="C88" s="195" t="s">
        <v>1162</v>
      </c>
      <c r="F88" s="268"/>
      <c r="G88" s="188" t="s">
        <v>1194</v>
      </c>
      <c r="H88" s="188" t="s">
        <v>1194</v>
      </c>
      <c r="I88" s="188" t="s">
        <v>1194</v>
      </c>
      <c r="J88" s="188" t="s">
        <v>1194</v>
      </c>
      <c r="K88" s="188" t="s">
        <v>1194</v>
      </c>
      <c r="L88" s="188" t="s">
        <v>1194</v>
      </c>
      <c r="M88" s="188" t="s">
        <v>1194</v>
      </c>
      <c r="N88" s="260" t="s">
        <v>1194</v>
      </c>
      <c r="O88" s="188" t="s">
        <v>1194</v>
      </c>
      <c r="P88" s="188" t="s">
        <v>1194</v>
      </c>
      <c r="Q88" s="188" t="s">
        <v>1194</v>
      </c>
      <c r="R88" s="188" t="s">
        <v>1194</v>
      </c>
      <c r="S88" s="188" t="s">
        <v>1194</v>
      </c>
      <c r="T88" s="188" t="s">
        <v>1194</v>
      </c>
      <c r="U88" s="188" t="s">
        <v>1194</v>
      </c>
      <c r="V88" s="188" t="s">
        <v>1194</v>
      </c>
      <c r="W88" s="123" t="s">
        <v>1194</v>
      </c>
      <c r="X88" s="123" t="s">
        <v>1194</v>
      </c>
      <c r="Y88" s="123" t="s">
        <v>1194</v>
      </c>
      <c r="Z88" s="123" t="s">
        <v>1194</v>
      </c>
      <c r="AA88" s="123" t="s">
        <v>1194</v>
      </c>
      <c r="AB88" s="123" t="s">
        <v>1194</v>
      </c>
      <c r="AC88" s="123" t="s">
        <v>1194</v>
      </c>
      <c r="AD88" s="123" t="s">
        <v>1194</v>
      </c>
      <c r="AE88" s="123" t="s">
        <v>1194</v>
      </c>
      <c r="AF88" s="123" t="s">
        <v>1194</v>
      </c>
      <c r="AG88" s="123" t="s">
        <v>1194</v>
      </c>
      <c r="AH88" s="123" t="s">
        <v>1194</v>
      </c>
      <c r="AI88" s="123" t="s">
        <v>1194</v>
      </c>
      <c r="AJ88" s="123" t="s">
        <v>1194</v>
      </c>
      <c r="AK88" s="123" t="s">
        <v>1194</v>
      </c>
      <c r="AL88" s="123" t="s">
        <v>1194</v>
      </c>
      <c r="AM88" s="124" t="s">
        <v>1194</v>
      </c>
      <c r="AN88" s="124" t="s">
        <v>1194</v>
      </c>
      <c r="AO88" s="124" t="s">
        <v>1194</v>
      </c>
      <c r="AP88" s="124" t="s">
        <v>1194</v>
      </c>
      <c r="AQ88" s="124" t="s">
        <v>1194</v>
      </c>
      <c r="AR88" s="124" t="s">
        <v>1194</v>
      </c>
      <c r="AS88" s="124" t="s">
        <v>1194</v>
      </c>
      <c r="AT88" s="124" t="s">
        <v>1194</v>
      </c>
      <c r="AU88" s="124" t="s">
        <v>1194</v>
      </c>
      <c r="AV88" s="124" t="s">
        <v>1194</v>
      </c>
      <c r="AW88" s="124" t="s">
        <v>1194</v>
      </c>
      <c r="AX88" s="124" t="s">
        <v>1194</v>
      </c>
      <c r="AY88" s="124" t="s">
        <v>1194</v>
      </c>
      <c r="AZ88" s="124" t="s">
        <v>1194</v>
      </c>
      <c r="BA88" s="124" t="s">
        <v>1194</v>
      </c>
      <c r="BB88" s="124" t="s">
        <v>1194</v>
      </c>
      <c r="BC88" s="124" t="s">
        <v>1194</v>
      </c>
      <c r="BD88" s="124" t="s">
        <v>1194</v>
      </c>
      <c r="BE88" s="124" t="s">
        <v>1194</v>
      </c>
      <c r="BF88" s="124" t="s">
        <v>1194</v>
      </c>
    </row>
    <row r="89" spans="3:58" x14ac:dyDescent="0.5">
      <c r="O89" s="276"/>
      <c r="P89" s="276"/>
      <c r="Q89" s="276"/>
      <c r="R89" s="276"/>
      <c r="S89" s="276"/>
      <c r="T89" s="276"/>
      <c r="U89" s="276"/>
      <c r="V89" s="276"/>
    </row>
  </sheetData>
  <phoneticPr fontId="8" type="noConversion"/>
  <conditionalFormatting sqref="G5:H7 I6:BF7">
    <cfRule type="containsText" dxfId="3" priority="3" operator="containsText" text="Pass">
      <formula>NOT(ISERROR(SEARCH("Pass",G5)))</formula>
    </cfRule>
    <cfRule type="containsText" dxfId="2" priority="4" operator="containsText" text="Fail">
      <formula>NOT(ISERROR(SEARCH("Fail",G5)))</formula>
    </cfRule>
  </conditionalFormatting>
  <conditionalFormatting sqref="I5:BF5">
    <cfRule type="containsText" dxfId="1" priority="1" operator="containsText" text="Pass">
      <formula>NOT(ISERROR(SEARCH("Pass",I5)))</formula>
    </cfRule>
    <cfRule type="containsText" dxfId="0" priority="2" operator="containsText" text="Fail">
      <formula>NOT(ISERROR(SEARCH("Fail",I5)))</formula>
    </cfRule>
  </conditionalFormatting>
  <dataValidations count="1">
    <dataValidation type="list" allowBlank="1" showInputMessage="1" showErrorMessage="1" sqref="G3:BF4" xr:uid="{00000000-0002-0000-0700-000000000000}">
      <formula1>INDIRECT($E3)</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1156</v>
      </c>
    </row>
    <row r="2" spans="1:1" x14ac:dyDescent="0.35">
      <c r="A2" t="s">
        <v>1157</v>
      </c>
    </row>
    <row r="3" spans="1:1" x14ac:dyDescent="0.35">
      <c r="A3" t="s">
        <v>1158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743FFB8B907874D9F5840B21C600F83" ma:contentTypeVersion="18" ma:contentTypeDescription="Create a new document." ma:contentTypeScope="" ma:versionID="a57c0db56ffb2ad75d7fb76fc51fa5b3">
  <xsd:schema xmlns:xsd="http://www.w3.org/2001/XMLSchema" xmlns:xs="http://www.w3.org/2001/XMLSchema" xmlns:p="http://schemas.microsoft.com/office/2006/metadata/properties" xmlns:ns2="5626c5f0-6c01-4d73-b2c1-b807eaec218f" xmlns:ns3="04b42f9d-6b7e-49a3-becf-395c8356da91" targetNamespace="http://schemas.microsoft.com/office/2006/metadata/properties" ma:root="true" ma:fieldsID="85416de3caf0d6303eafb3aa53a277fd" ns2:_="" ns3:_="">
    <xsd:import namespace="5626c5f0-6c01-4d73-b2c1-b807eaec218f"/>
    <xsd:import namespace="04b42f9d-6b7e-49a3-becf-395c8356da9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_Flow_SignoffStatus" minOccurs="0"/>
                <xsd:element ref="ns2:MediaServiceObjectDetectorVersions" minOccurs="0"/>
                <xsd:element ref="ns2:MediaServiceSearchProperties" minOccurs="0"/>
                <xsd:element ref="ns2:Statu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26c5f0-6c01-4d73-b2c1-b807eaec21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fbae590-2f25-4493-9578-3d9d13a641c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Status" ma:index="24" nillable="true" ma:displayName="Status" ma:internalName="Status">
      <xsd:simpleType>
        <xsd:restriction base="dms:Text">
          <xsd:maxLength value="255"/>
        </xsd:restriction>
      </xsd:simpleType>
    </xsd:element>
    <xsd:element name="Notes" ma:index="25"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4b42f9d-6b7e-49a3-becf-395c8356da9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c19651b-9e82-4310-b35a-49d7ff33657a}" ma:internalName="TaxCatchAll" ma:showField="CatchAllData" ma:web="04b42f9d-6b7e-49a3-becf-395c8356da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626c5f0-6c01-4d73-b2c1-b807eaec218f">
      <Terms xmlns="http://schemas.microsoft.com/office/infopath/2007/PartnerControls"/>
    </lcf76f155ced4ddcb4097134ff3c332f>
    <Notes xmlns="5626c5f0-6c01-4d73-b2c1-b807eaec218f" xsi:nil="true"/>
    <TaxCatchAll xmlns="04b42f9d-6b7e-49a3-becf-395c8356da91" xsi:nil="true"/>
    <Status xmlns="5626c5f0-6c01-4d73-b2c1-b807eaec218f" xsi:nil="true"/>
    <_Flow_SignoffStatus xmlns="5626c5f0-6c01-4d73-b2c1-b807eaec218f" xsi:nil="true"/>
  </documentManagement>
</p:properties>
</file>

<file path=customXml/itemProps1.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2.xml><?xml version="1.0" encoding="utf-8"?>
<ds:datastoreItem xmlns:ds="http://schemas.openxmlformats.org/officeDocument/2006/customXml" ds:itemID="{E6379E64-50EB-4949-8A14-2DD2CCB5B6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26c5f0-6c01-4d73-b2c1-b807eaec218f"/>
    <ds:schemaRef ds:uri="04b42f9d-6b7e-49a3-becf-395c8356da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 ds:uri="5626c5f0-6c01-4d73-b2c1-b807eaec218f"/>
    <ds:schemaRef ds:uri="04b42f9d-6b7e-49a3-becf-395c8356da9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185</vt:i4>
      </vt:variant>
    </vt:vector>
  </HeadingPairs>
  <TitlesOfParts>
    <vt:vector size="194" baseType="lpstr">
      <vt:lpstr>Information</vt:lpstr>
      <vt:lpstr>Defects</vt:lpstr>
      <vt:lpstr>Automation_Lookups</vt:lpstr>
      <vt:lpstr>RC. No</vt:lpstr>
      <vt:lpstr>Code_Ranjeeta</vt:lpstr>
      <vt:lpstr>Code_11122019_1000</vt:lpstr>
      <vt:lpstr>Names</vt:lpstr>
      <vt:lpstr>Test_Data</vt:lpstr>
      <vt:lpstr>Sheet1</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Automation_Lookups!ChangeMyGovernmentIDs_NationalIDs_AddEditID22</vt:lpstr>
      <vt:lpstr>ChangeMyGovernmentIDs_NationalIDs_Country1</vt:lpstr>
      <vt:lpstr>ChangeMyGovernmentIDs_NationalIDs_Country12</vt:lpstr>
      <vt:lpstr>ChangeMyGovernmentIDs_NationalIDs_NationalIDType1</vt:lpstr>
      <vt:lpstr>Test_Data!ChangeMyGovernmentIDs_NationalIDs_NationalIDType12</vt:lpstr>
      <vt:lpstr>ChangeMyGovernmentIDs_NationalIDs_NationalIDType12</vt:lpstr>
      <vt:lpstr>ChangeMyGovernmentIDs_NationalIDs_NationalIDType2</vt:lpstr>
      <vt:lpstr>ChangeMyGovernmentIDs_NationalIDs_NationalIDType22</vt:lpstr>
      <vt:lpstr>ChangeMyPersonalInformation_CitizenshipStatus</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ChangeMyPersonalInformation_MaritalStatusDate</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ContactInformation_Address_County</vt:lpstr>
      <vt:lpstr>ContactInformation_Address_District</vt:lpstr>
      <vt:lpstr>ContactInformation_Address_EffectiveDate</vt:lpstr>
      <vt:lpstr>ContactInformation_Address_EffectiveDate2</vt:lpstr>
      <vt:lpstr>ContactInformation_Address_Municipality</vt:lpstr>
      <vt:lpstr>ContactInformation_Address_PostalCode</vt:lpstr>
      <vt:lpstr>ContactInformation_Address_PostalCode2</vt:lpstr>
      <vt:lpstr>ContactInformation_Address_Province</vt:lpstr>
      <vt:lpstr>ContactInformation_Address_Province2</vt:lpstr>
      <vt:lpstr>ContactInformation_Address_State</vt:lpstr>
      <vt:lpstr>ContactInformation_Address_StreetName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ContactInformation_Address_Voivodeship_Province</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Execution_Flag</vt:lpstr>
      <vt:lpstr>Execution_Status</vt:lpstr>
      <vt:lpstr>Test_Data!ExecutionFlag</vt:lpstr>
      <vt:lpstr>ExecutionFlag</vt:lpstr>
      <vt:lpstr>ExecutionFlag2</vt:lpstr>
      <vt:lpstr>Field</vt:lpstr>
      <vt:lpstr>HealthCareProvider_MealVoucher2</vt:lpstr>
      <vt:lpstr>HireNameComplete</vt:lpstr>
      <vt:lpstr>JobDetails_AdditionalInformation_AdditionalJobClassifications</vt:lpstr>
      <vt:lpstr>JobDetails_AdditionalInformation_AdditionalJobClassifications2</vt:lpstr>
      <vt:lpstr>JobDetails_AdditionalInformation_Comments</vt:lpstr>
      <vt:lpstr>JobDetails_AdditionalInformation_Comments2</vt:lpstr>
      <vt:lpstr>JobDetails_AdditionalInformation_EndEmploymentDate</vt:lpstr>
      <vt:lpstr>Test_Data!JobDetails_AdditionalInformation_EndEmploymentDate2</vt:lpstr>
      <vt:lpstr>JobDetails_AdditionalInformation_EndEmploymentDate2</vt:lpstr>
      <vt:lpstr>JobDetails_AdditionalInformation_ScheduledWeeklyHours</vt:lpstr>
      <vt:lpstr>JobDetails_AdditionalInformation_ScheduledWeeklyHours2</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JobDetails_ScheduledWeeklyHours</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LegalNameInformation_Prefix</vt:lpstr>
      <vt:lpstr>MaintainEmployeeContract_ContractEndDate</vt:lpstr>
      <vt:lpstr>MaintainEmployeeContract_ContractEndDate2</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Order_Buyer</vt:lpstr>
      <vt:lpstr>Order_Vendor</vt:lpstr>
      <vt:lpstr>PaymentElectionOption_AccountNumber</vt:lpstr>
      <vt:lpstr>PaymentElectionOption_AccountType</vt:lpstr>
      <vt:lpstr>PaymentElectionOption_BankIdentificationCode</vt:lpstr>
      <vt:lpstr>PaymentElectionOption_BankName</vt:lpstr>
      <vt:lpstr>PaymentElectionOption_IBAN</vt:lpstr>
      <vt:lpstr>Please_select_a_Spanish_Pay_Group</vt:lpstr>
      <vt:lpstr>PO_No</vt:lpstr>
      <vt:lpstr>Poland</vt:lpstr>
      <vt:lpstr>Test_Data!Process</vt:lpstr>
      <vt:lpstr>Process</vt:lpstr>
      <vt:lpstr>Process2</vt:lpstr>
      <vt:lpstr>ProposeCompensationHire_GradeProfile</vt:lpstr>
      <vt:lpstr>ProposeCompensationHire_GradeProfile2</vt:lpstr>
      <vt:lpstr>ProposeCompensationHire_Salary</vt:lpstr>
      <vt:lpstr>ProposeCompensationHire_Salary2</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Test_1</vt:lpstr>
      <vt:lpstr>Test_2</vt:lpstr>
      <vt:lpstr>Test_ID</vt:lpstr>
      <vt:lpstr>Version_Number</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Gayatri Pasalkar</cp:lastModifiedBy>
  <cp:revision/>
  <dcterms:created xsi:type="dcterms:W3CDTF">2018-11-23T13:00:49Z</dcterms:created>
  <dcterms:modified xsi:type="dcterms:W3CDTF">2025-03-05T05:40:23Z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0x010100D743FFB8B907874D9F5840B21C600F83</vt:lpwstr>
  </property>
</Properties>
</file>