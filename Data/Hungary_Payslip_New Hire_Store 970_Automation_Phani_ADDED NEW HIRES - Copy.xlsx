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647414A8-3C32-4A3F-BD65-A3779ECC54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" i="1" l="1"/>
  <c r="AW6" i="1"/>
  <c r="AU6" i="1"/>
  <c r="AK6" i="1"/>
  <c r="AJ6" i="1"/>
  <c r="AY6" i="1" s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<sst xmlns="http://schemas.openxmlformats.org/spreadsheetml/2006/main" count="508" uniqueCount="183">
  <si>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</si>
  <si>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</si>
  <si>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</si>
  <si>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</si>
  <si>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</si>
  <si>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</si>
  <si>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</si>
  <si>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</si>
  <si>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</si>
  <si>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</si>
  <si>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</si>
  <si>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</si>
  <si>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</si>
  <si>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</si>
  <si>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</si>
  <si>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</si>
  <si>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</si>
  <si>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</si>
  <si>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</si>
  <si>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</si>
  <si>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</si>
  <si>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</si>
  <si>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</si>
  <si>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</si>
  <si>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</si>
  <si>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</si>
  <si>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</si>
  <si>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</si>
  <si>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</si>
  <si>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</si>
  <si>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</si>
  <si>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</si>
  <si>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</si>
  <si>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</si>
  <si>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</si>
  <si>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</si>
  <si>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</si>
  <si>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</si>
  <si>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</si>
  <si>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</si>
  <si>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</si>
  <si>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</si>
  <si>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</si>
  <si>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</si>
  <si>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</si>
  <si>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</si>
  <si>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</si>
  <si>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</si>
  <si>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</si>
  <si>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</si>
  <si>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</si>
  <si>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</si>
  <si>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</si>
  <si>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</si>
  <si>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</si>
  <si>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</si>
  <si>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</si>
  <si>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</si>
  <si>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</si>
  <si>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</si>
  <si>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</si>
  <si>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</si>
  <si>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</si>
  <si>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</si>
  <si>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</si>
  <si>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</si>
  <si>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</si>
  <si>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</si>
  <si>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</si>
  <si>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</si>
  <si>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</si>
  <si>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</si>
  <si>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</si>
  <si>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</si>
  <si>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</si>
  <si>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</si>
  <si>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</si>
  <si>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</si>
  <si>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</si>
  <si>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</si>
  <si>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</si>
  <si>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</si>
  <si>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</si>
  <si>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</si>
  <si>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</si>
  <si>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</si>
  <si>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</si>
  <si>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</si>
  <si>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</si>
  <si>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</si>
  <si>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</si>
  <si>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</si>
  <si>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</si>
  <si>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</si>
  <si>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TC020</t>
  </si>
  <si>
    <t>Test failed for 'PayslipRerunRun HUEToE' Employee:{undefined}Error: locator.count: Execution context was destroyed, most likely because of a navigation</t>
  </si>
  <si>
    <t>Failed</t>
  </si>
  <si>
    <t>970 Recruitment (Hungary PCManager (10698631))</t>
  </si>
  <si>
    <t>Hungary</t>
  </si>
  <si>
    <t>PayslipRerunRunNew</t>
  </si>
  <si>
    <t>HUEToE</t>
  </si>
  <si>
    <t>(061)2123123</t>
  </si>
  <si>
    <t>Mobile</t>
  </si>
  <si>
    <t>Home</t>
  </si>
  <si>
    <t>Automation Street Name</t>
  </si>
  <si>
    <t>B</t>
  </si>
  <si>
    <t>Csabai Kapu</t>
  </si>
  <si>
    <t>F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</si>
  <si>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</si>
  <si>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</si>
  <si>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</si>
  <si>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</si>
  <si>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</si>
  <si>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</si>
  <si>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</si>
  <si>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</si>
  <si>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</si>
  <si>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</si>
  <si>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</si>
  <si>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</si>
  <si>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</si>
  <si>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</si>
  <si>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05 Children’s Wear</t>
  </si>
  <si>
    <t>HU Monthly</t>
  </si>
  <si>
    <t>Yes</t>
  </si>
  <si>
    <t>No</t>
  </si>
  <si>
    <t xml:space="preserve">Defaulted
</t>
  </si>
  <si>
    <t>Active</t>
  </si>
  <si>
    <t>Social Security (TAJ) Number</t>
  </si>
  <si>
    <t>Tax ID Number</t>
  </si>
  <si>
    <t>9716017558</t>
  </si>
  <si>
    <t>Defaulted</t>
  </si>
  <si>
    <t>Female</t>
  </si>
  <si>
    <t>Single</t>
  </si>
  <si>
    <t>Citizen (Hungary)</t>
  </si>
  <si>
    <t>ALLAMADOSSA KEZELO KOZPONT RT.</t>
  </si>
  <si>
    <t>AKKHHUHB</t>
  </si>
  <si>
    <t>Checking</t>
  </si>
  <si>
    <t>0000000098624423</t>
  </si>
  <si>
    <t>HU93116000060000000012345676</t>
  </si>
  <si>
    <t xml:space="preserve">Payroll Bank Account </t>
  </si>
  <si>
    <t>Hungarian National Bank</t>
  </si>
  <si>
    <t>GHUNHUHAXXX</t>
  </si>
  <si>
    <t>9999999999999999</t>
  </si>
  <si>
    <t>SZEP Bank Account</t>
  </si>
  <si>
    <t>SZEP card</t>
  </si>
  <si>
    <t>Maiden</t>
  </si>
  <si>
    <t>Mother's Maiden Name</t>
  </si>
  <si>
    <t>AutoMaiden</t>
  </si>
  <si>
    <t>MaidenMothers</t>
  </si>
  <si>
    <t>Child</t>
  </si>
  <si>
    <t>ChildOne</t>
  </si>
  <si>
    <t>Mammy</t>
  </si>
  <si>
    <t>TC021</t>
  </si>
  <si>
    <t>10699301</t>
  </si>
  <si>
    <t>Passed</t>
  </si>
  <si>
    <t>PayslipUUU</t>
  </si>
  <si>
    <t>A</t>
  </si>
  <si>
    <t>N</t>
  </si>
  <si>
    <t>02 Hosiery</t>
  </si>
  <si>
    <t>01/01/2000</t>
  </si>
  <si>
    <t>01/01/2040</t>
  </si>
  <si>
    <t>9716017553</t>
  </si>
  <si>
    <t>MaidenAuto</t>
  </si>
  <si>
    <t>TC022</t>
  </si>
  <si>
    <t>10699304</t>
  </si>
  <si>
    <t>PayslipVVV</t>
  </si>
  <si>
    <t>REGULAR - Regular Shift Pattern (Hungary Regular &amp; Irregular Shift Pattern-Hungary)</t>
  </si>
  <si>
    <t>01 Accessories</t>
  </si>
  <si>
    <t>9716017555</t>
  </si>
  <si>
    <t>TC023</t>
  </si>
  <si>
    <t>Full Time</t>
  </si>
  <si>
    <t>Male</t>
  </si>
  <si>
    <t>TC024</t>
  </si>
  <si>
    <t>Fixed Term (Fixed Term)</t>
  </si>
  <si>
    <t>PayslipWW</t>
  </si>
  <si>
    <t>04 Lingerie</t>
  </si>
  <si>
    <t>085812626</t>
  </si>
  <si>
    <t>8428547421</t>
  </si>
  <si>
    <t>PayslipXX</t>
  </si>
  <si>
    <t>11 Household</t>
  </si>
  <si>
    <t>085812633</t>
  </si>
  <si>
    <t>8428547422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</si>
</sst>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"/>
  <sheetViews>
    <sheetView tabSelected="1" topLeftCell="AL1" zoomScale="55" zoomScaleNormal="55" workbookViewId="0">
      <selection activeCell="AW20" sqref="AW20"/>
    </sheetView>
  </sheetViews>
  <sheetFormatPr defaultColWidth="8.7265625" defaultRowHeight="14.5" customHeight="1" x14ac:dyDescent="0.35"/>
  <cols>
    <col min="1" max="2" width="10.9062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2" customFormat="1" ht="14.5" customHeigh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 t="s">
        <v>95</v>
      </c>
      <c r="C2" s="37" t="s">
        <v>96</v>
      </c>
      <c r="D2" s="37" t="s">
        <v>97</v>
      </c>
      <c r="E2" s="37" t="s">
        <v>98</v>
      </c>
      <c r="F2" s="38" t="s">
        <v>99</v>
      </c>
      <c r="G2" s="38" t="s">
        <v>100</v>
      </c>
      <c r="H2" s="39" t="s">
        <v>101</v>
      </c>
      <c r="I2" s="39" t="s">
        <v>102</v>
      </c>
      <c r="J2" s="39" t="s">
        <v>103</v>
      </c>
      <c r="K2" s="40">
        <f t="shared" ref="K2:K6" si="0">Y2</f>
        <v>45292</v>
      </c>
      <c r="L2" s="37" t="s">
        <v>98</v>
      </c>
      <c r="M2" s="39" t="s">
        <v>104</v>
      </c>
      <c r="N2" s="39" t="s">
        <v>105</v>
      </c>
      <c r="O2" s="39" t="s">
        <v>106</v>
      </c>
      <c r="P2" s="37" t="s">
        <v>107</v>
      </c>
      <c r="Q2" s="39" t="s">
        <v>108</v>
      </c>
      <c r="R2" s="39" t="s">
        <v>109</v>
      </c>
      <c r="S2" s="41" t="s">
        <v>110</v>
      </c>
      <c r="T2" s="41" t="s">
        <v>110</v>
      </c>
      <c r="U2" s="39" t="s">
        <v>103</v>
      </c>
      <c r="V2" s="40" t="s">
        <v>111</v>
      </c>
      <c r="W2" s="42" t="s">
        <v>112</v>
      </c>
      <c r="X2" s="39" t="s">
        <v>103</v>
      </c>
      <c r="Y2" s="40">
        <v>45292</v>
      </c>
      <c r="Z2" s="39" t="s">
        <v>113</v>
      </c>
      <c r="AA2" s="40" t="s">
        <v>114</v>
      </c>
      <c r="AB2" s="37" t="s">
        <v>115</v>
      </c>
      <c r="AC2" s="37" t="s">
        <v>116</v>
      </c>
      <c r="AD2" s="37" t="s">
        <v>117</v>
      </c>
      <c r="AE2" s="37">
        <v>970</v>
      </c>
      <c r="AF2" s="37" t="s">
        <v>57</v>
      </c>
      <c r="AG2" s="37">
        <v>15</v>
      </c>
      <c r="AH2" s="37" t="s">
        <v>118</v>
      </c>
      <c r="AI2" s="37" t="s">
        <v>119</v>
      </c>
      <c r="AJ2" s="40" t="s">
        <v>114</v>
      </c>
      <c r="AK2" s="40">
        <f t="shared" ref="AK2:AK6" si="1">Y2+90</f>
        <v>45382</v>
      </c>
      <c r="AL2" s="39" t="s">
        <v>120</v>
      </c>
      <c r="AM2" s="37" t="s">
        <v>121</v>
      </c>
      <c r="AN2" s="37" t="s">
        <v>122</v>
      </c>
      <c r="AO2" s="39" t="s">
        <v>123</v>
      </c>
      <c r="AP2" s="37" t="s">
        <v>124</v>
      </c>
      <c r="AQ2" s="39" t="s">
        <v>125</v>
      </c>
      <c r="AR2" s="37" t="s">
        <v>125</v>
      </c>
      <c r="AS2" s="40" t="s">
        <v>114</v>
      </c>
      <c r="AT2" s="39" t="s">
        <v>126</v>
      </c>
      <c r="AU2" s="37" t="str">
        <f t="shared" ref="AU2:AU6" si="2">AB2</f>
        <v>Permanent</v>
      </c>
      <c r="AV2" s="40" t="s">
        <v>127</v>
      </c>
      <c r="AW2" s="40">
        <f t="shared" ref="AW2:AW6" si="3">Y2-1</f>
        <v>45291</v>
      </c>
      <c r="AX2" s="40">
        <f t="shared" ref="AX2:AX6" si="4">Y2-1</f>
        <v>45291</v>
      </c>
      <c r="AY2" s="40" t="str">
        <f t="shared" ref="AY2:AY6" si="5">AJ2</f>
        <v>N/A</v>
      </c>
      <c r="AZ2" s="41" t="s">
        <v>98</v>
      </c>
      <c r="BA2" s="41" t="s">
        <v>128</v>
      </c>
      <c r="BB2">
        <v>958127015</v>
      </c>
      <c r="BC2" s="40">
        <v>36526</v>
      </c>
      <c r="BD2" s="40">
        <v>51136</v>
      </c>
      <c r="BE2" s="41" t="s">
        <v>98</v>
      </c>
      <c r="BF2" s="41" t="s">
        <v>129</v>
      </c>
      <c r="BG2" s="43" t="s">
        <v>130</v>
      </c>
      <c r="BH2" s="40">
        <v>36526</v>
      </c>
      <c r="BI2" s="40">
        <v>51136</v>
      </c>
      <c r="BJ2" s="37" t="s">
        <v>131</v>
      </c>
      <c r="BK2" s="37" t="s">
        <v>132</v>
      </c>
      <c r="BL2" s="40">
        <v>30803</v>
      </c>
      <c r="BM2" s="44" t="s">
        <v>98</v>
      </c>
      <c r="BN2" s="41" t="s">
        <v>110</v>
      </c>
      <c r="BO2" s="37" t="s">
        <v>133</v>
      </c>
      <c r="BP2" s="45" t="s">
        <v>114</v>
      </c>
      <c r="BQ2" s="41" t="s">
        <v>134</v>
      </c>
      <c r="BR2" s="41" t="s">
        <v>98</v>
      </c>
      <c r="BS2" s="37" t="s">
        <v>125</v>
      </c>
      <c r="BT2" s="37" t="s">
        <v>114</v>
      </c>
      <c r="BU2" s="37" t="s">
        <v>135</v>
      </c>
      <c r="BV2" s="37" t="s">
        <v>136</v>
      </c>
      <c r="BW2" s="41" t="s">
        <v>137</v>
      </c>
      <c r="BX2" s="46" t="s">
        <v>138</v>
      </c>
      <c r="BY2" s="41" t="s">
        <v>139</v>
      </c>
      <c r="BZ2" s="41" t="s">
        <v>140</v>
      </c>
      <c r="CA2" s="41" t="s">
        <v>141</v>
      </c>
      <c r="CB2" s="41" t="s">
        <v>142</v>
      </c>
      <c r="CC2" s="46" t="s">
        <v>137</v>
      </c>
      <c r="CD2" s="39" t="s">
        <v>143</v>
      </c>
      <c r="CE2" s="41" t="s">
        <v>139</v>
      </c>
      <c r="CF2" s="41" t="s">
        <v>144</v>
      </c>
      <c r="CG2" s="41" t="s">
        <v>145</v>
      </c>
      <c r="CH2" s="41" t="s">
        <v>144</v>
      </c>
      <c r="CI2" s="47">
        <v>100</v>
      </c>
      <c r="CJ2" s="41" t="s">
        <v>146</v>
      </c>
      <c r="CK2" s="41" t="s">
        <v>147</v>
      </c>
      <c r="CL2" s="41" t="s">
        <v>98</v>
      </c>
      <c r="CM2" s="41" t="s">
        <v>148</v>
      </c>
      <c r="CN2" s="41" t="s">
        <v>149</v>
      </c>
      <c r="CO2" s="37" t="s">
        <v>150</v>
      </c>
      <c r="CP2" s="37" t="s">
        <v>151</v>
      </c>
      <c r="CQ2" s="48" t="s">
        <v>110</v>
      </c>
      <c r="CR2" s="40">
        <v>45770</v>
      </c>
      <c r="CS2" s="37" t="s">
        <v>152</v>
      </c>
      <c r="CT2" s="47">
        <v>1235083</v>
      </c>
      <c r="CU2" s="47">
        <v>124456860</v>
      </c>
    </row>
    <row r="3" spans="1:99" ht="14.5" customHeight="1" x14ac:dyDescent="0.35">
      <c r="A3" s="36" t="s">
        <v>153</v>
      </c>
      <c r="B3" s="37" t="s">
        <v>154</v>
      </c>
      <c r="C3" s="37" t="s">
        <v>155</v>
      </c>
      <c r="D3" s="37" t="s">
        <v>97</v>
      </c>
      <c r="E3" s="37" t="s">
        <v>98</v>
      </c>
      <c r="F3" s="38" t="s">
        <v>156</v>
      </c>
      <c r="G3" s="38" t="s">
        <v>100</v>
      </c>
      <c r="H3" s="39" t="s">
        <v>101</v>
      </c>
      <c r="I3" s="39" t="s">
        <v>102</v>
      </c>
      <c r="J3" s="39" t="s">
        <v>103</v>
      </c>
      <c r="K3" s="40">
        <f t="shared" si="0"/>
        <v>45292</v>
      </c>
      <c r="L3" s="37" t="s">
        <v>98</v>
      </c>
      <c r="M3" s="39" t="s">
        <v>104</v>
      </c>
      <c r="N3" s="39" t="s">
        <v>157</v>
      </c>
      <c r="O3" s="39" t="s">
        <v>106</v>
      </c>
      <c r="P3" s="37" t="s">
        <v>158</v>
      </c>
      <c r="Q3" s="39" t="s">
        <v>108</v>
      </c>
      <c r="R3" s="39" t="s">
        <v>109</v>
      </c>
      <c r="S3" s="41" t="s">
        <v>110</v>
      </c>
      <c r="T3" s="41" t="s">
        <v>110</v>
      </c>
      <c r="U3" s="39" t="s">
        <v>103</v>
      </c>
      <c r="V3" s="40" t="s">
        <v>111</v>
      </c>
      <c r="W3" s="42" t="s">
        <v>112</v>
      </c>
      <c r="X3" s="39" t="s">
        <v>103</v>
      </c>
      <c r="Y3" s="40">
        <v>45292</v>
      </c>
      <c r="Z3" s="39" t="s">
        <v>113</v>
      </c>
      <c r="AA3" s="40" t="s">
        <v>114</v>
      </c>
      <c r="AB3" s="37" t="s">
        <v>115</v>
      </c>
      <c r="AC3" s="37" t="s">
        <v>116</v>
      </c>
      <c r="AD3" s="37" t="s">
        <v>117</v>
      </c>
      <c r="AE3" s="37">
        <v>970</v>
      </c>
      <c r="AF3" s="37" t="s">
        <v>57</v>
      </c>
      <c r="AG3" s="37">
        <v>15</v>
      </c>
      <c r="AH3" s="37" t="s">
        <v>118</v>
      </c>
      <c r="AI3" s="37" t="s">
        <v>119</v>
      </c>
      <c r="AJ3" s="40" t="s">
        <v>114</v>
      </c>
      <c r="AK3" s="40">
        <f t="shared" si="1"/>
        <v>45382</v>
      </c>
      <c r="AL3" s="39" t="s">
        <v>120</v>
      </c>
      <c r="AM3" s="37" t="s">
        <v>121</v>
      </c>
      <c r="AN3" s="37" t="s">
        <v>159</v>
      </c>
      <c r="AO3" s="39" t="s">
        <v>123</v>
      </c>
      <c r="AP3" s="37" t="s">
        <v>124</v>
      </c>
      <c r="AQ3" s="39" t="s">
        <v>125</v>
      </c>
      <c r="AR3" s="37" t="s">
        <v>125</v>
      </c>
      <c r="AS3" s="40" t="s">
        <v>114</v>
      </c>
      <c r="AT3" s="39" t="s">
        <v>126</v>
      </c>
      <c r="AU3" s="37" t="str">
        <f t="shared" si="2"/>
        <v>Permanent</v>
      </c>
      <c r="AV3" s="40" t="s">
        <v>127</v>
      </c>
      <c r="AW3" s="40">
        <f t="shared" si="3"/>
        <v>45291</v>
      </c>
      <c r="AX3" s="40">
        <f t="shared" si="4"/>
        <v>45291</v>
      </c>
      <c r="AY3" s="40" t="str">
        <f t="shared" si="5"/>
        <v>N/A</v>
      </c>
      <c r="AZ3" s="41" t="s">
        <v>98</v>
      </c>
      <c r="BA3" s="41" t="s">
        <v>128</v>
      </c>
      <c r="BB3">
        <v>958127011</v>
      </c>
      <c r="BC3" s="40" t="s">
        <v>160</v>
      </c>
      <c r="BD3" s="40" t="s">
        <v>161</v>
      </c>
      <c r="BE3" s="41" t="s">
        <v>98</v>
      </c>
      <c r="BF3" s="41" t="s">
        <v>129</v>
      </c>
      <c r="BG3" s="43" t="s">
        <v>162</v>
      </c>
      <c r="BH3" s="40">
        <v>36526</v>
      </c>
      <c r="BI3" s="40">
        <v>51136</v>
      </c>
      <c r="BJ3" s="37" t="s">
        <v>131</v>
      </c>
      <c r="BK3" s="37" t="s">
        <v>132</v>
      </c>
      <c r="BL3" s="40">
        <v>30803</v>
      </c>
      <c r="BM3" s="44" t="s">
        <v>98</v>
      </c>
      <c r="BN3" s="41" t="s">
        <v>110</v>
      </c>
      <c r="BO3" s="37" t="s">
        <v>133</v>
      </c>
      <c r="BP3" s="45" t="s">
        <v>114</v>
      </c>
      <c r="BQ3" s="41" t="s">
        <v>134</v>
      </c>
      <c r="BR3" s="41" t="s">
        <v>98</v>
      </c>
      <c r="BS3" s="37" t="s">
        <v>125</v>
      </c>
      <c r="BT3" s="37" t="s">
        <v>114</v>
      </c>
      <c r="BU3" s="37" t="s">
        <v>135</v>
      </c>
      <c r="BV3" s="37" t="s">
        <v>136</v>
      </c>
      <c r="BW3" s="41" t="s">
        <v>137</v>
      </c>
      <c r="BX3" s="46" t="s">
        <v>143</v>
      </c>
      <c r="BY3" s="41" t="s">
        <v>139</v>
      </c>
      <c r="BZ3" s="41" t="s">
        <v>140</v>
      </c>
      <c r="CA3" s="41" t="s">
        <v>141</v>
      </c>
      <c r="CB3" s="41" t="s">
        <v>142</v>
      </c>
      <c r="CC3" s="46" t="s">
        <v>137</v>
      </c>
      <c r="CD3" s="39" t="s">
        <v>143</v>
      </c>
      <c r="CE3" s="41" t="s">
        <v>139</v>
      </c>
      <c r="CF3" s="41" t="s">
        <v>144</v>
      </c>
      <c r="CG3" s="41" t="s">
        <v>145</v>
      </c>
      <c r="CH3" s="41" t="s">
        <v>144</v>
      </c>
      <c r="CI3" s="47">
        <v>100</v>
      </c>
      <c r="CJ3" s="41" t="s">
        <v>146</v>
      </c>
      <c r="CK3" s="41" t="s">
        <v>147</v>
      </c>
      <c r="CL3" s="41" t="s">
        <v>98</v>
      </c>
      <c r="CM3" s="41" t="s">
        <v>163</v>
      </c>
      <c r="CN3" s="41" t="s">
        <v>149</v>
      </c>
      <c r="CO3" s="37" t="s">
        <v>150</v>
      </c>
      <c r="CP3" s="37" t="s">
        <v>151</v>
      </c>
      <c r="CQ3" s="48" t="s">
        <v>110</v>
      </c>
      <c r="CR3" s="40">
        <v>45770</v>
      </c>
      <c r="CS3" s="37" t="s">
        <v>152</v>
      </c>
      <c r="CT3" s="47">
        <v>1235084</v>
      </c>
      <c r="CU3" s="47">
        <v>124456861</v>
      </c>
    </row>
    <row r="4" spans="1:99" ht="14.5" customHeight="1" x14ac:dyDescent="0.35">
      <c r="A4" s="36" t="s">
        <v>164</v>
      </c>
      <c r="B4" s="37" t="s">
        <v>165</v>
      </c>
      <c r="C4" s="37" t="s">
        <v>155</v>
      </c>
      <c r="D4" s="37" t="s">
        <v>97</v>
      </c>
      <c r="E4" s="37" t="s">
        <v>98</v>
      </c>
      <c r="F4" s="38" t="s">
        <v>166</v>
      </c>
      <c r="G4" s="38" t="s">
        <v>100</v>
      </c>
      <c r="H4" s="39" t="s">
        <v>101</v>
      </c>
      <c r="I4" s="39" t="s">
        <v>102</v>
      </c>
      <c r="J4" s="39" t="s">
        <v>103</v>
      </c>
      <c r="K4" s="40">
        <f t="shared" si="0"/>
        <v>45292</v>
      </c>
      <c r="L4" s="37" t="s">
        <v>98</v>
      </c>
      <c r="M4" s="39" t="s">
        <v>104</v>
      </c>
      <c r="N4" s="39" t="s">
        <v>157</v>
      </c>
      <c r="O4" s="39" t="s">
        <v>106</v>
      </c>
      <c r="P4" s="37" t="s">
        <v>158</v>
      </c>
      <c r="Q4" s="39" t="s">
        <v>108</v>
      </c>
      <c r="R4" s="39" t="s">
        <v>109</v>
      </c>
      <c r="S4" s="41" t="s">
        <v>110</v>
      </c>
      <c r="T4" s="41" t="s">
        <v>110</v>
      </c>
      <c r="U4" s="39" t="s">
        <v>103</v>
      </c>
      <c r="V4" s="40" t="s">
        <v>111</v>
      </c>
      <c r="W4" s="42" t="s">
        <v>112</v>
      </c>
      <c r="X4" s="39" t="s">
        <v>103</v>
      </c>
      <c r="Y4" s="40">
        <v>45292</v>
      </c>
      <c r="Z4" s="39" t="s">
        <v>113</v>
      </c>
      <c r="AA4" s="40" t="s">
        <v>114</v>
      </c>
      <c r="AB4" s="37" t="s">
        <v>115</v>
      </c>
      <c r="AC4" s="37" t="s">
        <v>116</v>
      </c>
      <c r="AD4" s="37" t="s">
        <v>117</v>
      </c>
      <c r="AE4" s="37">
        <v>970</v>
      </c>
      <c r="AF4" s="37" t="s">
        <v>57</v>
      </c>
      <c r="AG4" s="37">
        <v>15</v>
      </c>
      <c r="AH4" s="37" t="s">
        <v>167</v>
      </c>
      <c r="AI4" s="37" t="s">
        <v>119</v>
      </c>
      <c r="AJ4" s="40" t="s">
        <v>114</v>
      </c>
      <c r="AK4" s="40">
        <f t="shared" si="1"/>
        <v>45382</v>
      </c>
      <c r="AL4" s="39" t="s">
        <v>120</v>
      </c>
      <c r="AM4" s="37" t="s">
        <v>121</v>
      </c>
      <c r="AN4" s="37" t="s">
        <v>168</v>
      </c>
      <c r="AO4" s="39" t="s">
        <v>123</v>
      </c>
      <c r="AP4" s="37" t="s">
        <v>124</v>
      </c>
      <c r="AQ4" s="39" t="s">
        <v>125</v>
      </c>
      <c r="AR4" s="37" t="s">
        <v>125</v>
      </c>
      <c r="AS4" s="40" t="s">
        <v>114</v>
      </c>
      <c r="AT4" s="39" t="s">
        <v>126</v>
      </c>
      <c r="AU4" s="37" t="str">
        <f t="shared" si="2"/>
        <v>Permanent</v>
      </c>
      <c r="AV4" s="40" t="s">
        <v>127</v>
      </c>
      <c r="AW4" s="40">
        <f t="shared" si="3"/>
        <v>45291</v>
      </c>
      <c r="AX4" s="40">
        <f t="shared" si="4"/>
        <v>45291</v>
      </c>
      <c r="AY4" s="40" t="str">
        <f t="shared" si="5"/>
        <v>N/A</v>
      </c>
      <c r="AZ4" s="41" t="s">
        <v>98</v>
      </c>
      <c r="BA4" s="41" t="s">
        <v>128</v>
      </c>
      <c r="BB4">
        <v>958127012</v>
      </c>
      <c r="BC4" s="40" t="s">
        <v>160</v>
      </c>
      <c r="BD4" s="40" t="s">
        <v>161</v>
      </c>
      <c r="BE4" s="41" t="s">
        <v>98</v>
      </c>
      <c r="BF4" s="41" t="s">
        <v>129</v>
      </c>
      <c r="BG4" s="43" t="s">
        <v>169</v>
      </c>
      <c r="BH4" s="40">
        <v>36526</v>
      </c>
      <c r="BI4" s="40">
        <v>51136</v>
      </c>
      <c r="BJ4" s="37" t="s">
        <v>131</v>
      </c>
      <c r="BK4" s="37" t="s">
        <v>132</v>
      </c>
      <c r="BL4" s="40">
        <v>30803</v>
      </c>
      <c r="BM4" s="44" t="s">
        <v>98</v>
      </c>
      <c r="BN4" s="41" t="s">
        <v>110</v>
      </c>
      <c r="BO4" s="37" t="s">
        <v>133</v>
      </c>
      <c r="BP4" s="45" t="s">
        <v>114</v>
      </c>
      <c r="BQ4" s="41" t="s">
        <v>134</v>
      </c>
      <c r="BR4" s="41" t="s">
        <v>98</v>
      </c>
      <c r="BS4" s="37" t="s">
        <v>125</v>
      </c>
      <c r="BT4" s="37" t="s">
        <v>114</v>
      </c>
      <c r="BU4" s="37" t="s">
        <v>135</v>
      </c>
      <c r="BV4" s="37" t="s">
        <v>136</v>
      </c>
      <c r="BW4" s="41" t="s">
        <v>137</v>
      </c>
      <c r="BX4" s="46" t="s">
        <v>143</v>
      </c>
      <c r="BY4" s="41" t="s">
        <v>139</v>
      </c>
      <c r="BZ4" s="41" t="s">
        <v>140</v>
      </c>
      <c r="CA4" s="41" t="s">
        <v>141</v>
      </c>
      <c r="CB4" s="41" t="s">
        <v>142</v>
      </c>
      <c r="CC4" s="46" t="s">
        <v>137</v>
      </c>
      <c r="CD4" s="39" t="s">
        <v>143</v>
      </c>
      <c r="CE4" s="41" t="s">
        <v>139</v>
      </c>
      <c r="CF4" s="41" t="s">
        <v>144</v>
      </c>
      <c r="CG4" s="41" t="s">
        <v>145</v>
      </c>
      <c r="CH4" s="41" t="s">
        <v>144</v>
      </c>
      <c r="CI4" s="47">
        <v>100</v>
      </c>
      <c r="CJ4" s="41" t="s">
        <v>146</v>
      </c>
      <c r="CK4" s="41" t="s">
        <v>147</v>
      </c>
      <c r="CL4" s="41" t="s">
        <v>98</v>
      </c>
      <c r="CM4" s="41" t="s">
        <v>163</v>
      </c>
      <c r="CN4" s="41" t="s">
        <v>149</v>
      </c>
      <c r="CO4" s="37" t="s">
        <v>150</v>
      </c>
      <c r="CP4" s="37" t="s">
        <v>151</v>
      </c>
      <c r="CQ4" s="37" t="s">
        <v>110</v>
      </c>
      <c r="CR4" s="40">
        <v>45770</v>
      </c>
      <c r="CS4" s="37" t="s">
        <v>152</v>
      </c>
      <c r="CT4" s="47">
        <v>1235085</v>
      </c>
      <c r="CU4" s="47">
        <v>124456862</v>
      </c>
    </row>
    <row r="5" spans="1:99" ht="14.5" customHeight="1" x14ac:dyDescent="0.35">
      <c r="A5" s="36" t="s">
        <v>170</v>
      </c>
      <c r="B5" s="49"/>
      <c r="C5" s="49"/>
      <c r="D5" s="49" t="s">
        <v>97</v>
      </c>
      <c r="E5" s="49" t="s">
        <v>98</v>
      </c>
      <c r="F5" s="38" t="s">
        <v>175</v>
      </c>
      <c r="G5" s="38" t="s">
        <v>100</v>
      </c>
      <c r="H5" s="39" t="s">
        <v>101</v>
      </c>
      <c r="I5" s="39" t="s">
        <v>102</v>
      </c>
      <c r="J5" s="39" t="s">
        <v>103</v>
      </c>
      <c r="K5" s="40">
        <f t="shared" si="0"/>
        <v>45672</v>
      </c>
      <c r="L5" s="49" t="s">
        <v>98</v>
      </c>
      <c r="M5" s="39" t="s">
        <v>104</v>
      </c>
      <c r="N5" s="39" t="s">
        <v>105</v>
      </c>
      <c r="O5" s="39" t="s">
        <v>106</v>
      </c>
      <c r="P5" s="49" t="s">
        <v>107</v>
      </c>
      <c r="Q5" s="39" t="s">
        <v>108</v>
      </c>
      <c r="R5" s="39" t="s">
        <v>109</v>
      </c>
      <c r="S5" s="41" t="s">
        <v>110</v>
      </c>
      <c r="T5" s="41" t="s">
        <v>110</v>
      </c>
      <c r="U5" s="39" t="s">
        <v>103</v>
      </c>
      <c r="V5" s="40" t="s">
        <v>111</v>
      </c>
      <c r="W5" s="42" t="s">
        <v>112</v>
      </c>
      <c r="X5" s="39" t="s">
        <v>103</v>
      </c>
      <c r="Y5" s="40">
        <v>45672</v>
      </c>
      <c r="Z5" s="39" t="s">
        <v>113</v>
      </c>
      <c r="AA5" s="40" t="s">
        <v>114</v>
      </c>
      <c r="AB5" s="49" t="s">
        <v>115</v>
      </c>
      <c r="AC5" s="49" t="s">
        <v>116</v>
      </c>
      <c r="AD5" s="49" t="s">
        <v>171</v>
      </c>
      <c r="AE5" s="49">
        <v>970</v>
      </c>
      <c r="AF5" s="49" t="s">
        <v>57</v>
      </c>
      <c r="AG5" s="49">
        <v>40</v>
      </c>
      <c r="AH5" s="49" t="s">
        <v>118</v>
      </c>
      <c r="AI5" s="49" t="s">
        <v>119</v>
      </c>
      <c r="AJ5" s="40" t="s">
        <v>114</v>
      </c>
      <c r="AK5" s="40">
        <f t="shared" si="1"/>
        <v>45762</v>
      </c>
      <c r="AL5" s="39" t="s">
        <v>120</v>
      </c>
      <c r="AM5" s="49" t="s">
        <v>121</v>
      </c>
      <c r="AN5" s="49" t="s">
        <v>176</v>
      </c>
      <c r="AO5" s="39" t="s">
        <v>123</v>
      </c>
      <c r="AP5" s="49" t="s">
        <v>124</v>
      </c>
      <c r="AQ5" s="39" t="s">
        <v>125</v>
      </c>
      <c r="AR5" s="49" t="s">
        <v>125</v>
      </c>
      <c r="AS5" s="40" t="s">
        <v>114</v>
      </c>
      <c r="AT5" s="39" t="s">
        <v>126</v>
      </c>
      <c r="AU5" s="49" t="str">
        <f t="shared" si="2"/>
        <v>Permanent</v>
      </c>
      <c r="AV5" s="40" t="s">
        <v>127</v>
      </c>
      <c r="AW5" s="40">
        <f t="shared" si="3"/>
        <v>45671</v>
      </c>
      <c r="AX5" s="40">
        <f t="shared" si="4"/>
        <v>45671</v>
      </c>
      <c r="AY5" s="40" t="str">
        <f t="shared" si="5"/>
        <v>N/A</v>
      </c>
      <c r="AZ5" s="41" t="s">
        <v>98</v>
      </c>
      <c r="BA5" s="41" t="s">
        <v>128</v>
      </c>
      <c r="BB5" t="s">
        <v>177</v>
      </c>
      <c r="BC5" s="40">
        <v>36526</v>
      </c>
      <c r="BD5" s="40">
        <v>51136</v>
      </c>
      <c r="BE5" s="41" t="s">
        <v>98</v>
      </c>
      <c r="BF5" s="41" t="s">
        <v>129</v>
      </c>
      <c r="BG5" s="43" t="s">
        <v>178</v>
      </c>
      <c r="BH5" s="40">
        <v>36526</v>
      </c>
      <c r="BI5" s="40">
        <v>51136</v>
      </c>
      <c r="BJ5" s="49" t="s">
        <v>131</v>
      </c>
      <c r="BK5" s="49" t="s">
        <v>172</v>
      </c>
      <c r="BL5" s="40">
        <v>30803</v>
      </c>
      <c r="BM5" s="44" t="s">
        <v>98</v>
      </c>
      <c r="BN5" s="41" t="s">
        <v>110</v>
      </c>
      <c r="BO5" s="49" t="s">
        <v>133</v>
      </c>
      <c r="BP5" s="45" t="s">
        <v>114</v>
      </c>
      <c r="BQ5" s="41" t="s">
        <v>134</v>
      </c>
      <c r="BR5" s="41" t="s">
        <v>98</v>
      </c>
      <c r="BS5" s="49" t="s">
        <v>125</v>
      </c>
      <c r="BT5" s="49" t="s">
        <v>114</v>
      </c>
      <c r="BU5" s="49" t="s">
        <v>135</v>
      </c>
      <c r="BV5" s="49" t="s">
        <v>136</v>
      </c>
      <c r="BW5" s="41" t="s">
        <v>137</v>
      </c>
      <c r="BX5" s="46" t="s">
        <v>138</v>
      </c>
      <c r="BY5" s="41" t="s">
        <v>139</v>
      </c>
      <c r="BZ5" s="41" t="s">
        <v>140</v>
      </c>
      <c r="CA5" s="41" t="s">
        <v>141</v>
      </c>
      <c r="CB5" s="41" t="s">
        <v>142</v>
      </c>
      <c r="CC5" s="46" t="s">
        <v>137</v>
      </c>
      <c r="CD5" s="39" t="s">
        <v>143</v>
      </c>
      <c r="CE5" s="41" t="s">
        <v>139</v>
      </c>
      <c r="CF5" s="41" t="s">
        <v>144</v>
      </c>
      <c r="CG5" s="41" t="s">
        <v>145</v>
      </c>
      <c r="CH5" s="41" t="s">
        <v>144</v>
      </c>
      <c r="CI5" s="47">
        <v>100</v>
      </c>
      <c r="CJ5" s="41" t="s">
        <v>146</v>
      </c>
      <c r="CK5" s="41" t="s">
        <v>147</v>
      </c>
      <c r="CL5" s="41" t="s">
        <v>98</v>
      </c>
      <c r="CM5" s="41" t="s">
        <v>148</v>
      </c>
      <c r="CN5" s="41" t="s">
        <v>149</v>
      </c>
      <c r="CO5" s="49" t="s">
        <v>114</v>
      </c>
      <c r="CP5" s="49" t="s">
        <v>114</v>
      </c>
      <c r="CQ5" s="49" t="s">
        <v>114</v>
      </c>
      <c r="CR5" s="49" t="s">
        <v>114</v>
      </c>
      <c r="CS5" s="49" t="s">
        <v>114</v>
      </c>
      <c r="CT5" s="49" t="s">
        <v>114</v>
      </c>
      <c r="CU5" s="49" t="s">
        <v>114</v>
      </c>
    </row>
    <row r="6" spans="1:99" ht="14.5" customHeight="1" x14ac:dyDescent="0.35">
      <c r="A6" s="36" t="s">
        <v>173</v>
      </c>
      <c r="B6" s="49"/>
      <c r="C6" s="49"/>
      <c r="D6" s="49" t="s">
        <v>97</v>
      </c>
      <c r="E6" s="49" t="s">
        <v>98</v>
      </c>
      <c r="F6" s="38" t="s">
        <v>179</v>
      </c>
      <c r="G6" s="38" t="s">
        <v>100</v>
      </c>
      <c r="H6" s="39" t="s">
        <v>101</v>
      </c>
      <c r="I6" s="39" t="s">
        <v>102</v>
      </c>
      <c r="J6" s="39" t="s">
        <v>103</v>
      </c>
      <c r="K6" s="40">
        <f t="shared" si="0"/>
        <v>45684</v>
      </c>
      <c r="L6" s="49" t="s">
        <v>98</v>
      </c>
      <c r="M6" s="39" t="s">
        <v>104</v>
      </c>
      <c r="N6" s="39" t="s">
        <v>157</v>
      </c>
      <c r="O6" s="39" t="s">
        <v>106</v>
      </c>
      <c r="P6" s="49" t="s">
        <v>158</v>
      </c>
      <c r="Q6" s="39" t="s">
        <v>108</v>
      </c>
      <c r="R6" s="39" t="s">
        <v>109</v>
      </c>
      <c r="S6" s="41" t="s">
        <v>110</v>
      </c>
      <c r="T6" s="41" t="s">
        <v>110</v>
      </c>
      <c r="U6" s="39" t="s">
        <v>103</v>
      </c>
      <c r="V6" s="40" t="s">
        <v>111</v>
      </c>
      <c r="W6" s="42" t="s">
        <v>112</v>
      </c>
      <c r="X6" s="39" t="s">
        <v>103</v>
      </c>
      <c r="Y6" s="40">
        <v>45684</v>
      </c>
      <c r="Z6" s="39" t="s">
        <v>113</v>
      </c>
      <c r="AA6" s="40" t="s">
        <v>114</v>
      </c>
      <c r="AB6" s="49" t="s">
        <v>174</v>
      </c>
      <c r="AC6" s="49" t="s">
        <v>116</v>
      </c>
      <c r="AD6" s="49" t="s">
        <v>117</v>
      </c>
      <c r="AE6" s="49">
        <v>970</v>
      </c>
      <c r="AF6" s="49" t="s">
        <v>57</v>
      </c>
      <c r="AG6" s="49">
        <v>25</v>
      </c>
      <c r="AH6" s="49" t="s">
        <v>167</v>
      </c>
      <c r="AI6" s="49" t="s">
        <v>119</v>
      </c>
      <c r="AJ6" s="40">
        <f>Y6+665</f>
        <v>46349</v>
      </c>
      <c r="AK6" s="40">
        <f t="shared" si="1"/>
        <v>45774</v>
      </c>
      <c r="AL6" s="39" t="s">
        <v>120</v>
      </c>
      <c r="AM6" s="49" t="s">
        <v>121</v>
      </c>
      <c r="AN6" s="49" t="s">
        <v>180</v>
      </c>
      <c r="AO6" s="39" t="s">
        <v>123</v>
      </c>
      <c r="AP6" s="49" t="s">
        <v>124</v>
      </c>
      <c r="AQ6" s="39" t="s">
        <v>125</v>
      </c>
      <c r="AR6" s="49" t="s">
        <v>125</v>
      </c>
      <c r="AS6" s="40" t="s">
        <v>114</v>
      </c>
      <c r="AT6" s="39" t="s">
        <v>126</v>
      </c>
      <c r="AU6" s="49" t="str">
        <f t="shared" si="2"/>
        <v>Fixed Term (Fixed Term)</v>
      </c>
      <c r="AV6" s="40" t="s">
        <v>127</v>
      </c>
      <c r="AW6" s="40">
        <f t="shared" si="3"/>
        <v>45683</v>
      </c>
      <c r="AX6" s="40">
        <f t="shared" si="4"/>
        <v>45683</v>
      </c>
      <c r="AY6" s="40">
        <f t="shared" si="5"/>
        <v>46349</v>
      </c>
      <c r="AZ6" s="41" t="s">
        <v>98</v>
      </c>
      <c r="BA6" s="41" t="s">
        <v>128</v>
      </c>
      <c r="BB6" t="s">
        <v>181</v>
      </c>
      <c r="BC6" s="40" t="s">
        <v>160</v>
      </c>
      <c r="BD6" s="40" t="s">
        <v>161</v>
      </c>
      <c r="BE6" s="41" t="s">
        <v>98</v>
      </c>
      <c r="BF6" s="41" t="s">
        <v>129</v>
      </c>
      <c r="BG6" s="43" t="s">
        <v>182</v>
      </c>
      <c r="BH6" s="40">
        <v>36526</v>
      </c>
      <c r="BI6" s="40">
        <v>51136</v>
      </c>
      <c r="BJ6" s="49" t="s">
        <v>131</v>
      </c>
      <c r="BK6" s="49" t="s">
        <v>132</v>
      </c>
      <c r="BL6" s="40">
        <v>30803</v>
      </c>
      <c r="BM6" s="44" t="s">
        <v>98</v>
      </c>
      <c r="BN6" s="41" t="s">
        <v>110</v>
      </c>
      <c r="BO6" s="49" t="s">
        <v>133</v>
      </c>
      <c r="BP6" s="45" t="s">
        <v>114</v>
      </c>
      <c r="BQ6" s="41" t="s">
        <v>134</v>
      </c>
      <c r="BR6" s="41" t="s">
        <v>98</v>
      </c>
      <c r="BS6" s="49" t="s">
        <v>125</v>
      </c>
      <c r="BT6" s="49" t="s">
        <v>114</v>
      </c>
      <c r="BU6" s="49" t="s">
        <v>135</v>
      </c>
      <c r="BV6" s="49" t="s">
        <v>136</v>
      </c>
      <c r="BW6" s="41" t="s">
        <v>137</v>
      </c>
      <c r="BX6" s="46" t="s">
        <v>143</v>
      </c>
      <c r="BY6" s="41" t="s">
        <v>139</v>
      </c>
      <c r="BZ6" s="41" t="s">
        <v>140</v>
      </c>
      <c r="CA6" s="41" t="s">
        <v>141</v>
      </c>
      <c r="CB6" s="41" t="s">
        <v>142</v>
      </c>
      <c r="CC6" s="46" t="s">
        <v>137</v>
      </c>
      <c r="CD6" s="39" t="s">
        <v>143</v>
      </c>
      <c r="CE6" s="41" t="s">
        <v>139</v>
      </c>
      <c r="CF6" s="41" t="s">
        <v>144</v>
      </c>
      <c r="CG6" s="41" t="s">
        <v>145</v>
      </c>
      <c r="CH6" s="41" t="s">
        <v>144</v>
      </c>
      <c r="CI6" s="47">
        <v>100</v>
      </c>
      <c r="CJ6" s="41" t="s">
        <v>146</v>
      </c>
      <c r="CK6" s="41" t="s">
        <v>147</v>
      </c>
      <c r="CL6" s="41" t="s">
        <v>98</v>
      </c>
      <c r="CM6" s="41" t="s">
        <v>163</v>
      </c>
      <c r="CN6" s="41" t="s">
        <v>149</v>
      </c>
      <c r="CO6" s="49" t="s">
        <v>114</v>
      </c>
      <c r="CP6" s="49" t="s">
        <v>114</v>
      </c>
      <c r="CQ6" s="48" t="s">
        <v>114</v>
      </c>
      <c r="CR6" s="40" t="s">
        <v>114</v>
      </c>
      <c r="CS6" s="49" t="s">
        <v>114</v>
      </c>
      <c r="CT6" s="47" t="s">
        <v>114</v>
      </c>
      <c r="CU6" s="47" t="s">
        <v>114</v>
      </c>
    </row>
  </sheetData>
  <dataValidations count="3">
    <dataValidation type="list" allowBlank="1" showInputMessage="1" showErrorMessage="1" sqref="AV2:AV4" xr:uid="{00000000-0002-0000-0000-000000000000}">
      <formula1>INDIRECT(#REF!)</formula1>
    </dataValidation>
    <dataValidation type="list" allowBlank="1" showInputMessage="1" showErrorMessage="1" sqref="Z2:Z5 X2:X5 U2:U5 I2:J5 CC2:CC5 BW2:BW5 AV5" xr:uid="{00000000-0002-0000-0000-000001000000}">
      <formula1>INDIRECT(#REF!)</formula1>
    </dataValidation>
    <dataValidation type="list" allowBlank="1" showInputMessage="1" showErrorMessage="1" sqref="AV6 Z6 X6 U6 I6:J6 CC6 BW6" xr:uid="{DF4196EE-1BC4-428B-8B2F-D0DD798AFE3F}">
      <formula1>INDIRECT($C1048559)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80772E1C-ABD5-4C0E-B7AA-BB583A950A67}"/>
    <hyperlink ref="W6" r:id="rId5" xr:uid="{7B293545-0C58-4D40-AF26-E5DC9F950D4C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2025-05-22T08:29:45Z</dcterms:modified>
  <cp:category/>
  <cp:contentStatus/>
</cp:coreProperties>
</file>