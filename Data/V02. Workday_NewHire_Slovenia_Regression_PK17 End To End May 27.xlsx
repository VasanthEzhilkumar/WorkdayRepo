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90" yWindow="1780" windowWidth="29020" windowHeight="15820"/>
  </bookViews>
  <sheets>
    <sheet sheetId="1" name="Sheet2" state="visible" r:id="rId4"/>
  </sheets>
  <definedNames>
    <definedName name="_xlnm._FilterDatabase">Sheet2!$A$1:$BV$5</definedName>
  </definedNames>
  <calcPr calcId="171027"/>
</workbook>
</file>

<file path=xl/sharedStrings.xml><?xml version="1.0" encoding="utf-8"?>
<sst xmlns="http://schemas.openxmlformats.org/spreadsheetml/2006/main" count="297" uniqueCount="136">
  <si>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</si>
  <si>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</si>
  <si>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</si>
  <si>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</si>
  <si>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</si>
  <si>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</si>
  <si>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</si>
  <si>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</si>
  <si>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</si>
  <si>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</si>
  <si>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</si>
  <si>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</si>
  <si>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</si>
  <si>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</si>
  <si>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</si>
  <si>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</si>
  <si>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</si>
  <si>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</si>
  <si>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</si>
  <si>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</si>
  <si>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</si>
  <si>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</si>
  <si>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</si>
  <si>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</si>
  <si>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</si>
  <si>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</si>
  <si>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</si>
  <si>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</si>
  <si>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</si>
  <si>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</si>
  <si>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</si>
  <si>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</si>
  <si>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</si>
  <si>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</si>
  <si>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</si>
  <si>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</si>
  <si>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</si>
  <si>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</si>
  <si>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</si>
  <si>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</si>
  <si>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</si>
  <si>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</si>
  <si>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</si>
  <si>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</si>
  <si>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</si>
  <si>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</si>
  <si>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</si>
  <si>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</si>
  <si>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</si>
  <si>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</si>
  <si>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</si>
  <si>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</si>
  <si>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</si>
  <si>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</si>
  <si>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</si>
  <si>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</si>
  <si>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</si>
  <si>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</si>
  <si>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</si>
  <si>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</si>
  <si>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</si>
  <si>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</si>
  <si>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</si>
  <si>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</si>
  <si>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</si>
  <si>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</si>
  <si>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</si>
  <si>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</si>
  <si>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</si>
  <si>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</si>
  <si>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 5</t>
  </si>
  <si>
    <t xml:space="preserve">Test failed for 'Joana Kerluke' Employee:{undefined}TimeoutError: locator.click: Timeout 30000ms exceeded.
Call log:
  [2m- waiting for getByLabel('Work Shift').first()[22m
</t>
  </si>
  <si>
    <t>Failed</t>
  </si>
  <si>
    <t>795 Store Management (Zogop Dogegy (On Leave) (10185858))</t>
  </si>
  <si>
    <t>Slovenia</t>
  </si>
  <si>
    <t>Jeramie</t>
  </si>
  <si>
    <t>Gutkowski</t>
  </si>
  <si>
    <t>070-417-627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</si>
  <si>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</si>
  <si>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</si>
  <si>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</si>
  <si>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</si>
  <si>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</si>
  <si>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</si>
  <si>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</si>
  <si>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Auto 89330528</t>
  </si>
  <si>
    <t>Permanent</t>
  </si>
  <si>
    <t>Team Manager - Retail_NEW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</si>
  <si>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</si>
  <si>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</si>
  <si>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</si>
  <si>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</si>
  <si>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</si>
  <si>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</si>
  <si>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251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</si>
  <si>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</si>
  <si>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</si>
  <si>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</si>
  <si>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</si>
  <si>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</si>
  <si>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</si>
  <si>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</si>
  <si>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</si>
  <si>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</si>
  <si>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</si>
  <si>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</si>
  <si>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</si>
  <si>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</si>
  <si>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</si>
  <si>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</si>
  <si>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</si>
  <si>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 xml:space="preserve">Test 16 </t>
  </si>
  <si>
    <t>Test failed for 'Helen Swaniawski' Employee: Errors and AlertsErrorErrorDepartment/Section is required to have a value. &amp; find failed Screenshot Path:-&gt;H:\Clone-Workday-Playwright/WorkdayFailedScreenshot/2025-05-27T11-46-24-595Z.png</t>
  </si>
  <si>
    <t>795 Recruitment (Zosig Depazi (10280602))</t>
  </si>
  <si>
    <t>Helen</t>
  </si>
  <si>
    <t>Swaniawski</t>
  </si>
  <si>
    <t>070-417-636</t>
  </si>
  <si>
    <t>No</t>
  </si>
  <si>
    <t>Retail Assistant_NEW</t>
  </si>
  <si>
    <t>Part Time</t>
  </si>
  <si>
    <t>4 Days (Slovenia)</t>
  </si>
  <si>
    <t>94 Retail Operatives</t>
  </si>
  <si>
    <t>291 Apprenticeship</t>
  </si>
  <si>
    <t>Test 41</t>
  </si>
  <si>
    <t xml:space="preserve">Test failed for 'Devon Dibbert' Employee:{}TimeoutError: locator.click: Timeout 30000ms exceeded.
Call log:
  [2m- waiting for getByLabel('Work Shift').first()[22m
</t>
  </si>
  <si>
    <t>Devon</t>
  </si>
  <si>
    <t>Dibbert</t>
  </si>
  <si>
    <t>070-417-637</t>
  </si>
  <si>
    <t>Operational Support_NEW</t>
  </si>
  <si>
    <t>261 Tills</t>
  </si>
  <si>
    <t>Test 42</t>
  </si>
  <si>
    <t xml:space="preserve">Test failed for 'Buddy Raynor' Employee:{}TimeoutError: locator.click: Timeout 30000ms exceeded.
Call log:
  [2m- waiting for getByLabel('Work Shift').first()[22m
</t>
  </si>
  <si>
    <t>Buddy</t>
  </si>
  <si>
    <t>Raynor</t>
  </si>
  <si>
    <t>070-417-638</t>
  </si>
  <si>
    <t>260 Fitting 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</si>
</sst>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9" x14ac:knownFonts="1">
    <font>
      <color theme="1"/>
      <family val="2"/>
      <scheme val="minor"/>
      <sz val="11"/>
      <name val="Calibri"/>
    </font>
    <font>
      <color rgb="FFFF0000"/>
      <family val="2"/>
      <sz val="14"/>
      <name val="Arial"/>
    </font>
    <font>
      <color theme="1"/>
      <family val="2"/>
      <sz val="14"/>
      <name val="Arial"/>
    </font>
    <font>
      <b/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family val="2"/>
      <sz val="14"/>
      <name val="Arial"/>
    </font>
    <font>
      <color theme="1"/>
      <family val="2"/>
      <scheme val="minor"/>
      <sz val="14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1" fillId="0" borderId="0" xfId="0" applyNumberFormat="1" applyFont="1" applyAlignment="1">
      <alignment horizontal="left"/>
    </xf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/>
    <xf numFmtId="49" fontId="2" fillId="0" borderId="2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90" zoomScaleNormal="90">
      <pane ySplit="1" topLeftCell="A2" activePane="bottomLeft" state="frozen"/>
      <selection pane="bottomLeft" activeCell="B6" sqref="B6"/>
    </sheetView>
  </sheetViews>
  <sheetFormatPr defaultRowHeight="15.65" outlineLevelRow="1" outlineLevelCol="0" x14ac:dyDescent="0.35" customHeight="1"/>
  <cols>
    <col min="1" max="1" width="10.81640625" style="1" customWidth="1"/>
    <col min="2" max="2" width="76.632812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  <col min="75" max="16384" width="8.7265625" customWidth="1"/>
  </cols>
  <sheetData>
    <row r="1" ht="14.5" customHeight="1" spans="1:74" s="3" customFormat="1" x14ac:dyDescent="0.25" outlineLevel="1" collapsed="1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ht="15.65" customHeight="1" spans="1:74" x14ac:dyDescent="0.25">
      <c r="A2" s="1" t="s">
        <v>70</v>
      </c>
      <c r="B2" s="10" t="s">
        <v>71</v>
      </c>
      <c r="C2" s="11" t="s">
        <v>72</v>
      </c>
      <c r="D2" s="12" t="s">
        <v>73</v>
      </c>
      <c r="E2" s="13" t="s">
        <v>74</v>
      </c>
      <c r="F2" s="14" t="s">
        <v>75</v>
      </c>
      <c r="G2" s="14" t="s">
        <v>76</v>
      </c>
      <c r="H2" s="15" t="s">
        <v>77</v>
      </c>
      <c r="I2" s="16" t="s">
        <v>78</v>
      </c>
      <c r="J2" s="16" t="s">
        <v>79</v>
      </c>
      <c r="K2" s="17">
        <f t="shared" ref="K2:K5" si="0">TODAY()-7</f>
        <v>45797</v>
      </c>
      <c r="L2" s="13" t="s">
        <v>74</v>
      </c>
      <c r="M2" s="18" t="s">
        <v>80</v>
      </c>
      <c r="N2" s="18" t="s">
        <v>81</v>
      </c>
      <c r="O2" s="19" t="s">
        <v>81</v>
      </c>
      <c r="P2" s="16">
        <v>1542</v>
      </c>
      <c r="Q2" s="16" t="s">
        <v>79</v>
      </c>
      <c r="R2" s="20" t="s">
        <v>82</v>
      </c>
      <c r="S2" s="21" t="s">
        <v>83</v>
      </c>
      <c r="T2" s="16" t="s">
        <v>79</v>
      </c>
      <c r="U2" s="22">
        <f>TODAY()+60</f>
        <v>45864</v>
      </c>
      <c r="V2" s="16" t="s">
        <v>84</v>
      </c>
      <c r="W2" s="23" t="s">
        <v>85</v>
      </c>
      <c r="X2" s="24" t="s">
        <v>86</v>
      </c>
      <c r="Y2" s="24" t="s">
        <v>87</v>
      </c>
      <c r="Z2" s="24" t="s">
        <v>88</v>
      </c>
      <c r="AA2" s="25">
        <v>795</v>
      </c>
      <c r="AB2" s="25" t="s">
        <v>89</v>
      </c>
      <c r="AC2" s="26">
        <v>40</v>
      </c>
      <c r="AD2" s="27" t="s">
        <v>90</v>
      </c>
      <c r="AE2" s="19" t="s">
        <v>91</v>
      </c>
      <c r="AF2" s="28" t="s">
        <v>90</v>
      </c>
      <c r="AG2" s="16" t="s">
        <v>92</v>
      </c>
      <c r="AH2" s="16" t="s">
        <v>93</v>
      </c>
      <c r="AI2" s="16" t="s">
        <v>90</v>
      </c>
      <c r="AJ2" s="17">
        <f t="shared" ref="AJ2:AL5" si="1">TODAY()-100</f>
        <v>45704</v>
      </c>
      <c r="AK2" s="17">
        <f t="shared" si="1"/>
        <v>45704</v>
      </c>
      <c r="AL2" s="17">
        <f t="shared" si="1"/>
        <v>45704</v>
      </c>
      <c r="AM2" s="22">
        <f t="shared" ref="AM2" si="2">AF2</f>
        <v>NaN</v>
      </c>
      <c r="AN2" s="16">
        <v>92</v>
      </c>
      <c r="AO2" s="24" t="s">
        <v>94</v>
      </c>
      <c r="AP2" s="24" t="s">
        <v>95</v>
      </c>
      <c r="AQ2" s="24" t="s">
        <v>96</v>
      </c>
      <c r="AR2" s="19" t="s">
        <v>97</v>
      </c>
      <c r="AS2" s="13" t="s">
        <v>90</v>
      </c>
      <c r="AT2" s="13" t="s">
        <v>90</v>
      </c>
      <c r="AU2" s="17">
        <f t="shared" ref="AU2:AU5" si="3">TODAY()+7</f>
        <v>45811</v>
      </c>
      <c r="AV2" s="13" t="s">
        <v>74</v>
      </c>
      <c r="AW2" s="29" t="s">
        <v>98</v>
      </c>
      <c r="AX2" s="30">
        <f t="array" ref="AX2">_xlfn.RANDARRAY(2,1,1023456789000,9999999999999,TRUE)</f>
        <v>3432431015537</v>
      </c>
      <c r="AY2" s="17" t="s">
        <v>99</v>
      </c>
      <c r="AZ2" s="17" t="s">
        <v>100</v>
      </c>
      <c r="BA2" s="13" t="s">
        <v>74</v>
      </c>
      <c r="BB2" s="29" t="s">
        <v>101</v>
      </c>
      <c r="BC2" s="30">
        <f t="array" ref="BC2">_xlfn.RANDARRAY(2,1,12345678,99999999,TRUE)</f>
        <v>16157061</v>
      </c>
      <c r="BD2" s="17" t="s">
        <v>99</v>
      </c>
      <c r="BE2" s="17" t="s">
        <v>102</v>
      </c>
      <c r="BF2" s="19" t="s">
        <v>103</v>
      </c>
      <c r="BG2" s="17">
        <v>31413</v>
      </c>
      <c r="BH2" s="13" t="s">
        <v>104</v>
      </c>
      <c r="BI2" s="13" t="s">
        <v>74</v>
      </c>
      <c r="BJ2" s="13" t="s">
        <v>105</v>
      </c>
      <c r="BK2" s="31" t="s">
        <v>90</v>
      </c>
      <c r="BL2" s="13" t="s">
        <v>106</v>
      </c>
      <c r="BM2" s="32" t="s">
        <v>107</v>
      </c>
      <c r="BN2" s="13" t="s">
        <v>108</v>
      </c>
      <c r="BO2" s="13" t="s">
        <v>74</v>
      </c>
      <c r="BP2" s="13" t="s">
        <v>109</v>
      </c>
      <c r="BQ2" s="13">
        <f t="array" ref="BQ2">_xlfn.RANDARRAY(2,1,12345,99999,TRUE)</f>
        <v>25096</v>
      </c>
      <c r="BR2" s="17">
        <v>44562</v>
      </c>
      <c r="BS2" s="17">
        <v>47119</v>
      </c>
      <c r="BT2" s="22">
        <v>44562</v>
      </c>
      <c r="BU2" s="22">
        <f t="shared" ref="BU2:BU5" si="4">TODAY()+365</f>
        <v>46169</v>
      </c>
      <c r="BV2" s="16" t="s">
        <v>110</v>
      </c>
    </row>
    <row r="3" ht="16.5" customHeight="1" spans="1:74" x14ac:dyDescent="0.25">
      <c r="A3" s="1" t="s">
        <v>111</v>
      </c>
      <c r="B3" s="10" t="s">
        <v>112</v>
      </c>
      <c r="C3" s="11" t="s">
        <v>72</v>
      </c>
      <c r="D3" s="12" t="s">
        <v>113</v>
      </c>
      <c r="E3" s="13" t="s">
        <v>74</v>
      </c>
      <c r="F3" s="14" t="s">
        <v>114</v>
      </c>
      <c r="G3" s="14" t="s">
        <v>115</v>
      </c>
      <c r="H3" s="15" t="s">
        <v>116</v>
      </c>
      <c r="I3" s="16" t="s">
        <v>78</v>
      </c>
      <c r="J3" s="16" t="s">
        <v>79</v>
      </c>
      <c r="K3" s="17">
        <f t="shared" si="0"/>
        <v>45797</v>
      </c>
      <c r="L3" s="13" t="s">
        <v>74</v>
      </c>
      <c r="M3" s="18" t="s">
        <v>80</v>
      </c>
      <c r="N3" s="18" t="s">
        <v>81</v>
      </c>
      <c r="O3" s="19" t="s">
        <v>81</v>
      </c>
      <c r="P3" s="16">
        <v>1542</v>
      </c>
      <c r="Q3" s="16" t="s">
        <v>79</v>
      </c>
      <c r="R3" s="20" t="s">
        <v>82</v>
      </c>
      <c r="S3" s="21" t="s">
        <v>83</v>
      </c>
      <c r="T3" s="16" t="s">
        <v>79</v>
      </c>
      <c r="U3" s="22">
        <f t="shared" ref="U3:U5" si="5">TODAY()-100</f>
        <v>45704</v>
      </c>
      <c r="V3" s="16" t="s">
        <v>84</v>
      </c>
      <c r="W3" s="23" t="s">
        <v>117</v>
      </c>
      <c r="X3" s="24" t="s">
        <v>86</v>
      </c>
      <c r="Y3" s="33" t="s">
        <v>118</v>
      </c>
      <c r="Z3" s="24" t="s">
        <v>119</v>
      </c>
      <c r="AA3" s="25">
        <v>795</v>
      </c>
      <c r="AB3" s="25" t="s">
        <v>89</v>
      </c>
      <c r="AC3" s="26">
        <v>20</v>
      </c>
      <c r="AD3" s="27" t="s">
        <v>90</v>
      </c>
      <c r="AE3" s="19" t="s">
        <v>120</v>
      </c>
      <c r="AF3" s="28" t="s">
        <v>90</v>
      </c>
      <c r="AG3" s="16" t="s">
        <v>92</v>
      </c>
      <c r="AH3" s="16" t="s">
        <v>93</v>
      </c>
      <c r="AI3" s="16" t="s">
        <v>90</v>
      </c>
      <c r="AJ3" s="17">
        <f t="shared" si="1"/>
        <v>45704</v>
      </c>
      <c r="AK3" s="17">
        <f t="shared" si="1"/>
        <v>45704</v>
      </c>
      <c r="AL3" s="17">
        <f t="shared" si="1"/>
        <v>45704</v>
      </c>
      <c r="AM3" s="22">
        <f t="shared" ref="AM3" si="6">AF3</f>
        <v>NaN</v>
      </c>
      <c r="AN3" s="16" t="s">
        <v>121</v>
      </c>
      <c r="AO3" s="34" t="s">
        <v>122</v>
      </c>
      <c r="AP3" s="24" t="s">
        <v>95</v>
      </c>
      <c r="AQ3" s="24" t="s">
        <v>96</v>
      </c>
      <c r="AR3" s="19" t="s">
        <v>97</v>
      </c>
      <c r="AS3" s="13" t="s">
        <v>90</v>
      </c>
      <c r="AT3" s="13" t="s">
        <v>90</v>
      </c>
      <c r="AU3" s="17">
        <f t="shared" si="3"/>
        <v>45811</v>
      </c>
      <c r="AV3" s="13" t="s">
        <v>74</v>
      </c>
      <c r="AW3" s="29" t="s">
        <v>98</v>
      </c>
      <c r="AX3" s="30">
        <f t="array" ref="AX3">_xlfn.RANDARRAY(2,1,1023456789000,9999999999999,TRUE)</f>
        <v>6397564205071</v>
      </c>
      <c r="AY3" s="17" t="s">
        <v>99</v>
      </c>
      <c r="AZ3" s="17" t="s">
        <v>100</v>
      </c>
      <c r="BA3" s="13" t="s">
        <v>74</v>
      </c>
      <c r="BB3" s="29" t="s">
        <v>101</v>
      </c>
      <c r="BC3" s="30">
        <f t="array" ref="BC3">_xlfn.RANDARRAY(2,1,12345678,99999999,TRUE)</f>
        <v>71165579</v>
      </c>
      <c r="BD3" s="17" t="s">
        <v>99</v>
      </c>
      <c r="BE3" s="17" t="s">
        <v>102</v>
      </c>
      <c r="BF3" s="19" t="s">
        <v>103</v>
      </c>
      <c r="BG3" s="17">
        <v>31422</v>
      </c>
      <c r="BH3" s="13" t="s">
        <v>104</v>
      </c>
      <c r="BI3" s="13" t="s">
        <v>74</v>
      </c>
      <c r="BJ3" s="13" t="s">
        <v>105</v>
      </c>
      <c r="BK3" s="31" t="s">
        <v>90</v>
      </c>
      <c r="BL3" s="13" t="s">
        <v>106</v>
      </c>
      <c r="BM3" s="32" t="s">
        <v>107</v>
      </c>
      <c r="BN3" s="13" t="s">
        <v>108</v>
      </c>
      <c r="BO3" s="13" t="s">
        <v>74</v>
      </c>
      <c r="BP3" s="13" t="s">
        <v>109</v>
      </c>
      <c r="BQ3" s="13">
        <f t="array" ref="BQ3">_xlfn.RANDARRAY(2,1,12345,99999,TRUE)</f>
        <v>48094</v>
      </c>
      <c r="BR3" s="17">
        <v>44562</v>
      </c>
      <c r="BS3" s="17">
        <v>47119</v>
      </c>
      <c r="BT3" s="22">
        <v>44562</v>
      </c>
      <c r="BU3" s="22">
        <f t="shared" si="4"/>
        <v>46169</v>
      </c>
      <c r="BV3" s="16" t="s">
        <v>110</v>
      </c>
    </row>
    <row r="4" ht="16" customHeight="1" spans="1:74" x14ac:dyDescent="0.25">
      <c r="A4" s="1" t="s">
        <v>123</v>
      </c>
      <c r="B4" s="10" t="s">
        <v>124</v>
      </c>
      <c r="C4" s="11" t="s">
        <v>72</v>
      </c>
      <c r="D4" s="12" t="s">
        <v>113</v>
      </c>
      <c r="E4" s="13" t="s">
        <v>74</v>
      </c>
      <c r="F4" s="14" t="s">
        <v>125</v>
      </c>
      <c r="G4" s="14" t="s">
        <v>126</v>
      </c>
      <c r="H4" s="15" t="s">
        <v>127</v>
      </c>
      <c r="I4" s="16" t="s">
        <v>78</v>
      </c>
      <c r="J4" s="16" t="s">
        <v>79</v>
      </c>
      <c r="K4" s="17">
        <f t="shared" si="0"/>
        <v>45797</v>
      </c>
      <c r="L4" s="13" t="s">
        <v>74</v>
      </c>
      <c r="M4" s="18" t="s">
        <v>80</v>
      </c>
      <c r="N4" s="18" t="s">
        <v>81</v>
      </c>
      <c r="O4" s="19" t="s">
        <v>81</v>
      </c>
      <c r="P4" s="16">
        <v>1542</v>
      </c>
      <c r="Q4" s="16" t="s">
        <v>79</v>
      </c>
      <c r="R4" s="20" t="s">
        <v>82</v>
      </c>
      <c r="S4" s="21" t="s">
        <v>83</v>
      </c>
      <c r="T4" s="16" t="s">
        <v>79</v>
      </c>
      <c r="U4" s="22">
        <f t="shared" si="5"/>
        <v>45704</v>
      </c>
      <c r="V4" s="16" t="s">
        <v>84</v>
      </c>
      <c r="W4" s="23" t="s">
        <v>117</v>
      </c>
      <c r="X4" s="24" t="s">
        <v>86</v>
      </c>
      <c r="Y4" s="35" t="s">
        <v>128</v>
      </c>
      <c r="Z4" s="24" t="s">
        <v>119</v>
      </c>
      <c r="AA4" s="25">
        <v>795</v>
      </c>
      <c r="AB4" s="25" t="s">
        <v>89</v>
      </c>
      <c r="AC4" s="26">
        <v>20</v>
      </c>
      <c r="AD4" s="27" t="s">
        <v>90</v>
      </c>
      <c r="AE4" s="19" t="s">
        <v>91</v>
      </c>
      <c r="AF4" s="28" t="s">
        <v>90</v>
      </c>
      <c r="AG4" s="16" t="s">
        <v>92</v>
      </c>
      <c r="AH4" s="16" t="s">
        <v>93</v>
      </c>
      <c r="AI4" s="16" t="s">
        <v>90</v>
      </c>
      <c r="AJ4" s="17">
        <f t="shared" si="1"/>
        <v>45704</v>
      </c>
      <c r="AK4" s="17">
        <f t="shared" si="1"/>
        <v>45704</v>
      </c>
      <c r="AL4" s="17">
        <f t="shared" si="1"/>
        <v>45704</v>
      </c>
      <c r="AM4" s="22">
        <f t="shared" ref="AM4:AM5" si="7">AF4</f>
        <v>NaN</v>
      </c>
      <c r="AN4" s="16" t="s">
        <v>121</v>
      </c>
      <c r="AO4" s="34" t="s">
        <v>129</v>
      </c>
      <c r="AP4" s="24" t="s">
        <v>95</v>
      </c>
      <c r="AQ4" s="24" t="s">
        <v>96</v>
      </c>
      <c r="AR4" s="19" t="s">
        <v>97</v>
      </c>
      <c r="AS4" s="13" t="s">
        <v>90</v>
      </c>
      <c r="AT4" s="13" t="s">
        <v>90</v>
      </c>
      <c r="AU4" s="17">
        <f t="shared" si="3"/>
        <v>45811</v>
      </c>
      <c r="AV4" s="13" t="s">
        <v>74</v>
      </c>
      <c r="AW4" s="29" t="s">
        <v>98</v>
      </c>
      <c r="AX4" s="30">
        <f t="array" ref="AX4">_xlfn.RANDARRAY(2,1,1023456789000,9999999999999,TRUE)</f>
        <v>4001152744612</v>
      </c>
      <c r="AY4" s="17" t="s">
        <v>99</v>
      </c>
      <c r="AZ4" s="17" t="s">
        <v>100</v>
      </c>
      <c r="BA4" s="13" t="s">
        <v>74</v>
      </c>
      <c r="BB4" s="29" t="s">
        <v>101</v>
      </c>
      <c r="BC4" s="30">
        <f t="array" ref="BC4">_xlfn.RANDARRAY(2,1,12345678,99999999,TRUE)</f>
        <v>44270065</v>
      </c>
      <c r="BD4" s="17" t="s">
        <v>99</v>
      </c>
      <c r="BE4" s="17" t="s">
        <v>102</v>
      </c>
      <c r="BF4" s="19" t="s">
        <v>103</v>
      </c>
      <c r="BG4" s="17">
        <v>31423</v>
      </c>
      <c r="BH4" s="13" t="s">
        <v>104</v>
      </c>
      <c r="BI4" s="13" t="s">
        <v>74</v>
      </c>
      <c r="BJ4" s="13" t="s">
        <v>105</v>
      </c>
      <c r="BK4" s="31" t="s">
        <v>90</v>
      </c>
      <c r="BL4" s="13" t="s">
        <v>106</v>
      </c>
      <c r="BM4" s="32" t="s">
        <v>107</v>
      </c>
      <c r="BN4" s="13" t="s">
        <v>108</v>
      </c>
      <c r="BO4" s="13" t="s">
        <v>74</v>
      </c>
      <c r="BP4" s="13" t="s">
        <v>109</v>
      </c>
      <c r="BQ4" s="13">
        <f t="array" ref="BQ4">_xlfn.RANDARRAY(2,1,12345,99999,TRUE)</f>
        <v>70431</v>
      </c>
      <c r="BR4" s="17">
        <v>44562</v>
      </c>
      <c r="BS4" s="17">
        <v>47119</v>
      </c>
      <c r="BT4" s="22">
        <v>44562</v>
      </c>
      <c r="BU4" s="22">
        <f t="shared" si="4"/>
        <v>46169</v>
      </c>
      <c r="BV4" s="16" t="s">
        <v>110</v>
      </c>
    </row>
    <row r="5" ht="15.65" customHeight="1" spans="1:74" x14ac:dyDescent="0.25">
      <c r="A5" s="1" t="s">
        <v>130</v>
      </c>
      <c r="B5" s="10" t="s">
        <v>131</v>
      </c>
      <c r="C5" s="11" t="s">
        <v>72</v>
      </c>
      <c r="D5" s="12" t="s">
        <v>113</v>
      </c>
      <c r="E5" s="13" t="s">
        <v>74</v>
      </c>
      <c r="F5" s="14" t="s">
        <v>132</v>
      </c>
      <c r="G5" s="14" t="s">
        <v>133</v>
      </c>
      <c r="H5" s="15" t="s">
        <v>134</v>
      </c>
      <c r="I5" s="16" t="s">
        <v>78</v>
      </c>
      <c r="J5" s="16" t="s">
        <v>79</v>
      </c>
      <c r="K5" s="17">
        <f t="shared" si="0"/>
        <v>45797</v>
      </c>
      <c r="L5" s="13" t="s">
        <v>74</v>
      </c>
      <c r="M5" s="18" t="s">
        <v>80</v>
      </c>
      <c r="N5" s="18" t="s">
        <v>81</v>
      </c>
      <c r="O5" s="19" t="s">
        <v>81</v>
      </c>
      <c r="P5" s="16">
        <v>1542</v>
      </c>
      <c r="Q5" s="16" t="s">
        <v>79</v>
      </c>
      <c r="R5" s="20" t="s">
        <v>82</v>
      </c>
      <c r="S5" s="21" t="s">
        <v>83</v>
      </c>
      <c r="T5" s="16" t="s">
        <v>79</v>
      </c>
      <c r="U5" s="22">
        <f t="shared" si="5"/>
        <v>45704</v>
      </c>
      <c r="V5" s="16" t="s">
        <v>84</v>
      </c>
      <c r="W5" s="23" t="s">
        <v>117</v>
      </c>
      <c r="X5" s="24" t="s">
        <v>86</v>
      </c>
      <c r="Y5" s="35" t="s">
        <v>128</v>
      </c>
      <c r="Z5" s="24" t="s">
        <v>88</v>
      </c>
      <c r="AA5" s="25">
        <v>795</v>
      </c>
      <c r="AB5" s="25" t="s">
        <v>89</v>
      </c>
      <c r="AC5" s="26">
        <v>40</v>
      </c>
      <c r="AD5" s="27" t="s">
        <v>90</v>
      </c>
      <c r="AE5" s="19" t="s">
        <v>91</v>
      </c>
      <c r="AF5" s="28" t="s">
        <v>90</v>
      </c>
      <c r="AG5" s="16" t="s">
        <v>92</v>
      </c>
      <c r="AH5" s="16" t="s">
        <v>93</v>
      </c>
      <c r="AI5" s="16" t="s">
        <v>90</v>
      </c>
      <c r="AJ5" s="17">
        <f t="shared" si="1"/>
        <v>45704</v>
      </c>
      <c r="AK5" s="17">
        <f t="shared" si="1"/>
        <v>45704</v>
      </c>
      <c r="AL5" s="17">
        <f t="shared" si="1"/>
        <v>45704</v>
      </c>
      <c r="AM5" s="22">
        <f t="shared" si="7"/>
        <v>NaN</v>
      </c>
      <c r="AN5" s="16" t="s">
        <v>121</v>
      </c>
      <c r="AO5" s="34" t="s">
        <v>135</v>
      </c>
      <c r="AP5" s="24" t="s">
        <v>95</v>
      </c>
      <c r="AQ5" s="24" t="s">
        <v>96</v>
      </c>
      <c r="AR5" s="19" t="s">
        <v>97</v>
      </c>
      <c r="AS5" s="13" t="s">
        <v>90</v>
      </c>
      <c r="AT5" s="13" t="s">
        <v>90</v>
      </c>
      <c r="AU5" s="17">
        <f t="shared" si="3"/>
        <v>45811</v>
      </c>
      <c r="AV5" s="13" t="s">
        <v>74</v>
      </c>
      <c r="AW5" s="29" t="s">
        <v>98</v>
      </c>
      <c r="AX5" s="30">
        <f t="array" ref="AX5">_xlfn.RANDARRAY(2,1,1023456789000,9999999999999,TRUE)</f>
        <v>6174478808425</v>
      </c>
      <c r="AY5" s="17" t="s">
        <v>99</v>
      </c>
      <c r="AZ5" s="17" t="s">
        <v>100</v>
      </c>
      <c r="BA5" s="13" t="s">
        <v>74</v>
      </c>
      <c r="BB5" s="29" t="s">
        <v>101</v>
      </c>
      <c r="BC5" s="30">
        <f t="array" ref="BC5">_xlfn.RANDARRAY(2,1,12345678,99999999,TRUE)</f>
        <v>79336051</v>
      </c>
      <c r="BD5" s="17" t="s">
        <v>99</v>
      </c>
      <c r="BE5" s="17" t="s">
        <v>102</v>
      </c>
      <c r="BF5" s="19" t="s">
        <v>103</v>
      </c>
      <c r="BG5" s="17">
        <v>31424</v>
      </c>
      <c r="BH5" s="13" t="s">
        <v>104</v>
      </c>
      <c r="BI5" s="13" t="s">
        <v>74</v>
      </c>
      <c r="BJ5" s="13" t="s">
        <v>105</v>
      </c>
      <c r="BK5" s="31" t="s">
        <v>90</v>
      </c>
      <c r="BL5" s="13" t="s">
        <v>106</v>
      </c>
      <c r="BM5" s="32" t="s">
        <v>107</v>
      </c>
      <c r="BN5" s="13" t="s">
        <v>108</v>
      </c>
      <c r="BO5" s="13" t="s">
        <v>74</v>
      </c>
      <c r="BP5" s="13" t="s">
        <v>109</v>
      </c>
      <c r="BQ5" s="13">
        <f t="array" ref="BQ5">_xlfn.RANDARRAY(2,1,12345,99999,TRUE)</f>
        <v>88065</v>
      </c>
      <c r="BR5" s="17">
        <v>44562</v>
      </c>
      <c r="BS5" s="17">
        <v>47119</v>
      </c>
      <c r="BT5" s="22">
        <v>44562</v>
      </c>
      <c r="BU5" s="22">
        <f t="shared" si="4"/>
        <v>46169</v>
      </c>
      <c r="BV5" s="16" t="s">
        <v>110</v>
      </c>
    </row>
    <row r="6" ht="15.65" customHeight="1" spans="25:25" x14ac:dyDescent="0.25">
      <c r="Y6" s="36"/>
    </row>
  </sheetData>
  <autoFilter ref="A1:BV5"/>
  <dataValidations count="6">
    <dataValidation type="list" allowBlank="1" showInputMessage="1" showErrorMessage="1" sqref="AH2:AH5">
      <formula1>INDIRECT($E2)</formula1>
    </dataValidation>
    <dataValidation type="list" allowBlank="1" showInputMessage="1" showErrorMessage="1" sqref="BL2:BL5">
      <formula1>INDIRECT($E2)</formula1>
    </dataValidation>
    <dataValidation type="list" allowBlank="1" showInputMessage="1" showErrorMessage="1" sqref="J2:J5">
      <formula1>INDIRECT($E2)</formula1>
    </dataValidation>
    <dataValidation type="list" allowBlank="1" showInputMessage="1" showErrorMessage="1" sqref="Q2:Q5">
      <formula1>INDIRECT($E2)</formula1>
    </dataValidation>
    <dataValidation type="list" allowBlank="1" showInputMessage="1" showErrorMessage="1" sqref="T2:T5">
      <formula1>INDIRECT($E2)</formula1>
    </dataValidation>
    <dataValidation type="list" allowBlank="1" showInputMessage="1" showErrorMessage="1" sqref="V2:V5">
      <formula1>INDIRECT($E2)</formula1>
    </dataValidation>
  </dataValidations>
  <hyperlinks>
    <hyperlink ref="S2" r:id="rId1"/>
    <hyperlink ref="S3" r:id="rId2"/>
    <hyperlink ref="S4" r:id="rId3"/>
    <hyperlink ref="S5" r:id="rId4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2025-05-27T11:12:50Z</dcterms:modified>
</cp:coreProperties>
</file>