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B70223B6-110F-4FCB-9E71-80277554490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40" i="1" l="1"/>
  <c r="AK40" i="1"/>
  <c r="K40" i="1"/>
  <c r="AQ39" i="1"/>
  <c r="AK39" i="1"/>
  <c r="K39" i="1"/>
  <c r="AM39" i="1" s="1"/>
  <c r="AQ38" i="1"/>
  <c r="AM38" i="1"/>
  <c r="AG38" i="1"/>
  <c r="AK38" i="1" s="1"/>
  <c r="K38" i="1"/>
  <c r="AL38" i="1" s="1"/>
  <c r="AQ37" i="1"/>
  <c r="AK37" i="1"/>
  <c r="AJ37" i="1"/>
  <c r="W37" i="1"/>
  <c r="K37" i="1"/>
  <c r="AL37" i="1" s="1"/>
  <c r="AQ36" i="1"/>
  <c r="AM36" i="1"/>
  <c r="AK36" i="1"/>
  <c r="K36" i="1"/>
  <c r="AJ36" i="1" s="1"/>
  <c r="AQ35" i="1"/>
  <c r="AG35" i="1"/>
  <c r="AK35" i="1" s="1"/>
  <c r="K35" i="1"/>
  <c r="AJ35" i="1" s="1"/>
  <c r="AQ34" i="1"/>
  <c r="AK34" i="1"/>
  <c r="K34" i="1"/>
  <c r="AL34" i="1" s="1"/>
  <c r="AQ33" i="1"/>
  <c r="AK33" i="1"/>
  <c r="K33" i="1"/>
  <c r="AM33" i="1" s="1"/>
  <c r="AQ32" i="1"/>
  <c r="AM32" i="1"/>
  <c r="AJ32" i="1"/>
  <c r="AG32" i="1"/>
  <c r="AK32" i="1" s="1"/>
  <c r="K32" i="1"/>
  <c r="AL32" i="1" s="1"/>
  <c r="AQ31" i="1"/>
  <c r="AK31" i="1"/>
  <c r="K31" i="1"/>
  <c r="AL31" i="1" s="1"/>
  <c r="AQ30" i="1"/>
  <c r="AK30" i="1"/>
  <c r="K30" i="1"/>
  <c r="AJ30" i="1" s="1"/>
  <c r="AQ29" i="1"/>
  <c r="AG29" i="1"/>
  <c r="AK29" i="1" s="1"/>
  <c r="K29" i="1"/>
  <c r="AQ28" i="1"/>
  <c r="AK28" i="1"/>
  <c r="K28" i="1"/>
  <c r="AQ27" i="1"/>
  <c r="AK27" i="1"/>
  <c r="K27" i="1"/>
  <c r="AM27" i="1" s="1"/>
  <c r="AQ26" i="1"/>
  <c r="AG26" i="1"/>
  <c r="AK26" i="1" s="1"/>
  <c r="K26" i="1"/>
  <c r="AL26" i="1" s="1"/>
  <c r="AQ25" i="1"/>
  <c r="AK25" i="1"/>
  <c r="AJ25" i="1"/>
  <c r="K25" i="1"/>
  <c r="AL25" i="1" s="1"/>
  <c r="AQ24" i="1"/>
  <c r="AK24" i="1"/>
  <c r="K24" i="1"/>
  <c r="AJ24" i="1" s="1"/>
  <c r="AQ23" i="1"/>
  <c r="AG23" i="1"/>
  <c r="AK23" i="1" s="1"/>
  <c r="K23" i="1"/>
  <c r="AQ22" i="1"/>
  <c r="AL22" i="1"/>
  <c r="AK22" i="1"/>
  <c r="K22" i="1"/>
  <c r="AQ21" i="1"/>
  <c r="AK21" i="1"/>
  <c r="AJ21" i="1"/>
  <c r="K21" i="1"/>
  <c r="AM21" i="1" s="1"/>
  <c r="AQ20" i="1"/>
  <c r="AM20" i="1"/>
  <c r="AJ20" i="1"/>
  <c r="AG20" i="1"/>
  <c r="AK20" i="1" s="1"/>
  <c r="K20" i="1"/>
  <c r="AL20" i="1" s="1"/>
  <c r="AQ19" i="1"/>
  <c r="AK19" i="1"/>
  <c r="K19" i="1"/>
  <c r="AL19" i="1" s="1"/>
  <c r="AQ18" i="1"/>
  <c r="AK18" i="1"/>
  <c r="K18" i="1"/>
  <c r="AJ18" i="1" s="1"/>
  <c r="AQ17" i="1"/>
  <c r="AG17" i="1"/>
  <c r="AK17" i="1" s="1"/>
  <c r="W17" i="1"/>
  <c r="K17" i="1"/>
  <c r="AQ16" i="1"/>
  <c r="AL16" i="1"/>
  <c r="AK16" i="1"/>
  <c r="K16" i="1"/>
  <c r="AQ15" i="1"/>
  <c r="AK15" i="1"/>
  <c r="AJ15" i="1"/>
  <c r="K15" i="1"/>
  <c r="AM15" i="1" s="1"/>
  <c r="AQ14" i="1"/>
  <c r="AM14" i="1"/>
  <c r="AJ14" i="1"/>
  <c r="AG14" i="1"/>
  <c r="AK14" i="1" s="1"/>
  <c r="K14" i="1"/>
  <c r="AL14" i="1" s="1"/>
  <c r="AQ13" i="1"/>
  <c r="AK13" i="1"/>
  <c r="K13" i="1"/>
  <c r="AL13" i="1" s="1"/>
  <c r="AQ12" i="1"/>
  <c r="AK12" i="1"/>
  <c r="K12" i="1"/>
  <c r="AJ12" i="1" s="1"/>
  <c r="AQ11" i="1"/>
  <c r="AG11" i="1"/>
  <c r="AK11" i="1" s="1"/>
  <c r="K11" i="1"/>
  <c r="AQ10" i="1"/>
  <c r="AK10" i="1"/>
  <c r="K10" i="1"/>
  <c r="AQ9" i="1"/>
  <c r="AK9" i="1"/>
  <c r="K9" i="1"/>
  <c r="AM9" i="1" s="1"/>
  <c r="AQ8" i="1"/>
  <c r="AG8" i="1"/>
  <c r="AK8" i="1" s="1"/>
  <c r="K8" i="1"/>
  <c r="AL8" i="1" s="1"/>
  <c r="AQ7" i="1"/>
  <c r="AK7" i="1"/>
  <c r="AJ7" i="1"/>
  <c r="K7" i="1"/>
  <c r="AL7" i="1" s="1"/>
  <c r="AQ6" i="1"/>
  <c r="AL6" i="1"/>
  <c r="AK6" i="1"/>
  <c r="K6" i="1"/>
  <c r="AJ6" i="1" s="1"/>
  <c r="AQ5" i="1"/>
  <c r="AG5" i="1"/>
  <c r="AK5" i="1" s="1"/>
  <c r="K5" i="1"/>
  <c r="AQ4" i="1"/>
  <c r="AK4" i="1"/>
  <c r="K4" i="1"/>
  <c r="AQ3" i="1"/>
  <c r="AK3" i="1"/>
  <c r="K3" i="1"/>
  <c r="AQ2" i="1"/>
  <c r="AK2" i="1"/>
  <c r="AJ2" i="1"/>
  <c r="AG2" i="1"/>
  <c r="K2" i="1"/>
  <c r="AM13" i="1" l="1"/>
  <c r="AM19" i="1"/>
  <c r="AL35" i="1"/>
  <c r="W13" i="1"/>
  <c r="W19" i="1"/>
  <c r="W30" i="1"/>
  <c r="AM31" i="1"/>
  <c r="AJ33" i="1"/>
  <c r="W35" i="1"/>
  <c r="W6" i="1"/>
  <c r="AM7" i="1"/>
  <c r="AJ8" i="1"/>
  <c r="AJ9" i="1"/>
  <c r="AL12" i="1"/>
  <c r="AJ13" i="1"/>
  <c r="AL18" i="1"/>
  <c r="AJ19" i="1"/>
  <c r="AM25" i="1"/>
  <c r="AJ26" i="1"/>
  <c r="AJ27" i="1"/>
  <c r="W31" i="1"/>
  <c r="W7" i="1"/>
  <c r="AM8" i="1"/>
  <c r="W25" i="1"/>
  <c r="AM26" i="1"/>
  <c r="AM30" i="1"/>
  <c r="AJ31" i="1"/>
  <c r="W36" i="1"/>
  <c r="AM37" i="1"/>
  <c r="AJ38" i="1"/>
  <c r="AM3" i="1"/>
  <c r="W3" i="1"/>
  <c r="AJ10" i="1"/>
  <c r="AM10" i="1"/>
  <c r="W10" i="1"/>
  <c r="AJ11" i="1"/>
  <c r="AM11" i="1"/>
  <c r="AL11" i="1"/>
  <c r="AM24" i="1"/>
  <c r="AJ40" i="1"/>
  <c r="AM40" i="1"/>
  <c r="W40" i="1"/>
  <c r="AJ3" i="1"/>
  <c r="AJ4" i="1"/>
  <c r="AM4" i="1"/>
  <c r="W4" i="1"/>
  <c r="AJ5" i="1"/>
  <c r="AM5" i="1"/>
  <c r="AL5" i="1"/>
  <c r="W11" i="1"/>
  <c r="AM18" i="1"/>
  <c r="W24" i="1"/>
  <c r="AJ28" i="1"/>
  <c r="AM28" i="1"/>
  <c r="W28" i="1"/>
  <c r="AJ29" i="1"/>
  <c r="AM29" i="1"/>
  <c r="AL29" i="1"/>
  <c r="AL2" i="1"/>
  <c r="W2" i="1"/>
  <c r="AM2" i="1"/>
  <c r="W5" i="1"/>
  <c r="AL10" i="1"/>
  <c r="AM12" i="1"/>
  <c r="W18" i="1"/>
  <c r="AJ22" i="1"/>
  <c r="AM22" i="1"/>
  <c r="W22" i="1"/>
  <c r="AJ23" i="1"/>
  <c r="AM23" i="1"/>
  <c r="AL23" i="1"/>
  <c r="W29" i="1"/>
  <c r="AL40" i="1"/>
  <c r="AL3" i="1"/>
  <c r="AL4" i="1"/>
  <c r="AM6" i="1"/>
  <c r="W12" i="1"/>
  <c r="AJ16" i="1"/>
  <c r="AM16" i="1"/>
  <c r="W16" i="1"/>
  <c r="AJ17" i="1"/>
  <c r="AM17" i="1"/>
  <c r="AL17" i="1"/>
  <c r="W23" i="1"/>
  <c r="AL24" i="1"/>
  <c r="AL28" i="1"/>
  <c r="AJ34" i="1"/>
  <c r="AM34" i="1"/>
  <c r="W34" i="1"/>
  <c r="AL30" i="1"/>
  <c r="AL36" i="1"/>
  <c r="AJ39" i="1"/>
  <c r="AL9" i="1"/>
  <c r="AL15" i="1"/>
  <c r="AL21" i="1"/>
  <c r="AL27" i="1"/>
  <c r="AL33" i="1"/>
  <c r="AM35" i="1"/>
  <c r="AL39" i="1"/>
  <c r="W8" i="1"/>
  <c r="W9" i="1"/>
  <c r="W14" i="1"/>
  <c r="W15" i="1"/>
  <c r="W20" i="1"/>
  <c r="W21" i="1"/>
  <c r="W26" i="1"/>
  <c r="W27" i="1"/>
  <c r="W32" i="1"/>
  <c r="W33" i="1"/>
  <c r="W38" i="1"/>
  <c r="W39" i="1"/>
</calcChain>
</file>

<file path=xl/sharedStrings.xml><?xml version="1.0" encoding="utf-8"?>
<sst xmlns="http://schemas.openxmlformats.org/spreadsheetml/2006/main" count="2284" uniqueCount="236">
  <si>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</si>
  <si>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</si>
  <si>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</si>
  <si>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</si>
  <si>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</si>
  <si>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</si>
  <si>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</si>
  <si>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</si>
  <si>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</si>
  <si>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</si>
  <si>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</si>
  <si>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</si>
  <si>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</si>
  <si>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Locality</t>
  </si>
  <si>
    <t>PostalCode</t>
  </si>
  <si>
    <t>City</t>
  </si>
  <si>
    <t>Region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</si>
  <si>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</si>
  <si>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</si>
  <si>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</si>
  <si>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</si>
  <si>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</si>
  <si>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</si>
  <si>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</si>
  <si>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</si>
  <si>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</si>
  <si>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</si>
  <si>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WorkShift</t>
  </si>
  <si>
    <t>ScheduledWeeklyHours</t>
  </si>
  <si>
    <t>EndEmploymentDate</t>
  </si>
  <si>
    <t>ContractType</t>
  </si>
  <si>
    <t>Status</t>
  </si>
  <si>
    <t>ContractStartDate</t>
  </si>
  <si>
    <t>ContractEndDate</t>
  </si>
  <si>
    <t>DateEmployeeSigned</t>
  </si>
  <si>
    <t>DateEmployerSigned</t>
  </si>
  <si>
    <t>CostCenter</t>
  </si>
  <si>
    <t>DepartmentSection</t>
  </si>
  <si>
    <t>AllowanceAmount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</si>
  <si>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</si>
  <si>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</si>
  <si>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</si>
  <si>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</si>
  <si>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</si>
  <si>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</si>
  <si>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</si>
  <si>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</si>
  <si>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</si>
  <si>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</si>
  <si>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</si>
  <si>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Gender</t>
  </si>
  <si>
    <t>DateOfBirth</t>
  </si>
  <si>
    <t>CityofBirth</t>
  </si>
  <si>
    <t>MaritalStatus</t>
  </si>
  <si>
    <t>CitizenshipStatus</t>
  </si>
  <si>
    <t>BankName</t>
  </si>
  <si>
    <t>AccountType</t>
  </si>
  <si>
    <t>IBAN</t>
  </si>
  <si>
    <t>BankIdentificationCode</t>
  </si>
  <si>
    <t>NameType</t>
  </si>
  <si>
    <t>HealthInsuranceCompany</t>
  </si>
  <si>
    <t>MealVoucher</t>
  </si>
  <si>
    <t>ProposedPayGroupInitial</t>
  </si>
  <si>
    <t>ProposedPayGroupFinal</t>
  </si>
  <si>
    <t>defaultHours</t>
  </si>
  <si>
    <t>ReferenceNumber</t>
  </si>
  <si>
    <t>Test1</t>
  </si>
  <si>
    <t>10652541</t>
  </si>
  <si>
    <t>Passed</t>
  </si>
  <si>
    <t>896 Retail Team (Vuvip Kevozi (10525382) (Inherited))</t>
  </si>
  <si>
    <t>Czechia</t>
  </si>
  <si>
    <t>CZSITTen</t>
  </si>
  <si>
    <t>CzechTen</t>
  </si>
  <si>
    <t>770 272 784</t>
  </si>
  <si>
    <t>Mobile</t>
  </si>
  <si>
    <t>Home</t>
  </si>
  <si>
    <t>Test</t>
  </si>
  <si>
    <t>Prague</t>
  </si>
  <si>
    <t>26401</t>
  </si>
  <si>
    <t>Pardubic</t>
  </si>
  <si>
    <t>Street Address</t>
  </si>
  <si>
    <t>Test@primark.com</t>
  </si>
  <si>
    <t>New Hire</t>
  </si>
  <si>
    <t>Auto 26102024 181953</t>
  </si>
  <si>
    <t>Fixed Term (Fixed Term)</t>
  </si>
  <si>
    <t>Retail Assistant_NEW</t>
  </si>
  <si>
    <t>Part Time</t>
  </si>
  <si>
    <t>896 Brno</t>
  </si>
  <si>
    <t>Salary</t>
  </si>
  <si>
    <t>3 Days</t>
  </si>
  <si>
    <t>Employment Agreement</t>
  </si>
  <si>
    <t>Active</t>
  </si>
  <si>
    <t>94 Retail Operatives</t>
  </si>
  <si>
    <t>08 Ladieswear</t>
  </si>
  <si>
    <t>Personal Number</t>
  </si>
  <si>
    <t>11/11/1999</t>
  </si>
  <si>
    <t>11/11/2055</t>
  </si>
  <si>
    <t>Citizen ID Number</t>
  </si>
  <si>
    <t>Male</t>
  </si>
  <si>
    <t>11/11/2008</t>
  </si>
  <si>
    <t>Single (Czechia)</t>
  </si>
  <si>
    <t>Citizen (Czechia)</t>
  </si>
  <si>
    <t>Air Bank</t>
  </si>
  <si>
    <t>Checking</t>
  </si>
  <si>
    <t>CZ6508000000192000145399</t>
  </si>
  <si>
    <t>AIRACZPPXXX</t>
  </si>
  <si>
    <t>Maiden</t>
  </si>
  <si>
    <t>(VZP) – code No. 111</t>
  </si>
  <si>
    <t>Ne</t>
  </si>
  <si>
    <t>Please select a Czech Republic Pay Group</t>
  </si>
  <si>
    <t>CZ Monthly</t>
  </si>
  <si>
    <t>40</t>
  </si>
  <si>
    <t>Test2</t>
  </si>
  <si>
    <t>CZSITOneA</t>
  </si>
  <si>
    <t>CzechOneA</t>
  </si>
  <si>
    <t>No</t>
  </si>
  <si>
    <t>Permanent</t>
  </si>
  <si>
    <t>N/A</t>
  </si>
  <si>
    <t>Test3</t>
  </si>
  <si>
    <t>CZSITTwoA</t>
  </si>
  <si>
    <t>CzechTwoA</t>
  </si>
  <si>
    <t>771 272 784</t>
  </si>
  <si>
    <t>Auto 26102024 185305</t>
  </si>
  <si>
    <t>Test4</t>
  </si>
  <si>
    <t>CZSITThreeA</t>
  </si>
  <si>
    <t>CzechThreeA</t>
  </si>
  <si>
    <t>4 Days</t>
  </si>
  <si>
    <t>Test5</t>
  </si>
  <si>
    <t>CZSITFourA</t>
  </si>
  <si>
    <t>CzechFourA</t>
  </si>
  <si>
    <t>Test6</t>
  </si>
  <si>
    <t>CZSITFiveA</t>
  </si>
  <si>
    <t>CzechFiveA</t>
  </si>
  <si>
    <t>Test7</t>
  </si>
  <si>
    <t>CZSITSixA</t>
  </si>
  <si>
    <t>CzechSixA</t>
  </si>
  <si>
    <t>5 Days</t>
  </si>
  <si>
    <t>Test8</t>
  </si>
  <si>
    <t>CZSITSevenA</t>
  </si>
  <si>
    <t>CzechSevenA</t>
  </si>
  <si>
    <t>Test9</t>
  </si>
  <si>
    <t>CZSITEightA</t>
  </si>
  <si>
    <t>CzechEightA</t>
  </si>
  <si>
    <t>Test10</t>
  </si>
  <si>
    <t>CZSITNineA</t>
  </si>
  <si>
    <t>CzechNineA</t>
  </si>
  <si>
    <t>Test11</t>
  </si>
  <si>
    <t>CZSITTenA</t>
  </si>
  <si>
    <t>CzechTenA</t>
  </si>
  <si>
    <t>Test12</t>
  </si>
  <si>
    <t>CZSITOneB</t>
  </si>
  <si>
    <t>CzechOneB</t>
  </si>
  <si>
    <t>Test13</t>
  </si>
  <si>
    <t>CZSITTwoB</t>
  </si>
  <si>
    <t>CzechTwoB</t>
  </si>
  <si>
    <t>Test14</t>
  </si>
  <si>
    <t>CZSITThreeB</t>
  </si>
  <si>
    <t>CzechThreeB</t>
  </si>
  <si>
    <t>Test15</t>
  </si>
  <si>
    <t>CZSITFourB</t>
  </si>
  <si>
    <t>CzechFourB</t>
  </si>
  <si>
    <t>Test16</t>
  </si>
  <si>
    <t>CZSITFiveB</t>
  </si>
  <si>
    <t>CzechFiveB</t>
  </si>
  <si>
    <t>Test17</t>
  </si>
  <si>
    <t>CZSITSixB</t>
  </si>
  <si>
    <t>CzechSixB</t>
  </si>
  <si>
    <t>Test18</t>
  </si>
  <si>
    <t>CZSITSevenB</t>
  </si>
  <si>
    <t>CzechSevenB</t>
  </si>
  <si>
    <t>Test19</t>
  </si>
  <si>
    <t>CZSITEightB</t>
  </si>
  <si>
    <t>CzechEightB</t>
  </si>
  <si>
    <t>11/11/1984</t>
  </si>
  <si>
    <t>Test20</t>
  </si>
  <si>
    <t>CZSITNineB</t>
  </si>
  <si>
    <t>CzechNineB</t>
  </si>
  <si>
    <t>Test21</t>
  </si>
  <si>
    <t>CZSITTenB</t>
  </si>
  <si>
    <t>CzechTenB</t>
  </si>
  <si>
    <t>Test22</t>
  </si>
  <si>
    <t>CZSITOneC</t>
  </si>
  <si>
    <t>CzechOneC</t>
  </si>
  <si>
    <t>Test23</t>
  </si>
  <si>
    <t>CZSITTwoC</t>
  </si>
  <si>
    <t>CzechTwoC</t>
  </si>
  <si>
    <t>Test24</t>
  </si>
  <si>
    <t>CZSITThreeC</t>
  </si>
  <si>
    <t>CzechThreeC</t>
  </si>
  <si>
    <t>Test25</t>
  </si>
  <si>
    <t>CZSITFourC</t>
  </si>
  <si>
    <t>CzechFourC</t>
  </si>
  <si>
    <t>Test26</t>
  </si>
  <si>
    <t>CZSITFiveC</t>
  </si>
  <si>
    <t>CzechFiveC</t>
  </si>
  <si>
    <t>Test27</t>
  </si>
  <si>
    <t>CZSITSixC</t>
  </si>
  <si>
    <t>CzechSixC</t>
  </si>
  <si>
    <t>Test28</t>
  </si>
  <si>
    <t>CZSITSevenC</t>
  </si>
  <si>
    <t>CzechSevenC</t>
  </si>
  <si>
    <t>Test29</t>
  </si>
  <si>
    <t>CZSITEightC</t>
  </si>
  <si>
    <t>CzechEightC</t>
  </si>
  <si>
    <t>Test30</t>
  </si>
  <si>
    <t>CZSITNineC</t>
  </si>
  <si>
    <t>CzechNineC</t>
  </si>
  <si>
    <t>Test31</t>
  </si>
  <si>
    <t>CZSITTenC</t>
  </si>
  <si>
    <t>CzechTenC</t>
  </si>
  <si>
    <t>Test32</t>
  </si>
  <si>
    <t>CZSITOneD</t>
  </si>
  <si>
    <t>CzechOneD</t>
  </si>
  <si>
    <t>Test33</t>
  </si>
  <si>
    <t>CZSITTwoD</t>
  </si>
  <si>
    <t>CzechTwoD</t>
  </si>
  <si>
    <t>Test34</t>
  </si>
  <si>
    <t>CZSITThreeD</t>
  </si>
  <si>
    <t>CzechThreeD</t>
  </si>
  <si>
    <t>Pardubice</t>
  </si>
  <si>
    <t>Test35</t>
  </si>
  <si>
    <t>CZSITFourD</t>
  </si>
  <si>
    <t>CzechFourD</t>
  </si>
  <si>
    <t>Test36</t>
  </si>
  <si>
    <t>CZSITFiveD</t>
  </si>
  <si>
    <t>CzechFiveD</t>
  </si>
  <si>
    <t>Test37</t>
  </si>
  <si>
    <t>CZSITSixD</t>
  </si>
  <si>
    <t>CzechSixD</t>
  </si>
  <si>
    <t>2 Days</t>
  </si>
  <si>
    <t>Test38</t>
  </si>
  <si>
    <t>CZSITSevenD</t>
  </si>
  <si>
    <t>CzechSevenD</t>
  </si>
  <si>
    <t>Test39</t>
  </si>
  <si>
    <t>CZSITEightD</t>
  </si>
  <si>
    <t>CzechEightD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</si>
</sst>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9" x14ac:knownFonts="1">
    <font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FF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8E8E8"/>
        <bgColor rgb="FF000000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49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7" borderId="0" xfId="0" applyFill="1"/>
    <xf numFmtId="0" fontId="1" fillId="0" borderId="3" xfId="0" applyFont="1" applyBorder="1" applyAlignment="1">
      <alignment vertical="center" wrapText="1"/>
    </xf>
    <xf numFmtId="0" fontId="2" fillId="8" borderId="3" xfId="0" applyFont="1" applyFill="1" applyBorder="1" applyAlignment="1">
      <alignment horizontal="left"/>
    </xf>
    <xf numFmtId="0" fontId="2" fillId="3" borderId="3" xfId="0" applyFont="1" applyFill="1" applyBorder="1" applyAlignment="1" applyProtection="1">
      <alignment horizontal="left"/>
      <protection locked="0"/>
    </xf>
    <xf numFmtId="0" fontId="0" fillId="3" borderId="0" xfId="0" applyFill="1"/>
    <xf numFmtId="0" fontId="2" fillId="8" borderId="3" xfId="0" applyFont="1" applyFill="1" applyBorder="1" applyAlignment="1" applyProtection="1">
      <alignment horizontal="left"/>
      <protection locked="0"/>
    </xf>
    <xf numFmtId="14" fontId="4" fillId="8" borderId="3" xfId="0" applyNumberFormat="1" applyFont="1" applyFill="1" applyBorder="1" applyAlignment="1">
      <alignment horizontal="left"/>
    </xf>
    <xf numFmtId="14" fontId="2" fillId="8" borderId="3" xfId="0" applyNumberFormat="1" applyFont="1" applyFill="1" applyBorder="1" applyAlignment="1">
      <alignment horizontal="left"/>
    </xf>
    <xf numFmtId="0" fontId="5" fillId="8" borderId="3" xfId="0" applyFont="1" applyFill="1" applyBorder="1" applyProtection="1">
      <protection locked="0"/>
    </xf>
    <xf numFmtId="0" fontId="2" fillId="0" borderId="3" xfId="0" applyFont="1" applyBorder="1"/>
    <xf numFmtId="0" fontId="2" fillId="0" borderId="3" xfId="0" applyFont="1" applyBorder="1" applyAlignment="1">
      <alignment horizontal="left"/>
    </xf>
    <xf numFmtId="0" fontId="2" fillId="0" borderId="3" xfId="0" applyFont="1" applyBorder="1" applyAlignment="1" applyProtection="1">
      <alignment horizontal="left" wrapText="1"/>
      <protection locked="0"/>
    </xf>
    <xf numFmtId="14" fontId="4" fillId="0" borderId="3" xfId="0" applyNumberFormat="1" applyFont="1" applyBorder="1" applyAlignment="1">
      <alignment horizontal="left"/>
    </xf>
    <xf numFmtId="0" fontId="2" fillId="0" borderId="3" xfId="0" applyFont="1" applyBorder="1" applyAlignment="1" applyProtection="1">
      <alignment horizontal="left"/>
      <protection locked="0"/>
    </xf>
    <xf numFmtId="14" fontId="6" fillId="0" borderId="3" xfId="0" applyNumberFormat="1" applyFont="1" applyBorder="1" applyAlignment="1">
      <alignment horizontal="left"/>
    </xf>
    <xf numFmtId="14" fontId="6" fillId="8" borderId="3" xfId="0" applyNumberFormat="1" applyFont="1" applyFill="1" applyBorder="1" applyAlignment="1">
      <alignment horizontal="left"/>
    </xf>
    <xf numFmtId="164" fontId="2" fillId="8" borderId="3" xfId="0" applyNumberFormat="1" applyFont="1" applyFill="1" applyBorder="1" applyAlignment="1" applyProtection="1">
      <alignment horizontal="left"/>
      <protection locked="0"/>
    </xf>
    <xf numFmtId="0" fontId="3" fillId="4" borderId="3" xfId="0" applyFont="1" applyFill="1" applyBorder="1" applyAlignment="1">
      <alignment horizontal="left"/>
    </xf>
    <xf numFmtId="0" fontId="2" fillId="8" borderId="3" xfId="0" applyFont="1" applyFill="1" applyBorder="1"/>
    <xf numFmtId="164" fontId="6" fillId="8" borderId="3" xfId="0" applyNumberFormat="1" applyFont="1" applyFill="1" applyBorder="1" applyAlignment="1" applyProtection="1">
      <alignment horizontal="left"/>
      <protection locked="0"/>
    </xf>
    <xf numFmtId="0" fontId="7" fillId="9" borderId="3" xfId="0" applyFont="1" applyFill="1" applyBorder="1" applyAlignment="1">
      <alignment horizontal="left" vertical="top"/>
    </xf>
    <xf numFmtId="14" fontId="8" fillId="10" borderId="3" xfId="0" applyNumberFormat="1" applyFont="1" applyFill="1" applyBorder="1" applyAlignment="1">
      <alignment horizontal="left" vertical="top"/>
    </xf>
    <xf numFmtId="0" fontId="8" fillId="10" borderId="3" xfId="0" applyFont="1" applyFill="1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14" fontId="8" fillId="5" borderId="3" xfId="0" applyNumberFormat="1" applyFont="1" applyFill="1" applyBorder="1" applyAlignment="1">
      <alignment horizontal="left" vertical="top"/>
    </xf>
    <xf numFmtId="14" fontId="8" fillId="0" borderId="3" xfId="0" applyNumberFormat="1" applyFont="1" applyBorder="1" applyAlignment="1">
      <alignment horizontal="left" vertical="top"/>
    </xf>
    <xf numFmtId="0" fontId="7" fillId="10" borderId="3" xfId="0" applyFont="1" applyFill="1" applyBorder="1" applyAlignment="1">
      <alignment horizontal="left" vertical="top"/>
    </xf>
    <xf numFmtId="0" fontId="3" fillId="8" borderId="3" xfId="0" applyFont="1" applyFill="1" applyBorder="1" applyAlignment="1">
      <alignment horizontal="left"/>
    </xf>
    <xf numFmtId="0" fontId="8" fillId="11" borderId="3" xfId="0" applyFont="1" applyFill="1" applyBorder="1" applyAlignment="1">
      <alignment horizontal="left" vertical="top"/>
    </xf>
    <xf numFmtId="0" fontId="8" fillId="11" borderId="4" xfId="0" applyFont="1" applyFill="1" applyBorder="1" applyAlignment="1">
      <alignment horizontal="left" vertical="top"/>
    </xf>
    <xf numFmtId="0" fontId="7" fillId="11" borderId="3" xfId="0" applyFont="1" applyFill="1" applyBorder="1" applyAlignment="1">
      <alignment horizontal="left" vertical="top"/>
    </xf>
    <xf numFmtId="0" fontId="7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40"/>
  <sheetViews>
    <sheetView tabSelected="1" zoomScale="110" zoomScaleNormal="110" workbookViewId="0">
      <selection activeCell="F8" sqref="F8"/>
    </sheetView>
  </sheetViews>
  <sheetFormatPr defaultRowHeight="14.4" customHeight="1" x14ac:dyDescent="0.35"/>
  <cols>
    <col min="4" max="102" width="17" customWidth="1"/>
  </cols>
  <sheetData>
    <row r="1" spans="1:102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3" t="s">
        <v>4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9</v>
      </c>
      <c r="T1" s="3" t="s">
        <v>17</v>
      </c>
      <c r="U1" s="3" t="s">
        <v>18</v>
      </c>
      <c r="V1" s="3" t="s">
        <v>9</v>
      </c>
      <c r="W1" s="2" t="s">
        <v>19</v>
      </c>
      <c r="X1" s="3" t="s">
        <v>20</v>
      </c>
      <c r="Y1" s="4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5" t="s">
        <v>28</v>
      </c>
      <c r="AG1" s="6" t="s">
        <v>29</v>
      </c>
      <c r="AH1" s="3" t="s">
        <v>30</v>
      </c>
      <c r="AI1" s="3" t="s">
        <v>31</v>
      </c>
      <c r="AJ1" s="3" t="s">
        <v>32</v>
      </c>
      <c r="AK1" s="2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7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7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8" t="s">
        <v>58</v>
      </c>
      <c r="BK1" s="3" t="s">
        <v>59</v>
      </c>
      <c r="BL1" s="3" t="s">
        <v>4</v>
      </c>
      <c r="BM1" s="3" t="s">
        <v>5</v>
      </c>
      <c r="BN1" s="3" t="s">
        <v>6</v>
      </c>
      <c r="BO1" s="3" t="s">
        <v>60</v>
      </c>
      <c r="BP1" s="3" t="s">
        <v>61</v>
      </c>
      <c r="BQ1" s="3" t="s">
        <v>62</v>
      </c>
      <c r="BR1" s="3" t="s">
        <v>63</v>
      </c>
      <c r="BS1" s="3" t="s">
        <v>64</v>
      </c>
      <c r="BT1" s="3" t="s">
        <v>65</v>
      </c>
      <c r="BU1" s="9"/>
      <c r="BV1" s="9"/>
      <c r="BW1" s="9"/>
      <c r="BX1" s="9"/>
      <c r="BY1" s="9"/>
      <c r="BZ1" s="10"/>
      <c r="CA1" s="9"/>
      <c r="CB1" s="9"/>
      <c r="CC1" s="9"/>
      <c r="CD1" s="9"/>
      <c r="CE1" s="10"/>
      <c r="CF1" s="9"/>
      <c r="CG1" s="9"/>
      <c r="CH1" s="11"/>
      <c r="CI1" s="10"/>
      <c r="CJ1" s="9"/>
      <c r="CK1" s="10"/>
      <c r="CL1" s="10"/>
      <c r="CM1" s="9"/>
      <c r="CN1" s="9"/>
      <c r="CO1" s="9"/>
      <c r="CP1" s="9"/>
      <c r="CQ1" s="9"/>
      <c r="CR1" s="9"/>
      <c r="CS1" s="9"/>
      <c r="CT1" s="9"/>
      <c r="CU1" s="10"/>
      <c r="CV1" s="10"/>
      <c r="CW1" s="9"/>
      <c r="CX1" s="10"/>
    </row>
    <row r="2" spans="1:102" ht="19.25" customHeight="1" x14ac:dyDescent="0.35">
      <c r="A2" s="12" t="s">
        <v>66</v>
      </c>
      <c r="B2" t="s">
        <v>67</v>
      </c>
      <c r="C2" s="13" t="s">
        <v>68</v>
      </c>
      <c r="D2" s="14" t="s">
        <v>69</v>
      </c>
      <c r="E2" s="15" t="s">
        <v>70</v>
      </c>
      <c r="F2" s="16" t="s">
        <v>71</v>
      </c>
      <c r="G2" s="17" t="s">
        <v>72</v>
      </c>
      <c r="H2" s="18" t="s">
        <v>73</v>
      </c>
      <c r="I2" s="18" t="s">
        <v>74</v>
      </c>
      <c r="J2" s="18" t="s">
        <v>75</v>
      </c>
      <c r="K2" s="19">
        <f t="shared" ref="K2:K40" ca="1" si="0">TODAY()-61</f>
        <v>45611</v>
      </c>
      <c r="L2" s="15" t="s">
        <v>70</v>
      </c>
      <c r="M2" s="15" t="s">
        <v>76</v>
      </c>
      <c r="N2" s="15">
        <v>1</v>
      </c>
      <c r="O2" s="18" t="s">
        <v>77</v>
      </c>
      <c r="P2" s="18" t="s">
        <v>78</v>
      </c>
      <c r="Q2" s="18" t="s">
        <v>77</v>
      </c>
      <c r="R2" s="18" t="s">
        <v>79</v>
      </c>
      <c r="S2" s="18" t="s">
        <v>75</v>
      </c>
      <c r="T2" s="20" t="s">
        <v>80</v>
      </c>
      <c r="U2" s="21" t="s">
        <v>81</v>
      </c>
      <c r="V2" s="18" t="s">
        <v>75</v>
      </c>
      <c r="W2" s="19">
        <f t="shared" ref="W2:W40" ca="1" si="1">K2</f>
        <v>45611</v>
      </c>
      <c r="X2" s="18" t="s">
        <v>82</v>
      </c>
      <c r="Y2" s="16" t="s">
        <v>83</v>
      </c>
      <c r="Z2" s="22" t="s">
        <v>84</v>
      </c>
      <c r="AA2" s="22" t="s">
        <v>85</v>
      </c>
      <c r="AB2" s="22" t="s">
        <v>86</v>
      </c>
      <c r="AC2" s="23" t="s">
        <v>87</v>
      </c>
      <c r="AD2" s="23" t="s">
        <v>88</v>
      </c>
      <c r="AE2" s="22" t="s">
        <v>89</v>
      </c>
      <c r="AF2" s="24">
        <v>20</v>
      </c>
      <c r="AG2" s="25">
        <f ca="1">TODAY()+365</f>
        <v>46037</v>
      </c>
      <c r="AH2" s="26" t="s">
        <v>90</v>
      </c>
      <c r="AI2" s="26" t="s">
        <v>91</v>
      </c>
      <c r="AJ2" s="27">
        <f t="shared" ref="AJ2:AJ40" ca="1" si="2">K2</f>
        <v>45611</v>
      </c>
      <c r="AK2" s="25">
        <f t="shared" ref="AK2:AK40" ca="1" si="3">AG2</f>
        <v>46037</v>
      </c>
      <c r="AL2" s="28">
        <f t="shared" ref="AL2:AL40" ca="1" si="4">K2</f>
        <v>45611</v>
      </c>
      <c r="AM2" s="28">
        <f t="shared" ref="AM2:AM40" ca="1" si="5">K2</f>
        <v>45611</v>
      </c>
      <c r="AN2" s="26" t="s">
        <v>92</v>
      </c>
      <c r="AO2" s="22" t="s">
        <v>93</v>
      </c>
      <c r="AP2" s="15">
        <v>100</v>
      </c>
      <c r="AQ2" s="28">
        <f t="shared" ref="AQ2:AQ40" ca="1" si="6">TODAY()+20</f>
        <v>45692</v>
      </c>
      <c r="AR2" s="15" t="s">
        <v>70</v>
      </c>
      <c r="AS2" s="29" t="s">
        <v>94</v>
      </c>
      <c r="AT2" s="30">
        <v>486329406</v>
      </c>
      <c r="AU2" s="28" t="s">
        <v>95</v>
      </c>
      <c r="AV2" s="28" t="s">
        <v>96</v>
      </c>
      <c r="AW2" s="15" t="s">
        <v>70</v>
      </c>
      <c r="AX2" s="29" t="s">
        <v>97</v>
      </c>
      <c r="AY2" s="30">
        <v>394257536</v>
      </c>
      <c r="AZ2" s="28" t="s">
        <v>95</v>
      </c>
      <c r="BA2" s="28" t="s">
        <v>96</v>
      </c>
      <c r="BB2" s="31" t="s">
        <v>98</v>
      </c>
      <c r="BC2" s="28" t="s">
        <v>99</v>
      </c>
      <c r="BD2" s="29" t="s">
        <v>77</v>
      </c>
      <c r="BE2" s="29" t="s">
        <v>100</v>
      </c>
      <c r="BF2" s="29" t="s">
        <v>101</v>
      </c>
      <c r="BG2" s="15" t="s">
        <v>102</v>
      </c>
      <c r="BH2" s="15" t="s">
        <v>103</v>
      </c>
      <c r="BI2" s="32" t="s">
        <v>104</v>
      </c>
      <c r="BJ2" t="s">
        <v>105</v>
      </c>
      <c r="BK2" s="15" t="s">
        <v>106</v>
      </c>
      <c r="BL2" s="15" t="s">
        <v>70</v>
      </c>
      <c r="BM2" s="15" t="s">
        <v>71</v>
      </c>
      <c r="BN2" s="15" t="s">
        <v>72</v>
      </c>
      <c r="BO2" s="15" t="s">
        <v>107</v>
      </c>
      <c r="BP2" s="15" t="s">
        <v>108</v>
      </c>
      <c r="BQ2" s="18" t="s">
        <v>109</v>
      </c>
      <c r="BR2" s="18" t="s">
        <v>110</v>
      </c>
      <c r="BS2" t="s">
        <v>111</v>
      </c>
      <c r="BT2" s="33">
        <v>213111231</v>
      </c>
      <c r="BU2" s="34"/>
      <c r="BV2" s="35"/>
      <c r="BW2" s="36"/>
      <c r="BX2" s="37"/>
      <c r="BY2" s="38"/>
      <c r="BZ2" s="37"/>
      <c r="CA2" s="39"/>
      <c r="CB2" s="35"/>
      <c r="CC2" s="40"/>
      <c r="CD2" s="40"/>
      <c r="CE2" s="41"/>
      <c r="CF2" s="34"/>
      <c r="CG2" s="34"/>
      <c r="CH2" s="35"/>
      <c r="CI2" s="42"/>
      <c r="CJ2" s="42"/>
      <c r="CK2" s="42"/>
      <c r="CL2" s="43"/>
      <c r="CM2" s="43"/>
      <c r="CN2" s="43"/>
      <c r="CO2" s="43"/>
      <c r="CP2" s="44"/>
      <c r="CQ2" s="40"/>
      <c r="CR2" s="40"/>
      <c r="CS2" s="36"/>
      <c r="CT2" s="36"/>
      <c r="CU2" s="45"/>
      <c r="CV2" s="36"/>
      <c r="CW2" s="36"/>
      <c r="CX2" s="36"/>
    </row>
    <row r="3" spans="1:102" ht="19.25" customHeight="1" x14ac:dyDescent="0.35">
      <c r="A3" s="12" t="s">
        <v>112</v>
      </c>
      <c r="C3" s="13"/>
      <c r="D3" s="14" t="s">
        <v>69</v>
      </c>
      <c r="E3" s="15" t="s">
        <v>70</v>
      </c>
      <c r="F3" s="16" t="s">
        <v>113</v>
      </c>
      <c r="G3" s="17" t="s">
        <v>114</v>
      </c>
      <c r="H3" s="18" t="s">
        <v>73</v>
      </c>
      <c r="I3" s="18" t="s">
        <v>74</v>
      </c>
      <c r="J3" s="18" t="s">
        <v>75</v>
      </c>
      <c r="K3" s="19">
        <f t="shared" ca="1" si="0"/>
        <v>45611</v>
      </c>
      <c r="L3" s="15" t="s">
        <v>70</v>
      </c>
      <c r="M3" s="15" t="s">
        <v>76</v>
      </c>
      <c r="N3" s="15">
        <v>1</v>
      </c>
      <c r="O3" s="18" t="s">
        <v>77</v>
      </c>
      <c r="P3" s="18" t="s">
        <v>78</v>
      </c>
      <c r="Q3" s="18" t="s">
        <v>77</v>
      </c>
      <c r="R3" s="18" t="s">
        <v>79</v>
      </c>
      <c r="S3" s="18" t="s">
        <v>75</v>
      </c>
      <c r="T3" s="20" t="s">
        <v>80</v>
      </c>
      <c r="U3" s="21" t="s">
        <v>81</v>
      </c>
      <c r="V3" s="18" t="s">
        <v>75</v>
      </c>
      <c r="W3" s="19">
        <f t="shared" ca="1" si="1"/>
        <v>45611</v>
      </c>
      <c r="X3" s="18" t="s">
        <v>82</v>
      </c>
      <c r="Y3" s="16" t="s">
        <v>115</v>
      </c>
      <c r="Z3" s="22" t="s">
        <v>116</v>
      </c>
      <c r="AA3" s="22" t="s">
        <v>85</v>
      </c>
      <c r="AB3" s="22" t="s">
        <v>86</v>
      </c>
      <c r="AC3" s="23" t="s">
        <v>87</v>
      </c>
      <c r="AD3" s="23" t="s">
        <v>88</v>
      </c>
      <c r="AE3" s="22" t="s">
        <v>89</v>
      </c>
      <c r="AF3" s="24">
        <v>20</v>
      </c>
      <c r="AG3" s="25" t="s">
        <v>117</v>
      </c>
      <c r="AH3" s="26" t="s">
        <v>90</v>
      </c>
      <c r="AI3" s="26" t="s">
        <v>91</v>
      </c>
      <c r="AJ3" s="27">
        <f t="shared" ca="1" si="2"/>
        <v>45611</v>
      </c>
      <c r="AK3" s="25" t="str">
        <f t="shared" si="3"/>
        <v>N/A</v>
      </c>
      <c r="AL3" s="28">
        <f t="shared" ca="1" si="4"/>
        <v>45611</v>
      </c>
      <c r="AM3" s="28">
        <f t="shared" ca="1" si="5"/>
        <v>45611</v>
      </c>
      <c r="AN3" s="26" t="s">
        <v>92</v>
      </c>
      <c r="AO3" s="22" t="s">
        <v>93</v>
      </c>
      <c r="AP3" s="15">
        <v>100</v>
      </c>
      <c r="AQ3" s="28">
        <f t="shared" ca="1" si="6"/>
        <v>45692</v>
      </c>
      <c r="AR3" s="15" t="s">
        <v>70</v>
      </c>
      <c r="AS3" s="29" t="s">
        <v>94</v>
      </c>
      <c r="AT3" s="30">
        <v>486329407</v>
      </c>
      <c r="AU3" s="28" t="s">
        <v>95</v>
      </c>
      <c r="AV3" s="28" t="s">
        <v>96</v>
      </c>
      <c r="AW3" s="15" t="s">
        <v>70</v>
      </c>
      <c r="AX3" s="29" t="s">
        <v>97</v>
      </c>
      <c r="AY3" s="30">
        <v>394257537</v>
      </c>
      <c r="AZ3" s="28" t="s">
        <v>95</v>
      </c>
      <c r="BA3" s="28" t="s">
        <v>96</v>
      </c>
      <c r="BB3" s="31" t="s">
        <v>98</v>
      </c>
      <c r="BC3" s="28" t="s">
        <v>99</v>
      </c>
      <c r="BD3" s="29" t="s">
        <v>77</v>
      </c>
      <c r="BE3" s="29" t="s">
        <v>100</v>
      </c>
      <c r="BF3" s="29" t="s">
        <v>101</v>
      </c>
      <c r="BG3" s="15" t="s">
        <v>102</v>
      </c>
      <c r="BH3" s="15" t="s">
        <v>103</v>
      </c>
      <c r="BI3" s="32" t="s">
        <v>104</v>
      </c>
      <c r="BJ3" t="s">
        <v>105</v>
      </c>
      <c r="BK3" s="15" t="s">
        <v>106</v>
      </c>
      <c r="BL3" s="15" t="s">
        <v>70</v>
      </c>
      <c r="BM3" s="15" t="s">
        <v>76</v>
      </c>
      <c r="BN3" s="15" t="s">
        <v>76</v>
      </c>
      <c r="BO3" s="15" t="s">
        <v>107</v>
      </c>
      <c r="BP3" s="15" t="s">
        <v>108</v>
      </c>
      <c r="BQ3" s="18" t="s">
        <v>109</v>
      </c>
      <c r="BR3" s="18" t="s">
        <v>110</v>
      </c>
      <c r="BS3" t="s">
        <v>111</v>
      </c>
      <c r="BT3" s="33">
        <v>213111231</v>
      </c>
      <c r="BU3" s="34"/>
      <c r="BV3" s="35"/>
      <c r="BW3" s="36"/>
      <c r="BX3" s="37"/>
      <c r="BY3" s="38"/>
      <c r="BZ3" s="37"/>
      <c r="CA3" s="39"/>
      <c r="CB3" s="35"/>
      <c r="CC3" s="40"/>
      <c r="CD3" s="40"/>
      <c r="CE3" s="41"/>
      <c r="CF3" s="34"/>
      <c r="CG3" s="34"/>
      <c r="CH3" s="35"/>
      <c r="CI3" s="42"/>
      <c r="CJ3" s="42"/>
      <c r="CK3" s="42"/>
      <c r="CL3" s="43"/>
      <c r="CM3" s="43"/>
      <c r="CN3" s="43"/>
      <c r="CO3" s="43"/>
      <c r="CP3" s="44"/>
      <c r="CQ3" s="40"/>
      <c r="CR3" s="40"/>
      <c r="CS3" s="36"/>
      <c r="CT3" s="36"/>
      <c r="CU3" s="36"/>
      <c r="CV3" s="36"/>
      <c r="CW3" s="36"/>
      <c r="CX3" s="36"/>
    </row>
    <row r="4" spans="1:102" ht="14.4" customHeight="1" x14ac:dyDescent="0.35">
      <c r="A4" s="12" t="s">
        <v>118</v>
      </c>
      <c r="C4" s="13"/>
      <c r="D4" s="14" t="s">
        <v>69</v>
      </c>
      <c r="E4" s="15" t="s">
        <v>70</v>
      </c>
      <c r="F4" s="16" t="s">
        <v>119</v>
      </c>
      <c r="G4" s="17" t="s">
        <v>120</v>
      </c>
      <c r="H4" s="18" t="s">
        <v>121</v>
      </c>
      <c r="I4" s="18" t="s">
        <v>74</v>
      </c>
      <c r="J4" s="18" t="s">
        <v>75</v>
      </c>
      <c r="K4" s="19">
        <f t="shared" ca="1" si="0"/>
        <v>45611</v>
      </c>
      <c r="L4" s="15" t="s">
        <v>70</v>
      </c>
      <c r="M4" s="15" t="s">
        <v>76</v>
      </c>
      <c r="N4" s="15">
        <v>1</v>
      </c>
      <c r="O4" s="18" t="s">
        <v>77</v>
      </c>
      <c r="P4" s="18" t="s">
        <v>78</v>
      </c>
      <c r="Q4" s="18" t="s">
        <v>77</v>
      </c>
      <c r="R4" s="18" t="s">
        <v>79</v>
      </c>
      <c r="S4" s="18" t="s">
        <v>75</v>
      </c>
      <c r="T4" s="20" t="s">
        <v>80</v>
      </c>
      <c r="U4" s="21" t="s">
        <v>81</v>
      </c>
      <c r="V4" s="18" t="s">
        <v>75</v>
      </c>
      <c r="W4" s="19">
        <f t="shared" ca="1" si="1"/>
        <v>45611</v>
      </c>
      <c r="X4" s="18" t="s">
        <v>82</v>
      </c>
      <c r="Y4" s="16" t="s">
        <v>122</v>
      </c>
      <c r="Z4" s="22" t="s">
        <v>116</v>
      </c>
      <c r="AA4" s="22" t="s">
        <v>85</v>
      </c>
      <c r="AB4" s="22" t="s">
        <v>86</v>
      </c>
      <c r="AC4" s="23" t="s">
        <v>87</v>
      </c>
      <c r="AD4" s="23" t="s">
        <v>88</v>
      </c>
      <c r="AE4" s="22" t="s">
        <v>89</v>
      </c>
      <c r="AF4" s="24">
        <v>20</v>
      </c>
      <c r="AG4" s="25" t="s">
        <v>117</v>
      </c>
      <c r="AH4" s="26" t="s">
        <v>90</v>
      </c>
      <c r="AI4" s="26" t="s">
        <v>91</v>
      </c>
      <c r="AJ4" s="27">
        <f t="shared" ca="1" si="2"/>
        <v>45611</v>
      </c>
      <c r="AK4" s="25" t="str">
        <f t="shared" si="3"/>
        <v>N/A</v>
      </c>
      <c r="AL4" s="28">
        <f t="shared" ca="1" si="4"/>
        <v>45611</v>
      </c>
      <c r="AM4" s="28">
        <f t="shared" ca="1" si="5"/>
        <v>45611</v>
      </c>
      <c r="AN4" s="26" t="s">
        <v>92</v>
      </c>
      <c r="AO4" s="22" t="s">
        <v>93</v>
      </c>
      <c r="AP4" s="15">
        <v>100</v>
      </c>
      <c r="AQ4" s="28">
        <f t="shared" ca="1" si="6"/>
        <v>45692</v>
      </c>
      <c r="AR4" s="15" t="s">
        <v>70</v>
      </c>
      <c r="AS4" s="29" t="s">
        <v>94</v>
      </c>
      <c r="AT4" s="30">
        <v>486329408</v>
      </c>
      <c r="AU4" s="28" t="s">
        <v>95</v>
      </c>
      <c r="AV4" s="28" t="s">
        <v>96</v>
      </c>
      <c r="AW4" s="15" t="s">
        <v>70</v>
      </c>
      <c r="AX4" s="29" t="s">
        <v>97</v>
      </c>
      <c r="AY4" s="30">
        <v>394257538</v>
      </c>
      <c r="AZ4" s="28" t="s">
        <v>95</v>
      </c>
      <c r="BA4" s="28" t="s">
        <v>96</v>
      </c>
      <c r="BB4" s="31" t="s">
        <v>98</v>
      </c>
      <c r="BC4" s="28" t="s">
        <v>99</v>
      </c>
      <c r="BD4" s="29" t="s">
        <v>77</v>
      </c>
      <c r="BE4" s="29" t="s">
        <v>100</v>
      </c>
      <c r="BF4" s="29" t="s">
        <v>101</v>
      </c>
      <c r="BG4" s="15" t="s">
        <v>102</v>
      </c>
      <c r="BH4" s="15" t="s">
        <v>103</v>
      </c>
      <c r="BI4" s="32" t="s">
        <v>104</v>
      </c>
      <c r="BJ4" t="s">
        <v>105</v>
      </c>
      <c r="BK4" s="15" t="s">
        <v>106</v>
      </c>
      <c r="BL4" s="15" t="s">
        <v>70</v>
      </c>
      <c r="BM4" s="15" t="s">
        <v>76</v>
      </c>
      <c r="BN4" s="15" t="s">
        <v>76</v>
      </c>
      <c r="BO4" s="15" t="s">
        <v>107</v>
      </c>
      <c r="BP4" s="15" t="s">
        <v>108</v>
      </c>
      <c r="BQ4" s="18" t="s">
        <v>109</v>
      </c>
      <c r="BR4" s="18" t="s">
        <v>110</v>
      </c>
      <c r="BS4" t="s">
        <v>111</v>
      </c>
      <c r="BT4" s="33">
        <v>213111231</v>
      </c>
    </row>
    <row r="5" spans="1:102" ht="14.4" customHeight="1" x14ac:dyDescent="0.35">
      <c r="A5" s="12" t="s">
        <v>123</v>
      </c>
      <c r="C5" s="13"/>
      <c r="D5" s="14" t="s">
        <v>69</v>
      </c>
      <c r="E5" s="15" t="s">
        <v>70</v>
      </c>
      <c r="F5" s="16" t="s">
        <v>124</v>
      </c>
      <c r="G5" s="17" t="s">
        <v>125</v>
      </c>
      <c r="H5" s="18" t="s">
        <v>73</v>
      </c>
      <c r="I5" s="18" t="s">
        <v>74</v>
      </c>
      <c r="J5" s="18" t="s">
        <v>75</v>
      </c>
      <c r="K5" s="19">
        <f t="shared" ca="1" si="0"/>
        <v>45611</v>
      </c>
      <c r="L5" s="15" t="s">
        <v>70</v>
      </c>
      <c r="M5" s="15" t="s">
        <v>76</v>
      </c>
      <c r="N5" s="15">
        <v>1</v>
      </c>
      <c r="O5" s="18" t="s">
        <v>77</v>
      </c>
      <c r="P5" s="18" t="s">
        <v>78</v>
      </c>
      <c r="Q5" s="18" t="s">
        <v>77</v>
      </c>
      <c r="R5" s="18" t="s">
        <v>79</v>
      </c>
      <c r="S5" s="18" t="s">
        <v>75</v>
      </c>
      <c r="T5" s="20" t="s">
        <v>80</v>
      </c>
      <c r="U5" s="21" t="s">
        <v>81</v>
      </c>
      <c r="V5" s="18" t="s">
        <v>75</v>
      </c>
      <c r="W5" s="19">
        <f t="shared" ca="1" si="1"/>
        <v>45611</v>
      </c>
      <c r="X5" s="18" t="s">
        <v>82</v>
      </c>
      <c r="Y5" s="16" t="s">
        <v>83</v>
      </c>
      <c r="Z5" s="22" t="s">
        <v>84</v>
      </c>
      <c r="AA5" s="22" t="s">
        <v>85</v>
      </c>
      <c r="AB5" s="22" t="s">
        <v>86</v>
      </c>
      <c r="AC5" s="23" t="s">
        <v>87</v>
      </c>
      <c r="AD5" s="23" t="s">
        <v>88</v>
      </c>
      <c r="AE5" s="22" t="s">
        <v>126</v>
      </c>
      <c r="AF5" s="24">
        <v>30</v>
      </c>
      <c r="AG5" s="25">
        <f ca="1">TODAY()+365</f>
        <v>46037</v>
      </c>
      <c r="AH5" s="26" t="s">
        <v>90</v>
      </c>
      <c r="AI5" s="26" t="s">
        <v>91</v>
      </c>
      <c r="AJ5" s="27">
        <f t="shared" ca="1" si="2"/>
        <v>45611</v>
      </c>
      <c r="AK5" s="25">
        <f t="shared" ca="1" si="3"/>
        <v>46037</v>
      </c>
      <c r="AL5" s="28">
        <f t="shared" ca="1" si="4"/>
        <v>45611</v>
      </c>
      <c r="AM5" s="28">
        <f t="shared" ca="1" si="5"/>
        <v>45611</v>
      </c>
      <c r="AN5" s="26" t="s">
        <v>92</v>
      </c>
      <c r="AO5" s="22" t="s">
        <v>93</v>
      </c>
      <c r="AP5" s="15">
        <v>100</v>
      </c>
      <c r="AQ5" s="28">
        <f t="shared" ca="1" si="6"/>
        <v>45692</v>
      </c>
      <c r="AR5" s="15" t="s">
        <v>70</v>
      </c>
      <c r="AS5" s="29" t="s">
        <v>94</v>
      </c>
      <c r="AT5" s="30">
        <v>486329409</v>
      </c>
      <c r="AU5" s="28" t="s">
        <v>95</v>
      </c>
      <c r="AV5" s="28" t="s">
        <v>96</v>
      </c>
      <c r="AW5" s="15" t="s">
        <v>70</v>
      </c>
      <c r="AX5" s="29" t="s">
        <v>97</v>
      </c>
      <c r="AY5" s="30">
        <v>394257539</v>
      </c>
      <c r="AZ5" s="28" t="s">
        <v>95</v>
      </c>
      <c r="BA5" s="28" t="s">
        <v>96</v>
      </c>
      <c r="BB5" s="31" t="s">
        <v>98</v>
      </c>
      <c r="BC5" s="28" t="s">
        <v>99</v>
      </c>
      <c r="BD5" s="29" t="s">
        <v>77</v>
      </c>
      <c r="BE5" s="29" t="s">
        <v>100</v>
      </c>
      <c r="BF5" s="29" t="s">
        <v>101</v>
      </c>
      <c r="BG5" s="15" t="s">
        <v>102</v>
      </c>
      <c r="BH5" s="15" t="s">
        <v>103</v>
      </c>
      <c r="BI5" s="32" t="s">
        <v>104</v>
      </c>
      <c r="BJ5" t="s">
        <v>105</v>
      </c>
      <c r="BK5" s="15" t="s">
        <v>106</v>
      </c>
      <c r="BL5" s="15" t="s">
        <v>70</v>
      </c>
      <c r="BM5" s="15" t="s">
        <v>76</v>
      </c>
      <c r="BN5" s="15" t="s">
        <v>76</v>
      </c>
      <c r="BO5" s="15" t="s">
        <v>107</v>
      </c>
      <c r="BP5" s="15" t="s">
        <v>108</v>
      </c>
      <c r="BQ5" s="18" t="s">
        <v>109</v>
      </c>
      <c r="BR5" s="18" t="s">
        <v>110</v>
      </c>
      <c r="BS5" t="s">
        <v>111</v>
      </c>
      <c r="BT5" s="33">
        <v>213111231</v>
      </c>
    </row>
    <row r="6" spans="1:102" ht="14.4" customHeight="1" x14ac:dyDescent="0.35">
      <c r="A6" s="12" t="s">
        <v>127</v>
      </c>
      <c r="C6" s="13"/>
      <c r="D6" s="14" t="s">
        <v>69</v>
      </c>
      <c r="E6" s="15" t="s">
        <v>70</v>
      </c>
      <c r="F6" s="16" t="s">
        <v>128</v>
      </c>
      <c r="G6" s="17" t="s">
        <v>129</v>
      </c>
      <c r="H6" s="18" t="s">
        <v>73</v>
      </c>
      <c r="I6" s="18" t="s">
        <v>74</v>
      </c>
      <c r="J6" s="18" t="s">
        <v>75</v>
      </c>
      <c r="K6" s="19">
        <f t="shared" ca="1" si="0"/>
        <v>45611</v>
      </c>
      <c r="L6" s="15" t="s">
        <v>70</v>
      </c>
      <c r="M6" s="15" t="s">
        <v>76</v>
      </c>
      <c r="N6" s="15">
        <v>1</v>
      </c>
      <c r="O6" s="18" t="s">
        <v>77</v>
      </c>
      <c r="P6" s="18" t="s">
        <v>78</v>
      </c>
      <c r="Q6" s="18" t="s">
        <v>77</v>
      </c>
      <c r="R6" s="18" t="s">
        <v>79</v>
      </c>
      <c r="S6" s="18" t="s">
        <v>75</v>
      </c>
      <c r="T6" s="20" t="s">
        <v>80</v>
      </c>
      <c r="U6" s="21" t="s">
        <v>81</v>
      </c>
      <c r="V6" s="18" t="s">
        <v>75</v>
      </c>
      <c r="W6" s="19">
        <f t="shared" ca="1" si="1"/>
        <v>45611</v>
      </c>
      <c r="X6" s="18" t="s">
        <v>82</v>
      </c>
      <c r="Y6" s="16" t="s">
        <v>115</v>
      </c>
      <c r="Z6" s="22" t="s">
        <v>116</v>
      </c>
      <c r="AA6" s="22" t="s">
        <v>85</v>
      </c>
      <c r="AB6" s="22" t="s">
        <v>86</v>
      </c>
      <c r="AC6" s="23" t="s">
        <v>87</v>
      </c>
      <c r="AD6" s="23" t="s">
        <v>88</v>
      </c>
      <c r="AE6" s="22" t="s">
        <v>126</v>
      </c>
      <c r="AF6" s="24">
        <v>30</v>
      </c>
      <c r="AG6" s="25" t="s">
        <v>117</v>
      </c>
      <c r="AH6" s="26" t="s">
        <v>90</v>
      </c>
      <c r="AI6" s="26" t="s">
        <v>91</v>
      </c>
      <c r="AJ6" s="27">
        <f t="shared" ca="1" si="2"/>
        <v>45611</v>
      </c>
      <c r="AK6" s="25" t="str">
        <f t="shared" si="3"/>
        <v>N/A</v>
      </c>
      <c r="AL6" s="28">
        <f t="shared" ca="1" si="4"/>
        <v>45611</v>
      </c>
      <c r="AM6" s="28">
        <f t="shared" ca="1" si="5"/>
        <v>45611</v>
      </c>
      <c r="AN6" s="26" t="s">
        <v>92</v>
      </c>
      <c r="AO6" s="22" t="s">
        <v>93</v>
      </c>
      <c r="AP6" s="15">
        <v>100</v>
      </c>
      <c r="AQ6" s="28">
        <f t="shared" ca="1" si="6"/>
        <v>45692</v>
      </c>
      <c r="AR6" s="15" t="s">
        <v>70</v>
      </c>
      <c r="AS6" s="29" t="s">
        <v>94</v>
      </c>
      <c r="AT6" s="30">
        <v>486329410</v>
      </c>
      <c r="AU6" s="28" t="s">
        <v>95</v>
      </c>
      <c r="AV6" s="28" t="s">
        <v>96</v>
      </c>
      <c r="AW6" s="15" t="s">
        <v>70</v>
      </c>
      <c r="AX6" s="29" t="s">
        <v>97</v>
      </c>
      <c r="AY6" s="30">
        <v>394257540</v>
      </c>
      <c r="AZ6" s="28" t="s">
        <v>95</v>
      </c>
      <c r="BA6" s="28" t="s">
        <v>96</v>
      </c>
      <c r="BB6" s="31" t="s">
        <v>98</v>
      </c>
      <c r="BC6" s="28" t="s">
        <v>99</v>
      </c>
      <c r="BD6" s="29" t="s">
        <v>77</v>
      </c>
      <c r="BE6" s="29" t="s">
        <v>100</v>
      </c>
      <c r="BF6" s="29" t="s">
        <v>101</v>
      </c>
      <c r="BG6" s="15" t="s">
        <v>102</v>
      </c>
      <c r="BH6" s="15" t="s">
        <v>103</v>
      </c>
      <c r="BI6" s="32" t="s">
        <v>104</v>
      </c>
      <c r="BJ6" t="s">
        <v>105</v>
      </c>
      <c r="BK6" s="15" t="s">
        <v>106</v>
      </c>
      <c r="BL6" s="15" t="s">
        <v>70</v>
      </c>
      <c r="BM6" s="15" t="s">
        <v>76</v>
      </c>
      <c r="BN6" s="15" t="s">
        <v>76</v>
      </c>
      <c r="BO6" s="15" t="s">
        <v>107</v>
      </c>
      <c r="BP6" s="15" t="s">
        <v>108</v>
      </c>
      <c r="BQ6" s="18" t="s">
        <v>109</v>
      </c>
      <c r="BR6" s="18" t="s">
        <v>110</v>
      </c>
      <c r="BS6" t="s">
        <v>111</v>
      </c>
      <c r="BT6" s="33">
        <v>213111231</v>
      </c>
    </row>
    <row r="7" spans="1:102" ht="14.4" customHeight="1" x14ac:dyDescent="0.35">
      <c r="A7" s="12" t="s">
        <v>130</v>
      </c>
      <c r="C7" s="13"/>
      <c r="D7" s="14" t="s">
        <v>69</v>
      </c>
      <c r="E7" s="15" t="s">
        <v>70</v>
      </c>
      <c r="F7" s="16" t="s">
        <v>131</v>
      </c>
      <c r="G7" s="17" t="s">
        <v>132</v>
      </c>
      <c r="H7" s="18" t="s">
        <v>121</v>
      </c>
      <c r="I7" s="18" t="s">
        <v>74</v>
      </c>
      <c r="J7" s="18" t="s">
        <v>75</v>
      </c>
      <c r="K7" s="19">
        <f t="shared" ca="1" si="0"/>
        <v>45611</v>
      </c>
      <c r="L7" s="15" t="s">
        <v>70</v>
      </c>
      <c r="M7" s="15" t="s">
        <v>76</v>
      </c>
      <c r="N7" s="15">
        <v>1</v>
      </c>
      <c r="O7" s="18" t="s">
        <v>77</v>
      </c>
      <c r="P7" s="18" t="s">
        <v>78</v>
      </c>
      <c r="Q7" s="18" t="s">
        <v>77</v>
      </c>
      <c r="R7" s="18" t="s">
        <v>79</v>
      </c>
      <c r="S7" s="18" t="s">
        <v>75</v>
      </c>
      <c r="T7" s="20" t="s">
        <v>80</v>
      </c>
      <c r="U7" s="21" t="s">
        <v>81</v>
      </c>
      <c r="V7" s="18" t="s">
        <v>75</v>
      </c>
      <c r="W7" s="19">
        <f t="shared" ca="1" si="1"/>
        <v>45611</v>
      </c>
      <c r="X7" s="18" t="s">
        <v>82</v>
      </c>
      <c r="Y7" s="16" t="s">
        <v>122</v>
      </c>
      <c r="Z7" s="22" t="s">
        <v>116</v>
      </c>
      <c r="AA7" s="22" t="s">
        <v>85</v>
      </c>
      <c r="AB7" s="22" t="s">
        <v>86</v>
      </c>
      <c r="AC7" s="23" t="s">
        <v>87</v>
      </c>
      <c r="AD7" s="23" t="s">
        <v>88</v>
      </c>
      <c r="AE7" s="22" t="s">
        <v>126</v>
      </c>
      <c r="AF7" s="24">
        <v>30</v>
      </c>
      <c r="AG7" s="25" t="s">
        <v>117</v>
      </c>
      <c r="AH7" s="26" t="s">
        <v>90</v>
      </c>
      <c r="AI7" s="26" t="s">
        <v>91</v>
      </c>
      <c r="AJ7" s="27">
        <f t="shared" ca="1" si="2"/>
        <v>45611</v>
      </c>
      <c r="AK7" s="25" t="str">
        <f t="shared" si="3"/>
        <v>N/A</v>
      </c>
      <c r="AL7" s="28">
        <f t="shared" ca="1" si="4"/>
        <v>45611</v>
      </c>
      <c r="AM7" s="28">
        <f t="shared" ca="1" si="5"/>
        <v>45611</v>
      </c>
      <c r="AN7" s="26" t="s">
        <v>92</v>
      </c>
      <c r="AO7" s="22" t="s">
        <v>93</v>
      </c>
      <c r="AP7" s="15">
        <v>100</v>
      </c>
      <c r="AQ7" s="28">
        <f t="shared" ca="1" si="6"/>
        <v>45692</v>
      </c>
      <c r="AR7" s="15" t="s">
        <v>70</v>
      </c>
      <c r="AS7" s="29" t="s">
        <v>94</v>
      </c>
      <c r="AT7" s="30">
        <v>486329411</v>
      </c>
      <c r="AU7" s="28" t="s">
        <v>95</v>
      </c>
      <c r="AV7" s="28" t="s">
        <v>96</v>
      </c>
      <c r="AW7" s="15" t="s">
        <v>70</v>
      </c>
      <c r="AX7" s="29" t="s">
        <v>97</v>
      </c>
      <c r="AY7" s="30">
        <v>394257541</v>
      </c>
      <c r="AZ7" s="28" t="s">
        <v>95</v>
      </c>
      <c r="BA7" s="28" t="s">
        <v>96</v>
      </c>
      <c r="BB7" s="31" t="s">
        <v>98</v>
      </c>
      <c r="BC7" s="28" t="s">
        <v>99</v>
      </c>
      <c r="BD7" s="29" t="s">
        <v>77</v>
      </c>
      <c r="BE7" s="29" t="s">
        <v>100</v>
      </c>
      <c r="BF7" s="29" t="s">
        <v>101</v>
      </c>
      <c r="BG7" s="15" t="s">
        <v>102</v>
      </c>
      <c r="BH7" s="15" t="s">
        <v>103</v>
      </c>
      <c r="BI7" s="32" t="s">
        <v>104</v>
      </c>
      <c r="BJ7" t="s">
        <v>105</v>
      </c>
      <c r="BK7" s="15" t="s">
        <v>106</v>
      </c>
      <c r="BL7" s="15" t="s">
        <v>70</v>
      </c>
      <c r="BM7" s="15" t="s">
        <v>76</v>
      </c>
      <c r="BN7" s="15" t="s">
        <v>76</v>
      </c>
      <c r="BO7" s="15" t="s">
        <v>107</v>
      </c>
      <c r="BP7" s="15" t="s">
        <v>108</v>
      </c>
      <c r="BQ7" s="18" t="s">
        <v>109</v>
      </c>
      <c r="BR7" s="18" t="s">
        <v>110</v>
      </c>
      <c r="BS7" t="s">
        <v>111</v>
      </c>
      <c r="BT7" s="33">
        <v>213111231</v>
      </c>
    </row>
    <row r="8" spans="1:102" ht="14.4" customHeight="1" x14ac:dyDescent="0.35">
      <c r="A8" s="12" t="s">
        <v>133</v>
      </c>
      <c r="D8" s="14" t="s">
        <v>69</v>
      </c>
      <c r="E8" s="15" t="s">
        <v>70</v>
      </c>
      <c r="F8" s="16" t="s">
        <v>134</v>
      </c>
      <c r="G8" s="17" t="s">
        <v>135</v>
      </c>
      <c r="H8" s="18" t="s">
        <v>73</v>
      </c>
      <c r="I8" s="18" t="s">
        <v>74</v>
      </c>
      <c r="J8" s="18" t="s">
        <v>75</v>
      </c>
      <c r="K8" s="19">
        <f t="shared" ca="1" si="0"/>
        <v>45611</v>
      </c>
      <c r="L8" s="15" t="s">
        <v>70</v>
      </c>
      <c r="M8" s="15" t="s">
        <v>76</v>
      </c>
      <c r="N8" s="15">
        <v>1</v>
      </c>
      <c r="O8" s="18" t="s">
        <v>77</v>
      </c>
      <c r="P8" s="18" t="s">
        <v>78</v>
      </c>
      <c r="Q8" s="18" t="s">
        <v>77</v>
      </c>
      <c r="R8" s="18" t="s">
        <v>79</v>
      </c>
      <c r="S8" s="18" t="s">
        <v>75</v>
      </c>
      <c r="T8" s="20" t="s">
        <v>80</v>
      </c>
      <c r="U8" s="21" t="s">
        <v>81</v>
      </c>
      <c r="V8" s="18" t="s">
        <v>75</v>
      </c>
      <c r="W8" s="19">
        <f t="shared" ca="1" si="1"/>
        <v>45611</v>
      </c>
      <c r="X8" s="18" t="s">
        <v>82</v>
      </c>
      <c r="Y8" s="16" t="s">
        <v>83</v>
      </c>
      <c r="Z8" s="22" t="s">
        <v>84</v>
      </c>
      <c r="AA8" s="22" t="s">
        <v>85</v>
      </c>
      <c r="AB8" s="22" t="s">
        <v>86</v>
      </c>
      <c r="AC8" s="23" t="s">
        <v>87</v>
      </c>
      <c r="AD8" s="23" t="s">
        <v>88</v>
      </c>
      <c r="AE8" s="22" t="s">
        <v>136</v>
      </c>
      <c r="AF8" s="24">
        <v>30</v>
      </c>
      <c r="AG8" s="25">
        <f ca="1">TODAY()+365</f>
        <v>46037</v>
      </c>
      <c r="AH8" s="26" t="s">
        <v>90</v>
      </c>
      <c r="AI8" s="26" t="s">
        <v>91</v>
      </c>
      <c r="AJ8" s="27">
        <f t="shared" ca="1" si="2"/>
        <v>45611</v>
      </c>
      <c r="AK8" s="25">
        <f t="shared" ca="1" si="3"/>
        <v>46037</v>
      </c>
      <c r="AL8" s="28">
        <f t="shared" ca="1" si="4"/>
        <v>45611</v>
      </c>
      <c r="AM8" s="28">
        <f t="shared" ca="1" si="5"/>
        <v>45611</v>
      </c>
      <c r="AN8" s="26" t="s">
        <v>92</v>
      </c>
      <c r="AO8" s="22" t="s">
        <v>93</v>
      </c>
      <c r="AP8" s="15">
        <v>100</v>
      </c>
      <c r="AQ8" s="28">
        <f t="shared" ca="1" si="6"/>
        <v>45692</v>
      </c>
      <c r="AR8" s="15" t="s">
        <v>70</v>
      </c>
      <c r="AS8" s="29" t="s">
        <v>94</v>
      </c>
      <c r="AT8" s="30">
        <v>486329412</v>
      </c>
      <c r="AU8" s="28" t="s">
        <v>95</v>
      </c>
      <c r="AV8" s="28" t="s">
        <v>96</v>
      </c>
      <c r="AW8" s="15" t="s">
        <v>70</v>
      </c>
      <c r="AX8" s="29" t="s">
        <v>97</v>
      </c>
      <c r="AY8" s="30">
        <v>394257542</v>
      </c>
      <c r="AZ8" s="28" t="s">
        <v>95</v>
      </c>
      <c r="BA8" s="28" t="s">
        <v>96</v>
      </c>
      <c r="BB8" s="31" t="s">
        <v>98</v>
      </c>
      <c r="BC8" s="28" t="s">
        <v>99</v>
      </c>
      <c r="BD8" s="29" t="s">
        <v>77</v>
      </c>
      <c r="BE8" s="29" t="s">
        <v>100</v>
      </c>
      <c r="BF8" s="29" t="s">
        <v>101</v>
      </c>
      <c r="BG8" s="15" t="s">
        <v>102</v>
      </c>
      <c r="BH8" s="15" t="s">
        <v>103</v>
      </c>
      <c r="BI8" s="32" t="s">
        <v>104</v>
      </c>
      <c r="BJ8" t="s">
        <v>105</v>
      </c>
      <c r="BK8" s="15" t="s">
        <v>106</v>
      </c>
      <c r="BL8" s="15" t="s">
        <v>70</v>
      </c>
      <c r="BM8" s="15" t="s">
        <v>76</v>
      </c>
      <c r="BN8" s="15" t="s">
        <v>76</v>
      </c>
      <c r="BO8" s="15" t="s">
        <v>107</v>
      </c>
      <c r="BP8" s="15" t="s">
        <v>108</v>
      </c>
      <c r="BQ8" s="18" t="s">
        <v>109</v>
      </c>
      <c r="BR8" s="18" t="s">
        <v>110</v>
      </c>
      <c r="BS8" t="s">
        <v>111</v>
      </c>
      <c r="BT8" s="33">
        <v>213111231</v>
      </c>
    </row>
    <row r="9" spans="1:102" ht="14.4" customHeight="1" x14ac:dyDescent="0.35">
      <c r="A9" s="12" t="s">
        <v>137</v>
      </c>
      <c r="D9" s="14" t="s">
        <v>69</v>
      </c>
      <c r="E9" s="15" t="s">
        <v>70</v>
      </c>
      <c r="F9" s="16" t="s">
        <v>138</v>
      </c>
      <c r="G9" s="17" t="s">
        <v>139</v>
      </c>
      <c r="H9" s="18" t="s">
        <v>73</v>
      </c>
      <c r="I9" s="18" t="s">
        <v>74</v>
      </c>
      <c r="J9" s="18" t="s">
        <v>75</v>
      </c>
      <c r="K9" s="19">
        <f t="shared" ca="1" si="0"/>
        <v>45611</v>
      </c>
      <c r="L9" s="15" t="s">
        <v>70</v>
      </c>
      <c r="M9" s="15" t="s">
        <v>76</v>
      </c>
      <c r="N9" s="15">
        <v>1</v>
      </c>
      <c r="O9" s="18" t="s">
        <v>77</v>
      </c>
      <c r="P9" s="18" t="s">
        <v>78</v>
      </c>
      <c r="Q9" s="18" t="s">
        <v>77</v>
      </c>
      <c r="R9" s="18" t="s">
        <v>79</v>
      </c>
      <c r="S9" s="18" t="s">
        <v>75</v>
      </c>
      <c r="T9" s="20" t="s">
        <v>80</v>
      </c>
      <c r="U9" s="21" t="s">
        <v>81</v>
      </c>
      <c r="V9" s="18" t="s">
        <v>75</v>
      </c>
      <c r="W9" s="19">
        <f t="shared" ca="1" si="1"/>
        <v>45611</v>
      </c>
      <c r="X9" s="18" t="s">
        <v>82</v>
      </c>
      <c r="Y9" s="16" t="s">
        <v>115</v>
      </c>
      <c r="Z9" s="22" t="s">
        <v>116</v>
      </c>
      <c r="AA9" s="22" t="s">
        <v>85</v>
      </c>
      <c r="AB9" s="22" t="s">
        <v>86</v>
      </c>
      <c r="AC9" s="23" t="s">
        <v>87</v>
      </c>
      <c r="AD9" s="23" t="s">
        <v>88</v>
      </c>
      <c r="AE9" s="22" t="s">
        <v>136</v>
      </c>
      <c r="AF9" s="24">
        <v>30</v>
      </c>
      <c r="AG9" s="25" t="s">
        <v>117</v>
      </c>
      <c r="AH9" s="26" t="s">
        <v>90</v>
      </c>
      <c r="AI9" s="26" t="s">
        <v>91</v>
      </c>
      <c r="AJ9" s="27">
        <f t="shared" ca="1" si="2"/>
        <v>45611</v>
      </c>
      <c r="AK9" s="25" t="str">
        <f t="shared" si="3"/>
        <v>N/A</v>
      </c>
      <c r="AL9" s="28">
        <f t="shared" ca="1" si="4"/>
        <v>45611</v>
      </c>
      <c r="AM9" s="28">
        <f t="shared" ca="1" si="5"/>
        <v>45611</v>
      </c>
      <c r="AN9" s="26" t="s">
        <v>92</v>
      </c>
      <c r="AO9" s="22" t="s">
        <v>93</v>
      </c>
      <c r="AP9" s="15">
        <v>100</v>
      </c>
      <c r="AQ9" s="28">
        <f t="shared" ca="1" si="6"/>
        <v>45692</v>
      </c>
      <c r="AR9" s="15" t="s">
        <v>70</v>
      </c>
      <c r="AS9" s="29" t="s">
        <v>94</v>
      </c>
      <c r="AT9" s="30">
        <v>486329413</v>
      </c>
      <c r="AU9" s="28" t="s">
        <v>95</v>
      </c>
      <c r="AV9" s="28" t="s">
        <v>96</v>
      </c>
      <c r="AW9" s="15" t="s">
        <v>70</v>
      </c>
      <c r="AX9" s="29" t="s">
        <v>97</v>
      </c>
      <c r="AY9" s="30">
        <v>394257543</v>
      </c>
      <c r="AZ9" s="28" t="s">
        <v>95</v>
      </c>
      <c r="BA9" s="28" t="s">
        <v>96</v>
      </c>
      <c r="BB9" s="31" t="s">
        <v>98</v>
      </c>
      <c r="BC9" s="28" t="s">
        <v>99</v>
      </c>
      <c r="BD9" s="29" t="s">
        <v>77</v>
      </c>
      <c r="BE9" s="29" t="s">
        <v>100</v>
      </c>
      <c r="BF9" s="29" t="s">
        <v>101</v>
      </c>
      <c r="BG9" s="15" t="s">
        <v>102</v>
      </c>
      <c r="BH9" s="15" t="s">
        <v>103</v>
      </c>
      <c r="BI9" s="32" t="s">
        <v>104</v>
      </c>
      <c r="BJ9" t="s">
        <v>105</v>
      </c>
      <c r="BK9" s="15" t="s">
        <v>106</v>
      </c>
      <c r="BL9" s="15" t="s">
        <v>70</v>
      </c>
      <c r="BM9" s="15" t="s">
        <v>76</v>
      </c>
      <c r="BN9" s="15" t="s">
        <v>76</v>
      </c>
      <c r="BO9" s="15" t="s">
        <v>107</v>
      </c>
      <c r="BP9" s="15" t="s">
        <v>108</v>
      </c>
      <c r="BQ9" s="18" t="s">
        <v>109</v>
      </c>
      <c r="BR9" s="18" t="s">
        <v>110</v>
      </c>
      <c r="BS9" t="s">
        <v>111</v>
      </c>
      <c r="BT9" s="33">
        <v>213111231</v>
      </c>
    </row>
    <row r="10" spans="1:102" ht="14.4" customHeight="1" x14ac:dyDescent="0.35">
      <c r="A10" s="12" t="s">
        <v>140</v>
      </c>
      <c r="D10" s="14" t="s">
        <v>69</v>
      </c>
      <c r="E10" s="15" t="s">
        <v>70</v>
      </c>
      <c r="F10" s="16" t="s">
        <v>141</v>
      </c>
      <c r="G10" s="17" t="s">
        <v>142</v>
      </c>
      <c r="H10" s="18" t="s">
        <v>121</v>
      </c>
      <c r="I10" s="18" t="s">
        <v>74</v>
      </c>
      <c r="J10" s="18" t="s">
        <v>75</v>
      </c>
      <c r="K10" s="19">
        <f t="shared" ca="1" si="0"/>
        <v>45611</v>
      </c>
      <c r="L10" s="15" t="s">
        <v>70</v>
      </c>
      <c r="M10" s="15" t="s">
        <v>76</v>
      </c>
      <c r="N10" s="15">
        <v>1</v>
      </c>
      <c r="O10" s="18" t="s">
        <v>77</v>
      </c>
      <c r="P10" s="18" t="s">
        <v>78</v>
      </c>
      <c r="Q10" s="18" t="s">
        <v>77</v>
      </c>
      <c r="R10" s="18" t="s">
        <v>79</v>
      </c>
      <c r="S10" s="18" t="s">
        <v>75</v>
      </c>
      <c r="T10" s="20" t="s">
        <v>80</v>
      </c>
      <c r="U10" s="21" t="s">
        <v>81</v>
      </c>
      <c r="V10" s="18" t="s">
        <v>75</v>
      </c>
      <c r="W10" s="19">
        <f t="shared" ca="1" si="1"/>
        <v>45611</v>
      </c>
      <c r="X10" s="18" t="s">
        <v>82</v>
      </c>
      <c r="Y10" s="16" t="s">
        <v>122</v>
      </c>
      <c r="Z10" s="22" t="s">
        <v>116</v>
      </c>
      <c r="AA10" s="22" t="s">
        <v>85</v>
      </c>
      <c r="AB10" s="22" t="s">
        <v>86</v>
      </c>
      <c r="AC10" s="23" t="s">
        <v>87</v>
      </c>
      <c r="AD10" s="23" t="s">
        <v>88</v>
      </c>
      <c r="AE10" s="22" t="s">
        <v>136</v>
      </c>
      <c r="AF10" s="24">
        <v>30</v>
      </c>
      <c r="AG10" s="25" t="s">
        <v>117</v>
      </c>
      <c r="AH10" s="26" t="s">
        <v>90</v>
      </c>
      <c r="AI10" s="26" t="s">
        <v>91</v>
      </c>
      <c r="AJ10" s="27">
        <f t="shared" ca="1" si="2"/>
        <v>45611</v>
      </c>
      <c r="AK10" s="25" t="str">
        <f t="shared" si="3"/>
        <v>N/A</v>
      </c>
      <c r="AL10" s="28">
        <f t="shared" ca="1" si="4"/>
        <v>45611</v>
      </c>
      <c r="AM10" s="28">
        <f t="shared" ca="1" si="5"/>
        <v>45611</v>
      </c>
      <c r="AN10" s="26" t="s">
        <v>92</v>
      </c>
      <c r="AO10" s="22" t="s">
        <v>93</v>
      </c>
      <c r="AP10" s="15">
        <v>100</v>
      </c>
      <c r="AQ10" s="28">
        <f t="shared" ca="1" si="6"/>
        <v>45692</v>
      </c>
      <c r="AR10" s="15" t="s">
        <v>70</v>
      </c>
      <c r="AS10" s="29" t="s">
        <v>94</v>
      </c>
      <c r="AT10" s="30">
        <v>486329414</v>
      </c>
      <c r="AU10" s="28" t="s">
        <v>95</v>
      </c>
      <c r="AV10" s="28" t="s">
        <v>96</v>
      </c>
      <c r="AW10" s="15" t="s">
        <v>70</v>
      </c>
      <c r="AX10" s="29" t="s">
        <v>97</v>
      </c>
      <c r="AY10" s="30">
        <v>394257544</v>
      </c>
      <c r="AZ10" s="28" t="s">
        <v>95</v>
      </c>
      <c r="BA10" s="28" t="s">
        <v>96</v>
      </c>
      <c r="BB10" s="31" t="s">
        <v>98</v>
      </c>
      <c r="BC10" s="28" t="s">
        <v>99</v>
      </c>
      <c r="BD10" s="29" t="s">
        <v>77</v>
      </c>
      <c r="BE10" s="29" t="s">
        <v>100</v>
      </c>
      <c r="BF10" s="29" t="s">
        <v>101</v>
      </c>
      <c r="BG10" s="15" t="s">
        <v>102</v>
      </c>
      <c r="BH10" s="15" t="s">
        <v>103</v>
      </c>
      <c r="BI10" s="32" t="s">
        <v>104</v>
      </c>
      <c r="BJ10" t="s">
        <v>105</v>
      </c>
      <c r="BK10" s="15" t="s">
        <v>106</v>
      </c>
      <c r="BL10" s="15" t="s">
        <v>70</v>
      </c>
      <c r="BM10" s="15" t="s">
        <v>76</v>
      </c>
      <c r="BN10" s="15" t="s">
        <v>76</v>
      </c>
      <c r="BO10" s="15" t="s">
        <v>107</v>
      </c>
      <c r="BP10" s="15" t="s">
        <v>108</v>
      </c>
      <c r="BQ10" s="18" t="s">
        <v>109</v>
      </c>
      <c r="BR10" s="18" t="s">
        <v>110</v>
      </c>
      <c r="BS10" t="s">
        <v>111</v>
      </c>
      <c r="BT10" s="33">
        <v>213111231</v>
      </c>
    </row>
    <row r="11" spans="1:102" ht="14.4" customHeight="1" x14ac:dyDescent="0.35">
      <c r="A11" s="12" t="s">
        <v>143</v>
      </c>
      <c r="D11" s="14" t="s">
        <v>69</v>
      </c>
      <c r="E11" s="15" t="s">
        <v>70</v>
      </c>
      <c r="F11" s="16" t="s">
        <v>144</v>
      </c>
      <c r="G11" s="17" t="s">
        <v>145</v>
      </c>
      <c r="H11" s="18" t="s">
        <v>73</v>
      </c>
      <c r="I11" s="18" t="s">
        <v>74</v>
      </c>
      <c r="J11" s="18" t="s">
        <v>75</v>
      </c>
      <c r="K11" s="19">
        <f t="shared" ca="1" si="0"/>
        <v>45611</v>
      </c>
      <c r="L11" s="15" t="s">
        <v>70</v>
      </c>
      <c r="M11" s="15" t="s">
        <v>76</v>
      </c>
      <c r="N11" s="15">
        <v>1</v>
      </c>
      <c r="O11" s="18" t="s">
        <v>77</v>
      </c>
      <c r="P11" s="18" t="s">
        <v>78</v>
      </c>
      <c r="Q11" s="18" t="s">
        <v>77</v>
      </c>
      <c r="R11" s="18" t="s">
        <v>79</v>
      </c>
      <c r="S11" s="18" t="s">
        <v>75</v>
      </c>
      <c r="T11" s="20" t="s">
        <v>80</v>
      </c>
      <c r="U11" s="21" t="s">
        <v>81</v>
      </c>
      <c r="V11" s="18" t="s">
        <v>75</v>
      </c>
      <c r="W11" s="19">
        <f t="shared" ca="1" si="1"/>
        <v>45611</v>
      </c>
      <c r="X11" s="18" t="s">
        <v>82</v>
      </c>
      <c r="Y11" s="16" t="s">
        <v>83</v>
      </c>
      <c r="Z11" s="22" t="s">
        <v>84</v>
      </c>
      <c r="AA11" s="22" t="s">
        <v>85</v>
      </c>
      <c r="AB11" s="22" t="s">
        <v>86</v>
      </c>
      <c r="AC11" s="23" t="s">
        <v>87</v>
      </c>
      <c r="AD11" s="23" t="s">
        <v>88</v>
      </c>
      <c r="AE11" s="22" t="s">
        <v>89</v>
      </c>
      <c r="AF11" s="24">
        <v>24</v>
      </c>
      <c r="AG11" s="25">
        <f ca="1">TODAY()+365</f>
        <v>46037</v>
      </c>
      <c r="AH11" s="26" t="s">
        <v>90</v>
      </c>
      <c r="AI11" s="26" t="s">
        <v>91</v>
      </c>
      <c r="AJ11" s="27">
        <f t="shared" ca="1" si="2"/>
        <v>45611</v>
      </c>
      <c r="AK11" s="25">
        <f t="shared" ca="1" si="3"/>
        <v>46037</v>
      </c>
      <c r="AL11" s="28">
        <f t="shared" ca="1" si="4"/>
        <v>45611</v>
      </c>
      <c r="AM11" s="28">
        <f t="shared" ca="1" si="5"/>
        <v>45611</v>
      </c>
      <c r="AN11" s="26" t="s">
        <v>92</v>
      </c>
      <c r="AO11" s="22" t="s">
        <v>93</v>
      </c>
      <c r="AP11" s="15">
        <v>100</v>
      </c>
      <c r="AQ11" s="28">
        <f t="shared" ca="1" si="6"/>
        <v>45692</v>
      </c>
      <c r="AR11" s="15" t="s">
        <v>70</v>
      </c>
      <c r="AS11" s="29" t="s">
        <v>94</v>
      </c>
      <c r="AT11" s="30">
        <v>486329415</v>
      </c>
      <c r="AU11" s="28" t="s">
        <v>95</v>
      </c>
      <c r="AV11" s="28" t="s">
        <v>96</v>
      </c>
      <c r="AW11" s="15" t="s">
        <v>70</v>
      </c>
      <c r="AX11" s="29" t="s">
        <v>97</v>
      </c>
      <c r="AY11" s="30">
        <v>394257545</v>
      </c>
      <c r="AZ11" s="28" t="s">
        <v>95</v>
      </c>
      <c r="BA11" s="28" t="s">
        <v>96</v>
      </c>
      <c r="BB11" s="31" t="s">
        <v>98</v>
      </c>
      <c r="BC11" s="28" t="s">
        <v>99</v>
      </c>
      <c r="BD11" s="29" t="s">
        <v>77</v>
      </c>
      <c r="BE11" s="29" t="s">
        <v>100</v>
      </c>
      <c r="BF11" s="29" t="s">
        <v>101</v>
      </c>
      <c r="BG11" s="15" t="s">
        <v>102</v>
      </c>
      <c r="BH11" s="15" t="s">
        <v>103</v>
      </c>
      <c r="BI11" s="32" t="s">
        <v>104</v>
      </c>
      <c r="BJ11" t="s">
        <v>105</v>
      </c>
      <c r="BK11" s="15" t="s">
        <v>106</v>
      </c>
      <c r="BL11" s="15" t="s">
        <v>70</v>
      </c>
      <c r="BM11" s="15" t="s">
        <v>76</v>
      </c>
      <c r="BN11" s="15" t="s">
        <v>76</v>
      </c>
      <c r="BO11" s="15" t="s">
        <v>107</v>
      </c>
      <c r="BP11" s="15" t="s">
        <v>108</v>
      </c>
      <c r="BQ11" s="18" t="s">
        <v>109</v>
      </c>
      <c r="BR11" s="18" t="s">
        <v>110</v>
      </c>
      <c r="BS11" t="s">
        <v>111</v>
      </c>
      <c r="BT11" s="33">
        <v>213111231</v>
      </c>
    </row>
    <row r="12" spans="1:102" ht="14.4" customHeight="1" x14ac:dyDescent="0.35">
      <c r="A12" s="12" t="s">
        <v>146</v>
      </c>
      <c r="D12" s="14" t="s">
        <v>69</v>
      </c>
      <c r="E12" s="15" t="s">
        <v>70</v>
      </c>
      <c r="F12" s="16" t="s">
        <v>147</v>
      </c>
      <c r="G12" s="17" t="s">
        <v>148</v>
      </c>
      <c r="H12" s="18" t="s">
        <v>73</v>
      </c>
      <c r="I12" s="18" t="s">
        <v>74</v>
      </c>
      <c r="J12" s="18" t="s">
        <v>75</v>
      </c>
      <c r="K12" s="19">
        <f t="shared" ca="1" si="0"/>
        <v>45611</v>
      </c>
      <c r="L12" s="15" t="s">
        <v>70</v>
      </c>
      <c r="M12" s="15" t="s">
        <v>76</v>
      </c>
      <c r="N12" s="15">
        <v>1</v>
      </c>
      <c r="O12" s="18" t="s">
        <v>77</v>
      </c>
      <c r="P12" s="18" t="s">
        <v>78</v>
      </c>
      <c r="Q12" s="18" t="s">
        <v>77</v>
      </c>
      <c r="R12" s="18" t="s">
        <v>79</v>
      </c>
      <c r="S12" s="18" t="s">
        <v>75</v>
      </c>
      <c r="T12" s="20" t="s">
        <v>80</v>
      </c>
      <c r="U12" s="21" t="s">
        <v>81</v>
      </c>
      <c r="V12" s="18" t="s">
        <v>75</v>
      </c>
      <c r="W12" s="19">
        <f t="shared" ca="1" si="1"/>
        <v>45611</v>
      </c>
      <c r="X12" s="18" t="s">
        <v>82</v>
      </c>
      <c r="Y12" s="16" t="s">
        <v>115</v>
      </c>
      <c r="Z12" s="22" t="s">
        <v>116</v>
      </c>
      <c r="AA12" s="22" t="s">
        <v>85</v>
      </c>
      <c r="AB12" s="22" t="s">
        <v>86</v>
      </c>
      <c r="AC12" s="23" t="s">
        <v>87</v>
      </c>
      <c r="AD12" s="23" t="s">
        <v>88</v>
      </c>
      <c r="AE12" s="22" t="s">
        <v>89</v>
      </c>
      <c r="AF12" s="24">
        <v>24</v>
      </c>
      <c r="AG12" s="25" t="s">
        <v>117</v>
      </c>
      <c r="AH12" s="26" t="s">
        <v>90</v>
      </c>
      <c r="AI12" s="26" t="s">
        <v>91</v>
      </c>
      <c r="AJ12" s="27">
        <f t="shared" ca="1" si="2"/>
        <v>45611</v>
      </c>
      <c r="AK12" s="25" t="str">
        <f t="shared" si="3"/>
        <v>N/A</v>
      </c>
      <c r="AL12" s="28">
        <f t="shared" ca="1" si="4"/>
        <v>45611</v>
      </c>
      <c r="AM12" s="28">
        <f t="shared" ca="1" si="5"/>
        <v>45611</v>
      </c>
      <c r="AN12" s="26" t="s">
        <v>92</v>
      </c>
      <c r="AO12" s="22" t="s">
        <v>93</v>
      </c>
      <c r="AP12" s="15">
        <v>100</v>
      </c>
      <c r="AQ12" s="28">
        <f t="shared" ca="1" si="6"/>
        <v>45692</v>
      </c>
      <c r="AR12" s="15" t="s">
        <v>70</v>
      </c>
      <c r="AS12" s="29" t="s">
        <v>94</v>
      </c>
      <c r="AT12" s="30">
        <v>486329416</v>
      </c>
      <c r="AU12" s="28" t="s">
        <v>95</v>
      </c>
      <c r="AV12" s="28" t="s">
        <v>96</v>
      </c>
      <c r="AW12" s="15" t="s">
        <v>70</v>
      </c>
      <c r="AX12" s="29" t="s">
        <v>97</v>
      </c>
      <c r="AY12" s="30">
        <v>394257546</v>
      </c>
      <c r="AZ12" s="28" t="s">
        <v>95</v>
      </c>
      <c r="BA12" s="28" t="s">
        <v>96</v>
      </c>
      <c r="BB12" s="31" t="s">
        <v>98</v>
      </c>
      <c r="BC12" s="28" t="s">
        <v>99</v>
      </c>
      <c r="BD12" s="29" t="s">
        <v>77</v>
      </c>
      <c r="BE12" s="29" t="s">
        <v>100</v>
      </c>
      <c r="BF12" s="29" t="s">
        <v>101</v>
      </c>
      <c r="BG12" s="15" t="s">
        <v>102</v>
      </c>
      <c r="BH12" s="15" t="s">
        <v>103</v>
      </c>
      <c r="BI12" s="32" t="s">
        <v>104</v>
      </c>
      <c r="BJ12" t="s">
        <v>105</v>
      </c>
      <c r="BK12" s="15" t="s">
        <v>106</v>
      </c>
      <c r="BL12" s="15" t="s">
        <v>70</v>
      </c>
      <c r="BM12" s="15" t="s">
        <v>76</v>
      </c>
      <c r="BN12" s="15" t="s">
        <v>76</v>
      </c>
      <c r="BO12" s="15" t="s">
        <v>107</v>
      </c>
      <c r="BP12" s="15" t="s">
        <v>108</v>
      </c>
      <c r="BQ12" s="18" t="s">
        <v>109</v>
      </c>
      <c r="BR12" s="18" t="s">
        <v>110</v>
      </c>
      <c r="BS12" t="s">
        <v>111</v>
      </c>
      <c r="BT12" s="33">
        <v>213111231</v>
      </c>
    </row>
    <row r="13" spans="1:102" ht="14.4" customHeight="1" x14ac:dyDescent="0.35">
      <c r="A13" s="12" t="s">
        <v>149</v>
      </c>
      <c r="D13" s="14" t="s">
        <v>69</v>
      </c>
      <c r="E13" s="15" t="s">
        <v>70</v>
      </c>
      <c r="F13" s="16" t="s">
        <v>150</v>
      </c>
      <c r="G13" s="17" t="s">
        <v>151</v>
      </c>
      <c r="H13" s="18" t="s">
        <v>121</v>
      </c>
      <c r="I13" s="18" t="s">
        <v>74</v>
      </c>
      <c r="J13" s="18" t="s">
        <v>75</v>
      </c>
      <c r="K13" s="19">
        <f t="shared" ca="1" si="0"/>
        <v>45611</v>
      </c>
      <c r="L13" s="15" t="s">
        <v>70</v>
      </c>
      <c r="M13" s="15" t="s">
        <v>76</v>
      </c>
      <c r="N13" s="15">
        <v>1</v>
      </c>
      <c r="O13" s="18" t="s">
        <v>77</v>
      </c>
      <c r="P13" s="18" t="s">
        <v>78</v>
      </c>
      <c r="Q13" s="18" t="s">
        <v>77</v>
      </c>
      <c r="R13" s="18" t="s">
        <v>79</v>
      </c>
      <c r="S13" s="18" t="s">
        <v>75</v>
      </c>
      <c r="T13" s="20" t="s">
        <v>80</v>
      </c>
      <c r="U13" s="21" t="s">
        <v>81</v>
      </c>
      <c r="V13" s="18" t="s">
        <v>75</v>
      </c>
      <c r="W13" s="19">
        <f t="shared" ca="1" si="1"/>
        <v>45611</v>
      </c>
      <c r="X13" s="18" t="s">
        <v>82</v>
      </c>
      <c r="Y13" s="16" t="s">
        <v>122</v>
      </c>
      <c r="Z13" s="22" t="s">
        <v>116</v>
      </c>
      <c r="AA13" s="22" t="s">
        <v>85</v>
      </c>
      <c r="AB13" s="22" t="s">
        <v>86</v>
      </c>
      <c r="AC13" s="23" t="s">
        <v>87</v>
      </c>
      <c r="AD13" s="23" t="s">
        <v>88</v>
      </c>
      <c r="AE13" s="22" t="s">
        <v>89</v>
      </c>
      <c r="AF13" s="24">
        <v>24</v>
      </c>
      <c r="AG13" s="25" t="s">
        <v>117</v>
      </c>
      <c r="AH13" s="26" t="s">
        <v>90</v>
      </c>
      <c r="AI13" s="26" t="s">
        <v>91</v>
      </c>
      <c r="AJ13" s="27">
        <f t="shared" ca="1" si="2"/>
        <v>45611</v>
      </c>
      <c r="AK13" s="25" t="str">
        <f t="shared" si="3"/>
        <v>N/A</v>
      </c>
      <c r="AL13" s="28">
        <f t="shared" ca="1" si="4"/>
        <v>45611</v>
      </c>
      <c r="AM13" s="28">
        <f t="shared" ca="1" si="5"/>
        <v>45611</v>
      </c>
      <c r="AN13" s="26" t="s">
        <v>92</v>
      </c>
      <c r="AO13" s="22" t="s">
        <v>93</v>
      </c>
      <c r="AP13" s="15">
        <v>100</v>
      </c>
      <c r="AQ13" s="28">
        <f t="shared" ca="1" si="6"/>
        <v>45692</v>
      </c>
      <c r="AR13" s="15" t="s">
        <v>70</v>
      </c>
      <c r="AS13" s="29" t="s">
        <v>94</v>
      </c>
      <c r="AT13" s="30">
        <v>486329417</v>
      </c>
      <c r="AU13" s="28" t="s">
        <v>95</v>
      </c>
      <c r="AV13" s="28" t="s">
        <v>96</v>
      </c>
      <c r="AW13" s="15" t="s">
        <v>70</v>
      </c>
      <c r="AX13" s="29" t="s">
        <v>97</v>
      </c>
      <c r="AY13" s="30">
        <v>394257547</v>
      </c>
      <c r="AZ13" s="28" t="s">
        <v>95</v>
      </c>
      <c r="BA13" s="28" t="s">
        <v>96</v>
      </c>
      <c r="BB13" s="31" t="s">
        <v>98</v>
      </c>
      <c r="BC13" s="28" t="s">
        <v>99</v>
      </c>
      <c r="BD13" s="29" t="s">
        <v>77</v>
      </c>
      <c r="BE13" s="29" t="s">
        <v>100</v>
      </c>
      <c r="BF13" s="29" t="s">
        <v>101</v>
      </c>
      <c r="BG13" s="15" t="s">
        <v>102</v>
      </c>
      <c r="BH13" s="15" t="s">
        <v>103</v>
      </c>
      <c r="BI13" s="32" t="s">
        <v>104</v>
      </c>
      <c r="BJ13" t="s">
        <v>105</v>
      </c>
      <c r="BK13" s="15" t="s">
        <v>106</v>
      </c>
      <c r="BL13" s="15" t="s">
        <v>70</v>
      </c>
      <c r="BM13" s="15" t="s">
        <v>76</v>
      </c>
      <c r="BN13" s="15" t="s">
        <v>76</v>
      </c>
      <c r="BO13" s="15" t="s">
        <v>107</v>
      </c>
      <c r="BP13" s="15" t="s">
        <v>108</v>
      </c>
      <c r="BQ13" s="18" t="s">
        <v>109</v>
      </c>
      <c r="BR13" s="18" t="s">
        <v>110</v>
      </c>
      <c r="BS13" t="s">
        <v>111</v>
      </c>
      <c r="BT13" s="33">
        <v>213111231</v>
      </c>
    </row>
    <row r="14" spans="1:102" ht="14.4" customHeight="1" x14ac:dyDescent="0.35">
      <c r="A14" s="12" t="s">
        <v>152</v>
      </c>
      <c r="D14" s="14" t="s">
        <v>69</v>
      </c>
      <c r="E14" s="15" t="s">
        <v>70</v>
      </c>
      <c r="F14" s="16" t="s">
        <v>153</v>
      </c>
      <c r="G14" s="17" t="s">
        <v>154</v>
      </c>
      <c r="H14" s="18" t="s">
        <v>73</v>
      </c>
      <c r="I14" s="18" t="s">
        <v>74</v>
      </c>
      <c r="J14" s="18" t="s">
        <v>75</v>
      </c>
      <c r="K14" s="19">
        <f t="shared" ca="1" si="0"/>
        <v>45611</v>
      </c>
      <c r="L14" s="15" t="s">
        <v>70</v>
      </c>
      <c r="M14" s="15" t="s">
        <v>76</v>
      </c>
      <c r="N14" s="15">
        <v>1</v>
      </c>
      <c r="O14" s="18" t="s">
        <v>77</v>
      </c>
      <c r="P14" s="18" t="s">
        <v>78</v>
      </c>
      <c r="Q14" s="18" t="s">
        <v>77</v>
      </c>
      <c r="R14" s="18" t="s">
        <v>79</v>
      </c>
      <c r="S14" s="18" t="s">
        <v>75</v>
      </c>
      <c r="T14" s="20" t="s">
        <v>80</v>
      </c>
      <c r="U14" s="21" t="s">
        <v>81</v>
      </c>
      <c r="V14" s="18" t="s">
        <v>75</v>
      </c>
      <c r="W14" s="19">
        <f t="shared" ca="1" si="1"/>
        <v>45611</v>
      </c>
      <c r="X14" s="18" t="s">
        <v>82</v>
      </c>
      <c r="Y14" s="16" t="s">
        <v>83</v>
      </c>
      <c r="Z14" s="22" t="s">
        <v>84</v>
      </c>
      <c r="AA14" s="22" t="s">
        <v>85</v>
      </c>
      <c r="AB14" s="22" t="s">
        <v>86</v>
      </c>
      <c r="AC14" s="23" t="s">
        <v>87</v>
      </c>
      <c r="AD14" s="23" t="s">
        <v>88</v>
      </c>
      <c r="AE14" s="22" t="s">
        <v>126</v>
      </c>
      <c r="AF14" s="24">
        <v>24</v>
      </c>
      <c r="AG14" s="25">
        <f ca="1">TODAY()+365</f>
        <v>46037</v>
      </c>
      <c r="AH14" s="26" t="s">
        <v>90</v>
      </c>
      <c r="AI14" s="26" t="s">
        <v>91</v>
      </c>
      <c r="AJ14" s="27">
        <f t="shared" ca="1" si="2"/>
        <v>45611</v>
      </c>
      <c r="AK14" s="25">
        <f t="shared" ca="1" si="3"/>
        <v>46037</v>
      </c>
      <c r="AL14" s="28">
        <f t="shared" ca="1" si="4"/>
        <v>45611</v>
      </c>
      <c r="AM14" s="28">
        <f t="shared" ca="1" si="5"/>
        <v>45611</v>
      </c>
      <c r="AN14" s="26" t="s">
        <v>92</v>
      </c>
      <c r="AO14" s="22" t="s">
        <v>93</v>
      </c>
      <c r="AP14" s="15">
        <v>100</v>
      </c>
      <c r="AQ14" s="28">
        <f t="shared" ca="1" si="6"/>
        <v>45692</v>
      </c>
      <c r="AR14" s="15" t="s">
        <v>70</v>
      </c>
      <c r="AS14" s="29" t="s">
        <v>94</v>
      </c>
      <c r="AT14" s="30">
        <v>486329418</v>
      </c>
      <c r="AU14" s="28" t="s">
        <v>95</v>
      </c>
      <c r="AV14" s="28" t="s">
        <v>96</v>
      </c>
      <c r="AW14" s="15" t="s">
        <v>70</v>
      </c>
      <c r="AX14" s="29" t="s">
        <v>97</v>
      </c>
      <c r="AY14" s="30">
        <v>394257548</v>
      </c>
      <c r="AZ14" s="28" t="s">
        <v>95</v>
      </c>
      <c r="BA14" s="28" t="s">
        <v>96</v>
      </c>
      <c r="BB14" s="31" t="s">
        <v>98</v>
      </c>
      <c r="BC14" s="28" t="s">
        <v>99</v>
      </c>
      <c r="BD14" s="29" t="s">
        <v>77</v>
      </c>
      <c r="BE14" s="29" t="s">
        <v>100</v>
      </c>
      <c r="BF14" s="29" t="s">
        <v>101</v>
      </c>
      <c r="BG14" s="15" t="s">
        <v>102</v>
      </c>
      <c r="BH14" s="15" t="s">
        <v>103</v>
      </c>
      <c r="BI14" s="32" t="s">
        <v>104</v>
      </c>
      <c r="BJ14" t="s">
        <v>105</v>
      </c>
      <c r="BK14" s="15" t="s">
        <v>106</v>
      </c>
      <c r="BL14" s="15" t="s">
        <v>70</v>
      </c>
      <c r="BM14" s="15" t="s">
        <v>76</v>
      </c>
      <c r="BN14" s="15" t="s">
        <v>76</v>
      </c>
      <c r="BO14" s="15" t="s">
        <v>107</v>
      </c>
      <c r="BP14" s="15" t="s">
        <v>108</v>
      </c>
      <c r="BQ14" s="18" t="s">
        <v>109</v>
      </c>
      <c r="BR14" s="18" t="s">
        <v>110</v>
      </c>
      <c r="BS14" t="s">
        <v>111</v>
      </c>
      <c r="BT14" s="33">
        <v>213111231</v>
      </c>
    </row>
    <row r="15" spans="1:102" ht="14.4" customHeight="1" x14ac:dyDescent="0.35">
      <c r="A15" s="12" t="s">
        <v>155</v>
      </c>
      <c r="D15" s="14" t="s">
        <v>69</v>
      </c>
      <c r="E15" s="15" t="s">
        <v>70</v>
      </c>
      <c r="F15" s="16" t="s">
        <v>156</v>
      </c>
      <c r="G15" s="17" t="s">
        <v>157</v>
      </c>
      <c r="H15" s="18" t="s">
        <v>73</v>
      </c>
      <c r="I15" s="18" t="s">
        <v>74</v>
      </c>
      <c r="J15" s="18" t="s">
        <v>75</v>
      </c>
      <c r="K15" s="19">
        <f t="shared" ca="1" si="0"/>
        <v>45611</v>
      </c>
      <c r="L15" s="15" t="s">
        <v>70</v>
      </c>
      <c r="M15" s="15" t="s">
        <v>76</v>
      </c>
      <c r="N15" s="15">
        <v>1</v>
      </c>
      <c r="O15" s="18" t="s">
        <v>77</v>
      </c>
      <c r="P15" s="18" t="s">
        <v>78</v>
      </c>
      <c r="Q15" s="18" t="s">
        <v>77</v>
      </c>
      <c r="R15" s="18" t="s">
        <v>79</v>
      </c>
      <c r="S15" s="18" t="s">
        <v>75</v>
      </c>
      <c r="T15" s="20" t="s">
        <v>80</v>
      </c>
      <c r="U15" s="21" t="s">
        <v>81</v>
      </c>
      <c r="V15" s="18" t="s">
        <v>75</v>
      </c>
      <c r="W15" s="19">
        <f t="shared" ca="1" si="1"/>
        <v>45611</v>
      </c>
      <c r="X15" s="18" t="s">
        <v>82</v>
      </c>
      <c r="Y15" s="16" t="s">
        <v>115</v>
      </c>
      <c r="Z15" s="22" t="s">
        <v>116</v>
      </c>
      <c r="AA15" s="22" t="s">
        <v>85</v>
      </c>
      <c r="AB15" s="22" t="s">
        <v>86</v>
      </c>
      <c r="AC15" s="23" t="s">
        <v>87</v>
      </c>
      <c r="AD15" s="23" t="s">
        <v>88</v>
      </c>
      <c r="AE15" s="22" t="s">
        <v>126</v>
      </c>
      <c r="AF15" s="24">
        <v>24</v>
      </c>
      <c r="AG15" s="25" t="s">
        <v>117</v>
      </c>
      <c r="AH15" s="26" t="s">
        <v>90</v>
      </c>
      <c r="AI15" s="26" t="s">
        <v>91</v>
      </c>
      <c r="AJ15" s="27">
        <f t="shared" ca="1" si="2"/>
        <v>45611</v>
      </c>
      <c r="AK15" s="25" t="str">
        <f t="shared" si="3"/>
        <v>N/A</v>
      </c>
      <c r="AL15" s="28">
        <f t="shared" ca="1" si="4"/>
        <v>45611</v>
      </c>
      <c r="AM15" s="28">
        <f t="shared" ca="1" si="5"/>
        <v>45611</v>
      </c>
      <c r="AN15" s="26" t="s">
        <v>92</v>
      </c>
      <c r="AO15" s="22" t="s">
        <v>93</v>
      </c>
      <c r="AP15" s="15">
        <v>100</v>
      </c>
      <c r="AQ15" s="28">
        <f t="shared" ca="1" si="6"/>
        <v>45692</v>
      </c>
      <c r="AR15" s="15" t="s">
        <v>70</v>
      </c>
      <c r="AS15" s="29" t="s">
        <v>94</v>
      </c>
      <c r="AT15" s="30">
        <v>486329419</v>
      </c>
      <c r="AU15" s="28" t="s">
        <v>95</v>
      </c>
      <c r="AV15" s="28" t="s">
        <v>96</v>
      </c>
      <c r="AW15" s="15" t="s">
        <v>70</v>
      </c>
      <c r="AX15" s="29" t="s">
        <v>97</v>
      </c>
      <c r="AY15" s="30">
        <v>394257549</v>
      </c>
      <c r="AZ15" s="28" t="s">
        <v>95</v>
      </c>
      <c r="BA15" s="28" t="s">
        <v>96</v>
      </c>
      <c r="BB15" s="31" t="s">
        <v>98</v>
      </c>
      <c r="BC15" s="28" t="s">
        <v>99</v>
      </c>
      <c r="BD15" s="29" t="s">
        <v>77</v>
      </c>
      <c r="BE15" s="29" t="s">
        <v>100</v>
      </c>
      <c r="BF15" s="29" t="s">
        <v>101</v>
      </c>
      <c r="BG15" s="15" t="s">
        <v>102</v>
      </c>
      <c r="BH15" s="15" t="s">
        <v>103</v>
      </c>
      <c r="BI15" s="32" t="s">
        <v>104</v>
      </c>
      <c r="BJ15" t="s">
        <v>105</v>
      </c>
      <c r="BK15" s="15" t="s">
        <v>106</v>
      </c>
      <c r="BL15" s="15" t="s">
        <v>70</v>
      </c>
      <c r="BM15" s="15" t="s">
        <v>76</v>
      </c>
      <c r="BN15" s="15" t="s">
        <v>76</v>
      </c>
      <c r="BO15" s="15" t="s">
        <v>107</v>
      </c>
      <c r="BP15" s="15" t="s">
        <v>108</v>
      </c>
      <c r="BQ15" s="18" t="s">
        <v>109</v>
      </c>
      <c r="BR15" s="18" t="s">
        <v>110</v>
      </c>
      <c r="BS15" t="s">
        <v>111</v>
      </c>
      <c r="BT15" s="33">
        <v>213111231</v>
      </c>
    </row>
    <row r="16" spans="1:102" ht="14.4" customHeight="1" x14ac:dyDescent="0.35">
      <c r="A16" s="12" t="s">
        <v>158</v>
      </c>
      <c r="D16" s="14" t="s">
        <v>69</v>
      </c>
      <c r="E16" s="15" t="s">
        <v>70</v>
      </c>
      <c r="F16" s="16" t="s">
        <v>159</v>
      </c>
      <c r="G16" s="17" t="s">
        <v>160</v>
      </c>
      <c r="H16" s="18" t="s">
        <v>121</v>
      </c>
      <c r="I16" s="18" t="s">
        <v>74</v>
      </c>
      <c r="J16" s="18" t="s">
        <v>75</v>
      </c>
      <c r="K16" s="19">
        <f t="shared" ca="1" si="0"/>
        <v>45611</v>
      </c>
      <c r="L16" s="15" t="s">
        <v>70</v>
      </c>
      <c r="M16" s="15" t="s">
        <v>76</v>
      </c>
      <c r="N16" s="15">
        <v>1</v>
      </c>
      <c r="O16" s="18" t="s">
        <v>77</v>
      </c>
      <c r="P16" s="18" t="s">
        <v>78</v>
      </c>
      <c r="Q16" s="18" t="s">
        <v>77</v>
      </c>
      <c r="R16" s="18" t="s">
        <v>79</v>
      </c>
      <c r="S16" s="18" t="s">
        <v>75</v>
      </c>
      <c r="T16" s="20" t="s">
        <v>80</v>
      </c>
      <c r="U16" s="21" t="s">
        <v>81</v>
      </c>
      <c r="V16" s="18" t="s">
        <v>75</v>
      </c>
      <c r="W16" s="19">
        <f t="shared" ca="1" si="1"/>
        <v>45611</v>
      </c>
      <c r="X16" s="18" t="s">
        <v>82</v>
      </c>
      <c r="Y16" s="16" t="s">
        <v>122</v>
      </c>
      <c r="Z16" s="22" t="s">
        <v>116</v>
      </c>
      <c r="AA16" s="22" t="s">
        <v>85</v>
      </c>
      <c r="AB16" s="22" t="s">
        <v>86</v>
      </c>
      <c r="AC16" s="23" t="s">
        <v>87</v>
      </c>
      <c r="AD16" s="23" t="s">
        <v>88</v>
      </c>
      <c r="AE16" s="22" t="s">
        <v>126</v>
      </c>
      <c r="AF16" s="24">
        <v>24</v>
      </c>
      <c r="AG16" s="25" t="s">
        <v>117</v>
      </c>
      <c r="AH16" s="26" t="s">
        <v>90</v>
      </c>
      <c r="AI16" s="26" t="s">
        <v>91</v>
      </c>
      <c r="AJ16" s="27">
        <f t="shared" ca="1" si="2"/>
        <v>45611</v>
      </c>
      <c r="AK16" s="25" t="str">
        <f t="shared" si="3"/>
        <v>N/A</v>
      </c>
      <c r="AL16" s="28">
        <f t="shared" ca="1" si="4"/>
        <v>45611</v>
      </c>
      <c r="AM16" s="28">
        <f t="shared" ca="1" si="5"/>
        <v>45611</v>
      </c>
      <c r="AN16" s="26" t="s">
        <v>92</v>
      </c>
      <c r="AO16" s="22" t="s">
        <v>93</v>
      </c>
      <c r="AP16" s="15">
        <v>100</v>
      </c>
      <c r="AQ16" s="28">
        <f t="shared" ca="1" si="6"/>
        <v>45692</v>
      </c>
      <c r="AR16" s="15" t="s">
        <v>70</v>
      </c>
      <c r="AS16" s="29" t="s">
        <v>94</v>
      </c>
      <c r="AT16" s="30">
        <v>486329420</v>
      </c>
      <c r="AU16" s="28" t="s">
        <v>95</v>
      </c>
      <c r="AV16" s="28" t="s">
        <v>96</v>
      </c>
      <c r="AW16" s="15" t="s">
        <v>70</v>
      </c>
      <c r="AX16" s="29" t="s">
        <v>97</v>
      </c>
      <c r="AY16" s="30">
        <v>394257550</v>
      </c>
      <c r="AZ16" s="28" t="s">
        <v>95</v>
      </c>
      <c r="BA16" s="28" t="s">
        <v>96</v>
      </c>
      <c r="BB16" s="31" t="s">
        <v>98</v>
      </c>
      <c r="BC16" s="28" t="s">
        <v>99</v>
      </c>
      <c r="BD16" s="29" t="s">
        <v>77</v>
      </c>
      <c r="BE16" s="29" t="s">
        <v>100</v>
      </c>
      <c r="BF16" s="29" t="s">
        <v>101</v>
      </c>
      <c r="BG16" s="15" t="s">
        <v>102</v>
      </c>
      <c r="BH16" s="15" t="s">
        <v>103</v>
      </c>
      <c r="BI16" s="32" t="s">
        <v>104</v>
      </c>
      <c r="BJ16" t="s">
        <v>105</v>
      </c>
      <c r="BK16" s="15" t="s">
        <v>106</v>
      </c>
      <c r="BL16" s="15" t="s">
        <v>70</v>
      </c>
      <c r="BM16" s="15" t="s">
        <v>76</v>
      </c>
      <c r="BN16" s="15" t="s">
        <v>76</v>
      </c>
      <c r="BO16" s="15" t="s">
        <v>107</v>
      </c>
      <c r="BP16" s="15" t="s">
        <v>108</v>
      </c>
      <c r="BQ16" s="18" t="s">
        <v>109</v>
      </c>
      <c r="BR16" s="18" t="s">
        <v>110</v>
      </c>
      <c r="BS16" t="s">
        <v>111</v>
      </c>
      <c r="BT16" s="33">
        <v>213111231</v>
      </c>
    </row>
    <row r="17" spans="1:72" ht="14.4" customHeight="1" x14ac:dyDescent="0.35">
      <c r="A17" s="12" t="s">
        <v>161</v>
      </c>
      <c r="D17" s="14" t="s">
        <v>69</v>
      </c>
      <c r="E17" s="15" t="s">
        <v>70</v>
      </c>
      <c r="F17" s="16" t="s">
        <v>162</v>
      </c>
      <c r="G17" s="17" t="s">
        <v>163</v>
      </c>
      <c r="H17" s="18" t="s">
        <v>73</v>
      </c>
      <c r="I17" s="18" t="s">
        <v>74</v>
      </c>
      <c r="J17" s="18" t="s">
        <v>75</v>
      </c>
      <c r="K17" s="19">
        <f t="shared" ca="1" si="0"/>
        <v>45611</v>
      </c>
      <c r="L17" s="15" t="s">
        <v>70</v>
      </c>
      <c r="M17" s="15" t="s">
        <v>76</v>
      </c>
      <c r="N17" s="15">
        <v>1</v>
      </c>
      <c r="O17" s="18" t="s">
        <v>77</v>
      </c>
      <c r="P17" s="18" t="s">
        <v>78</v>
      </c>
      <c r="Q17" s="18" t="s">
        <v>77</v>
      </c>
      <c r="R17" s="18" t="s">
        <v>79</v>
      </c>
      <c r="S17" s="18" t="s">
        <v>75</v>
      </c>
      <c r="T17" s="20" t="s">
        <v>80</v>
      </c>
      <c r="U17" s="21" t="s">
        <v>81</v>
      </c>
      <c r="V17" s="18" t="s">
        <v>75</v>
      </c>
      <c r="W17" s="19">
        <f t="shared" ca="1" si="1"/>
        <v>45611</v>
      </c>
      <c r="X17" s="18" t="s">
        <v>82</v>
      </c>
      <c r="Y17" s="16" t="s">
        <v>83</v>
      </c>
      <c r="Z17" s="22" t="s">
        <v>84</v>
      </c>
      <c r="AA17" s="22" t="s">
        <v>85</v>
      </c>
      <c r="AB17" s="22" t="s">
        <v>86</v>
      </c>
      <c r="AC17" s="23" t="s">
        <v>87</v>
      </c>
      <c r="AD17" s="23" t="s">
        <v>88</v>
      </c>
      <c r="AE17" s="22" t="s">
        <v>136</v>
      </c>
      <c r="AF17" s="24">
        <v>25</v>
      </c>
      <c r="AG17" s="25">
        <f ca="1">TODAY()+365</f>
        <v>46037</v>
      </c>
      <c r="AH17" s="26" t="s">
        <v>90</v>
      </c>
      <c r="AI17" s="26" t="s">
        <v>91</v>
      </c>
      <c r="AJ17" s="27">
        <f t="shared" ca="1" si="2"/>
        <v>45611</v>
      </c>
      <c r="AK17" s="25">
        <f t="shared" ca="1" si="3"/>
        <v>46037</v>
      </c>
      <c r="AL17" s="28">
        <f t="shared" ca="1" si="4"/>
        <v>45611</v>
      </c>
      <c r="AM17" s="28">
        <f t="shared" ca="1" si="5"/>
        <v>45611</v>
      </c>
      <c r="AN17" s="26" t="s">
        <v>92</v>
      </c>
      <c r="AO17" s="22" t="s">
        <v>93</v>
      </c>
      <c r="AP17" s="15">
        <v>100</v>
      </c>
      <c r="AQ17" s="28">
        <f t="shared" ca="1" si="6"/>
        <v>45692</v>
      </c>
      <c r="AR17" s="15" t="s">
        <v>70</v>
      </c>
      <c r="AS17" s="29" t="s">
        <v>94</v>
      </c>
      <c r="AT17" s="30">
        <v>486329421</v>
      </c>
      <c r="AU17" s="28" t="s">
        <v>95</v>
      </c>
      <c r="AV17" s="28" t="s">
        <v>96</v>
      </c>
      <c r="AW17" s="15" t="s">
        <v>70</v>
      </c>
      <c r="AX17" s="29" t="s">
        <v>97</v>
      </c>
      <c r="AY17" s="30">
        <v>394257551</v>
      </c>
      <c r="AZ17" s="28" t="s">
        <v>95</v>
      </c>
      <c r="BA17" s="28" t="s">
        <v>96</v>
      </c>
      <c r="BB17" s="31" t="s">
        <v>98</v>
      </c>
      <c r="BC17" s="28" t="s">
        <v>99</v>
      </c>
      <c r="BD17" s="29" t="s">
        <v>77</v>
      </c>
      <c r="BE17" s="29" t="s">
        <v>100</v>
      </c>
      <c r="BF17" s="29" t="s">
        <v>101</v>
      </c>
      <c r="BG17" s="15" t="s">
        <v>102</v>
      </c>
      <c r="BH17" s="15" t="s">
        <v>103</v>
      </c>
      <c r="BI17" s="32" t="s">
        <v>104</v>
      </c>
      <c r="BJ17" t="s">
        <v>105</v>
      </c>
      <c r="BK17" s="15" t="s">
        <v>106</v>
      </c>
      <c r="BL17" s="15" t="s">
        <v>70</v>
      </c>
      <c r="BM17" s="15" t="s">
        <v>76</v>
      </c>
      <c r="BN17" s="15" t="s">
        <v>76</v>
      </c>
      <c r="BO17" s="15" t="s">
        <v>107</v>
      </c>
      <c r="BP17" s="15" t="s">
        <v>108</v>
      </c>
      <c r="BQ17" s="18" t="s">
        <v>109</v>
      </c>
      <c r="BR17" s="18" t="s">
        <v>110</v>
      </c>
      <c r="BS17" t="s">
        <v>111</v>
      </c>
      <c r="BT17" s="33">
        <v>213111231</v>
      </c>
    </row>
    <row r="18" spans="1:72" ht="14.4" customHeight="1" x14ac:dyDescent="0.35">
      <c r="A18" s="12" t="s">
        <v>164</v>
      </c>
      <c r="D18" s="14" t="s">
        <v>69</v>
      </c>
      <c r="E18" s="15" t="s">
        <v>70</v>
      </c>
      <c r="F18" s="16" t="s">
        <v>165</v>
      </c>
      <c r="G18" s="17" t="s">
        <v>166</v>
      </c>
      <c r="H18" s="18" t="s">
        <v>73</v>
      </c>
      <c r="I18" s="18" t="s">
        <v>74</v>
      </c>
      <c r="J18" s="18" t="s">
        <v>75</v>
      </c>
      <c r="K18" s="19">
        <f t="shared" ca="1" si="0"/>
        <v>45611</v>
      </c>
      <c r="L18" s="15" t="s">
        <v>70</v>
      </c>
      <c r="M18" s="15" t="s">
        <v>76</v>
      </c>
      <c r="N18" s="15">
        <v>1</v>
      </c>
      <c r="O18" s="18" t="s">
        <v>77</v>
      </c>
      <c r="P18" s="18" t="s">
        <v>78</v>
      </c>
      <c r="Q18" s="18" t="s">
        <v>77</v>
      </c>
      <c r="R18" s="18" t="s">
        <v>79</v>
      </c>
      <c r="S18" s="18" t="s">
        <v>75</v>
      </c>
      <c r="T18" s="20" t="s">
        <v>80</v>
      </c>
      <c r="U18" s="21" t="s">
        <v>81</v>
      </c>
      <c r="V18" s="18" t="s">
        <v>75</v>
      </c>
      <c r="W18" s="19">
        <f t="shared" ca="1" si="1"/>
        <v>45611</v>
      </c>
      <c r="X18" s="18" t="s">
        <v>82</v>
      </c>
      <c r="Y18" s="16" t="s">
        <v>115</v>
      </c>
      <c r="Z18" s="22" t="s">
        <v>116</v>
      </c>
      <c r="AA18" s="22" t="s">
        <v>85</v>
      </c>
      <c r="AB18" s="22" t="s">
        <v>86</v>
      </c>
      <c r="AC18" s="23" t="s">
        <v>87</v>
      </c>
      <c r="AD18" s="23" t="s">
        <v>88</v>
      </c>
      <c r="AE18" s="22" t="s">
        <v>136</v>
      </c>
      <c r="AF18" s="24">
        <v>25</v>
      </c>
      <c r="AG18" s="25" t="s">
        <v>117</v>
      </c>
      <c r="AH18" s="26" t="s">
        <v>90</v>
      </c>
      <c r="AI18" s="26" t="s">
        <v>91</v>
      </c>
      <c r="AJ18" s="27">
        <f t="shared" ca="1" si="2"/>
        <v>45611</v>
      </c>
      <c r="AK18" s="25" t="str">
        <f t="shared" si="3"/>
        <v>N/A</v>
      </c>
      <c r="AL18" s="28">
        <f t="shared" ca="1" si="4"/>
        <v>45611</v>
      </c>
      <c r="AM18" s="28">
        <f t="shared" ca="1" si="5"/>
        <v>45611</v>
      </c>
      <c r="AN18" s="26" t="s">
        <v>92</v>
      </c>
      <c r="AO18" s="22" t="s">
        <v>93</v>
      </c>
      <c r="AP18" s="15">
        <v>100</v>
      </c>
      <c r="AQ18" s="28">
        <f t="shared" ca="1" si="6"/>
        <v>45692</v>
      </c>
      <c r="AR18" s="15" t="s">
        <v>70</v>
      </c>
      <c r="AS18" s="29" t="s">
        <v>94</v>
      </c>
      <c r="AT18" s="30">
        <v>486329422</v>
      </c>
      <c r="AU18" s="28" t="s">
        <v>95</v>
      </c>
      <c r="AV18" s="28" t="s">
        <v>96</v>
      </c>
      <c r="AW18" s="15" t="s">
        <v>70</v>
      </c>
      <c r="AX18" s="29" t="s">
        <v>97</v>
      </c>
      <c r="AY18" s="30">
        <v>394257552</v>
      </c>
      <c r="AZ18" s="28" t="s">
        <v>95</v>
      </c>
      <c r="BA18" s="28" t="s">
        <v>96</v>
      </c>
      <c r="BB18" s="31" t="s">
        <v>98</v>
      </c>
      <c r="BC18" s="28" t="s">
        <v>99</v>
      </c>
      <c r="BD18" s="29" t="s">
        <v>77</v>
      </c>
      <c r="BE18" s="29" t="s">
        <v>100</v>
      </c>
      <c r="BF18" s="29" t="s">
        <v>101</v>
      </c>
      <c r="BG18" s="15" t="s">
        <v>102</v>
      </c>
      <c r="BH18" s="15" t="s">
        <v>103</v>
      </c>
      <c r="BI18" s="32" t="s">
        <v>104</v>
      </c>
      <c r="BJ18" t="s">
        <v>105</v>
      </c>
      <c r="BK18" s="15" t="s">
        <v>106</v>
      </c>
      <c r="BL18" s="15" t="s">
        <v>70</v>
      </c>
      <c r="BM18" s="15" t="s">
        <v>76</v>
      </c>
      <c r="BN18" s="15" t="s">
        <v>76</v>
      </c>
      <c r="BO18" s="15" t="s">
        <v>107</v>
      </c>
      <c r="BP18" s="15" t="s">
        <v>108</v>
      </c>
      <c r="BQ18" s="18" t="s">
        <v>109</v>
      </c>
      <c r="BR18" s="18" t="s">
        <v>110</v>
      </c>
      <c r="BS18" t="s">
        <v>111</v>
      </c>
      <c r="BT18" s="33">
        <v>213111231</v>
      </c>
    </row>
    <row r="19" spans="1:72" ht="14.4" customHeight="1" x14ac:dyDescent="0.35">
      <c r="A19" s="12" t="s">
        <v>167</v>
      </c>
      <c r="D19" s="14" t="s">
        <v>69</v>
      </c>
      <c r="E19" s="15" t="s">
        <v>70</v>
      </c>
      <c r="F19" s="16" t="s">
        <v>168</v>
      </c>
      <c r="G19" s="17" t="s">
        <v>169</v>
      </c>
      <c r="H19" s="18" t="s">
        <v>121</v>
      </c>
      <c r="I19" s="18" t="s">
        <v>74</v>
      </c>
      <c r="J19" s="18" t="s">
        <v>75</v>
      </c>
      <c r="K19" s="19">
        <f t="shared" ca="1" si="0"/>
        <v>45611</v>
      </c>
      <c r="L19" s="15" t="s">
        <v>70</v>
      </c>
      <c r="M19" s="15" t="s">
        <v>76</v>
      </c>
      <c r="N19" s="15">
        <v>1</v>
      </c>
      <c r="O19" s="18" t="s">
        <v>77</v>
      </c>
      <c r="P19" s="18" t="s">
        <v>78</v>
      </c>
      <c r="Q19" s="18" t="s">
        <v>77</v>
      </c>
      <c r="R19" s="18" t="s">
        <v>79</v>
      </c>
      <c r="S19" s="18" t="s">
        <v>75</v>
      </c>
      <c r="T19" s="20" t="s">
        <v>80</v>
      </c>
      <c r="U19" s="21" t="s">
        <v>81</v>
      </c>
      <c r="V19" s="18" t="s">
        <v>75</v>
      </c>
      <c r="W19" s="19">
        <f t="shared" ca="1" si="1"/>
        <v>45611</v>
      </c>
      <c r="X19" s="18" t="s">
        <v>82</v>
      </c>
      <c r="Y19" s="16" t="s">
        <v>122</v>
      </c>
      <c r="Z19" s="22" t="s">
        <v>116</v>
      </c>
      <c r="AA19" s="22" t="s">
        <v>85</v>
      </c>
      <c r="AB19" s="22" t="s">
        <v>86</v>
      </c>
      <c r="AC19" s="23" t="s">
        <v>87</v>
      </c>
      <c r="AD19" s="23" t="s">
        <v>88</v>
      </c>
      <c r="AE19" s="22" t="s">
        <v>136</v>
      </c>
      <c r="AF19" s="24">
        <v>25</v>
      </c>
      <c r="AG19" s="25" t="s">
        <v>117</v>
      </c>
      <c r="AH19" s="26" t="s">
        <v>90</v>
      </c>
      <c r="AI19" s="26" t="s">
        <v>91</v>
      </c>
      <c r="AJ19" s="27">
        <f t="shared" ca="1" si="2"/>
        <v>45611</v>
      </c>
      <c r="AK19" s="25" t="str">
        <f t="shared" si="3"/>
        <v>N/A</v>
      </c>
      <c r="AL19" s="28">
        <f t="shared" ca="1" si="4"/>
        <v>45611</v>
      </c>
      <c r="AM19" s="28">
        <f t="shared" ca="1" si="5"/>
        <v>45611</v>
      </c>
      <c r="AN19" s="26" t="s">
        <v>92</v>
      </c>
      <c r="AO19" s="22" t="s">
        <v>93</v>
      </c>
      <c r="AP19" s="15">
        <v>100</v>
      </c>
      <c r="AQ19" s="28">
        <f t="shared" ca="1" si="6"/>
        <v>45692</v>
      </c>
      <c r="AR19" s="15" t="s">
        <v>70</v>
      </c>
      <c r="AS19" s="29" t="s">
        <v>94</v>
      </c>
      <c r="AT19" s="30">
        <v>486329423</v>
      </c>
      <c r="AU19" s="28" t="s">
        <v>95</v>
      </c>
      <c r="AV19" s="28" t="s">
        <v>96</v>
      </c>
      <c r="AW19" s="15" t="s">
        <v>70</v>
      </c>
      <c r="AX19" s="29" t="s">
        <v>97</v>
      </c>
      <c r="AY19" s="30">
        <v>394257553</v>
      </c>
      <c r="AZ19" s="28" t="s">
        <v>95</v>
      </c>
      <c r="BA19" s="28" t="s">
        <v>96</v>
      </c>
      <c r="BB19" s="31" t="s">
        <v>98</v>
      </c>
      <c r="BC19" s="28" t="s">
        <v>99</v>
      </c>
      <c r="BD19" s="29" t="s">
        <v>77</v>
      </c>
      <c r="BE19" s="29" t="s">
        <v>100</v>
      </c>
      <c r="BF19" s="29" t="s">
        <v>101</v>
      </c>
      <c r="BG19" s="15" t="s">
        <v>102</v>
      </c>
      <c r="BH19" s="15" t="s">
        <v>103</v>
      </c>
      <c r="BI19" s="32" t="s">
        <v>104</v>
      </c>
      <c r="BJ19" t="s">
        <v>105</v>
      </c>
      <c r="BK19" s="15" t="s">
        <v>106</v>
      </c>
      <c r="BL19" s="15" t="s">
        <v>70</v>
      </c>
      <c r="BM19" s="15" t="s">
        <v>76</v>
      </c>
      <c r="BN19" s="15" t="s">
        <v>76</v>
      </c>
      <c r="BO19" s="15" t="s">
        <v>107</v>
      </c>
      <c r="BP19" s="15" t="s">
        <v>108</v>
      </c>
      <c r="BQ19" s="18" t="s">
        <v>109</v>
      </c>
      <c r="BR19" s="18" t="s">
        <v>110</v>
      </c>
      <c r="BS19" t="s">
        <v>111</v>
      </c>
      <c r="BT19" s="33">
        <v>213111231</v>
      </c>
    </row>
    <row r="20" spans="1:72" ht="14.4" customHeight="1" x14ac:dyDescent="0.35">
      <c r="A20" s="12" t="s">
        <v>170</v>
      </c>
      <c r="D20" s="14" t="s">
        <v>69</v>
      </c>
      <c r="E20" s="15" t="s">
        <v>70</v>
      </c>
      <c r="F20" s="16" t="s">
        <v>171</v>
      </c>
      <c r="G20" s="17" t="s">
        <v>172</v>
      </c>
      <c r="H20" s="18" t="s">
        <v>73</v>
      </c>
      <c r="I20" s="18" t="s">
        <v>74</v>
      </c>
      <c r="J20" s="18" t="s">
        <v>75</v>
      </c>
      <c r="K20" s="19">
        <f t="shared" ca="1" si="0"/>
        <v>45611</v>
      </c>
      <c r="L20" s="15" t="s">
        <v>70</v>
      </c>
      <c r="M20" s="15" t="s">
        <v>76</v>
      </c>
      <c r="N20" s="15">
        <v>1</v>
      </c>
      <c r="O20" s="18" t="s">
        <v>77</v>
      </c>
      <c r="P20" s="18" t="s">
        <v>78</v>
      </c>
      <c r="Q20" s="18" t="s">
        <v>77</v>
      </c>
      <c r="R20" s="18" t="s">
        <v>79</v>
      </c>
      <c r="S20" s="18" t="s">
        <v>75</v>
      </c>
      <c r="T20" s="20" t="s">
        <v>80</v>
      </c>
      <c r="U20" s="21" t="s">
        <v>81</v>
      </c>
      <c r="V20" s="18" t="s">
        <v>75</v>
      </c>
      <c r="W20" s="19">
        <f t="shared" ca="1" si="1"/>
        <v>45611</v>
      </c>
      <c r="X20" s="18" t="s">
        <v>82</v>
      </c>
      <c r="Y20" s="16" t="s">
        <v>83</v>
      </c>
      <c r="Z20" s="22" t="s">
        <v>84</v>
      </c>
      <c r="AA20" s="22" t="s">
        <v>85</v>
      </c>
      <c r="AB20" s="22" t="s">
        <v>86</v>
      </c>
      <c r="AC20" s="23" t="s">
        <v>87</v>
      </c>
      <c r="AD20" s="23" t="s">
        <v>88</v>
      </c>
      <c r="AE20" s="22" t="s">
        <v>89</v>
      </c>
      <c r="AF20" s="24">
        <v>20</v>
      </c>
      <c r="AG20" s="25">
        <f ca="1">TODAY()+365</f>
        <v>46037</v>
      </c>
      <c r="AH20" s="26" t="s">
        <v>90</v>
      </c>
      <c r="AI20" s="26" t="s">
        <v>91</v>
      </c>
      <c r="AJ20" s="27">
        <f t="shared" ca="1" si="2"/>
        <v>45611</v>
      </c>
      <c r="AK20" s="25">
        <f t="shared" ca="1" si="3"/>
        <v>46037</v>
      </c>
      <c r="AL20" s="28">
        <f t="shared" ca="1" si="4"/>
        <v>45611</v>
      </c>
      <c r="AM20" s="28">
        <f t="shared" ca="1" si="5"/>
        <v>45611</v>
      </c>
      <c r="AN20" s="26" t="s">
        <v>92</v>
      </c>
      <c r="AO20" s="22" t="s">
        <v>93</v>
      </c>
      <c r="AP20" s="15">
        <v>100</v>
      </c>
      <c r="AQ20" s="28">
        <f t="shared" ca="1" si="6"/>
        <v>45692</v>
      </c>
      <c r="AR20" s="15" t="s">
        <v>70</v>
      </c>
      <c r="AS20" s="29" t="s">
        <v>94</v>
      </c>
      <c r="AT20" s="30">
        <v>486329424</v>
      </c>
      <c r="AU20" s="28" t="s">
        <v>95</v>
      </c>
      <c r="AV20" s="28" t="s">
        <v>96</v>
      </c>
      <c r="AW20" s="15" t="s">
        <v>70</v>
      </c>
      <c r="AX20" s="29" t="s">
        <v>97</v>
      </c>
      <c r="AY20" s="30">
        <v>394257554</v>
      </c>
      <c r="AZ20" s="28" t="s">
        <v>95</v>
      </c>
      <c r="BA20" s="28" t="s">
        <v>96</v>
      </c>
      <c r="BB20" s="31" t="s">
        <v>98</v>
      </c>
      <c r="BC20" s="28" t="s">
        <v>173</v>
      </c>
      <c r="BD20" s="29" t="s">
        <v>77</v>
      </c>
      <c r="BE20" s="29" t="s">
        <v>100</v>
      </c>
      <c r="BF20" s="29" t="s">
        <v>101</v>
      </c>
      <c r="BG20" s="15" t="s">
        <v>102</v>
      </c>
      <c r="BH20" s="15" t="s">
        <v>103</v>
      </c>
      <c r="BI20" s="32" t="s">
        <v>104</v>
      </c>
      <c r="BJ20" t="s">
        <v>105</v>
      </c>
      <c r="BK20" s="15" t="s">
        <v>106</v>
      </c>
      <c r="BL20" s="15" t="s">
        <v>70</v>
      </c>
      <c r="BM20" s="15" t="s">
        <v>76</v>
      </c>
      <c r="BN20" s="15" t="s">
        <v>76</v>
      </c>
      <c r="BO20" s="15" t="s">
        <v>107</v>
      </c>
      <c r="BP20" s="15" t="s">
        <v>108</v>
      </c>
      <c r="BQ20" s="18" t="s">
        <v>109</v>
      </c>
      <c r="BR20" s="18" t="s">
        <v>110</v>
      </c>
      <c r="BS20" t="s">
        <v>111</v>
      </c>
      <c r="BT20" s="33">
        <v>213111231</v>
      </c>
    </row>
    <row r="21" spans="1:72" ht="14.4" customHeight="1" x14ac:dyDescent="0.35">
      <c r="A21" s="12" t="s">
        <v>174</v>
      </c>
      <c r="D21" s="14" t="s">
        <v>69</v>
      </c>
      <c r="E21" s="15" t="s">
        <v>70</v>
      </c>
      <c r="F21" s="16" t="s">
        <v>175</v>
      </c>
      <c r="G21" s="17" t="s">
        <v>176</v>
      </c>
      <c r="H21" s="18" t="s">
        <v>73</v>
      </c>
      <c r="I21" s="18" t="s">
        <v>74</v>
      </c>
      <c r="J21" s="18" t="s">
        <v>75</v>
      </c>
      <c r="K21" s="19">
        <f t="shared" ca="1" si="0"/>
        <v>45611</v>
      </c>
      <c r="L21" s="15" t="s">
        <v>70</v>
      </c>
      <c r="M21" s="15" t="s">
        <v>76</v>
      </c>
      <c r="N21" s="15">
        <v>1</v>
      </c>
      <c r="O21" s="18" t="s">
        <v>77</v>
      </c>
      <c r="P21" s="18" t="s">
        <v>78</v>
      </c>
      <c r="Q21" s="18" t="s">
        <v>77</v>
      </c>
      <c r="R21" s="18" t="s">
        <v>79</v>
      </c>
      <c r="S21" s="18" t="s">
        <v>75</v>
      </c>
      <c r="T21" s="20" t="s">
        <v>80</v>
      </c>
      <c r="U21" s="21" t="s">
        <v>81</v>
      </c>
      <c r="V21" s="18" t="s">
        <v>75</v>
      </c>
      <c r="W21" s="19">
        <f t="shared" ca="1" si="1"/>
        <v>45611</v>
      </c>
      <c r="X21" s="18" t="s">
        <v>82</v>
      </c>
      <c r="Y21" s="16" t="s">
        <v>115</v>
      </c>
      <c r="Z21" s="22" t="s">
        <v>116</v>
      </c>
      <c r="AA21" s="22" t="s">
        <v>85</v>
      </c>
      <c r="AB21" s="22" t="s">
        <v>86</v>
      </c>
      <c r="AC21" s="23" t="s">
        <v>87</v>
      </c>
      <c r="AD21" s="23" t="s">
        <v>88</v>
      </c>
      <c r="AE21" s="22" t="s">
        <v>89</v>
      </c>
      <c r="AF21" s="24">
        <v>20</v>
      </c>
      <c r="AG21" s="25" t="s">
        <v>117</v>
      </c>
      <c r="AH21" s="26" t="s">
        <v>90</v>
      </c>
      <c r="AI21" s="26" t="s">
        <v>91</v>
      </c>
      <c r="AJ21" s="27">
        <f t="shared" ca="1" si="2"/>
        <v>45611</v>
      </c>
      <c r="AK21" s="25" t="str">
        <f t="shared" si="3"/>
        <v>N/A</v>
      </c>
      <c r="AL21" s="28">
        <f t="shared" ca="1" si="4"/>
        <v>45611</v>
      </c>
      <c r="AM21" s="28">
        <f t="shared" ca="1" si="5"/>
        <v>45611</v>
      </c>
      <c r="AN21" s="26" t="s">
        <v>92</v>
      </c>
      <c r="AO21" s="22" t="s">
        <v>93</v>
      </c>
      <c r="AP21" s="15">
        <v>100</v>
      </c>
      <c r="AQ21" s="28">
        <f t="shared" ca="1" si="6"/>
        <v>45692</v>
      </c>
      <c r="AR21" s="15" t="s">
        <v>70</v>
      </c>
      <c r="AS21" s="29" t="s">
        <v>94</v>
      </c>
      <c r="AT21" s="30">
        <v>486329425</v>
      </c>
      <c r="AU21" s="28" t="s">
        <v>95</v>
      </c>
      <c r="AV21" s="28" t="s">
        <v>96</v>
      </c>
      <c r="AW21" s="15" t="s">
        <v>70</v>
      </c>
      <c r="AX21" s="29" t="s">
        <v>97</v>
      </c>
      <c r="AY21" s="30">
        <v>394257555</v>
      </c>
      <c r="AZ21" s="28" t="s">
        <v>95</v>
      </c>
      <c r="BA21" s="28" t="s">
        <v>96</v>
      </c>
      <c r="BB21" s="31" t="s">
        <v>98</v>
      </c>
      <c r="BC21" s="28" t="s">
        <v>173</v>
      </c>
      <c r="BD21" s="29" t="s">
        <v>77</v>
      </c>
      <c r="BE21" s="29" t="s">
        <v>100</v>
      </c>
      <c r="BF21" s="29" t="s">
        <v>101</v>
      </c>
      <c r="BG21" s="15" t="s">
        <v>102</v>
      </c>
      <c r="BH21" s="15" t="s">
        <v>103</v>
      </c>
      <c r="BI21" s="32" t="s">
        <v>104</v>
      </c>
      <c r="BJ21" t="s">
        <v>105</v>
      </c>
      <c r="BK21" s="15" t="s">
        <v>106</v>
      </c>
      <c r="BL21" s="15" t="s">
        <v>70</v>
      </c>
      <c r="BM21" s="15" t="s">
        <v>76</v>
      </c>
      <c r="BN21" s="15" t="s">
        <v>76</v>
      </c>
      <c r="BO21" s="15" t="s">
        <v>107</v>
      </c>
      <c r="BP21" s="15" t="s">
        <v>108</v>
      </c>
      <c r="BQ21" s="18" t="s">
        <v>109</v>
      </c>
      <c r="BR21" s="18" t="s">
        <v>110</v>
      </c>
      <c r="BS21" t="s">
        <v>111</v>
      </c>
      <c r="BT21" s="33">
        <v>213111231</v>
      </c>
    </row>
    <row r="22" spans="1:72" ht="14.4" customHeight="1" x14ac:dyDescent="0.35">
      <c r="A22" s="12" t="s">
        <v>177</v>
      </c>
      <c r="D22" s="14" t="s">
        <v>69</v>
      </c>
      <c r="E22" s="15" t="s">
        <v>70</v>
      </c>
      <c r="F22" s="16" t="s">
        <v>178</v>
      </c>
      <c r="G22" s="17" t="s">
        <v>179</v>
      </c>
      <c r="H22" s="18" t="s">
        <v>121</v>
      </c>
      <c r="I22" s="18" t="s">
        <v>74</v>
      </c>
      <c r="J22" s="18" t="s">
        <v>75</v>
      </c>
      <c r="K22" s="19">
        <f t="shared" ca="1" si="0"/>
        <v>45611</v>
      </c>
      <c r="L22" s="15" t="s">
        <v>70</v>
      </c>
      <c r="M22" s="15" t="s">
        <v>76</v>
      </c>
      <c r="N22" s="15">
        <v>1</v>
      </c>
      <c r="O22" s="18" t="s">
        <v>77</v>
      </c>
      <c r="P22" s="18" t="s">
        <v>78</v>
      </c>
      <c r="Q22" s="18" t="s">
        <v>77</v>
      </c>
      <c r="R22" s="18" t="s">
        <v>79</v>
      </c>
      <c r="S22" s="18" t="s">
        <v>75</v>
      </c>
      <c r="T22" s="20" t="s">
        <v>80</v>
      </c>
      <c r="U22" s="21" t="s">
        <v>81</v>
      </c>
      <c r="V22" s="18" t="s">
        <v>75</v>
      </c>
      <c r="W22" s="19">
        <f t="shared" ca="1" si="1"/>
        <v>45611</v>
      </c>
      <c r="X22" s="18" t="s">
        <v>82</v>
      </c>
      <c r="Y22" s="16" t="s">
        <v>122</v>
      </c>
      <c r="Z22" s="22" t="s">
        <v>116</v>
      </c>
      <c r="AA22" s="22" t="s">
        <v>85</v>
      </c>
      <c r="AB22" s="22" t="s">
        <v>86</v>
      </c>
      <c r="AC22" s="23" t="s">
        <v>87</v>
      </c>
      <c r="AD22" s="23" t="s">
        <v>88</v>
      </c>
      <c r="AE22" s="22" t="s">
        <v>89</v>
      </c>
      <c r="AF22" s="24">
        <v>20</v>
      </c>
      <c r="AG22" s="25" t="s">
        <v>117</v>
      </c>
      <c r="AH22" s="26" t="s">
        <v>90</v>
      </c>
      <c r="AI22" s="26" t="s">
        <v>91</v>
      </c>
      <c r="AJ22" s="27">
        <f t="shared" ca="1" si="2"/>
        <v>45611</v>
      </c>
      <c r="AK22" s="25" t="str">
        <f t="shared" si="3"/>
        <v>N/A</v>
      </c>
      <c r="AL22" s="28">
        <f t="shared" ca="1" si="4"/>
        <v>45611</v>
      </c>
      <c r="AM22" s="28">
        <f t="shared" ca="1" si="5"/>
        <v>45611</v>
      </c>
      <c r="AN22" s="26" t="s">
        <v>92</v>
      </c>
      <c r="AO22" s="22" t="s">
        <v>93</v>
      </c>
      <c r="AP22" s="15">
        <v>100</v>
      </c>
      <c r="AQ22" s="28">
        <f t="shared" ca="1" si="6"/>
        <v>45692</v>
      </c>
      <c r="AR22" s="15" t="s">
        <v>70</v>
      </c>
      <c r="AS22" s="29" t="s">
        <v>94</v>
      </c>
      <c r="AT22" s="30">
        <v>486329426</v>
      </c>
      <c r="AU22" s="28" t="s">
        <v>95</v>
      </c>
      <c r="AV22" s="28" t="s">
        <v>96</v>
      </c>
      <c r="AW22" s="15" t="s">
        <v>70</v>
      </c>
      <c r="AX22" s="29" t="s">
        <v>97</v>
      </c>
      <c r="AY22" s="30">
        <v>394257556</v>
      </c>
      <c r="AZ22" s="28" t="s">
        <v>95</v>
      </c>
      <c r="BA22" s="28" t="s">
        <v>96</v>
      </c>
      <c r="BB22" s="31" t="s">
        <v>98</v>
      </c>
      <c r="BC22" s="28" t="s">
        <v>173</v>
      </c>
      <c r="BD22" s="29" t="s">
        <v>77</v>
      </c>
      <c r="BE22" s="29" t="s">
        <v>100</v>
      </c>
      <c r="BF22" s="29" t="s">
        <v>101</v>
      </c>
      <c r="BG22" s="15" t="s">
        <v>102</v>
      </c>
      <c r="BH22" s="15" t="s">
        <v>103</v>
      </c>
      <c r="BI22" s="32" t="s">
        <v>104</v>
      </c>
      <c r="BJ22" t="s">
        <v>105</v>
      </c>
      <c r="BK22" s="15" t="s">
        <v>106</v>
      </c>
      <c r="BL22" s="15" t="s">
        <v>70</v>
      </c>
      <c r="BM22" s="15" t="s">
        <v>76</v>
      </c>
      <c r="BN22" s="15" t="s">
        <v>76</v>
      </c>
      <c r="BO22" s="15" t="s">
        <v>107</v>
      </c>
      <c r="BP22" s="15" t="s">
        <v>108</v>
      </c>
      <c r="BQ22" s="18" t="s">
        <v>109</v>
      </c>
      <c r="BR22" s="18" t="s">
        <v>110</v>
      </c>
      <c r="BS22" t="s">
        <v>111</v>
      </c>
      <c r="BT22" s="33">
        <v>213111231</v>
      </c>
    </row>
    <row r="23" spans="1:72" ht="14.4" customHeight="1" x14ac:dyDescent="0.35">
      <c r="A23" s="12" t="s">
        <v>180</v>
      </c>
      <c r="D23" s="14" t="s">
        <v>69</v>
      </c>
      <c r="E23" s="15" t="s">
        <v>70</v>
      </c>
      <c r="F23" s="16" t="s">
        <v>181</v>
      </c>
      <c r="G23" s="17" t="s">
        <v>182</v>
      </c>
      <c r="H23" s="18" t="s">
        <v>73</v>
      </c>
      <c r="I23" s="18" t="s">
        <v>74</v>
      </c>
      <c r="J23" s="18" t="s">
        <v>75</v>
      </c>
      <c r="K23" s="19">
        <f t="shared" ca="1" si="0"/>
        <v>45611</v>
      </c>
      <c r="L23" s="15" t="s">
        <v>70</v>
      </c>
      <c r="M23" s="15" t="s">
        <v>76</v>
      </c>
      <c r="N23" s="15">
        <v>1</v>
      </c>
      <c r="O23" s="18" t="s">
        <v>77</v>
      </c>
      <c r="P23" s="18" t="s">
        <v>78</v>
      </c>
      <c r="Q23" s="18" t="s">
        <v>77</v>
      </c>
      <c r="R23" s="18" t="s">
        <v>79</v>
      </c>
      <c r="S23" s="18" t="s">
        <v>75</v>
      </c>
      <c r="T23" s="20" t="s">
        <v>80</v>
      </c>
      <c r="U23" s="21" t="s">
        <v>81</v>
      </c>
      <c r="V23" s="18" t="s">
        <v>75</v>
      </c>
      <c r="W23" s="19">
        <f t="shared" ca="1" si="1"/>
        <v>45611</v>
      </c>
      <c r="X23" s="18" t="s">
        <v>82</v>
      </c>
      <c r="Y23" s="16" t="s">
        <v>83</v>
      </c>
      <c r="Z23" s="22" t="s">
        <v>84</v>
      </c>
      <c r="AA23" s="22" t="s">
        <v>85</v>
      </c>
      <c r="AB23" s="22" t="s">
        <v>86</v>
      </c>
      <c r="AC23" s="23" t="s">
        <v>87</v>
      </c>
      <c r="AD23" s="23" t="s">
        <v>88</v>
      </c>
      <c r="AE23" s="22" t="s">
        <v>126</v>
      </c>
      <c r="AF23" s="24">
        <v>30</v>
      </c>
      <c r="AG23" s="25">
        <f ca="1">TODAY()+365</f>
        <v>46037</v>
      </c>
      <c r="AH23" s="26" t="s">
        <v>90</v>
      </c>
      <c r="AI23" s="26" t="s">
        <v>91</v>
      </c>
      <c r="AJ23" s="27">
        <f t="shared" ca="1" si="2"/>
        <v>45611</v>
      </c>
      <c r="AK23" s="25">
        <f t="shared" ca="1" si="3"/>
        <v>46037</v>
      </c>
      <c r="AL23" s="28">
        <f t="shared" ca="1" si="4"/>
        <v>45611</v>
      </c>
      <c r="AM23" s="28">
        <f t="shared" ca="1" si="5"/>
        <v>45611</v>
      </c>
      <c r="AN23" s="26" t="s">
        <v>92</v>
      </c>
      <c r="AO23" s="22" t="s">
        <v>93</v>
      </c>
      <c r="AP23" s="15">
        <v>100</v>
      </c>
      <c r="AQ23" s="28">
        <f t="shared" ca="1" si="6"/>
        <v>45692</v>
      </c>
      <c r="AR23" s="15" t="s">
        <v>70</v>
      </c>
      <c r="AS23" s="29" t="s">
        <v>94</v>
      </c>
      <c r="AT23" s="30">
        <v>486329427</v>
      </c>
      <c r="AU23" s="28" t="s">
        <v>95</v>
      </c>
      <c r="AV23" s="28" t="s">
        <v>96</v>
      </c>
      <c r="AW23" s="15" t="s">
        <v>70</v>
      </c>
      <c r="AX23" s="29" t="s">
        <v>97</v>
      </c>
      <c r="AY23" s="30">
        <v>394257557</v>
      </c>
      <c r="AZ23" s="28" t="s">
        <v>95</v>
      </c>
      <c r="BA23" s="28" t="s">
        <v>96</v>
      </c>
      <c r="BB23" s="31" t="s">
        <v>98</v>
      </c>
      <c r="BC23" s="28" t="s">
        <v>173</v>
      </c>
      <c r="BD23" s="29" t="s">
        <v>77</v>
      </c>
      <c r="BE23" s="29" t="s">
        <v>100</v>
      </c>
      <c r="BF23" s="29" t="s">
        <v>101</v>
      </c>
      <c r="BG23" s="15" t="s">
        <v>102</v>
      </c>
      <c r="BH23" s="15" t="s">
        <v>103</v>
      </c>
      <c r="BI23" s="32" t="s">
        <v>104</v>
      </c>
      <c r="BJ23" t="s">
        <v>105</v>
      </c>
      <c r="BK23" s="15" t="s">
        <v>106</v>
      </c>
      <c r="BL23" s="15" t="s">
        <v>70</v>
      </c>
      <c r="BM23" s="15" t="s">
        <v>76</v>
      </c>
      <c r="BN23" s="15" t="s">
        <v>76</v>
      </c>
      <c r="BO23" s="15" t="s">
        <v>107</v>
      </c>
      <c r="BP23" s="15" t="s">
        <v>108</v>
      </c>
      <c r="BQ23" s="18" t="s">
        <v>109</v>
      </c>
      <c r="BR23" s="18" t="s">
        <v>110</v>
      </c>
      <c r="BS23" t="s">
        <v>111</v>
      </c>
      <c r="BT23" s="33">
        <v>213111231</v>
      </c>
    </row>
    <row r="24" spans="1:72" ht="14.4" customHeight="1" x14ac:dyDescent="0.35">
      <c r="A24" s="12" t="s">
        <v>183</v>
      </c>
      <c r="D24" s="14" t="s">
        <v>69</v>
      </c>
      <c r="E24" s="15" t="s">
        <v>70</v>
      </c>
      <c r="F24" s="16" t="s">
        <v>184</v>
      </c>
      <c r="G24" s="17" t="s">
        <v>185</v>
      </c>
      <c r="H24" s="18" t="s">
        <v>73</v>
      </c>
      <c r="I24" s="18" t="s">
        <v>74</v>
      </c>
      <c r="J24" s="18" t="s">
        <v>75</v>
      </c>
      <c r="K24" s="19">
        <f t="shared" ca="1" si="0"/>
        <v>45611</v>
      </c>
      <c r="L24" s="15" t="s">
        <v>70</v>
      </c>
      <c r="M24" s="15" t="s">
        <v>76</v>
      </c>
      <c r="N24" s="15">
        <v>1</v>
      </c>
      <c r="O24" s="18" t="s">
        <v>77</v>
      </c>
      <c r="P24" s="18" t="s">
        <v>78</v>
      </c>
      <c r="Q24" s="18" t="s">
        <v>77</v>
      </c>
      <c r="R24" s="18" t="s">
        <v>79</v>
      </c>
      <c r="S24" s="18" t="s">
        <v>75</v>
      </c>
      <c r="T24" s="20" t="s">
        <v>80</v>
      </c>
      <c r="U24" s="21" t="s">
        <v>81</v>
      </c>
      <c r="V24" s="18" t="s">
        <v>75</v>
      </c>
      <c r="W24" s="19">
        <f t="shared" ca="1" si="1"/>
        <v>45611</v>
      </c>
      <c r="X24" s="18" t="s">
        <v>82</v>
      </c>
      <c r="Y24" s="16" t="s">
        <v>115</v>
      </c>
      <c r="Z24" s="22" t="s">
        <v>116</v>
      </c>
      <c r="AA24" s="22" t="s">
        <v>85</v>
      </c>
      <c r="AB24" s="22" t="s">
        <v>86</v>
      </c>
      <c r="AC24" s="23" t="s">
        <v>87</v>
      </c>
      <c r="AD24" s="23" t="s">
        <v>88</v>
      </c>
      <c r="AE24" s="22" t="s">
        <v>126</v>
      </c>
      <c r="AF24" s="24">
        <v>30</v>
      </c>
      <c r="AG24" s="25" t="s">
        <v>117</v>
      </c>
      <c r="AH24" s="26" t="s">
        <v>90</v>
      </c>
      <c r="AI24" s="26" t="s">
        <v>91</v>
      </c>
      <c r="AJ24" s="27">
        <f t="shared" ca="1" si="2"/>
        <v>45611</v>
      </c>
      <c r="AK24" s="25" t="str">
        <f t="shared" si="3"/>
        <v>N/A</v>
      </c>
      <c r="AL24" s="28">
        <f t="shared" ca="1" si="4"/>
        <v>45611</v>
      </c>
      <c r="AM24" s="28">
        <f t="shared" ca="1" si="5"/>
        <v>45611</v>
      </c>
      <c r="AN24" s="26" t="s">
        <v>92</v>
      </c>
      <c r="AO24" s="22" t="s">
        <v>93</v>
      </c>
      <c r="AP24" s="15">
        <v>100</v>
      </c>
      <c r="AQ24" s="28">
        <f t="shared" ca="1" si="6"/>
        <v>45692</v>
      </c>
      <c r="AR24" s="15" t="s">
        <v>70</v>
      </c>
      <c r="AS24" s="29" t="s">
        <v>94</v>
      </c>
      <c r="AT24" s="30">
        <v>486329428</v>
      </c>
      <c r="AU24" s="28" t="s">
        <v>95</v>
      </c>
      <c r="AV24" s="28" t="s">
        <v>96</v>
      </c>
      <c r="AW24" s="15" t="s">
        <v>70</v>
      </c>
      <c r="AX24" s="29" t="s">
        <v>97</v>
      </c>
      <c r="AY24" s="30">
        <v>394257558</v>
      </c>
      <c r="AZ24" s="28" t="s">
        <v>95</v>
      </c>
      <c r="BA24" s="28" t="s">
        <v>96</v>
      </c>
      <c r="BB24" s="31" t="s">
        <v>98</v>
      </c>
      <c r="BC24" s="28" t="s">
        <v>173</v>
      </c>
      <c r="BD24" s="29" t="s">
        <v>77</v>
      </c>
      <c r="BE24" s="29" t="s">
        <v>100</v>
      </c>
      <c r="BF24" s="29" t="s">
        <v>101</v>
      </c>
      <c r="BG24" s="15" t="s">
        <v>102</v>
      </c>
      <c r="BH24" s="15" t="s">
        <v>103</v>
      </c>
      <c r="BI24" s="32" t="s">
        <v>104</v>
      </c>
      <c r="BJ24" t="s">
        <v>105</v>
      </c>
      <c r="BK24" s="15" t="s">
        <v>106</v>
      </c>
      <c r="BL24" s="15" t="s">
        <v>70</v>
      </c>
      <c r="BM24" s="15" t="s">
        <v>76</v>
      </c>
      <c r="BN24" s="15" t="s">
        <v>76</v>
      </c>
      <c r="BO24" s="15" t="s">
        <v>107</v>
      </c>
      <c r="BP24" s="15" t="s">
        <v>108</v>
      </c>
      <c r="BQ24" s="18" t="s">
        <v>109</v>
      </c>
      <c r="BR24" s="18" t="s">
        <v>110</v>
      </c>
      <c r="BS24" t="s">
        <v>111</v>
      </c>
      <c r="BT24" s="33">
        <v>213111231</v>
      </c>
    </row>
    <row r="25" spans="1:72" ht="14.4" customHeight="1" x14ac:dyDescent="0.35">
      <c r="A25" s="12" t="s">
        <v>186</v>
      </c>
      <c r="D25" s="14" t="s">
        <v>69</v>
      </c>
      <c r="E25" s="15" t="s">
        <v>70</v>
      </c>
      <c r="F25" s="16" t="s">
        <v>187</v>
      </c>
      <c r="G25" s="17" t="s">
        <v>188</v>
      </c>
      <c r="H25" s="18" t="s">
        <v>121</v>
      </c>
      <c r="I25" s="18" t="s">
        <v>74</v>
      </c>
      <c r="J25" s="18" t="s">
        <v>75</v>
      </c>
      <c r="K25" s="19">
        <f t="shared" ca="1" si="0"/>
        <v>45611</v>
      </c>
      <c r="L25" s="15" t="s">
        <v>70</v>
      </c>
      <c r="M25" s="15" t="s">
        <v>76</v>
      </c>
      <c r="N25" s="15">
        <v>1</v>
      </c>
      <c r="O25" s="18" t="s">
        <v>77</v>
      </c>
      <c r="P25" s="18" t="s">
        <v>78</v>
      </c>
      <c r="Q25" s="18" t="s">
        <v>77</v>
      </c>
      <c r="R25" s="18" t="s">
        <v>79</v>
      </c>
      <c r="S25" s="18" t="s">
        <v>75</v>
      </c>
      <c r="T25" s="20" t="s">
        <v>80</v>
      </c>
      <c r="U25" s="21" t="s">
        <v>81</v>
      </c>
      <c r="V25" s="18" t="s">
        <v>75</v>
      </c>
      <c r="W25" s="19">
        <f t="shared" ca="1" si="1"/>
        <v>45611</v>
      </c>
      <c r="X25" s="18" t="s">
        <v>82</v>
      </c>
      <c r="Y25" s="16" t="s">
        <v>122</v>
      </c>
      <c r="Z25" s="22" t="s">
        <v>116</v>
      </c>
      <c r="AA25" s="22" t="s">
        <v>85</v>
      </c>
      <c r="AB25" s="22" t="s">
        <v>86</v>
      </c>
      <c r="AC25" s="23" t="s">
        <v>87</v>
      </c>
      <c r="AD25" s="23" t="s">
        <v>88</v>
      </c>
      <c r="AE25" s="22" t="s">
        <v>126</v>
      </c>
      <c r="AF25" s="24">
        <v>30</v>
      </c>
      <c r="AG25" s="25" t="s">
        <v>117</v>
      </c>
      <c r="AH25" s="26" t="s">
        <v>90</v>
      </c>
      <c r="AI25" s="26" t="s">
        <v>91</v>
      </c>
      <c r="AJ25" s="27">
        <f t="shared" ca="1" si="2"/>
        <v>45611</v>
      </c>
      <c r="AK25" s="25" t="str">
        <f t="shared" si="3"/>
        <v>N/A</v>
      </c>
      <c r="AL25" s="28">
        <f t="shared" ca="1" si="4"/>
        <v>45611</v>
      </c>
      <c r="AM25" s="28">
        <f t="shared" ca="1" si="5"/>
        <v>45611</v>
      </c>
      <c r="AN25" s="26" t="s">
        <v>92</v>
      </c>
      <c r="AO25" s="22" t="s">
        <v>93</v>
      </c>
      <c r="AP25" s="15">
        <v>100</v>
      </c>
      <c r="AQ25" s="28">
        <f t="shared" ca="1" si="6"/>
        <v>45692</v>
      </c>
      <c r="AR25" s="15" t="s">
        <v>70</v>
      </c>
      <c r="AS25" s="29" t="s">
        <v>94</v>
      </c>
      <c r="AT25" s="30">
        <v>486329429</v>
      </c>
      <c r="AU25" s="28" t="s">
        <v>95</v>
      </c>
      <c r="AV25" s="28" t="s">
        <v>96</v>
      </c>
      <c r="AW25" s="15" t="s">
        <v>70</v>
      </c>
      <c r="AX25" s="29" t="s">
        <v>97</v>
      </c>
      <c r="AY25" s="30">
        <v>394257559</v>
      </c>
      <c r="AZ25" s="28" t="s">
        <v>95</v>
      </c>
      <c r="BA25" s="28" t="s">
        <v>96</v>
      </c>
      <c r="BB25" s="31" t="s">
        <v>98</v>
      </c>
      <c r="BC25" s="28" t="s">
        <v>173</v>
      </c>
      <c r="BD25" s="29" t="s">
        <v>77</v>
      </c>
      <c r="BE25" s="29" t="s">
        <v>100</v>
      </c>
      <c r="BF25" s="29" t="s">
        <v>101</v>
      </c>
      <c r="BG25" s="15" t="s">
        <v>102</v>
      </c>
      <c r="BH25" s="15" t="s">
        <v>103</v>
      </c>
      <c r="BI25" s="32" t="s">
        <v>104</v>
      </c>
      <c r="BJ25" t="s">
        <v>105</v>
      </c>
      <c r="BK25" s="15" t="s">
        <v>106</v>
      </c>
      <c r="BL25" s="15" t="s">
        <v>70</v>
      </c>
      <c r="BM25" s="15" t="s">
        <v>76</v>
      </c>
      <c r="BN25" s="15" t="s">
        <v>76</v>
      </c>
      <c r="BO25" s="15" t="s">
        <v>107</v>
      </c>
      <c r="BP25" s="15" t="s">
        <v>108</v>
      </c>
      <c r="BQ25" s="18" t="s">
        <v>109</v>
      </c>
      <c r="BR25" s="18" t="s">
        <v>110</v>
      </c>
      <c r="BS25" t="s">
        <v>111</v>
      </c>
      <c r="BT25" s="33">
        <v>213111231</v>
      </c>
    </row>
    <row r="26" spans="1:72" ht="14.4" customHeight="1" x14ac:dyDescent="0.35">
      <c r="A26" s="12" t="s">
        <v>189</v>
      </c>
      <c r="D26" s="14" t="s">
        <v>69</v>
      </c>
      <c r="E26" s="15" t="s">
        <v>70</v>
      </c>
      <c r="F26" s="16" t="s">
        <v>190</v>
      </c>
      <c r="G26" s="17" t="s">
        <v>191</v>
      </c>
      <c r="H26" s="18" t="s">
        <v>73</v>
      </c>
      <c r="I26" s="18" t="s">
        <v>74</v>
      </c>
      <c r="J26" s="18" t="s">
        <v>75</v>
      </c>
      <c r="K26" s="19">
        <f t="shared" ca="1" si="0"/>
        <v>45611</v>
      </c>
      <c r="L26" s="15" t="s">
        <v>70</v>
      </c>
      <c r="M26" s="15" t="s">
        <v>76</v>
      </c>
      <c r="N26" s="15">
        <v>1</v>
      </c>
      <c r="O26" s="18" t="s">
        <v>77</v>
      </c>
      <c r="P26" s="18" t="s">
        <v>78</v>
      </c>
      <c r="Q26" s="18" t="s">
        <v>77</v>
      </c>
      <c r="R26" s="18" t="s">
        <v>79</v>
      </c>
      <c r="S26" s="18" t="s">
        <v>75</v>
      </c>
      <c r="T26" s="20" t="s">
        <v>80</v>
      </c>
      <c r="U26" s="21" t="s">
        <v>81</v>
      </c>
      <c r="V26" s="18" t="s">
        <v>75</v>
      </c>
      <c r="W26" s="19">
        <f t="shared" ca="1" si="1"/>
        <v>45611</v>
      </c>
      <c r="X26" s="18" t="s">
        <v>82</v>
      </c>
      <c r="Y26" s="16" t="s">
        <v>83</v>
      </c>
      <c r="Z26" s="22" t="s">
        <v>84</v>
      </c>
      <c r="AA26" s="22" t="s">
        <v>85</v>
      </c>
      <c r="AB26" s="22" t="s">
        <v>86</v>
      </c>
      <c r="AC26" s="23" t="s">
        <v>87</v>
      </c>
      <c r="AD26" s="23" t="s">
        <v>88</v>
      </c>
      <c r="AE26" s="22" t="s">
        <v>136</v>
      </c>
      <c r="AF26" s="24">
        <v>30</v>
      </c>
      <c r="AG26" s="25">
        <f ca="1">TODAY()+365</f>
        <v>46037</v>
      </c>
      <c r="AH26" s="26" t="s">
        <v>90</v>
      </c>
      <c r="AI26" s="26" t="s">
        <v>91</v>
      </c>
      <c r="AJ26" s="27">
        <f t="shared" ca="1" si="2"/>
        <v>45611</v>
      </c>
      <c r="AK26" s="25">
        <f t="shared" ca="1" si="3"/>
        <v>46037</v>
      </c>
      <c r="AL26" s="28">
        <f t="shared" ca="1" si="4"/>
        <v>45611</v>
      </c>
      <c r="AM26" s="28">
        <f t="shared" ca="1" si="5"/>
        <v>45611</v>
      </c>
      <c r="AN26" s="26" t="s">
        <v>92</v>
      </c>
      <c r="AO26" s="22" t="s">
        <v>93</v>
      </c>
      <c r="AP26" s="15">
        <v>100</v>
      </c>
      <c r="AQ26" s="28">
        <f t="shared" ca="1" si="6"/>
        <v>45692</v>
      </c>
      <c r="AR26" s="15" t="s">
        <v>70</v>
      </c>
      <c r="AS26" s="29" t="s">
        <v>94</v>
      </c>
      <c r="AT26" s="30">
        <v>486329430</v>
      </c>
      <c r="AU26" s="28" t="s">
        <v>95</v>
      </c>
      <c r="AV26" s="28" t="s">
        <v>96</v>
      </c>
      <c r="AW26" s="15" t="s">
        <v>70</v>
      </c>
      <c r="AX26" s="29" t="s">
        <v>97</v>
      </c>
      <c r="AY26" s="30">
        <v>394257560</v>
      </c>
      <c r="AZ26" s="28" t="s">
        <v>95</v>
      </c>
      <c r="BA26" s="28" t="s">
        <v>96</v>
      </c>
      <c r="BB26" s="31" t="s">
        <v>98</v>
      </c>
      <c r="BC26" s="28" t="s">
        <v>173</v>
      </c>
      <c r="BD26" s="29" t="s">
        <v>77</v>
      </c>
      <c r="BE26" s="29" t="s">
        <v>100</v>
      </c>
      <c r="BF26" s="29" t="s">
        <v>101</v>
      </c>
      <c r="BG26" s="15" t="s">
        <v>102</v>
      </c>
      <c r="BH26" s="15" t="s">
        <v>103</v>
      </c>
      <c r="BI26" s="32" t="s">
        <v>104</v>
      </c>
      <c r="BJ26" t="s">
        <v>105</v>
      </c>
      <c r="BK26" s="15" t="s">
        <v>106</v>
      </c>
      <c r="BL26" s="15" t="s">
        <v>70</v>
      </c>
      <c r="BM26" s="15" t="s">
        <v>76</v>
      </c>
      <c r="BN26" s="15" t="s">
        <v>76</v>
      </c>
      <c r="BO26" s="15" t="s">
        <v>107</v>
      </c>
      <c r="BP26" s="15" t="s">
        <v>108</v>
      </c>
      <c r="BQ26" s="18" t="s">
        <v>109</v>
      </c>
      <c r="BR26" s="18" t="s">
        <v>110</v>
      </c>
      <c r="BS26" t="s">
        <v>111</v>
      </c>
      <c r="BT26" s="33">
        <v>213111231</v>
      </c>
    </row>
    <row r="27" spans="1:72" ht="14.4" customHeight="1" x14ac:dyDescent="0.35">
      <c r="A27" s="12" t="s">
        <v>192</v>
      </c>
      <c r="D27" s="14" t="s">
        <v>69</v>
      </c>
      <c r="E27" s="15" t="s">
        <v>70</v>
      </c>
      <c r="F27" s="16" t="s">
        <v>193</v>
      </c>
      <c r="G27" s="17" t="s">
        <v>194</v>
      </c>
      <c r="H27" s="18" t="s">
        <v>73</v>
      </c>
      <c r="I27" s="18" t="s">
        <v>74</v>
      </c>
      <c r="J27" s="18" t="s">
        <v>75</v>
      </c>
      <c r="K27" s="19">
        <f t="shared" ca="1" si="0"/>
        <v>45611</v>
      </c>
      <c r="L27" s="15" t="s">
        <v>70</v>
      </c>
      <c r="M27" s="15" t="s">
        <v>76</v>
      </c>
      <c r="N27" s="15">
        <v>1</v>
      </c>
      <c r="O27" s="18" t="s">
        <v>77</v>
      </c>
      <c r="P27" s="18" t="s">
        <v>78</v>
      </c>
      <c r="Q27" s="18" t="s">
        <v>77</v>
      </c>
      <c r="R27" s="18" t="s">
        <v>79</v>
      </c>
      <c r="S27" s="18" t="s">
        <v>75</v>
      </c>
      <c r="T27" s="20" t="s">
        <v>80</v>
      </c>
      <c r="U27" s="21" t="s">
        <v>81</v>
      </c>
      <c r="V27" s="18" t="s">
        <v>75</v>
      </c>
      <c r="W27" s="19">
        <f t="shared" ca="1" si="1"/>
        <v>45611</v>
      </c>
      <c r="X27" s="18" t="s">
        <v>82</v>
      </c>
      <c r="Y27" s="16" t="s">
        <v>115</v>
      </c>
      <c r="Z27" s="22" t="s">
        <v>116</v>
      </c>
      <c r="AA27" s="22" t="s">
        <v>85</v>
      </c>
      <c r="AB27" s="22" t="s">
        <v>86</v>
      </c>
      <c r="AC27" s="23" t="s">
        <v>87</v>
      </c>
      <c r="AD27" s="23" t="s">
        <v>88</v>
      </c>
      <c r="AE27" s="22" t="s">
        <v>136</v>
      </c>
      <c r="AF27" s="24">
        <v>30</v>
      </c>
      <c r="AG27" s="25" t="s">
        <v>117</v>
      </c>
      <c r="AH27" s="26" t="s">
        <v>90</v>
      </c>
      <c r="AI27" s="26" t="s">
        <v>91</v>
      </c>
      <c r="AJ27" s="27">
        <f t="shared" ca="1" si="2"/>
        <v>45611</v>
      </c>
      <c r="AK27" s="25" t="str">
        <f t="shared" si="3"/>
        <v>N/A</v>
      </c>
      <c r="AL27" s="28">
        <f t="shared" ca="1" si="4"/>
        <v>45611</v>
      </c>
      <c r="AM27" s="28">
        <f t="shared" ca="1" si="5"/>
        <v>45611</v>
      </c>
      <c r="AN27" s="26" t="s">
        <v>92</v>
      </c>
      <c r="AO27" s="22" t="s">
        <v>93</v>
      </c>
      <c r="AP27" s="15">
        <v>100</v>
      </c>
      <c r="AQ27" s="28">
        <f t="shared" ca="1" si="6"/>
        <v>45692</v>
      </c>
      <c r="AR27" s="15" t="s">
        <v>70</v>
      </c>
      <c r="AS27" s="29" t="s">
        <v>94</v>
      </c>
      <c r="AT27" s="30">
        <v>486329431</v>
      </c>
      <c r="AU27" s="28" t="s">
        <v>95</v>
      </c>
      <c r="AV27" s="28" t="s">
        <v>96</v>
      </c>
      <c r="AW27" s="15" t="s">
        <v>70</v>
      </c>
      <c r="AX27" s="29" t="s">
        <v>97</v>
      </c>
      <c r="AY27" s="30">
        <v>394257561</v>
      </c>
      <c r="AZ27" s="28" t="s">
        <v>95</v>
      </c>
      <c r="BA27" s="28" t="s">
        <v>96</v>
      </c>
      <c r="BB27" s="31" t="s">
        <v>98</v>
      </c>
      <c r="BC27" s="28" t="s">
        <v>173</v>
      </c>
      <c r="BD27" s="29" t="s">
        <v>77</v>
      </c>
      <c r="BE27" s="29" t="s">
        <v>100</v>
      </c>
      <c r="BF27" s="29" t="s">
        <v>101</v>
      </c>
      <c r="BG27" s="15" t="s">
        <v>102</v>
      </c>
      <c r="BH27" s="15" t="s">
        <v>103</v>
      </c>
      <c r="BI27" s="32" t="s">
        <v>104</v>
      </c>
      <c r="BJ27" t="s">
        <v>105</v>
      </c>
      <c r="BK27" s="15" t="s">
        <v>106</v>
      </c>
      <c r="BL27" s="15" t="s">
        <v>70</v>
      </c>
      <c r="BM27" s="15" t="s">
        <v>76</v>
      </c>
      <c r="BN27" s="15" t="s">
        <v>76</v>
      </c>
      <c r="BO27" s="15" t="s">
        <v>107</v>
      </c>
      <c r="BP27" s="15" t="s">
        <v>108</v>
      </c>
      <c r="BQ27" s="18" t="s">
        <v>109</v>
      </c>
      <c r="BR27" s="18" t="s">
        <v>110</v>
      </c>
      <c r="BS27" t="s">
        <v>111</v>
      </c>
      <c r="BT27" s="33">
        <v>213111231</v>
      </c>
    </row>
    <row r="28" spans="1:72" ht="14.4" customHeight="1" x14ac:dyDescent="0.35">
      <c r="A28" s="12" t="s">
        <v>195</v>
      </c>
      <c r="D28" s="14" t="s">
        <v>69</v>
      </c>
      <c r="E28" s="15" t="s">
        <v>70</v>
      </c>
      <c r="F28" s="16" t="s">
        <v>196</v>
      </c>
      <c r="G28" s="17" t="s">
        <v>197</v>
      </c>
      <c r="H28" s="18" t="s">
        <v>121</v>
      </c>
      <c r="I28" s="18" t="s">
        <v>74</v>
      </c>
      <c r="J28" s="18" t="s">
        <v>75</v>
      </c>
      <c r="K28" s="19">
        <f t="shared" ca="1" si="0"/>
        <v>45611</v>
      </c>
      <c r="L28" s="15" t="s">
        <v>70</v>
      </c>
      <c r="M28" s="15" t="s">
        <v>76</v>
      </c>
      <c r="N28" s="15">
        <v>1</v>
      </c>
      <c r="O28" s="18" t="s">
        <v>77</v>
      </c>
      <c r="P28" s="18" t="s">
        <v>78</v>
      </c>
      <c r="Q28" s="18" t="s">
        <v>77</v>
      </c>
      <c r="R28" s="18" t="s">
        <v>79</v>
      </c>
      <c r="S28" s="18" t="s">
        <v>75</v>
      </c>
      <c r="T28" s="20" t="s">
        <v>80</v>
      </c>
      <c r="U28" s="21" t="s">
        <v>81</v>
      </c>
      <c r="V28" s="18" t="s">
        <v>75</v>
      </c>
      <c r="W28" s="19">
        <f t="shared" ca="1" si="1"/>
        <v>45611</v>
      </c>
      <c r="X28" s="18" t="s">
        <v>82</v>
      </c>
      <c r="Y28" s="16" t="s">
        <v>122</v>
      </c>
      <c r="Z28" s="22" t="s">
        <v>116</v>
      </c>
      <c r="AA28" s="22" t="s">
        <v>85</v>
      </c>
      <c r="AB28" s="22" t="s">
        <v>86</v>
      </c>
      <c r="AC28" s="23" t="s">
        <v>87</v>
      </c>
      <c r="AD28" s="23" t="s">
        <v>88</v>
      </c>
      <c r="AE28" s="22" t="s">
        <v>136</v>
      </c>
      <c r="AF28" s="24">
        <v>30</v>
      </c>
      <c r="AG28" s="25" t="s">
        <v>117</v>
      </c>
      <c r="AH28" s="26" t="s">
        <v>90</v>
      </c>
      <c r="AI28" s="26" t="s">
        <v>91</v>
      </c>
      <c r="AJ28" s="27">
        <f t="shared" ca="1" si="2"/>
        <v>45611</v>
      </c>
      <c r="AK28" s="25" t="str">
        <f t="shared" si="3"/>
        <v>N/A</v>
      </c>
      <c r="AL28" s="28">
        <f t="shared" ca="1" si="4"/>
        <v>45611</v>
      </c>
      <c r="AM28" s="28">
        <f t="shared" ca="1" si="5"/>
        <v>45611</v>
      </c>
      <c r="AN28" s="26" t="s">
        <v>92</v>
      </c>
      <c r="AO28" s="22" t="s">
        <v>93</v>
      </c>
      <c r="AP28" s="15">
        <v>100</v>
      </c>
      <c r="AQ28" s="28">
        <f t="shared" ca="1" si="6"/>
        <v>45692</v>
      </c>
      <c r="AR28" s="15" t="s">
        <v>70</v>
      </c>
      <c r="AS28" s="29" t="s">
        <v>94</v>
      </c>
      <c r="AT28" s="30">
        <v>486329432</v>
      </c>
      <c r="AU28" s="28" t="s">
        <v>95</v>
      </c>
      <c r="AV28" s="28" t="s">
        <v>96</v>
      </c>
      <c r="AW28" s="15" t="s">
        <v>70</v>
      </c>
      <c r="AX28" s="29" t="s">
        <v>97</v>
      </c>
      <c r="AY28" s="30">
        <v>394257562</v>
      </c>
      <c r="AZ28" s="28" t="s">
        <v>95</v>
      </c>
      <c r="BA28" s="28" t="s">
        <v>96</v>
      </c>
      <c r="BB28" s="31" t="s">
        <v>98</v>
      </c>
      <c r="BC28" s="28" t="s">
        <v>173</v>
      </c>
      <c r="BD28" s="29" t="s">
        <v>77</v>
      </c>
      <c r="BE28" s="29" t="s">
        <v>100</v>
      </c>
      <c r="BF28" s="29" t="s">
        <v>101</v>
      </c>
      <c r="BG28" s="15" t="s">
        <v>102</v>
      </c>
      <c r="BH28" s="15" t="s">
        <v>103</v>
      </c>
      <c r="BI28" s="32" t="s">
        <v>104</v>
      </c>
      <c r="BJ28" t="s">
        <v>105</v>
      </c>
      <c r="BK28" s="15" t="s">
        <v>106</v>
      </c>
      <c r="BL28" s="15" t="s">
        <v>70</v>
      </c>
      <c r="BM28" s="15" t="s">
        <v>76</v>
      </c>
      <c r="BN28" s="15" t="s">
        <v>76</v>
      </c>
      <c r="BO28" s="15" t="s">
        <v>107</v>
      </c>
      <c r="BP28" s="15" t="s">
        <v>108</v>
      </c>
      <c r="BQ28" s="18" t="s">
        <v>109</v>
      </c>
      <c r="BR28" s="18" t="s">
        <v>110</v>
      </c>
      <c r="BS28" t="s">
        <v>111</v>
      </c>
      <c r="BT28" s="33">
        <v>213111231</v>
      </c>
    </row>
    <row r="29" spans="1:72" ht="14.4" customHeight="1" x14ac:dyDescent="0.35">
      <c r="A29" s="12" t="s">
        <v>198</v>
      </c>
      <c r="D29" s="14" t="s">
        <v>69</v>
      </c>
      <c r="E29" s="15" t="s">
        <v>70</v>
      </c>
      <c r="F29" s="16" t="s">
        <v>199</v>
      </c>
      <c r="G29" s="17" t="s">
        <v>200</v>
      </c>
      <c r="H29" s="18" t="s">
        <v>73</v>
      </c>
      <c r="I29" s="18" t="s">
        <v>74</v>
      </c>
      <c r="J29" s="18" t="s">
        <v>75</v>
      </c>
      <c r="K29" s="19">
        <f t="shared" ca="1" si="0"/>
        <v>45611</v>
      </c>
      <c r="L29" s="15" t="s">
        <v>70</v>
      </c>
      <c r="M29" s="15" t="s">
        <v>76</v>
      </c>
      <c r="N29" s="15">
        <v>1</v>
      </c>
      <c r="O29" s="18" t="s">
        <v>77</v>
      </c>
      <c r="P29" s="18" t="s">
        <v>78</v>
      </c>
      <c r="Q29" s="18" t="s">
        <v>77</v>
      </c>
      <c r="R29" s="18" t="s">
        <v>79</v>
      </c>
      <c r="S29" s="18" t="s">
        <v>75</v>
      </c>
      <c r="T29" s="20" t="s">
        <v>80</v>
      </c>
      <c r="U29" s="21" t="s">
        <v>81</v>
      </c>
      <c r="V29" s="18" t="s">
        <v>75</v>
      </c>
      <c r="W29" s="19">
        <f t="shared" ca="1" si="1"/>
        <v>45611</v>
      </c>
      <c r="X29" s="18" t="s">
        <v>82</v>
      </c>
      <c r="Y29" s="16" t="s">
        <v>83</v>
      </c>
      <c r="Z29" s="22" t="s">
        <v>84</v>
      </c>
      <c r="AA29" s="22" t="s">
        <v>85</v>
      </c>
      <c r="AB29" s="22" t="s">
        <v>86</v>
      </c>
      <c r="AC29" s="23" t="s">
        <v>87</v>
      </c>
      <c r="AD29" s="23" t="s">
        <v>88</v>
      </c>
      <c r="AE29" s="22" t="s">
        <v>126</v>
      </c>
      <c r="AF29" s="24">
        <v>20</v>
      </c>
      <c r="AG29" s="25">
        <f ca="1">TODAY()+365</f>
        <v>46037</v>
      </c>
      <c r="AH29" s="26" t="s">
        <v>90</v>
      </c>
      <c r="AI29" s="26" t="s">
        <v>91</v>
      </c>
      <c r="AJ29" s="27">
        <f t="shared" ca="1" si="2"/>
        <v>45611</v>
      </c>
      <c r="AK29" s="25">
        <f t="shared" ca="1" si="3"/>
        <v>46037</v>
      </c>
      <c r="AL29" s="28">
        <f t="shared" ca="1" si="4"/>
        <v>45611</v>
      </c>
      <c r="AM29" s="28">
        <f t="shared" ca="1" si="5"/>
        <v>45611</v>
      </c>
      <c r="AN29" s="26" t="s">
        <v>92</v>
      </c>
      <c r="AO29" s="22" t="s">
        <v>93</v>
      </c>
      <c r="AP29" s="15">
        <v>100</v>
      </c>
      <c r="AQ29" s="28">
        <f t="shared" ca="1" si="6"/>
        <v>45692</v>
      </c>
      <c r="AR29" s="15" t="s">
        <v>70</v>
      </c>
      <c r="AS29" s="29" t="s">
        <v>94</v>
      </c>
      <c r="AT29" s="30">
        <v>486329433</v>
      </c>
      <c r="AU29" s="28" t="s">
        <v>95</v>
      </c>
      <c r="AV29" s="28" t="s">
        <v>96</v>
      </c>
      <c r="AW29" s="15" t="s">
        <v>70</v>
      </c>
      <c r="AX29" s="29" t="s">
        <v>97</v>
      </c>
      <c r="AY29" s="30">
        <v>394257563</v>
      </c>
      <c r="AZ29" s="28" t="s">
        <v>95</v>
      </c>
      <c r="BA29" s="28" t="s">
        <v>96</v>
      </c>
      <c r="BB29" s="31" t="s">
        <v>98</v>
      </c>
      <c r="BC29" s="28" t="s">
        <v>173</v>
      </c>
      <c r="BD29" s="29" t="s">
        <v>77</v>
      </c>
      <c r="BE29" s="29" t="s">
        <v>100</v>
      </c>
      <c r="BF29" s="29" t="s">
        <v>101</v>
      </c>
      <c r="BG29" s="15" t="s">
        <v>102</v>
      </c>
      <c r="BH29" s="15" t="s">
        <v>103</v>
      </c>
      <c r="BI29" s="32" t="s">
        <v>104</v>
      </c>
      <c r="BJ29" t="s">
        <v>105</v>
      </c>
      <c r="BK29" s="15" t="s">
        <v>106</v>
      </c>
      <c r="BL29" s="15" t="s">
        <v>70</v>
      </c>
      <c r="BM29" s="15" t="s">
        <v>76</v>
      </c>
      <c r="BN29" s="15" t="s">
        <v>76</v>
      </c>
      <c r="BO29" s="15" t="s">
        <v>107</v>
      </c>
      <c r="BP29" s="15" t="s">
        <v>108</v>
      </c>
      <c r="BQ29" s="18" t="s">
        <v>109</v>
      </c>
      <c r="BR29" s="18" t="s">
        <v>110</v>
      </c>
      <c r="BS29" t="s">
        <v>111</v>
      </c>
      <c r="BT29" s="33">
        <v>213111231</v>
      </c>
    </row>
    <row r="30" spans="1:72" ht="14.4" customHeight="1" x14ac:dyDescent="0.35">
      <c r="A30" s="12" t="s">
        <v>201</v>
      </c>
      <c r="D30" s="14" t="s">
        <v>69</v>
      </c>
      <c r="E30" s="15" t="s">
        <v>70</v>
      </c>
      <c r="F30" s="16" t="s">
        <v>202</v>
      </c>
      <c r="G30" s="17" t="s">
        <v>203</v>
      </c>
      <c r="H30" s="18" t="s">
        <v>73</v>
      </c>
      <c r="I30" s="18" t="s">
        <v>74</v>
      </c>
      <c r="J30" s="18" t="s">
        <v>75</v>
      </c>
      <c r="K30" s="19">
        <f t="shared" ca="1" si="0"/>
        <v>45611</v>
      </c>
      <c r="L30" s="15" t="s">
        <v>70</v>
      </c>
      <c r="M30" s="15" t="s">
        <v>76</v>
      </c>
      <c r="N30" s="15">
        <v>1</v>
      </c>
      <c r="O30" s="18" t="s">
        <v>77</v>
      </c>
      <c r="P30" s="18" t="s">
        <v>78</v>
      </c>
      <c r="Q30" s="18" t="s">
        <v>77</v>
      </c>
      <c r="R30" s="18" t="s">
        <v>79</v>
      </c>
      <c r="S30" s="18" t="s">
        <v>75</v>
      </c>
      <c r="T30" s="20" t="s">
        <v>80</v>
      </c>
      <c r="U30" s="21" t="s">
        <v>81</v>
      </c>
      <c r="V30" s="18" t="s">
        <v>75</v>
      </c>
      <c r="W30" s="19">
        <f t="shared" ca="1" si="1"/>
        <v>45611</v>
      </c>
      <c r="X30" s="18" t="s">
        <v>82</v>
      </c>
      <c r="Y30" s="16" t="s">
        <v>115</v>
      </c>
      <c r="Z30" s="22" t="s">
        <v>116</v>
      </c>
      <c r="AA30" s="22" t="s">
        <v>85</v>
      </c>
      <c r="AB30" s="22" t="s">
        <v>86</v>
      </c>
      <c r="AC30" s="23" t="s">
        <v>87</v>
      </c>
      <c r="AD30" s="23" t="s">
        <v>88</v>
      </c>
      <c r="AE30" s="22" t="s">
        <v>126</v>
      </c>
      <c r="AF30" s="24">
        <v>20</v>
      </c>
      <c r="AG30" s="25" t="s">
        <v>117</v>
      </c>
      <c r="AH30" s="26" t="s">
        <v>90</v>
      </c>
      <c r="AI30" s="26" t="s">
        <v>91</v>
      </c>
      <c r="AJ30" s="27">
        <f t="shared" ca="1" si="2"/>
        <v>45611</v>
      </c>
      <c r="AK30" s="25" t="str">
        <f t="shared" si="3"/>
        <v>N/A</v>
      </c>
      <c r="AL30" s="28">
        <f t="shared" ca="1" si="4"/>
        <v>45611</v>
      </c>
      <c r="AM30" s="28">
        <f t="shared" ca="1" si="5"/>
        <v>45611</v>
      </c>
      <c r="AN30" s="26" t="s">
        <v>92</v>
      </c>
      <c r="AO30" s="22" t="s">
        <v>93</v>
      </c>
      <c r="AP30" s="15">
        <v>100</v>
      </c>
      <c r="AQ30" s="28">
        <f t="shared" ca="1" si="6"/>
        <v>45692</v>
      </c>
      <c r="AR30" s="15" t="s">
        <v>70</v>
      </c>
      <c r="AS30" s="29" t="s">
        <v>94</v>
      </c>
      <c r="AT30" s="30">
        <v>486329434</v>
      </c>
      <c r="AU30" s="28" t="s">
        <v>95</v>
      </c>
      <c r="AV30" s="28" t="s">
        <v>96</v>
      </c>
      <c r="AW30" s="15" t="s">
        <v>70</v>
      </c>
      <c r="AX30" s="29" t="s">
        <v>97</v>
      </c>
      <c r="AY30" s="30">
        <v>394257564</v>
      </c>
      <c r="AZ30" s="28" t="s">
        <v>95</v>
      </c>
      <c r="BA30" s="28" t="s">
        <v>96</v>
      </c>
      <c r="BB30" s="31" t="s">
        <v>98</v>
      </c>
      <c r="BC30" s="28" t="s">
        <v>173</v>
      </c>
      <c r="BD30" s="29" t="s">
        <v>77</v>
      </c>
      <c r="BE30" s="29" t="s">
        <v>100</v>
      </c>
      <c r="BF30" s="29" t="s">
        <v>101</v>
      </c>
      <c r="BG30" s="15" t="s">
        <v>102</v>
      </c>
      <c r="BH30" s="15" t="s">
        <v>103</v>
      </c>
      <c r="BI30" s="32" t="s">
        <v>104</v>
      </c>
      <c r="BJ30" t="s">
        <v>105</v>
      </c>
      <c r="BK30" s="15" t="s">
        <v>106</v>
      </c>
      <c r="BL30" s="15" t="s">
        <v>70</v>
      </c>
      <c r="BM30" s="15" t="s">
        <v>76</v>
      </c>
      <c r="BN30" s="15" t="s">
        <v>76</v>
      </c>
      <c r="BO30" s="15" t="s">
        <v>107</v>
      </c>
      <c r="BP30" s="15" t="s">
        <v>108</v>
      </c>
      <c r="BQ30" s="18" t="s">
        <v>109</v>
      </c>
      <c r="BR30" s="18" t="s">
        <v>110</v>
      </c>
      <c r="BS30" t="s">
        <v>111</v>
      </c>
      <c r="BT30" s="33">
        <v>213111231</v>
      </c>
    </row>
    <row r="31" spans="1:72" ht="14.4" customHeight="1" x14ac:dyDescent="0.35">
      <c r="A31" s="12" t="s">
        <v>204</v>
      </c>
      <c r="D31" s="14" t="s">
        <v>69</v>
      </c>
      <c r="E31" s="15" t="s">
        <v>70</v>
      </c>
      <c r="F31" s="16" t="s">
        <v>205</v>
      </c>
      <c r="G31" s="17" t="s">
        <v>206</v>
      </c>
      <c r="H31" s="18" t="s">
        <v>121</v>
      </c>
      <c r="I31" s="18" t="s">
        <v>74</v>
      </c>
      <c r="J31" s="18" t="s">
        <v>75</v>
      </c>
      <c r="K31" s="19">
        <f t="shared" ca="1" si="0"/>
        <v>45611</v>
      </c>
      <c r="L31" s="15" t="s">
        <v>70</v>
      </c>
      <c r="M31" s="15" t="s">
        <v>76</v>
      </c>
      <c r="N31" s="15">
        <v>1</v>
      </c>
      <c r="O31" s="18" t="s">
        <v>77</v>
      </c>
      <c r="P31" s="18" t="s">
        <v>78</v>
      </c>
      <c r="Q31" s="18" t="s">
        <v>77</v>
      </c>
      <c r="R31" s="18" t="s">
        <v>79</v>
      </c>
      <c r="S31" s="18" t="s">
        <v>75</v>
      </c>
      <c r="T31" s="20" t="s">
        <v>80</v>
      </c>
      <c r="U31" s="21" t="s">
        <v>81</v>
      </c>
      <c r="V31" s="18" t="s">
        <v>75</v>
      </c>
      <c r="W31" s="19">
        <f t="shared" ca="1" si="1"/>
        <v>45611</v>
      </c>
      <c r="X31" s="18" t="s">
        <v>82</v>
      </c>
      <c r="Y31" s="16" t="s">
        <v>122</v>
      </c>
      <c r="Z31" s="22" t="s">
        <v>116</v>
      </c>
      <c r="AA31" s="22" t="s">
        <v>85</v>
      </c>
      <c r="AB31" s="22" t="s">
        <v>86</v>
      </c>
      <c r="AC31" s="23" t="s">
        <v>87</v>
      </c>
      <c r="AD31" s="23" t="s">
        <v>88</v>
      </c>
      <c r="AE31" s="22" t="s">
        <v>126</v>
      </c>
      <c r="AF31" s="24">
        <v>20</v>
      </c>
      <c r="AG31" s="25" t="s">
        <v>117</v>
      </c>
      <c r="AH31" s="26" t="s">
        <v>90</v>
      </c>
      <c r="AI31" s="26" t="s">
        <v>91</v>
      </c>
      <c r="AJ31" s="27">
        <f t="shared" ca="1" si="2"/>
        <v>45611</v>
      </c>
      <c r="AK31" s="25" t="str">
        <f t="shared" si="3"/>
        <v>N/A</v>
      </c>
      <c r="AL31" s="28">
        <f t="shared" ca="1" si="4"/>
        <v>45611</v>
      </c>
      <c r="AM31" s="28">
        <f t="shared" ca="1" si="5"/>
        <v>45611</v>
      </c>
      <c r="AN31" s="26" t="s">
        <v>92</v>
      </c>
      <c r="AO31" s="22" t="s">
        <v>93</v>
      </c>
      <c r="AP31" s="15">
        <v>100</v>
      </c>
      <c r="AQ31" s="28">
        <f t="shared" ca="1" si="6"/>
        <v>45692</v>
      </c>
      <c r="AR31" s="15" t="s">
        <v>70</v>
      </c>
      <c r="AS31" s="29" t="s">
        <v>94</v>
      </c>
      <c r="AT31" s="30">
        <v>486329435</v>
      </c>
      <c r="AU31" s="28" t="s">
        <v>95</v>
      </c>
      <c r="AV31" s="28" t="s">
        <v>96</v>
      </c>
      <c r="AW31" s="15" t="s">
        <v>70</v>
      </c>
      <c r="AX31" s="29" t="s">
        <v>97</v>
      </c>
      <c r="AY31" s="30">
        <v>394257565</v>
      </c>
      <c r="AZ31" s="28" t="s">
        <v>95</v>
      </c>
      <c r="BA31" s="28" t="s">
        <v>96</v>
      </c>
      <c r="BB31" s="31" t="s">
        <v>98</v>
      </c>
      <c r="BC31" s="28" t="s">
        <v>173</v>
      </c>
      <c r="BD31" s="29" t="s">
        <v>77</v>
      </c>
      <c r="BE31" s="29" t="s">
        <v>100</v>
      </c>
      <c r="BF31" s="29" t="s">
        <v>101</v>
      </c>
      <c r="BG31" s="15" t="s">
        <v>102</v>
      </c>
      <c r="BH31" s="15" t="s">
        <v>103</v>
      </c>
      <c r="BI31" s="32" t="s">
        <v>104</v>
      </c>
      <c r="BJ31" t="s">
        <v>105</v>
      </c>
      <c r="BK31" s="15" t="s">
        <v>106</v>
      </c>
      <c r="BL31" s="15" t="s">
        <v>70</v>
      </c>
      <c r="BM31" s="15" t="s">
        <v>76</v>
      </c>
      <c r="BN31" s="15" t="s">
        <v>76</v>
      </c>
      <c r="BO31" s="15" t="s">
        <v>107</v>
      </c>
      <c r="BP31" s="15" t="s">
        <v>108</v>
      </c>
      <c r="BQ31" s="18" t="s">
        <v>109</v>
      </c>
      <c r="BR31" s="18" t="s">
        <v>110</v>
      </c>
      <c r="BS31" t="s">
        <v>111</v>
      </c>
      <c r="BT31" s="33">
        <v>213111231</v>
      </c>
    </row>
    <row r="32" spans="1:72" ht="14.4" customHeight="1" x14ac:dyDescent="0.35">
      <c r="A32" s="12" t="s">
        <v>207</v>
      </c>
      <c r="D32" s="14" t="s">
        <v>69</v>
      </c>
      <c r="E32" s="15" t="s">
        <v>70</v>
      </c>
      <c r="F32" s="16" t="s">
        <v>208</v>
      </c>
      <c r="G32" s="17" t="s">
        <v>209</v>
      </c>
      <c r="H32" s="18" t="s">
        <v>73</v>
      </c>
      <c r="I32" s="18" t="s">
        <v>74</v>
      </c>
      <c r="J32" s="18" t="s">
        <v>75</v>
      </c>
      <c r="K32" s="19">
        <f t="shared" ca="1" si="0"/>
        <v>45611</v>
      </c>
      <c r="L32" s="15" t="s">
        <v>70</v>
      </c>
      <c r="M32" s="15" t="s">
        <v>76</v>
      </c>
      <c r="N32" s="15">
        <v>1</v>
      </c>
      <c r="O32" s="18" t="s">
        <v>77</v>
      </c>
      <c r="P32" s="18" t="s">
        <v>78</v>
      </c>
      <c r="Q32" s="18" t="s">
        <v>77</v>
      </c>
      <c r="R32" s="18" t="s">
        <v>79</v>
      </c>
      <c r="S32" s="18" t="s">
        <v>75</v>
      </c>
      <c r="T32" s="20" t="s">
        <v>80</v>
      </c>
      <c r="U32" s="21" t="s">
        <v>81</v>
      </c>
      <c r="V32" s="18" t="s">
        <v>75</v>
      </c>
      <c r="W32" s="19">
        <f t="shared" ca="1" si="1"/>
        <v>45611</v>
      </c>
      <c r="X32" s="18" t="s">
        <v>82</v>
      </c>
      <c r="Y32" s="16" t="s">
        <v>83</v>
      </c>
      <c r="Z32" s="22" t="s">
        <v>84</v>
      </c>
      <c r="AA32" s="22" t="s">
        <v>85</v>
      </c>
      <c r="AB32" s="22" t="s">
        <v>86</v>
      </c>
      <c r="AC32" s="23" t="s">
        <v>87</v>
      </c>
      <c r="AD32" s="23" t="s">
        <v>88</v>
      </c>
      <c r="AE32" s="22" t="s">
        <v>126</v>
      </c>
      <c r="AF32" s="24">
        <v>24</v>
      </c>
      <c r="AG32" s="25">
        <f ca="1">TODAY()+365</f>
        <v>46037</v>
      </c>
      <c r="AH32" s="26" t="s">
        <v>90</v>
      </c>
      <c r="AI32" s="26" t="s">
        <v>91</v>
      </c>
      <c r="AJ32" s="27">
        <f t="shared" ca="1" si="2"/>
        <v>45611</v>
      </c>
      <c r="AK32" s="25">
        <f t="shared" ca="1" si="3"/>
        <v>46037</v>
      </c>
      <c r="AL32" s="28">
        <f t="shared" ca="1" si="4"/>
        <v>45611</v>
      </c>
      <c r="AM32" s="28">
        <f t="shared" ca="1" si="5"/>
        <v>45611</v>
      </c>
      <c r="AN32" s="26" t="s">
        <v>92</v>
      </c>
      <c r="AO32" s="22" t="s">
        <v>93</v>
      </c>
      <c r="AP32" s="15">
        <v>100</v>
      </c>
      <c r="AQ32" s="28">
        <f t="shared" ca="1" si="6"/>
        <v>45692</v>
      </c>
      <c r="AR32" s="15" t="s">
        <v>70</v>
      </c>
      <c r="AS32" s="29" t="s">
        <v>94</v>
      </c>
      <c r="AT32" s="30">
        <v>486329436</v>
      </c>
      <c r="AU32" s="28" t="s">
        <v>95</v>
      </c>
      <c r="AV32" s="28" t="s">
        <v>96</v>
      </c>
      <c r="AW32" s="15" t="s">
        <v>70</v>
      </c>
      <c r="AX32" s="29" t="s">
        <v>97</v>
      </c>
      <c r="AY32" s="30">
        <v>394257566</v>
      </c>
      <c r="AZ32" s="28" t="s">
        <v>95</v>
      </c>
      <c r="BA32" s="28" t="s">
        <v>96</v>
      </c>
      <c r="BB32" s="31" t="s">
        <v>98</v>
      </c>
      <c r="BC32" s="28" t="s">
        <v>173</v>
      </c>
      <c r="BD32" s="29" t="s">
        <v>77</v>
      </c>
      <c r="BE32" s="29" t="s">
        <v>100</v>
      </c>
      <c r="BF32" s="29" t="s">
        <v>101</v>
      </c>
      <c r="BG32" s="15" t="s">
        <v>102</v>
      </c>
      <c r="BH32" s="15" t="s">
        <v>103</v>
      </c>
      <c r="BI32" s="32" t="s">
        <v>104</v>
      </c>
      <c r="BJ32" t="s">
        <v>105</v>
      </c>
      <c r="BK32" s="15" t="s">
        <v>106</v>
      </c>
      <c r="BL32" s="15" t="s">
        <v>70</v>
      </c>
      <c r="BM32" s="15" t="s">
        <v>76</v>
      </c>
      <c r="BN32" s="15" t="s">
        <v>76</v>
      </c>
      <c r="BO32" s="15" t="s">
        <v>107</v>
      </c>
      <c r="BP32" s="15" t="s">
        <v>108</v>
      </c>
      <c r="BQ32" s="18" t="s">
        <v>109</v>
      </c>
      <c r="BR32" s="18" t="s">
        <v>110</v>
      </c>
      <c r="BS32" t="s">
        <v>111</v>
      </c>
      <c r="BT32" s="33">
        <v>213111231</v>
      </c>
    </row>
    <row r="33" spans="1:72" ht="14.4" customHeight="1" x14ac:dyDescent="0.35">
      <c r="A33" s="12" t="s">
        <v>210</v>
      </c>
      <c r="D33" s="14" t="s">
        <v>69</v>
      </c>
      <c r="E33" s="15" t="s">
        <v>70</v>
      </c>
      <c r="F33" s="16" t="s">
        <v>211</v>
      </c>
      <c r="G33" s="17" t="s">
        <v>212</v>
      </c>
      <c r="H33" s="18" t="s">
        <v>73</v>
      </c>
      <c r="I33" s="18" t="s">
        <v>74</v>
      </c>
      <c r="J33" s="18" t="s">
        <v>75</v>
      </c>
      <c r="K33" s="19">
        <f t="shared" ca="1" si="0"/>
        <v>45611</v>
      </c>
      <c r="L33" s="15" t="s">
        <v>70</v>
      </c>
      <c r="M33" s="15" t="s">
        <v>76</v>
      </c>
      <c r="N33" s="15">
        <v>1</v>
      </c>
      <c r="O33" s="18" t="s">
        <v>77</v>
      </c>
      <c r="P33" s="18" t="s">
        <v>78</v>
      </c>
      <c r="Q33" s="18" t="s">
        <v>77</v>
      </c>
      <c r="R33" s="18" t="s">
        <v>79</v>
      </c>
      <c r="S33" s="18" t="s">
        <v>75</v>
      </c>
      <c r="T33" s="20" t="s">
        <v>80</v>
      </c>
      <c r="U33" s="21" t="s">
        <v>81</v>
      </c>
      <c r="V33" s="18" t="s">
        <v>75</v>
      </c>
      <c r="W33" s="19">
        <f t="shared" ca="1" si="1"/>
        <v>45611</v>
      </c>
      <c r="X33" s="18" t="s">
        <v>82</v>
      </c>
      <c r="Y33" s="16" t="s">
        <v>115</v>
      </c>
      <c r="Z33" s="22" t="s">
        <v>116</v>
      </c>
      <c r="AA33" s="22" t="s">
        <v>85</v>
      </c>
      <c r="AB33" s="22" t="s">
        <v>86</v>
      </c>
      <c r="AC33" s="23" t="s">
        <v>87</v>
      </c>
      <c r="AD33" s="23" t="s">
        <v>88</v>
      </c>
      <c r="AE33" s="22" t="s">
        <v>126</v>
      </c>
      <c r="AF33" s="24">
        <v>24</v>
      </c>
      <c r="AG33" s="25" t="s">
        <v>117</v>
      </c>
      <c r="AH33" s="26" t="s">
        <v>90</v>
      </c>
      <c r="AI33" s="26" t="s">
        <v>91</v>
      </c>
      <c r="AJ33" s="27">
        <f t="shared" ca="1" si="2"/>
        <v>45611</v>
      </c>
      <c r="AK33" s="25" t="str">
        <f t="shared" si="3"/>
        <v>N/A</v>
      </c>
      <c r="AL33" s="28">
        <f t="shared" ca="1" si="4"/>
        <v>45611</v>
      </c>
      <c r="AM33" s="28">
        <f t="shared" ca="1" si="5"/>
        <v>45611</v>
      </c>
      <c r="AN33" s="26" t="s">
        <v>92</v>
      </c>
      <c r="AO33" s="22" t="s">
        <v>93</v>
      </c>
      <c r="AP33" s="15">
        <v>100</v>
      </c>
      <c r="AQ33" s="28">
        <f t="shared" ca="1" si="6"/>
        <v>45692</v>
      </c>
      <c r="AR33" s="15" t="s">
        <v>70</v>
      </c>
      <c r="AS33" s="29" t="s">
        <v>94</v>
      </c>
      <c r="AT33" s="30">
        <v>486329437</v>
      </c>
      <c r="AU33" s="28" t="s">
        <v>95</v>
      </c>
      <c r="AV33" s="28" t="s">
        <v>96</v>
      </c>
      <c r="AW33" s="15" t="s">
        <v>70</v>
      </c>
      <c r="AX33" s="29" t="s">
        <v>97</v>
      </c>
      <c r="AY33" s="30">
        <v>394257567</v>
      </c>
      <c r="AZ33" s="28" t="s">
        <v>95</v>
      </c>
      <c r="BA33" s="28" t="s">
        <v>96</v>
      </c>
      <c r="BB33" s="31" t="s">
        <v>98</v>
      </c>
      <c r="BC33" s="28" t="s">
        <v>173</v>
      </c>
      <c r="BD33" s="29" t="s">
        <v>77</v>
      </c>
      <c r="BE33" s="29" t="s">
        <v>100</v>
      </c>
      <c r="BF33" s="29" t="s">
        <v>101</v>
      </c>
      <c r="BG33" s="15" t="s">
        <v>102</v>
      </c>
      <c r="BH33" s="15" t="s">
        <v>103</v>
      </c>
      <c r="BI33" s="32" t="s">
        <v>104</v>
      </c>
      <c r="BJ33" t="s">
        <v>105</v>
      </c>
      <c r="BK33" s="15" t="s">
        <v>106</v>
      </c>
      <c r="BL33" s="15" t="s">
        <v>70</v>
      </c>
      <c r="BM33" s="15" t="s">
        <v>76</v>
      </c>
      <c r="BN33" s="15" t="s">
        <v>76</v>
      </c>
      <c r="BO33" s="15" t="s">
        <v>107</v>
      </c>
      <c r="BP33" s="15" t="s">
        <v>108</v>
      </c>
      <c r="BQ33" s="18" t="s">
        <v>109</v>
      </c>
      <c r="BR33" s="18" t="s">
        <v>110</v>
      </c>
      <c r="BS33" t="s">
        <v>111</v>
      </c>
      <c r="BT33" s="33">
        <v>213111231</v>
      </c>
    </row>
    <row r="34" spans="1:72" ht="14.4" customHeight="1" x14ac:dyDescent="0.35">
      <c r="A34" s="12" t="s">
        <v>213</v>
      </c>
      <c r="D34" s="14" t="s">
        <v>69</v>
      </c>
      <c r="E34" s="15" t="s">
        <v>70</v>
      </c>
      <c r="F34" s="16" t="s">
        <v>214</v>
      </c>
      <c r="G34" s="17" t="s">
        <v>215</v>
      </c>
      <c r="H34" s="18" t="s">
        <v>121</v>
      </c>
      <c r="I34" s="18" t="s">
        <v>74</v>
      </c>
      <c r="J34" s="18" t="s">
        <v>75</v>
      </c>
      <c r="K34" s="19">
        <f t="shared" ca="1" si="0"/>
        <v>45611</v>
      </c>
      <c r="L34" s="15" t="s">
        <v>70</v>
      </c>
      <c r="M34" s="15" t="s">
        <v>76</v>
      </c>
      <c r="N34" s="15">
        <v>1</v>
      </c>
      <c r="O34" s="18" t="s">
        <v>77</v>
      </c>
      <c r="P34" s="18" t="s">
        <v>78</v>
      </c>
      <c r="Q34" s="18" t="s">
        <v>77</v>
      </c>
      <c r="R34" s="18" t="s">
        <v>79</v>
      </c>
      <c r="S34" s="18" t="s">
        <v>75</v>
      </c>
      <c r="T34" s="20" t="s">
        <v>80</v>
      </c>
      <c r="U34" s="21" t="s">
        <v>81</v>
      </c>
      <c r="V34" s="18" t="s">
        <v>75</v>
      </c>
      <c r="W34" s="19">
        <f t="shared" ca="1" si="1"/>
        <v>45611</v>
      </c>
      <c r="X34" s="18" t="s">
        <v>82</v>
      </c>
      <c r="Y34" s="16" t="s">
        <v>122</v>
      </c>
      <c r="Z34" s="22" t="s">
        <v>116</v>
      </c>
      <c r="AA34" s="22" t="s">
        <v>85</v>
      </c>
      <c r="AB34" s="22" t="s">
        <v>86</v>
      </c>
      <c r="AC34" s="23" t="s">
        <v>87</v>
      </c>
      <c r="AD34" s="23" t="s">
        <v>88</v>
      </c>
      <c r="AE34" s="22" t="s">
        <v>126</v>
      </c>
      <c r="AF34" s="24">
        <v>24</v>
      </c>
      <c r="AG34" s="25" t="s">
        <v>117</v>
      </c>
      <c r="AH34" s="26" t="s">
        <v>90</v>
      </c>
      <c r="AI34" s="26" t="s">
        <v>91</v>
      </c>
      <c r="AJ34" s="27">
        <f t="shared" ca="1" si="2"/>
        <v>45611</v>
      </c>
      <c r="AK34" s="25" t="str">
        <f t="shared" si="3"/>
        <v>N/A</v>
      </c>
      <c r="AL34" s="28">
        <f t="shared" ca="1" si="4"/>
        <v>45611</v>
      </c>
      <c r="AM34" s="28">
        <f t="shared" ca="1" si="5"/>
        <v>45611</v>
      </c>
      <c r="AN34" s="26" t="s">
        <v>92</v>
      </c>
      <c r="AO34" s="22" t="s">
        <v>93</v>
      </c>
      <c r="AP34" s="15">
        <v>100</v>
      </c>
      <c r="AQ34" s="28">
        <f t="shared" ca="1" si="6"/>
        <v>45692</v>
      </c>
      <c r="AR34" s="15" t="s">
        <v>70</v>
      </c>
      <c r="AS34" s="29" t="s">
        <v>94</v>
      </c>
      <c r="AT34" s="30">
        <v>486329438</v>
      </c>
      <c r="AU34" s="28" t="s">
        <v>95</v>
      </c>
      <c r="AV34" s="28" t="s">
        <v>96</v>
      </c>
      <c r="AW34" s="15" t="s">
        <v>70</v>
      </c>
      <c r="AX34" s="29" t="s">
        <v>97</v>
      </c>
      <c r="AY34" s="30">
        <v>394257568</v>
      </c>
      <c r="AZ34" s="28" t="s">
        <v>95</v>
      </c>
      <c r="BA34" s="28" t="s">
        <v>96</v>
      </c>
      <c r="BB34" s="31" t="s">
        <v>98</v>
      </c>
      <c r="BC34" s="28" t="s">
        <v>173</v>
      </c>
      <c r="BD34" s="29" t="s">
        <v>77</v>
      </c>
      <c r="BE34" s="29" t="s">
        <v>100</v>
      </c>
      <c r="BF34" s="29" t="s">
        <v>101</v>
      </c>
      <c r="BG34" s="15" t="s">
        <v>102</v>
      </c>
      <c r="BH34" s="15" t="s">
        <v>103</v>
      </c>
      <c r="BI34" s="32" t="s">
        <v>104</v>
      </c>
      <c r="BJ34" t="s">
        <v>105</v>
      </c>
      <c r="BK34" s="15" t="s">
        <v>106</v>
      </c>
      <c r="BL34" s="15" t="s">
        <v>70</v>
      </c>
      <c r="BM34" s="15" t="s">
        <v>76</v>
      </c>
      <c r="BN34" s="15" t="s">
        <v>76</v>
      </c>
      <c r="BO34" s="15" t="s">
        <v>107</v>
      </c>
      <c r="BP34" s="15" t="s">
        <v>108</v>
      </c>
      <c r="BQ34" s="18" t="s">
        <v>109</v>
      </c>
      <c r="BR34" s="18" t="s">
        <v>110</v>
      </c>
      <c r="BS34" t="s">
        <v>111</v>
      </c>
      <c r="BT34" s="33">
        <v>213111231</v>
      </c>
    </row>
    <row r="35" spans="1:72" ht="14.4" customHeight="1" x14ac:dyDescent="0.35">
      <c r="A35" s="12" t="s">
        <v>216</v>
      </c>
      <c r="D35" s="14" t="s">
        <v>69</v>
      </c>
      <c r="E35" s="15" t="s">
        <v>70</v>
      </c>
      <c r="F35" s="16" t="s">
        <v>217</v>
      </c>
      <c r="G35" s="17" t="s">
        <v>218</v>
      </c>
      <c r="H35" s="18" t="s">
        <v>73</v>
      </c>
      <c r="I35" s="18" t="s">
        <v>74</v>
      </c>
      <c r="J35" s="18" t="s">
        <v>75</v>
      </c>
      <c r="K35" s="19">
        <f t="shared" ca="1" si="0"/>
        <v>45611</v>
      </c>
      <c r="L35" s="15" t="s">
        <v>70</v>
      </c>
      <c r="M35" s="15" t="s">
        <v>76</v>
      </c>
      <c r="N35" s="15">
        <v>1</v>
      </c>
      <c r="O35" s="18" t="s">
        <v>77</v>
      </c>
      <c r="P35" s="18" t="s">
        <v>78</v>
      </c>
      <c r="Q35" s="18" t="s">
        <v>77</v>
      </c>
      <c r="R35" s="18" t="s">
        <v>219</v>
      </c>
      <c r="S35" s="18" t="s">
        <v>75</v>
      </c>
      <c r="T35" s="20" t="s">
        <v>80</v>
      </c>
      <c r="U35" s="21" t="s">
        <v>81</v>
      </c>
      <c r="V35" s="18" t="s">
        <v>75</v>
      </c>
      <c r="W35" s="19">
        <f t="shared" ca="1" si="1"/>
        <v>45611</v>
      </c>
      <c r="X35" s="18" t="s">
        <v>82</v>
      </c>
      <c r="Y35" s="16" t="s">
        <v>83</v>
      </c>
      <c r="Z35" s="22" t="s">
        <v>84</v>
      </c>
      <c r="AA35" s="22" t="s">
        <v>85</v>
      </c>
      <c r="AB35" s="22" t="s">
        <v>86</v>
      </c>
      <c r="AC35" s="23" t="s">
        <v>87</v>
      </c>
      <c r="AD35" s="23" t="s">
        <v>88</v>
      </c>
      <c r="AE35" s="22" t="s">
        <v>136</v>
      </c>
      <c r="AF35" s="24">
        <v>25</v>
      </c>
      <c r="AG35" s="25">
        <f ca="1">TODAY()+365</f>
        <v>46037</v>
      </c>
      <c r="AH35" s="26" t="s">
        <v>90</v>
      </c>
      <c r="AI35" s="26" t="s">
        <v>91</v>
      </c>
      <c r="AJ35" s="27">
        <f t="shared" ca="1" si="2"/>
        <v>45611</v>
      </c>
      <c r="AK35" s="25">
        <f t="shared" ca="1" si="3"/>
        <v>46037</v>
      </c>
      <c r="AL35" s="28">
        <f t="shared" ca="1" si="4"/>
        <v>45611</v>
      </c>
      <c r="AM35" s="28">
        <f t="shared" ca="1" si="5"/>
        <v>45611</v>
      </c>
      <c r="AN35" s="26" t="s">
        <v>92</v>
      </c>
      <c r="AO35" s="22" t="s">
        <v>93</v>
      </c>
      <c r="AP35" s="15">
        <v>100</v>
      </c>
      <c r="AQ35" s="28">
        <f t="shared" ca="1" si="6"/>
        <v>45692</v>
      </c>
      <c r="AR35" s="15" t="s">
        <v>70</v>
      </c>
      <c r="AS35" s="29" t="s">
        <v>94</v>
      </c>
      <c r="AT35" s="30">
        <v>486329439</v>
      </c>
      <c r="AU35" s="28" t="s">
        <v>95</v>
      </c>
      <c r="AV35" s="28" t="s">
        <v>96</v>
      </c>
      <c r="AW35" s="15" t="s">
        <v>70</v>
      </c>
      <c r="AX35" s="29" t="s">
        <v>97</v>
      </c>
      <c r="AY35" s="30">
        <v>394257569</v>
      </c>
      <c r="AZ35" s="28" t="s">
        <v>95</v>
      </c>
      <c r="BA35" s="28" t="s">
        <v>96</v>
      </c>
      <c r="BB35" s="31" t="s">
        <v>98</v>
      </c>
      <c r="BC35" s="28" t="s">
        <v>173</v>
      </c>
      <c r="BD35" s="29" t="s">
        <v>77</v>
      </c>
      <c r="BE35" s="29" t="s">
        <v>100</v>
      </c>
      <c r="BF35" s="29" t="s">
        <v>101</v>
      </c>
      <c r="BG35" s="15" t="s">
        <v>102</v>
      </c>
      <c r="BH35" s="15" t="s">
        <v>103</v>
      </c>
      <c r="BI35" s="32" t="s">
        <v>104</v>
      </c>
      <c r="BJ35" t="s">
        <v>105</v>
      </c>
      <c r="BK35" s="15" t="s">
        <v>106</v>
      </c>
      <c r="BL35" s="15" t="s">
        <v>70</v>
      </c>
      <c r="BM35" s="15" t="s">
        <v>76</v>
      </c>
      <c r="BN35" s="15" t="s">
        <v>76</v>
      </c>
      <c r="BO35" s="15" t="s">
        <v>107</v>
      </c>
      <c r="BP35" s="15" t="s">
        <v>108</v>
      </c>
      <c r="BQ35" s="18" t="s">
        <v>109</v>
      </c>
      <c r="BR35" s="18" t="s">
        <v>110</v>
      </c>
      <c r="BS35" t="s">
        <v>111</v>
      </c>
      <c r="BT35" s="33">
        <v>213111231</v>
      </c>
    </row>
    <row r="36" spans="1:72" ht="14.4" customHeight="1" x14ac:dyDescent="0.35">
      <c r="A36" s="12" t="s">
        <v>220</v>
      </c>
      <c r="D36" s="14" t="s">
        <v>69</v>
      </c>
      <c r="E36" s="15" t="s">
        <v>70</v>
      </c>
      <c r="F36" s="16" t="s">
        <v>221</v>
      </c>
      <c r="G36" s="17" t="s">
        <v>222</v>
      </c>
      <c r="H36" s="18" t="s">
        <v>73</v>
      </c>
      <c r="I36" s="18" t="s">
        <v>74</v>
      </c>
      <c r="J36" s="18" t="s">
        <v>75</v>
      </c>
      <c r="K36" s="19">
        <f t="shared" ca="1" si="0"/>
        <v>45611</v>
      </c>
      <c r="L36" s="15" t="s">
        <v>70</v>
      </c>
      <c r="M36" s="15" t="s">
        <v>76</v>
      </c>
      <c r="N36" s="15">
        <v>1</v>
      </c>
      <c r="O36" s="18" t="s">
        <v>77</v>
      </c>
      <c r="P36" s="18" t="s">
        <v>78</v>
      </c>
      <c r="Q36" s="18" t="s">
        <v>77</v>
      </c>
      <c r="R36" s="18" t="s">
        <v>79</v>
      </c>
      <c r="S36" s="18" t="s">
        <v>75</v>
      </c>
      <c r="T36" s="20" t="s">
        <v>80</v>
      </c>
      <c r="U36" s="21" t="s">
        <v>81</v>
      </c>
      <c r="V36" s="18" t="s">
        <v>75</v>
      </c>
      <c r="W36" s="19">
        <f t="shared" ca="1" si="1"/>
        <v>45611</v>
      </c>
      <c r="X36" s="18" t="s">
        <v>82</v>
      </c>
      <c r="Y36" s="16" t="s">
        <v>115</v>
      </c>
      <c r="Z36" s="22" t="s">
        <v>116</v>
      </c>
      <c r="AA36" s="22" t="s">
        <v>85</v>
      </c>
      <c r="AB36" s="22" t="s">
        <v>86</v>
      </c>
      <c r="AC36" s="23" t="s">
        <v>87</v>
      </c>
      <c r="AD36" s="23" t="s">
        <v>88</v>
      </c>
      <c r="AE36" s="22" t="s">
        <v>136</v>
      </c>
      <c r="AF36" s="24">
        <v>25</v>
      </c>
      <c r="AG36" s="25" t="s">
        <v>117</v>
      </c>
      <c r="AH36" s="26" t="s">
        <v>90</v>
      </c>
      <c r="AI36" s="26" t="s">
        <v>91</v>
      </c>
      <c r="AJ36" s="27">
        <f t="shared" ca="1" si="2"/>
        <v>45611</v>
      </c>
      <c r="AK36" s="25" t="str">
        <f t="shared" si="3"/>
        <v>N/A</v>
      </c>
      <c r="AL36" s="28">
        <f t="shared" ca="1" si="4"/>
        <v>45611</v>
      </c>
      <c r="AM36" s="28">
        <f t="shared" ca="1" si="5"/>
        <v>45611</v>
      </c>
      <c r="AN36" s="26" t="s">
        <v>92</v>
      </c>
      <c r="AO36" s="22" t="s">
        <v>93</v>
      </c>
      <c r="AP36" s="15">
        <v>100</v>
      </c>
      <c r="AQ36" s="28">
        <f t="shared" ca="1" si="6"/>
        <v>45692</v>
      </c>
      <c r="AR36" s="15" t="s">
        <v>70</v>
      </c>
      <c r="AS36" s="29" t="s">
        <v>94</v>
      </c>
      <c r="AT36" s="30">
        <v>486329440</v>
      </c>
      <c r="AU36" s="28" t="s">
        <v>95</v>
      </c>
      <c r="AV36" s="28" t="s">
        <v>96</v>
      </c>
      <c r="AW36" s="15" t="s">
        <v>70</v>
      </c>
      <c r="AX36" s="29" t="s">
        <v>97</v>
      </c>
      <c r="AY36" s="30">
        <v>394257570</v>
      </c>
      <c r="AZ36" s="28" t="s">
        <v>95</v>
      </c>
      <c r="BA36" s="28" t="s">
        <v>96</v>
      </c>
      <c r="BB36" s="31" t="s">
        <v>98</v>
      </c>
      <c r="BC36" s="28" t="s">
        <v>173</v>
      </c>
      <c r="BD36" s="29" t="s">
        <v>77</v>
      </c>
      <c r="BE36" s="29" t="s">
        <v>100</v>
      </c>
      <c r="BF36" s="29" t="s">
        <v>101</v>
      </c>
      <c r="BG36" s="15" t="s">
        <v>102</v>
      </c>
      <c r="BH36" s="15" t="s">
        <v>103</v>
      </c>
      <c r="BI36" s="32" t="s">
        <v>104</v>
      </c>
      <c r="BJ36" t="s">
        <v>105</v>
      </c>
      <c r="BK36" s="15" t="s">
        <v>106</v>
      </c>
      <c r="BL36" s="15" t="s">
        <v>70</v>
      </c>
      <c r="BM36" s="15" t="s">
        <v>76</v>
      </c>
      <c r="BN36" s="15" t="s">
        <v>76</v>
      </c>
      <c r="BO36" s="15" t="s">
        <v>107</v>
      </c>
      <c r="BP36" s="15" t="s">
        <v>108</v>
      </c>
      <c r="BQ36" s="18" t="s">
        <v>109</v>
      </c>
      <c r="BR36" s="18" t="s">
        <v>110</v>
      </c>
      <c r="BS36" t="s">
        <v>111</v>
      </c>
      <c r="BT36" s="33">
        <v>213111231</v>
      </c>
    </row>
    <row r="37" spans="1:72" ht="14.4" customHeight="1" x14ac:dyDescent="0.35">
      <c r="A37" s="12" t="s">
        <v>223</v>
      </c>
      <c r="D37" s="14" t="s">
        <v>69</v>
      </c>
      <c r="E37" s="15" t="s">
        <v>70</v>
      </c>
      <c r="F37" s="16" t="s">
        <v>224</v>
      </c>
      <c r="G37" s="17" t="s">
        <v>225</v>
      </c>
      <c r="H37" s="18" t="s">
        <v>121</v>
      </c>
      <c r="I37" s="18" t="s">
        <v>74</v>
      </c>
      <c r="J37" s="18" t="s">
        <v>75</v>
      </c>
      <c r="K37" s="19">
        <f t="shared" ca="1" si="0"/>
        <v>45611</v>
      </c>
      <c r="L37" s="15" t="s">
        <v>70</v>
      </c>
      <c r="M37" s="15" t="s">
        <v>76</v>
      </c>
      <c r="N37" s="15">
        <v>1</v>
      </c>
      <c r="O37" s="18" t="s">
        <v>77</v>
      </c>
      <c r="P37" s="18" t="s">
        <v>78</v>
      </c>
      <c r="Q37" s="18" t="s">
        <v>77</v>
      </c>
      <c r="R37" s="18" t="s">
        <v>79</v>
      </c>
      <c r="S37" s="18" t="s">
        <v>75</v>
      </c>
      <c r="T37" s="20" t="s">
        <v>80</v>
      </c>
      <c r="U37" s="21" t="s">
        <v>81</v>
      </c>
      <c r="V37" s="18" t="s">
        <v>75</v>
      </c>
      <c r="W37" s="19">
        <f t="shared" ca="1" si="1"/>
        <v>45611</v>
      </c>
      <c r="X37" s="18" t="s">
        <v>82</v>
      </c>
      <c r="Y37" s="16" t="s">
        <v>122</v>
      </c>
      <c r="Z37" s="22" t="s">
        <v>116</v>
      </c>
      <c r="AA37" s="22" t="s">
        <v>85</v>
      </c>
      <c r="AB37" s="22" t="s">
        <v>86</v>
      </c>
      <c r="AC37" s="23" t="s">
        <v>87</v>
      </c>
      <c r="AD37" s="23" t="s">
        <v>88</v>
      </c>
      <c r="AE37" s="22" t="s">
        <v>136</v>
      </c>
      <c r="AF37" s="24">
        <v>25</v>
      </c>
      <c r="AG37" s="25" t="s">
        <v>117</v>
      </c>
      <c r="AH37" s="26" t="s">
        <v>90</v>
      </c>
      <c r="AI37" s="26" t="s">
        <v>91</v>
      </c>
      <c r="AJ37" s="27">
        <f t="shared" ca="1" si="2"/>
        <v>45611</v>
      </c>
      <c r="AK37" s="25" t="str">
        <f t="shared" si="3"/>
        <v>N/A</v>
      </c>
      <c r="AL37" s="28">
        <f t="shared" ca="1" si="4"/>
        <v>45611</v>
      </c>
      <c r="AM37" s="28">
        <f t="shared" ca="1" si="5"/>
        <v>45611</v>
      </c>
      <c r="AN37" s="26" t="s">
        <v>92</v>
      </c>
      <c r="AO37" s="22" t="s">
        <v>93</v>
      </c>
      <c r="AP37" s="15">
        <v>100</v>
      </c>
      <c r="AQ37" s="28">
        <f t="shared" ca="1" si="6"/>
        <v>45692</v>
      </c>
      <c r="AR37" s="15" t="s">
        <v>70</v>
      </c>
      <c r="AS37" s="29" t="s">
        <v>94</v>
      </c>
      <c r="AT37" s="30">
        <v>486329441</v>
      </c>
      <c r="AU37" s="28" t="s">
        <v>95</v>
      </c>
      <c r="AV37" s="28" t="s">
        <v>96</v>
      </c>
      <c r="AW37" s="15" t="s">
        <v>70</v>
      </c>
      <c r="AX37" s="29" t="s">
        <v>97</v>
      </c>
      <c r="AY37" s="30">
        <v>394257571</v>
      </c>
      <c r="AZ37" s="28" t="s">
        <v>95</v>
      </c>
      <c r="BA37" s="28" t="s">
        <v>96</v>
      </c>
      <c r="BB37" s="31" t="s">
        <v>98</v>
      </c>
      <c r="BC37" s="28" t="s">
        <v>173</v>
      </c>
      <c r="BD37" s="29" t="s">
        <v>77</v>
      </c>
      <c r="BE37" s="29" t="s">
        <v>100</v>
      </c>
      <c r="BF37" s="29" t="s">
        <v>101</v>
      </c>
      <c r="BG37" s="15" t="s">
        <v>102</v>
      </c>
      <c r="BH37" s="15" t="s">
        <v>103</v>
      </c>
      <c r="BI37" s="32" t="s">
        <v>104</v>
      </c>
      <c r="BJ37" t="s">
        <v>105</v>
      </c>
      <c r="BK37" s="15" t="s">
        <v>106</v>
      </c>
      <c r="BL37" s="15" t="s">
        <v>70</v>
      </c>
      <c r="BM37" s="15" t="s">
        <v>76</v>
      </c>
      <c r="BN37" s="15" t="s">
        <v>76</v>
      </c>
      <c r="BO37" s="15" t="s">
        <v>107</v>
      </c>
      <c r="BP37" s="15" t="s">
        <v>108</v>
      </c>
      <c r="BQ37" s="18" t="s">
        <v>109</v>
      </c>
      <c r="BR37" s="18" t="s">
        <v>110</v>
      </c>
      <c r="BS37" t="s">
        <v>111</v>
      </c>
      <c r="BT37" s="33">
        <v>213111231</v>
      </c>
    </row>
    <row r="38" spans="1:72" ht="14.4" customHeight="1" x14ac:dyDescent="0.35">
      <c r="A38" s="12" t="s">
        <v>226</v>
      </c>
      <c r="D38" s="14" t="s">
        <v>69</v>
      </c>
      <c r="E38" s="15" t="s">
        <v>70</v>
      </c>
      <c r="F38" s="16" t="s">
        <v>227</v>
      </c>
      <c r="G38" s="17" t="s">
        <v>228</v>
      </c>
      <c r="H38" s="18" t="s">
        <v>73</v>
      </c>
      <c r="I38" s="18" t="s">
        <v>74</v>
      </c>
      <c r="J38" s="18" t="s">
        <v>75</v>
      </c>
      <c r="K38" s="19">
        <f t="shared" ca="1" si="0"/>
        <v>45611</v>
      </c>
      <c r="L38" s="15" t="s">
        <v>70</v>
      </c>
      <c r="M38" s="15" t="s">
        <v>76</v>
      </c>
      <c r="N38" s="15">
        <v>1</v>
      </c>
      <c r="O38" s="18" t="s">
        <v>77</v>
      </c>
      <c r="P38" s="18" t="s">
        <v>78</v>
      </c>
      <c r="Q38" s="18" t="s">
        <v>77</v>
      </c>
      <c r="R38" s="18" t="s">
        <v>79</v>
      </c>
      <c r="S38" s="18" t="s">
        <v>75</v>
      </c>
      <c r="T38" s="20" t="s">
        <v>80</v>
      </c>
      <c r="U38" s="21" t="s">
        <v>81</v>
      </c>
      <c r="V38" s="18" t="s">
        <v>75</v>
      </c>
      <c r="W38" s="19">
        <f t="shared" ca="1" si="1"/>
        <v>45611</v>
      </c>
      <c r="X38" s="18" t="s">
        <v>82</v>
      </c>
      <c r="Y38" s="16" t="s">
        <v>83</v>
      </c>
      <c r="Z38" s="22" t="s">
        <v>84</v>
      </c>
      <c r="AA38" s="22" t="s">
        <v>85</v>
      </c>
      <c r="AB38" s="22" t="s">
        <v>86</v>
      </c>
      <c r="AC38" s="23" t="s">
        <v>87</v>
      </c>
      <c r="AD38" s="23" t="s">
        <v>88</v>
      </c>
      <c r="AE38" s="22" t="s">
        <v>229</v>
      </c>
      <c r="AF38" s="24">
        <v>10</v>
      </c>
      <c r="AG38" s="25">
        <f ca="1">TODAY()+365</f>
        <v>46037</v>
      </c>
      <c r="AH38" s="26" t="s">
        <v>90</v>
      </c>
      <c r="AI38" s="26" t="s">
        <v>91</v>
      </c>
      <c r="AJ38" s="27">
        <f t="shared" ca="1" si="2"/>
        <v>45611</v>
      </c>
      <c r="AK38" s="25">
        <f t="shared" ca="1" si="3"/>
        <v>46037</v>
      </c>
      <c r="AL38" s="28">
        <f t="shared" ca="1" si="4"/>
        <v>45611</v>
      </c>
      <c r="AM38" s="28">
        <f t="shared" ca="1" si="5"/>
        <v>45611</v>
      </c>
      <c r="AN38" s="26" t="s">
        <v>92</v>
      </c>
      <c r="AO38" s="22" t="s">
        <v>93</v>
      </c>
      <c r="AP38" s="15">
        <v>100</v>
      </c>
      <c r="AQ38" s="28">
        <f t="shared" ca="1" si="6"/>
        <v>45692</v>
      </c>
      <c r="AR38" s="15" t="s">
        <v>70</v>
      </c>
      <c r="AS38" s="29" t="s">
        <v>94</v>
      </c>
      <c r="AT38" s="30">
        <v>486329442</v>
      </c>
      <c r="AU38" s="28" t="s">
        <v>95</v>
      </c>
      <c r="AV38" s="28" t="s">
        <v>96</v>
      </c>
      <c r="AW38" s="15" t="s">
        <v>70</v>
      </c>
      <c r="AX38" s="29" t="s">
        <v>97</v>
      </c>
      <c r="AY38" s="30">
        <v>394257572</v>
      </c>
      <c r="AZ38" s="28" t="s">
        <v>95</v>
      </c>
      <c r="BA38" s="28" t="s">
        <v>96</v>
      </c>
      <c r="BB38" s="31" t="s">
        <v>98</v>
      </c>
      <c r="BC38" s="28" t="s">
        <v>173</v>
      </c>
      <c r="BD38" s="29" t="s">
        <v>77</v>
      </c>
      <c r="BE38" s="29" t="s">
        <v>100</v>
      </c>
      <c r="BF38" s="29" t="s">
        <v>101</v>
      </c>
      <c r="BG38" s="15" t="s">
        <v>102</v>
      </c>
      <c r="BH38" s="15" t="s">
        <v>103</v>
      </c>
      <c r="BI38" s="32" t="s">
        <v>104</v>
      </c>
      <c r="BJ38" t="s">
        <v>105</v>
      </c>
      <c r="BK38" s="15" t="s">
        <v>106</v>
      </c>
      <c r="BL38" s="15" t="s">
        <v>70</v>
      </c>
      <c r="BM38" s="15" t="s">
        <v>76</v>
      </c>
      <c r="BN38" s="15" t="s">
        <v>76</v>
      </c>
      <c r="BO38" s="15" t="s">
        <v>107</v>
      </c>
      <c r="BP38" s="15" t="s">
        <v>108</v>
      </c>
      <c r="BQ38" s="18" t="s">
        <v>109</v>
      </c>
      <c r="BR38" s="18" t="s">
        <v>110</v>
      </c>
      <c r="BS38" t="s">
        <v>111</v>
      </c>
      <c r="BT38" s="33">
        <v>213111231</v>
      </c>
    </row>
    <row r="39" spans="1:72" ht="14.4" customHeight="1" x14ac:dyDescent="0.35">
      <c r="A39" s="12" t="s">
        <v>230</v>
      </c>
      <c r="D39" s="14" t="s">
        <v>69</v>
      </c>
      <c r="E39" s="15" t="s">
        <v>70</v>
      </c>
      <c r="F39" s="16" t="s">
        <v>231</v>
      </c>
      <c r="G39" s="17" t="s">
        <v>232</v>
      </c>
      <c r="H39" s="18" t="s">
        <v>73</v>
      </c>
      <c r="I39" s="18" t="s">
        <v>74</v>
      </c>
      <c r="J39" s="18" t="s">
        <v>75</v>
      </c>
      <c r="K39" s="19">
        <f t="shared" ca="1" si="0"/>
        <v>45611</v>
      </c>
      <c r="L39" s="15" t="s">
        <v>70</v>
      </c>
      <c r="M39" s="15" t="s">
        <v>76</v>
      </c>
      <c r="N39" s="15">
        <v>1</v>
      </c>
      <c r="O39" s="18" t="s">
        <v>77</v>
      </c>
      <c r="P39" s="18" t="s">
        <v>78</v>
      </c>
      <c r="Q39" s="18" t="s">
        <v>77</v>
      </c>
      <c r="R39" s="18" t="s">
        <v>79</v>
      </c>
      <c r="S39" s="18" t="s">
        <v>75</v>
      </c>
      <c r="T39" s="20" t="s">
        <v>80</v>
      </c>
      <c r="U39" s="21" t="s">
        <v>81</v>
      </c>
      <c r="V39" s="18" t="s">
        <v>75</v>
      </c>
      <c r="W39" s="19">
        <f t="shared" ca="1" si="1"/>
        <v>45611</v>
      </c>
      <c r="X39" s="18" t="s">
        <v>82</v>
      </c>
      <c r="Y39" s="16" t="s">
        <v>115</v>
      </c>
      <c r="Z39" s="22" t="s">
        <v>116</v>
      </c>
      <c r="AA39" s="22" t="s">
        <v>85</v>
      </c>
      <c r="AB39" s="22" t="s">
        <v>86</v>
      </c>
      <c r="AC39" s="23" t="s">
        <v>87</v>
      </c>
      <c r="AD39" s="23" t="s">
        <v>88</v>
      </c>
      <c r="AE39" s="22" t="s">
        <v>229</v>
      </c>
      <c r="AF39" s="24">
        <v>10</v>
      </c>
      <c r="AG39" s="25" t="s">
        <v>117</v>
      </c>
      <c r="AH39" s="26" t="s">
        <v>90</v>
      </c>
      <c r="AI39" s="26" t="s">
        <v>91</v>
      </c>
      <c r="AJ39" s="27">
        <f t="shared" ca="1" si="2"/>
        <v>45611</v>
      </c>
      <c r="AK39" s="25" t="str">
        <f t="shared" si="3"/>
        <v>N/A</v>
      </c>
      <c r="AL39" s="28">
        <f t="shared" ca="1" si="4"/>
        <v>45611</v>
      </c>
      <c r="AM39" s="28">
        <f t="shared" ca="1" si="5"/>
        <v>45611</v>
      </c>
      <c r="AN39" s="26" t="s">
        <v>92</v>
      </c>
      <c r="AO39" s="22" t="s">
        <v>93</v>
      </c>
      <c r="AP39" s="15">
        <v>100</v>
      </c>
      <c r="AQ39" s="28">
        <f t="shared" ca="1" si="6"/>
        <v>45692</v>
      </c>
      <c r="AR39" s="15" t="s">
        <v>70</v>
      </c>
      <c r="AS39" s="29" t="s">
        <v>94</v>
      </c>
      <c r="AT39" s="30">
        <v>486329443</v>
      </c>
      <c r="AU39" s="28" t="s">
        <v>95</v>
      </c>
      <c r="AV39" s="28" t="s">
        <v>96</v>
      </c>
      <c r="AW39" s="15" t="s">
        <v>70</v>
      </c>
      <c r="AX39" s="29" t="s">
        <v>97</v>
      </c>
      <c r="AY39" s="30">
        <v>394257573</v>
      </c>
      <c r="AZ39" s="28" t="s">
        <v>95</v>
      </c>
      <c r="BA39" s="28" t="s">
        <v>96</v>
      </c>
      <c r="BB39" s="31" t="s">
        <v>98</v>
      </c>
      <c r="BC39" s="28" t="s">
        <v>173</v>
      </c>
      <c r="BD39" s="29" t="s">
        <v>77</v>
      </c>
      <c r="BE39" s="29" t="s">
        <v>100</v>
      </c>
      <c r="BF39" s="29" t="s">
        <v>101</v>
      </c>
      <c r="BG39" s="15" t="s">
        <v>102</v>
      </c>
      <c r="BH39" s="15" t="s">
        <v>103</v>
      </c>
      <c r="BI39" s="32" t="s">
        <v>104</v>
      </c>
      <c r="BJ39" t="s">
        <v>105</v>
      </c>
      <c r="BK39" s="15" t="s">
        <v>106</v>
      </c>
      <c r="BL39" s="15" t="s">
        <v>70</v>
      </c>
      <c r="BM39" s="15" t="s">
        <v>76</v>
      </c>
      <c r="BN39" s="15" t="s">
        <v>76</v>
      </c>
      <c r="BO39" s="15" t="s">
        <v>107</v>
      </c>
      <c r="BP39" s="15" t="s">
        <v>108</v>
      </c>
      <c r="BQ39" s="18" t="s">
        <v>109</v>
      </c>
      <c r="BR39" s="18" t="s">
        <v>110</v>
      </c>
      <c r="BS39" t="s">
        <v>111</v>
      </c>
      <c r="BT39" s="33">
        <v>213111231</v>
      </c>
    </row>
    <row r="40" spans="1:72" ht="14.4" customHeight="1" x14ac:dyDescent="0.35">
      <c r="A40" s="12" t="s">
        <v>233</v>
      </c>
      <c r="D40" s="14" t="s">
        <v>69</v>
      </c>
      <c r="E40" s="15" t="s">
        <v>70</v>
      </c>
      <c r="F40" s="16" t="s">
        <v>234</v>
      </c>
      <c r="G40" s="17" t="s">
        <v>235</v>
      </c>
      <c r="H40" s="18" t="s">
        <v>121</v>
      </c>
      <c r="I40" s="18" t="s">
        <v>74</v>
      </c>
      <c r="J40" s="18" t="s">
        <v>75</v>
      </c>
      <c r="K40" s="19">
        <f t="shared" ca="1" si="0"/>
        <v>45611</v>
      </c>
      <c r="L40" s="15" t="s">
        <v>70</v>
      </c>
      <c r="M40" s="15" t="s">
        <v>76</v>
      </c>
      <c r="N40" s="15">
        <v>1</v>
      </c>
      <c r="O40" s="18" t="s">
        <v>77</v>
      </c>
      <c r="P40" s="18" t="s">
        <v>78</v>
      </c>
      <c r="Q40" s="18" t="s">
        <v>77</v>
      </c>
      <c r="R40" s="18" t="s">
        <v>79</v>
      </c>
      <c r="S40" s="18" t="s">
        <v>75</v>
      </c>
      <c r="T40" s="20" t="s">
        <v>80</v>
      </c>
      <c r="U40" s="21" t="s">
        <v>81</v>
      </c>
      <c r="V40" s="18" t="s">
        <v>75</v>
      </c>
      <c r="W40" s="19">
        <f t="shared" ca="1" si="1"/>
        <v>45611</v>
      </c>
      <c r="X40" s="18" t="s">
        <v>82</v>
      </c>
      <c r="Y40" s="16" t="s">
        <v>122</v>
      </c>
      <c r="Z40" s="22" t="s">
        <v>116</v>
      </c>
      <c r="AA40" s="22" t="s">
        <v>85</v>
      </c>
      <c r="AB40" s="22" t="s">
        <v>86</v>
      </c>
      <c r="AC40" s="23" t="s">
        <v>87</v>
      </c>
      <c r="AD40" s="23" t="s">
        <v>88</v>
      </c>
      <c r="AE40" s="22" t="s">
        <v>229</v>
      </c>
      <c r="AF40" s="24">
        <v>10</v>
      </c>
      <c r="AG40" s="25" t="s">
        <v>117</v>
      </c>
      <c r="AH40" s="26" t="s">
        <v>90</v>
      </c>
      <c r="AI40" s="26" t="s">
        <v>91</v>
      </c>
      <c r="AJ40" s="27">
        <f t="shared" ca="1" si="2"/>
        <v>45611</v>
      </c>
      <c r="AK40" s="25" t="str">
        <f t="shared" si="3"/>
        <v>N/A</v>
      </c>
      <c r="AL40" s="28">
        <f t="shared" ca="1" si="4"/>
        <v>45611</v>
      </c>
      <c r="AM40" s="28">
        <f t="shared" ca="1" si="5"/>
        <v>45611</v>
      </c>
      <c r="AN40" s="26" t="s">
        <v>92</v>
      </c>
      <c r="AO40" s="22" t="s">
        <v>93</v>
      </c>
      <c r="AP40" s="15">
        <v>100</v>
      </c>
      <c r="AQ40" s="28">
        <f t="shared" ca="1" si="6"/>
        <v>45692</v>
      </c>
      <c r="AR40" s="15" t="s">
        <v>70</v>
      </c>
      <c r="AS40" s="29" t="s">
        <v>94</v>
      </c>
      <c r="AT40" s="30">
        <v>486329444</v>
      </c>
      <c r="AU40" s="28" t="s">
        <v>95</v>
      </c>
      <c r="AV40" s="28" t="s">
        <v>96</v>
      </c>
      <c r="AW40" s="15" t="s">
        <v>70</v>
      </c>
      <c r="AX40" s="29" t="s">
        <v>97</v>
      </c>
      <c r="AY40" s="30">
        <v>394257574</v>
      </c>
      <c r="AZ40" s="28" t="s">
        <v>95</v>
      </c>
      <c r="BA40" s="28" t="s">
        <v>96</v>
      </c>
      <c r="BB40" s="31" t="s">
        <v>98</v>
      </c>
      <c r="BC40" s="28" t="s">
        <v>173</v>
      </c>
      <c r="BD40" s="29" t="s">
        <v>77</v>
      </c>
      <c r="BE40" s="29" t="s">
        <v>100</v>
      </c>
      <c r="BF40" s="29" t="s">
        <v>101</v>
      </c>
      <c r="BG40" s="15" t="s">
        <v>102</v>
      </c>
      <c r="BH40" s="15" t="s">
        <v>103</v>
      </c>
      <c r="BI40" s="32" t="s">
        <v>104</v>
      </c>
      <c r="BJ40" t="s">
        <v>105</v>
      </c>
      <c r="BK40" s="15" t="s">
        <v>106</v>
      </c>
      <c r="BL40" s="15" t="s">
        <v>70</v>
      </c>
      <c r="BM40" s="15" t="s">
        <v>76</v>
      </c>
      <c r="BN40" s="15" t="s">
        <v>76</v>
      </c>
      <c r="BO40" s="15" t="s">
        <v>107</v>
      </c>
      <c r="BP40" s="15" t="s">
        <v>108</v>
      </c>
      <c r="BQ40" s="18" t="s">
        <v>109</v>
      </c>
      <c r="BR40" s="18" t="s">
        <v>110</v>
      </c>
      <c r="BS40" t="s">
        <v>111</v>
      </c>
      <c r="BT40" s="33">
        <v>213111231</v>
      </c>
    </row>
  </sheetData>
  <dataValidations count="2">
    <dataValidation type="list" allowBlank="1" showInputMessage="1" showErrorMessage="1" sqref="AI10:AI40 X10:X40 V10:V40 S10:S40 J10:J40 BH10:BH40" xr:uid="{00000000-0002-0000-0000-000000000000}">
      <formula1>INDIRECT($E2)</formula1>
    </dataValidation>
    <dataValidation type="list" allowBlank="1" showInputMessage="1" showErrorMessage="1" sqref="AI2:AI40 X2:X40 V2:V40 S2:S40 J2:J40 BH2:BH40" xr:uid="{00000000-0002-0000-0000-000001000000}">
      <formula1>INDIRECT($E2)</formula1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2025-01-15T08:48:40Z</dcterms:modified>
</cp:coreProperties>
</file>