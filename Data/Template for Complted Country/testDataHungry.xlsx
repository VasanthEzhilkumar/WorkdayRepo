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59C643C9-9EC0-4514-AB9A-37245B4388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5" i="1" l="1"/>
  <c r="AJ15" i="1"/>
  <c r="AY15" i="1" s="1"/>
  <c r="K15" i="1"/>
  <c r="Y15" i="1" s="1"/>
  <c r="AY14" i="1"/>
  <c r="AU14" i="1"/>
  <c r="K14" i="1"/>
  <c r="Y14" i="1" s="1"/>
  <c r="AU13" i="1"/>
  <c r="AJ13" i="1"/>
  <c r="AY13" i="1" s="1"/>
  <c r="K13" i="1"/>
  <c r="Y13" i="1" s="1"/>
  <c r="AY12" i="1"/>
  <c r="AU12" i="1"/>
  <c r="K12" i="1"/>
  <c r="Y12" i="1" s="1"/>
  <c r="AW12" i="1" s="1"/>
  <c r="CR11" i="1"/>
  <c r="AU11" i="1"/>
  <c r="AJ11" i="1"/>
  <c r="AY11" i="1" s="1"/>
  <c r="K11" i="1"/>
  <c r="Y11" i="1" s="1"/>
  <c r="AU10" i="1"/>
  <c r="K10" i="1"/>
  <c r="Y10" i="1" s="1"/>
  <c r="AU9" i="1"/>
  <c r="AJ9" i="1"/>
  <c r="AY9" i="1" s="1"/>
  <c r="K9" i="1"/>
  <c r="Y9" i="1" s="1"/>
  <c r="CR8" i="1"/>
  <c r="AU8" i="1"/>
  <c r="K8" i="1"/>
  <c r="Y8" i="1" s="1"/>
  <c r="AK8" i="1" s="1"/>
  <c r="AU7" i="1"/>
  <c r="AJ7" i="1"/>
  <c r="AY7" i="1" s="1"/>
  <c r="K7" i="1"/>
  <c r="Y7" i="1" s="1"/>
  <c r="AX7" i="1" s="1"/>
  <c r="AY6" i="1"/>
  <c r="AU6" i="1"/>
  <c r="K6" i="1"/>
  <c r="Y6" i="1" s="1"/>
  <c r="AU5" i="1"/>
  <c r="AJ5" i="1"/>
  <c r="AY5" i="1" s="1"/>
  <c r="K5" i="1"/>
  <c r="Y5" i="1" s="1"/>
  <c r="AY4" i="1"/>
  <c r="AU4" i="1"/>
  <c r="K4" i="1"/>
  <c r="Y4" i="1" s="1"/>
  <c r="AW4" i="1" s="1"/>
  <c r="CR3" i="1"/>
  <c r="AY3" i="1"/>
  <c r="AU3" i="1"/>
  <c r="K3" i="1"/>
  <c r="Y3" i="1" s="1"/>
  <c r="AW3" i="1" s="1"/>
  <c r="AU2" i="1"/>
  <c r="AJ2" i="1"/>
  <c r="AY2" i="1" s="1"/>
  <c r="K2" i="1"/>
  <c r="Y2" i="1" s="1"/>
  <c r="AX2" i="1" s="1"/>
  <c r="AX15" i="1" l="1"/>
  <c r="AW15" i="1"/>
  <c r="AK2" i="1"/>
  <c r="AW5" i="1"/>
  <c r="AK5" i="1"/>
  <c r="AX5" i="1"/>
  <c r="AW11" i="1"/>
  <c r="AK11" i="1"/>
  <c r="AX11" i="1"/>
  <c r="AW13" i="1"/>
  <c r="AK13" i="1"/>
  <c r="AX13" i="1"/>
  <c r="AK10" i="1"/>
  <c r="AX10" i="1"/>
  <c r="AW10" i="1"/>
  <c r="AX6" i="1"/>
  <c r="AW6" i="1"/>
  <c r="AK6" i="1"/>
  <c r="AK9" i="1"/>
  <c r="AX9" i="1"/>
  <c r="AW9" i="1"/>
  <c r="AX14" i="1"/>
  <c r="AW14" i="1"/>
  <c r="AK14" i="1"/>
  <c r="AW2" i="1"/>
  <c r="AX3" i="1"/>
  <c r="AX4" i="1"/>
  <c r="AK7" i="1"/>
  <c r="AX12" i="1"/>
  <c r="AK15" i="1"/>
  <c r="AK3" i="1"/>
  <c r="AK4" i="1"/>
  <c r="AW8" i="1"/>
  <c r="AK12" i="1"/>
  <c r="AW7" i="1"/>
  <c r="AX8" i="1"/>
</calcChain>
</file>

<file path=xl/sharedStrings.xml><?xml version="1.0" encoding="utf-8"?>
<sst xmlns="http://schemas.openxmlformats.org/spreadsheetml/2006/main" count="1141" uniqueCount="224">
  <si>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</si>
  <si>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</si>
  <si>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</si>
  <si>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</si>
  <si>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</si>
  <si>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</si>
  <si>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</si>
  <si>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</si>
  <si>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</si>
  <si>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</si>
  <si>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</si>
  <si>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</si>
  <si>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</si>
  <si>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</si>
  <si>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</si>
  <si>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</si>
  <si>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</si>
  <si>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</si>
  <si>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</si>
  <si>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</si>
  <si>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</si>
  <si>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</si>
  <si>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</si>
  <si>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</si>
  <si>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</si>
  <si>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</si>
  <si>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</si>
  <si>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</si>
  <si>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</si>
  <si>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</si>
  <si>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</si>
  <si>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</si>
  <si>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</si>
  <si>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</si>
  <si>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</si>
  <si>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</si>
  <si>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</si>
  <si>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</si>
  <si>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</si>
  <si>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</si>
  <si>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</si>
  <si>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</si>
  <si>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</si>
  <si>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</si>
  <si>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</si>
  <si>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</si>
  <si>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</si>
  <si>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</si>
  <si>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</si>
  <si>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</si>
  <si>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</si>
  <si>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</si>
  <si>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</si>
  <si>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</si>
  <si>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</si>
  <si>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</si>
  <si>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</si>
  <si>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</si>
  <si>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</si>
  <si>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</si>
  <si>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</si>
  <si>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</si>
  <si>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</si>
  <si>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</si>
  <si>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</si>
  <si>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</si>
  <si>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</si>
  <si>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</si>
  <si>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</si>
  <si>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</si>
  <si>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</si>
  <si>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</si>
  <si>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</si>
  <si>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</si>
  <si>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</si>
  <si>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</si>
  <si>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</si>
  <si>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</si>
  <si>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</si>
  <si>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</si>
  <si>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</si>
  <si>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</si>
  <si>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</si>
  <si>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</si>
  <si>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</si>
  <si>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</si>
  <si>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</si>
  <si>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</si>
  <si>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</si>
  <si>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</si>
  <si>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</si>
  <si>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</si>
  <si>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</si>
  <si>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</si>
  <si>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</si>
  <si>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(Sekive Solav (10632957))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</si>
  <si>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</si>
  <si>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</si>
  <si>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</si>
  <si>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</si>
  <si>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</si>
  <si>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</si>
  <si>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</si>
  <si>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</si>
  <si>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</si>
  <si>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</si>
  <si>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</si>
  <si>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</si>
  <si>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</si>
  <si>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</si>
  <si>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</si>
  <si>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</si>
  <si>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</si>
  <si>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</si>
  <si>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</si>
  <si>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</si>
  <si>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</si>
  <si>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</si>
  <si>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</si>
  <si>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</si>
  <si>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</si>
  <si>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</si>
  <si>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</si>
  <si>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</si>
  <si>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</si>
  <si>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666666120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</si>
  <si>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</si>
  <si>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</si>
  <si>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</si>
  <si>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</si>
  <si>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</si>
  <si>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</si>
  <si>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</si>
  <si>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</si>
  <si>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</si>
  <si>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</si>
  <si>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</si>
  <si>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</si>
  <si>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</si>
  <si>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</si>
  <si>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</si>
  <si>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</si>
  <si>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</si>
  <si>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</si>
  <si>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</si>
  <si>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</si>
  <si>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</si>
  <si>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</si>
  <si>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I</t>
  </si>
  <si>
    <t>F</t>
  </si>
  <si>
    <t>Permanent</t>
  </si>
  <si>
    <t>In-Store P&amp;C Assistant_NEW</t>
  </si>
  <si>
    <t>Part Time</t>
  </si>
  <si>
    <t>IRREGULAR - Irregular Shift Pattern (Hungary Regular &amp; Irregular Shift Pattern-Hungary)</t>
  </si>
  <si>
    <t>250 Human Resources Retail</t>
  </si>
  <si>
    <t>Social Security (TAJ) Number</t>
  </si>
  <si>
    <t>666666121</t>
  </si>
  <si>
    <t>Female</t>
  </si>
  <si>
    <t>0000000098624423</t>
  </si>
  <si>
    <t>AutoMaiden</t>
  </si>
  <si>
    <t>Child</t>
  </si>
  <si>
    <t>ChildOne</t>
  </si>
  <si>
    <t>Mammy</t>
  </si>
  <si>
    <t>Test_3</t>
  </si>
  <si>
    <t>Auto 20102024 232148</t>
  </si>
  <si>
    <t>Store Manager_NEW</t>
  </si>
  <si>
    <t>92 Retail Management </t>
  </si>
  <si>
    <t>251 Management Retail</t>
  </si>
  <si>
    <t>666666122</t>
  </si>
  <si>
    <t xml:space="preserve">Spouse </t>
  </si>
  <si>
    <t>DepSpouse</t>
  </si>
  <si>
    <t>Test_4</t>
  </si>
  <si>
    <t>Auto 20102024 232353</t>
  </si>
  <si>
    <t>Fixed Term</t>
  </si>
  <si>
    <t xml:space="preserve">Team Manager - Retail_NEW </t>
  </si>
  <si>
    <t>666666123</t>
  </si>
  <si>
    <t>Test_5</t>
  </si>
  <si>
    <t>G</t>
  </si>
  <si>
    <t>Auto 20102024 232557</t>
  </si>
  <si>
    <t>Assistant Store Manager_NEW</t>
  </si>
  <si>
    <t>666666124</t>
  </si>
  <si>
    <t>Test_6</t>
  </si>
  <si>
    <t>H</t>
  </si>
  <si>
    <t>Auto 20102024 232802</t>
  </si>
  <si>
    <t>In-Store P&amp;C Manager_NEW</t>
  </si>
  <si>
    <t>666666125</t>
  </si>
  <si>
    <t>Test_7</t>
  </si>
  <si>
    <t>Auto 20102024 233006</t>
  </si>
  <si>
    <t>Department Manager_NEW</t>
  </si>
  <si>
    <t>666666126</t>
  </si>
  <si>
    <t>Test_8</t>
  </si>
  <si>
    <t>J</t>
  </si>
  <si>
    <t>Auto 20102024 233211</t>
  </si>
  <si>
    <t>Visual Merchandising Manager_NEW</t>
  </si>
  <si>
    <t>666666127</t>
  </si>
  <si>
    <t>Test_9</t>
  </si>
  <si>
    <t>K</t>
  </si>
  <si>
    <t>Retail Assistant Cash Office_NEW</t>
  </si>
  <si>
    <t>258 Cash Office</t>
  </si>
  <si>
    <t>666666128</t>
  </si>
  <si>
    <t>Test_10</t>
  </si>
  <si>
    <t>L</t>
  </si>
  <si>
    <t>Retail Assistant Stockroom_NEW</t>
  </si>
  <si>
    <t>255 Stockroom</t>
  </si>
  <si>
    <t>666666129</t>
  </si>
  <si>
    <t>Test_11</t>
  </si>
  <si>
    <t>M</t>
  </si>
  <si>
    <t>Visual Merchandiser_NEW</t>
  </si>
  <si>
    <t>256 Visual Merchandising</t>
  </si>
  <si>
    <t>666666130</t>
  </si>
  <si>
    <t>Test_12</t>
  </si>
  <si>
    <t>Auto 21102024 003938</t>
  </si>
  <si>
    <t>Assistant P&amp;C Manager_NEW</t>
  </si>
  <si>
    <t>92 Retail Management</t>
  </si>
  <si>
    <t>666666131</t>
  </si>
  <si>
    <t>Test_13</t>
  </si>
  <si>
    <t>O</t>
  </si>
  <si>
    <t>02 Hosiery</t>
  </si>
  <si>
    <t>666666132</t>
  </si>
  <si>
    <t>Test_14</t>
  </si>
  <si>
    <t>P</t>
  </si>
  <si>
    <t>Auto 21102024 012539</t>
  </si>
  <si>
    <t>666666133</t>
  </si>
  <si>
    <t>846 Store Management (Zavamy Pyfaw (10632958))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</si>
</sst>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2" fillId="0" borderId="3" xfId="0" applyFont="1" applyBorder="1"/>
    <xf numFmtId="0" fontId="3" fillId="0" borderId="5" xfId="0" applyFont="1" applyBorder="1" applyAlignment="1">
      <alignment horizontal="left"/>
    </xf>
    <xf numFmtId="0" fontId="0" fillId="3" borderId="3" xfId="0" applyFill="1" applyBorder="1"/>
    <xf numFmtId="0" fontId="3" fillId="0" borderId="6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7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 applyAlignment="1">
      <alignment horizontal="left"/>
    </xf>
    <xf numFmtId="0" fontId="4" fillId="0" borderId="6" xfId="0" applyFont="1" applyBorder="1"/>
    <xf numFmtId="14" fontId="0" fillId="0" borderId="6" xfId="0" applyNumberFormat="1" applyBorder="1"/>
    <xf numFmtId="14" fontId="2" fillId="0" borderId="0" xfId="0" applyNumberFormat="1" applyFont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0" fontId="3" fillId="0" borderId="7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/>
    <xf numFmtId="0" fontId="2" fillId="0" borderId="0" xfId="0" applyFont="1" applyAlignment="1">
      <alignment horizontal="left"/>
    </xf>
    <xf numFmtId="49" fontId="3" fillId="0" borderId="3" xfId="0" applyNumberFormat="1" applyFont="1" applyBorder="1" applyAlignment="1" applyProtection="1">
      <alignment horizontal="left"/>
      <protection locked="0"/>
    </xf>
    <xf numFmtId="14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2" fillId="0" borderId="0" xfId="0" applyFont="1"/>
    <xf numFmtId="0" fontId="0" fillId="0" borderId="3" xfId="0" applyBorder="1"/>
    <xf numFmtId="14" fontId="0" fillId="0" borderId="0" xfId="0" applyNumberFormat="1"/>
    <xf numFmtId="0" fontId="4" fillId="0" borderId="3" xfId="0" applyFont="1" applyBorder="1" applyAlignment="1">
      <alignment horizontal="left"/>
    </xf>
    <xf numFmtId="0" fontId="0" fillId="0" borderId="6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7"/>
  <sheetViews>
    <sheetView tabSelected="1" topLeftCell="AK1" zoomScale="90" zoomScaleNormal="90" workbookViewId="0">
      <selection activeCell="AN10" sqref="AN10"/>
    </sheetView>
  </sheetViews>
  <sheetFormatPr defaultRowHeight="14.5" customHeight="1" x14ac:dyDescent="0.35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0" max="40" width="31.7265625" customWidth="1"/>
    <col min="41" max="41" width="26.36328125" customWidth="1"/>
    <col min="43" max="43" width="12.08984375" customWidth="1"/>
    <col min="46" max="46" width="23.1796875" customWidth="1"/>
    <col min="49" max="49" width="24.26953125" customWidth="1"/>
    <col min="50" max="50" width="33.6328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</cols>
  <sheetData>
    <row r="1" spans="1:100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</row>
    <row r="2" spans="1:100" ht="87.5" customHeight="1" x14ac:dyDescent="0.35">
      <c r="A2" t="s">
        <v>94</v>
      </c>
      <c r="B2" s="12"/>
      <c r="C2" s="13"/>
      <c r="D2" s="14" t="s">
        <v>95</v>
      </c>
      <c r="E2" s="15" t="s">
        <v>96</v>
      </c>
      <c r="F2" s="16"/>
      <c r="G2" s="16"/>
      <c r="H2" s="17" t="s">
        <v>97</v>
      </c>
      <c r="I2" s="18" t="s">
        <v>98</v>
      </c>
      <c r="J2" s="18" t="s">
        <v>99</v>
      </c>
      <c r="K2" s="19">
        <f t="shared" ref="K2:K15" ca="1" si="0">TODAY()-31</f>
        <v>45709</v>
      </c>
      <c r="L2" s="20" t="s">
        <v>96</v>
      </c>
      <c r="M2" s="21" t="s">
        <v>100</v>
      </c>
      <c r="N2" s="18" t="s">
        <v>101</v>
      </c>
      <c r="O2" s="22" t="s">
        <v>102</v>
      </c>
      <c r="P2" s="23" t="s">
        <v>103</v>
      </c>
      <c r="Q2" s="18" t="s">
        <v>104</v>
      </c>
      <c r="R2" s="18" t="s">
        <v>105</v>
      </c>
      <c r="S2" s="24" t="s">
        <v>106</v>
      </c>
      <c r="T2" s="24" t="s">
        <v>106</v>
      </c>
      <c r="U2" s="18" t="s">
        <v>99</v>
      </c>
      <c r="V2" s="25" t="s">
        <v>107</v>
      </c>
      <c r="W2" s="26" t="s">
        <v>108</v>
      </c>
      <c r="X2" s="18" t="s">
        <v>99</v>
      </c>
      <c r="Y2" s="19">
        <f t="shared" ref="Y2:Y15" ca="1" si="1">K2</f>
        <v>45709</v>
      </c>
      <c r="Z2" s="18" t="s">
        <v>109</v>
      </c>
      <c r="AA2" s="27" t="s">
        <v>110</v>
      </c>
      <c r="AB2" s="28" t="s">
        <v>111</v>
      </c>
      <c r="AC2" s="29" t="s">
        <v>112</v>
      </c>
      <c r="AD2" s="30" t="s">
        <v>113</v>
      </c>
      <c r="AE2" s="20">
        <v>846</v>
      </c>
      <c r="AF2" s="20" t="s">
        <v>57</v>
      </c>
      <c r="AG2" s="29">
        <v>40</v>
      </c>
      <c r="AH2" s="29" t="s">
        <v>114</v>
      </c>
      <c r="AI2" s="20" t="s">
        <v>115</v>
      </c>
      <c r="AJ2" s="31">
        <f ca="1">TODAY()+365</f>
        <v>46105</v>
      </c>
      <c r="AK2" s="31">
        <f t="shared" ref="AK2:AK15" ca="1" si="2">Y2+90</f>
        <v>45799</v>
      </c>
      <c r="AL2" s="18" t="s">
        <v>116</v>
      </c>
      <c r="AM2" s="30" t="s">
        <v>117</v>
      </c>
      <c r="AN2" s="29" t="s">
        <v>118</v>
      </c>
      <c r="AO2" s="18" t="s">
        <v>119</v>
      </c>
      <c r="AP2" s="32" t="s">
        <v>120</v>
      </c>
      <c r="AQ2" s="18" t="s">
        <v>121</v>
      </c>
      <c r="AR2" s="29" t="s">
        <v>121</v>
      </c>
      <c r="AS2" s="25" t="s">
        <v>110</v>
      </c>
      <c r="AT2" s="18" t="s">
        <v>122</v>
      </c>
      <c r="AU2" s="32" t="str">
        <f t="shared" ref="AU2:AU15" si="3">AB2</f>
        <v>Fixed Term (Fixed Term)</v>
      </c>
      <c r="AV2" s="25" t="s">
        <v>123</v>
      </c>
      <c r="AW2" s="33">
        <f t="shared" ref="AW2:AW15" ca="1" si="4">Y2-1</f>
        <v>45708</v>
      </c>
      <c r="AX2" s="33">
        <f t="shared" ref="AX2:AX15" ca="1" si="5">Y2-1</f>
        <v>45708</v>
      </c>
      <c r="AY2" s="34">
        <f t="shared" ref="AY2:AY7" ca="1" si="6">AJ2</f>
        <v>46105</v>
      </c>
      <c r="AZ2" s="24" t="s">
        <v>96</v>
      </c>
      <c r="BA2" s="24" t="s">
        <v>124</v>
      </c>
      <c r="BB2" s="35" t="s">
        <v>125</v>
      </c>
      <c r="BC2" s="25" t="s">
        <v>126</v>
      </c>
      <c r="BD2" s="25" t="s">
        <v>127</v>
      </c>
      <c r="BE2" s="24" t="s">
        <v>96</v>
      </c>
      <c r="BF2" s="24" t="s">
        <v>128</v>
      </c>
      <c r="BG2" s="36">
        <v>5555000018</v>
      </c>
      <c r="BH2" s="25">
        <v>36526</v>
      </c>
      <c r="BI2" s="25">
        <v>51136</v>
      </c>
      <c r="BJ2" s="20" t="s">
        <v>129</v>
      </c>
      <c r="BK2" s="29" t="s">
        <v>130</v>
      </c>
      <c r="BL2" s="37">
        <v>32875</v>
      </c>
      <c r="BM2" s="38" t="s">
        <v>96</v>
      </c>
      <c r="BN2" s="24" t="s">
        <v>106</v>
      </c>
      <c r="BO2" s="39" t="s">
        <v>131</v>
      </c>
      <c r="BP2" s="40" t="s">
        <v>110</v>
      </c>
      <c r="BQ2" s="24" t="s">
        <v>132</v>
      </c>
      <c r="BR2" s="24" t="s">
        <v>96</v>
      </c>
      <c r="BS2" s="29" t="s">
        <v>121</v>
      </c>
      <c r="BT2" s="30" t="s">
        <v>110</v>
      </c>
      <c r="BU2" s="39" t="s">
        <v>133</v>
      </c>
      <c r="BV2" s="39" t="s">
        <v>134</v>
      </c>
      <c r="BW2" s="24" t="s">
        <v>135</v>
      </c>
      <c r="BX2" s="18" t="s">
        <v>136</v>
      </c>
      <c r="BY2" s="24" t="s">
        <v>137</v>
      </c>
      <c r="BZ2" s="24" t="s">
        <v>138</v>
      </c>
      <c r="CA2" s="24" t="s">
        <v>139</v>
      </c>
      <c r="CB2" s="24" t="s">
        <v>140</v>
      </c>
      <c r="CC2" s="24" t="s">
        <v>135</v>
      </c>
      <c r="CD2" s="18" t="s">
        <v>136</v>
      </c>
      <c r="CE2" s="24" t="s">
        <v>137</v>
      </c>
      <c r="CF2" s="24" t="s">
        <v>141</v>
      </c>
      <c r="CG2" s="24" t="s">
        <v>142</v>
      </c>
      <c r="CH2" s="24" t="s">
        <v>141</v>
      </c>
      <c r="CI2" s="41">
        <v>100</v>
      </c>
      <c r="CJ2" s="24" t="s">
        <v>143</v>
      </c>
      <c r="CK2" s="24" t="s">
        <v>144</v>
      </c>
      <c r="CL2" s="24" t="s">
        <v>96</v>
      </c>
      <c r="CM2" s="24" t="s">
        <v>145</v>
      </c>
      <c r="CN2" s="24" t="s">
        <v>146</v>
      </c>
      <c r="CO2" s="30" t="s">
        <v>110</v>
      </c>
      <c r="CP2" s="42" t="s">
        <v>110</v>
      </c>
      <c r="CQ2" s="37" t="s">
        <v>110</v>
      </c>
      <c r="CR2" s="30" t="s">
        <v>110</v>
      </c>
      <c r="CS2" s="30" t="s">
        <v>110</v>
      </c>
      <c r="CT2" s="30" t="s">
        <v>110</v>
      </c>
      <c r="CU2" s="30" t="s">
        <v>110</v>
      </c>
    </row>
    <row r="3" spans="1:100" ht="14.5" customHeight="1" x14ac:dyDescent="0.35">
      <c r="A3" t="s">
        <v>147</v>
      </c>
      <c r="B3" s="12"/>
      <c r="C3" s="13"/>
      <c r="D3" s="14" t="s">
        <v>95</v>
      </c>
      <c r="E3" s="15" t="s">
        <v>96</v>
      </c>
      <c r="H3" s="17" t="s">
        <v>97</v>
      </c>
      <c r="I3" s="18" t="s">
        <v>98</v>
      </c>
      <c r="J3" s="18" t="s">
        <v>99</v>
      </c>
      <c r="K3" s="19">
        <f t="shared" ca="1" si="0"/>
        <v>45709</v>
      </c>
      <c r="L3" s="20" t="s">
        <v>96</v>
      </c>
      <c r="M3" s="21" t="s">
        <v>100</v>
      </c>
      <c r="N3" s="18" t="s">
        <v>148</v>
      </c>
      <c r="O3" s="22" t="s">
        <v>102</v>
      </c>
      <c r="P3" s="43" t="s">
        <v>149</v>
      </c>
      <c r="Q3" s="18">
        <v>123</v>
      </c>
      <c r="R3" s="18">
        <v>1046</v>
      </c>
      <c r="S3" s="24" t="s">
        <v>106</v>
      </c>
      <c r="T3" s="24" t="s">
        <v>106</v>
      </c>
      <c r="U3" s="18" t="s">
        <v>99</v>
      </c>
      <c r="V3" s="25" t="s">
        <v>107</v>
      </c>
      <c r="W3" s="26" t="s">
        <v>108</v>
      </c>
      <c r="X3" s="18" t="s">
        <v>99</v>
      </c>
      <c r="Y3" s="19">
        <f t="shared" ca="1" si="1"/>
        <v>45709</v>
      </c>
      <c r="Z3" s="18" t="s">
        <v>109</v>
      </c>
      <c r="AA3" s="27" t="s">
        <v>110</v>
      </c>
      <c r="AB3" s="44" t="s">
        <v>150</v>
      </c>
      <c r="AC3" s="39" t="s">
        <v>151</v>
      </c>
      <c r="AD3" s="45" t="s">
        <v>152</v>
      </c>
      <c r="AE3" s="20">
        <v>846</v>
      </c>
      <c r="AF3" s="20" t="s">
        <v>57</v>
      </c>
      <c r="AG3" s="39">
        <v>10</v>
      </c>
      <c r="AH3" s="29" t="s">
        <v>153</v>
      </c>
      <c r="AI3" s="20" t="s">
        <v>115</v>
      </c>
      <c r="AJ3" s="46" t="s">
        <v>110</v>
      </c>
      <c r="AK3" s="31">
        <f t="shared" ca="1" si="2"/>
        <v>45799</v>
      </c>
      <c r="AL3" s="18" t="s">
        <v>116</v>
      </c>
      <c r="AM3" s="30" t="s">
        <v>117</v>
      </c>
      <c r="AN3" s="39" t="s">
        <v>154</v>
      </c>
      <c r="AO3" s="18" t="s">
        <v>119</v>
      </c>
      <c r="AP3" s="32" t="s">
        <v>120</v>
      </c>
      <c r="AQ3" s="18" t="s">
        <v>120</v>
      </c>
      <c r="AR3" s="29" t="s">
        <v>121</v>
      </c>
      <c r="AS3" s="25" t="s">
        <v>110</v>
      </c>
      <c r="AT3" s="18" t="s">
        <v>122</v>
      </c>
      <c r="AU3" s="32" t="str">
        <f t="shared" si="3"/>
        <v>Permanent</v>
      </c>
      <c r="AV3" s="25" t="s">
        <v>123</v>
      </c>
      <c r="AW3" s="33">
        <f t="shared" ca="1" si="4"/>
        <v>45708</v>
      </c>
      <c r="AX3" s="33">
        <f t="shared" ca="1" si="5"/>
        <v>45708</v>
      </c>
      <c r="AY3" s="34" t="str">
        <f t="shared" si="6"/>
        <v>N/A</v>
      </c>
      <c r="AZ3" s="24" t="s">
        <v>96</v>
      </c>
      <c r="BA3" s="24" t="s">
        <v>155</v>
      </c>
      <c r="BB3" s="35" t="s">
        <v>156</v>
      </c>
      <c r="BC3" s="25">
        <v>36526</v>
      </c>
      <c r="BD3" s="25">
        <v>51136</v>
      </c>
      <c r="BE3" s="24" t="s">
        <v>96</v>
      </c>
      <c r="BF3" s="24" t="s">
        <v>128</v>
      </c>
      <c r="BG3" s="36">
        <v>5555000019</v>
      </c>
      <c r="BH3" s="25">
        <v>36526</v>
      </c>
      <c r="BI3" s="25">
        <v>51136</v>
      </c>
      <c r="BJ3" s="20" t="s">
        <v>129</v>
      </c>
      <c r="BK3" s="29" t="s">
        <v>157</v>
      </c>
      <c r="BL3" s="37">
        <v>32875</v>
      </c>
      <c r="BM3" s="38" t="s">
        <v>96</v>
      </c>
      <c r="BN3" s="24" t="s">
        <v>106</v>
      </c>
      <c r="BO3" s="39" t="s">
        <v>131</v>
      </c>
      <c r="BP3" s="40" t="s">
        <v>110</v>
      </c>
      <c r="BQ3" s="24" t="s">
        <v>132</v>
      </c>
      <c r="BR3" s="24" t="s">
        <v>96</v>
      </c>
      <c r="BS3" s="29" t="s">
        <v>121</v>
      </c>
      <c r="BT3" s="30" t="s">
        <v>110</v>
      </c>
      <c r="BU3" s="39" t="s">
        <v>133</v>
      </c>
      <c r="BV3" s="39" t="s">
        <v>134</v>
      </c>
      <c r="BW3" s="24" t="s">
        <v>135</v>
      </c>
      <c r="BX3" s="47" t="s">
        <v>158</v>
      </c>
      <c r="BY3" s="24" t="s">
        <v>137</v>
      </c>
      <c r="BZ3" s="24" t="s">
        <v>138</v>
      </c>
      <c r="CA3" s="24" t="s">
        <v>139</v>
      </c>
      <c r="CB3" s="24" t="s">
        <v>140</v>
      </c>
      <c r="CC3" s="47" t="s">
        <v>135</v>
      </c>
      <c r="CD3" s="18" t="s">
        <v>136</v>
      </c>
      <c r="CE3" s="24" t="s">
        <v>137</v>
      </c>
      <c r="CF3" s="24" t="s">
        <v>141</v>
      </c>
      <c r="CG3" s="24" t="s">
        <v>142</v>
      </c>
      <c r="CH3" s="24" t="s">
        <v>141</v>
      </c>
      <c r="CI3" s="41">
        <v>100</v>
      </c>
      <c r="CJ3" s="24" t="s">
        <v>143</v>
      </c>
      <c r="CK3" s="24" t="s">
        <v>144</v>
      </c>
      <c r="CL3" s="24" t="s">
        <v>96</v>
      </c>
      <c r="CM3" s="24" t="s">
        <v>159</v>
      </c>
      <c r="CN3" s="24" t="s">
        <v>146</v>
      </c>
      <c r="CO3" s="30" t="s">
        <v>160</v>
      </c>
      <c r="CP3" s="30" t="s">
        <v>161</v>
      </c>
      <c r="CQ3" s="42" t="s">
        <v>106</v>
      </c>
      <c r="CR3" s="48">
        <f ca="1">TODAY()-1500</f>
        <v>44240</v>
      </c>
      <c r="CS3" s="30" t="s">
        <v>162</v>
      </c>
      <c r="CT3" s="41">
        <v>1234022</v>
      </c>
      <c r="CU3" s="41">
        <v>123456015</v>
      </c>
      <c r="CV3" s="41"/>
    </row>
    <row r="4" spans="1:100" ht="14.5" customHeight="1" x14ac:dyDescent="0.35">
      <c r="A4" t="s">
        <v>163</v>
      </c>
      <c r="D4" s="14" t="s">
        <v>223</v>
      </c>
      <c r="E4" s="15" t="s">
        <v>96</v>
      </c>
      <c r="F4" s="16"/>
      <c r="G4" s="16"/>
      <c r="H4" s="17" t="s">
        <v>97</v>
      </c>
      <c r="I4" s="18" t="s">
        <v>98</v>
      </c>
      <c r="J4" s="18" t="s">
        <v>99</v>
      </c>
      <c r="K4" s="19">
        <f t="shared" ca="1" si="0"/>
        <v>45709</v>
      </c>
      <c r="L4" s="20" t="s">
        <v>96</v>
      </c>
      <c r="M4" s="21" t="s">
        <v>100</v>
      </c>
      <c r="N4" s="18">
        <v>1</v>
      </c>
      <c r="O4" s="22" t="s">
        <v>102</v>
      </c>
      <c r="P4" s="49">
        <v>3</v>
      </c>
      <c r="Q4" s="18">
        <v>123</v>
      </c>
      <c r="R4" s="18">
        <v>1046</v>
      </c>
      <c r="S4" s="24" t="s">
        <v>106</v>
      </c>
      <c r="T4" s="24" t="s">
        <v>106</v>
      </c>
      <c r="U4" s="18" t="s">
        <v>99</v>
      </c>
      <c r="V4" s="25" t="s">
        <v>107</v>
      </c>
      <c r="W4" s="26" t="s">
        <v>108</v>
      </c>
      <c r="X4" s="18" t="s">
        <v>99</v>
      </c>
      <c r="Y4" s="19">
        <f t="shared" ca="1" si="1"/>
        <v>45709</v>
      </c>
      <c r="Z4" s="18" t="s">
        <v>109</v>
      </c>
      <c r="AA4" s="27" t="s">
        <v>164</v>
      </c>
      <c r="AB4" s="32" t="s">
        <v>150</v>
      </c>
      <c r="AC4" s="29" t="s">
        <v>165</v>
      </c>
      <c r="AD4" s="30" t="s">
        <v>152</v>
      </c>
      <c r="AE4" s="20">
        <v>846</v>
      </c>
      <c r="AF4" s="20" t="s">
        <v>57</v>
      </c>
      <c r="AG4" s="29">
        <v>10</v>
      </c>
      <c r="AH4" s="29" t="s">
        <v>153</v>
      </c>
      <c r="AI4" s="20" t="s">
        <v>115</v>
      </c>
      <c r="AJ4" s="46" t="s">
        <v>110</v>
      </c>
      <c r="AK4" s="31">
        <f t="shared" ca="1" si="2"/>
        <v>45799</v>
      </c>
      <c r="AL4" s="18" t="s">
        <v>116</v>
      </c>
      <c r="AM4" s="29" t="s">
        <v>166</v>
      </c>
      <c r="AN4" s="39" t="s">
        <v>167</v>
      </c>
      <c r="AO4" s="18" t="s">
        <v>119</v>
      </c>
      <c r="AP4" s="29" t="s">
        <v>120</v>
      </c>
      <c r="AQ4" s="18" t="s">
        <v>121</v>
      </c>
      <c r="AR4" s="29" t="s">
        <v>121</v>
      </c>
      <c r="AS4" s="25" t="s">
        <v>110</v>
      </c>
      <c r="AT4" s="18" t="s">
        <v>122</v>
      </c>
      <c r="AU4" s="32" t="str">
        <f t="shared" si="3"/>
        <v>Permanent</v>
      </c>
      <c r="AV4" s="25" t="s">
        <v>123</v>
      </c>
      <c r="AW4" s="33">
        <f t="shared" ca="1" si="4"/>
        <v>45708</v>
      </c>
      <c r="AX4" s="33">
        <f t="shared" ca="1" si="5"/>
        <v>45708</v>
      </c>
      <c r="AY4" s="50" t="str">
        <f t="shared" si="6"/>
        <v>N/A</v>
      </c>
      <c r="AZ4" s="24" t="s">
        <v>96</v>
      </c>
      <c r="BA4" s="24" t="s">
        <v>155</v>
      </c>
      <c r="BB4" s="35" t="s">
        <v>168</v>
      </c>
      <c r="BC4" s="25">
        <v>36526</v>
      </c>
      <c r="BD4" s="25">
        <v>51136</v>
      </c>
      <c r="BE4" s="24" t="s">
        <v>96</v>
      </c>
      <c r="BF4" s="24" t="s">
        <v>128</v>
      </c>
      <c r="BG4" s="36">
        <v>5555000020</v>
      </c>
      <c r="BH4" s="25">
        <v>36526</v>
      </c>
      <c r="BI4" s="25">
        <v>51136</v>
      </c>
      <c r="BJ4" s="20" t="s">
        <v>129</v>
      </c>
      <c r="BK4" s="29" t="s">
        <v>157</v>
      </c>
      <c r="BL4" s="37">
        <v>32875</v>
      </c>
      <c r="BM4" s="38" t="s">
        <v>96</v>
      </c>
      <c r="BN4" s="24" t="s">
        <v>106</v>
      </c>
      <c r="BO4" s="39" t="s">
        <v>131</v>
      </c>
      <c r="BP4" s="40" t="s">
        <v>110</v>
      </c>
      <c r="BQ4" s="24" t="s">
        <v>132</v>
      </c>
      <c r="BR4" s="24" t="s">
        <v>96</v>
      </c>
      <c r="BS4" s="29" t="s">
        <v>121</v>
      </c>
      <c r="BT4" s="30" t="s">
        <v>110</v>
      </c>
      <c r="BU4" s="39" t="s">
        <v>133</v>
      </c>
      <c r="BV4" s="39" t="s">
        <v>134</v>
      </c>
      <c r="BW4" s="24" t="s">
        <v>135</v>
      </c>
      <c r="BX4" s="47" t="s">
        <v>158</v>
      </c>
      <c r="BY4" s="24" t="s">
        <v>137</v>
      </c>
      <c r="BZ4" s="24" t="s">
        <v>138</v>
      </c>
      <c r="CA4" s="41" t="s">
        <v>110</v>
      </c>
      <c r="CB4" s="41" t="s">
        <v>110</v>
      </c>
      <c r="CC4" s="41" t="s">
        <v>110</v>
      </c>
      <c r="CD4" s="41" t="s">
        <v>110</v>
      </c>
      <c r="CE4" s="41" t="s">
        <v>110</v>
      </c>
      <c r="CF4" s="41" t="s">
        <v>110</v>
      </c>
      <c r="CG4" s="41" t="s">
        <v>110</v>
      </c>
      <c r="CH4" s="41" t="s">
        <v>110</v>
      </c>
      <c r="CI4" s="41" t="s">
        <v>110</v>
      </c>
      <c r="CJ4" s="24" t="s">
        <v>143</v>
      </c>
      <c r="CK4" s="24" t="s">
        <v>144</v>
      </c>
      <c r="CL4" s="24" t="s">
        <v>96</v>
      </c>
      <c r="CM4" s="24" t="s">
        <v>159</v>
      </c>
      <c r="CN4" s="24" t="s">
        <v>146</v>
      </c>
      <c r="CO4" s="32" t="s">
        <v>169</v>
      </c>
      <c r="CP4" s="30" t="s">
        <v>170</v>
      </c>
      <c r="CQ4" s="42" t="s">
        <v>106</v>
      </c>
      <c r="CR4" s="48">
        <v>31048</v>
      </c>
      <c r="CS4" s="30" t="s">
        <v>162</v>
      </c>
      <c r="CT4" s="41">
        <v>1234011</v>
      </c>
      <c r="CU4" s="41">
        <v>123456011</v>
      </c>
      <c r="CV4" s="41"/>
    </row>
    <row r="5" spans="1:100" ht="14.5" customHeight="1" x14ac:dyDescent="0.35">
      <c r="A5" t="s">
        <v>171</v>
      </c>
      <c r="D5" s="14" t="s">
        <v>223</v>
      </c>
      <c r="E5" s="15" t="s">
        <v>96</v>
      </c>
      <c r="F5" s="16"/>
      <c r="G5" s="16"/>
      <c r="H5" s="17" t="s">
        <v>97</v>
      </c>
      <c r="I5" s="18" t="s">
        <v>98</v>
      </c>
      <c r="J5" s="18" t="s">
        <v>99</v>
      </c>
      <c r="K5" s="19">
        <f t="shared" ca="1" si="0"/>
        <v>45709</v>
      </c>
      <c r="L5" s="20" t="s">
        <v>96</v>
      </c>
      <c r="M5" s="21" t="s">
        <v>100</v>
      </c>
      <c r="N5" s="18" t="s">
        <v>148</v>
      </c>
      <c r="O5" s="22" t="s">
        <v>102</v>
      </c>
      <c r="P5" s="43" t="s">
        <v>149</v>
      </c>
      <c r="Q5" s="18">
        <v>123</v>
      </c>
      <c r="R5" s="18">
        <v>1046</v>
      </c>
      <c r="S5" s="24" t="s">
        <v>106</v>
      </c>
      <c r="T5" s="24" t="s">
        <v>106</v>
      </c>
      <c r="U5" s="18" t="s">
        <v>99</v>
      </c>
      <c r="V5" s="25" t="s">
        <v>107</v>
      </c>
      <c r="W5" s="26" t="s">
        <v>108</v>
      </c>
      <c r="X5" s="18" t="s">
        <v>99</v>
      </c>
      <c r="Y5" s="19">
        <f t="shared" ca="1" si="1"/>
        <v>45709</v>
      </c>
      <c r="Z5" s="18" t="s">
        <v>109</v>
      </c>
      <c r="AA5" s="27" t="s">
        <v>172</v>
      </c>
      <c r="AB5" s="44" t="s">
        <v>173</v>
      </c>
      <c r="AC5" s="51" t="s">
        <v>174</v>
      </c>
      <c r="AD5" s="30" t="s">
        <v>113</v>
      </c>
      <c r="AE5" s="20">
        <v>846</v>
      </c>
      <c r="AF5" s="20" t="s">
        <v>57</v>
      </c>
      <c r="AG5" s="39">
        <v>40</v>
      </c>
      <c r="AH5" s="29" t="s">
        <v>153</v>
      </c>
      <c r="AI5" s="20" t="s">
        <v>115</v>
      </c>
      <c r="AJ5" s="31">
        <f ca="1">TODAY()+365</f>
        <v>46105</v>
      </c>
      <c r="AK5" s="31">
        <f t="shared" ca="1" si="2"/>
        <v>45799</v>
      </c>
      <c r="AL5" s="18" t="s">
        <v>116</v>
      </c>
      <c r="AM5" s="29" t="s">
        <v>166</v>
      </c>
      <c r="AN5" s="51" t="s">
        <v>167</v>
      </c>
      <c r="AO5" s="18" t="s">
        <v>119</v>
      </c>
      <c r="AP5" s="32" t="s">
        <v>120</v>
      </c>
      <c r="AQ5" s="18" t="s">
        <v>121</v>
      </c>
      <c r="AR5" s="29" t="s">
        <v>120</v>
      </c>
      <c r="AS5" s="25" t="s">
        <v>110</v>
      </c>
      <c r="AT5" s="18" t="s">
        <v>122</v>
      </c>
      <c r="AU5" s="32" t="str">
        <f t="shared" si="3"/>
        <v>Fixed Term</v>
      </c>
      <c r="AV5" s="25" t="s">
        <v>123</v>
      </c>
      <c r="AW5" s="33">
        <f t="shared" ca="1" si="4"/>
        <v>45708</v>
      </c>
      <c r="AX5" s="33">
        <f t="shared" ca="1" si="5"/>
        <v>45708</v>
      </c>
      <c r="AY5" s="34">
        <f t="shared" ca="1" si="6"/>
        <v>46105</v>
      </c>
      <c r="AZ5" s="24" t="s">
        <v>96</v>
      </c>
      <c r="BA5" s="24" t="s">
        <v>155</v>
      </c>
      <c r="BB5" s="35" t="s">
        <v>175</v>
      </c>
      <c r="BC5" s="25">
        <v>36526</v>
      </c>
      <c r="BD5" s="25">
        <v>51136</v>
      </c>
      <c r="BE5" s="24" t="s">
        <v>96</v>
      </c>
      <c r="BF5" s="24" t="s">
        <v>128</v>
      </c>
      <c r="BG5" s="36">
        <v>5555000021</v>
      </c>
      <c r="BH5" s="25">
        <v>36526</v>
      </c>
      <c r="BI5" s="25">
        <v>51136</v>
      </c>
      <c r="BJ5" s="20" t="s">
        <v>129</v>
      </c>
      <c r="BK5" s="29" t="s">
        <v>130</v>
      </c>
      <c r="BL5" s="37">
        <v>32875</v>
      </c>
      <c r="BM5" s="38" t="s">
        <v>96</v>
      </c>
      <c r="BN5" s="24" t="s">
        <v>106</v>
      </c>
      <c r="BO5" s="39" t="s">
        <v>131</v>
      </c>
      <c r="BP5" s="40" t="s">
        <v>110</v>
      </c>
      <c r="BQ5" s="24" t="s">
        <v>132</v>
      </c>
      <c r="BR5" s="24" t="s">
        <v>96</v>
      </c>
      <c r="BS5" s="29" t="s">
        <v>121</v>
      </c>
      <c r="BT5" s="30" t="s">
        <v>110</v>
      </c>
      <c r="BU5" s="39" t="s">
        <v>133</v>
      </c>
      <c r="BV5" s="39" t="s">
        <v>134</v>
      </c>
      <c r="BW5" s="24" t="s">
        <v>135</v>
      </c>
      <c r="BX5" s="47" t="s">
        <v>158</v>
      </c>
      <c r="BY5" s="24" t="s">
        <v>137</v>
      </c>
      <c r="BZ5" s="24" t="s">
        <v>138</v>
      </c>
      <c r="CA5" s="24" t="s">
        <v>139</v>
      </c>
      <c r="CB5" s="24" t="s">
        <v>140</v>
      </c>
      <c r="CC5" s="47" t="s">
        <v>135</v>
      </c>
      <c r="CD5" s="18" t="s">
        <v>136</v>
      </c>
      <c r="CE5" s="24" t="s">
        <v>137</v>
      </c>
      <c r="CF5" s="24" t="s">
        <v>141</v>
      </c>
      <c r="CG5" s="24" t="s">
        <v>142</v>
      </c>
      <c r="CH5" s="24" t="s">
        <v>141</v>
      </c>
      <c r="CI5" s="41">
        <v>100</v>
      </c>
      <c r="CJ5" s="24" t="s">
        <v>143</v>
      </c>
      <c r="CK5" s="24" t="s">
        <v>144</v>
      </c>
      <c r="CL5" s="24" t="s">
        <v>96</v>
      </c>
      <c r="CM5" s="24" t="s">
        <v>159</v>
      </c>
      <c r="CN5" s="24" t="s">
        <v>146</v>
      </c>
      <c r="CO5" s="30" t="s">
        <v>110</v>
      </c>
      <c r="CP5" s="30" t="s">
        <v>110</v>
      </c>
      <c r="CQ5" s="52" t="s">
        <v>110</v>
      </c>
      <c r="CR5" s="53" t="s">
        <v>110</v>
      </c>
      <c r="CS5" s="30" t="s">
        <v>110</v>
      </c>
      <c r="CT5" s="41">
        <v>1234015</v>
      </c>
      <c r="CU5" s="41">
        <v>123456005</v>
      </c>
    </row>
    <row r="6" spans="1:100" ht="14.5" customHeight="1" x14ac:dyDescent="0.35">
      <c r="A6" t="s">
        <v>176</v>
      </c>
      <c r="D6" s="14" t="s">
        <v>223</v>
      </c>
      <c r="E6" s="15" t="s">
        <v>96</v>
      </c>
      <c r="F6" s="16"/>
      <c r="G6" s="16"/>
      <c r="H6" s="17" t="s">
        <v>97</v>
      </c>
      <c r="I6" s="18" t="s">
        <v>98</v>
      </c>
      <c r="J6" s="18" t="s">
        <v>99</v>
      </c>
      <c r="K6" s="19">
        <f t="shared" ca="1" si="0"/>
        <v>45709</v>
      </c>
      <c r="L6" s="20" t="s">
        <v>96</v>
      </c>
      <c r="M6" s="21" t="s">
        <v>100</v>
      </c>
      <c r="N6" s="18" t="s">
        <v>148</v>
      </c>
      <c r="O6" s="22" t="s">
        <v>102</v>
      </c>
      <c r="P6" s="23" t="s">
        <v>177</v>
      </c>
      <c r="Q6" s="18">
        <v>123</v>
      </c>
      <c r="R6" s="18">
        <v>1046</v>
      </c>
      <c r="S6" s="24" t="s">
        <v>106</v>
      </c>
      <c r="T6" s="24" t="s">
        <v>106</v>
      </c>
      <c r="U6" s="18" t="s">
        <v>99</v>
      </c>
      <c r="V6" s="25" t="s">
        <v>107</v>
      </c>
      <c r="W6" s="26" t="s">
        <v>108</v>
      </c>
      <c r="X6" s="18" t="s">
        <v>99</v>
      </c>
      <c r="Y6" s="19">
        <f t="shared" ca="1" si="1"/>
        <v>45709</v>
      </c>
      <c r="Z6" s="18" t="s">
        <v>109</v>
      </c>
      <c r="AA6" s="27" t="s">
        <v>178</v>
      </c>
      <c r="AB6" s="54" t="s">
        <v>150</v>
      </c>
      <c r="AC6" s="51" t="s">
        <v>179</v>
      </c>
      <c r="AD6" s="30" t="s">
        <v>152</v>
      </c>
      <c r="AE6" s="20">
        <v>846</v>
      </c>
      <c r="AF6" s="20" t="s">
        <v>57</v>
      </c>
      <c r="AG6" s="39">
        <v>35</v>
      </c>
      <c r="AH6" s="29" t="s">
        <v>114</v>
      </c>
      <c r="AI6" s="20" t="s">
        <v>115</v>
      </c>
      <c r="AJ6" s="31" t="s">
        <v>110</v>
      </c>
      <c r="AK6" s="31">
        <f t="shared" ca="1" si="2"/>
        <v>45799</v>
      </c>
      <c r="AL6" s="18" t="s">
        <v>116</v>
      </c>
      <c r="AM6" s="29" t="s">
        <v>166</v>
      </c>
      <c r="AN6" s="51" t="s">
        <v>167</v>
      </c>
      <c r="AO6" s="18" t="s">
        <v>119</v>
      </c>
      <c r="AP6" s="32" t="s">
        <v>120</v>
      </c>
      <c r="AQ6" s="18" t="s">
        <v>121</v>
      </c>
      <c r="AR6" s="29" t="s">
        <v>121</v>
      </c>
      <c r="AS6" s="25" t="s">
        <v>110</v>
      </c>
      <c r="AT6" s="18" t="s">
        <v>122</v>
      </c>
      <c r="AU6" s="32" t="str">
        <f t="shared" si="3"/>
        <v>Permanent</v>
      </c>
      <c r="AV6" s="25" t="s">
        <v>123</v>
      </c>
      <c r="AW6" s="33">
        <f t="shared" ca="1" si="4"/>
        <v>45708</v>
      </c>
      <c r="AX6" s="33">
        <f t="shared" ca="1" si="5"/>
        <v>45708</v>
      </c>
      <c r="AY6" s="34" t="str">
        <f t="shared" si="6"/>
        <v>N/A</v>
      </c>
      <c r="AZ6" s="24" t="s">
        <v>96</v>
      </c>
      <c r="BA6" s="24" t="s">
        <v>155</v>
      </c>
      <c r="BB6" s="35" t="s">
        <v>180</v>
      </c>
      <c r="BC6" s="25">
        <v>36526</v>
      </c>
      <c r="BD6" s="25">
        <v>51136</v>
      </c>
      <c r="BE6" s="24" t="s">
        <v>96</v>
      </c>
      <c r="BF6" s="24" t="s">
        <v>128</v>
      </c>
      <c r="BG6" s="36">
        <v>5555000022</v>
      </c>
      <c r="BH6" s="25">
        <v>36526</v>
      </c>
      <c r="BI6" s="25">
        <v>51136</v>
      </c>
      <c r="BJ6" s="20" t="s">
        <v>129</v>
      </c>
      <c r="BK6" s="29" t="s">
        <v>157</v>
      </c>
      <c r="BL6" s="37">
        <v>32875</v>
      </c>
      <c r="BM6" s="38" t="s">
        <v>96</v>
      </c>
      <c r="BN6" s="24" t="s">
        <v>106</v>
      </c>
      <c r="BO6" s="39" t="s">
        <v>131</v>
      </c>
      <c r="BP6" s="40" t="s">
        <v>110</v>
      </c>
      <c r="BQ6" s="24" t="s">
        <v>132</v>
      </c>
      <c r="BR6" s="24" t="s">
        <v>96</v>
      </c>
      <c r="BS6" s="29" t="s">
        <v>120</v>
      </c>
      <c r="BT6" s="30">
        <v>10</v>
      </c>
      <c r="BU6" s="39" t="s">
        <v>133</v>
      </c>
      <c r="BV6" s="39" t="s">
        <v>134</v>
      </c>
      <c r="BW6" s="24" t="s">
        <v>135</v>
      </c>
      <c r="BX6" s="47" t="s">
        <v>158</v>
      </c>
      <c r="BY6" s="24" t="s">
        <v>137</v>
      </c>
      <c r="BZ6" s="24" t="s">
        <v>138</v>
      </c>
      <c r="CA6" s="24" t="s">
        <v>139</v>
      </c>
      <c r="CB6" s="24" t="s">
        <v>140</v>
      </c>
      <c r="CC6" s="47" t="s">
        <v>135</v>
      </c>
      <c r="CD6" s="18" t="s">
        <v>136</v>
      </c>
      <c r="CE6" s="24" t="s">
        <v>137</v>
      </c>
      <c r="CF6" s="24" t="s">
        <v>141</v>
      </c>
      <c r="CG6" s="24" t="s">
        <v>142</v>
      </c>
      <c r="CH6" s="24" t="s">
        <v>141</v>
      </c>
      <c r="CI6" s="41">
        <v>100</v>
      </c>
      <c r="CJ6" s="24" t="s">
        <v>143</v>
      </c>
      <c r="CK6" s="24" t="s">
        <v>144</v>
      </c>
      <c r="CL6" s="24" t="s">
        <v>96</v>
      </c>
      <c r="CM6" s="24" t="s">
        <v>159</v>
      </c>
      <c r="CN6" s="24" t="s">
        <v>146</v>
      </c>
      <c r="CO6" s="32" t="s">
        <v>169</v>
      </c>
      <c r="CP6" s="30" t="s">
        <v>170</v>
      </c>
      <c r="CQ6" s="42" t="s">
        <v>106</v>
      </c>
      <c r="CR6" s="48">
        <v>31048</v>
      </c>
      <c r="CS6" s="30" t="s">
        <v>162</v>
      </c>
      <c r="CT6" s="41">
        <v>1234015</v>
      </c>
      <c r="CU6" s="41">
        <v>123456005</v>
      </c>
    </row>
    <row r="7" spans="1:100" ht="14.5" customHeight="1" x14ac:dyDescent="0.35">
      <c r="A7" t="s">
        <v>181</v>
      </c>
      <c r="D7" s="14" t="s">
        <v>223</v>
      </c>
      <c r="E7" s="15" t="s">
        <v>96</v>
      </c>
      <c r="F7" s="16"/>
      <c r="G7" s="16"/>
      <c r="H7" s="17" t="s">
        <v>97</v>
      </c>
      <c r="I7" s="18" t="s">
        <v>98</v>
      </c>
      <c r="J7" s="18" t="s">
        <v>99</v>
      </c>
      <c r="K7" s="19">
        <f t="shared" ca="1" si="0"/>
        <v>45709</v>
      </c>
      <c r="L7" s="20" t="s">
        <v>96</v>
      </c>
      <c r="M7" s="21" t="s">
        <v>100</v>
      </c>
      <c r="N7" s="18" t="s">
        <v>148</v>
      </c>
      <c r="O7" s="22" t="s">
        <v>102</v>
      </c>
      <c r="P7" s="49" t="s">
        <v>182</v>
      </c>
      <c r="Q7" s="18">
        <v>123</v>
      </c>
      <c r="R7" s="18">
        <v>1046</v>
      </c>
      <c r="S7" s="24" t="s">
        <v>106</v>
      </c>
      <c r="T7" s="24" t="s">
        <v>106</v>
      </c>
      <c r="U7" s="18" t="s">
        <v>99</v>
      </c>
      <c r="V7" s="25" t="s">
        <v>107</v>
      </c>
      <c r="W7" s="26" t="s">
        <v>108</v>
      </c>
      <c r="X7" s="18" t="s">
        <v>99</v>
      </c>
      <c r="Y7" s="19">
        <f t="shared" ca="1" si="1"/>
        <v>45709</v>
      </c>
      <c r="Z7" s="18" t="s">
        <v>109</v>
      </c>
      <c r="AA7" s="27" t="s">
        <v>183</v>
      </c>
      <c r="AB7" s="44" t="s">
        <v>173</v>
      </c>
      <c r="AC7" s="51" t="s">
        <v>184</v>
      </c>
      <c r="AD7" s="30" t="s">
        <v>113</v>
      </c>
      <c r="AE7" s="20">
        <v>846</v>
      </c>
      <c r="AF7" s="20" t="s">
        <v>57</v>
      </c>
      <c r="AG7" s="39">
        <v>40</v>
      </c>
      <c r="AH7" s="29" t="s">
        <v>153</v>
      </c>
      <c r="AI7" s="20" t="s">
        <v>115</v>
      </c>
      <c r="AJ7" s="31">
        <f ca="1">TODAY()+365</f>
        <v>46105</v>
      </c>
      <c r="AK7" s="31">
        <f t="shared" ca="1" si="2"/>
        <v>45799</v>
      </c>
      <c r="AL7" s="18" t="s">
        <v>116</v>
      </c>
      <c r="AM7" s="29" t="s">
        <v>166</v>
      </c>
      <c r="AN7" s="51" t="s">
        <v>167</v>
      </c>
      <c r="AO7" s="18" t="s">
        <v>119</v>
      </c>
      <c r="AP7" s="32" t="s">
        <v>120</v>
      </c>
      <c r="AQ7" s="18" t="s">
        <v>121</v>
      </c>
      <c r="AR7" s="29" t="s">
        <v>121</v>
      </c>
      <c r="AS7" s="25" t="s">
        <v>110</v>
      </c>
      <c r="AT7" s="18" t="s">
        <v>122</v>
      </c>
      <c r="AU7" s="32" t="str">
        <f t="shared" si="3"/>
        <v>Fixed Term</v>
      </c>
      <c r="AV7" s="25" t="s">
        <v>123</v>
      </c>
      <c r="AW7" s="33">
        <f t="shared" ca="1" si="4"/>
        <v>45708</v>
      </c>
      <c r="AX7" s="33">
        <f t="shared" ca="1" si="5"/>
        <v>45708</v>
      </c>
      <c r="AY7" s="34">
        <f t="shared" ca="1" si="6"/>
        <v>46105</v>
      </c>
      <c r="AZ7" s="24" t="s">
        <v>96</v>
      </c>
      <c r="BA7" s="24" t="s">
        <v>155</v>
      </c>
      <c r="BB7" s="35" t="s">
        <v>185</v>
      </c>
      <c r="BC7" s="25">
        <v>36526</v>
      </c>
      <c r="BD7" s="25">
        <v>51136</v>
      </c>
      <c r="BE7" s="24" t="s">
        <v>96</v>
      </c>
      <c r="BF7" s="24" t="s">
        <v>128</v>
      </c>
      <c r="BG7" s="36">
        <v>5555000023</v>
      </c>
      <c r="BH7" s="25">
        <v>36526</v>
      </c>
      <c r="BI7" s="25">
        <v>51136</v>
      </c>
      <c r="BJ7" s="20" t="s">
        <v>129</v>
      </c>
      <c r="BK7" s="29" t="s">
        <v>130</v>
      </c>
      <c r="BL7" s="37">
        <v>32875</v>
      </c>
      <c r="BM7" s="38" t="s">
        <v>96</v>
      </c>
      <c r="BN7" s="24" t="s">
        <v>106</v>
      </c>
      <c r="BO7" s="39" t="s">
        <v>131</v>
      </c>
      <c r="BP7" s="40" t="s">
        <v>110</v>
      </c>
      <c r="BQ7" s="24" t="s">
        <v>132</v>
      </c>
      <c r="BR7" s="24" t="s">
        <v>96</v>
      </c>
      <c r="BS7" s="29" t="s">
        <v>121</v>
      </c>
      <c r="BT7" s="30" t="s">
        <v>110</v>
      </c>
      <c r="BU7" s="39" t="s">
        <v>133</v>
      </c>
      <c r="BV7" s="39" t="s">
        <v>134</v>
      </c>
      <c r="BW7" s="24" t="s">
        <v>135</v>
      </c>
      <c r="BX7" s="47" t="s">
        <v>158</v>
      </c>
      <c r="BY7" s="24" t="s">
        <v>137</v>
      </c>
      <c r="BZ7" s="24" t="s">
        <v>138</v>
      </c>
      <c r="CA7" s="24" t="s">
        <v>139</v>
      </c>
      <c r="CB7" s="24" t="s">
        <v>140</v>
      </c>
      <c r="CC7" s="47" t="s">
        <v>135</v>
      </c>
      <c r="CD7" s="18" t="s">
        <v>136</v>
      </c>
      <c r="CE7" s="24" t="s">
        <v>137</v>
      </c>
      <c r="CF7" s="24" t="s">
        <v>141</v>
      </c>
      <c r="CG7" s="24" t="s">
        <v>142</v>
      </c>
      <c r="CH7" s="24" t="s">
        <v>141</v>
      </c>
      <c r="CI7" s="41">
        <v>100</v>
      </c>
      <c r="CJ7" s="24" t="s">
        <v>143</v>
      </c>
      <c r="CK7" s="24" t="s">
        <v>144</v>
      </c>
      <c r="CL7" s="24" t="s">
        <v>96</v>
      </c>
      <c r="CM7" s="24" t="s">
        <v>159</v>
      </c>
      <c r="CN7" s="24" t="s">
        <v>146</v>
      </c>
      <c r="CO7" s="30" t="s">
        <v>110</v>
      </c>
      <c r="CP7" s="30" t="s">
        <v>110</v>
      </c>
      <c r="CQ7" s="52" t="s">
        <v>110</v>
      </c>
      <c r="CR7" s="53" t="s">
        <v>110</v>
      </c>
      <c r="CS7" s="30" t="s">
        <v>110</v>
      </c>
      <c r="CT7" s="41">
        <v>1234015</v>
      </c>
      <c r="CU7" s="41">
        <v>123456005</v>
      </c>
    </row>
    <row r="8" spans="1:100" ht="14.5" customHeight="1" x14ac:dyDescent="0.35">
      <c r="A8" t="s">
        <v>186</v>
      </c>
      <c r="D8" s="14" t="s">
        <v>223</v>
      </c>
      <c r="E8" s="15" t="s">
        <v>96</v>
      </c>
      <c r="F8" s="16"/>
      <c r="G8" s="16"/>
      <c r="H8" s="17" t="s">
        <v>97</v>
      </c>
      <c r="I8" s="18" t="s">
        <v>98</v>
      </c>
      <c r="J8" s="18" t="s">
        <v>99</v>
      </c>
      <c r="K8" s="19">
        <f t="shared" ca="1" si="0"/>
        <v>45709</v>
      </c>
      <c r="L8" s="20" t="s">
        <v>96</v>
      </c>
      <c r="M8" s="21" t="s">
        <v>100</v>
      </c>
      <c r="N8" s="18" t="s">
        <v>148</v>
      </c>
      <c r="O8" s="22" t="s">
        <v>102</v>
      </c>
      <c r="P8" s="49" t="s">
        <v>148</v>
      </c>
      <c r="Q8" s="18">
        <v>123</v>
      </c>
      <c r="R8" s="18">
        <v>1046</v>
      </c>
      <c r="S8" s="24" t="s">
        <v>106</v>
      </c>
      <c r="T8" s="24" t="s">
        <v>106</v>
      </c>
      <c r="U8" s="18" t="s">
        <v>99</v>
      </c>
      <c r="V8" s="25" t="s">
        <v>107</v>
      </c>
      <c r="W8" s="26" t="s">
        <v>108</v>
      </c>
      <c r="X8" s="18" t="s">
        <v>99</v>
      </c>
      <c r="Y8" s="19">
        <f t="shared" ca="1" si="1"/>
        <v>45709</v>
      </c>
      <c r="Z8" s="18" t="s">
        <v>109</v>
      </c>
      <c r="AA8" s="27" t="s">
        <v>187</v>
      </c>
      <c r="AB8" s="54" t="s">
        <v>150</v>
      </c>
      <c r="AC8" s="51" t="s">
        <v>188</v>
      </c>
      <c r="AD8" s="30" t="s">
        <v>152</v>
      </c>
      <c r="AE8" s="20">
        <v>846</v>
      </c>
      <c r="AF8" s="20" t="s">
        <v>57</v>
      </c>
      <c r="AG8" s="39">
        <v>30</v>
      </c>
      <c r="AH8" s="29" t="s">
        <v>114</v>
      </c>
      <c r="AI8" s="20" t="s">
        <v>115</v>
      </c>
      <c r="AJ8" s="31" t="s">
        <v>110</v>
      </c>
      <c r="AK8" s="31">
        <f t="shared" ca="1" si="2"/>
        <v>45799</v>
      </c>
      <c r="AL8" s="18" t="s">
        <v>116</v>
      </c>
      <c r="AM8" s="29" t="s">
        <v>166</v>
      </c>
      <c r="AN8" s="51" t="s">
        <v>167</v>
      </c>
      <c r="AO8" s="18" t="s">
        <v>119</v>
      </c>
      <c r="AP8" s="32" t="s">
        <v>120</v>
      </c>
      <c r="AQ8" s="18" t="s">
        <v>121</v>
      </c>
      <c r="AR8" s="29" t="s">
        <v>120</v>
      </c>
      <c r="AS8" s="25" t="s">
        <v>110</v>
      </c>
      <c r="AT8" s="18" t="s">
        <v>122</v>
      </c>
      <c r="AU8" s="32" t="str">
        <f t="shared" si="3"/>
        <v>Permanent</v>
      </c>
      <c r="AV8" s="25" t="s">
        <v>123</v>
      </c>
      <c r="AW8" s="33">
        <f t="shared" ca="1" si="4"/>
        <v>45708</v>
      </c>
      <c r="AX8" s="33">
        <f t="shared" ca="1" si="5"/>
        <v>45708</v>
      </c>
      <c r="AY8" s="34" t="s">
        <v>110</v>
      </c>
      <c r="AZ8" s="24" t="s">
        <v>96</v>
      </c>
      <c r="BA8" s="24" t="s">
        <v>155</v>
      </c>
      <c r="BB8" s="35" t="s">
        <v>189</v>
      </c>
      <c r="BC8" s="25">
        <v>36526</v>
      </c>
      <c r="BD8" s="25">
        <v>51136</v>
      </c>
      <c r="BE8" s="24" t="s">
        <v>96</v>
      </c>
      <c r="BF8" s="24" t="s">
        <v>128</v>
      </c>
      <c r="BG8" s="36">
        <v>5555000024</v>
      </c>
      <c r="BH8" s="25">
        <v>36526</v>
      </c>
      <c r="BI8" s="25">
        <v>51136</v>
      </c>
      <c r="BJ8" s="20" t="s">
        <v>129</v>
      </c>
      <c r="BK8" s="29" t="s">
        <v>157</v>
      </c>
      <c r="BL8" s="37">
        <v>32875</v>
      </c>
      <c r="BM8" s="38" t="s">
        <v>96</v>
      </c>
      <c r="BN8" s="24" t="s">
        <v>106</v>
      </c>
      <c r="BO8" s="39" t="s">
        <v>131</v>
      </c>
      <c r="BP8" s="40" t="s">
        <v>110</v>
      </c>
      <c r="BQ8" s="24" t="s">
        <v>132</v>
      </c>
      <c r="BR8" s="24" t="s">
        <v>96</v>
      </c>
      <c r="BS8" s="29" t="s">
        <v>121</v>
      </c>
      <c r="BT8" s="30" t="s">
        <v>110</v>
      </c>
      <c r="BU8" s="39" t="s">
        <v>133</v>
      </c>
      <c r="BV8" s="39" t="s">
        <v>134</v>
      </c>
      <c r="BW8" s="24" t="s">
        <v>135</v>
      </c>
      <c r="BX8" s="47" t="s">
        <v>158</v>
      </c>
      <c r="BY8" s="24" t="s">
        <v>137</v>
      </c>
      <c r="BZ8" s="24" t="s">
        <v>138</v>
      </c>
      <c r="CA8" s="24" t="s">
        <v>139</v>
      </c>
      <c r="CB8" s="24" t="s">
        <v>140</v>
      </c>
      <c r="CC8" s="47" t="s">
        <v>135</v>
      </c>
      <c r="CD8" s="18" t="s">
        <v>136</v>
      </c>
      <c r="CE8" s="24" t="s">
        <v>137</v>
      </c>
      <c r="CF8" s="24" t="s">
        <v>141</v>
      </c>
      <c r="CG8" s="24" t="s">
        <v>142</v>
      </c>
      <c r="CH8" s="24" t="s">
        <v>141</v>
      </c>
      <c r="CI8" s="41">
        <v>100</v>
      </c>
      <c r="CJ8" s="24" t="s">
        <v>143</v>
      </c>
      <c r="CK8" s="24" t="s">
        <v>144</v>
      </c>
      <c r="CL8" s="24" t="s">
        <v>96</v>
      </c>
      <c r="CM8" s="24" t="s">
        <v>159</v>
      </c>
      <c r="CN8" s="24" t="s">
        <v>146</v>
      </c>
      <c r="CO8" s="30" t="s">
        <v>160</v>
      </c>
      <c r="CP8" s="30" t="s">
        <v>161</v>
      </c>
      <c r="CQ8" s="42" t="s">
        <v>106</v>
      </c>
      <c r="CR8" s="48">
        <f ca="1">TODAY()-1500</f>
        <v>44240</v>
      </c>
      <c r="CS8" s="30" t="s">
        <v>162</v>
      </c>
      <c r="CT8" s="41">
        <v>1234015</v>
      </c>
      <c r="CU8" s="41">
        <v>123456005</v>
      </c>
    </row>
    <row r="9" spans="1:100" ht="14.5" customHeight="1" x14ac:dyDescent="0.35">
      <c r="A9" t="s">
        <v>190</v>
      </c>
      <c r="D9" s="14" t="s">
        <v>223</v>
      </c>
      <c r="E9" s="15" t="s">
        <v>96</v>
      </c>
      <c r="F9" s="16"/>
      <c r="G9" s="16"/>
      <c r="H9" s="17" t="s">
        <v>97</v>
      </c>
      <c r="I9" s="18" t="s">
        <v>98</v>
      </c>
      <c r="J9" s="18" t="s">
        <v>99</v>
      </c>
      <c r="K9" s="19">
        <f t="shared" ca="1" si="0"/>
        <v>45709</v>
      </c>
      <c r="L9" s="20" t="s">
        <v>96</v>
      </c>
      <c r="M9" s="21" t="s">
        <v>100</v>
      </c>
      <c r="N9" s="18" t="s">
        <v>148</v>
      </c>
      <c r="O9" s="22" t="s">
        <v>102</v>
      </c>
      <c r="P9" s="49" t="s">
        <v>191</v>
      </c>
      <c r="Q9" s="18">
        <v>123</v>
      </c>
      <c r="R9" s="18">
        <v>1046</v>
      </c>
      <c r="S9" s="24" t="s">
        <v>106</v>
      </c>
      <c r="T9" s="24" t="s">
        <v>106</v>
      </c>
      <c r="U9" s="18" t="s">
        <v>99</v>
      </c>
      <c r="V9" s="25" t="s">
        <v>107</v>
      </c>
      <c r="W9" s="26" t="s">
        <v>108</v>
      </c>
      <c r="X9" s="18" t="s">
        <v>99</v>
      </c>
      <c r="Y9" s="19">
        <f t="shared" ca="1" si="1"/>
        <v>45709</v>
      </c>
      <c r="Z9" s="18" t="s">
        <v>109</v>
      </c>
      <c r="AA9" s="27" t="s">
        <v>192</v>
      </c>
      <c r="AB9" s="44" t="s">
        <v>173</v>
      </c>
      <c r="AC9" s="51" t="s">
        <v>193</v>
      </c>
      <c r="AD9" s="30" t="s">
        <v>113</v>
      </c>
      <c r="AE9" s="20">
        <v>846</v>
      </c>
      <c r="AF9" s="20" t="s">
        <v>57</v>
      </c>
      <c r="AG9" s="39">
        <v>40</v>
      </c>
      <c r="AH9" s="29" t="s">
        <v>153</v>
      </c>
      <c r="AI9" s="20" t="s">
        <v>115</v>
      </c>
      <c r="AJ9" s="31">
        <f ca="1">TODAY()+365</f>
        <v>46105</v>
      </c>
      <c r="AK9" s="31">
        <f t="shared" ca="1" si="2"/>
        <v>45799</v>
      </c>
      <c r="AL9" s="18" t="s">
        <v>116</v>
      </c>
      <c r="AM9" s="29" t="s">
        <v>166</v>
      </c>
      <c r="AN9" s="51" t="s">
        <v>167</v>
      </c>
      <c r="AO9" s="18" t="s">
        <v>119</v>
      </c>
      <c r="AP9" s="32" t="s">
        <v>120</v>
      </c>
      <c r="AQ9" s="18" t="s">
        <v>121</v>
      </c>
      <c r="AR9" s="29" t="s">
        <v>121</v>
      </c>
      <c r="AS9" s="25" t="s">
        <v>110</v>
      </c>
      <c r="AT9" s="18" t="s">
        <v>122</v>
      </c>
      <c r="AU9" s="32" t="str">
        <f t="shared" si="3"/>
        <v>Fixed Term</v>
      </c>
      <c r="AV9" s="25" t="s">
        <v>123</v>
      </c>
      <c r="AW9" s="33">
        <f t="shared" ca="1" si="4"/>
        <v>45708</v>
      </c>
      <c r="AX9" s="33">
        <f t="shared" ca="1" si="5"/>
        <v>45708</v>
      </c>
      <c r="AY9" s="34">
        <f ca="1">AJ9</f>
        <v>46105</v>
      </c>
      <c r="AZ9" s="24" t="s">
        <v>96</v>
      </c>
      <c r="BA9" s="24" t="s">
        <v>155</v>
      </c>
      <c r="BB9" s="35" t="s">
        <v>194</v>
      </c>
      <c r="BC9" s="25">
        <v>36526</v>
      </c>
      <c r="BD9" s="25">
        <v>51136</v>
      </c>
      <c r="BE9" s="24" t="s">
        <v>96</v>
      </c>
      <c r="BF9" s="24" t="s">
        <v>128</v>
      </c>
      <c r="BG9" s="36">
        <v>5555000025</v>
      </c>
      <c r="BH9" s="25">
        <v>36526</v>
      </c>
      <c r="BI9" s="25">
        <v>51136</v>
      </c>
      <c r="BJ9" s="20" t="s">
        <v>129</v>
      </c>
      <c r="BK9" s="29" t="s">
        <v>130</v>
      </c>
      <c r="BL9" s="37">
        <v>32875</v>
      </c>
      <c r="BM9" s="38" t="s">
        <v>96</v>
      </c>
      <c r="BN9" s="24" t="s">
        <v>106</v>
      </c>
      <c r="BO9" s="39" t="s">
        <v>131</v>
      </c>
      <c r="BP9" s="40" t="s">
        <v>110</v>
      </c>
      <c r="BQ9" s="24" t="s">
        <v>132</v>
      </c>
      <c r="BR9" s="24" t="s">
        <v>96</v>
      </c>
      <c r="BS9" s="29" t="s">
        <v>121</v>
      </c>
      <c r="BT9" s="30" t="s">
        <v>110</v>
      </c>
      <c r="BU9" s="39" t="s">
        <v>133</v>
      </c>
      <c r="BV9" s="39" t="s">
        <v>134</v>
      </c>
      <c r="BW9" s="24" t="s">
        <v>135</v>
      </c>
      <c r="BX9" s="47" t="s">
        <v>158</v>
      </c>
      <c r="BY9" s="24" t="s">
        <v>137</v>
      </c>
      <c r="BZ9" s="24" t="s">
        <v>138</v>
      </c>
      <c r="CA9" s="24" t="s">
        <v>139</v>
      </c>
      <c r="CB9" s="24" t="s">
        <v>140</v>
      </c>
      <c r="CC9" s="47" t="s">
        <v>135</v>
      </c>
      <c r="CD9" s="18" t="s">
        <v>136</v>
      </c>
      <c r="CE9" s="24" t="s">
        <v>137</v>
      </c>
      <c r="CF9" s="24" t="s">
        <v>141</v>
      </c>
      <c r="CG9" s="24" t="s">
        <v>142</v>
      </c>
      <c r="CH9" s="24" t="s">
        <v>141</v>
      </c>
      <c r="CI9" s="41">
        <v>100</v>
      </c>
      <c r="CJ9" s="24" t="s">
        <v>143</v>
      </c>
      <c r="CK9" s="24" t="s">
        <v>144</v>
      </c>
      <c r="CL9" s="24" t="s">
        <v>96</v>
      </c>
      <c r="CM9" s="24" t="s">
        <v>159</v>
      </c>
      <c r="CN9" s="24" t="s">
        <v>146</v>
      </c>
      <c r="CO9" s="30" t="s">
        <v>110</v>
      </c>
      <c r="CP9" s="30" t="s">
        <v>110</v>
      </c>
      <c r="CQ9" s="52" t="s">
        <v>110</v>
      </c>
      <c r="CR9" s="53" t="s">
        <v>110</v>
      </c>
      <c r="CS9" s="30" t="s">
        <v>110</v>
      </c>
      <c r="CT9" s="41">
        <v>1234015</v>
      </c>
      <c r="CU9" s="41">
        <v>123456005</v>
      </c>
    </row>
    <row r="10" spans="1:100" ht="14.5" customHeight="1" x14ac:dyDescent="0.35">
      <c r="A10" t="s">
        <v>195</v>
      </c>
      <c r="D10" s="14" t="s">
        <v>95</v>
      </c>
      <c r="E10" s="15" t="s">
        <v>96</v>
      </c>
      <c r="F10" s="16"/>
      <c r="G10" s="16"/>
      <c r="H10" s="17" t="s">
        <v>97</v>
      </c>
      <c r="I10" s="18" t="s">
        <v>98</v>
      </c>
      <c r="J10" s="18" t="s">
        <v>99</v>
      </c>
      <c r="K10" s="19">
        <f t="shared" ca="1" si="0"/>
        <v>45709</v>
      </c>
      <c r="L10" s="20" t="s">
        <v>96</v>
      </c>
      <c r="M10" s="21" t="s">
        <v>100</v>
      </c>
      <c r="N10" s="18" t="s">
        <v>148</v>
      </c>
      <c r="O10" s="22" t="s">
        <v>102</v>
      </c>
      <c r="P10" s="23" t="s">
        <v>196</v>
      </c>
      <c r="Q10" s="18">
        <v>123</v>
      </c>
      <c r="R10" s="18">
        <v>1046</v>
      </c>
      <c r="S10" s="24" t="s">
        <v>106</v>
      </c>
      <c r="T10" s="24" t="s">
        <v>106</v>
      </c>
      <c r="U10" s="18" t="s">
        <v>99</v>
      </c>
      <c r="V10" s="25" t="s">
        <v>107</v>
      </c>
      <c r="W10" s="26" t="s">
        <v>108</v>
      </c>
      <c r="X10" s="18" t="s">
        <v>99</v>
      </c>
      <c r="Y10" s="19">
        <f t="shared" ca="1" si="1"/>
        <v>45709</v>
      </c>
      <c r="Z10" s="18" t="s">
        <v>109</v>
      </c>
      <c r="AA10" s="27" t="s">
        <v>110</v>
      </c>
      <c r="AB10" s="54" t="s">
        <v>150</v>
      </c>
      <c r="AC10" s="51" t="s">
        <v>197</v>
      </c>
      <c r="AD10" s="30" t="s">
        <v>152</v>
      </c>
      <c r="AE10" s="20">
        <v>846</v>
      </c>
      <c r="AF10" s="20" t="s">
        <v>57</v>
      </c>
      <c r="AG10" s="39">
        <v>20</v>
      </c>
      <c r="AH10" s="29" t="s">
        <v>114</v>
      </c>
      <c r="AI10" s="20" t="s">
        <v>115</v>
      </c>
      <c r="AJ10" s="31" t="s">
        <v>110</v>
      </c>
      <c r="AK10" s="31">
        <f t="shared" ca="1" si="2"/>
        <v>45799</v>
      </c>
      <c r="AL10" s="18" t="s">
        <v>116</v>
      </c>
      <c r="AM10" s="30" t="s">
        <v>117</v>
      </c>
      <c r="AN10" s="51" t="s">
        <v>198</v>
      </c>
      <c r="AO10" s="18" t="s">
        <v>119</v>
      </c>
      <c r="AP10" s="32" t="s">
        <v>120</v>
      </c>
      <c r="AQ10" s="18" t="s">
        <v>121</v>
      </c>
      <c r="AR10" s="29" t="s">
        <v>121</v>
      </c>
      <c r="AS10" s="25" t="s">
        <v>110</v>
      </c>
      <c r="AT10" s="18" t="s">
        <v>122</v>
      </c>
      <c r="AU10" s="32" t="str">
        <f t="shared" si="3"/>
        <v>Permanent</v>
      </c>
      <c r="AV10" s="25" t="s">
        <v>123</v>
      </c>
      <c r="AW10" s="33">
        <f t="shared" ca="1" si="4"/>
        <v>45708</v>
      </c>
      <c r="AX10" s="33">
        <f t="shared" ca="1" si="5"/>
        <v>45708</v>
      </c>
      <c r="AY10" s="34" t="s">
        <v>110</v>
      </c>
      <c r="AZ10" s="24" t="s">
        <v>96</v>
      </c>
      <c r="BA10" s="24" t="s">
        <v>155</v>
      </c>
      <c r="BB10" s="35" t="s">
        <v>199</v>
      </c>
      <c r="BC10" s="25">
        <v>36526</v>
      </c>
      <c r="BD10" s="25">
        <v>51136</v>
      </c>
      <c r="BE10" s="24" t="s">
        <v>96</v>
      </c>
      <c r="BF10" s="24" t="s">
        <v>128</v>
      </c>
      <c r="BG10" s="36">
        <v>5555000026</v>
      </c>
      <c r="BH10" s="25">
        <v>36526</v>
      </c>
      <c r="BI10" s="25">
        <v>51136</v>
      </c>
      <c r="BJ10" s="20" t="s">
        <v>129</v>
      </c>
      <c r="BK10" s="29" t="s">
        <v>157</v>
      </c>
      <c r="BL10" s="37">
        <v>32875</v>
      </c>
      <c r="BM10" s="38" t="s">
        <v>96</v>
      </c>
      <c r="BN10" s="24" t="s">
        <v>106</v>
      </c>
      <c r="BO10" s="39" t="s">
        <v>131</v>
      </c>
      <c r="BP10" s="40" t="s">
        <v>110</v>
      </c>
      <c r="BQ10" s="24" t="s">
        <v>132</v>
      </c>
      <c r="BR10" s="24" t="s">
        <v>96</v>
      </c>
      <c r="BS10" s="29" t="s">
        <v>121</v>
      </c>
      <c r="BT10" s="30" t="s">
        <v>110</v>
      </c>
      <c r="BU10" s="39" t="s">
        <v>133</v>
      </c>
      <c r="BV10" s="39" t="s">
        <v>134</v>
      </c>
      <c r="BW10" s="24" t="s">
        <v>135</v>
      </c>
      <c r="BX10" s="47" t="s">
        <v>158</v>
      </c>
      <c r="BY10" s="24" t="s">
        <v>137</v>
      </c>
      <c r="BZ10" s="24" t="s">
        <v>138</v>
      </c>
      <c r="CA10" s="24" t="s">
        <v>139</v>
      </c>
      <c r="CB10" s="24" t="s">
        <v>140</v>
      </c>
      <c r="CC10" s="47" t="s">
        <v>135</v>
      </c>
      <c r="CD10" s="18" t="s">
        <v>136</v>
      </c>
      <c r="CE10" s="24" t="s">
        <v>137</v>
      </c>
      <c r="CF10" s="24" t="s">
        <v>141</v>
      </c>
      <c r="CG10" s="24" t="s">
        <v>142</v>
      </c>
      <c r="CH10" s="24" t="s">
        <v>141</v>
      </c>
      <c r="CI10" s="41">
        <v>100</v>
      </c>
      <c r="CJ10" s="24" t="s">
        <v>143</v>
      </c>
      <c r="CK10" s="24" t="s">
        <v>144</v>
      </c>
      <c r="CL10" s="24" t="s">
        <v>96</v>
      </c>
      <c r="CM10" s="24" t="s">
        <v>159</v>
      </c>
      <c r="CN10" s="24" t="s">
        <v>146</v>
      </c>
      <c r="CO10" s="30" t="s">
        <v>110</v>
      </c>
      <c r="CP10" s="30" t="s">
        <v>110</v>
      </c>
      <c r="CQ10" s="52" t="s">
        <v>110</v>
      </c>
      <c r="CR10" s="53" t="s">
        <v>110</v>
      </c>
      <c r="CS10" s="30" t="s">
        <v>110</v>
      </c>
      <c r="CT10" s="41">
        <v>1234015</v>
      </c>
      <c r="CU10" s="41">
        <v>123456005</v>
      </c>
    </row>
    <row r="11" spans="1:100" ht="14.5" customHeight="1" x14ac:dyDescent="0.35">
      <c r="A11" t="s">
        <v>200</v>
      </c>
      <c r="D11" s="14" t="s">
        <v>95</v>
      </c>
      <c r="E11" s="15" t="s">
        <v>96</v>
      </c>
      <c r="F11" s="16"/>
      <c r="G11" s="16"/>
      <c r="H11" s="17" t="s">
        <v>97</v>
      </c>
      <c r="I11" s="18" t="s">
        <v>98</v>
      </c>
      <c r="J11" s="18" t="s">
        <v>99</v>
      </c>
      <c r="K11" s="19">
        <f t="shared" ca="1" si="0"/>
        <v>45709</v>
      </c>
      <c r="L11" s="20" t="s">
        <v>96</v>
      </c>
      <c r="M11" s="21" t="s">
        <v>100</v>
      </c>
      <c r="N11" s="18" t="s">
        <v>148</v>
      </c>
      <c r="O11" s="22" t="s">
        <v>102</v>
      </c>
      <c r="P11" s="49" t="s">
        <v>201</v>
      </c>
      <c r="Q11" s="18">
        <v>123</v>
      </c>
      <c r="R11" s="18">
        <v>1046</v>
      </c>
      <c r="S11" s="24" t="s">
        <v>106</v>
      </c>
      <c r="T11" s="24" t="s">
        <v>106</v>
      </c>
      <c r="U11" s="18" t="s">
        <v>99</v>
      </c>
      <c r="V11" s="25" t="s">
        <v>107</v>
      </c>
      <c r="W11" s="26" t="s">
        <v>108</v>
      </c>
      <c r="X11" s="18" t="s">
        <v>99</v>
      </c>
      <c r="Y11" s="19">
        <f t="shared" ca="1" si="1"/>
        <v>45709</v>
      </c>
      <c r="Z11" s="18" t="s">
        <v>109</v>
      </c>
      <c r="AA11" s="27" t="s">
        <v>110</v>
      </c>
      <c r="AB11" s="44" t="s">
        <v>173</v>
      </c>
      <c r="AC11" s="51" t="s">
        <v>202</v>
      </c>
      <c r="AD11" s="30" t="s">
        <v>113</v>
      </c>
      <c r="AE11" s="20">
        <v>846</v>
      </c>
      <c r="AF11" s="20" t="s">
        <v>57</v>
      </c>
      <c r="AG11" s="39">
        <v>40</v>
      </c>
      <c r="AH11" s="29" t="s">
        <v>153</v>
      </c>
      <c r="AI11" s="20" t="s">
        <v>115</v>
      </c>
      <c r="AJ11" s="31">
        <f ca="1">TODAY()+365</f>
        <v>46105</v>
      </c>
      <c r="AK11" s="31">
        <f t="shared" ca="1" si="2"/>
        <v>45799</v>
      </c>
      <c r="AL11" s="18" t="s">
        <v>116</v>
      </c>
      <c r="AM11" s="30" t="s">
        <v>117</v>
      </c>
      <c r="AN11" s="51" t="s">
        <v>203</v>
      </c>
      <c r="AO11" s="18" t="s">
        <v>119</v>
      </c>
      <c r="AP11" s="18" t="s">
        <v>121</v>
      </c>
      <c r="AQ11" s="18" t="s">
        <v>121</v>
      </c>
      <c r="AR11" s="29" t="s">
        <v>120</v>
      </c>
      <c r="AS11" s="25" t="s">
        <v>110</v>
      </c>
      <c r="AT11" s="18" t="s">
        <v>122</v>
      </c>
      <c r="AU11" s="32" t="str">
        <f t="shared" si="3"/>
        <v>Fixed Term</v>
      </c>
      <c r="AV11" s="25" t="s">
        <v>123</v>
      </c>
      <c r="AW11" s="33">
        <f t="shared" ca="1" si="4"/>
        <v>45708</v>
      </c>
      <c r="AX11" s="33">
        <f t="shared" ca="1" si="5"/>
        <v>45708</v>
      </c>
      <c r="AY11" s="34">
        <f ca="1">AJ11</f>
        <v>46105</v>
      </c>
      <c r="AZ11" s="24" t="s">
        <v>96</v>
      </c>
      <c r="BA11" s="24" t="s">
        <v>155</v>
      </c>
      <c r="BB11" s="35" t="s">
        <v>204</v>
      </c>
      <c r="BC11" s="25">
        <v>36526</v>
      </c>
      <c r="BD11" s="25">
        <v>51136</v>
      </c>
      <c r="BE11" s="24" t="s">
        <v>96</v>
      </c>
      <c r="BF11" s="24" t="s">
        <v>128</v>
      </c>
      <c r="BG11" s="36">
        <v>5555000027</v>
      </c>
      <c r="BH11" s="25">
        <v>36526</v>
      </c>
      <c r="BI11" s="25">
        <v>51136</v>
      </c>
      <c r="BJ11" s="20" t="s">
        <v>129</v>
      </c>
      <c r="BK11" s="29" t="s">
        <v>130</v>
      </c>
      <c r="BL11" s="37">
        <v>32875</v>
      </c>
      <c r="BM11" s="38" t="s">
        <v>96</v>
      </c>
      <c r="BN11" s="24" t="s">
        <v>106</v>
      </c>
      <c r="BO11" s="39" t="s">
        <v>131</v>
      </c>
      <c r="BP11" s="40" t="s">
        <v>110</v>
      </c>
      <c r="BQ11" s="24" t="s">
        <v>132</v>
      </c>
      <c r="BR11" s="24" t="s">
        <v>96</v>
      </c>
      <c r="BS11" s="29" t="s">
        <v>121</v>
      </c>
      <c r="BT11" s="30" t="s">
        <v>110</v>
      </c>
      <c r="BU11" s="39" t="s">
        <v>133</v>
      </c>
      <c r="BV11" s="39" t="s">
        <v>134</v>
      </c>
      <c r="BW11" s="24" t="s">
        <v>135</v>
      </c>
      <c r="BX11" s="47" t="s">
        <v>158</v>
      </c>
      <c r="BY11" s="24" t="s">
        <v>137</v>
      </c>
      <c r="BZ11" s="24" t="s">
        <v>138</v>
      </c>
      <c r="CA11" s="24" t="s">
        <v>139</v>
      </c>
      <c r="CB11" s="24" t="s">
        <v>140</v>
      </c>
      <c r="CC11" s="47" t="s">
        <v>135</v>
      </c>
      <c r="CD11" s="18" t="s">
        <v>136</v>
      </c>
      <c r="CE11" s="24" t="s">
        <v>137</v>
      </c>
      <c r="CF11" s="24" t="s">
        <v>141</v>
      </c>
      <c r="CG11" s="24" t="s">
        <v>142</v>
      </c>
      <c r="CH11" s="24" t="s">
        <v>141</v>
      </c>
      <c r="CI11" s="41">
        <v>100</v>
      </c>
      <c r="CJ11" s="24" t="s">
        <v>143</v>
      </c>
      <c r="CK11" s="24" t="s">
        <v>144</v>
      </c>
      <c r="CL11" s="24" t="s">
        <v>96</v>
      </c>
      <c r="CM11" s="24" t="s">
        <v>159</v>
      </c>
      <c r="CN11" s="24" t="s">
        <v>146</v>
      </c>
      <c r="CO11" s="30" t="s">
        <v>160</v>
      </c>
      <c r="CP11" s="30" t="s">
        <v>161</v>
      </c>
      <c r="CQ11" s="42" t="s">
        <v>106</v>
      </c>
      <c r="CR11" s="48">
        <f ca="1">TODAY()-1500</f>
        <v>44240</v>
      </c>
      <c r="CS11" s="30" t="s">
        <v>162</v>
      </c>
      <c r="CT11" s="41">
        <v>1234015</v>
      </c>
      <c r="CU11" s="41">
        <v>123456005</v>
      </c>
    </row>
    <row r="12" spans="1:100" ht="14.5" customHeight="1" x14ac:dyDescent="0.35">
      <c r="A12" t="s">
        <v>205</v>
      </c>
      <c r="D12" s="14" t="s">
        <v>95</v>
      </c>
      <c r="E12" s="15" t="s">
        <v>96</v>
      </c>
      <c r="F12" s="16"/>
      <c r="G12" s="16"/>
      <c r="H12" s="17" t="s">
        <v>97</v>
      </c>
      <c r="I12" s="18" t="s">
        <v>98</v>
      </c>
      <c r="J12" s="18" t="s">
        <v>99</v>
      </c>
      <c r="K12" s="19">
        <f t="shared" ca="1" si="0"/>
        <v>45709</v>
      </c>
      <c r="L12" s="20" t="s">
        <v>96</v>
      </c>
      <c r="M12" s="21" t="s">
        <v>100</v>
      </c>
      <c r="N12" s="18" t="s">
        <v>148</v>
      </c>
      <c r="O12" s="22" t="s">
        <v>102</v>
      </c>
      <c r="P12" s="49" t="s">
        <v>206</v>
      </c>
      <c r="Q12" s="18">
        <v>123</v>
      </c>
      <c r="R12" s="18">
        <v>1046</v>
      </c>
      <c r="S12" s="24" t="s">
        <v>106</v>
      </c>
      <c r="T12" s="24" t="s">
        <v>106</v>
      </c>
      <c r="U12" s="18" t="s">
        <v>99</v>
      </c>
      <c r="V12" s="25" t="s">
        <v>107</v>
      </c>
      <c r="W12" s="26" t="s">
        <v>108</v>
      </c>
      <c r="X12" s="18" t="s">
        <v>99</v>
      </c>
      <c r="Y12" s="19">
        <f t="shared" ca="1" si="1"/>
        <v>45709</v>
      </c>
      <c r="Z12" s="18" t="s">
        <v>109</v>
      </c>
      <c r="AA12" s="27" t="s">
        <v>110</v>
      </c>
      <c r="AB12" s="54" t="s">
        <v>150</v>
      </c>
      <c r="AC12" s="51" t="s">
        <v>207</v>
      </c>
      <c r="AD12" s="30" t="s">
        <v>152</v>
      </c>
      <c r="AE12" s="20">
        <v>846</v>
      </c>
      <c r="AF12" s="20" t="s">
        <v>57</v>
      </c>
      <c r="AG12" s="39">
        <v>25</v>
      </c>
      <c r="AH12" s="29" t="s">
        <v>114</v>
      </c>
      <c r="AI12" s="20" t="s">
        <v>115</v>
      </c>
      <c r="AJ12" s="31" t="s">
        <v>110</v>
      </c>
      <c r="AK12" s="31">
        <f t="shared" ca="1" si="2"/>
        <v>45799</v>
      </c>
      <c r="AL12" s="18" t="s">
        <v>116</v>
      </c>
      <c r="AM12" s="30" t="s">
        <v>117</v>
      </c>
      <c r="AN12" s="51" t="s">
        <v>208</v>
      </c>
      <c r="AO12" s="18" t="s">
        <v>119</v>
      </c>
      <c r="AP12" s="32" t="s">
        <v>120</v>
      </c>
      <c r="AQ12" s="18" t="s">
        <v>121</v>
      </c>
      <c r="AR12" s="29" t="s">
        <v>121</v>
      </c>
      <c r="AS12" s="25" t="s">
        <v>110</v>
      </c>
      <c r="AT12" s="18" t="s">
        <v>122</v>
      </c>
      <c r="AU12" s="32" t="str">
        <f t="shared" si="3"/>
        <v>Permanent</v>
      </c>
      <c r="AV12" s="25" t="s">
        <v>123</v>
      </c>
      <c r="AW12" s="33">
        <f t="shared" ca="1" si="4"/>
        <v>45708</v>
      </c>
      <c r="AX12" s="33">
        <f t="shared" ca="1" si="5"/>
        <v>45708</v>
      </c>
      <c r="AY12" s="34" t="str">
        <f>AJ12</f>
        <v>N/A</v>
      </c>
      <c r="AZ12" s="24" t="s">
        <v>96</v>
      </c>
      <c r="BA12" s="24" t="s">
        <v>155</v>
      </c>
      <c r="BB12" s="35" t="s">
        <v>209</v>
      </c>
      <c r="BC12" s="25">
        <v>36526</v>
      </c>
      <c r="BD12" s="25">
        <v>51136</v>
      </c>
      <c r="BE12" s="24" t="s">
        <v>96</v>
      </c>
      <c r="BF12" s="24" t="s">
        <v>128</v>
      </c>
      <c r="BG12" s="36">
        <v>5555000028</v>
      </c>
      <c r="BH12" s="25">
        <v>36526</v>
      </c>
      <c r="BI12" s="25">
        <v>51136</v>
      </c>
      <c r="BJ12" s="20" t="s">
        <v>129</v>
      </c>
      <c r="BK12" s="29" t="s">
        <v>157</v>
      </c>
      <c r="BL12" s="37">
        <v>32875</v>
      </c>
      <c r="BM12" s="38" t="s">
        <v>96</v>
      </c>
      <c r="BN12" s="24" t="s">
        <v>106</v>
      </c>
      <c r="BO12" s="39" t="s">
        <v>131</v>
      </c>
      <c r="BP12" s="40" t="s">
        <v>110</v>
      </c>
      <c r="BQ12" s="24" t="s">
        <v>132</v>
      </c>
      <c r="BR12" s="24" t="s">
        <v>96</v>
      </c>
      <c r="BS12" s="29" t="s">
        <v>121</v>
      </c>
      <c r="BT12" s="30" t="s">
        <v>110</v>
      </c>
      <c r="BU12" s="39" t="s">
        <v>133</v>
      </c>
      <c r="BV12" s="39" t="s">
        <v>134</v>
      </c>
      <c r="BW12" s="24" t="s">
        <v>135</v>
      </c>
      <c r="BX12" s="47" t="s">
        <v>158</v>
      </c>
      <c r="BY12" s="24" t="s">
        <v>137</v>
      </c>
      <c r="BZ12" s="24" t="s">
        <v>138</v>
      </c>
      <c r="CA12" s="24" t="s">
        <v>139</v>
      </c>
      <c r="CB12" s="24" t="s">
        <v>140</v>
      </c>
      <c r="CC12" s="47" t="s">
        <v>135</v>
      </c>
      <c r="CD12" s="18" t="s">
        <v>136</v>
      </c>
      <c r="CE12" s="24" t="s">
        <v>137</v>
      </c>
      <c r="CF12" s="24" t="s">
        <v>141</v>
      </c>
      <c r="CG12" s="24" t="s">
        <v>142</v>
      </c>
      <c r="CH12" s="24" t="s">
        <v>141</v>
      </c>
      <c r="CI12" s="41">
        <v>100</v>
      </c>
      <c r="CJ12" s="24" t="s">
        <v>143</v>
      </c>
      <c r="CK12" s="24" t="s">
        <v>144</v>
      </c>
      <c r="CL12" s="24" t="s">
        <v>96</v>
      </c>
      <c r="CM12" s="24" t="s">
        <v>159</v>
      </c>
      <c r="CN12" s="24" t="s">
        <v>146</v>
      </c>
      <c r="CO12" s="30" t="s">
        <v>110</v>
      </c>
      <c r="CP12" s="30" t="s">
        <v>110</v>
      </c>
      <c r="CQ12" s="52" t="s">
        <v>110</v>
      </c>
      <c r="CR12" s="53" t="s">
        <v>110</v>
      </c>
      <c r="CS12" s="30" t="s">
        <v>110</v>
      </c>
      <c r="CT12" s="41">
        <v>1234015</v>
      </c>
      <c r="CU12" s="41">
        <v>123456005</v>
      </c>
    </row>
    <row r="13" spans="1:100" ht="14.5" customHeight="1" x14ac:dyDescent="0.35">
      <c r="A13" t="s">
        <v>210</v>
      </c>
      <c r="D13" s="14" t="s">
        <v>223</v>
      </c>
      <c r="E13" s="15" t="s">
        <v>96</v>
      </c>
      <c r="F13" s="16"/>
      <c r="G13" s="16"/>
      <c r="H13" s="17" t="s">
        <v>97</v>
      </c>
      <c r="I13" s="18" t="s">
        <v>98</v>
      </c>
      <c r="J13" s="18" t="s">
        <v>99</v>
      </c>
      <c r="K13" s="19">
        <f t="shared" ca="1" si="0"/>
        <v>45709</v>
      </c>
      <c r="L13" s="20" t="s">
        <v>96</v>
      </c>
      <c r="M13" s="21" t="s">
        <v>100</v>
      </c>
      <c r="N13" s="18" t="s">
        <v>148</v>
      </c>
      <c r="O13" s="22" t="s">
        <v>102</v>
      </c>
      <c r="P13" s="49" t="s">
        <v>103</v>
      </c>
      <c r="Q13" s="18">
        <v>123</v>
      </c>
      <c r="R13" s="18">
        <v>1046</v>
      </c>
      <c r="S13" s="24" t="s">
        <v>106</v>
      </c>
      <c r="T13" s="24" t="s">
        <v>106</v>
      </c>
      <c r="U13" s="18" t="s">
        <v>99</v>
      </c>
      <c r="V13" s="25" t="s">
        <v>107</v>
      </c>
      <c r="W13" s="26" t="s">
        <v>108</v>
      </c>
      <c r="X13" s="18" t="s">
        <v>99</v>
      </c>
      <c r="Y13" s="19">
        <f t="shared" ca="1" si="1"/>
        <v>45709</v>
      </c>
      <c r="Z13" s="18" t="s">
        <v>109</v>
      </c>
      <c r="AA13" s="27" t="s">
        <v>211</v>
      </c>
      <c r="AB13" s="44" t="s">
        <v>173</v>
      </c>
      <c r="AC13" s="51" t="s">
        <v>212</v>
      </c>
      <c r="AD13" s="30" t="s">
        <v>113</v>
      </c>
      <c r="AE13" s="20">
        <v>846</v>
      </c>
      <c r="AF13" s="20" t="s">
        <v>57</v>
      </c>
      <c r="AG13" s="39">
        <v>40</v>
      </c>
      <c r="AH13" s="29" t="s">
        <v>153</v>
      </c>
      <c r="AI13" s="20" t="s">
        <v>115</v>
      </c>
      <c r="AJ13" s="31">
        <f ca="1">TODAY()+365</f>
        <v>46105</v>
      </c>
      <c r="AK13" s="31">
        <f t="shared" ca="1" si="2"/>
        <v>45799</v>
      </c>
      <c r="AL13" s="18" t="s">
        <v>116</v>
      </c>
      <c r="AM13" s="29" t="s">
        <v>213</v>
      </c>
      <c r="AN13" s="51" t="s">
        <v>167</v>
      </c>
      <c r="AO13" s="18" t="s">
        <v>119</v>
      </c>
      <c r="AP13" s="18" t="s">
        <v>121</v>
      </c>
      <c r="AQ13" s="18" t="s">
        <v>121</v>
      </c>
      <c r="AR13" s="29" t="s">
        <v>121</v>
      </c>
      <c r="AS13" s="25" t="s">
        <v>110</v>
      </c>
      <c r="AT13" s="18" t="s">
        <v>122</v>
      </c>
      <c r="AU13" s="32" t="str">
        <f t="shared" si="3"/>
        <v>Fixed Term</v>
      </c>
      <c r="AV13" s="25" t="s">
        <v>123</v>
      </c>
      <c r="AW13" s="33">
        <f t="shared" ca="1" si="4"/>
        <v>45708</v>
      </c>
      <c r="AX13" s="33">
        <f t="shared" ca="1" si="5"/>
        <v>45708</v>
      </c>
      <c r="AY13" s="34">
        <f ca="1">AJ13</f>
        <v>46105</v>
      </c>
      <c r="AZ13" s="24" t="s">
        <v>96</v>
      </c>
      <c r="BA13" s="24" t="s">
        <v>155</v>
      </c>
      <c r="BB13" s="35" t="s">
        <v>214</v>
      </c>
      <c r="BC13" s="25">
        <v>36526</v>
      </c>
      <c r="BD13" s="25">
        <v>51136</v>
      </c>
      <c r="BE13" s="24" t="s">
        <v>96</v>
      </c>
      <c r="BF13" s="24" t="s">
        <v>128</v>
      </c>
      <c r="BG13" s="36">
        <v>5555000029</v>
      </c>
      <c r="BH13" s="25">
        <v>36526</v>
      </c>
      <c r="BI13" s="25">
        <v>51136</v>
      </c>
      <c r="BJ13" s="20" t="s">
        <v>129</v>
      </c>
      <c r="BK13" s="29" t="s">
        <v>130</v>
      </c>
      <c r="BL13" s="37">
        <v>32875</v>
      </c>
      <c r="BM13" s="38" t="s">
        <v>96</v>
      </c>
      <c r="BN13" s="24" t="s">
        <v>106</v>
      </c>
      <c r="BO13" s="39" t="s">
        <v>131</v>
      </c>
      <c r="BP13" s="40" t="s">
        <v>110</v>
      </c>
      <c r="BQ13" s="24" t="s">
        <v>132</v>
      </c>
      <c r="BR13" s="24" t="s">
        <v>96</v>
      </c>
      <c r="BS13" s="29" t="s">
        <v>121</v>
      </c>
      <c r="BT13" s="30" t="s">
        <v>110</v>
      </c>
      <c r="BU13" s="39" t="s">
        <v>133</v>
      </c>
      <c r="BV13" s="39" t="s">
        <v>134</v>
      </c>
      <c r="BW13" s="24" t="s">
        <v>135</v>
      </c>
      <c r="BX13" s="47" t="s">
        <v>158</v>
      </c>
      <c r="BY13" s="24" t="s">
        <v>137</v>
      </c>
      <c r="BZ13" s="24" t="s">
        <v>138</v>
      </c>
      <c r="CA13" s="24" t="s">
        <v>139</v>
      </c>
      <c r="CB13" s="24" t="s">
        <v>140</v>
      </c>
      <c r="CC13" s="47" t="s">
        <v>135</v>
      </c>
      <c r="CD13" s="18" t="s">
        <v>136</v>
      </c>
      <c r="CE13" s="24" t="s">
        <v>137</v>
      </c>
      <c r="CF13" s="24" t="s">
        <v>141</v>
      </c>
      <c r="CG13" s="24" t="s">
        <v>142</v>
      </c>
      <c r="CH13" s="24" t="s">
        <v>141</v>
      </c>
      <c r="CI13" s="41">
        <v>100</v>
      </c>
      <c r="CJ13" s="24" t="s">
        <v>143</v>
      </c>
      <c r="CK13" s="24" t="s">
        <v>144</v>
      </c>
      <c r="CL13" s="24" t="s">
        <v>96</v>
      </c>
      <c r="CM13" s="24" t="s">
        <v>159</v>
      </c>
      <c r="CN13" s="24" t="s">
        <v>146</v>
      </c>
      <c r="CO13" s="30" t="s">
        <v>110</v>
      </c>
      <c r="CP13" s="30" t="s">
        <v>110</v>
      </c>
      <c r="CQ13" s="52" t="s">
        <v>110</v>
      </c>
      <c r="CR13" s="53" t="s">
        <v>110</v>
      </c>
      <c r="CS13" s="30" t="s">
        <v>110</v>
      </c>
      <c r="CT13" s="41">
        <v>1234015</v>
      </c>
      <c r="CU13" s="41">
        <v>123456005</v>
      </c>
    </row>
    <row r="14" spans="1:100" ht="14.5" customHeight="1" x14ac:dyDescent="0.35">
      <c r="A14" t="s">
        <v>215</v>
      </c>
      <c r="D14" s="14" t="s">
        <v>95</v>
      </c>
      <c r="E14" s="15" t="s">
        <v>96</v>
      </c>
      <c r="F14" s="16"/>
      <c r="G14" s="16"/>
      <c r="H14" s="17" t="s">
        <v>97</v>
      </c>
      <c r="I14" s="18" t="s">
        <v>98</v>
      </c>
      <c r="J14" s="18" t="s">
        <v>99</v>
      </c>
      <c r="K14" s="19">
        <f t="shared" ca="1" si="0"/>
        <v>45709</v>
      </c>
      <c r="L14" s="20" t="s">
        <v>96</v>
      </c>
      <c r="M14" s="21" t="s">
        <v>100</v>
      </c>
      <c r="N14" s="18" t="s">
        <v>148</v>
      </c>
      <c r="O14" s="22" t="s">
        <v>102</v>
      </c>
      <c r="P14" s="23" t="s">
        <v>216</v>
      </c>
      <c r="Q14" s="18">
        <v>123</v>
      </c>
      <c r="R14" s="18">
        <v>1046</v>
      </c>
      <c r="S14" s="24" t="s">
        <v>106</v>
      </c>
      <c r="T14" s="24" t="s">
        <v>106</v>
      </c>
      <c r="U14" s="18" t="s">
        <v>99</v>
      </c>
      <c r="V14" s="25" t="s">
        <v>107</v>
      </c>
      <c r="W14" s="26" t="s">
        <v>108</v>
      </c>
      <c r="X14" s="18" t="s">
        <v>99</v>
      </c>
      <c r="Y14" s="19">
        <f t="shared" ca="1" si="1"/>
        <v>45709</v>
      </c>
      <c r="Z14" s="18" t="s">
        <v>109</v>
      </c>
      <c r="AA14" s="27" t="s">
        <v>110</v>
      </c>
      <c r="AB14" s="54" t="s">
        <v>150</v>
      </c>
      <c r="AC14" s="29" t="s">
        <v>112</v>
      </c>
      <c r="AD14" s="30" t="s">
        <v>152</v>
      </c>
      <c r="AE14" s="20">
        <v>846</v>
      </c>
      <c r="AF14" s="20" t="s">
        <v>57</v>
      </c>
      <c r="AG14" s="39">
        <v>15</v>
      </c>
      <c r="AH14" s="29" t="s">
        <v>114</v>
      </c>
      <c r="AI14" s="20" t="s">
        <v>115</v>
      </c>
      <c r="AJ14" s="31" t="s">
        <v>110</v>
      </c>
      <c r="AK14" s="31">
        <f t="shared" ca="1" si="2"/>
        <v>45799</v>
      </c>
      <c r="AL14" s="18" t="s">
        <v>116</v>
      </c>
      <c r="AM14" s="30" t="s">
        <v>117</v>
      </c>
      <c r="AN14" s="51" t="s">
        <v>217</v>
      </c>
      <c r="AO14" s="18" t="s">
        <v>119</v>
      </c>
      <c r="AP14" s="32" t="s">
        <v>120</v>
      </c>
      <c r="AQ14" s="18" t="s">
        <v>121</v>
      </c>
      <c r="AR14" s="29" t="s">
        <v>120</v>
      </c>
      <c r="AS14" s="25" t="s">
        <v>110</v>
      </c>
      <c r="AT14" s="18" t="s">
        <v>122</v>
      </c>
      <c r="AU14" s="32" t="str">
        <f t="shared" si="3"/>
        <v>Permanent</v>
      </c>
      <c r="AV14" s="25" t="s">
        <v>123</v>
      </c>
      <c r="AW14" s="33">
        <f t="shared" ca="1" si="4"/>
        <v>45708</v>
      </c>
      <c r="AX14" s="33">
        <f t="shared" ca="1" si="5"/>
        <v>45708</v>
      </c>
      <c r="AY14" s="34" t="str">
        <f>AJ14</f>
        <v>N/A</v>
      </c>
      <c r="AZ14" s="24" t="s">
        <v>96</v>
      </c>
      <c r="BA14" s="24" t="s">
        <v>155</v>
      </c>
      <c r="BB14" s="35" t="s">
        <v>218</v>
      </c>
      <c r="BC14" s="25">
        <v>36526</v>
      </c>
      <c r="BD14" s="25">
        <v>51136</v>
      </c>
      <c r="BE14" s="24" t="s">
        <v>96</v>
      </c>
      <c r="BF14" s="24" t="s">
        <v>128</v>
      </c>
      <c r="BG14" s="36">
        <v>5555000030</v>
      </c>
      <c r="BH14" s="25">
        <v>36526</v>
      </c>
      <c r="BI14" s="25">
        <v>51136</v>
      </c>
      <c r="BJ14" s="20" t="s">
        <v>129</v>
      </c>
      <c r="BK14" s="29" t="s">
        <v>157</v>
      </c>
      <c r="BL14" s="37">
        <v>32875</v>
      </c>
      <c r="BM14" s="38" t="s">
        <v>96</v>
      </c>
      <c r="BN14" s="24" t="s">
        <v>106</v>
      </c>
      <c r="BO14" s="39" t="s">
        <v>131</v>
      </c>
      <c r="BP14" s="40" t="s">
        <v>110</v>
      </c>
      <c r="BQ14" s="24" t="s">
        <v>132</v>
      </c>
      <c r="BR14" s="24" t="s">
        <v>96</v>
      </c>
      <c r="BS14" s="29" t="s">
        <v>120</v>
      </c>
      <c r="BT14" s="30">
        <v>10</v>
      </c>
      <c r="BU14" s="39" t="s">
        <v>133</v>
      </c>
      <c r="BV14" s="39" t="s">
        <v>134</v>
      </c>
      <c r="BW14" s="24" t="s">
        <v>135</v>
      </c>
      <c r="BX14" s="47" t="s">
        <v>158</v>
      </c>
      <c r="BY14" s="24" t="s">
        <v>137</v>
      </c>
      <c r="BZ14" s="24" t="s">
        <v>138</v>
      </c>
      <c r="CA14" s="24" t="s">
        <v>139</v>
      </c>
      <c r="CB14" s="24" t="s">
        <v>140</v>
      </c>
      <c r="CC14" s="47" t="s">
        <v>135</v>
      </c>
      <c r="CD14" s="18" t="s">
        <v>136</v>
      </c>
      <c r="CE14" s="24" t="s">
        <v>137</v>
      </c>
      <c r="CF14" s="24" t="s">
        <v>141</v>
      </c>
      <c r="CG14" s="24" t="s">
        <v>142</v>
      </c>
      <c r="CH14" s="24" t="s">
        <v>141</v>
      </c>
      <c r="CI14" s="41">
        <v>100</v>
      </c>
      <c r="CJ14" s="24" t="s">
        <v>143</v>
      </c>
      <c r="CK14" s="24" t="s">
        <v>144</v>
      </c>
      <c r="CL14" s="24" t="s">
        <v>96</v>
      </c>
      <c r="CM14" s="24" t="s">
        <v>159</v>
      </c>
      <c r="CN14" s="24" t="s">
        <v>146</v>
      </c>
      <c r="CO14" s="32" t="s">
        <v>169</v>
      </c>
      <c r="CP14" s="30" t="s">
        <v>170</v>
      </c>
      <c r="CQ14" s="42" t="s">
        <v>106</v>
      </c>
      <c r="CR14" s="48">
        <v>31048</v>
      </c>
      <c r="CS14" s="30" t="s">
        <v>162</v>
      </c>
      <c r="CT14" s="41">
        <v>1234015</v>
      </c>
      <c r="CU14" s="41">
        <v>123456005</v>
      </c>
    </row>
    <row r="15" spans="1:100" ht="14.5" customHeight="1" x14ac:dyDescent="0.35">
      <c r="A15" t="s">
        <v>219</v>
      </c>
      <c r="D15" s="14" t="s">
        <v>223</v>
      </c>
      <c r="E15" s="15" t="s">
        <v>96</v>
      </c>
      <c r="F15" s="16"/>
      <c r="G15" s="16"/>
      <c r="H15" s="17" t="s">
        <v>97</v>
      </c>
      <c r="I15" s="18" t="s">
        <v>98</v>
      </c>
      <c r="J15" s="18" t="s">
        <v>99</v>
      </c>
      <c r="K15" s="19">
        <f t="shared" ca="1" si="0"/>
        <v>45709</v>
      </c>
      <c r="L15" s="20" t="s">
        <v>96</v>
      </c>
      <c r="M15" s="21" t="s">
        <v>100</v>
      </c>
      <c r="N15" s="18" t="s">
        <v>148</v>
      </c>
      <c r="O15" s="22" t="s">
        <v>102</v>
      </c>
      <c r="P15" s="49" t="s">
        <v>220</v>
      </c>
      <c r="Q15" s="18">
        <v>123</v>
      </c>
      <c r="R15" s="18">
        <v>1046</v>
      </c>
      <c r="S15" s="24" t="s">
        <v>106</v>
      </c>
      <c r="T15" s="24" t="s">
        <v>106</v>
      </c>
      <c r="U15" s="18" t="s">
        <v>99</v>
      </c>
      <c r="V15" s="25" t="s">
        <v>107</v>
      </c>
      <c r="W15" s="26" t="s">
        <v>108</v>
      </c>
      <c r="X15" s="18" t="s">
        <v>99</v>
      </c>
      <c r="Y15" s="19">
        <f t="shared" ca="1" si="1"/>
        <v>45709</v>
      </c>
      <c r="Z15" s="18" t="s">
        <v>109</v>
      </c>
      <c r="AA15" s="27" t="s">
        <v>221</v>
      </c>
      <c r="AB15" s="44" t="s">
        <v>173</v>
      </c>
      <c r="AC15" s="51" t="s">
        <v>174</v>
      </c>
      <c r="AD15" s="30" t="s">
        <v>113</v>
      </c>
      <c r="AE15" s="20">
        <v>846</v>
      </c>
      <c r="AF15" s="20" t="s">
        <v>57</v>
      </c>
      <c r="AG15" s="39">
        <v>40</v>
      </c>
      <c r="AH15" s="29" t="s">
        <v>153</v>
      </c>
      <c r="AI15" s="20" t="s">
        <v>115</v>
      </c>
      <c r="AJ15" s="31">
        <f ca="1">TODAY()+365</f>
        <v>46105</v>
      </c>
      <c r="AK15" s="31">
        <f t="shared" ca="1" si="2"/>
        <v>45799</v>
      </c>
      <c r="AL15" s="18" t="s">
        <v>116</v>
      </c>
      <c r="AM15" s="29" t="s">
        <v>213</v>
      </c>
      <c r="AN15" s="51" t="s">
        <v>167</v>
      </c>
      <c r="AO15" s="18" t="s">
        <v>119</v>
      </c>
      <c r="AP15" s="32" t="s">
        <v>121</v>
      </c>
      <c r="AQ15" s="18" t="s">
        <v>121</v>
      </c>
      <c r="AR15" s="29" t="s">
        <v>121</v>
      </c>
      <c r="AS15" s="25" t="s">
        <v>110</v>
      </c>
      <c r="AT15" s="18" t="s">
        <v>122</v>
      </c>
      <c r="AU15" s="32" t="str">
        <f t="shared" si="3"/>
        <v>Fixed Term</v>
      </c>
      <c r="AV15" s="25" t="s">
        <v>123</v>
      </c>
      <c r="AW15" s="33">
        <f t="shared" ca="1" si="4"/>
        <v>45708</v>
      </c>
      <c r="AX15" s="33">
        <f t="shared" ca="1" si="5"/>
        <v>45708</v>
      </c>
      <c r="AY15" s="34">
        <f ca="1">AJ15</f>
        <v>46105</v>
      </c>
      <c r="AZ15" s="24" t="s">
        <v>96</v>
      </c>
      <c r="BA15" s="24" t="s">
        <v>155</v>
      </c>
      <c r="BB15" s="35" t="s">
        <v>222</v>
      </c>
      <c r="BC15" s="25">
        <v>36526</v>
      </c>
      <c r="BD15" s="25">
        <v>51136</v>
      </c>
      <c r="BE15" s="24" t="s">
        <v>96</v>
      </c>
      <c r="BF15" s="24" t="s">
        <v>128</v>
      </c>
      <c r="BG15" s="36">
        <v>5555000031</v>
      </c>
      <c r="BH15" s="25">
        <v>36526</v>
      </c>
      <c r="BI15" s="25">
        <v>51136</v>
      </c>
      <c r="BJ15" s="20" t="s">
        <v>129</v>
      </c>
      <c r="BK15" s="29" t="s">
        <v>130</v>
      </c>
      <c r="BL15" s="37">
        <v>32875</v>
      </c>
      <c r="BM15" s="38" t="s">
        <v>96</v>
      </c>
      <c r="BN15" s="24" t="s">
        <v>106</v>
      </c>
      <c r="BO15" s="39" t="s">
        <v>131</v>
      </c>
      <c r="BP15" s="40" t="s">
        <v>110</v>
      </c>
      <c r="BQ15" s="24" t="s">
        <v>132</v>
      </c>
      <c r="BR15" s="24" t="s">
        <v>96</v>
      </c>
      <c r="BS15" s="29" t="s">
        <v>121</v>
      </c>
      <c r="BT15" s="30" t="s">
        <v>110</v>
      </c>
      <c r="BU15" s="39" t="s">
        <v>133</v>
      </c>
      <c r="BV15" s="39" t="s">
        <v>134</v>
      </c>
      <c r="BW15" s="24" t="s">
        <v>135</v>
      </c>
      <c r="BX15" s="47" t="s">
        <v>158</v>
      </c>
      <c r="BY15" s="24" t="s">
        <v>137</v>
      </c>
      <c r="BZ15" s="24" t="s">
        <v>138</v>
      </c>
      <c r="CA15" s="24" t="s">
        <v>139</v>
      </c>
      <c r="CB15" s="24" t="s">
        <v>140</v>
      </c>
      <c r="CC15" s="47" t="s">
        <v>135</v>
      </c>
      <c r="CD15" s="18" t="s">
        <v>136</v>
      </c>
      <c r="CE15" s="24" t="s">
        <v>137</v>
      </c>
      <c r="CF15" s="24" t="s">
        <v>141</v>
      </c>
      <c r="CG15" s="24" t="s">
        <v>142</v>
      </c>
      <c r="CH15" s="24" t="s">
        <v>141</v>
      </c>
      <c r="CI15" s="41">
        <v>100</v>
      </c>
      <c r="CJ15" s="24" t="s">
        <v>143</v>
      </c>
      <c r="CK15" s="24" t="s">
        <v>144</v>
      </c>
      <c r="CL15" s="24" t="s">
        <v>96</v>
      </c>
      <c r="CM15" s="24" t="s">
        <v>159</v>
      </c>
      <c r="CN15" s="24" t="s">
        <v>146</v>
      </c>
      <c r="CO15" s="30" t="s">
        <v>110</v>
      </c>
      <c r="CP15" s="30" t="s">
        <v>110</v>
      </c>
      <c r="CQ15" s="52" t="s">
        <v>110</v>
      </c>
      <c r="CR15" s="53" t="s">
        <v>110</v>
      </c>
      <c r="CS15" s="30" t="s">
        <v>110</v>
      </c>
      <c r="CT15" s="41">
        <v>1234015</v>
      </c>
      <c r="CU15" s="41">
        <v>123456005</v>
      </c>
    </row>
    <row r="16" spans="1:100" ht="14.5" customHeight="1" x14ac:dyDescent="0.25">
      <c r="AJ16" s="55"/>
    </row>
    <row r="17" spans="36:36" ht="14.5" customHeight="1" x14ac:dyDescent="0.25">
      <c r="AJ17" s="55"/>
    </row>
  </sheetData>
  <dataValidations count="4">
    <dataValidation type="list" allowBlank="1" showInputMessage="1" showErrorMessage="1" sqref="AV10:AV15 Z10:Z15 X10:X15 U10:U15 I10:J15 CC10:CC15 BW10:BW15" xr:uid="{00000000-0002-0000-0000-000000000000}">
      <formula1>INDIRECT($E3)</formula1>
    </dataValidation>
    <dataValidation type="list" allowBlank="1" showInputMessage="1" showErrorMessage="1" sqref="AV2 Z2 X2 U2 I2:J2 CC2 BW2" xr:uid="{00000000-0002-0000-0000-000001000000}">
      <formula1>INDIRECT($C2)</formula1>
    </dataValidation>
    <dataValidation type="list" allowBlank="1" showInputMessage="1" showErrorMessage="1" sqref="AV3:AV15 Z3:Z15 X3:X15 U3:U15 I3:J15 CC3 BW3:BW15" xr:uid="{00000000-0002-0000-0000-000002000000}">
      <formula1>INDIRECT($E3)</formula1>
    </dataValidation>
    <dataValidation type="list" allowBlank="1" showInputMessage="1" showErrorMessage="1" sqref="CC5:CC15" xr:uid="{00000000-0002-0000-0000-000009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</hyperlinks>
  <pageMargins left="0.7" right="0.7" top="0.75" bottom="0.75" header="0.3" footer="0.3"/>
  <pageSetup orientation="portrait" useFirstPageNumber="1" horizontalDpi="4294967295" verticalDpi="4294967295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2025-03-24T06:25:51Z</dcterms:modified>
</cp:coreProperties>
</file>