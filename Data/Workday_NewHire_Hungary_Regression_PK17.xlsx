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420"/>
  </bookViews>
  <sheets>
    <sheet sheetId="1" name="Sheet1" state="visible" r:id="rId4"/>
  </sheets>
  <calcPr calcId="171027"/>
</workbook>
</file>

<file path=xl/sharedStrings.xml><?xml version="1.0" encoding="utf-8"?>
<sst xmlns="http://schemas.openxmlformats.org/spreadsheetml/2006/main" count="256" uniqueCount="168">
  <si>
    <t>TestCaseIDs</t>
  </si>
  <si>
    <t>EmployeeID</t>
  </si>
  <si>
    <t>TestStatus</t>
  </si>
  <si>
    <t>SupervisoryOrganisation</t>
  </si>
  <si>
    <t>Country</t>
  </si>
  <si>
    <t>GivenName</t>
  </si>
  <si>
    <t>FamilyName</t>
  </si>
  <si>
    <t>PhoneNumber</t>
  </si>
  <si>
    <t>PhoneDevice</t>
  </si>
  <si>
    <t>Type</t>
  </si>
  <si>
    <t>EffectiveDate</t>
  </si>
  <si>
    <t>Street</t>
  </si>
  <si>
    <t>BuildingNumber</t>
  </si>
  <si>
    <t>StreetOrPlaceName</t>
  </si>
  <si>
    <t>StreetOrPlaceType</t>
  </si>
  <si>
    <t>StreetNumber</t>
  </si>
  <si>
    <t>PostalCode</t>
  </si>
  <si>
    <t>City</t>
  </si>
  <si>
    <t>County</t>
  </si>
  <si>
    <t>UseFor</t>
  </si>
  <si>
    <t>EmailAddress</t>
  </si>
  <si>
    <t>HireDate</t>
  </si>
  <si>
    <t>Reason</t>
  </si>
  <si>
    <t>Position</t>
  </si>
  <si>
    <t>EmployeeType</t>
  </si>
  <si>
    <t>JobProfile</t>
  </si>
  <si>
    <t>TimeType</t>
  </si>
  <si>
    <t>Location</t>
  </si>
  <si>
    <t>PayRateType</t>
  </si>
  <si>
    <t>ScheduledWeeklyHours</t>
  </si>
  <si>
    <t>AdditionalJobClassifications</t>
  </si>
  <si>
    <t>WorkShift</t>
  </si>
  <si>
    <t>EndEmploymentDate</t>
  </si>
  <si>
    <t>ProbationEndDate</t>
  </si>
  <si>
    <t>Comments</t>
  </si>
  <si>
    <t>CostCenter</t>
  </si>
  <si>
    <t>DepartmentSection</t>
  </si>
  <si>
    <t>ProposedPayGroupFinal</t>
  </si>
  <si>
    <t>MainJob</t>
  </si>
  <si>
    <t>Pensioner</t>
  </si>
  <si>
    <t>Carer</t>
  </si>
  <si>
    <t>ContractID</t>
  </si>
  <si>
    <t>ContractType</t>
  </si>
  <si>
    <t>Status</t>
  </si>
  <si>
    <t>DateEmployeeSigned</t>
  </si>
  <si>
    <t>DateEmployerSigned</t>
  </si>
  <si>
    <t>ContractEndDate</t>
  </si>
  <si>
    <t>Country1</t>
  </si>
  <si>
    <t>NationalIDType1</t>
  </si>
  <si>
    <t>AddEditID1</t>
  </si>
  <si>
    <t>IssuedDate1</t>
  </si>
  <si>
    <t>ExpirationDate1</t>
  </si>
  <si>
    <t>Country2</t>
  </si>
  <si>
    <t>NationalIDType2</t>
  </si>
  <si>
    <t>AddEditID2</t>
  </si>
  <si>
    <t>IssuedDate2</t>
  </si>
  <si>
    <t>ExpirationDate2</t>
  </si>
  <si>
    <t>Salary</t>
  </si>
  <si>
    <t>Gender</t>
  </si>
  <si>
    <t>DateOfBirth</t>
  </si>
  <si>
    <t>CountryOfBirth</t>
  </si>
  <si>
    <t>CityOfBirth</t>
  </si>
  <si>
    <t>MaritalStatus</t>
  </si>
  <si>
    <t>MaritalStatusDate</t>
  </si>
  <si>
    <t>CitizenshipStatus</t>
  </si>
  <si>
    <t>PrimaryNationality</t>
  </si>
  <si>
    <t>Disability</t>
  </si>
  <si>
    <t>DisabilityDegree</t>
  </si>
  <si>
    <t>BankName</t>
  </si>
  <si>
    <t>BankIdentificationCode</t>
  </si>
  <si>
    <t>AccountType</t>
  </si>
  <si>
    <t>AccountNumber</t>
  </si>
  <si>
    <t>IBAN</t>
  </si>
  <si>
    <t>AccountNickname</t>
  </si>
  <si>
    <t>BankName2</t>
  </si>
  <si>
    <t>BankIdentificationCode2</t>
  </si>
  <si>
    <t>AccountType2</t>
  </si>
  <si>
    <t>AccountNumber2</t>
  </si>
  <si>
    <t>IBAN2</t>
  </si>
  <si>
    <t>AccountNickname2</t>
  </si>
  <si>
    <t>PaymentType</t>
  </si>
  <si>
    <t>Account</t>
  </si>
  <si>
    <t>Percent</t>
  </si>
  <si>
    <t>NameType</t>
  </si>
  <si>
    <t>NameType2</t>
  </si>
  <si>
    <t>GivenName1</t>
  </si>
  <si>
    <t>FamilyName1</t>
  </si>
  <si>
    <t>Relationship1</t>
  </si>
  <si>
    <t>DependentName1</t>
  </si>
  <si>
    <t>DependentPlaceofBirth1</t>
  </si>
  <si>
    <t>DependentDateofBirth1</t>
  </si>
  <si>
    <t>DependentMothersMaidenName1</t>
  </si>
  <si>
    <t>DependentTaxID1</t>
  </si>
  <si>
    <t>DependentSocialSecurityNumber1</t>
  </si>
  <si>
    <t>Test_1</t>
  </si>
  <si>
    <t xml:space="preserve">Test failed for 'Sarah Gottlieb' Employee:{10699038}TimeoutError: locator.click: Timeout 30000ms exceeded.
Call log:
  [2m- waiting for locator('//div[@data-automation-id="tooltipsWrapper"]/button[@data-automation-id="inbox_preview"]').first()[22m
[2m  -   locator resolved to &lt;button class="wdappchrome-w" data-automation-id="inbox_…&gt;…&lt;/button&gt;[22m
[2m  - attempting click action[22m
[2m  -   waiting for element to be visible, enabled and stable[22m
[2m  -   element is not visible[22m
[2m  - retrying click action, attempt #1[22m
[2m  -   waiting for element to be visible, enabled and stable[22m
[2m  -   element is not visible[22m
[2m  - retrying click action, attempt #2[22m
[2m  -   waiting 20ms[22m
[2m  -   waiting for element to be visible, enabled and stable[22m
[2m  -   element is not visible[22m
[2m  - retrying click action, attempt #3[22m
[2m  -   waiting 100ms[22m
[2m  -   waiting for element to be visible, enabled and stable[22m
[2m  -   element is not visible[22m
[2m  - retrying click action, attempt #4[22m
[2m  -   waiting 100ms[22m
[2m  -   waiting for element to be visible, enabled and stable[22m
[2m  -   element is not visible[22m
[2m  - retrying click action, attempt #5[22m
[2m  -   waiting 500ms[22m
[2m  -   waiting for element to be visible, enabled and stable[22m
[2m  -   element is not visible[22m
[2m  - retrying click action, attempt #6[22m
[2m  -   waiting 500ms[22m
[2m  -   waiting for element to be visible, enabled and stable[22m
[2m  -   element is not visible[22m
[2m  - retrying click action, attempt #7[22m
[2m  -   waiting 500ms[22m
[2m  -   waiting for element to be visible, enabled and stable[22m
[2m  -   element is not visible[22m
[2m  - retrying click action, attempt #8[22m
[2m  -   waiting 500ms[22m
[2m  -   waiting for element to be visible, enabled and stable[22m
[2m  -   element is not visible[22m
[2m  - retrying click action, attempt #9[22m
[2m  -   waiting 500ms[22m
[2m  -   waiting for element to be visible, enabled and stable[22m
[2m  -   element is not visible[22m
[2m  - retrying click action, attempt #10[22m
[2m  -   waiting 500ms[22m
[2m  -   waiting for element to be visible, enabled and stable[22m
[2m  -   element is not visible[22m
[2m  - retrying click action, attempt #11[22m
[2m  -   waiting 500ms[22m
[2m  -   waiting for element to be visible, enabled and stable[22m
[2m  -   element is not visible[22m
[2m  - retrying click action, attempt #12[22m
[2m  -   waiting 500ms[22m
[2m  -   waiting for element to be visible, enabled and stable[22m
[2m  -   element is not visible[22m
[2m  - retrying click action, attempt #13[22m
[2m  -   waiting 500ms[22m
[2m  -   waiting for element to be visible, enabled and stable[22m
[2m  -   element is not visible[22m
[2m  - retrying click action, attempt #14[22m
[2m  -   waiting 500ms[22m
[2m  -   waiting for element to be visible, enabled and stable[22m
[2m  -   element is not visible[22m
[2m  - retrying click action, attempt #15[22m
[2m  -   waiting 500ms[22m
[2m  -   waiting for element to be visible, enabled and stable[22m
[2m  -   element is not visible[22m
[2m  - retrying click action, attempt #16[22m
[2m  -   waiting 500ms[22m
[2m  -   waiting for element to be visible, enabled and stable[22m
[2m  -   element is not visible[22m
[2m  - retrying click action, attempt #17[22m
[2m  -   waiting 500ms[22m
[2m  -   waiting for element to be visible, enabled and stable[22m
[2m  -   element is not visible[22m
[2m  - retrying click action, attempt #18[22m
[2m  -   waiting 500ms[22m
[2m  -   waiting for element to be visible, enabled and stable[22m
[2m  -   element is not visible[22m
[2m  - retrying click action, attempt #19[22m
[2m  -   waiting 500ms[22m
[2m  -   waiting for element to be visible, enabled and stable[22m
[2m  -   element is not visible[22m
[2m  - retrying click action, attempt #20[22m
[2m  -   waiting 500ms[22m
[2m  -   waiting for element to be visible, enabled and stable[22m
[2m  -   element is not visible[22m
[2m  - retrying click action, attempt #21[22m
[2m  -   waiting 500ms[22m
[2m  -   waiting for element to be visible, enabled and stable[22m
[2m  -   element is not visible[22m
[2m  - retrying click action, attempt #22[22m
[2m  -   waiting 500ms[22m
[2m  -   waiting for element to be visible, enabled and stable[22m
[2m  -   element is not visible[22m
[2m  - retrying click action, attempt #23[22m
[2m  -   waiting 500ms[22m
[2m  -   waiting for element to be visible, enabled and stable[22m
[2m  -   element is not visible[22m
[2m  - retrying click action, attempt #24[22m
[2m  -   waiting 500ms[22m
[2m  -   waiting for element to be visible, enabled and stable[22m
[2m  -   element is not visible[22m
[2m  - retrying click action, attempt #25[22m
[2m  -   waiting 500ms[22m
[2m  -   waiting for element to be visible, enabled and stable[22m
[2m  -   element is not visible[22m
[2m  - retrying click action, attempt #26[22m
[2m  -   waiting 500ms[22m
[2m  -   waiting for element to be visible, enabled and stable[22m
[2m  -   element is not visible[22m
[2m  - retrying click action, attempt #27[22m
[2m  -   waiting 500ms[22m
[2m  -   waiting for element to be visible, enabled and stable[22m
[2m  -   element is not visible[22m
[2m  - retrying click action, attempt #28[22m
[2m  -   waiting 500ms[22m
[2m  -   waiting for element to be visible, enabled and stable[22m
[2m  -   element is not visible[22m
[2m  - retrying click action, attempt #29[22m
[2m  -   waiting 500ms[22m
[2m  -   waiting for element to be visible, enabled and stable[22m
[2m  -   element is not visible[22m
[2m  - retrying click action, attempt #30[22m
[2m  -   waiting 500ms[22m
[2m  -   waiting for element to be visible, enabled and stable[22m
[2m  -   element is not visible[22m
[2m  - retrying click action, attempt #31[22m
[2m  -   waiting 500ms[22m
[2m  -   waiting for element to be visible, enabled and stable[22m
[2m  -   element is not visible[22m
[2m  - retrying click action, attempt #32[22m
[2m  -   waiting 500ms[22m
[2m  -   waiting for element to be visible, enabled and stable[22m
[2m  -   element is not visible[22m
[2m  - retrying click action, attempt #33[22m
[2m  -   waiting 500ms[22m
[2m  -   waiting for element to be visible, enabled and stable[22m
[2m  -   element is not visible[22m
[2m  - retrying click action, attempt #34[22m
[2m  -   waiting 500ms[22m
[2m  -   waiting for element to be visible, enabled and stable[22m
[2m  -   element is not visible[22m
[2m  - retrying click action, attempt #35[22m
[2m  -   waiting 500ms[22m
[2m  -   waiting for element to be visible, enabled and stable[22m
[2m  -   element is not visible[22m
[2m  - retrying click action, attempt #36[22m
[2m  -   waiting 500ms[22m
[2m  -   waiting for element to be visible, enabled and stable[22m
[2m  -   element is not visible[22m
[2m  - retrying click action, attempt #37[22m
[2m  -   waiting 500ms[22m
[2m  -   waiting for element to be visible, enabled and stable[22m
[2m  -   element is not visible[22m
[2m  - retrying click action, attempt #38[22m
[2m  -   waiting 500ms[22m
[2m  -   waiting for element to be visible, enabled and stable[22m
[2m  -   element is not visible[22m
[2m  - retrying click action, attempt #39[22m
[2m  -   waiting 500ms[22m
[2m  -   waiting for element to be visible, enabled and stable[22m
[2m  -   element is not visible[22m
[2m  - retrying click action, attempt #40[22m
[2m  -   waiting 500ms[22m
[2m  -   waiting for element to be visible, enabled and stable[22m
[2m  -   element is not visible[22m
[2m  - retrying click action, attempt #41[22m
[2m  -   waiting 500ms[22m
[2m  -   waiting for element to be visible, enabled and stable[22m
[2m  -   element is not visible[22m
[2m  - retrying click action, attempt #42[22m
[2m  -   waiting 500ms[22m
[2m  -   waiting for element to be visible, enabled and stable[22m
[2m  -   element is not visible[22m
[2m  - retrying click action, attempt #43[22m
[2m  -   waiting 500ms[22m
[2m  -   waiting for element to be visible, enabled and stable[22m
[2m  -   element is not visible[22m
[2m  - retrying click action, attempt #44[22m
[2m  -   waiting 500ms[22m
[2m  -   waiting for element to be visible, enabled and stable[22m
[2m  -   element is not visible[22m
[2m  - retrying click action, attempt #45[22m
[2m  -   waiting 500ms[22m
[2m  -   waiting for element to be visible, enabled and stable[22m
[2m  -   element is not visible[22m
[2m  - retrying click action, attempt #46[22m
[2m  -   waiting 500ms[22m
[2m  -   waiting for element to be visible, enabled and stable[22m
[2m  -   element is not visible[22m
[2m  - retrying click action, attempt #47[22m
[2m  -   waiting 500ms[22m
[2m  -   waiting for element to be visible, enabled and stable[22m
[2m  -   element is not visible[22m
[2m  - retrying click action, attempt #48[22m
[2m  -   waiting 500ms[22m
[2m  -   waiting for element to be visible, enabled and stable[22m
[2m  -   element is not visible[22m
[2m  - retrying click action, attempt #49[22m
[2m  -   waiting 500ms[22m
[2m  -   waiting for element to be visible, enabled and stable[22m
[2m  -   element is not visible[22m
[2m  - retrying click action, attempt #50[22m
[2m  -   waiting 500ms[22m
[2m  -   waiting for element to be visible, enabled and stable[22m
[2m  -   element is not visible[22m
[2m  - retrying click action, attempt #51[22m
[2m  -   waiting 500ms[22m
[2m  -   waiting for element to be visible, enabled and stable[22m
[2m  -   element is not visible[22m
[2m  - retrying click action, attempt #52[22m
[2m  -   waiting 500ms[22m
[2m  -   waiting for element to be visible, enabled and stable[22m
[2m  -   element is not visible[22m
[2m  - retrying click action, attempt #53[22m
[2m  -   waiting 500ms[22m
[2m  -   waiting for element to be visible, enabled and stable[22m
[2m  -   element is not visible[22m
[2m  - retrying click action, attempt #54[22m
[2m  -   waiting 500ms[22m
[2m  -   waiting for element to be visible, enabled and stable[22m
[2m  -   element is not visible[22m
[2m  - retrying click action, attempt #55[22m
[2m  -   waiting 500ms[22m
[2m  -   waiting for element to be visible, enabled and stable[22m
[2m  -   element is not visible[22m
[2m  - retrying click action, attempt #56[22m
[2m  -   waiting 500ms[22m
[2m  -   waiting for element to be visible, enabled and stable[22m
[2m  -   element is not visible[22m
[2m  - retrying click action, attempt #57[22m
[2m  -   waiting 500ms[22m
[2m  -   waiting for element to be visible, enabled and stable[22m
[2m  -   element is not visible[22m
[2m  - retrying click action, attempt #58[22m
[2m  -   waiting 500ms[22m
[2m  -   waiting for element to be visible, enabled and stable[22m
[2m  -   element is not visible[22m
[2m  - retrying click action, attempt #59[22m
[2m  -   waiting 500ms[22m
[2m  -   waiting for element to be visible, enabled and stable[22m
[2m  -   element is not visible[22m
[2m  - retrying click action, attempt #60[22m
[2m  -   waiting 500ms[22m
</t>
  </si>
  <si>
    <t>Failed</t>
  </si>
  <si>
    <t>846 Recruitment (Sekive Solav (10632957))</t>
  </si>
  <si>
    <t>Hungary</t>
  </si>
  <si>
    <t>Sarah</t>
  </si>
  <si>
    <t>Gottlieb</t>
  </si>
  <si>
    <t>(061)2123123</t>
  </si>
  <si>
    <t>Mobile</t>
  </si>
  <si>
    <t>Home</t>
  </si>
  <si>
    <t>Automation Street Name</t>
  </si>
  <si>
    <t>A</t>
  </si>
  <si>
    <t>Csabai Kapu</t>
  </si>
  <si>
    <t>N</t>
  </si>
  <si>
    <t>123</t>
  </si>
  <si>
    <t>1046</t>
  </si>
  <si>
    <t>Budapest</t>
  </si>
  <si>
    <t>Street Address</t>
  </si>
  <si>
    <t>automation@qe.com</t>
  </si>
  <si>
    <t>New Hire</t>
  </si>
  <si>
    <t>N/A</t>
  </si>
  <si>
    <t>Fixed Term (Fixed Term)</t>
  </si>
  <si>
    <t>Retail Assistant_NEW</t>
  </si>
  <si>
    <t>Full Time</t>
  </si>
  <si>
    <t>REGULAR - Regular Shift Pattern (Hungary Regular &amp; Irregular Shift Pattern-Hungary)</t>
  </si>
  <si>
    <t>5 Days</t>
  </si>
  <si>
    <t>Automation Comments here….</t>
  </si>
  <si>
    <t xml:space="preserve">94 Retail Operatives </t>
  </si>
  <si>
    <t>16 Men’s Accessories</t>
  </si>
  <si>
    <t>HU Monthly</t>
  </si>
  <si>
    <t>Yes</t>
  </si>
  <si>
    <t>No</t>
  </si>
  <si>
    <t xml:space="preserve">Defaulted
</t>
  </si>
  <si>
    <t>Active</t>
  </si>
  <si>
    <t>Social Security</t>
  </si>
  <si>
    <t>01/01/2000</t>
  </si>
  <si>
    <t>01/01/2040</t>
  </si>
  <si>
    <t>Tax ID Number</t>
  </si>
  <si>
    <t>Defaulted</t>
  </si>
  <si>
    <t>Male</t>
  </si>
  <si>
    <t>Single</t>
  </si>
  <si>
    <t>Citizen (Hungary)</t>
  </si>
  <si>
    <t>ALLAMADOSSA KEZELO KOZPONT RT.</t>
  </si>
  <si>
    <t>AKKHHUHB</t>
  </si>
  <si>
    <t>Checking</t>
  </si>
  <si>
    <t>9999999999999999</t>
  </si>
  <si>
    <t>HU93116000060000000012345676</t>
  </si>
  <si>
    <t xml:space="preserve">Payroll Bank Account </t>
  </si>
  <si>
    <t>Hungarian National Bank</t>
  </si>
  <si>
    <t>GHUNHUHAXXX</t>
  </si>
  <si>
    <t>SZEP Bank Account</t>
  </si>
  <si>
    <t>SZEP card</t>
  </si>
  <si>
    <t>Maiden</t>
  </si>
  <si>
    <t>Mother's Maiden Name</t>
  </si>
  <si>
    <t>MaidenAuto</t>
  </si>
  <si>
    <t>MaidenMothers</t>
  </si>
  <si>
    <t>Test_2</t>
  </si>
  <si>
    <t>846 Store Management (Zavamy Pyfaw (10632958))</t>
  </si>
  <si>
    <t>Lela</t>
  </si>
  <si>
    <t>Kuhic</t>
  </si>
  <si>
    <t>Auto 60703751</t>
  </si>
  <si>
    <t>Permanent</t>
  </si>
  <si>
    <t>Store Manager_NEW</t>
  </si>
  <si>
    <t>Part Time</t>
  </si>
  <si>
    <t>IRREGULAR - Irregular Shift Pattern (Hungary Regular &amp; Irregular Shift Pattern-Hungary)</t>
  </si>
  <si>
    <t xml:space="preserve">92 Retail Management </t>
  </si>
  <si>
    <t>251 Management Retail</t>
  </si>
  <si>
    <t>Social Security (TAJ) Number</t>
  </si>
  <si>
    <t>Female</t>
  </si>
  <si>
    <t>0000000098624423</t>
  </si>
  <si>
    <t>AutoMaiden</t>
  </si>
  <si>
    <t xml:space="preserve">Spouse </t>
  </si>
  <si>
    <t>DepSpouse</t>
  </si>
  <si>
    <t>Mammy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</si>
</sst>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mm/dd/yyyy"/>
  </numFmts>
  <fonts count="6" x14ac:knownFonts="1">
    <font>
      <color theme="1"/>
      <family val="2"/>
      <scheme val="minor"/>
      <sz val="11"/>
      <name val="Calibri"/>
    </font>
    <font>
      <color rgb="FFFF0000"/>
      <family val="2"/>
      <scheme val="minor"/>
      <sz val="11"/>
      <name val="Calibri"/>
    </font>
    <font>
      <family val="2"/>
      <scheme val="minor"/>
      <sz val="11"/>
      <name val="Calibri"/>
    </font>
    <font>
      <color rgb="FF000000"/>
      <family val="2"/>
      <scheme val="minor"/>
      <sz val="11"/>
      <name val="Calibri"/>
    </font>
    <font>
      <u/>
      <family val="2"/>
      <scheme val="minor"/>
      <sz val="11"/>
      <name val="Calibri"/>
    </font>
    <font>
      <color indexed="8"/>
      <family val="2"/>
      <sz val="11"/>
      <name val="Calibri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0000"/>
      </patternFill>
    </fill>
    <fill>
      <patternFill patternType="solid">
        <fgColor theme="5" tint="0.7999816888943144"/>
        <bgColor indexed="64"/>
      </patternFill>
    </fill>
  </fills>
  <borders count="4"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/>
      <diagonal/>
    </border>
    <border>
      <left style="thin"/>
      <right style="thin"/>
      <top/>
      <bottom style="thin"/>
      <diagonal/>
    </border>
  </borders>
  <cellStyleXfs count="1">
    <xf numFmtId="0" fontId="0" fillId="0" borderId="0"/>
  </cellStyleXfs>
  <cellXfs count="33">
    <xf numFmtId="0" fontId="0" fillId="0" borderId="0" xfId="0"/>
    <xf numFmtId="0" fontId="0" fillId="2" borderId="0" xfId="0" applyFill="1"/>
    <xf numFmtId="0" fontId="0" fillId="3" borderId="0" xfId="0" applyFill="1"/>
    <xf numFmtId="49" fontId="1" fillId="0" borderId="1" xfId="0" applyNumberFormat="1" applyFont="1" applyBorder="1"/>
    <xf numFmtId="0" fontId="2" fillId="0" borderId="2" xfId="0" applyFont="1" applyBorder="1" applyAlignment="1">
      <alignment horizontal="left"/>
    </xf>
    <xf numFmtId="0" fontId="0" fillId="4" borderId="1" xfId="0" applyFill="1" applyBorder="1"/>
    <xf numFmtId="0" fontId="2" fillId="0" borderId="3" xfId="0" applyFont="1" applyBorder="1" applyAlignment="1" applyProtection="1">
      <alignment horizontal="left"/>
      <protection locked="0"/>
    </xf>
    <xf numFmtId="0" fontId="2" fillId="0" borderId="1" xfId="0" applyFont="1" applyBorder="1" applyAlignment="1" applyProtection="1">
      <alignment horizontal="left"/>
      <protection locked="0"/>
    </xf>
    <xf numFmtId="14" fontId="1" fillId="0" borderId="1" xfId="0" applyNumberFormat="1" applyFont="1" applyBorder="1" applyAlignment="1">
      <alignment horizontal="left"/>
    </xf>
    <xf numFmtId="0" fontId="2" fillId="0" borderId="1" xfId="0" applyFont="1" applyBorder="1" applyAlignment="1">
      <alignment horizontal="left"/>
    </xf>
    <xf numFmtId="0" fontId="2" fillId="0" borderId="1" xfId="0" applyFont="1" applyBorder="1" applyProtection="1">
      <protection locked="0"/>
    </xf>
    <xf numFmtId="0" fontId="0" fillId="0" borderId="1" xfId="0" applyBorder="1" applyAlignment="1" applyProtection="1">
      <alignment horizontal="left" vertical="top"/>
      <protection locked="0"/>
    </xf>
    <xf numFmtId="0" fontId="3" fillId="0" borderId="1" xfId="0" applyFont="1" applyBorder="1" applyAlignment="1">
      <alignment horizontal="center"/>
    </xf>
    <xf numFmtId="164" fontId="2" fillId="0" borderId="1" xfId="0" applyNumberFormat="1" applyFont="1" applyBorder="1" applyAlignment="1" applyProtection="1">
      <alignment horizontal="left"/>
      <protection locked="0"/>
    </xf>
    <xf numFmtId="14" fontId="2" fillId="0" borderId="1" xfId="0" applyNumberFormat="1" applyFont="1" applyBorder="1" applyAlignment="1">
      <alignment horizontal="left"/>
    </xf>
    <xf numFmtId="0" fontId="4" fillId="0" borderId="1" xfId="0" applyFont="1" applyBorder="1" applyProtection="1">
      <protection locked="0"/>
    </xf>
    <xf numFmtId="14" fontId="2" fillId="4" borderId="1" xfId="0" applyNumberFormat="1" applyFont="1" applyFill="1" applyBorder="1" applyAlignment="1">
      <alignment horizontal="left"/>
    </xf>
    <xf numFmtId="0" fontId="3" fillId="0" borderId="3" xfId="0" applyFont="1" applyBorder="1"/>
    <xf numFmtId="0" fontId="3" fillId="0" borderId="1" xfId="0" applyFont="1" applyBorder="1"/>
    <xf numFmtId="0" fontId="3" fillId="0" borderId="0" xfId="0" applyFont="1"/>
    <xf numFmtId="0" fontId="1" fillId="0" borderId="0" xfId="0" applyFont="1" applyAlignment="1">
      <alignment horizontal="left"/>
    </xf>
    <xf numFmtId="14" fontId="1" fillId="0" borderId="0" xfId="0" applyNumberFormat="1" applyFont="1" applyAlignment="1">
      <alignment horizontal="left"/>
    </xf>
    <xf numFmtId="0" fontId="2" fillId="0" borderId="1" xfId="0" applyFont="1" applyBorder="1"/>
    <xf numFmtId="14" fontId="0" fillId="0" borderId="3" xfId="0" applyNumberFormat="1" applyBorder="1"/>
    <xf numFmtId="0" fontId="1" fillId="0" borderId="0" xfId="0" applyFont="1"/>
    <xf numFmtId="1" fontId="3" fillId="2" borderId="1" xfId="0" applyNumberFormat="1" applyFont="1" applyFill="1" applyBorder="1" applyAlignment="1">
      <alignment horizontal="right"/>
    </xf>
    <xf numFmtId="14" fontId="3" fillId="0" borderId="1" xfId="0" applyNumberFormat="1" applyFont="1" applyBorder="1"/>
    <xf numFmtId="0" fontId="5" fillId="0" borderId="1" xfId="0" applyFont="1" applyBorder="1" applyAlignment="1">
      <alignment horizontal="left"/>
    </xf>
    <xf numFmtId="15" fontId="2" fillId="0" borderId="1" xfId="0" applyNumberFormat="1" applyFont="1" applyBorder="1"/>
    <xf numFmtId="49" fontId="2" fillId="0" borderId="1" xfId="0" applyNumberFormat="1" applyFont="1" applyBorder="1" applyAlignment="1" applyProtection="1">
      <alignment horizontal="left"/>
      <protection locked="0"/>
    </xf>
    <xf numFmtId="1" fontId="2" fillId="0" borderId="1" xfId="0" applyNumberFormat="1" applyFont="1" applyBorder="1" applyAlignment="1" applyProtection="1">
      <alignment horizontal="left"/>
      <protection locked="0"/>
    </xf>
    <xf numFmtId="14" fontId="2" fillId="0" borderId="1" xfId="0" applyNumberFormat="1" applyFont="1" applyBorder="1" applyAlignment="1" applyProtection="1">
      <alignment horizontal="left" wrapText="1"/>
      <protection locked="0"/>
    </xf>
    <xf numFmtId="14" fontId="3" fillId="0" borderId="1" xfId="0" applyNumberFormat="1" applyFont="1" applyBorder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mailto:automation@qe.com" TargetMode="External"/><Relationship Id="rId2" Type="http://schemas.openxmlformats.org/officeDocument/2006/relationships/hyperlink" Target="mailto:automation@qe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V3"/>
  <sheetViews>
    <sheetView workbookViewId="0" zoomScale="90" zoomScaleNormal="90">
      <selection activeCell="B2" sqref="B2"/>
    </sheetView>
  </sheetViews>
  <sheetFormatPr defaultRowHeight="14.5" outlineLevelRow="0" outlineLevelCol="0" x14ac:dyDescent="0.35" customHeight="1"/>
  <cols>
    <col min="1" max="1" width="23.6328125" customWidth="1"/>
    <col min="2" max="2" width="18.81640625" customWidth="1"/>
    <col min="4" max="4" width="53.90625" customWidth="1"/>
    <col min="6" max="6" width="25" customWidth="1"/>
    <col min="7" max="7" width="30.90625" customWidth="1"/>
    <col min="11" max="11" width="21.54296875" customWidth="1"/>
    <col min="13" max="17" width="26.7265625" customWidth="1"/>
    <col min="25" max="25" width="23.26953125" customWidth="1"/>
    <col min="27" max="27" width="45.08984375" customWidth="1"/>
    <col min="28" max="28" width="38" customWidth="1"/>
    <col min="29" max="29" width="30.81640625" customWidth="1"/>
    <col min="32" max="32" width="18" customWidth="1"/>
    <col min="34" max="34" width="19.36328125" customWidth="1"/>
    <col min="35" max="35" width="20.453125" customWidth="1"/>
    <col min="36" max="36" width="18.81640625" customWidth="1"/>
    <col min="37" max="37" width="28" customWidth="1"/>
    <col min="40" max="40" width="31.7265625" customWidth="1"/>
    <col min="41" max="41" width="26.36328125" customWidth="1"/>
    <col min="43" max="43" width="12.08984375" customWidth="1"/>
    <col min="46" max="46" width="23.1796875" customWidth="1"/>
    <col min="49" max="49" width="24.26953125" customWidth="1"/>
    <col min="50" max="50" width="33.6328125" customWidth="1"/>
    <col min="52" max="52" width="38.453125" customWidth="1"/>
    <col min="53" max="53" width="34.08984375" customWidth="1"/>
    <col min="54" max="54" width="43.26953125" customWidth="1"/>
    <col min="55" max="55" width="35.453125" customWidth="1"/>
    <col min="56" max="56" width="37.453125" customWidth="1"/>
    <col min="58" max="58" width="44" customWidth="1"/>
    <col min="59" max="59" width="55.7265625" customWidth="1"/>
    <col min="60" max="60" width="28.54296875" customWidth="1"/>
    <col min="61" max="61" width="29.36328125" customWidth="1"/>
    <col min="64" max="64" width="29.453125" customWidth="1"/>
    <col min="65" max="65" width="34.36328125" customWidth="1"/>
    <col min="66" max="66" width="26.08984375" customWidth="1"/>
    <col min="78" max="78" width="21.6328125" customWidth="1"/>
    <col min="79" max="79" width="23.26953125" customWidth="1"/>
    <col min="89" max="89" width="29.36328125" customWidth="1"/>
    <col min="91" max="91" width="20.54296875" customWidth="1"/>
    <col min="92" max="92" width="24.1796875" customWidth="1"/>
    <col min="96" max="96" width="25.08984375" customWidth="1"/>
    <col min="97" max="97" width="35.36328125" customWidth="1"/>
    <col min="98" max="98" width="54.81640625" customWidth="1"/>
    <col min="99" max="99" width="34.453125" customWidth="1"/>
  </cols>
  <sheetData>
    <row r="1" ht="14.5" customHeight="1" spans="1:99" s="1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4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9</v>
      </c>
      <c r="V1" s="1" t="s">
        <v>19</v>
      </c>
      <c r="W1" s="1" t="s">
        <v>20</v>
      </c>
      <c r="X1" s="1" t="s">
        <v>9</v>
      </c>
      <c r="Y1" s="1" t="s">
        <v>21</v>
      </c>
      <c r="Z1" s="1" t="s">
        <v>22</v>
      </c>
      <c r="AA1" s="1" t="s">
        <v>23</v>
      </c>
      <c r="AB1" s="1" t="s">
        <v>24</v>
      </c>
      <c r="AC1" s="1" t="s">
        <v>25</v>
      </c>
      <c r="AD1" s="1" t="s">
        <v>26</v>
      </c>
      <c r="AE1" s="1" t="s">
        <v>27</v>
      </c>
      <c r="AF1" s="1" t="s">
        <v>28</v>
      </c>
      <c r="AG1" s="1" t="s">
        <v>29</v>
      </c>
      <c r="AH1" s="1" t="s">
        <v>30</v>
      </c>
      <c r="AI1" s="1" t="s">
        <v>31</v>
      </c>
      <c r="AJ1" s="1" t="s">
        <v>32</v>
      </c>
      <c r="AK1" s="1" t="s">
        <v>33</v>
      </c>
      <c r="AL1" s="1" t="s">
        <v>34</v>
      </c>
      <c r="AM1" s="1" t="s">
        <v>35</v>
      </c>
      <c r="AN1" s="1" t="s">
        <v>36</v>
      </c>
      <c r="AO1" s="1" t="s">
        <v>37</v>
      </c>
      <c r="AP1" s="1" t="s">
        <v>38</v>
      </c>
      <c r="AQ1" s="1" t="s">
        <v>39</v>
      </c>
      <c r="AR1" s="1" t="s">
        <v>40</v>
      </c>
      <c r="AS1" s="1" t="s">
        <v>22</v>
      </c>
      <c r="AT1" s="1" t="s">
        <v>41</v>
      </c>
      <c r="AU1" s="1" t="s">
        <v>42</v>
      </c>
      <c r="AV1" s="1" t="s">
        <v>43</v>
      </c>
      <c r="AW1" s="1" t="s">
        <v>44</v>
      </c>
      <c r="AX1" s="1" t="s">
        <v>45</v>
      </c>
      <c r="AY1" s="1" t="s">
        <v>46</v>
      </c>
      <c r="AZ1" s="1" t="s">
        <v>47</v>
      </c>
      <c r="BA1" s="1" t="s">
        <v>48</v>
      </c>
      <c r="BB1" s="1" t="s">
        <v>49</v>
      </c>
      <c r="BC1" s="1" t="s">
        <v>50</v>
      </c>
      <c r="BD1" s="1" t="s">
        <v>51</v>
      </c>
      <c r="BE1" s="1" t="s">
        <v>52</v>
      </c>
      <c r="BF1" s="1" t="s">
        <v>53</v>
      </c>
      <c r="BG1" s="1" t="s">
        <v>54</v>
      </c>
      <c r="BH1" s="1" t="s">
        <v>55</v>
      </c>
      <c r="BI1" s="1" t="s">
        <v>56</v>
      </c>
      <c r="BJ1" s="1" t="s">
        <v>57</v>
      </c>
      <c r="BK1" s="1" t="s">
        <v>58</v>
      </c>
      <c r="BL1" s="1" t="s">
        <v>59</v>
      </c>
      <c r="BM1" s="1" t="s">
        <v>60</v>
      </c>
      <c r="BN1" s="1" t="s">
        <v>61</v>
      </c>
      <c r="BO1" s="1" t="s">
        <v>62</v>
      </c>
      <c r="BP1" s="1" t="s">
        <v>63</v>
      </c>
      <c r="BQ1" s="1" t="s">
        <v>64</v>
      </c>
      <c r="BR1" s="1" t="s">
        <v>65</v>
      </c>
      <c r="BS1" s="1" t="s">
        <v>66</v>
      </c>
      <c r="BT1" s="1" t="s">
        <v>67</v>
      </c>
      <c r="BU1" s="1" t="s">
        <v>68</v>
      </c>
      <c r="BV1" s="1" t="s">
        <v>69</v>
      </c>
      <c r="BW1" s="1" t="s">
        <v>70</v>
      </c>
      <c r="BX1" s="1" t="s">
        <v>71</v>
      </c>
      <c r="BY1" s="1" t="s">
        <v>72</v>
      </c>
      <c r="BZ1" s="1" t="s">
        <v>73</v>
      </c>
      <c r="CA1" s="1" t="s">
        <v>74</v>
      </c>
      <c r="CB1" s="1" t="s">
        <v>75</v>
      </c>
      <c r="CC1" s="1" t="s">
        <v>76</v>
      </c>
      <c r="CD1" s="1" t="s">
        <v>77</v>
      </c>
      <c r="CE1" s="1" t="s">
        <v>78</v>
      </c>
      <c r="CF1" s="1" t="s">
        <v>79</v>
      </c>
      <c r="CG1" s="1" t="s">
        <v>80</v>
      </c>
      <c r="CH1" s="1" t="s">
        <v>81</v>
      </c>
      <c r="CI1" s="1" t="s">
        <v>82</v>
      </c>
      <c r="CJ1" s="1" t="s">
        <v>83</v>
      </c>
      <c r="CK1" s="1" t="s">
        <v>84</v>
      </c>
      <c r="CL1" s="1" t="s">
        <v>4</v>
      </c>
      <c r="CM1" s="1" t="s">
        <v>85</v>
      </c>
      <c r="CN1" s="1" t="s">
        <v>86</v>
      </c>
      <c r="CO1" s="1" t="s">
        <v>87</v>
      </c>
      <c r="CP1" s="1" t="s">
        <v>88</v>
      </c>
      <c r="CQ1" s="1" t="s">
        <v>89</v>
      </c>
      <c r="CR1" s="1" t="s">
        <v>90</v>
      </c>
      <c r="CS1" s="1" t="s">
        <v>91</v>
      </c>
      <c r="CT1" s="1" t="s">
        <v>92</v>
      </c>
      <c r="CU1" s="1" t="s">
        <v>93</v>
      </c>
    </row>
    <row r="2" ht="14.5" customHeight="1" spans="1:100" x14ac:dyDescent="0.25">
      <c r="A2" t="s">
        <v>94</v>
      </c>
      <c r="B2" t="s">
        <v>95</v>
      </c>
      <c r="C2" s="2" t="s">
        <v>96</v>
      </c>
      <c r="D2" s="3" t="s">
        <v>97</v>
      </c>
      <c r="E2" s="4" t="s">
        <v>98</v>
      </c>
      <c r="F2" s="5" t="s">
        <v>99</v>
      </c>
      <c r="G2" s="5" t="s">
        <v>100</v>
      </c>
      <c r="H2" s="6" t="s">
        <v>101</v>
      </c>
      <c r="I2" s="7" t="s">
        <v>102</v>
      </c>
      <c r="J2" s="7" t="s">
        <v>103</v>
      </c>
      <c r="K2" s="8">
        <f t="shared" ref="K2:K3" si="0">TODAY()-31</f>
        <v>45755</v>
      </c>
      <c r="L2" s="9" t="s">
        <v>98</v>
      </c>
      <c r="M2" s="10" t="s">
        <v>104</v>
      </c>
      <c r="N2" s="7" t="s">
        <v>105</v>
      </c>
      <c r="O2" s="11" t="s">
        <v>106</v>
      </c>
      <c r="P2" s="12" t="s">
        <v>107</v>
      </c>
      <c r="Q2" s="7" t="s">
        <v>108</v>
      </c>
      <c r="R2" s="7" t="s">
        <v>109</v>
      </c>
      <c r="S2" s="13" t="s">
        <v>110</v>
      </c>
      <c r="T2" s="13" t="s">
        <v>110</v>
      </c>
      <c r="U2" s="7" t="s">
        <v>103</v>
      </c>
      <c r="V2" s="14" t="s">
        <v>111</v>
      </c>
      <c r="W2" s="15" t="s">
        <v>112</v>
      </c>
      <c r="X2" s="7" t="s">
        <v>103</v>
      </c>
      <c r="Y2" s="8">
        <f t="shared" ref="Y2:Y3" si="1">K2</f>
        <v>45755</v>
      </c>
      <c r="Z2" s="7" t="s">
        <v>113</v>
      </c>
      <c r="AA2" s="16" t="s">
        <v>114</v>
      </c>
      <c r="AB2" s="17" t="s">
        <v>115</v>
      </c>
      <c r="AC2" s="18" t="s">
        <v>116</v>
      </c>
      <c r="AD2" s="19" t="s">
        <v>117</v>
      </c>
      <c r="AE2" s="9">
        <v>846</v>
      </c>
      <c r="AF2" s="9" t="s">
        <v>57</v>
      </c>
      <c r="AG2" s="18">
        <v>40</v>
      </c>
      <c r="AH2" s="18" t="s">
        <v>118</v>
      </c>
      <c r="AI2" s="9" t="s">
        <v>119</v>
      </c>
      <c r="AJ2" s="20">
        <f>TODAY()+365</f>
        <v>46151</v>
      </c>
      <c r="AK2" s="21">
        <f t="shared" ref="AK2:AK3" si="2">Y2+90</f>
        <v>45845</v>
      </c>
      <c r="AL2" s="7" t="s">
        <v>120</v>
      </c>
      <c r="AM2" s="18" t="s">
        <v>121</v>
      </c>
      <c r="AN2" s="22" t="s">
        <v>122</v>
      </c>
      <c r="AO2" s="7" t="s">
        <v>123</v>
      </c>
      <c r="AP2" s="18" t="s">
        <v>124</v>
      </c>
      <c r="AQ2" s="7" t="s">
        <v>125</v>
      </c>
      <c r="AR2" s="18" t="s">
        <v>125</v>
      </c>
      <c r="AS2" s="14" t="s">
        <v>114</v>
      </c>
      <c r="AT2" s="7" t="s">
        <v>126</v>
      </c>
      <c r="AU2" s="17" t="str">
        <f t="shared" ref="AU2:AU3" si="3">AB2</f>
        <v>Fixed Term (Fixed Term)</v>
      </c>
      <c r="AV2" s="14" t="s">
        <v>127</v>
      </c>
      <c r="AW2" s="23">
        <f t="shared" ref="AW2:AW3" si="4">Y2-1</f>
        <v>45754</v>
      </c>
      <c r="AX2" s="23">
        <f t="shared" ref="AX2:AX3" si="5">Y2-1</f>
        <v>45754</v>
      </c>
      <c r="AY2" s="24">
        <f t="shared" ref="AY2:AY3" si="6">AJ2</f>
        <v>46151</v>
      </c>
      <c r="AZ2" s="13" t="s">
        <v>98</v>
      </c>
      <c r="BA2" s="13" t="s">
        <v>128</v>
      </c>
      <c r="BB2" s="25">
        <f t="array" ref="BB2:BB3">_xlfn.RANDARRAY(2,1,123456789,999999999,TRUE)</f>
        <v>123516165</v>
      </c>
      <c r="BC2" s="14" t="s">
        <v>129</v>
      </c>
      <c r="BD2" s="14" t="s">
        <v>130</v>
      </c>
      <c r="BE2" s="13" t="s">
        <v>98</v>
      </c>
      <c r="BF2" s="13" t="s">
        <v>131</v>
      </c>
      <c r="BG2" s="25">
        <f t="array" ref="BG2:BG3">_xlfn.RANDARRAY(2,1,1234567890,9999999999,TRUE)</f>
        <v>7299708540</v>
      </c>
      <c r="BH2" s="14">
        <v>36526</v>
      </c>
      <c r="BI2" s="14">
        <v>51136</v>
      </c>
      <c r="BJ2" s="9" t="s">
        <v>132</v>
      </c>
      <c r="BK2" s="18" t="s">
        <v>133</v>
      </c>
      <c r="BL2" s="26">
        <v>32875</v>
      </c>
      <c r="BM2" s="27" t="s">
        <v>98</v>
      </c>
      <c r="BN2" s="13" t="s">
        <v>110</v>
      </c>
      <c r="BO2" s="22" t="s">
        <v>134</v>
      </c>
      <c r="BP2" s="28" t="s">
        <v>114</v>
      </c>
      <c r="BQ2" s="13" t="s">
        <v>135</v>
      </c>
      <c r="BR2" s="13" t="s">
        <v>98</v>
      </c>
      <c r="BS2" s="18" t="s">
        <v>125</v>
      </c>
      <c r="BT2" s="19" t="s">
        <v>114</v>
      </c>
      <c r="BU2" s="22" t="s">
        <v>136</v>
      </c>
      <c r="BV2" s="22" t="s">
        <v>137</v>
      </c>
      <c r="BW2" s="13" t="s">
        <v>138</v>
      </c>
      <c r="BX2" s="29" t="s">
        <v>139</v>
      </c>
      <c r="BY2" s="13" t="s">
        <v>140</v>
      </c>
      <c r="BZ2" s="13" t="s">
        <v>141</v>
      </c>
      <c r="CA2" s="30" t="s">
        <v>142</v>
      </c>
      <c r="CB2" s="30" t="s">
        <v>143</v>
      </c>
      <c r="CC2" s="30" t="s">
        <v>138</v>
      </c>
      <c r="CD2" s="30" t="s">
        <v>139</v>
      </c>
      <c r="CE2" s="30" t="s">
        <v>140</v>
      </c>
      <c r="CF2" s="30" t="s">
        <v>144</v>
      </c>
      <c r="CG2" s="30" t="s">
        <v>145</v>
      </c>
      <c r="CH2" s="30" t="s">
        <v>144</v>
      </c>
      <c r="CI2" s="30">
        <v>100</v>
      </c>
      <c r="CJ2" s="13" t="s">
        <v>146</v>
      </c>
      <c r="CK2" s="13" t="s">
        <v>147</v>
      </c>
      <c r="CL2" s="13" t="s">
        <v>98</v>
      </c>
      <c r="CM2" s="13" t="s">
        <v>148</v>
      </c>
      <c r="CN2" s="13" t="s">
        <v>149</v>
      </c>
      <c r="CO2" s="17" t="s">
        <v>114</v>
      </c>
      <c r="CP2" s="19" t="s">
        <v>114</v>
      </c>
      <c r="CQ2" s="31" t="s">
        <v>114</v>
      </c>
      <c r="CR2" s="32" t="s">
        <v>114</v>
      </c>
      <c r="CS2" s="19" t="s">
        <v>114</v>
      </c>
      <c r="CT2" s="30" t="s">
        <v>114</v>
      </c>
      <c r="CU2" s="30" t="s">
        <v>114</v>
      </c>
      <c r="CV2" s="30"/>
    </row>
    <row r="3" ht="14.5" customHeight="1" spans="1:100" x14ac:dyDescent="0.25">
      <c r="A3" t="s">
        <v>150</v>
      </c>
      <c r="C3" s="2"/>
      <c r="D3" s="3" t="s">
        <v>151</v>
      </c>
      <c r="E3" s="4" t="s">
        <v>98</v>
      </c>
      <c r="F3" s="5" t="s">
        <v>152</v>
      </c>
      <c r="G3" s="5" t="s">
        <v>153</v>
      </c>
      <c r="H3" s="6" t="s">
        <v>101</v>
      </c>
      <c r="I3" s="7" t="s">
        <v>102</v>
      </c>
      <c r="J3" s="7" t="s">
        <v>103</v>
      </c>
      <c r="K3" s="8">
        <f t="shared" si="0"/>
        <v>45755</v>
      </c>
      <c r="L3" s="9" t="s">
        <v>98</v>
      </c>
      <c r="M3" s="10" t="s">
        <v>104</v>
      </c>
      <c r="N3" s="7">
        <v>1</v>
      </c>
      <c r="O3" s="11" t="s">
        <v>106</v>
      </c>
      <c r="P3" s="12">
        <v>3</v>
      </c>
      <c r="Q3" s="7">
        <v>123</v>
      </c>
      <c r="R3" s="7">
        <v>1046</v>
      </c>
      <c r="S3" s="13" t="s">
        <v>110</v>
      </c>
      <c r="T3" s="13" t="s">
        <v>110</v>
      </c>
      <c r="U3" s="7" t="s">
        <v>103</v>
      </c>
      <c r="V3" s="14" t="s">
        <v>111</v>
      </c>
      <c r="W3" s="15" t="s">
        <v>112</v>
      </c>
      <c r="X3" s="7" t="s">
        <v>103</v>
      </c>
      <c r="Y3" s="8">
        <f t="shared" si="1"/>
        <v>45755</v>
      </c>
      <c r="Z3" s="7" t="s">
        <v>113</v>
      </c>
      <c r="AA3" s="16" t="s">
        <v>154</v>
      </c>
      <c r="AB3" s="17" t="s">
        <v>155</v>
      </c>
      <c r="AC3" s="18" t="s">
        <v>156</v>
      </c>
      <c r="AD3" s="19" t="s">
        <v>157</v>
      </c>
      <c r="AE3" s="9">
        <v>846</v>
      </c>
      <c r="AF3" s="9" t="s">
        <v>57</v>
      </c>
      <c r="AG3" s="18">
        <v>10</v>
      </c>
      <c r="AH3" s="18" t="s">
        <v>158</v>
      </c>
      <c r="AI3" s="9" t="s">
        <v>119</v>
      </c>
      <c r="AJ3" s="20" t="s">
        <v>114</v>
      </c>
      <c r="AK3" s="21">
        <f t="shared" si="2"/>
        <v>45845</v>
      </c>
      <c r="AL3" s="7" t="s">
        <v>120</v>
      </c>
      <c r="AM3" s="18" t="s">
        <v>159</v>
      </c>
      <c r="AN3" s="22" t="s">
        <v>160</v>
      </c>
      <c r="AO3" s="7" t="s">
        <v>123</v>
      </c>
      <c r="AP3" s="18" t="s">
        <v>124</v>
      </c>
      <c r="AQ3" s="7" t="s">
        <v>125</v>
      </c>
      <c r="AR3" s="18" t="s">
        <v>125</v>
      </c>
      <c r="AS3" s="14" t="s">
        <v>114</v>
      </c>
      <c r="AT3" s="7" t="s">
        <v>126</v>
      </c>
      <c r="AU3" s="17" t="str">
        <f t="shared" si="3"/>
        <v>Permanent</v>
      </c>
      <c r="AV3" s="14" t="s">
        <v>127</v>
      </c>
      <c r="AW3" s="23">
        <f t="shared" si="4"/>
        <v>45754</v>
      </c>
      <c r="AX3" s="23">
        <f t="shared" si="5"/>
        <v>45754</v>
      </c>
      <c r="AY3" s="24" t="str">
        <f t="shared" si="6"/>
        <v>N/A</v>
      </c>
      <c r="AZ3" s="13" t="s">
        <v>98</v>
      </c>
      <c r="BA3" s="13" t="s">
        <v>161</v>
      </c>
      <c r="BB3" s="25">
        <v>888596532</v>
      </c>
      <c r="BC3" s="14">
        <v>36526</v>
      </c>
      <c r="BD3" s="14">
        <v>51136</v>
      </c>
      <c r="BE3" s="13" t="s">
        <v>98</v>
      </c>
      <c r="BF3" s="13" t="s">
        <v>131</v>
      </c>
      <c r="BG3" s="25">
        <v>1446449727</v>
      </c>
      <c r="BH3" s="14">
        <v>36526</v>
      </c>
      <c r="BI3" s="14">
        <v>51136</v>
      </c>
      <c r="BJ3" s="9" t="s">
        <v>132</v>
      </c>
      <c r="BK3" s="18" t="s">
        <v>162</v>
      </c>
      <c r="BL3" s="26">
        <v>32875</v>
      </c>
      <c r="BM3" s="27" t="s">
        <v>98</v>
      </c>
      <c r="BN3" s="13" t="s">
        <v>110</v>
      </c>
      <c r="BO3" s="22" t="s">
        <v>134</v>
      </c>
      <c r="BP3" s="28" t="s">
        <v>114</v>
      </c>
      <c r="BQ3" s="13" t="s">
        <v>135</v>
      </c>
      <c r="BR3" s="13" t="s">
        <v>98</v>
      </c>
      <c r="BS3" s="18" t="s">
        <v>125</v>
      </c>
      <c r="BT3" s="19" t="s">
        <v>114</v>
      </c>
      <c r="BU3" s="22" t="s">
        <v>136</v>
      </c>
      <c r="BV3" s="22" t="s">
        <v>137</v>
      </c>
      <c r="BW3" s="13" t="s">
        <v>138</v>
      </c>
      <c r="BX3" s="29" t="s">
        <v>163</v>
      </c>
      <c r="BY3" s="13" t="s">
        <v>140</v>
      </c>
      <c r="BZ3" s="13" t="s">
        <v>141</v>
      </c>
      <c r="CA3" s="30" t="s">
        <v>114</v>
      </c>
      <c r="CB3" s="30" t="s">
        <v>114</v>
      </c>
      <c r="CC3" s="30" t="s">
        <v>114</v>
      </c>
      <c r="CD3" s="30" t="s">
        <v>114</v>
      </c>
      <c r="CE3" s="30" t="s">
        <v>114</v>
      </c>
      <c r="CF3" s="30" t="s">
        <v>114</v>
      </c>
      <c r="CG3" s="30" t="s">
        <v>114</v>
      </c>
      <c r="CH3" s="30" t="s">
        <v>114</v>
      </c>
      <c r="CI3" s="30" t="s">
        <v>114</v>
      </c>
      <c r="CJ3" s="13" t="s">
        <v>146</v>
      </c>
      <c r="CK3" s="13" t="s">
        <v>147</v>
      </c>
      <c r="CL3" s="13" t="s">
        <v>98</v>
      </c>
      <c r="CM3" s="13" t="s">
        <v>164</v>
      </c>
      <c r="CN3" s="13" t="s">
        <v>149</v>
      </c>
      <c r="CO3" s="17" t="s">
        <v>165</v>
      </c>
      <c r="CP3" s="19" t="s">
        <v>166</v>
      </c>
      <c r="CQ3" s="31" t="s">
        <v>110</v>
      </c>
      <c r="CR3" s="32">
        <v>31048</v>
      </c>
      <c r="CS3" s="19" t="s">
        <v>167</v>
      </c>
      <c r="CT3" s="30">
        <v>1234011</v>
      </c>
      <c r="CU3" s="30">
        <v>123456011</v>
      </c>
      <c r="CV3" s="30"/>
    </row>
  </sheetData>
  <dataValidations count="13">
    <dataValidation type="list" allowBlank="1" showInputMessage="1" showErrorMessage="1" sqref="AV2">
      <formula1>INDIRECT($C2)</formula1>
    </dataValidation>
    <dataValidation type="list" allowBlank="1" showInputMessage="1" showErrorMessage="1" sqref="AV3">
      <formula1>INDIRECT($E3)</formula1>
    </dataValidation>
    <dataValidation type="list" allowBlank="1" showInputMessage="1" showErrorMessage="1" sqref="BW2">
      <formula1>INDIRECT($C2)</formula1>
    </dataValidation>
    <dataValidation type="list" allowBlank="1" showInputMessage="1" showErrorMessage="1" sqref="BW3">
      <formula1>INDIRECT($E3)</formula1>
    </dataValidation>
    <dataValidation type="list" allowBlank="1" showInputMessage="1" showErrorMessage="1" sqref="CC2">
      <formula1>INDIRECT($C2)</formula1>
    </dataValidation>
    <dataValidation type="list" allowBlank="1" showInputMessage="1" showErrorMessage="1" sqref="I2:J2">
      <formula1>INDIRECT($C2)</formula1>
    </dataValidation>
    <dataValidation type="list" allowBlank="1" showInputMessage="1" showErrorMessage="1" sqref="I3:J3">
      <formula1>INDIRECT($E3)</formula1>
    </dataValidation>
    <dataValidation type="list" allowBlank="1" showInputMessage="1" showErrorMessage="1" sqref="U2">
      <formula1>INDIRECT($C2)</formula1>
    </dataValidation>
    <dataValidation type="list" allowBlank="1" showInputMessage="1" showErrorMessage="1" sqref="U3">
      <formula1>INDIRECT($E3)</formula1>
    </dataValidation>
    <dataValidation type="list" allowBlank="1" showInputMessage="1" showErrorMessage="1" sqref="X2">
      <formula1>INDIRECT($C2)</formula1>
    </dataValidation>
    <dataValidation type="list" allowBlank="1" showInputMessage="1" showErrorMessage="1" sqref="X3">
      <formula1>INDIRECT($E3)</formula1>
    </dataValidation>
    <dataValidation type="list" allowBlank="1" showInputMessage="1" showErrorMessage="1" sqref="Z2">
      <formula1>INDIRECT($C2)</formula1>
    </dataValidation>
    <dataValidation type="list" allowBlank="1" showInputMessage="1" showErrorMessage="1" sqref="Z3">
      <formula1>INDIRECT($E3)</formula1>
    </dataValidation>
  </dataValidations>
  <hyperlinks>
    <hyperlink ref="W2" r:id="rId1"/>
    <hyperlink ref="W3" r:id="rId2"/>
  </hyperlink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Unknown</cp:lastModifiedBy>
  <dcterms:created xsi:type="dcterms:W3CDTF">2015-06-05T18:17:20Z</dcterms:created>
  <dcterms:modified xsi:type="dcterms:W3CDTF">2025-05-09T12:15:26Z</dcterms:modified>
</cp:coreProperties>
</file>