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C0EEF0A4-2A7C-49F3-814B-5E7EF87B529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" i="1" l="1"/>
  <c r="AU3" i="1"/>
  <c r="K3" i="1"/>
  <c r="Y3" i="1" s="1"/>
  <c r="BG2" i="1" a="1"/>
  <c r="BG2" i="1" s="1"/>
  <c r="BB2" i="1" a="1"/>
  <c r="BB3" i="1" s="1"/>
  <c r="AU2" i="1"/>
  <c r="AJ2" i="1"/>
  <c r="AY2" i="1" s="1"/>
  <c r="K2" i="1"/>
  <c r="Y2" i="1" s="1"/>
  <c r="AK3" i="1" l="1"/>
  <c r="AX3" i="1"/>
  <c r="AW3" i="1"/>
  <c r="AK2" i="1"/>
  <c r="AX2" i="1"/>
  <c r="AW2" i="1"/>
  <c r="BB2" i="1"/>
  <c r="BG3" i="1"/>
</calcChain>
</file>

<file path=xl/sharedStrings.xml><?xml version="1.0" encoding="utf-8"?>
<sst xmlns="http://schemas.openxmlformats.org/spreadsheetml/2006/main" count="251" uniqueCount="162">
  <si>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</si>
  <si>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</si>
  <si>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</si>
  <si>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</si>
  <si>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</si>
  <si>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</si>
  <si>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</si>
  <si>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</si>
  <si>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</si>
  <si>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</si>
  <si>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</si>
  <si>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</si>
  <si>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</si>
  <si>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</si>
  <si>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</si>
  <si>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</si>
  <si>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</si>
  <si>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</si>
  <si>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</si>
  <si>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</si>
  <si>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</si>
  <si>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</si>
  <si>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</si>
  <si>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</si>
  <si>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</si>
  <si>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</si>
  <si>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</si>
  <si>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</si>
  <si>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</si>
  <si>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</si>
  <si>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</si>
  <si>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</si>
  <si>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</si>
  <si>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</si>
  <si>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</si>
  <si>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</si>
  <si>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</si>
  <si>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</si>
  <si>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</si>
  <si>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</si>
  <si>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</si>
  <si>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</si>
  <si>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</si>
  <si>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</si>
  <si>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</si>
  <si>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</si>
  <si>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</si>
  <si>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</si>
  <si>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</si>
  <si>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</si>
  <si>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</si>
  <si>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</si>
  <si>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</si>
  <si>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</si>
  <si>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</si>
  <si>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</si>
  <si>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</si>
  <si>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</si>
  <si>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</si>
  <si>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</si>
  <si>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</si>
  <si>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</si>
  <si>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</si>
  <si>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</si>
  <si>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</si>
  <si>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</si>
  <si>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</si>
  <si>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</si>
  <si>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</si>
  <si>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</si>
  <si>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</si>
  <si>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</si>
  <si>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</si>
  <si>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</si>
  <si>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</si>
  <si>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</si>
  <si>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</si>
  <si>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</si>
  <si>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</si>
  <si>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</si>
  <si>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</si>
  <si>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</si>
  <si>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</si>
  <si>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</si>
  <si>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</si>
  <si>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</si>
  <si>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</si>
  <si>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</si>
  <si>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</si>
  <si>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</si>
  <si>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</si>
  <si>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</si>
  <si>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</si>
  <si>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</si>
  <si>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Test_1</t>
  </si>
  <si>
    <t>846 Recruitment (Sekive Solav (10632957))</t>
  </si>
  <si>
    <t>Hungary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</si>
  <si>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</si>
  <si>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</si>
  <si>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</si>
  <si>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</si>
  <si>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</si>
  <si>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</si>
  <si>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</si>
  <si>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</si>
  <si>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</si>
  <si>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</si>
  <si>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</si>
  <si>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</si>
  <si>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</si>
  <si>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</si>
  <si>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</si>
  <si>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</si>
  <si>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</si>
  <si>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</si>
  <si>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</si>
  <si>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</si>
  <si>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</si>
  <si>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</si>
  <si>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</si>
  <si>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</si>
  <si>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</si>
  <si>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</si>
  <si>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</si>
  <si>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</si>
  <si>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</si>
  <si>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</si>
  <si>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</si>
  <si>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</si>
  <si>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</si>
  <si>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</si>
  <si>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</si>
  <si>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</si>
  <si>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</si>
  <si>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</si>
  <si>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</si>
  <si>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</si>
  <si>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</si>
  <si>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</si>
  <si>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</si>
  <si>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</si>
  <si>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</si>
  <si>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</si>
  <si>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</si>
  <si>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</si>
  <si>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</si>
  <si>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Test_2</t>
  </si>
  <si>
    <t>846 Store Management (Zavamy Pyfaw (10632958))</t>
  </si>
  <si>
    <t>Auto 37194876</t>
  </si>
  <si>
    <t>Permanent</t>
  </si>
  <si>
    <t>Store Manager_NEW</t>
  </si>
  <si>
    <t>Part Time</t>
  </si>
  <si>
    <t>IRREGULAR - Irregular Shift Pattern (Hungary Regular &amp; Irregular Shift Pattern-Hungary)</t>
  </si>
  <si>
    <t>92 Retail Management </t>
  </si>
  <si>
    <t>251 Management Retail</t>
  </si>
  <si>
    <t>Social Security (TAJ) Number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</si>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</sst>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name val="Calibri"/>
      <family val="2"/>
      <scheme val="minor"/>
    </font>
    <font>
      <sz val="11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49" fontId="1" fillId="0" borderId="1" xfId="0" applyNumberFormat="1" applyFont="1" applyBorder="1"/>
    <xf numFmtId="0" fontId="2" fillId="0" borderId="2" xfId="0" applyFont="1" applyBorder="1" applyAlignment="1">
      <alignment horizontal="left"/>
    </xf>
    <xf numFmtId="0" fontId="0" fillId="4" borderId="1" xfId="0" applyFill="1" applyBorder="1"/>
    <xf numFmtId="0" fontId="2" fillId="0" borderId="3" xfId="0" applyFont="1" applyBorder="1" applyAlignment="1" applyProtection="1">
      <alignment horizontal="left"/>
      <protection locked="0"/>
    </xf>
    <xf numFmtId="0" fontId="2" fillId="0" borderId="1" xfId="0" applyFont="1" applyBorder="1" applyAlignment="1" applyProtection="1">
      <alignment horizontal="left"/>
      <protection locked="0"/>
    </xf>
    <xf numFmtId="14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Protection="1">
      <protection locked="0"/>
    </xf>
    <xf numFmtId="0" fontId="0" fillId="0" borderId="1" xfId="0" applyBorder="1" applyAlignment="1" applyProtection="1">
      <alignment horizontal="left" vertical="top"/>
      <protection locked="0"/>
    </xf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 applyProtection="1">
      <alignment horizontal="left"/>
      <protection locked="0"/>
    </xf>
    <xf numFmtId="14" fontId="2" fillId="0" borderId="1" xfId="0" applyNumberFormat="1" applyFont="1" applyBorder="1" applyAlignment="1">
      <alignment horizontal="left"/>
    </xf>
    <xf numFmtId="0" fontId="4" fillId="0" borderId="1" xfId="0" applyFont="1" applyBorder="1" applyProtection="1">
      <protection locked="0"/>
    </xf>
    <xf numFmtId="14" fontId="2" fillId="4" borderId="1" xfId="0" applyNumberFormat="1" applyFont="1" applyFill="1" applyBorder="1" applyAlignment="1">
      <alignment horizontal="left"/>
    </xf>
    <xf numFmtId="0" fontId="3" fillId="0" borderId="3" xfId="0" applyFont="1" applyBorder="1"/>
    <xf numFmtId="0" fontId="3" fillId="0" borderId="1" xfId="0" applyFont="1" applyBorder="1"/>
    <xf numFmtId="0" fontId="3" fillId="0" borderId="0" xfId="0" applyFont="1"/>
    <xf numFmtId="14" fontId="1" fillId="0" borderId="0" xfId="0" applyNumberFormat="1" applyFont="1" applyAlignment="1">
      <alignment horizontal="left"/>
    </xf>
    <xf numFmtId="0" fontId="2" fillId="0" borderId="1" xfId="0" applyFont="1" applyBorder="1"/>
    <xf numFmtId="14" fontId="0" fillId="0" borderId="3" xfId="0" applyNumberFormat="1" applyBorder="1"/>
    <xf numFmtId="1" fontId="3" fillId="2" borderId="1" xfId="0" applyNumberFormat="1" applyFont="1" applyFill="1" applyBorder="1" applyAlignment="1">
      <alignment horizontal="right"/>
    </xf>
    <xf numFmtId="14" fontId="3" fillId="0" borderId="1" xfId="0" applyNumberFormat="1" applyFont="1" applyBorder="1"/>
    <xf numFmtId="0" fontId="5" fillId="0" borderId="1" xfId="0" applyFont="1" applyBorder="1" applyAlignment="1">
      <alignment horizontal="left"/>
    </xf>
    <xf numFmtId="15" fontId="2" fillId="0" borderId="1" xfId="0" applyNumberFormat="1" applyFont="1" applyBorder="1"/>
    <xf numFmtId="49" fontId="2" fillId="0" borderId="1" xfId="0" applyNumberFormat="1" applyFont="1" applyBorder="1" applyAlignment="1" applyProtection="1">
      <alignment horizontal="left"/>
      <protection locked="0"/>
    </xf>
    <xf numFmtId="1" fontId="2" fillId="0" borderId="1" xfId="0" applyNumberFormat="1" applyFont="1" applyBorder="1" applyAlignment="1" applyProtection="1">
      <alignment horizontal="left"/>
      <protection locked="0"/>
    </xf>
    <xf numFmtId="14" fontId="2" fillId="0" borderId="1" xfId="0" applyNumberFormat="1" applyFont="1" applyBorder="1" applyAlignment="1" applyProtection="1">
      <alignment horizontal="left" wrapText="1"/>
      <protection locked="0"/>
    </xf>
    <xf numFmtId="14" fontId="3" fillId="0" borderId="1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3"/>
  <sheetViews>
    <sheetView tabSelected="1" zoomScale="90" zoomScaleNormal="90" workbookViewId="0">
      <selection activeCell="F2" sqref="F2:G3"/>
    </sheetView>
  </sheetViews>
  <sheetFormatPr defaultRowHeight="14.5" customHeight="1" x14ac:dyDescent="0.35"/>
  <cols>
    <col min="1" max="1" width="23.6328125" customWidth="1"/>
    <col min="2" max="2" width="18.816406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9" max="49" width="24.26953125" customWidth="1"/>
    <col min="50" max="50" width="33.6328125" customWidth="1"/>
    <col min="51" max="51" width="14.453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71" max="71" width="13.08984375" customWidth="1"/>
    <col min="72" max="72" width="13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</cols>
  <sheetData>
    <row r="1" spans="1:100" s="1" customFormat="1" ht="14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9</v>
      </c>
      <c r="V1" s="1" t="s">
        <v>19</v>
      </c>
      <c r="W1" s="1" t="s">
        <v>20</v>
      </c>
      <c r="X1" s="1" t="s">
        <v>9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1" t="s">
        <v>40</v>
      </c>
      <c r="AS1" s="1" t="s">
        <v>22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45</v>
      </c>
      <c r="AY1" s="1" t="s">
        <v>46</v>
      </c>
      <c r="AZ1" s="1" t="s">
        <v>47</v>
      </c>
      <c r="BA1" s="1" t="s">
        <v>48</v>
      </c>
      <c r="BB1" s="1" t="s">
        <v>49</v>
      </c>
      <c r="BC1" s="1" t="s">
        <v>50</v>
      </c>
      <c r="BD1" s="1" t="s">
        <v>51</v>
      </c>
      <c r="BE1" s="1" t="s">
        <v>52</v>
      </c>
      <c r="BF1" s="1" t="s">
        <v>53</v>
      </c>
      <c r="BG1" s="1" t="s">
        <v>54</v>
      </c>
      <c r="BH1" s="1" t="s">
        <v>55</v>
      </c>
      <c r="BI1" s="1" t="s">
        <v>56</v>
      </c>
      <c r="BJ1" s="1" t="s">
        <v>57</v>
      </c>
      <c r="BK1" s="1" t="s">
        <v>58</v>
      </c>
      <c r="BL1" s="1" t="s">
        <v>59</v>
      </c>
      <c r="BM1" s="1" t="s">
        <v>60</v>
      </c>
      <c r="BN1" s="1" t="s">
        <v>61</v>
      </c>
      <c r="BO1" s="1" t="s">
        <v>62</v>
      </c>
      <c r="BP1" s="1" t="s">
        <v>63</v>
      </c>
      <c r="BQ1" s="1" t="s">
        <v>64</v>
      </c>
      <c r="BR1" s="1" t="s">
        <v>65</v>
      </c>
      <c r="BS1" s="1" t="s">
        <v>66</v>
      </c>
      <c r="BT1" s="1" t="s">
        <v>67</v>
      </c>
      <c r="BU1" s="1" t="s">
        <v>68</v>
      </c>
      <c r="BV1" s="1" t="s">
        <v>69</v>
      </c>
      <c r="BW1" s="1" t="s">
        <v>70</v>
      </c>
      <c r="BX1" s="1" t="s">
        <v>71</v>
      </c>
      <c r="BY1" s="1" t="s">
        <v>72</v>
      </c>
      <c r="BZ1" s="1" t="s">
        <v>73</v>
      </c>
      <c r="CA1" s="1" t="s">
        <v>74</v>
      </c>
      <c r="CB1" s="1" t="s">
        <v>75</v>
      </c>
      <c r="CC1" s="1" t="s">
        <v>76</v>
      </c>
      <c r="CD1" s="1" t="s">
        <v>77</v>
      </c>
      <c r="CE1" s="1" t="s">
        <v>78</v>
      </c>
      <c r="CF1" s="1" t="s">
        <v>79</v>
      </c>
      <c r="CG1" s="1" t="s">
        <v>80</v>
      </c>
      <c r="CH1" s="1" t="s">
        <v>81</v>
      </c>
      <c r="CI1" s="1" t="s">
        <v>82</v>
      </c>
      <c r="CJ1" s="1" t="s">
        <v>83</v>
      </c>
      <c r="CK1" s="1" t="s">
        <v>84</v>
      </c>
      <c r="CL1" s="1" t="s">
        <v>4</v>
      </c>
      <c r="CM1" s="1" t="s">
        <v>85</v>
      </c>
      <c r="CN1" s="1" t="s">
        <v>86</v>
      </c>
      <c r="CO1" s="1" t="s">
        <v>87</v>
      </c>
      <c r="CP1" s="1" t="s">
        <v>88</v>
      </c>
      <c r="CQ1" s="1" t="s">
        <v>89</v>
      </c>
      <c r="CR1" s="1" t="s">
        <v>90</v>
      </c>
      <c r="CS1" s="1" t="s">
        <v>91</v>
      </c>
      <c r="CT1" s="1" t="s">
        <v>92</v>
      </c>
      <c r="CU1" s="1" t="s">
        <v>93</v>
      </c>
    </row>
    <row r="2" spans="1:100" ht="14.5" customHeight="1" x14ac:dyDescent="0.35">
      <c r="A2" t="s">
        <v>94</v>
      </c>
      <c r="C2" s="2"/>
      <c r="D2" s="3" t="s">
        <v>95</v>
      </c>
      <c r="E2" s="4" t="s">
        <v>96</v>
      </c>
      <c r="F2" s="5"/>
      <c r="G2" s="5"/>
      <c r="H2" s="6" t="s">
        <v>97</v>
      </c>
      <c r="I2" s="7" t="s">
        <v>98</v>
      </c>
      <c r="J2" s="7" t="s">
        <v>99</v>
      </c>
      <c r="K2" s="8">
        <f t="shared" ref="K2:K3" ca="1" si="0">TODAY()-31</f>
        <v>45762</v>
      </c>
      <c r="L2" s="9" t="s">
        <v>96</v>
      </c>
      <c r="M2" s="10" t="s">
        <v>100</v>
      </c>
      <c r="N2" s="7" t="s">
        <v>101</v>
      </c>
      <c r="O2" s="11" t="s">
        <v>102</v>
      </c>
      <c r="P2" s="12" t="s">
        <v>103</v>
      </c>
      <c r="Q2" s="7" t="s">
        <v>104</v>
      </c>
      <c r="R2" s="7" t="s">
        <v>105</v>
      </c>
      <c r="S2" s="13" t="s">
        <v>106</v>
      </c>
      <c r="T2" s="13" t="s">
        <v>106</v>
      </c>
      <c r="U2" s="7" t="s">
        <v>99</v>
      </c>
      <c r="V2" s="14" t="s">
        <v>107</v>
      </c>
      <c r="W2" s="15" t="s">
        <v>108</v>
      </c>
      <c r="X2" s="7" t="s">
        <v>99</v>
      </c>
      <c r="Y2" s="8">
        <f t="shared" ref="Y2:Y3" ca="1" si="1">K2</f>
        <v>45762</v>
      </c>
      <c r="Z2" s="7" t="s">
        <v>109</v>
      </c>
      <c r="AA2" s="16" t="s">
        <v>110</v>
      </c>
      <c r="AB2" s="17" t="s">
        <v>111</v>
      </c>
      <c r="AC2" s="18" t="s">
        <v>112</v>
      </c>
      <c r="AD2" s="19" t="s">
        <v>113</v>
      </c>
      <c r="AE2" s="9">
        <v>846</v>
      </c>
      <c r="AF2" s="9" t="s">
        <v>57</v>
      </c>
      <c r="AG2" s="18">
        <v>40</v>
      </c>
      <c r="AH2" s="18" t="s">
        <v>114</v>
      </c>
      <c r="AI2" s="9" t="s">
        <v>115</v>
      </c>
      <c r="AJ2" s="20">
        <f ca="1">TODAY()+365</f>
        <v>46158</v>
      </c>
      <c r="AK2" s="20">
        <f t="shared" ref="AK2:AK3" ca="1" si="2">Y2+90</f>
        <v>45852</v>
      </c>
      <c r="AL2" s="7" t="s">
        <v>116</v>
      </c>
      <c r="AM2" s="18" t="s">
        <v>117</v>
      </c>
      <c r="AN2" s="21" t="s">
        <v>118</v>
      </c>
      <c r="AO2" s="7" t="s">
        <v>119</v>
      </c>
      <c r="AP2" s="18" t="s">
        <v>120</v>
      </c>
      <c r="AQ2" s="7" t="s">
        <v>121</v>
      </c>
      <c r="AR2" s="18" t="s">
        <v>121</v>
      </c>
      <c r="AS2" s="14" t="s">
        <v>110</v>
      </c>
      <c r="AT2" s="7" t="s">
        <v>122</v>
      </c>
      <c r="AU2" s="17" t="str">
        <f t="shared" ref="AU2:AU3" si="3">AB2</f>
        <v>Fixed Term (Fixed Term)</v>
      </c>
      <c r="AV2" s="14" t="s">
        <v>123</v>
      </c>
      <c r="AW2" s="22">
        <f t="shared" ref="AW2:AW3" ca="1" si="4">Y2-1</f>
        <v>45761</v>
      </c>
      <c r="AX2" s="22">
        <f t="shared" ref="AX2:AX3" ca="1" si="5">Y2-1</f>
        <v>45761</v>
      </c>
      <c r="AY2" s="22">
        <f t="shared" ref="AY2:AY3" ca="1" si="6">AJ2</f>
        <v>46158</v>
      </c>
      <c r="AZ2" s="13" t="s">
        <v>96</v>
      </c>
      <c r="BA2" s="13" t="s">
        <v>124</v>
      </c>
      <c r="BB2" s="23">
        <f t="array" aca="1" ref="BB2:BB3" ca="1">_xlfn.RANDARRAY(2,1,123456789,999999999,TRUE)</f>
        <v>697283307</v>
      </c>
      <c r="BC2" s="14" t="s">
        <v>125</v>
      </c>
      <c r="BD2" s="14" t="s">
        <v>126</v>
      </c>
      <c r="BE2" s="13" t="s">
        <v>96</v>
      </c>
      <c r="BF2" s="13" t="s">
        <v>127</v>
      </c>
      <c r="BG2" s="23">
        <f t="array" aca="1" ref="BG2:BG3" ca="1">_xlfn.RANDARRAY(2,1,1234567890,9999999999,TRUE)</f>
        <v>4097787791</v>
      </c>
      <c r="BH2" s="14">
        <v>36526</v>
      </c>
      <c r="BI2" s="14">
        <v>51136</v>
      </c>
      <c r="BJ2" s="9" t="s">
        <v>128</v>
      </c>
      <c r="BK2" s="18" t="s">
        <v>129</v>
      </c>
      <c r="BL2" s="24">
        <v>32875</v>
      </c>
      <c r="BM2" s="25" t="s">
        <v>96</v>
      </c>
      <c r="BN2" s="13" t="s">
        <v>106</v>
      </c>
      <c r="BO2" s="21" t="s">
        <v>130</v>
      </c>
      <c r="BP2" s="26" t="s">
        <v>110</v>
      </c>
      <c r="BQ2" s="13" t="s">
        <v>131</v>
      </c>
      <c r="BR2" s="13" t="s">
        <v>96</v>
      </c>
      <c r="BS2" s="18" t="s">
        <v>120</v>
      </c>
      <c r="BT2" s="19">
        <v>10</v>
      </c>
      <c r="BU2" s="21" t="s">
        <v>132</v>
      </c>
      <c r="BV2" s="21" t="s">
        <v>133</v>
      </c>
      <c r="BW2" s="13" t="s">
        <v>134</v>
      </c>
      <c r="BX2" s="27" t="s">
        <v>135</v>
      </c>
      <c r="BY2" s="13" t="s">
        <v>136</v>
      </c>
      <c r="BZ2" s="13" t="s">
        <v>137</v>
      </c>
      <c r="CA2" s="28" t="s">
        <v>138</v>
      </c>
      <c r="CB2" s="28" t="s">
        <v>139</v>
      </c>
      <c r="CC2" s="28" t="s">
        <v>134</v>
      </c>
      <c r="CD2" s="28" t="s">
        <v>135</v>
      </c>
      <c r="CE2" s="28" t="s">
        <v>136</v>
      </c>
      <c r="CF2" s="28" t="s">
        <v>140</v>
      </c>
      <c r="CG2" s="28" t="s">
        <v>141</v>
      </c>
      <c r="CH2" s="28" t="s">
        <v>140</v>
      </c>
      <c r="CI2" s="28">
        <v>100</v>
      </c>
      <c r="CJ2" s="13" t="s">
        <v>142</v>
      </c>
      <c r="CK2" s="13" t="s">
        <v>143</v>
      </c>
      <c r="CL2" s="13" t="s">
        <v>96</v>
      </c>
      <c r="CM2" s="13" t="s">
        <v>144</v>
      </c>
      <c r="CN2" s="13" t="s">
        <v>145</v>
      </c>
      <c r="CO2" s="17" t="s">
        <v>110</v>
      </c>
      <c r="CP2" s="19" t="s">
        <v>110</v>
      </c>
      <c r="CQ2" s="29" t="s">
        <v>110</v>
      </c>
      <c r="CR2" s="30" t="s">
        <v>110</v>
      </c>
      <c r="CS2" s="19" t="s">
        <v>110</v>
      </c>
      <c r="CT2" s="28" t="s">
        <v>110</v>
      </c>
      <c r="CU2" s="28" t="s">
        <v>110</v>
      </c>
      <c r="CV2" s="28"/>
    </row>
    <row r="3" spans="1:100" ht="14.5" customHeight="1" x14ac:dyDescent="0.35">
      <c r="A3" t="s">
        <v>146</v>
      </c>
      <c r="C3" s="2"/>
      <c r="D3" s="3" t="s">
        <v>147</v>
      </c>
      <c r="E3" s="4" t="s">
        <v>96</v>
      </c>
      <c r="F3" s="5"/>
      <c r="G3" s="5"/>
      <c r="H3" s="6" t="s">
        <v>97</v>
      </c>
      <c r="I3" s="7" t="s">
        <v>98</v>
      </c>
      <c r="J3" s="7" t="s">
        <v>99</v>
      </c>
      <c r="K3" s="8">
        <f t="shared" ca="1" si="0"/>
        <v>45762</v>
      </c>
      <c r="L3" s="9" t="s">
        <v>96</v>
      </c>
      <c r="M3" s="10" t="s">
        <v>100</v>
      </c>
      <c r="N3" s="7">
        <v>1</v>
      </c>
      <c r="O3" s="11" t="s">
        <v>102</v>
      </c>
      <c r="P3" s="12">
        <v>3</v>
      </c>
      <c r="Q3" s="7" t="s">
        <v>104</v>
      </c>
      <c r="R3" s="7" t="s">
        <v>105</v>
      </c>
      <c r="S3" s="13" t="s">
        <v>106</v>
      </c>
      <c r="T3" s="13" t="s">
        <v>106</v>
      </c>
      <c r="U3" s="7" t="s">
        <v>99</v>
      </c>
      <c r="V3" s="14" t="s">
        <v>107</v>
      </c>
      <c r="W3" s="15" t="s">
        <v>108</v>
      </c>
      <c r="X3" s="7" t="s">
        <v>99</v>
      </c>
      <c r="Y3" s="8">
        <f t="shared" ca="1" si="1"/>
        <v>45762</v>
      </c>
      <c r="Z3" s="7" t="s">
        <v>109</v>
      </c>
      <c r="AA3" s="16" t="s">
        <v>148</v>
      </c>
      <c r="AB3" s="17" t="s">
        <v>149</v>
      </c>
      <c r="AC3" s="18" t="s">
        <v>150</v>
      </c>
      <c r="AD3" s="19" t="s">
        <v>151</v>
      </c>
      <c r="AE3" s="9">
        <v>846</v>
      </c>
      <c r="AF3" s="9" t="s">
        <v>57</v>
      </c>
      <c r="AG3" s="18">
        <v>10</v>
      </c>
      <c r="AH3" s="18" t="s">
        <v>152</v>
      </c>
      <c r="AI3" s="9" t="s">
        <v>115</v>
      </c>
      <c r="AJ3" s="31" t="s">
        <v>110</v>
      </c>
      <c r="AK3" s="20">
        <f t="shared" ca="1" si="2"/>
        <v>45852</v>
      </c>
      <c r="AL3" s="7" t="s">
        <v>116</v>
      </c>
      <c r="AM3" s="18" t="s">
        <v>153</v>
      </c>
      <c r="AN3" s="21" t="s">
        <v>154</v>
      </c>
      <c r="AO3" s="7" t="s">
        <v>119</v>
      </c>
      <c r="AP3" s="18" t="s">
        <v>120</v>
      </c>
      <c r="AQ3" s="7" t="s">
        <v>121</v>
      </c>
      <c r="AR3" s="18" t="s">
        <v>121</v>
      </c>
      <c r="AS3" s="14" t="s">
        <v>110</v>
      </c>
      <c r="AT3" s="7" t="s">
        <v>122</v>
      </c>
      <c r="AU3" s="17" t="str">
        <f t="shared" si="3"/>
        <v>Permanent</v>
      </c>
      <c r="AV3" s="14" t="s">
        <v>123</v>
      </c>
      <c r="AW3" s="22">
        <f t="shared" ca="1" si="4"/>
        <v>45761</v>
      </c>
      <c r="AX3" s="22">
        <f t="shared" ca="1" si="5"/>
        <v>45761</v>
      </c>
      <c r="AY3" s="32" t="str">
        <f t="shared" si="6"/>
        <v>N/A</v>
      </c>
      <c r="AZ3" s="13" t="s">
        <v>96</v>
      </c>
      <c r="BA3" s="13" t="s">
        <v>155</v>
      </c>
      <c r="BB3" s="23">
        <f ca="1"/>
        <v>747070771</v>
      </c>
      <c r="BC3" s="14">
        <v>36526</v>
      </c>
      <c r="BD3" s="14">
        <v>51136</v>
      </c>
      <c r="BE3" s="13" t="s">
        <v>96</v>
      </c>
      <c r="BF3" s="13" t="s">
        <v>127</v>
      </c>
      <c r="BG3" s="23">
        <f ca="1"/>
        <v>7172281713</v>
      </c>
      <c r="BH3" s="14">
        <v>36526</v>
      </c>
      <c r="BI3" s="14">
        <v>51136</v>
      </c>
      <c r="BJ3" s="9" t="s">
        <v>128</v>
      </c>
      <c r="BK3" s="18" t="s">
        <v>156</v>
      </c>
      <c r="BL3" s="24">
        <v>32875</v>
      </c>
      <c r="BM3" s="25" t="s">
        <v>96</v>
      </c>
      <c r="BN3" s="13" t="s">
        <v>106</v>
      </c>
      <c r="BO3" s="21" t="s">
        <v>130</v>
      </c>
      <c r="BP3" s="26" t="s">
        <v>110</v>
      </c>
      <c r="BQ3" s="13" t="s">
        <v>131</v>
      </c>
      <c r="BR3" s="13" t="s">
        <v>96</v>
      </c>
      <c r="BS3" s="18" t="s">
        <v>121</v>
      </c>
      <c r="BT3" s="19" t="s">
        <v>110</v>
      </c>
      <c r="BU3" s="21" t="s">
        <v>132</v>
      </c>
      <c r="BV3" s="21" t="s">
        <v>133</v>
      </c>
      <c r="BW3" s="13" t="s">
        <v>134</v>
      </c>
      <c r="BX3" s="27" t="s">
        <v>157</v>
      </c>
      <c r="BY3" s="13" t="s">
        <v>136</v>
      </c>
      <c r="BZ3" s="13" t="s">
        <v>137</v>
      </c>
      <c r="CA3" s="28" t="s">
        <v>110</v>
      </c>
      <c r="CB3" s="28" t="s">
        <v>110</v>
      </c>
      <c r="CC3" s="28" t="s">
        <v>110</v>
      </c>
      <c r="CD3" s="28" t="s">
        <v>110</v>
      </c>
      <c r="CE3" s="28" t="s">
        <v>110</v>
      </c>
      <c r="CF3" s="28" t="s">
        <v>110</v>
      </c>
      <c r="CG3" s="28" t="s">
        <v>110</v>
      </c>
      <c r="CH3" s="28" t="s">
        <v>110</v>
      </c>
      <c r="CI3" s="28" t="s">
        <v>110</v>
      </c>
      <c r="CJ3" s="13" t="s">
        <v>142</v>
      </c>
      <c r="CK3" s="13" t="s">
        <v>143</v>
      </c>
      <c r="CL3" s="13" t="s">
        <v>96</v>
      </c>
      <c r="CM3" s="13" t="s">
        <v>158</v>
      </c>
      <c r="CN3" s="13" t="s">
        <v>145</v>
      </c>
      <c r="CO3" s="17" t="s">
        <v>159</v>
      </c>
      <c r="CP3" s="19" t="s">
        <v>160</v>
      </c>
      <c r="CQ3" s="29" t="s">
        <v>106</v>
      </c>
      <c r="CR3" s="30">
        <v>31048</v>
      </c>
      <c r="CS3" s="19" t="s">
        <v>161</v>
      </c>
      <c r="CT3" s="28">
        <v>1234011</v>
      </c>
      <c r="CU3" s="28">
        <v>123456011</v>
      </c>
      <c r="CV3" s="28"/>
    </row>
  </sheetData>
  <dataValidations count="2">
    <dataValidation type="list" allowBlank="1" showInputMessage="1" showErrorMessage="1" sqref="AV2 Z2 X2 U2 I2:J2 CC2 BW2" xr:uid="{00000000-0002-0000-0000-000000000000}">
      <formula1>INDIRECT($C2)</formula1>
    </dataValidation>
    <dataValidation type="list" allowBlank="1" showInputMessage="1" showErrorMessage="1" sqref="AV3 Z3 X3 U3 I3:J3 BW3" xr:uid="{00000000-0002-0000-0000-000001000000}">
      <formula1>INDIRECT($E3)</formula1>
    </dataValidation>
  </dataValidations>
  <hyperlinks>
    <hyperlink ref="W2" r:id="rId1" xr:uid="{00000000-0004-0000-0000-000000000000}"/>
    <hyperlink ref="W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2025-05-16T10:00:36Z</dcterms:modified>
</cp:coreProperties>
</file>