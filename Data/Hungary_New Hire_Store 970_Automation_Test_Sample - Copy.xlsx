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1" name="Sheet1" state="visible" r:id="rId4"/>
  </sheets>
  <definedNames>
    <definedName name="_xlnm._FilterDatabase">Sheet1!$A$1:$CU$7</definedName>
  </definedNames>
  <calcPr calcId="171027"/>
</workbook>
</file>

<file path=xl/sharedStrings.xml><?xml version="1.0" encoding="utf-8"?>
<sst xmlns="http://schemas.openxmlformats.org/spreadsheetml/2006/main" count="595" uniqueCount="195">
  <si>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</si>
  <si>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</si>
  <si>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</si>
  <si>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</si>
  <si>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</si>
  <si>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</si>
  <si>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</si>
  <si>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</si>
  <si>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</si>
  <si>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</si>
  <si>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</si>
  <si>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</t>
  </si>
  <si>
    <t>BuildingNumber</t>
  </si>
  <si>
    <t>StreetOrPlaceName</t>
  </si>
  <si>
    <t>StreetOrPlaceType</t>
  </si>
  <si>
    <t>StreetNumber</t>
  </si>
  <si>
    <t>PostalCode</t>
  </si>
  <si>
    <t>City</t>
  </si>
  <si>
    <t>County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</si>
  <si>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</si>
  <si>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</si>
  <si>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</si>
  <si>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</si>
  <si>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</si>
  <si>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</si>
  <si>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</si>
  <si>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</si>
  <si>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</si>
  <si>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</si>
  <si>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</si>
  <si>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</si>
  <si>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</si>
  <si>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</si>
  <si>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ProbationEndDate</t>
  </si>
  <si>
    <t>Comments</t>
  </si>
  <si>
    <t>CostCenter</t>
  </si>
  <si>
    <t>DepartmentSection</t>
  </si>
  <si>
    <t>ProposedPayGroupFinal</t>
  </si>
  <si>
    <t>MainJob</t>
  </si>
  <si>
    <t>Pensioner</t>
  </si>
  <si>
    <t>Carer</t>
  </si>
  <si>
    <t>ContractID</t>
  </si>
  <si>
    <t>ContractType</t>
  </si>
  <si>
    <t>Status</t>
  </si>
  <si>
    <t>DateEmployeeSigned</t>
  </si>
  <si>
    <t>DateEmployerSigned</t>
  </si>
  <si>
    <t>ContractEndDate</t>
  </si>
  <si>
    <t>Country1</t>
  </si>
  <si>
    <t>NationalIDType1</t>
  </si>
  <si>
    <t>AddEditID1</t>
  </si>
  <si>
    <t>IssuedDate1</t>
  </si>
  <si>
    <t>ExpirationDate1</t>
  </si>
  <si>
    <t>Country2</t>
  </si>
  <si>
    <t>NationalIDType2</t>
  </si>
  <si>
    <t>AddEditID2</t>
  </si>
  <si>
    <t>IssuedDate2</t>
  </si>
  <si>
    <t>ExpirationDate2</t>
  </si>
  <si>
    <t>Salary</t>
  </si>
  <si>
    <t>Gender</t>
  </si>
  <si>
    <t>DateOfBirth</t>
  </si>
  <si>
    <t>CountryOfBirth</t>
  </si>
  <si>
    <t>CityOfBirth</t>
  </si>
  <si>
    <t>MaritalStatus</t>
  </si>
  <si>
    <t>MaritalStatusDate</t>
  </si>
  <si>
    <t>CitizenshipStatus</t>
  </si>
  <si>
    <t>PrimaryNationality</t>
  </si>
  <si>
    <t>Disability</t>
  </si>
  <si>
    <t>DisabilityDegree</t>
  </si>
  <si>
    <t>BankName</t>
  </si>
  <si>
    <t>BankIdentificationCode</t>
  </si>
  <si>
    <t>AccountType</t>
  </si>
  <si>
    <t>AccountNumber</t>
  </si>
  <si>
    <t>IBAN</t>
  </si>
  <si>
    <t>AccountNickname</t>
  </si>
  <si>
    <t>BankName2</t>
  </si>
  <si>
    <t>BankIdentificationCode2</t>
  </si>
  <si>
    <t>AccountType2</t>
  </si>
  <si>
    <t>AccountNumber2</t>
  </si>
  <si>
    <t>IBAN2</t>
  </si>
  <si>
    <t>AccountNickname2</t>
  </si>
  <si>
    <t>PaymentType</t>
  </si>
  <si>
    <t>Account</t>
  </si>
  <si>
    <t>Percent</t>
  </si>
  <si>
    <t>NameType</t>
  </si>
  <si>
    <t>NameType2</t>
  </si>
  <si>
    <t>GivenName1</t>
  </si>
  <si>
    <t>FamilyName1</t>
  </si>
  <si>
    <t>Relationship1</t>
  </si>
  <si>
    <t>DependentName1</t>
  </si>
  <si>
    <t>DependentPlaceofBirth1</t>
  </si>
  <si>
    <t>DependentDateofBirth1</t>
  </si>
  <si>
    <t>DependentMothersMaidenName1</t>
  </si>
  <si>
    <t>DependentTaxID1</t>
  </si>
  <si>
    <t>DependentSocialSecurityNumber1</t>
  </si>
  <si>
    <t>E2E001_HU_HIR_TC001</t>
  </si>
  <si>
    <t>10699078</t>
  </si>
  <si>
    <t>Passed</t>
  </si>
  <si>
    <t>970 Recruitment (Hungary PCManager (10698631))</t>
  </si>
  <si>
    <t>Hungary</t>
  </si>
  <si>
    <t>Ambrose</t>
  </si>
  <si>
    <t>Harvey</t>
  </si>
  <si>
    <t>(061)2123123</t>
  </si>
  <si>
    <t>Mobile</t>
  </si>
  <si>
    <t>Home</t>
  </si>
  <si>
    <t>Automation Street Name</t>
  </si>
  <si>
    <t>A</t>
  </si>
  <si>
    <t>Csabai Kapu</t>
  </si>
  <si>
    <t>N</t>
  </si>
  <si>
    <t>123</t>
  </si>
  <si>
    <t>1046</t>
  </si>
  <si>
    <t>Budapest</t>
  </si>
  <si>
    <t>Street Address</t>
  </si>
  <si>
    <t>automation@qe.com</t>
  </si>
  <si>
    <t>New Hire</t>
  </si>
  <si>
    <t>N/A</t>
  </si>
  <si>
    <t>Permanent</t>
  </si>
  <si>
    <t>Retail Assistant_NEW</t>
  </si>
  <si>
    <t>Full Time</t>
  </si>
  <si>
    <t>REGULAR - Regular Shift Pattern (Hungary Regular &amp; Irregular Shift Pattern-Hungary)</t>
  </si>
  <si>
    <t>5 Days</t>
  </si>
  <si>
    <t>Automation Comments here….</t>
  </si>
  <si>
    <t xml:space="preserve">94 Retail Operatives </t>
  </si>
  <si>
    <t>01 Accessories</t>
  </si>
  <si>
    <t>HU Monthly</t>
  </si>
  <si>
    <t>Yes</t>
  </si>
  <si>
    <t>No</t>
  </si>
  <si>
    <t xml:space="preserve">Defaulted
</t>
  </si>
  <si>
    <t>Active</t>
  </si>
  <si>
    <t>Social Security (TAJ) Number</t>
  </si>
  <si>
    <t>01/01/2000</t>
  </si>
  <si>
    <t>01/01/2040</t>
  </si>
  <si>
    <t>Tax ID Number</t>
  </si>
  <si>
    <t>Defaulted</t>
  </si>
  <si>
    <t>Male</t>
  </si>
  <si>
    <t>Single</t>
  </si>
  <si>
    <t>Citizen (Hungary)</t>
  </si>
  <si>
    <t>ALLAMADOSSA KEZELO KOZPONT RT.</t>
  </si>
  <si>
    <t>AKKHHUHB</t>
  </si>
  <si>
    <t>Checking</t>
  </si>
  <si>
    <t>9999999999999999</t>
  </si>
  <si>
    <t>HU93116000060000000012345676</t>
  </si>
  <si>
    <t xml:space="preserve">Payroll Bank Account </t>
  </si>
  <si>
    <t>Hungarian National Bank</t>
  </si>
  <si>
    <t>GHUNHUHAXXX</t>
  </si>
  <si>
    <t>SZEP Bank Account</t>
  </si>
  <si>
    <t>SZEP card</t>
  </si>
  <si>
    <t>Maiden</t>
  </si>
  <si>
    <t>Mother's Maiden Name</t>
  </si>
  <si>
    <t>MaidenAuto</t>
  </si>
  <si>
    <t>MaidenMothers</t>
  </si>
  <si>
    <t>E2E001_HU_HIR_TC002</t>
  </si>
  <si>
    <t>10699079</t>
  </si>
  <si>
    <t>970 Store Management (Hungary StoreMgr (10698630))</t>
  </si>
  <si>
    <t>Ladarius</t>
  </si>
  <si>
    <t>Von</t>
  </si>
  <si>
    <t>B</t>
  </si>
  <si>
    <t>F</t>
  </si>
  <si>
    <t>Auto 44574514</t>
  </si>
  <si>
    <t>Team Manager - Retail_NEW</t>
  </si>
  <si>
    <t>IRREGULAR - Irregular Shift Pattern (Hungary Regular &amp; Irregular Shift Pattern-Hungary)</t>
  </si>
  <si>
    <t xml:space="preserve">92 Retail Management </t>
  </si>
  <si>
    <t>251 Management Retail</t>
  </si>
  <si>
    <t>0000000098624423</t>
  </si>
  <si>
    <t>AutoMaiden</t>
  </si>
  <si>
    <t>E2E001_HU_HIR_TC003</t>
  </si>
  <si>
    <t>10699075</t>
  </si>
  <si>
    <t>HUEEDMThree</t>
  </si>
  <si>
    <t>HUEE</t>
  </si>
  <si>
    <t>Auto 93725736</t>
  </si>
  <si>
    <t>Fixed Term (Fixed Term)</t>
  </si>
  <si>
    <t>Department Manager_NEW</t>
  </si>
  <si>
    <t>Fixed Term</t>
  </si>
  <si>
    <t>085804074</t>
  </si>
  <si>
    <t>E2E001_HU_HIR_TC004</t>
  </si>
  <si>
    <t xml:space="preserve">Test failed for 'HUEEPNCMFour HUEE' Employee:{undefined}TimeoutError: locator.click: Timeout 30000ms exceeded.
Call log:
  [2m- waiting for getByLabel('Work Shift').first()[22m
</t>
  </si>
  <si>
    <t>HUEEPNCMFour</t>
  </si>
  <si>
    <t>Auto 71325803</t>
  </si>
  <si>
    <t>In-Store P&amp;C Manager_NEW</t>
  </si>
  <si>
    <t>085804081</t>
  </si>
  <si>
    <t>Female</t>
  </si>
  <si>
    <t>E2E001_HU_HIR_TC005</t>
  </si>
  <si>
    <t>10699076</t>
  </si>
  <si>
    <t>HUEERACFive</t>
  </si>
  <si>
    <t>Retail Assistant Cash Office_NEW</t>
  </si>
  <si>
    <t>258 Cash Office</t>
  </si>
  <si>
    <t>085804092</t>
  </si>
  <si>
    <t>Child</t>
  </si>
  <si>
    <t>ChildOne</t>
  </si>
  <si>
    <t>Mammy</t>
  </si>
  <si>
    <t>E2E001_HU_HIR_TC008</t>
  </si>
  <si>
    <t>10699077</t>
  </si>
  <si>
    <t>HUEERASix</t>
  </si>
  <si>
    <t>HUEEOne</t>
  </si>
  <si>
    <t>02 Hosiery</t>
  </si>
  <si>
    <t>085804102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</si>
</sst>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12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Calibri"/>
    </font>
    <font>
      <b/>
      <color rgb="FFFF0000"/>
      <family val="2"/>
      <scheme val="minor"/>
      <sz val="11"/>
      <name val="Calibri"/>
    </font>
    <font>
      <b/>
      <family val="2"/>
      <scheme val="minor"/>
      <sz val="11"/>
      <name val="Calibri"/>
    </font>
    <font>
      <b/>
      <u/>
      <family val="2"/>
      <scheme val="minor"/>
      <sz val="11"/>
      <name val="Calibri"/>
    </font>
    <font>
      <b/>
      <color rgb="FF000000"/>
      <family val="2"/>
      <scheme val="minor"/>
      <sz val="11"/>
      <name val="Calibri"/>
    </font>
    <font>
      <b/>
      <color indexed="8"/>
      <family val="2"/>
      <sz val="11"/>
      <name val="Calibri"/>
    </font>
    <font>
      <color rgb="FFFF0000"/>
      <family val="2"/>
      <scheme val="minor"/>
      <sz val="11"/>
      <name val="Calibri"/>
    </font>
    <font>
      <family val="2"/>
      <scheme val="minor"/>
      <sz val="11"/>
      <name val="Calibri"/>
    </font>
    <font>
      <u/>
      <family val="2"/>
      <scheme val="minor"/>
      <sz val="11"/>
      <name val="Calibri"/>
    </font>
    <font>
      <color rgb="FF000000"/>
      <family val="2"/>
      <scheme val="minor"/>
      <sz val="11"/>
      <name val="Calibri"/>
    </font>
    <font>
      <color indexed="8"/>
      <family val="2"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00FF00"/>
      </patternFill>
    </fill>
    <fill>
      <patternFill patternType="solid">
        <fgColor theme="5" tint="0.7999816888943144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  <xf numFmtId="0" fontId="1" fillId="4" borderId="1" xfId="0" applyFont="1" applyFill="1" applyBorder="1"/>
    <xf numFmtId="0" fontId="1" fillId="4" borderId="1" xfId="0" applyFont="1" applyFill="1" applyBorder="1" applyAlignment="1">
      <alignment wrapText="1"/>
    </xf>
    <xf numFmtId="0" fontId="2" fillId="2" borderId="1" xfId="0" applyFont="1" applyFill="1" applyBorder="1"/>
    <xf numFmtId="0" fontId="3" fillId="4" borderId="1" xfId="0" applyFont="1" applyFill="1" applyBorder="1" applyAlignment="1">
      <alignment horizontal="left"/>
    </xf>
    <xf numFmtId="0" fontId="1" fillId="3" borderId="1" xfId="0" applyFont="1" applyFill="1" applyBorder="1"/>
    <xf numFmtId="0" fontId="3" fillId="4" borderId="1" xfId="0" applyFont="1" applyFill="1" applyBorder="1" applyAlignment="1" applyProtection="1">
      <alignment horizontal="left"/>
      <protection locked="0"/>
    </xf>
    <xf numFmtId="14" fontId="2" fillId="0" borderId="1" xfId="0" applyNumberFormat="1" applyFont="1" applyBorder="1" applyAlignment="1">
      <alignment horizontal="left"/>
    </xf>
    <xf numFmtId="0" fontId="3" fillId="4" borderId="1" xfId="0" applyFont="1" applyFill="1" applyBorder="1" applyProtection="1">
      <protection locked="0"/>
    </xf>
    <xf numFmtId="0" fontId="1" fillId="4" borderId="1" xfId="0" applyFont="1" applyFill="1" applyBorder="1" applyAlignment="1" applyProtection="1">
      <alignment horizontal="left" vertical="top"/>
      <protection locked="0"/>
    </xf>
    <xf numFmtId="0" fontId="3" fillId="4" borderId="1" xfId="0" applyFont="1" applyFill="1" applyBorder="1" applyAlignment="1">
      <alignment horizontal="center"/>
    </xf>
    <xf numFmtId="164" fontId="3" fillId="4" borderId="1" xfId="0" applyNumberFormat="1" applyFont="1" applyFill="1" applyBorder="1" applyAlignment="1" applyProtection="1">
      <alignment horizontal="left"/>
      <protection locked="0"/>
    </xf>
    <xf numFmtId="14" fontId="3" fillId="4" borderId="1" xfId="0" applyNumberFormat="1" applyFont="1" applyFill="1" applyBorder="1" applyAlignment="1">
      <alignment horizontal="left"/>
    </xf>
    <xf numFmtId="0" fontId="4" fillId="4" borderId="1" xfId="0" applyFont="1" applyFill="1" applyBorder="1" applyProtection="1">
      <protection locked="0"/>
    </xf>
    <xf numFmtId="14" fontId="2" fillId="3" borderId="1" xfId="0" applyNumberFormat="1" applyFont="1" applyFill="1" applyBorder="1" applyAlignment="1">
      <alignment horizontal="left"/>
    </xf>
    <xf numFmtId="0" fontId="3" fillId="3" borderId="1" xfId="0" applyFont="1" applyFill="1" applyBorder="1"/>
    <xf numFmtId="0" fontId="5" fillId="3" borderId="1" xfId="0" applyFont="1" applyFill="1" applyBorder="1"/>
    <xf numFmtId="0" fontId="3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14" fontId="2" fillId="4" borderId="1" xfId="0" applyNumberFormat="1" applyFont="1" applyFill="1" applyBorder="1" applyAlignment="1">
      <alignment horizontal="left"/>
    </xf>
    <xf numFmtId="0" fontId="5" fillId="4" borderId="1" xfId="0" applyFont="1" applyFill="1" applyBorder="1"/>
    <xf numFmtId="0" fontId="5" fillId="0" borderId="1" xfId="0" applyFont="1" applyBorder="1"/>
    <xf numFmtId="14" fontId="1" fillId="4" borderId="1" xfId="0" applyNumberFormat="1" applyFont="1" applyFill="1" applyBorder="1"/>
    <xf numFmtId="14" fontId="2" fillId="4" borderId="1" xfId="0" applyNumberFormat="1" applyFont="1" applyFill="1" applyBorder="1"/>
    <xf numFmtId="14" fontId="5" fillId="3" borderId="1" xfId="0" applyNumberFormat="1" applyFont="1" applyFill="1" applyBorder="1"/>
    <xf numFmtId="0" fontId="6" fillId="4" borderId="1" xfId="0" applyFont="1" applyFill="1" applyBorder="1" applyAlignment="1">
      <alignment horizontal="left"/>
    </xf>
    <xf numFmtId="0" fontId="3" fillId="4" borderId="1" xfId="0" applyFont="1" applyFill="1" applyBorder="1"/>
    <xf numFmtId="15" fontId="3" fillId="4" borderId="1" xfId="0" applyNumberFormat="1" applyFont="1" applyFill="1" applyBorder="1"/>
    <xf numFmtId="49" fontId="3" fillId="4" borderId="1" xfId="0" applyNumberFormat="1" applyFont="1" applyFill="1" applyBorder="1" applyAlignment="1" applyProtection="1">
      <alignment horizontal="left"/>
      <protection locked="0"/>
    </xf>
    <xf numFmtId="1" fontId="3" fillId="4" borderId="1" xfId="0" applyNumberFormat="1" applyFont="1" applyFill="1" applyBorder="1" applyAlignment="1" applyProtection="1">
      <alignment horizontal="left"/>
      <protection locked="0"/>
    </xf>
    <xf numFmtId="14" fontId="3" fillId="3" borderId="1" xfId="0" applyNumberFormat="1" applyFont="1" applyFill="1" applyBorder="1" applyAlignment="1" applyProtection="1">
      <alignment horizontal="left" wrapText="1"/>
      <protection locked="0"/>
    </xf>
    <xf numFmtId="14" fontId="5" fillId="3" borderId="1" xfId="0" applyNumberFormat="1" applyFont="1" applyFill="1" applyBorder="1" applyAlignment="1">
      <alignment horizontal="left"/>
    </xf>
    <xf numFmtId="1" fontId="3" fillId="3" borderId="1" xfId="0" applyNumberFormat="1" applyFont="1" applyFill="1" applyBorder="1" applyAlignment="1" applyProtection="1">
      <alignment horizontal="left"/>
      <protection locked="0"/>
    </xf>
    <xf numFmtId="0" fontId="0" fillId="0" borderId="0" xfId="0" applyAlignment="1">
      <alignment vertical="top" wrapText="1"/>
    </xf>
    <xf numFmtId="0" fontId="0" fillId="2" borderId="1" xfId="0" applyFill="1" applyBorder="1" applyAlignment="1">
      <alignment horizontal="left" vertical="top" wrapText="1"/>
    </xf>
    <xf numFmtId="0" fontId="0" fillId="5" borderId="1" xfId="0" applyFill="1" applyBorder="1" applyAlignment="1">
      <alignment horizontal="left" vertical="top"/>
    </xf>
    <xf numFmtId="0" fontId="7" fillId="2" borderId="1" xfId="0" applyFont="1" applyFill="1" applyBorder="1" applyAlignment="1">
      <alignment horizontal="left" vertical="top"/>
    </xf>
    <xf numFmtId="0" fontId="8" fillId="0" borderId="1" xfId="0" applyFont="1" applyBorder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0" fontId="8" fillId="0" borderId="1" xfId="0" applyFont="1" applyBorder="1" applyAlignment="1" applyProtection="1">
      <alignment horizontal="left" vertical="top"/>
      <protection locked="0"/>
    </xf>
    <xf numFmtId="14" fontId="7" fillId="0" borderId="1" xfId="0" applyNumberFormat="1" applyFont="1" applyBorder="1" applyAlignment="1">
      <alignment horizontal="left" vertical="top"/>
    </xf>
    <xf numFmtId="0" fontId="0" fillId="0" borderId="1" xfId="0" applyBorder="1" applyAlignment="1" applyProtection="1">
      <alignment horizontal="left" vertical="top"/>
      <protection locked="0"/>
    </xf>
    <xf numFmtId="164" fontId="8" fillId="0" borderId="1" xfId="0" applyNumberFormat="1" applyFont="1" applyBorder="1" applyAlignment="1" applyProtection="1">
      <alignment horizontal="left" vertical="top"/>
      <protection locked="0"/>
    </xf>
    <xf numFmtId="14" fontId="8" fillId="0" borderId="1" xfId="0" applyNumberFormat="1" applyFont="1" applyBorder="1" applyAlignment="1">
      <alignment horizontal="left" vertical="top"/>
    </xf>
    <xf numFmtId="0" fontId="9" fillId="0" borderId="1" xfId="0" applyFont="1" applyBorder="1" applyAlignment="1" applyProtection="1">
      <alignment horizontal="left" vertical="top"/>
      <protection locked="0"/>
    </xf>
    <xf numFmtId="14" fontId="7" fillId="3" borderId="1" xfId="0" applyNumberFormat="1" applyFont="1" applyFill="1" applyBorder="1" applyAlignment="1">
      <alignment horizontal="left" vertical="top"/>
    </xf>
    <xf numFmtId="14" fontId="8" fillId="6" borderId="1" xfId="0" applyNumberFormat="1" applyFont="1" applyFill="1" applyBorder="1" applyAlignment="1">
      <alignment horizontal="left" vertical="top"/>
    </xf>
    <xf numFmtId="0" fontId="8" fillId="3" borderId="1" xfId="0" applyFont="1" applyFill="1" applyBorder="1" applyAlignment="1">
      <alignment horizontal="left" vertical="top"/>
    </xf>
    <xf numFmtId="0" fontId="10" fillId="3" borderId="1" xfId="0" applyFont="1" applyFill="1" applyBorder="1" applyAlignment="1">
      <alignment horizontal="left" vertical="top"/>
    </xf>
    <xf numFmtId="0" fontId="10" fillId="0" borderId="1" xfId="0" applyFont="1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14" fontId="10" fillId="3" borderId="1" xfId="0" applyNumberFormat="1" applyFont="1" applyFill="1" applyBorder="1" applyAlignment="1">
      <alignment horizontal="left" vertical="top"/>
    </xf>
    <xf numFmtId="0" fontId="11" fillId="0" borderId="1" xfId="0" applyFont="1" applyBorder="1" applyAlignment="1">
      <alignment horizontal="left" vertical="top"/>
    </xf>
    <xf numFmtId="15" fontId="8" fillId="0" borderId="1" xfId="0" applyNumberFormat="1" applyFont="1" applyBorder="1" applyAlignment="1">
      <alignment horizontal="left" vertical="top"/>
    </xf>
    <xf numFmtId="49" fontId="8" fillId="0" borderId="1" xfId="0" applyNumberFormat="1" applyFont="1" applyBorder="1" applyAlignment="1" applyProtection="1">
      <alignment horizontal="left" vertical="top"/>
      <protection locked="0"/>
    </xf>
    <xf numFmtId="1" fontId="8" fillId="0" borderId="1" xfId="0" applyNumberFormat="1" applyFont="1" applyBorder="1" applyAlignment="1" applyProtection="1">
      <alignment horizontal="left" vertical="top"/>
      <protection locked="0"/>
    </xf>
    <xf numFmtId="14" fontId="8" fillId="3" borderId="1" xfId="0" applyNumberFormat="1" applyFont="1" applyFill="1" applyBorder="1" applyAlignment="1" applyProtection="1">
      <alignment horizontal="left" vertical="top" wrapText="1"/>
      <protection locked="0"/>
    </xf>
    <xf numFmtId="1" fontId="8" fillId="3" borderId="1" xfId="0" applyNumberFormat="1" applyFont="1" applyFill="1" applyBorder="1" applyAlignment="1" applyProtection="1">
      <alignment horizontal="left" vertical="top"/>
      <protection locked="0"/>
    </xf>
    <xf numFmtId="0" fontId="0" fillId="5" borderId="1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automation@qe.com" TargetMode="External"/><Relationship Id="rId2" Type="http://schemas.openxmlformats.org/officeDocument/2006/relationships/hyperlink" Target="mailto:automation@qe.com" TargetMode="External"/><Relationship Id="rId3" Type="http://schemas.openxmlformats.org/officeDocument/2006/relationships/hyperlink" Target="mailto:automation@qe.com" TargetMode="External"/><Relationship Id="rId4" Type="http://schemas.openxmlformats.org/officeDocument/2006/relationships/hyperlink" Target="mailto:automation@qe.com" TargetMode="External"/><Relationship Id="rId5" Type="http://schemas.openxmlformats.org/officeDocument/2006/relationships/hyperlink" Target="mailto:automation@qe.com" TargetMode="External"/><Relationship Id="rId6" Type="http://schemas.openxmlformats.org/officeDocument/2006/relationships/hyperlink" Target="mailto:automation@q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7"/>
  <sheetViews>
    <sheetView workbookViewId="0" zoomScale="124" zoomScaleNormal="124">
      <selection activeCell="BG4" sqref="BG4"/>
    </sheetView>
  </sheetViews>
  <sheetFormatPr defaultRowHeight="14.5" outlineLevelRow="0" outlineLevelCol="0" x14ac:dyDescent="0.35" defaultColWidth="8.7265625" customHeight="1"/>
  <cols>
    <col min="1" max="1" width="20.7265625" customWidth="1"/>
    <col min="2" max="2" width="37.453125" customWidth="1"/>
    <col min="3" max="3" width="21.08984375" customWidth="1"/>
    <col min="4" max="4" width="48.26953125" style="1" customWidth="1"/>
    <col min="5" max="5" width="28.81640625" hidden="1" customWidth="1"/>
    <col min="6" max="6" width="15" customWidth="1"/>
    <col min="7" max="7" width="12.1796875" customWidth="1"/>
    <col min="8" max="8" width="13.81640625" customWidth="1"/>
    <col min="9" max="10" width="8.7265625" customWidth="1"/>
    <col min="11" max="11" width="21.54296875" customWidth="1"/>
    <col min="12" max="12" width="8.7265625" customWidth="1"/>
    <col min="13" max="17" width="26.7265625" customWidth="1"/>
    <col min="18" max="24" width="8.7265625" customWidth="1"/>
    <col min="25" max="25" width="23.26953125" customWidth="1"/>
    <col min="26" max="26" width="11.453125" customWidth="1"/>
    <col min="27" max="27" width="13.81640625" customWidth="1"/>
    <col min="28" max="28" width="20.54296875" customWidth="1"/>
    <col min="29" max="29" width="30.81640625" customWidth="1"/>
    <col min="31" max="31" width="8.7265625" customWidth="1"/>
    <col min="32" max="32" width="18" customWidth="1"/>
    <col min="34" max="34" width="75.453125" customWidth="1"/>
    <col min="35" max="35" width="13.1796875" customWidth="1"/>
    <col min="36" max="36" width="19.1796875" customWidth="1"/>
    <col min="37" max="37" width="28" customWidth="1"/>
    <col min="38" max="38" width="26.453125" customWidth="1"/>
    <col min="39" max="39" width="19.81640625" customWidth="1"/>
    <col min="40" max="40" width="31.7265625" customWidth="1"/>
    <col min="41" max="41" width="26.453125" customWidth="1"/>
    <col min="42" max="42" width="8.7265625" customWidth="1"/>
    <col min="43" max="43" width="12.1796875" customWidth="1"/>
    <col min="44" max="44" width="7.81640625" customWidth="1"/>
    <col min="45" max="45" width="7.54296875" customWidth="1"/>
    <col min="46" max="46" width="10.1796875" customWidth="1"/>
    <col min="47" max="47" width="21.1796875" style="2" customWidth="1"/>
    <col min="48" max="48" width="6.1796875" customWidth="1"/>
    <col min="49" max="49" width="18.81640625" customWidth="1"/>
    <col min="50" max="50" width="18.54296875" customWidth="1"/>
    <col min="51" max="51" width="13.81640625" customWidth="1"/>
    <col min="52" max="52" width="15.1796875" customWidth="1"/>
    <col min="53" max="53" width="24.81640625" customWidth="1"/>
    <col min="54" max="54" width="11.54296875" customWidth="1"/>
    <col min="55" max="55" width="11.1796875" customWidth="1"/>
    <col min="56" max="56" width="14.54296875" customWidth="1"/>
    <col min="57" max="57" width="8.7265625" customWidth="1"/>
    <col min="58" max="58" width="14.81640625" customWidth="1"/>
    <col min="59" max="59" width="11.54296875" customWidth="1"/>
    <col min="60" max="60" width="11.1796875" customWidth="1"/>
    <col min="61" max="61" width="14.54296875" customWidth="1"/>
    <col min="62" max="62" width="9.1796875" customWidth="1"/>
    <col min="63" max="63" width="7.1796875" style="2" customWidth="1"/>
    <col min="64" max="64" width="15.1796875" customWidth="1"/>
    <col min="65" max="65" width="14" hidden="1" customWidth="1"/>
    <col min="66" max="66" width="12.54296875" hidden="1" customWidth="1"/>
    <col min="67" max="70" width="8.7265625" hidden="1" customWidth="1"/>
    <col min="72" max="72" width="14.7265625" customWidth="1"/>
    <col min="73" max="73" width="12.81640625" customWidth="1"/>
    <col min="74" max="74" width="10.54296875" customWidth="1"/>
    <col min="75" max="77" width="8.7265625" customWidth="1"/>
    <col min="78" max="78" width="21.54296875" customWidth="1"/>
    <col min="79" max="79" width="23.26953125" customWidth="1"/>
    <col min="80" max="88" width="8.7265625" customWidth="1"/>
    <col min="89" max="89" width="29.453125" customWidth="1"/>
    <col min="90" max="90" width="8.7265625" customWidth="1"/>
    <col min="91" max="91" width="20.54296875" customWidth="1"/>
    <col min="92" max="92" width="24.1796875" customWidth="1"/>
    <col min="93" max="93" width="15.54296875" customWidth="1"/>
    <col min="94" max="94" width="15.7265625" customWidth="1"/>
    <col min="95" max="95" width="16.81640625" customWidth="1"/>
    <col min="96" max="96" width="25.1796875" customWidth="1"/>
    <col min="97" max="97" width="35.453125" customWidth="1"/>
    <col min="98" max="98" width="54.81640625" customWidth="1"/>
    <col min="99" max="99" width="34.453125" customWidth="1"/>
  </cols>
  <sheetData>
    <row r="1" ht="14.5" customHeight="1" spans="1:99" s="3" customFormat="1" x14ac:dyDescent="0.25">
      <c r="A1" s="4" t="s">
        <v>0</v>
      </c>
      <c r="B1" s="5" t="s">
        <v>1</v>
      </c>
      <c r="C1" s="4" t="s">
        <v>2</v>
      </c>
      <c r="D1" s="6" t="s">
        <v>3</v>
      </c>
      <c r="E1" s="7" t="s">
        <v>4</v>
      </c>
      <c r="F1" s="8" t="s">
        <v>5</v>
      </c>
      <c r="G1" s="8" t="s">
        <v>6</v>
      </c>
      <c r="H1" s="9" t="s">
        <v>7</v>
      </c>
      <c r="I1" s="9" t="s">
        <v>8</v>
      </c>
      <c r="J1" s="9" t="s">
        <v>9</v>
      </c>
      <c r="K1" s="10" t="s">
        <v>10</v>
      </c>
      <c r="L1" s="7" t="s">
        <v>4</v>
      </c>
      <c r="M1" s="11" t="s">
        <v>11</v>
      </c>
      <c r="N1" s="9" t="s">
        <v>12</v>
      </c>
      <c r="O1" s="12" t="s">
        <v>13</v>
      </c>
      <c r="P1" s="13" t="s">
        <v>14</v>
      </c>
      <c r="Q1" s="9" t="s">
        <v>15</v>
      </c>
      <c r="R1" s="9" t="s">
        <v>16</v>
      </c>
      <c r="S1" s="14" t="s">
        <v>17</v>
      </c>
      <c r="T1" s="14" t="s">
        <v>18</v>
      </c>
      <c r="U1" s="9" t="s">
        <v>9</v>
      </c>
      <c r="V1" s="15" t="s">
        <v>19</v>
      </c>
      <c r="W1" s="16" t="s">
        <v>20</v>
      </c>
      <c r="X1" s="9" t="s">
        <v>9</v>
      </c>
      <c r="Y1" s="17" t="s">
        <v>21</v>
      </c>
      <c r="Z1" s="9" t="s">
        <v>22</v>
      </c>
      <c r="AA1" s="15" t="s">
        <v>23</v>
      </c>
      <c r="AB1" s="18" t="s">
        <v>24</v>
      </c>
      <c r="AC1" s="18" t="s">
        <v>25</v>
      </c>
      <c r="AD1" s="18" t="s">
        <v>26</v>
      </c>
      <c r="AE1" s="7" t="s">
        <v>27</v>
      </c>
      <c r="AF1" s="7" t="s">
        <v>28</v>
      </c>
      <c r="AG1" s="18" t="s">
        <v>29</v>
      </c>
      <c r="AH1" s="19" t="s">
        <v>30</v>
      </c>
      <c r="AI1" s="20" t="s">
        <v>31</v>
      </c>
      <c r="AJ1" s="21" t="s">
        <v>32</v>
      </c>
      <c r="AK1" s="22" t="s">
        <v>33</v>
      </c>
      <c r="AL1" s="9" t="s">
        <v>34</v>
      </c>
      <c r="AM1" s="19" t="s">
        <v>35</v>
      </c>
      <c r="AN1" s="18" t="s">
        <v>36</v>
      </c>
      <c r="AO1" s="9" t="s">
        <v>37</v>
      </c>
      <c r="AP1" s="23" t="s">
        <v>38</v>
      </c>
      <c r="AQ1" s="9" t="s">
        <v>39</v>
      </c>
      <c r="AR1" s="24" t="s">
        <v>40</v>
      </c>
      <c r="AS1" s="15" t="s">
        <v>22</v>
      </c>
      <c r="AT1" s="9" t="s">
        <v>41</v>
      </c>
      <c r="AU1" s="19" t="s">
        <v>42</v>
      </c>
      <c r="AV1" s="15" t="s">
        <v>43</v>
      </c>
      <c r="AW1" s="25" t="s">
        <v>44</v>
      </c>
      <c r="AX1" s="25" t="s">
        <v>45</v>
      </c>
      <c r="AY1" s="26" t="s">
        <v>46</v>
      </c>
      <c r="AZ1" s="14" t="s">
        <v>47</v>
      </c>
      <c r="BA1" s="14" t="s">
        <v>48</v>
      </c>
      <c r="BB1" s="24" t="s">
        <v>49</v>
      </c>
      <c r="BC1" s="15" t="s">
        <v>50</v>
      </c>
      <c r="BD1" s="15" t="s">
        <v>51</v>
      </c>
      <c r="BE1" s="14" t="s">
        <v>52</v>
      </c>
      <c r="BF1" s="14" t="s">
        <v>53</v>
      </c>
      <c r="BG1" s="24" t="s">
        <v>54</v>
      </c>
      <c r="BH1" s="15" t="s">
        <v>55</v>
      </c>
      <c r="BI1" s="15" t="s">
        <v>56</v>
      </c>
      <c r="BJ1" s="7" t="s">
        <v>57</v>
      </c>
      <c r="BK1" s="19" t="s">
        <v>58</v>
      </c>
      <c r="BL1" s="27" t="s">
        <v>59</v>
      </c>
      <c r="BM1" s="28" t="s">
        <v>60</v>
      </c>
      <c r="BN1" s="14" t="s">
        <v>61</v>
      </c>
      <c r="BO1" s="29" t="s">
        <v>62</v>
      </c>
      <c r="BP1" s="30" t="s">
        <v>63</v>
      </c>
      <c r="BQ1" s="14" t="s">
        <v>64</v>
      </c>
      <c r="BR1" s="14" t="s">
        <v>65</v>
      </c>
      <c r="BS1" s="19" t="s">
        <v>66</v>
      </c>
      <c r="BT1" s="19" t="s">
        <v>67</v>
      </c>
      <c r="BU1" s="29" t="s">
        <v>68</v>
      </c>
      <c r="BV1" s="29" t="s">
        <v>69</v>
      </c>
      <c r="BW1" s="14" t="s">
        <v>70</v>
      </c>
      <c r="BX1" s="31" t="s">
        <v>71</v>
      </c>
      <c r="BY1" s="14" t="s">
        <v>72</v>
      </c>
      <c r="BZ1" s="14" t="s">
        <v>73</v>
      </c>
      <c r="CA1" s="14" t="s">
        <v>74</v>
      </c>
      <c r="CB1" s="14" t="s">
        <v>75</v>
      </c>
      <c r="CC1" s="31" t="s">
        <v>76</v>
      </c>
      <c r="CD1" s="9" t="s">
        <v>77</v>
      </c>
      <c r="CE1" s="14" t="s">
        <v>78</v>
      </c>
      <c r="CF1" s="14" t="s">
        <v>79</v>
      </c>
      <c r="CG1" s="14" t="s">
        <v>80</v>
      </c>
      <c r="CH1" s="14" t="s">
        <v>81</v>
      </c>
      <c r="CI1" s="32" t="s">
        <v>82</v>
      </c>
      <c r="CJ1" s="14" t="s">
        <v>83</v>
      </c>
      <c r="CK1" s="14" t="s">
        <v>84</v>
      </c>
      <c r="CL1" s="14" t="s">
        <v>4</v>
      </c>
      <c r="CM1" s="14" t="s">
        <v>85</v>
      </c>
      <c r="CN1" s="14" t="s">
        <v>86</v>
      </c>
      <c r="CO1" s="19" t="s">
        <v>87</v>
      </c>
      <c r="CP1" s="19" t="s">
        <v>88</v>
      </c>
      <c r="CQ1" s="33" t="s">
        <v>89</v>
      </c>
      <c r="CR1" s="34" t="s">
        <v>90</v>
      </c>
      <c r="CS1" s="19" t="s">
        <v>91</v>
      </c>
      <c r="CT1" s="35" t="s">
        <v>92</v>
      </c>
      <c r="CU1" s="35" t="s">
        <v>93</v>
      </c>
    </row>
    <row r="2" ht="14.5" customHeight="1" spans="1:99" x14ac:dyDescent="0.25">
      <c r="A2" s="36" t="s">
        <v>94</v>
      </c>
      <c r="B2" s="37" t="s">
        <v>95</v>
      </c>
      <c r="C2" s="38" t="s">
        <v>96</v>
      </c>
      <c r="D2" s="39" t="s">
        <v>97</v>
      </c>
      <c r="E2" s="40" t="s">
        <v>98</v>
      </c>
      <c r="F2" s="41" t="s">
        <v>99</v>
      </c>
      <c r="G2" s="41" t="s">
        <v>100</v>
      </c>
      <c r="H2" s="42" t="s">
        <v>101</v>
      </c>
      <c r="I2" s="42" t="s">
        <v>102</v>
      </c>
      <c r="J2" s="42" t="s">
        <v>103</v>
      </c>
      <c r="K2" s="43">
        <f>Y2</f>
        <v>45658</v>
      </c>
      <c r="L2" s="40" t="s">
        <v>98</v>
      </c>
      <c r="M2" s="42" t="s">
        <v>104</v>
      </c>
      <c r="N2" s="42" t="s">
        <v>105</v>
      </c>
      <c r="O2" s="44" t="s">
        <v>106</v>
      </c>
      <c r="P2" s="40" t="s">
        <v>107</v>
      </c>
      <c r="Q2" s="42" t="s">
        <v>108</v>
      </c>
      <c r="R2" s="42" t="s">
        <v>109</v>
      </c>
      <c r="S2" s="45" t="s">
        <v>110</v>
      </c>
      <c r="T2" s="45" t="s">
        <v>110</v>
      </c>
      <c r="U2" s="42" t="s">
        <v>103</v>
      </c>
      <c r="V2" s="46" t="s">
        <v>111</v>
      </c>
      <c r="W2" s="47" t="s">
        <v>112</v>
      </c>
      <c r="X2" s="42" t="s">
        <v>103</v>
      </c>
      <c r="Y2" s="48">
        <v>45658</v>
      </c>
      <c r="Z2" s="42" t="s">
        <v>113</v>
      </c>
      <c r="AA2" s="49" t="s">
        <v>114</v>
      </c>
      <c r="AB2" s="50" t="s">
        <v>115</v>
      </c>
      <c r="AC2" s="50" t="s">
        <v>116</v>
      </c>
      <c r="AD2" s="41" t="s">
        <v>117</v>
      </c>
      <c r="AE2" s="40">
        <v>970</v>
      </c>
      <c r="AF2" s="40" t="s">
        <v>57</v>
      </c>
      <c r="AG2" s="50">
        <v>40</v>
      </c>
      <c r="AH2" s="51" t="s">
        <v>118</v>
      </c>
      <c r="AI2" s="50" t="s">
        <v>119</v>
      </c>
      <c r="AJ2" s="48" t="s">
        <v>114</v>
      </c>
      <c r="AK2" s="43">
        <f t="shared" ref="AK2:AK7" si="0">Y2+90</f>
        <v>45748</v>
      </c>
      <c r="AL2" s="42" t="s">
        <v>120</v>
      </c>
      <c r="AM2" s="51" t="s">
        <v>121</v>
      </c>
      <c r="AN2" s="50" t="s">
        <v>122</v>
      </c>
      <c r="AO2" s="42" t="s">
        <v>123</v>
      </c>
      <c r="AP2" s="52" t="s">
        <v>124</v>
      </c>
      <c r="AQ2" s="42" t="s">
        <v>125</v>
      </c>
      <c r="AR2" s="38" t="s">
        <v>125</v>
      </c>
      <c r="AS2" s="46" t="s">
        <v>114</v>
      </c>
      <c r="AT2" s="42" t="s">
        <v>126</v>
      </c>
      <c r="AU2" s="51" t="str">
        <f t="shared" ref="AU2:AU3" si="1">AB2</f>
        <v>Permanent</v>
      </c>
      <c r="AV2" s="46" t="s">
        <v>127</v>
      </c>
      <c r="AW2" s="53">
        <f>Y2-1</f>
        <v>45657</v>
      </c>
      <c r="AX2" s="53">
        <f t="shared" ref="AX2:AX7" si="2">Y2-1</f>
        <v>45657</v>
      </c>
      <c r="AY2" s="43">
        <f t="shared" ref="AY2:AY7" si="3">AJ2</f>
        <v>NaN</v>
      </c>
      <c r="AZ2" s="45" t="s">
        <v>98</v>
      </c>
      <c r="BA2" s="45" t="s">
        <v>128</v>
      </c>
      <c r="BB2" s="52">
        <v>666661164</v>
      </c>
      <c r="BC2" s="46" t="s">
        <v>129</v>
      </c>
      <c r="BD2" s="46" t="s">
        <v>130</v>
      </c>
      <c r="BE2" s="45" t="s">
        <v>98</v>
      </c>
      <c r="BF2" s="45" t="s">
        <v>131</v>
      </c>
      <c r="BG2" s="52">
        <v>5555005064</v>
      </c>
      <c r="BH2" s="46">
        <v>36526</v>
      </c>
      <c r="BI2" s="46">
        <v>51136</v>
      </c>
      <c r="BJ2" s="40" t="s">
        <v>132</v>
      </c>
      <c r="BK2" s="51" t="s">
        <v>133</v>
      </c>
      <c r="BL2" s="54">
        <v>36281</v>
      </c>
      <c r="BM2" s="55" t="s">
        <v>98</v>
      </c>
      <c r="BN2" s="45" t="s">
        <v>110</v>
      </c>
      <c r="BO2" s="40" t="s">
        <v>134</v>
      </c>
      <c r="BP2" s="56" t="s">
        <v>114</v>
      </c>
      <c r="BQ2" s="45" t="s">
        <v>135</v>
      </c>
      <c r="BR2" s="45" t="s">
        <v>98</v>
      </c>
      <c r="BS2" s="51" t="s">
        <v>125</v>
      </c>
      <c r="BT2" s="51" t="s">
        <v>114</v>
      </c>
      <c r="BU2" s="40" t="s">
        <v>136</v>
      </c>
      <c r="BV2" s="40" t="s">
        <v>137</v>
      </c>
      <c r="BW2" s="45" t="s">
        <v>138</v>
      </c>
      <c r="BX2" s="57" t="s">
        <v>139</v>
      </c>
      <c r="BY2" s="45" t="s">
        <v>140</v>
      </c>
      <c r="BZ2" s="45" t="s">
        <v>141</v>
      </c>
      <c r="CA2" s="45" t="s">
        <v>142</v>
      </c>
      <c r="CB2" s="45" t="s">
        <v>143</v>
      </c>
      <c r="CC2" s="57" t="s">
        <v>138</v>
      </c>
      <c r="CD2" s="42" t="s">
        <v>139</v>
      </c>
      <c r="CE2" s="45" t="s">
        <v>140</v>
      </c>
      <c r="CF2" s="45" t="s">
        <v>144</v>
      </c>
      <c r="CG2" s="45" t="s">
        <v>145</v>
      </c>
      <c r="CH2" s="45" t="s">
        <v>144</v>
      </c>
      <c r="CI2" s="58">
        <v>100</v>
      </c>
      <c r="CJ2" s="45" t="s">
        <v>146</v>
      </c>
      <c r="CK2" s="45" t="s">
        <v>147</v>
      </c>
      <c r="CL2" s="45" t="s">
        <v>98</v>
      </c>
      <c r="CM2" s="45" t="s">
        <v>148</v>
      </c>
      <c r="CN2" s="45" t="s">
        <v>149</v>
      </c>
      <c r="CO2" s="51" t="s">
        <v>114</v>
      </c>
      <c r="CP2" s="51" t="s">
        <v>114</v>
      </c>
      <c r="CQ2" s="59" t="s">
        <v>114</v>
      </c>
      <c r="CR2" s="54" t="s">
        <v>114</v>
      </c>
      <c r="CS2" s="51" t="s">
        <v>114</v>
      </c>
      <c r="CT2" s="60" t="s">
        <v>114</v>
      </c>
      <c r="CU2" s="60" t="s">
        <v>114</v>
      </c>
    </row>
    <row r="3" ht="14.5" customHeight="1" spans="1:99" x14ac:dyDescent="0.25">
      <c r="A3" s="36" t="s">
        <v>150</v>
      </c>
      <c r="B3" s="37" t="s">
        <v>151</v>
      </c>
      <c r="C3" s="38" t="s">
        <v>96</v>
      </c>
      <c r="D3" s="38" t="s">
        <v>152</v>
      </c>
      <c r="E3" s="40" t="s">
        <v>98</v>
      </c>
      <c r="F3" s="41" t="s">
        <v>153</v>
      </c>
      <c r="G3" s="41" t="s">
        <v>154</v>
      </c>
      <c r="H3" s="42" t="s">
        <v>101</v>
      </c>
      <c r="I3" s="42" t="s">
        <v>102</v>
      </c>
      <c r="J3" s="42" t="s">
        <v>103</v>
      </c>
      <c r="K3" s="43">
        <f t="shared" ref="K3:K7" si="4">Y3</f>
        <v>45658</v>
      </c>
      <c r="L3" s="40" t="s">
        <v>98</v>
      </c>
      <c r="M3" s="42" t="s">
        <v>104</v>
      </c>
      <c r="N3" s="42" t="s">
        <v>155</v>
      </c>
      <c r="O3" s="44" t="s">
        <v>106</v>
      </c>
      <c r="P3" s="40" t="s">
        <v>156</v>
      </c>
      <c r="Q3" s="42" t="s">
        <v>108</v>
      </c>
      <c r="R3" s="42" t="s">
        <v>109</v>
      </c>
      <c r="S3" s="45" t="s">
        <v>110</v>
      </c>
      <c r="T3" s="45" t="s">
        <v>110</v>
      </c>
      <c r="U3" s="42" t="s">
        <v>103</v>
      </c>
      <c r="V3" s="46" t="s">
        <v>111</v>
      </c>
      <c r="W3" s="47" t="s">
        <v>112</v>
      </c>
      <c r="X3" s="42" t="s">
        <v>103</v>
      </c>
      <c r="Y3" s="48">
        <v>45658</v>
      </c>
      <c r="Z3" s="42" t="s">
        <v>113</v>
      </c>
      <c r="AA3" s="49" t="s">
        <v>157</v>
      </c>
      <c r="AB3" s="50" t="s">
        <v>115</v>
      </c>
      <c r="AC3" s="50" t="s">
        <v>158</v>
      </c>
      <c r="AD3" s="41" t="s">
        <v>117</v>
      </c>
      <c r="AE3" s="40">
        <v>970</v>
      </c>
      <c r="AF3" s="40" t="s">
        <v>57</v>
      </c>
      <c r="AG3" s="50">
        <v>40</v>
      </c>
      <c r="AH3" s="51" t="s">
        <v>159</v>
      </c>
      <c r="AI3" s="50" t="s">
        <v>119</v>
      </c>
      <c r="AJ3" s="48" t="s">
        <v>114</v>
      </c>
      <c r="AK3" s="43">
        <f t="shared" si="0"/>
        <v>45748</v>
      </c>
      <c r="AL3" s="42" t="s">
        <v>120</v>
      </c>
      <c r="AM3" s="41" t="s">
        <v>160</v>
      </c>
      <c r="AN3" s="41" t="s">
        <v>161</v>
      </c>
      <c r="AO3" s="42" t="s">
        <v>123</v>
      </c>
      <c r="AP3" s="52" t="s">
        <v>124</v>
      </c>
      <c r="AQ3" s="42" t="s">
        <v>125</v>
      </c>
      <c r="AR3" s="38" t="s">
        <v>125</v>
      </c>
      <c r="AS3" s="46" t="s">
        <v>114</v>
      </c>
      <c r="AT3" s="42" t="s">
        <v>126</v>
      </c>
      <c r="AU3" s="51" t="str">
        <f t="shared" si="1"/>
        <v>Permanent</v>
      </c>
      <c r="AV3" s="46" t="s">
        <v>127</v>
      </c>
      <c r="AW3" s="53">
        <f t="shared" ref="AW3:AW7" si="5">Y3-1</f>
        <v>45657</v>
      </c>
      <c r="AX3" s="53">
        <f t="shared" si="2"/>
        <v>45657</v>
      </c>
      <c r="AY3" s="43">
        <f t="shared" si="3"/>
        <v>NaN</v>
      </c>
      <c r="AZ3" s="45" t="s">
        <v>98</v>
      </c>
      <c r="BA3" s="45" t="s">
        <v>128</v>
      </c>
      <c r="BB3" s="52">
        <v>666661165</v>
      </c>
      <c r="BC3" s="46">
        <v>36526</v>
      </c>
      <c r="BD3" s="46">
        <v>51136</v>
      </c>
      <c r="BE3" s="45" t="s">
        <v>98</v>
      </c>
      <c r="BF3" s="45" t="s">
        <v>131</v>
      </c>
      <c r="BG3" s="52">
        <v>5555005065</v>
      </c>
      <c r="BH3" s="46">
        <v>36526</v>
      </c>
      <c r="BI3" s="46">
        <v>51136</v>
      </c>
      <c r="BJ3" s="40" t="s">
        <v>132</v>
      </c>
      <c r="BK3" s="51" t="s">
        <v>133</v>
      </c>
      <c r="BL3" s="54">
        <v>30803</v>
      </c>
      <c r="BM3" s="55" t="s">
        <v>98</v>
      </c>
      <c r="BN3" s="45" t="s">
        <v>110</v>
      </c>
      <c r="BO3" s="40" t="s">
        <v>134</v>
      </c>
      <c r="BP3" s="56" t="s">
        <v>114</v>
      </c>
      <c r="BQ3" s="45" t="s">
        <v>135</v>
      </c>
      <c r="BR3" s="45" t="s">
        <v>98</v>
      </c>
      <c r="BS3" s="51" t="s">
        <v>125</v>
      </c>
      <c r="BT3" s="51" t="s">
        <v>114</v>
      </c>
      <c r="BU3" s="40" t="s">
        <v>136</v>
      </c>
      <c r="BV3" s="40" t="s">
        <v>137</v>
      </c>
      <c r="BW3" s="45" t="s">
        <v>138</v>
      </c>
      <c r="BX3" s="57" t="s">
        <v>162</v>
      </c>
      <c r="BY3" s="45" t="s">
        <v>140</v>
      </c>
      <c r="BZ3" s="45" t="s">
        <v>141</v>
      </c>
      <c r="CA3" s="45" t="s">
        <v>142</v>
      </c>
      <c r="CB3" s="45" t="s">
        <v>143</v>
      </c>
      <c r="CC3" s="57" t="s">
        <v>138</v>
      </c>
      <c r="CD3" s="42" t="s">
        <v>139</v>
      </c>
      <c r="CE3" s="45" t="s">
        <v>140</v>
      </c>
      <c r="CF3" s="45" t="s">
        <v>144</v>
      </c>
      <c r="CG3" s="45" t="s">
        <v>145</v>
      </c>
      <c r="CH3" s="45" t="s">
        <v>144</v>
      </c>
      <c r="CI3" s="58">
        <v>100</v>
      </c>
      <c r="CJ3" s="45" t="s">
        <v>146</v>
      </c>
      <c r="CK3" s="45" t="s">
        <v>147</v>
      </c>
      <c r="CL3" s="45" t="s">
        <v>98</v>
      </c>
      <c r="CM3" s="45" t="s">
        <v>163</v>
      </c>
      <c r="CN3" s="45" t="s">
        <v>149</v>
      </c>
      <c r="CO3" s="51" t="s">
        <v>114</v>
      </c>
      <c r="CP3" s="51" t="s">
        <v>114</v>
      </c>
      <c r="CQ3" s="59" t="s">
        <v>114</v>
      </c>
      <c r="CR3" s="54" t="s">
        <v>114</v>
      </c>
      <c r="CS3" s="51" t="s">
        <v>114</v>
      </c>
      <c r="CT3" s="60" t="s">
        <v>114</v>
      </c>
      <c r="CU3" s="60" t="s">
        <v>114</v>
      </c>
    </row>
    <row r="4" ht="14.5" customHeight="1" spans="1:99" x14ac:dyDescent="0.25">
      <c r="A4" s="36" t="s">
        <v>164</v>
      </c>
      <c r="B4" s="37" t="s">
        <v>165</v>
      </c>
      <c r="C4" s="38" t="s">
        <v>96</v>
      </c>
      <c r="D4" s="38" t="s">
        <v>152</v>
      </c>
      <c r="E4" s="40" t="s">
        <v>98</v>
      </c>
      <c r="F4" s="41" t="s">
        <v>166</v>
      </c>
      <c r="G4" s="41" t="s">
        <v>167</v>
      </c>
      <c r="H4" s="42" t="s">
        <v>101</v>
      </c>
      <c r="I4" s="42" t="s">
        <v>102</v>
      </c>
      <c r="J4" s="42" t="s">
        <v>103</v>
      </c>
      <c r="K4" s="43">
        <f t="shared" si="4"/>
        <v>45658</v>
      </c>
      <c r="L4" s="40" t="s">
        <v>98</v>
      </c>
      <c r="M4" s="42" t="s">
        <v>104</v>
      </c>
      <c r="N4" s="42" t="s">
        <v>105</v>
      </c>
      <c r="O4" s="44" t="s">
        <v>106</v>
      </c>
      <c r="P4" s="40" t="s">
        <v>107</v>
      </c>
      <c r="Q4" s="42" t="s">
        <v>108</v>
      </c>
      <c r="R4" s="42" t="s">
        <v>109</v>
      </c>
      <c r="S4" s="45" t="s">
        <v>110</v>
      </c>
      <c r="T4" s="45" t="s">
        <v>110</v>
      </c>
      <c r="U4" s="42" t="s">
        <v>103</v>
      </c>
      <c r="V4" s="46" t="s">
        <v>111</v>
      </c>
      <c r="W4" s="47" t="s">
        <v>112</v>
      </c>
      <c r="X4" s="42" t="s">
        <v>103</v>
      </c>
      <c r="Y4" s="48">
        <v>45658</v>
      </c>
      <c r="Z4" s="42" t="s">
        <v>113</v>
      </c>
      <c r="AA4" s="49" t="s">
        <v>168</v>
      </c>
      <c r="AB4" s="50" t="s">
        <v>169</v>
      </c>
      <c r="AC4" s="50" t="s">
        <v>170</v>
      </c>
      <c r="AD4" s="41" t="s">
        <v>117</v>
      </c>
      <c r="AE4" s="40">
        <v>970</v>
      </c>
      <c r="AF4" s="40" t="s">
        <v>57</v>
      </c>
      <c r="AG4" s="50">
        <v>40</v>
      </c>
      <c r="AH4" s="51" t="s">
        <v>118</v>
      </c>
      <c r="AI4" s="50" t="s">
        <v>119</v>
      </c>
      <c r="AJ4" s="48">
        <f>Y4+735</f>
        <v>46393</v>
      </c>
      <c r="AK4" s="43">
        <f t="shared" si="0"/>
        <v>45748</v>
      </c>
      <c r="AL4" s="42" t="s">
        <v>120</v>
      </c>
      <c r="AM4" s="41" t="s">
        <v>160</v>
      </c>
      <c r="AN4" s="50" t="s">
        <v>122</v>
      </c>
      <c r="AO4" s="42" t="s">
        <v>123</v>
      </c>
      <c r="AP4" s="52" t="s">
        <v>124</v>
      </c>
      <c r="AQ4" s="42" t="s">
        <v>125</v>
      </c>
      <c r="AR4" s="38" t="s">
        <v>125</v>
      </c>
      <c r="AS4" s="46" t="s">
        <v>114</v>
      </c>
      <c r="AT4" s="42" t="s">
        <v>126</v>
      </c>
      <c r="AU4" s="51" t="s">
        <v>171</v>
      </c>
      <c r="AV4" s="46" t="s">
        <v>127</v>
      </c>
      <c r="AW4" s="53">
        <f t="shared" si="5"/>
        <v>45657</v>
      </c>
      <c r="AX4" s="53">
        <f t="shared" si="2"/>
        <v>45657</v>
      </c>
      <c r="AY4" s="43">
        <f t="shared" si="3"/>
        <v>46393</v>
      </c>
      <c r="AZ4" s="45" t="s">
        <v>98</v>
      </c>
      <c r="BA4" s="45" t="s">
        <v>128</v>
      </c>
      <c r="BB4" s="52" t="s">
        <v>172</v>
      </c>
      <c r="BC4" s="46" t="s">
        <v>129</v>
      </c>
      <c r="BD4" s="46" t="s">
        <v>130</v>
      </c>
      <c r="BE4" s="45" t="s">
        <v>98</v>
      </c>
      <c r="BF4" s="45" t="s">
        <v>131</v>
      </c>
      <c r="BG4" s="52">
        <v>8421233017</v>
      </c>
      <c r="BH4" s="46">
        <v>36526</v>
      </c>
      <c r="BI4" s="46">
        <v>51136</v>
      </c>
      <c r="BJ4" s="40" t="s">
        <v>132</v>
      </c>
      <c r="BK4" s="51" t="s">
        <v>133</v>
      </c>
      <c r="BL4" s="54">
        <v>30072</v>
      </c>
      <c r="BM4" s="55" t="s">
        <v>98</v>
      </c>
      <c r="BN4" s="45" t="s">
        <v>110</v>
      </c>
      <c r="BO4" s="40" t="s">
        <v>134</v>
      </c>
      <c r="BP4" s="56" t="s">
        <v>114</v>
      </c>
      <c r="BQ4" s="45" t="s">
        <v>135</v>
      </c>
      <c r="BR4" s="45" t="s">
        <v>98</v>
      </c>
      <c r="BS4" s="51" t="s">
        <v>125</v>
      </c>
      <c r="BT4" s="51" t="s">
        <v>114</v>
      </c>
      <c r="BU4" s="40" t="s">
        <v>136</v>
      </c>
      <c r="BV4" s="40" t="s">
        <v>137</v>
      </c>
      <c r="BW4" s="45" t="s">
        <v>138</v>
      </c>
      <c r="BX4" s="57" t="s">
        <v>139</v>
      </c>
      <c r="BY4" s="45" t="s">
        <v>140</v>
      </c>
      <c r="BZ4" s="45" t="s">
        <v>141</v>
      </c>
      <c r="CA4" s="45" t="s">
        <v>142</v>
      </c>
      <c r="CB4" s="45" t="s">
        <v>143</v>
      </c>
      <c r="CC4" s="57" t="s">
        <v>138</v>
      </c>
      <c r="CD4" s="42" t="s">
        <v>139</v>
      </c>
      <c r="CE4" s="45" t="s">
        <v>140</v>
      </c>
      <c r="CF4" s="45" t="s">
        <v>144</v>
      </c>
      <c r="CG4" s="45" t="s">
        <v>145</v>
      </c>
      <c r="CH4" s="45" t="s">
        <v>144</v>
      </c>
      <c r="CI4" s="58">
        <v>100</v>
      </c>
      <c r="CJ4" s="45" t="s">
        <v>146</v>
      </c>
      <c r="CK4" s="45" t="s">
        <v>147</v>
      </c>
      <c r="CL4" s="45" t="s">
        <v>98</v>
      </c>
      <c r="CM4" s="45" t="s">
        <v>148</v>
      </c>
      <c r="CN4" s="45" t="s">
        <v>149</v>
      </c>
      <c r="CO4" s="41" t="s">
        <v>114</v>
      </c>
      <c r="CP4" s="41" t="s">
        <v>114</v>
      </c>
      <c r="CQ4" s="41" t="s">
        <v>114</v>
      </c>
      <c r="CR4" s="41" t="s">
        <v>114</v>
      </c>
      <c r="CS4" s="41" t="s">
        <v>114</v>
      </c>
      <c r="CT4" s="41" t="s">
        <v>114</v>
      </c>
      <c r="CU4" s="41" t="s">
        <v>114</v>
      </c>
    </row>
    <row r="5" ht="14.5" customHeight="1" spans="1:99" x14ac:dyDescent="0.25">
      <c r="A5" s="36" t="s">
        <v>173</v>
      </c>
      <c r="B5" s="61" t="s">
        <v>174</v>
      </c>
      <c r="C5" s="38" t="s">
        <v>96</v>
      </c>
      <c r="D5" s="38" t="s">
        <v>152</v>
      </c>
      <c r="E5" s="40" t="s">
        <v>98</v>
      </c>
      <c r="F5" s="41" t="s">
        <v>175</v>
      </c>
      <c r="G5" s="41" t="s">
        <v>167</v>
      </c>
      <c r="H5" s="42" t="s">
        <v>101</v>
      </c>
      <c r="I5" s="42" t="s">
        <v>102</v>
      </c>
      <c r="J5" s="42" t="s">
        <v>103</v>
      </c>
      <c r="K5" s="43">
        <f t="shared" si="4"/>
        <v>45870</v>
      </c>
      <c r="L5" s="40" t="s">
        <v>98</v>
      </c>
      <c r="M5" s="42" t="s">
        <v>104</v>
      </c>
      <c r="N5" s="42" t="s">
        <v>155</v>
      </c>
      <c r="O5" s="44" t="s">
        <v>106</v>
      </c>
      <c r="P5" s="40" t="s">
        <v>156</v>
      </c>
      <c r="Q5" s="42" t="s">
        <v>108</v>
      </c>
      <c r="R5" s="42" t="s">
        <v>109</v>
      </c>
      <c r="S5" s="45" t="s">
        <v>110</v>
      </c>
      <c r="T5" s="45" t="s">
        <v>110</v>
      </c>
      <c r="U5" s="42" t="s">
        <v>103</v>
      </c>
      <c r="V5" s="46" t="s">
        <v>111</v>
      </c>
      <c r="W5" s="47" t="s">
        <v>112</v>
      </c>
      <c r="X5" s="42" t="s">
        <v>103</v>
      </c>
      <c r="Y5" s="48">
        <v>45870</v>
      </c>
      <c r="Z5" s="42" t="s">
        <v>113</v>
      </c>
      <c r="AA5" s="49" t="s">
        <v>176</v>
      </c>
      <c r="AB5" s="50" t="s">
        <v>169</v>
      </c>
      <c r="AC5" s="50" t="s">
        <v>177</v>
      </c>
      <c r="AD5" s="41" t="s">
        <v>117</v>
      </c>
      <c r="AE5" s="40">
        <v>970</v>
      </c>
      <c r="AF5" s="40" t="s">
        <v>57</v>
      </c>
      <c r="AG5" s="50">
        <v>40</v>
      </c>
      <c r="AH5" s="51" t="s">
        <v>118</v>
      </c>
      <c r="AI5" s="50" t="s">
        <v>119</v>
      </c>
      <c r="AJ5" s="48">
        <f t="shared" ref="AJ5" si="6">Y5+365</f>
        <v>46235</v>
      </c>
      <c r="AK5" s="43">
        <f t="shared" si="0"/>
        <v>45960</v>
      </c>
      <c r="AL5" s="42" t="s">
        <v>120</v>
      </c>
      <c r="AM5" s="41" t="s">
        <v>160</v>
      </c>
      <c r="AN5" s="41" t="s">
        <v>161</v>
      </c>
      <c r="AO5" s="42" t="s">
        <v>123</v>
      </c>
      <c r="AP5" s="52" t="s">
        <v>124</v>
      </c>
      <c r="AQ5" s="42" t="s">
        <v>125</v>
      </c>
      <c r="AR5" s="38" t="s">
        <v>125</v>
      </c>
      <c r="AS5" s="46" t="s">
        <v>114</v>
      </c>
      <c r="AT5" s="42" t="s">
        <v>126</v>
      </c>
      <c r="AU5" s="51" t="s">
        <v>171</v>
      </c>
      <c r="AV5" s="46" t="s">
        <v>127</v>
      </c>
      <c r="AW5" s="53">
        <f t="shared" si="5"/>
        <v>45869</v>
      </c>
      <c r="AX5" s="53">
        <f t="shared" si="2"/>
        <v>45869</v>
      </c>
      <c r="AY5" s="43">
        <f t="shared" si="3"/>
        <v>46235</v>
      </c>
      <c r="AZ5" s="45" t="s">
        <v>98</v>
      </c>
      <c r="BA5" s="45" t="s">
        <v>128</v>
      </c>
      <c r="BB5" s="52" t="s">
        <v>178</v>
      </c>
      <c r="BC5" s="46">
        <v>36526</v>
      </c>
      <c r="BD5" s="46">
        <v>51136</v>
      </c>
      <c r="BE5" s="45" t="s">
        <v>98</v>
      </c>
      <c r="BF5" s="45" t="s">
        <v>131</v>
      </c>
      <c r="BG5" s="52">
        <v>8476023006</v>
      </c>
      <c r="BH5" s="46">
        <v>36526</v>
      </c>
      <c r="BI5" s="46">
        <v>51136</v>
      </c>
      <c r="BJ5" s="40" t="s">
        <v>132</v>
      </c>
      <c r="BK5" s="51" t="s">
        <v>179</v>
      </c>
      <c r="BL5" s="54">
        <v>35551</v>
      </c>
      <c r="BM5" s="55" t="s">
        <v>98</v>
      </c>
      <c r="BN5" s="45" t="s">
        <v>110</v>
      </c>
      <c r="BO5" s="40" t="s">
        <v>134</v>
      </c>
      <c r="BP5" s="56" t="s">
        <v>114</v>
      </c>
      <c r="BQ5" s="45" t="s">
        <v>135</v>
      </c>
      <c r="BR5" s="45" t="s">
        <v>98</v>
      </c>
      <c r="BS5" s="41" t="s">
        <v>125</v>
      </c>
      <c r="BT5" s="41" t="s">
        <v>114</v>
      </c>
      <c r="BU5" s="40" t="s">
        <v>136</v>
      </c>
      <c r="BV5" s="40" t="s">
        <v>137</v>
      </c>
      <c r="BW5" s="45" t="s">
        <v>138</v>
      </c>
      <c r="BX5" s="57" t="s">
        <v>162</v>
      </c>
      <c r="BY5" s="45" t="s">
        <v>140</v>
      </c>
      <c r="BZ5" s="45" t="s">
        <v>141</v>
      </c>
      <c r="CA5" s="45" t="s">
        <v>142</v>
      </c>
      <c r="CB5" s="45" t="s">
        <v>143</v>
      </c>
      <c r="CC5" s="57" t="s">
        <v>138</v>
      </c>
      <c r="CD5" s="42" t="s">
        <v>139</v>
      </c>
      <c r="CE5" s="45" t="s">
        <v>140</v>
      </c>
      <c r="CF5" s="45" t="s">
        <v>144</v>
      </c>
      <c r="CG5" s="45" t="s">
        <v>145</v>
      </c>
      <c r="CH5" s="45" t="s">
        <v>144</v>
      </c>
      <c r="CI5" s="58">
        <v>100</v>
      </c>
      <c r="CJ5" s="45" t="s">
        <v>146</v>
      </c>
      <c r="CK5" s="45" t="s">
        <v>147</v>
      </c>
      <c r="CL5" s="45" t="s">
        <v>98</v>
      </c>
      <c r="CM5" s="45" t="s">
        <v>163</v>
      </c>
      <c r="CN5" s="45" t="s">
        <v>149</v>
      </c>
      <c r="CO5" s="41" t="s">
        <v>114</v>
      </c>
      <c r="CP5" s="41" t="s">
        <v>114</v>
      </c>
      <c r="CQ5" s="41" t="s">
        <v>114</v>
      </c>
      <c r="CR5" s="41" t="s">
        <v>114</v>
      </c>
      <c r="CS5" s="41" t="s">
        <v>114</v>
      </c>
      <c r="CT5" s="41" t="s">
        <v>114</v>
      </c>
      <c r="CU5" s="41" t="s">
        <v>114</v>
      </c>
    </row>
    <row r="6" ht="14.5" customHeight="1" spans="1:99" x14ac:dyDescent="0.25">
      <c r="A6" s="36" t="s">
        <v>180</v>
      </c>
      <c r="B6" s="38" t="s">
        <v>181</v>
      </c>
      <c r="C6" s="38" t="s">
        <v>96</v>
      </c>
      <c r="D6" s="39" t="s">
        <v>97</v>
      </c>
      <c r="E6" s="40" t="s">
        <v>98</v>
      </c>
      <c r="F6" s="41" t="s">
        <v>182</v>
      </c>
      <c r="G6" s="41" t="s">
        <v>167</v>
      </c>
      <c r="H6" s="42" t="s">
        <v>101</v>
      </c>
      <c r="I6" s="42" t="s">
        <v>102</v>
      </c>
      <c r="J6" s="42" t="s">
        <v>103</v>
      </c>
      <c r="K6" s="43">
        <f t="shared" si="4"/>
        <v>45658</v>
      </c>
      <c r="L6" s="40" t="s">
        <v>98</v>
      </c>
      <c r="M6" s="42" t="s">
        <v>104</v>
      </c>
      <c r="N6" s="42" t="s">
        <v>105</v>
      </c>
      <c r="O6" s="44" t="s">
        <v>106</v>
      </c>
      <c r="P6" s="40" t="s">
        <v>107</v>
      </c>
      <c r="Q6" s="42" t="s">
        <v>108</v>
      </c>
      <c r="R6" s="42" t="s">
        <v>109</v>
      </c>
      <c r="S6" s="45" t="s">
        <v>110</v>
      </c>
      <c r="T6" s="45" t="s">
        <v>110</v>
      </c>
      <c r="U6" s="42" t="s">
        <v>103</v>
      </c>
      <c r="V6" s="46" t="s">
        <v>111</v>
      </c>
      <c r="W6" s="47" t="s">
        <v>112</v>
      </c>
      <c r="X6" s="42" t="s">
        <v>103</v>
      </c>
      <c r="Y6" s="48">
        <v>45658</v>
      </c>
      <c r="Z6" s="42" t="s">
        <v>113</v>
      </c>
      <c r="AA6" s="49" t="s">
        <v>114</v>
      </c>
      <c r="AB6" s="50" t="s">
        <v>115</v>
      </c>
      <c r="AC6" s="50" t="s">
        <v>183</v>
      </c>
      <c r="AD6" s="41" t="s">
        <v>117</v>
      </c>
      <c r="AE6" s="40">
        <v>970</v>
      </c>
      <c r="AF6" s="40" t="s">
        <v>57</v>
      </c>
      <c r="AG6" s="50">
        <v>40</v>
      </c>
      <c r="AH6" s="51" t="s">
        <v>159</v>
      </c>
      <c r="AI6" s="50" t="s">
        <v>119</v>
      </c>
      <c r="AJ6" s="48" t="s">
        <v>114</v>
      </c>
      <c r="AK6" s="43">
        <f t="shared" si="0"/>
        <v>45748</v>
      </c>
      <c r="AL6" s="42" t="s">
        <v>120</v>
      </c>
      <c r="AM6" s="51" t="s">
        <v>121</v>
      </c>
      <c r="AN6" s="50" t="s">
        <v>184</v>
      </c>
      <c r="AO6" s="42" t="s">
        <v>123</v>
      </c>
      <c r="AP6" s="52" t="s">
        <v>124</v>
      </c>
      <c r="AQ6" s="42" t="s">
        <v>125</v>
      </c>
      <c r="AR6" s="38" t="s">
        <v>125</v>
      </c>
      <c r="AS6" s="46" t="s">
        <v>114</v>
      </c>
      <c r="AT6" s="42" t="s">
        <v>126</v>
      </c>
      <c r="AU6" s="51" t="str">
        <f t="shared" ref="AU6:AU7" si="7">AB6</f>
        <v>Permanent</v>
      </c>
      <c r="AV6" s="46" t="s">
        <v>127</v>
      </c>
      <c r="AW6" s="53">
        <f t="shared" si="5"/>
        <v>45657</v>
      </c>
      <c r="AX6" s="53">
        <f t="shared" si="2"/>
        <v>45657</v>
      </c>
      <c r="AY6" s="43">
        <f t="shared" si="3"/>
        <v>NaN</v>
      </c>
      <c r="AZ6" s="45" t="s">
        <v>98</v>
      </c>
      <c r="BA6" s="45" t="s">
        <v>128</v>
      </c>
      <c r="BB6" s="52" t="s">
        <v>185</v>
      </c>
      <c r="BC6" s="46" t="s">
        <v>129</v>
      </c>
      <c r="BD6" s="46" t="s">
        <v>130</v>
      </c>
      <c r="BE6" s="45" t="s">
        <v>98</v>
      </c>
      <c r="BF6" s="45" t="s">
        <v>131</v>
      </c>
      <c r="BG6" s="52">
        <v>8468713147</v>
      </c>
      <c r="BH6" s="46">
        <v>36526</v>
      </c>
      <c r="BI6" s="46">
        <v>51136</v>
      </c>
      <c r="BJ6" s="40" t="s">
        <v>132</v>
      </c>
      <c r="BK6" s="51" t="s">
        <v>133</v>
      </c>
      <c r="BL6" s="54">
        <v>34455</v>
      </c>
      <c r="BM6" s="55" t="s">
        <v>98</v>
      </c>
      <c r="BN6" s="45" t="s">
        <v>110</v>
      </c>
      <c r="BO6" s="40" t="s">
        <v>134</v>
      </c>
      <c r="BP6" s="56" t="s">
        <v>114</v>
      </c>
      <c r="BQ6" s="45" t="s">
        <v>135</v>
      </c>
      <c r="BR6" s="45" t="s">
        <v>98</v>
      </c>
      <c r="BS6" s="41" t="s">
        <v>125</v>
      </c>
      <c r="BT6" s="41" t="s">
        <v>114</v>
      </c>
      <c r="BU6" s="40" t="s">
        <v>136</v>
      </c>
      <c r="BV6" s="40" t="s">
        <v>137</v>
      </c>
      <c r="BW6" s="45" t="s">
        <v>138</v>
      </c>
      <c r="BX6" s="57" t="s">
        <v>139</v>
      </c>
      <c r="BY6" s="45" t="s">
        <v>140</v>
      </c>
      <c r="BZ6" s="45" t="s">
        <v>141</v>
      </c>
      <c r="CA6" s="45" t="s">
        <v>142</v>
      </c>
      <c r="CB6" s="45" t="s">
        <v>143</v>
      </c>
      <c r="CC6" s="57" t="s">
        <v>138</v>
      </c>
      <c r="CD6" s="42" t="s">
        <v>139</v>
      </c>
      <c r="CE6" s="45" t="s">
        <v>140</v>
      </c>
      <c r="CF6" s="45" t="s">
        <v>144</v>
      </c>
      <c r="CG6" s="45" t="s">
        <v>145</v>
      </c>
      <c r="CH6" s="45" t="s">
        <v>144</v>
      </c>
      <c r="CI6" s="58">
        <v>100</v>
      </c>
      <c r="CJ6" s="45" t="s">
        <v>146</v>
      </c>
      <c r="CK6" s="45" t="s">
        <v>147</v>
      </c>
      <c r="CL6" s="45" t="s">
        <v>98</v>
      </c>
      <c r="CM6" s="45" t="s">
        <v>148</v>
      </c>
      <c r="CN6" s="45" t="s">
        <v>149</v>
      </c>
      <c r="CO6" s="51" t="s">
        <v>186</v>
      </c>
      <c r="CP6" s="51" t="s">
        <v>187</v>
      </c>
      <c r="CQ6" s="59" t="s">
        <v>110</v>
      </c>
      <c r="CR6" s="54">
        <v>40299</v>
      </c>
      <c r="CS6" s="51" t="s">
        <v>188</v>
      </c>
      <c r="CT6" s="60">
        <v>1235089</v>
      </c>
      <c r="CU6" s="60">
        <v>124456098</v>
      </c>
    </row>
    <row r="7" ht="14.5" customHeight="1" spans="1:99" x14ac:dyDescent="0.25">
      <c r="A7" s="36" t="s">
        <v>189</v>
      </c>
      <c r="B7" s="38" t="s">
        <v>190</v>
      </c>
      <c r="C7" s="38" t="s">
        <v>96</v>
      </c>
      <c r="D7" s="39" t="s">
        <v>97</v>
      </c>
      <c r="E7" s="40" t="s">
        <v>98</v>
      </c>
      <c r="F7" s="41" t="s">
        <v>191</v>
      </c>
      <c r="G7" s="41" t="s">
        <v>192</v>
      </c>
      <c r="H7" s="42" t="s">
        <v>101</v>
      </c>
      <c r="I7" s="42" t="s">
        <v>102</v>
      </c>
      <c r="J7" s="42" t="s">
        <v>103</v>
      </c>
      <c r="K7" s="43">
        <f t="shared" si="4"/>
        <v>45658</v>
      </c>
      <c r="L7" s="40" t="s">
        <v>98</v>
      </c>
      <c r="M7" s="42" t="s">
        <v>104</v>
      </c>
      <c r="N7" s="42" t="s">
        <v>155</v>
      </c>
      <c r="O7" s="44" t="s">
        <v>106</v>
      </c>
      <c r="P7" s="40" t="s">
        <v>156</v>
      </c>
      <c r="Q7" s="42" t="s">
        <v>108</v>
      </c>
      <c r="R7" s="42" t="s">
        <v>109</v>
      </c>
      <c r="S7" s="45" t="s">
        <v>110</v>
      </c>
      <c r="T7" s="45" t="s">
        <v>110</v>
      </c>
      <c r="U7" s="42" t="s">
        <v>103</v>
      </c>
      <c r="V7" s="46" t="s">
        <v>111</v>
      </c>
      <c r="W7" s="47" t="s">
        <v>112</v>
      </c>
      <c r="X7" s="42" t="s">
        <v>103</v>
      </c>
      <c r="Y7" s="48">
        <v>45658</v>
      </c>
      <c r="Z7" s="42" t="s">
        <v>113</v>
      </c>
      <c r="AA7" s="49" t="s">
        <v>114</v>
      </c>
      <c r="AB7" s="50" t="s">
        <v>115</v>
      </c>
      <c r="AC7" s="50" t="s">
        <v>116</v>
      </c>
      <c r="AD7" s="41" t="s">
        <v>117</v>
      </c>
      <c r="AE7" s="40">
        <v>970</v>
      </c>
      <c r="AF7" s="40" t="s">
        <v>57</v>
      </c>
      <c r="AG7" s="50">
        <v>40</v>
      </c>
      <c r="AH7" s="51" t="s">
        <v>159</v>
      </c>
      <c r="AI7" s="50" t="s">
        <v>119</v>
      </c>
      <c r="AJ7" s="48" t="s">
        <v>114</v>
      </c>
      <c r="AK7" s="43">
        <f t="shared" si="0"/>
        <v>45748</v>
      </c>
      <c r="AL7" s="42" t="s">
        <v>120</v>
      </c>
      <c r="AM7" s="51" t="s">
        <v>121</v>
      </c>
      <c r="AN7" s="41" t="s">
        <v>193</v>
      </c>
      <c r="AO7" s="42" t="s">
        <v>123</v>
      </c>
      <c r="AP7" s="52" t="s">
        <v>124</v>
      </c>
      <c r="AQ7" s="42" t="s">
        <v>125</v>
      </c>
      <c r="AR7" s="38" t="s">
        <v>125</v>
      </c>
      <c r="AS7" s="46" t="s">
        <v>114</v>
      </c>
      <c r="AT7" s="42" t="s">
        <v>126</v>
      </c>
      <c r="AU7" s="51" t="str">
        <f t="shared" si="7"/>
        <v>Permanent</v>
      </c>
      <c r="AV7" s="46" t="s">
        <v>127</v>
      </c>
      <c r="AW7" s="53">
        <f t="shared" si="5"/>
        <v>45657</v>
      </c>
      <c r="AX7" s="53">
        <f t="shared" si="2"/>
        <v>45657</v>
      </c>
      <c r="AY7" s="43">
        <f t="shared" si="3"/>
        <v>NaN</v>
      </c>
      <c r="AZ7" s="45" t="s">
        <v>98</v>
      </c>
      <c r="BA7" s="45" t="s">
        <v>128</v>
      </c>
      <c r="BB7" s="52" t="s">
        <v>194</v>
      </c>
      <c r="BC7" s="46">
        <v>36526</v>
      </c>
      <c r="BD7" s="46">
        <v>51136</v>
      </c>
      <c r="BE7" s="45" t="s">
        <v>98</v>
      </c>
      <c r="BF7" s="45" t="s">
        <v>131</v>
      </c>
      <c r="BG7" s="52">
        <v>8443153024</v>
      </c>
      <c r="BH7" s="46">
        <v>36526</v>
      </c>
      <c r="BI7" s="46">
        <v>51136</v>
      </c>
      <c r="BJ7" s="40" t="s">
        <v>132</v>
      </c>
      <c r="BK7" s="51" t="s">
        <v>133</v>
      </c>
      <c r="BL7" s="54">
        <v>32264</v>
      </c>
      <c r="BM7" s="55" t="s">
        <v>98</v>
      </c>
      <c r="BN7" s="45" t="s">
        <v>110</v>
      </c>
      <c r="BO7" s="40" t="s">
        <v>134</v>
      </c>
      <c r="BP7" s="56" t="s">
        <v>114</v>
      </c>
      <c r="BQ7" s="45" t="s">
        <v>135</v>
      </c>
      <c r="BR7" s="45" t="s">
        <v>98</v>
      </c>
      <c r="BS7" s="41" t="s">
        <v>125</v>
      </c>
      <c r="BT7" s="41" t="s">
        <v>114</v>
      </c>
      <c r="BU7" s="40" t="s">
        <v>136</v>
      </c>
      <c r="BV7" s="40" t="s">
        <v>137</v>
      </c>
      <c r="BW7" s="45" t="s">
        <v>138</v>
      </c>
      <c r="BX7" s="57" t="s">
        <v>162</v>
      </c>
      <c r="BY7" s="45" t="s">
        <v>140</v>
      </c>
      <c r="BZ7" s="45" t="s">
        <v>141</v>
      </c>
      <c r="CA7" s="45" t="s">
        <v>142</v>
      </c>
      <c r="CB7" s="45" t="s">
        <v>143</v>
      </c>
      <c r="CC7" s="57" t="s">
        <v>138</v>
      </c>
      <c r="CD7" s="42" t="s">
        <v>139</v>
      </c>
      <c r="CE7" s="45" t="s">
        <v>140</v>
      </c>
      <c r="CF7" s="45" t="s">
        <v>144</v>
      </c>
      <c r="CG7" s="45" t="s">
        <v>145</v>
      </c>
      <c r="CH7" s="45" t="s">
        <v>144</v>
      </c>
      <c r="CI7" s="58">
        <v>100</v>
      </c>
      <c r="CJ7" s="45" t="s">
        <v>146</v>
      </c>
      <c r="CK7" s="45" t="s">
        <v>147</v>
      </c>
      <c r="CL7" s="45" t="s">
        <v>98</v>
      </c>
      <c r="CM7" s="45" t="s">
        <v>163</v>
      </c>
      <c r="CN7" s="45" t="s">
        <v>149</v>
      </c>
      <c r="CO7" s="51" t="s">
        <v>186</v>
      </c>
      <c r="CP7" s="51" t="s">
        <v>187</v>
      </c>
      <c r="CQ7" s="59" t="s">
        <v>110</v>
      </c>
      <c r="CR7" s="54">
        <v>40299</v>
      </c>
      <c r="CS7" s="51" t="s">
        <v>188</v>
      </c>
      <c r="CT7" s="60">
        <v>1235090</v>
      </c>
      <c r="CU7" s="60">
        <v>124456099</v>
      </c>
    </row>
  </sheetData>
  <dataValidations count="42">
    <dataValidation type="list" allowBlank="1" showInputMessage="1" showErrorMessage="1" sqref="AV2">
      <formula1>INDIRECT($C2)</formula1>
    </dataValidation>
    <dataValidation type="list" allowBlank="1" showInputMessage="1" showErrorMessage="1" sqref="AV3">
      <formula1>INDIRECT($E3)</formula1>
    </dataValidation>
    <dataValidation type="list" allowBlank="1" showInputMessage="1" showErrorMessage="1" sqref="AV4">
      <formula1>INDIRECT($C2)</formula1>
    </dataValidation>
    <dataValidation type="list" allowBlank="1" showInputMessage="1" showErrorMessage="1" sqref="AV5">
      <formula1>INDIRECT($E3)</formula1>
    </dataValidation>
    <dataValidation type="list" allowBlank="1" showInputMessage="1" showErrorMessage="1" sqref="AV6">
      <formula1>INDIRECT($C2)</formula1>
    </dataValidation>
    <dataValidation type="list" allowBlank="1" showInputMessage="1" showErrorMessage="1" sqref="AV7">
      <formula1>INDIRECT($E3)</formula1>
    </dataValidation>
    <dataValidation type="list" allowBlank="1" showInputMessage="1" showErrorMessage="1" sqref="BW2">
      <formula1>INDIRECT($C2)</formula1>
    </dataValidation>
    <dataValidation type="list" allowBlank="1" showInputMessage="1" showErrorMessage="1" sqref="BW3">
      <formula1>INDIRECT($E3)</formula1>
    </dataValidation>
    <dataValidation type="list" allowBlank="1" showInputMessage="1" showErrorMessage="1" sqref="BW4">
      <formula1>INDIRECT($C2)</formula1>
    </dataValidation>
    <dataValidation type="list" allowBlank="1" showInputMessage="1" showErrorMessage="1" sqref="BW5">
      <formula1>INDIRECT($E3)</formula1>
    </dataValidation>
    <dataValidation type="list" allowBlank="1" showInputMessage="1" showErrorMessage="1" sqref="BW6">
      <formula1>INDIRECT($C2)</formula1>
    </dataValidation>
    <dataValidation type="list" allowBlank="1" showInputMessage="1" showErrorMessage="1" sqref="BW7">
      <formula1>INDIRECT($E3)</formula1>
    </dataValidation>
    <dataValidation type="list" allowBlank="1" showInputMessage="1" showErrorMessage="1" sqref="CC2">
      <formula1>INDIRECT($C2)</formula1>
    </dataValidation>
    <dataValidation type="list" allowBlank="1" showInputMessage="1" showErrorMessage="1" sqref="CC3">
      <formula1>INDIRECT($E3)</formula1>
    </dataValidation>
    <dataValidation type="list" allowBlank="1" showInputMessage="1" showErrorMessage="1" sqref="CC4">
      <formula1>INDIRECT($C2)</formula1>
    </dataValidation>
    <dataValidation type="list" allowBlank="1" showInputMessage="1" showErrorMessage="1" sqref="CC5">
      <formula1>INDIRECT($E3)</formula1>
    </dataValidation>
    <dataValidation type="list" allowBlank="1" showInputMessage="1" showErrorMessage="1" sqref="CC6">
      <formula1>INDIRECT($C2)</formula1>
    </dataValidation>
    <dataValidation type="list" allowBlank="1" showInputMessage="1" showErrorMessage="1" sqref="CC7">
      <formula1>INDIRECT($E3)</formula1>
    </dataValidation>
    <dataValidation type="list" allowBlank="1" showInputMessage="1" showErrorMessage="1" sqref="I2:J2">
      <formula1>INDIRECT($C2)</formula1>
    </dataValidation>
    <dataValidation type="list" allowBlank="1" showInputMessage="1" showErrorMessage="1" sqref="I3:J3">
      <formula1>INDIRECT($E3)</formula1>
    </dataValidation>
    <dataValidation type="list" allowBlank="1" showInputMessage="1" showErrorMessage="1" sqref="I4:J4">
      <formula1>INDIRECT($C2)</formula1>
    </dataValidation>
    <dataValidation type="list" allowBlank="1" showInputMessage="1" showErrorMessage="1" sqref="I5:J5">
      <formula1>INDIRECT($E3)</formula1>
    </dataValidation>
    <dataValidation type="list" allowBlank="1" showInputMessage="1" showErrorMessage="1" sqref="I6:J6">
      <formula1>INDIRECT($C2)</formula1>
    </dataValidation>
    <dataValidation type="list" allowBlank="1" showInputMessage="1" showErrorMessage="1" sqref="I7:J7">
      <formula1>INDIRECT($E3)</formula1>
    </dataValidation>
    <dataValidation type="list" allowBlank="1" showInputMessage="1" showErrorMessage="1" sqref="U2">
      <formula1>INDIRECT($C2)</formula1>
    </dataValidation>
    <dataValidation type="list" allowBlank="1" showInputMessage="1" showErrorMessage="1" sqref="U3">
      <formula1>INDIRECT($E3)</formula1>
    </dataValidation>
    <dataValidation type="list" allowBlank="1" showInputMessage="1" showErrorMessage="1" sqref="U4">
      <formula1>INDIRECT($C2)</formula1>
    </dataValidation>
    <dataValidation type="list" allowBlank="1" showInputMessage="1" showErrorMessage="1" sqref="U5">
      <formula1>INDIRECT($E3)</formula1>
    </dataValidation>
    <dataValidation type="list" allowBlank="1" showInputMessage="1" showErrorMessage="1" sqref="U6">
      <formula1>INDIRECT($C2)</formula1>
    </dataValidation>
    <dataValidation type="list" allowBlank="1" showInputMessage="1" showErrorMessage="1" sqref="U7">
      <formula1>INDIRECT($E3)</formula1>
    </dataValidation>
    <dataValidation type="list" allowBlank="1" showInputMessage="1" showErrorMessage="1" sqref="X2">
      <formula1>INDIRECT($C2)</formula1>
    </dataValidation>
    <dataValidation type="list" allowBlank="1" showInputMessage="1" showErrorMessage="1" sqref="X3">
      <formula1>INDIRECT($E3)</formula1>
    </dataValidation>
    <dataValidation type="list" allowBlank="1" showInputMessage="1" showErrorMessage="1" sqref="X4">
      <formula1>INDIRECT($C2)</formula1>
    </dataValidation>
    <dataValidation type="list" allowBlank="1" showInputMessage="1" showErrorMessage="1" sqref="X5">
      <formula1>INDIRECT($E3)</formula1>
    </dataValidation>
    <dataValidation type="list" allowBlank="1" showInputMessage="1" showErrorMessage="1" sqref="X6">
      <formula1>INDIRECT($C2)</formula1>
    </dataValidation>
    <dataValidation type="list" allowBlank="1" showInputMessage="1" showErrorMessage="1" sqref="X7">
      <formula1>INDIRECT($E3)</formula1>
    </dataValidation>
    <dataValidation type="list" allowBlank="1" showInputMessage="1" showErrorMessage="1" sqref="Z2">
      <formula1>INDIRECT($C2)</formula1>
    </dataValidation>
    <dataValidation type="list" allowBlank="1" showInputMessage="1" showErrorMessage="1" sqref="Z3">
      <formula1>INDIRECT($E3)</formula1>
    </dataValidation>
    <dataValidation type="list" allowBlank="1" showInputMessage="1" showErrorMessage="1" sqref="Z4">
      <formula1>INDIRECT($C2)</formula1>
    </dataValidation>
    <dataValidation type="list" allowBlank="1" showInputMessage="1" showErrorMessage="1" sqref="Z5">
      <formula1>INDIRECT($E3)</formula1>
    </dataValidation>
    <dataValidation type="list" allowBlank="1" showInputMessage="1" showErrorMessage="1" sqref="Z6">
      <formula1>INDIRECT($C2)</formula1>
    </dataValidation>
    <dataValidation type="list" allowBlank="1" showInputMessage="1" showErrorMessage="1" sqref="Z7">
      <formula1>INDIRECT($E3)</formula1>
    </dataValidation>
  </dataValidations>
  <hyperlinks>
    <hyperlink ref="W2" r:id="rId1"/>
    <hyperlink ref="W3" r:id="rId2"/>
    <hyperlink ref="W4" r:id="rId3"/>
    <hyperlink ref="W5" r:id="rId4"/>
    <hyperlink ref="W6" r:id="rId5"/>
    <hyperlink ref="W7" r:id="rId6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2025-05-15T13:10:17Z</dcterms:modified>
</cp:coreProperties>
</file>