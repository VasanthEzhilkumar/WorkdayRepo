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<sst xmlns="http://schemas.openxmlformats.org/spreadsheetml/2006/main" count="2959" uniqueCount="273">
  <si>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</si>
  <si>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</si>
  <si>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</si>
  <si>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</si>
  <si>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</si>
  <si>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</si>
  <si>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</si>
  <si>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</si>
  <si>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</si>
  <si>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</si>
  <si>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</si>
  <si>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</si>
  <si>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</si>
  <si>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</si>
  <si>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</si>
  <si>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</si>
  <si>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</si>
  <si>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</si>
  <si>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</si>
  <si>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</si>
  <si>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</si>
  <si>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</si>
  <si>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</si>
  <si>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</si>
  <si>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</si>
  <si>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</si>
  <si>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</si>
  <si>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</si>
  <si>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</si>
  <si>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</si>
  <si>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</si>
  <si>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</si>
  <si>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</si>
  <si>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</si>
  <si>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</si>
  <si>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</si>
  <si>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</si>
  <si>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</si>
  <si>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</si>
  <si>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</si>
  <si>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</si>
  <si>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</si>
  <si>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</si>
  <si>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</si>
  <si>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</si>
  <si>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</si>
  <si>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</si>
  <si>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</si>
  <si>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</si>
  <si>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</si>
  <si>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</si>
  <si>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</si>
  <si>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</si>
  <si>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</si>
  <si>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</si>
  <si>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</si>
  <si>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</si>
  <si>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</si>
  <si>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</si>
  <si>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</si>
  <si>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</si>
  <si>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</si>
  <si>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</si>
  <si>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</si>
  <si>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</si>
  <si>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</si>
  <si>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</si>
  <si>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</si>
  <si>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</si>
  <si>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</si>
  <si>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</si>
  <si>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</si>
  <si>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</si>
  <si>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Test_3</t>
  </si>
  <si>
    <t xml:space="preserve">Test failed for 'Kieran Mann' Employee:{undefined}TimeoutError: locator.click: Timeout 30000ms exceeded.
Call log:
  [2m- waiting for locator('//label[contains(.,\'Hire Date\')]/parent::div/following-sibling::div/descendant::input[@data-automation-id=\'dateSectionDay-input\']')[22m
</t>
  </si>
  <si>
    <t>Failed</t>
  </si>
  <si>
    <t>766 Recruitment (Gybop Sytavu (10223416))</t>
  </si>
  <si>
    <t>Poland</t>
  </si>
  <si>
    <t>Kieran</t>
  </si>
  <si>
    <t>Mann</t>
  </si>
  <si>
    <t xml:space="preserve">698 980 460 </t>
  </si>
  <si>
    <t>Landline</t>
  </si>
  <si>
    <t>Home</t>
  </si>
  <si>
    <t>Automation Street Name</t>
  </si>
  <si>
    <t>Greater Poland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</si>
  <si>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</si>
  <si>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</si>
  <si>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</si>
  <si>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</si>
  <si>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</si>
  <si>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</si>
  <si>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</si>
  <si>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</si>
  <si>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</si>
  <si>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</si>
  <si>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</si>
  <si>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</si>
  <si>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</si>
  <si>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</si>
  <si>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</si>
  <si>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</si>
  <si>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</si>
  <si>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262 Nightshift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</si>
  <si>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</si>
  <si>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</si>
  <si>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</si>
  <si>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</si>
  <si>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</si>
  <si>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</si>
  <si>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</si>
  <si>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</si>
  <si>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GHE456125</t>
  </si>
  <si>
    <t>Male</t>
  </si>
  <si>
    <t>Married (Poland)</t>
  </si>
  <si>
    <t>01/01/2020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</si>
  <si>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</si>
  <si>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</si>
  <si>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</si>
  <si>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</si>
  <si>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</si>
  <si>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</si>
  <si>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</si>
  <si>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</si>
  <si>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</si>
  <si>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Test_4</t>
  </si>
  <si>
    <t xml:space="preserve">Test failed for 'Vicky Medhurst' Employee:{}Error: locator.click: Test ended.
Call log:
  [2m- waiting for locator('//label[contains(.,\'Hire Date\')]/parent::div/following-sibling::div/descendant::input[@data-automation-id=\'dateSectionDay-input\']')[22m
</t>
  </si>
  <si>
    <t>Vicky</t>
  </si>
  <si>
    <t>Medhurst</t>
  </si>
  <si>
    <t>Fixed Term</t>
  </si>
  <si>
    <t>RE023_NEW</t>
  </si>
  <si>
    <t>258 Cash Office</t>
  </si>
  <si>
    <t>Yes</t>
  </si>
  <si>
    <t>GHE456126</t>
  </si>
  <si>
    <t>Female</t>
  </si>
  <si>
    <t>Single (Poland)</t>
  </si>
  <si>
    <t>Test_5</t>
  </si>
  <si>
    <t>Part time</t>
  </si>
  <si>
    <t>RE035_NEW</t>
  </si>
  <si>
    <t>GHE456127</t>
  </si>
  <si>
    <t>01/01/2021</t>
  </si>
  <si>
    <t>Test_6</t>
  </si>
  <si>
    <t>00001</t>
  </si>
  <si>
    <t>SD014_NEW</t>
  </si>
  <si>
    <t>GHE456128</t>
  </si>
  <si>
    <t>Test_7</t>
  </si>
  <si>
    <t>GHE456129</t>
  </si>
  <si>
    <t>Test_8</t>
  </si>
  <si>
    <t>RE044_NEW</t>
  </si>
  <si>
    <t>01 Accessories</t>
  </si>
  <si>
    <t>GHE456130</t>
  </si>
  <si>
    <t>Test_9</t>
  </si>
  <si>
    <t>02 Hosiery</t>
  </si>
  <si>
    <t>GHE456131</t>
  </si>
  <si>
    <t>Test_10</t>
  </si>
  <si>
    <t>04 Lingerie</t>
  </si>
  <si>
    <t>GHE456132</t>
  </si>
  <si>
    <t>Test_11</t>
  </si>
  <si>
    <t>Fixed term</t>
  </si>
  <si>
    <t>Full Time</t>
  </si>
  <si>
    <t>RE030_NEW</t>
  </si>
  <si>
    <t>05 Children's Wear</t>
  </si>
  <si>
    <t>GHE456133</t>
  </si>
  <si>
    <t>Test_12</t>
  </si>
  <si>
    <t>Part Time</t>
  </si>
  <si>
    <t>RE049_NEW</t>
  </si>
  <si>
    <t>06 Menswear</t>
  </si>
  <si>
    <t>GHE456134</t>
  </si>
  <si>
    <t>Test_13</t>
  </si>
  <si>
    <t>RE043_NEW</t>
  </si>
  <si>
    <t>07 Footwear</t>
  </si>
  <si>
    <t>GHE456135</t>
  </si>
  <si>
    <t>Test_14</t>
  </si>
  <si>
    <t>08 Ladieswear</t>
  </si>
  <si>
    <t>GHE456136</t>
  </si>
  <si>
    <t>Test_15</t>
  </si>
  <si>
    <t>11 Household</t>
  </si>
  <si>
    <t>GHE456137</t>
  </si>
  <si>
    <t>Test_16</t>
  </si>
  <si>
    <t>15 Childrens Accessories</t>
  </si>
  <si>
    <t>GHE456138</t>
  </si>
  <si>
    <t>Test_17</t>
  </si>
  <si>
    <t>23 Health &amp; Beauty</t>
  </si>
  <si>
    <t>GHE456139</t>
  </si>
  <si>
    <t>Test_18</t>
  </si>
  <si>
    <t>261 Tills</t>
  </si>
  <si>
    <t>GHE456140</t>
  </si>
  <si>
    <t>Test_19</t>
  </si>
  <si>
    <t>25 Primarket</t>
  </si>
  <si>
    <t>GHE456141</t>
  </si>
  <si>
    <t>Test_20</t>
  </si>
  <si>
    <t>260 Fitting Rooms</t>
  </si>
  <si>
    <t>GHE456142</t>
  </si>
  <si>
    <t>Test_21</t>
  </si>
  <si>
    <t>GHE456143</t>
  </si>
  <si>
    <t>Test_22</t>
  </si>
  <si>
    <t>GHE456144</t>
  </si>
  <si>
    <t>Test_23</t>
  </si>
  <si>
    <t>05 Childrens Wear</t>
  </si>
  <si>
    <t>GHE456145</t>
  </si>
  <si>
    <t>Test_24</t>
  </si>
  <si>
    <t>255 Stockroom</t>
  </si>
  <si>
    <t>GHE456146</t>
  </si>
  <si>
    <t>Test_25</t>
  </si>
  <si>
    <t>Visual Merchandiser_NEW</t>
  </si>
  <si>
    <t>256 Visual Merchandising</t>
  </si>
  <si>
    <t>GHE456147</t>
  </si>
  <si>
    <t>Test_26</t>
  </si>
  <si>
    <t>GHE456148</t>
  </si>
  <si>
    <t>Test_27</t>
  </si>
  <si>
    <t>GHE456149</t>
  </si>
  <si>
    <t>Test_28</t>
  </si>
  <si>
    <t>GHE456150</t>
  </si>
  <si>
    <t>Test_29</t>
  </si>
  <si>
    <t>Operational Support_NEW</t>
  </si>
  <si>
    <t>GHE456151</t>
  </si>
  <si>
    <t>Test_30</t>
  </si>
  <si>
    <t>GHE456152</t>
  </si>
  <si>
    <t>Test_31</t>
  </si>
  <si>
    <t>GHE456153</t>
  </si>
  <si>
    <t>Test_32</t>
  </si>
  <si>
    <t>GHE456154</t>
  </si>
  <si>
    <t>Test_33</t>
  </si>
  <si>
    <t>766 Store Management  (Datyv Nuhuve (89501374))</t>
  </si>
  <si>
    <t>Store Manager_NEW</t>
  </si>
  <si>
    <t>92 Retail Management</t>
  </si>
  <si>
    <t>251 Management Retail</t>
  </si>
  <si>
    <t>GHE456155</t>
  </si>
  <si>
    <t>Test_34</t>
  </si>
  <si>
    <t>GHE456156</t>
  </si>
  <si>
    <t>Test_35</t>
  </si>
  <si>
    <t>P&amp;C Manager_NEW</t>
  </si>
  <si>
    <t>GHE456157</t>
  </si>
  <si>
    <t>Test_36</t>
  </si>
  <si>
    <t>GHE456158</t>
  </si>
  <si>
    <t>Test_37</t>
  </si>
  <si>
    <t>Team Manager_NEW</t>
  </si>
  <si>
    <t>GHE456159</t>
  </si>
  <si>
    <t>Test_38</t>
  </si>
  <si>
    <t>GHE456160</t>
  </si>
  <si>
    <t>Test_39</t>
  </si>
  <si>
    <t>Assistant Store Manager_NEW</t>
  </si>
  <si>
    <t>GHE456161</t>
  </si>
  <si>
    <t>Test_40</t>
  </si>
  <si>
    <t>GHE456162</t>
  </si>
  <si>
    <t>Test_41</t>
  </si>
  <si>
    <t>Assistant P&amp;C Manager_NEW</t>
  </si>
  <si>
    <t>GHE456163</t>
  </si>
  <si>
    <t>Test_42</t>
  </si>
  <si>
    <t>GHE456164</t>
  </si>
  <si>
    <t>Test_43</t>
  </si>
  <si>
    <t>Visual Merchandiser Manager_NEW</t>
  </si>
  <si>
    <t>GHE456165</t>
  </si>
  <si>
    <t>Test_44</t>
  </si>
  <si>
    <t>GHE456166</t>
  </si>
  <si>
    <t>Test_45</t>
  </si>
  <si>
    <t>P&amp;C Supervisor_NEW</t>
  </si>
  <si>
    <t>250 Human Resorurces Retail</t>
  </si>
  <si>
    <t>GHE456167</t>
  </si>
  <si>
    <t>Test_46</t>
  </si>
  <si>
    <t>GHE456168</t>
  </si>
  <si>
    <t>Test_47</t>
  </si>
  <si>
    <t>GHE456169</t>
  </si>
  <si>
    <t>Test_48</t>
  </si>
  <si>
    <t>GHE456170</t>
  </si>
  <si>
    <t>Test_49</t>
  </si>
  <si>
    <t>P&amp;C Assistant_NEW</t>
  </si>
  <si>
    <t>GHE456171</t>
  </si>
  <si>
    <t>Test_50</t>
  </si>
  <si>
    <t>GHE456172</t>
  </si>
  <si>
    <t>Test_51</t>
  </si>
  <si>
    <t>GHE456173</t>
  </si>
  <si>
    <t>Test_52</t>
  </si>
  <si>
    <t>GHE456174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</si>
</sst>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3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FF0000"/>
      <family val="2"/>
      <scheme val="minor"/>
      <sz val="16"/>
      <name val="Calibri"/>
    </font>
    <font>
      <color indexed="8"/>
      <family val="2"/>
      <scheme val="minor"/>
      <sz val="16"/>
      <name val="Calibri"/>
    </font>
    <font>
      <u/>
      <color indexed="12"/>
      <family val="2"/>
      <scheme val="minor"/>
      <sz val="16"/>
      <name val="Calibri"/>
    </font>
    <font>
      <color indexed="8"/>
      <family val="2"/>
      <sz val="16"/>
      <name val="Arial"/>
    </font>
    <font>
      <family val="2"/>
      <scheme val="minor"/>
      <sz val="16"/>
      <name val="Calibri"/>
    </font>
    <font>
      <color indexed="8"/>
      <family val="2"/>
      <scheme val="minor"/>
      <sz val="14"/>
      <name val="Calibri"/>
    </font>
    <font>
      <color theme="1"/>
      <family val="2"/>
      <scheme val="minor"/>
      <sz val="16"/>
      <name val="Calibri"/>
    </font>
    <font>
      <b/>
      <family val="2"/>
      <scheme val="minor"/>
      <sz val="16"/>
      <name val="Calibri"/>
    </font>
    <font>
      <color indexed="63"/>
      <family val="2"/>
      <scheme val="minor"/>
      <sz val="16"/>
      <name val="Calibri"/>
    </font>
    <font>
      <color rgb="FFFF0000"/>
      <family val="2"/>
      <sz val="14"/>
      <name val="Arial"/>
    </font>
    <font>
      <family val="2"/>
      <sz val="11"/>
      <name val="Calibri"/>
    </font>
    <font>
      <family val="2"/>
      <scheme val="minor"/>
      <sz val="14"/>
      <name val="Calibri"/>
    </font>
    <font>
      <color indexed="63"/>
      <family val="2"/>
      <sz val="14"/>
      <name val="Arial"/>
    </font>
    <font>
      <family val="2"/>
      <sz val="14"/>
      <name val="Arial"/>
    </font>
    <font>
      <color rgb="FF000000"/>
      <family val="2"/>
      <sz val="14"/>
      <name val="Arial"/>
    </font>
    <font>
      <color rgb="FF000000"/>
      <family val="2"/>
      <scheme val="minor"/>
      <sz val="14"/>
      <name val="Calibri"/>
    </font>
    <font>
      <color rgb="FF000000"/>
      <family val="2"/>
      <scheme val="minor"/>
      <sz val="16"/>
      <name val="Calibri"/>
    </font>
    <font>
      <b/>
      <color rgb="FF000000"/>
      <family val="2"/>
      <sz val="11"/>
      <name val="Calibri"/>
    </font>
    <font>
      <color rgb="FF000000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0" fontId="16" fillId="0" borderId="1" xfId="0" applyFont="1" applyBorder="1" applyProtection="1">
      <protection locked="0"/>
    </xf>
    <xf numFmtId="0" fontId="15" fillId="0" borderId="1" xfId="0" applyFont="1" applyBorder="1" applyAlignment="1" applyProtection="1">
      <alignment horizontal="left"/>
      <protection locked="0"/>
    </xf>
    <xf numFmtId="14" fontId="17" fillId="4" borderId="1" xfId="0" applyNumberFormat="1" applyFont="1" applyFill="1" applyBorder="1" applyAlignment="1">
      <alignment horizontal="left"/>
    </xf>
    <xf numFmtId="0" fontId="15" fillId="4" borderId="1" xfId="0" applyFont="1" applyFill="1" applyBorder="1"/>
    <xf numFmtId="0" fontId="18" fillId="4" borderId="1" xfId="0" applyFont="1" applyFill="1" applyBorder="1"/>
    <xf numFmtId="0" fontId="15" fillId="4" borderId="1" xfId="0" applyFont="1" applyFill="1" applyBorder="1" applyAlignment="1">
      <alignment horizontal="left"/>
    </xf>
    <xf numFmtId="0" fontId="15" fillId="4" borderId="1" xfId="0" applyFont="1" applyFill="1" applyBorder="1" applyAlignment="1" applyProtection="1">
      <alignment horizontal="left" wrapText="1"/>
      <protection locked="0"/>
    </xf>
    <xf numFmtId="0" fontId="7" fillId="3" borderId="0" xfId="0" applyFont="1" applyFill="1" applyAlignment="1" applyProtection="1">
      <alignment horizontal="left" wrapText="1"/>
      <protection locked="0"/>
    </xf>
    <xf numFmtId="0" fontId="19" fillId="0" borderId="0" xfId="0" applyFont="1"/>
    <xf numFmtId="14" fontId="14" fillId="4" borderId="1" xfId="0" applyNumberFormat="1" applyFont="1" applyFill="1" applyBorder="1" applyAlignment="1">
      <alignment horizontal="left"/>
    </xf>
    <xf numFmtId="0" fontId="15" fillId="4" borderId="1" xfId="0" applyFont="1" applyFill="1" applyBorder="1" applyAlignment="1" applyProtection="1">
      <alignment horizontal="left"/>
      <protection locked="0"/>
    </xf>
    <xf numFmtId="14" fontId="18" fillId="0" borderId="1" xfId="0" applyNumberFormat="1" applyFont="1" applyBorder="1" applyAlignment="1">
      <alignment horizontal="left"/>
    </xf>
    <xf numFmtId="14" fontId="18" fillId="0" borderId="3" xfId="0" applyNumberFormat="1" applyFont="1" applyBorder="1" applyAlignment="1">
      <alignment horizontal="left"/>
    </xf>
    <xf numFmtId="0" fontId="20" fillId="4" borderId="1" xfId="0" applyFont="1" applyFill="1" applyBorder="1"/>
    <xf numFmtId="0" fontId="15" fillId="5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164" fontId="15" fillId="0" borderId="1" xfId="0" applyNumberFormat="1" applyFont="1" applyBorder="1" applyAlignment="1" applyProtection="1">
      <alignment horizontal="left"/>
      <protection locked="0"/>
    </xf>
    <xf numFmtId="164" fontId="21" fillId="0" borderId="1" xfId="0" applyNumberFormat="1" applyFont="1" applyBorder="1" applyAlignment="1" applyProtection="1">
      <alignment horizontal="left"/>
      <protection locked="0"/>
    </xf>
    <xf numFmtId="15" fontId="21" fillId="0" borderId="1" xfId="0" applyNumberFormat="1" applyFont="1" applyBorder="1" applyAlignment="1">
      <alignment horizontal="left"/>
    </xf>
    <xf numFmtId="164" fontId="18" fillId="0" borderId="1" xfId="0" applyNumberFormat="1" applyFont="1" applyBorder="1" applyAlignment="1" applyProtection="1">
      <alignment horizontal="left"/>
      <protection locked="0"/>
    </xf>
    <xf numFmtId="0" fontId="18" fillId="0" borderId="1" xfId="0" applyFont="1" applyBorder="1" applyAlignment="1">
      <alignment horizontal="left"/>
    </xf>
    <xf numFmtId="14" fontId="20" fillId="0" borderId="0" xfId="0" applyNumberFormat="1" applyFont="1"/>
    <xf numFmtId="0" fontId="17" fillId="0" borderId="1" xfId="0" applyFont="1" applyBorder="1" applyAlignment="1" applyProtection="1">
      <alignment horizontal="left"/>
      <protection locked="0"/>
    </xf>
    <xf numFmtId="14" fontId="18" fillId="4" borderId="1" xfId="0" applyNumberFormat="1" applyFont="1" applyFill="1" applyBorder="1" applyAlignment="1">
      <alignment horizontal="left"/>
    </xf>
    <xf numFmtId="0" fontId="22" fillId="4" borderId="1" xfId="0" applyFont="1" applyFill="1" applyBorder="1"/>
    <xf numFmtId="0" fontId="20" fillId="0" borderId="1" xfId="0" applyFont="1" applyBorder="1"/>
    <xf numFmtId="0" fontId="18" fillId="4" borderId="4" xfId="0" applyFont="1" applyFill="1" applyBorder="1"/>
    <xf numFmtId="0" fontId="18" fillId="4" borderId="4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20" fillId="4" borderId="0" xfId="0" applyFont="1" applyFill="1"/>
    <xf numFmtId="0" fontId="15" fillId="0" borderId="5" xfId="0" applyFont="1" applyBorder="1" applyAlignment="1">
      <alignment horizontal="left"/>
    </xf>
    <xf numFmtId="0" fontId="15" fillId="5" borderId="6" xfId="0" applyFont="1" applyFill="1" applyBorder="1" applyAlignment="1">
      <alignment horizontal="left"/>
    </xf>
    <xf numFmtId="164" fontId="15" fillId="0" borderId="4" xfId="0" applyNumberFormat="1" applyFont="1" applyBorder="1" applyAlignment="1" applyProtection="1">
      <alignment horizontal="left"/>
      <protection locked="0"/>
    </xf>
    <xf numFmtId="164" fontId="21" fillId="0" borderId="4" xfId="0" applyNumberFormat="1" applyFont="1" applyBorder="1" applyAlignment="1" applyProtection="1">
      <alignment horizontal="left"/>
      <protection locked="0"/>
    </xf>
    <xf numFmtId="15" fontId="21" fillId="0" borderId="4" xfId="0" applyNumberFormat="1" applyFont="1" applyBorder="1" applyAlignment="1">
      <alignment horizontal="left"/>
    </xf>
    <xf numFmtId="164" fontId="18" fillId="0" borderId="4" xfId="0" applyNumberFormat="1" applyFont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6" fillId="0" borderId="4" xfId="0" applyFont="1" applyBorder="1" applyProtection="1">
      <protection locked="0"/>
    </xf>
    <xf numFmtId="0" fontId="15" fillId="0" borderId="7" xfId="0" applyFont="1" applyBorder="1" applyAlignment="1" applyProtection="1">
      <alignment horizontal="left"/>
      <protection locked="0"/>
    </xf>
    <xf numFmtId="0" fontId="17" fillId="0" borderId="7" xfId="0" applyFont="1" applyBorder="1" applyAlignment="1" applyProtection="1">
      <alignment horizontal="left"/>
      <protection locked="0"/>
    </xf>
    <xf numFmtId="0" fontId="15" fillId="4" borderId="4" xfId="0" applyFont="1" applyFill="1" applyBorder="1"/>
    <xf numFmtId="0" fontId="15" fillId="4" borderId="4" xfId="0" applyFont="1" applyFill="1" applyBorder="1" applyAlignment="1" applyProtection="1">
      <alignment horizontal="left" wrapText="1"/>
      <protection locked="0"/>
    </xf>
    <xf numFmtId="14" fontId="15" fillId="0" borderId="4" xfId="0" applyNumberFormat="1" applyFont="1" applyBorder="1" applyAlignment="1">
      <alignment horizontal="left"/>
    </xf>
    <xf numFmtId="15" fontId="18" fillId="0" borderId="1" xfId="0" applyNumberFormat="1" applyFont="1" applyBorder="1" applyAlignment="1">
      <alignment horizontal="left"/>
    </xf>
    <xf numFmtId="0" fontId="15" fillId="0" borderId="4" xfId="0" applyFont="1" applyBorder="1" applyAlignment="1" applyProtection="1">
      <alignment horizontal="left"/>
      <protection locked="0"/>
    </xf>
    <xf numFmtId="0" fontId="17" fillId="0" borderId="4" xfId="0" applyFont="1" applyBorder="1" applyAlignment="1" applyProtection="1">
      <alignment horizontal="left"/>
      <protection locked="0"/>
    </xf>
    <xf numFmtId="0" fontId="15" fillId="0" borderId="0" xfId="0" applyFont="1"/>
    <xf numFmtId="14" fontId="18" fillId="4" borderId="4" xfId="0" applyNumberFormat="1" applyFont="1" applyFill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4" borderId="4" xfId="0" applyFont="1" applyFill="1" applyBorder="1" applyAlignment="1" applyProtection="1">
      <alignment horizontal="left"/>
      <protection locked="0"/>
    </xf>
    <xf numFmtId="0" fontId="18" fillId="4" borderId="1" xfId="0" applyFont="1" applyFill="1" applyBorder="1" applyAlignment="1">
      <alignment horizontal="left"/>
    </xf>
    <xf numFmtId="14" fontId="15" fillId="4" borderId="0" xfId="0" applyNumberFormat="1" applyFont="1" applyFill="1" applyAlignment="1">
      <alignment horizontal="left"/>
    </xf>
    <xf numFmtId="14" fontId="23" fillId="4" borderId="0" xfId="0" applyNumberFormat="1" applyFont="1" applyFill="1" applyAlignment="1">
      <alignment horizontal="left"/>
    </xf>
    <xf numFmtId="14" fontId="15" fillId="4" borderId="1" xfId="0" applyNumberFormat="1" applyFont="1" applyFill="1" applyBorder="1" applyAlignment="1">
      <alignment horizontal="left"/>
    </xf>
    <xf numFmtId="0" fontId="15" fillId="0" borderId="6" xfId="0" applyFont="1" applyBorder="1" applyAlignment="1" applyProtection="1">
      <alignment horizontal="left"/>
      <protection locked="0"/>
    </xf>
    <xf numFmtId="0" fontId="18" fillId="4" borderId="3" xfId="0" applyFont="1" applyFill="1" applyBorder="1" applyAlignment="1">
      <alignment horizontal="left"/>
    </xf>
    <xf numFmtId="14" fontId="14" fillId="4" borderId="0" xfId="0" applyNumberFormat="1" applyFont="1" applyFill="1" applyAlignment="1">
      <alignment horizontal="left"/>
    </xf>
    <xf numFmtId="0" fontId="15" fillId="5" borderId="4" xfId="0" applyFont="1" applyFill="1" applyBorder="1" applyAlignment="1">
      <alignment horizontal="left"/>
    </xf>
    <xf numFmtId="0" fontId="15" fillId="5" borderId="8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left"/>
    </xf>
    <xf numFmtId="0" fontId="15" fillId="0" borderId="4" xfId="0" applyFont="1" applyBorder="1"/>
    <xf numFmtId="0" fontId="18" fillId="0" borderId="1" xfId="0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0" fontId="7" fillId="0" borderId="0" xfId="0" applyFont="1"/>
    <xf numFmtId="164" fontId="7" fillId="0" borderId="2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5" fontId="12" fillId="0" borderId="1" xfId="0" applyNumberFormat="1" applyFont="1" applyBorder="1" applyAlignment="1">
      <alignment horizontal="left"/>
    </xf>
    <xf numFmtId="164" fontId="24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14" fontId="7" fillId="4" borderId="0" xfId="0" applyNumberFormat="1" applyFont="1" applyFill="1" applyAlignment="1">
      <alignment horizontal="left"/>
    </xf>
    <xf numFmtId="0" fontId="25" fillId="4" borderId="1" xfId="0" applyFont="1" applyFill="1" applyBorder="1"/>
    <xf numFmtId="0" fontId="25" fillId="4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7" fillId="4" borderId="1" xfId="0" applyFont="1" applyFill="1" applyBorder="1" applyAlignment="1" applyProtection="1">
      <alignment horizontal="left" wrapText="1"/>
      <protection locked="0"/>
    </xf>
    <xf numFmtId="0" fontId="15" fillId="4" borderId="0" xfId="0" applyFont="1" applyFill="1"/>
    <xf numFmtId="0" fontId="25" fillId="0" borderId="4" xfId="0" applyFont="1" applyBorder="1" applyAlignment="1">
      <alignment horizontal="left"/>
    </xf>
    <xf numFmtId="0" fontId="25" fillId="4" borderId="5" xfId="0" applyFont="1" applyFill="1" applyBorder="1"/>
    <xf numFmtId="0" fontId="25" fillId="4" borderId="5" xfId="0" applyFont="1" applyFill="1" applyBorder="1" applyAlignment="1">
      <alignment horizontal="left"/>
    </xf>
    <xf numFmtId="0" fontId="7" fillId="4" borderId="1" xfId="0" applyFont="1" applyFill="1" applyBorder="1"/>
    <xf numFmtId="0" fontId="26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7" fillId="4" borderId="1" xfId="0" applyFont="1" applyFill="1" applyBorder="1"/>
    <xf numFmtId="0" fontId="23" fillId="0" borderId="0" xfId="0" applyFont="1" applyAlignment="1">
      <alignment vertical="center" wrapText="1"/>
    </xf>
    <xf numFmtId="14" fontId="28" fillId="4" borderId="0" xfId="0" applyNumberFormat="1" applyFont="1" applyFill="1" applyAlignment="1">
      <alignment horizontal="left"/>
    </xf>
    <xf numFmtId="0" fontId="20" fillId="0" borderId="0" xfId="0" applyFont="1"/>
    <xf numFmtId="0" fontId="28" fillId="4" borderId="1" xfId="0" applyFont="1" applyFill="1" applyBorder="1"/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 applyProtection="1">
      <alignment horizontal="left" wrapText="1"/>
      <protection locked="0"/>
    </xf>
    <xf numFmtId="0" fontId="29" fillId="0" borderId="0" xfId="0" applyFont="1"/>
    <xf numFmtId="0" fontId="30" fillId="0" borderId="1" xfId="0" applyFont="1" applyBorder="1" applyAlignment="1" applyProtection="1">
      <alignment horizontal="left"/>
      <protection locked="0"/>
    </xf>
    <xf numFmtId="0" fontId="30" fillId="4" borderId="1" xfId="0" applyFont="1" applyFill="1" applyBorder="1" applyAlignment="1" applyProtection="1">
      <alignment horizontal="left"/>
      <protection locked="0"/>
    </xf>
    <xf numFmtId="0" fontId="30" fillId="4" borderId="0" xfId="0" applyFont="1" applyFill="1"/>
    <xf numFmtId="0" fontId="28" fillId="0" borderId="0" xfId="0" applyFont="1"/>
    <xf numFmtId="164" fontId="28" fillId="0" borderId="2" xfId="0" applyNumberFormat="1" applyFont="1" applyBorder="1" applyAlignment="1" applyProtection="1">
      <alignment horizontal="left"/>
      <protection locked="0"/>
    </xf>
    <xf numFmtId="164" fontId="31" fillId="0" borderId="1" xfId="0" applyNumberFormat="1" applyFont="1" applyBorder="1" applyAlignment="1" applyProtection="1">
      <alignment horizontal="left"/>
      <protection locked="0"/>
    </xf>
    <xf numFmtId="15" fontId="31" fillId="0" borderId="1" xfId="0" applyNumberFormat="1" applyFont="1" applyBorder="1" applyAlignment="1">
      <alignment horizontal="left"/>
    </xf>
    <xf numFmtId="164" fontId="32" fillId="0" borderId="1" xfId="0" applyNumberFormat="1" applyFont="1" applyBorder="1" applyAlignment="1" applyProtection="1">
      <alignment horizontal="left"/>
      <protection locked="0"/>
    </xf>
    <xf numFmtId="0" fontId="28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28" fillId="4" borderId="4" xfId="0" applyFont="1" applyFill="1" applyBorder="1"/>
    <xf numFmtId="0" fontId="2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1"/>
  <sheetViews>
    <sheetView workbookViewId="0" zoomScale="100" zoomScaleNormal="100">
      <selection activeCell="AH3" sqref="AH3"/>
    </sheetView>
  </sheetViews>
  <sheetFormatPr defaultRowHeight="14.5" outlineLevelRow="0" outlineLevelCol="0" x14ac:dyDescent="0.35" customHeight="1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14.089843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4.54296875" customWidth="1"/>
    <col min="67" max="67" width="25.1796875" customWidth="1"/>
    <col min="68" max="68" width="20.90625" customWidth="1"/>
    <col min="69" max="69" width="20.54296875" customWidth="1"/>
    <col min="76" max="76" width="26.36328125" customWidth="1"/>
  </cols>
  <sheetData>
    <row r="1" ht="14.5" customHeight="1" spans="1:76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ht="14.5" customHeight="1" spans="1:76" x14ac:dyDescent="0.25">
      <c r="A2" t="s">
        <v>73</v>
      </c>
      <c r="B2" t="s">
        <v>74</v>
      </c>
      <c r="C2" s="1" t="s">
        <v>75</v>
      </c>
      <c r="D2" s="27" t="s">
        <v>76</v>
      </c>
      <c r="E2" s="28" t="s">
        <v>77</v>
      </c>
      <c r="F2" t="s">
        <v>78</v>
      </c>
      <c r="G2" t="s">
        <v>79</v>
      </c>
      <c r="H2" s="29" t="s">
        <v>80</v>
      </c>
      <c r="I2" s="30" t="s">
        <v>81</v>
      </c>
      <c r="J2" s="30" t="s">
        <v>82</v>
      </c>
      <c r="K2" s="31">
        <f>TODAY()-31</f>
        <v>45689</v>
      </c>
      <c r="L2" s="30" t="s">
        <v>77</v>
      </c>
      <c r="M2" s="30" t="s">
        <v>83</v>
      </c>
      <c r="N2" s="30" t="s">
        <v>84</v>
      </c>
      <c r="O2" s="30">
        <v>1</v>
      </c>
      <c r="P2" s="30" t="s">
        <v>85</v>
      </c>
      <c r="Q2" s="30" t="s">
        <v>86</v>
      </c>
      <c r="R2" s="30" t="s">
        <v>86</v>
      </c>
      <c r="S2" s="30" t="s">
        <v>85</v>
      </c>
      <c r="T2" s="30" t="s">
        <v>82</v>
      </c>
      <c r="U2" s="30" t="s">
        <v>87</v>
      </c>
      <c r="V2" s="32" t="s">
        <v>88</v>
      </c>
      <c r="W2" s="33" t="s">
        <v>82</v>
      </c>
      <c r="X2" s="34">
        <f>K2</f>
        <v>45689</v>
      </c>
      <c r="Y2" s="33" t="s">
        <v>89</v>
      </c>
      <c r="Z2" s="30" t="s">
        <v>90</v>
      </c>
      <c r="AA2" s="35" t="s">
        <v>91</v>
      </c>
      <c r="AB2" s="36" t="s">
        <v>92</v>
      </c>
      <c r="AC2" s="35" t="s">
        <v>93</v>
      </c>
      <c r="AD2" s="37">
        <v>766</v>
      </c>
      <c r="AE2" s="30" t="s">
        <v>70</v>
      </c>
      <c r="AF2" s="38">
        <v>40</v>
      </c>
      <c r="AG2" s="30" t="s">
        <v>86</v>
      </c>
      <c r="AH2" s="39" t="s">
        <v>94</v>
      </c>
      <c r="AI2" s="31">
        <v>43831</v>
      </c>
      <c r="AJ2" s="31">
        <v>45293</v>
      </c>
      <c r="AK2" s="40" t="s">
        <v>95</v>
      </c>
      <c r="AL2" s="29" t="s">
        <v>96</v>
      </c>
      <c r="AM2" s="41" t="s">
        <v>97</v>
      </c>
      <c r="AN2" s="30">
        <v>110</v>
      </c>
      <c r="AO2" s="33" t="s">
        <v>98</v>
      </c>
      <c r="AP2" s="42" t="s">
        <v>99</v>
      </c>
      <c r="AQ2" s="33" t="s">
        <v>100</v>
      </c>
      <c r="AR2" s="43">
        <f>X2</f>
        <v>45689</v>
      </c>
      <c r="AS2" s="44">
        <f>X2</f>
        <v>45689</v>
      </c>
      <c r="AT2" s="41">
        <f>AM2</f>
        <v>NaN</v>
      </c>
      <c r="AU2" s="42" t="s">
        <v>101</v>
      </c>
      <c r="AV2" s="45" t="s">
        <v>102</v>
      </c>
      <c r="AW2" s="46" t="s">
        <v>103</v>
      </c>
      <c r="AX2" s="46" t="s">
        <v>104</v>
      </c>
      <c r="AY2" s="46" t="s">
        <v>105</v>
      </c>
      <c r="AZ2" s="46" t="s">
        <v>106</v>
      </c>
      <c r="BA2" s="46" t="s">
        <v>107</v>
      </c>
      <c r="BB2" s="46" t="s">
        <v>90</v>
      </c>
      <c r="BC2" s="30" t="s">
        <v>77</v>
      </c>
      <c r="BD2" s="47" t="s">
        <v>108</v>
      </c>
      <c r="BE2" s="47">
        <v>9477896613</v>
      </c>
      <c r="BF2" s="30" t="s">
        <v>77</v>
      </c>
      <c r="BG2" s="47" t="s">
        <v>109</v>
      </c>
      <c r="BH2" s="47">
        <v>47678965347</v>
      </c>
      <c r="BI2" s="30" t="s">
        <v>77</v>
      </c>
      <c r="BJ2" s="47" t="s">
        <v>110</v>
      </c>
      <c r="BK2" s="47" t="s">
        <v>111</v>
      </c>
      <c r="BL2" s="29" t="s">
        <v>112</v>
      </c>
      <c r="BM2" s="48">
        <v>34130</v>
      </c>
      <c r="BN2" s="49" t="s">
        <v>113</v>
      </c>
      <c r="BO2" s="50" t="s">
        <v>114</v>
      </c>
      <c r="BP2" s="51" t="s">
        <v>115</v>
      </c>
      <c r="BQ2" s="30" t="s">
        <v>116</v>
      </c>
      <c r="BR2" s="52" t="s">
        <v>117</v>
      </c>
      <c r="BS2" s="30" t="s">
        <v>118</v>
      </c>
      <c r="BT2" s="51" t="s">
        <v>119</v>
      </c>
      <c r="BU2" s="51" t="s">
        <v>120</v>
      </c>
      <c r="BV2" s="30" t="s">
        <v>121</v>
      </c>
      <c r="BW2" s="30" t="s">
        <v>122</v>
      </c>
      <c r="BX2" s="30" t="s">
        <v>123</v>
      </c>
    </row>
    <row r="3" ht="14.5" customHeight="1" spans="1:76" x14ac:dyDescent="0.25">
      <c r="A3" t="s">
        <v>124</v>
      </c>
      <c r="B3" t="s">
        <v>125</v>
      </c>
      <c r="C3" s="1" t="s">
        <v>75</v>
      </c>
      <c r="D3" s="27" t="s">
        <v>76</v>
      </c>
      <c r="E3" t="s">
        <v>77</v>
      </c>
      <c r="F3" t="s">
        <v>126</v>
      </c>
      <c r="G3" t="s">
        <v>127</v>
      </c>
      <c r="H3" s="29" t="s">
        <v>80</v>
      </c>
      <c r="I3" s="30" t="s">
        <v>81</v>
      </c>
      <c r="J3" s="30" t="s">
        <v>82</v>
      </c>
      <c r="K3" s="31">
        <f>TODAY()-31</f>
        <v>45689</v>
      </c>
      <c r="L3" s="30" t="s">
        <v>77</v>
      </c>
      <c r="M3" s="30" t="s">
        <v>83</v>
      </c>
      <c r="N3" s="30" t="s">
        <v>84</v>
      </c>
      <c r="O3" s="30">
        <v>1</v>
      </c>
      <c r="P3" s="30" t="s">
        <v>85</v>
      </c>
      <c r="Q3" s="30" t="s">
        <v>86</v>
      </c>
      <c r="R3" s="30" t="s">
        <v>86</v>
      </c>
      <c r="S3" s="30" t="s">
        <v>85</v>
      </c>
      <c r="T3" s="30" t="s">
        <v>82</v>
      </c>
      <c r="U3" s="30" t="s">
        <v>87</v>
      </c>
      <c r="V3" s="32" t="s">
        <v>88</v>
      </c>
      <c r="W3" s="33" t="s">
        <v>82</v>
      </c>
      <c r="X3" s="34">
        <f>K3</f>
        <v>45689</v>
      </c>
      <c r="Y3" s="33" t="s">
        <v>89</v>
      </c>
      <c r="Z3" s="30" t="s">
        <v>90</v>
      </c>
      <c r="AA3" s="35" t="s">
        <v>128</v>
      </c>
      <c r="AB3" s="36" t="s">
        <v>92</v>
      </c>
      <c r="AC3" s="35" t="s">
        <v>93</v>
      </c>
      <c r="AD3" s="37">
        <v>766</v>
      </c>
      <c r="AE3" s="30" t="s">
        <v>70</v>
      </c>
      <c r="AF3" s="38">
        <v>40</v>
      </c>
      <c r="AG3" s="30" t="s">
        <v>86</v>
      </c>
      <c r="AH3" s="39" t="s">
        <v>94</v>
      </c>
      <c r="AI3" s="31">
        <v>43831</v>
      </c>
      <c r="AJ3" s="31">
        <v>45293</v>
      </c>
      <c r="AK3" s="40" t="s">
        <v>129</v>
      </c>
      <c r="AL3" s="29" t="s">
        <v>96</v>
      </c>
      <c r="AM3" s="41">
        <f>TODAY()+365</f>
        <v>46085</v>
      </c>
      <c r="AN3" s="30">
        <v>110</v>
      </c>
      <c r="AO3" s="33" t="s">
        <v>98</v>
      </c>
      <c r="AP3" s="35" t="s">
        <v>128</v>
      </c>
      <c r="AQ3" s="33" t="s">
        <v>100</v>
      </c>
      <c r="AR3" s="43">
        <f>X3</f>
        <v>45689</v>
      </c>
      <c r="AS3" s="44">
        <f>X3</f>
        <v>45689</v>
      </c>
      <c r="AT3" s="53">
        <f>AM3</f>
        <v>46085</v>
      </c>
      <c r="AU3" s="42" t="s">
        <v>101</v>
      </c>
      <c r="AV3" s="45" t="s">
        <v>130</v>
      </c>
      <c r="AW3" s="46" t="s">
        <v>103</v>
      </c>
      <c r="AX3" s="46" t="s">
        <v>104</v>
      </c>
      <c r="AY3" s="46" t="s">
        <v>105</v>
      </c>
      <c r="AZ3" s="46" t="s">
        <v>106</v>
      </c>
      <c r="BA3" s="46" t="s">
        <v>107</v>
      </c>
      <c r="BB3" s="46" t="s">
        <v>131</v>
      </c>
      <c r="BC3" s="30" t="s">
        <v>77</v>
      </c>
      <c r="BD3" s="47" t="s">
        <v>108</v>
      </c>
      <c r="BE3" s="47">
        <v>9477896614</v>
      </c>
      <c r="BF3" s="30" t="s">
        <v>77</v>
      </c>
      <c r="BG3" s="47" t="s">
        <v>109</v>
      </c>
      <c r="BH3" s="47">
        <v>47678965348</v>
      </c>
      <c r="BI3" s="30" t="s">
        <v>77</v>
      </c>
      <c r="BJ3" s="47" t="s">
        <v>110</v>
      </c>
      <c r="BK3" s="47" t="s">
        <v>132</v>
      </c>
      <c r="BL3" s="29" t="s">
        <v>133</v>
      </c>
      <c r="BM3" s="48">
        <v>35591</v>
      </c>
      <c r="BN3" s="49" t="s">
        <v>134</v>
      </c>
      <c r="BO3" s="50" t="s">
        <v>97</v>
      </c>
      <c r="BP3" s="51" t="s">
        <v>115</v>
      </c>
      <c r="BQ3" s="30" t="s">
        <v>116</v>
      </c>
      <c r="BR3" s="52" t="s">
        <v>117</v>
      </c>
      <c r="BS3" s="30" t="s">
        <v>118</v>
      </c>
      <c r="BT3" s="51" t="s">
        <v>119</v>
      </c>
      <c r="BU3" s="51" t="s">
        <v>120</v>
      </c>
      <c r="BV3" s="30" t="s">
        <v>121</v>
      </c>
      <c r="BW3" s="30" t="s">
        <v>122</v>
      </c>
      <c r="BX3" s="30" t="s">
        <v>123</v>
      </c>
    </row>
    <row r="4" ht="14.5" customHeight="1" spans="1:76" x14ac:dyDescent="0.25">
      <c r="A4" t="s">
        <v>135</v>
      </c>
      <c r="D4" s="27" t="s">
        <v>76</v>
      </c>
      <c r="E4" t="s">
        <v>77</v>
      </c>
      <c r="H4" s="29" t="s">
        <v>80</v>
      </c>
      <c r="I4" s="30" t="s">
        <v>81</v>
      </c>
      <c r="J4" s="30" t="s">
        <v>82</v>
      </c>
      <c r="K4" s="31">
        <f>TODAY()-31</f>
        <v>45689</v>
      </c>
      <c r="L4" s="30" t="s">
        <v>77</v>
      </c>
      <c r="M4" s="30" t="s">
        <v>83</v>
      </c>
      <c r="N4" s="30" t="s">
        <v>84</v>
      </c>
      <c r="O4" s="30">
        <v>1</v>
      </c>
      <c r="P4" s="30" t="s">
        <v>85</v>
      </c>
      <c r="Q4" s="30" t="s">
        <v>86</v>
      </c>
      <c r="R4" s="30" t="s">
        <v>86</v>
      </c>
      <c r="S4" s="30" t="s">
        <v>85</v>
      </c>
      <c r="T4" s="30" t="s">
        <v>82</v>
      </c>
      <c r="U4" s="30" t="s">
        <v>87</v>
      </c>
      <c r="V4" s="32" t="s">
        <v>88</v>
      </c>
      <c r="W4" s="33" t="s">
        <v>82</v>
      </c>
      <c r="X4" s="34">
        <f>K4</f>
        <v>45689</v>
      </c>
      <c r="Y4" s="54" t="s">
        <v>89</v>
      </c>
      <c r="Z4" s="33" t="s">
        <v>90</v>
      </c>
      <c r="AA4" s="35" t="s">
        <v>128</v>
      </c>
      <c r="AB4" s="36" t="s">
        <v>92</v>
      </c>
      <c r="AC4" s="35" t="s">
        <v>136</v>
      </c>
      <c r="AD4" s="37">
        <v>766</v>
      </c>
      <c r="AE4" s="30" t="s">
        <v>70</v>
      </c>
      <c r="AF4" s="38">
        <v>20</v>
      </c>
      <c r="AG4" s="30" t="s">
        <v>86</v>
      </c>
      <c r="AH4" s="39" t="s">
        <v>94</v>
      </c>
      <c r="AI4" s="31">
        <v>43831</v>
      </c>
      <c r="AJ4" s="31">
        <v>45293</v>
      </c>
      <c r="AK4" s="40" t="s">
        <v>137</v>
      </c>
      <c r="AL4" s="29" t="s">
        <v>96</v>
      </c>
      <c r="AM4" s="41">
        <f>TODAY()+365</f>
        <v>46085</v>
      </c>
      <c r="AN4" s="30">
        <v>110</v>
      </c>
      <c r="AO4" s="33" t="s">
        <v>98</v>
      </c>
      <c r="AP4" s="35" t="s">
        <v>128</v>
      </c>
      <c r="AQ4" s="33" t="s">
        <v>100</v>
      </c>
      <c r="AR4" s="43">
        <f>X4</f>
        <v>45689</v>
      </c>
      <c r="AS4" s="43">
        <f>X4</f>
        <v>45689</v>
      </c>
      <c r="AT4" s="55">
        <f>AM4</f>
        <v>46085</v>
      </c>
      <c r="AU4" s="42" t="s">
        <v>101</v>
      </c>
      <c r="AV4" s="45" t="s">
        <v>130</v>
      </c>
      <c r="AW4" s="46" t="s">
        <v>103</v>
      </c>
      <c r="AX4" s="46" t="s">
        <v>104</v>
      </c>
      <c r="AY4" s="46" t="s">
        <v>105</v>
      </c>
      <c r="AZ4" s="46" t="s">
        <v>106</v>
      </c>
      <c r="BA4" s="46" t="s">
        <v>107</v>
      </c>
      <c r="BB4" s="46" t="s">
        <v>90</v>
      </c>
      <c r="BC4" s="30" t="s">
        <v>77</v>
      </c>
      <c r="BD4" s="47" t="s">
        <v>108</v>
      </c>
      <c r="BE4" s="47">
        <v>9477896615</v>
      </c>
      <c r="BF4" s="30" t="s">
        <v>77</v>
      </c>
      <c r="BG4" s="47" t="s">
        <v>109</v>
      </c>
      <c r="BH4" s="47">
        <v>47678965349</v>
      </c>
      <c r="BI4" s="30" t="s">
        <v>77</v>
      </c>
      <c r="BJ4" s="47" t="s">
        <v>110</v>
      </c>
      <c r="BK4" s="47" t="s">
        <v>138</v>
      </c>
      <c r="BL4" s="29" t="s">
        <v>112</v>
      </c>
      <c r="BM4" s="48">
        <v>35591</v>
      </c>
      <c r="BN4" s="49" t="s">
        <v>113</v>
      </c>
      <c r="BO4" s="50" t="s">
        <v>139</v>
      </c>
      <c r="BP4" s="51" t="s">
        <v>115</v>
      </c>
      <c r="BQ4" s="30" t="s">
        <v>116</v>
      </c>
      <c r="BR4" s="52" t="s">
        <v>117</v>
      </c>
      <c r="BS4" s="30" t="s">
        <v>118</v>
      </c>
      <c r="BT4" s="51" t="s">
        <v>119</v>
      </c>
      <c r="BU4" s="51" t="s">
        <v>120</v>
      </c>
      <c r="BV4" s="30" t="s">
        <v>121</v>
      </c>
      <c r="BW4" s="30" t="s">
        <v>122</v>
      </c>
      <c r="BX4" s="30" t="s">
        <v>123</v>
      </c>
    </row>
    <row r="5" ht="14.5" customHeight="1" spans="1:76" x14ac:dyDescent="0.25">
      <c r="A5" t="s">
        <v>140</v>
      </c>
      <c r="D5" s="27" t="s">
        <v>76</v>
      </c>
      <c r="E5" t="s">
        <v>77</v>
      </c>
      <c r="H5" s="30" t="s">
        <v>80</v>
      </c>
      <c r="I5" s="30" t="s">
        <v>81</v>
      </c>
      <c r="J5" s="30" t="s">
        <v>82</v>
      </c>
      <c r="K5" s="31">
        <f>TODAY()-31</f>
        <v>45689</v>
      </c>
      <c r="L5" s="30" t="s">
        <v>77</v>
      </c>
      <c r="M5" s="30" t="s">
        <v>83</v>
      </c>
      <c r="N5" s="30" t="s">
        <v>84</v>
      </c>
      <c r="O5" s="30" t="s">
        <v>141</v>
      </c>
      <c r="P5" s="30" t="s">
        <v>85</v>
      </c>
      <c r="Q5" s="30" t="s">
        <v>86</v>
      </c>
      <c r="R5" s="30" t="s">
        <v>86</v>
      </c>
      <c r="S5" s="30" t="s">
        <v>85</v>
      </c>
      <c r="T5" s="30" t="s">
        <v>82</v>
      </c>
      <c r="U5" s="30" t="s">
        <v>87</v>
      </c>
      <c r="V5" s="30" t="s">
        <v>88</v>
      </c>
      <c r="W5" s="30" t="s">
        <v>82</v>
      </c>
      <c r="X5" s="34">
        <f>K5</f>
        <v>45689</v>
      </c>
      <c r="Y5" s="54" t="s">
        <v>89</v>
      </c>
      <c r="Z5" s="33" t="s">
        <v>90</v>
      </c>
      <c r="AA5" s="35" t="s">
        <v>91</v>
      </c>
      <c r="AB5" s="56" t="s">
        <v>92</v>
      </c>
      <c r="AC5" s="35" t="s">
        <v>93</v>
      </c>
      <c r="AD5" s="37">
        <v>766</v>
      </c>
      <c r="AE5" s="30" t="s">
        <v>70</v>
      </c>
      <c r="AF5" s="38">
        <v>40</v>
      </c>
      <c r="AG5" s="30" t="s">
        <v>86</v>
      </c>
      <c r="AH5" s="39" t="s">
        <v>94</v>
      </c>
      <c r="AI5" s="31">
        <v>43831</v>
      </c>
      <c r="AJ5" s="31">
        <v>45293</v>
      </c>
      <c r="AK5" s="40" t="s">
        <v>142</v>
      </c>
      <c r="AL5" s="29" t="s">
        <v>96</v>
      </c>
      <c r="AM5" s="57" t="s">
        <v>97</v>
      </c>
      <c r="AN5" s="30">
        <v>110</v>
      </c>
      <c r="AO5" s="33" t="s">
        <v>98</v>
      </c>
      <c r="AP5" s="42" t="s">
        <v>99</v>
      </c>
      <c r="AQ5" s="33" t="s">
        <v>100</v>
      </c>
      <c r="AR5" s="43">
        <f>AC5</f>
        <v>NaN</v>
      </c>
      <c r="AS5" s="43">
        <f>AC5</f>
        <v>NaN</v>
      </c>
      <c r="AT5" s="55">
        <f>AM5</f>
        <v>NaN</v>
      </c>
      <c r="AU5" s="42" t="s">
        <v>101</v>
      </c>
      <c r="AV5" s="45" t="s">
        <v>130</v>
      </c>
      <c r="AW5" s="46" t="s">
        <v>103</v>
      </c>
      <c r="AX5" s="46" t="s">
        <v>104</v>
      </c>
      <c r="AY5" s="46" t="s">
        <v>105</v>
      </c>
      <c r="AZ5" s="46" t="s">
        <v>106</v>
      </c>
      <c r="BA5" s="46" t="s">
        <v>107</v>
      </c>
      <c r="BB5" s="46" t="s">
        <v>90</v>
      </c>
      <c r="BC5" s="30" t="s">
        <v>77</v>
      </c>
      <c r="BD5" s="47" t="s">
        <v>108</v>
      </c>
      <c r="BE5" s="47">
        <v>9477896616</v>
      </c>
      <c r="BF5" s="30" t="s">
        <v>77</v>
      </c>
      <c r="BG5" s="47" t="s">
        <v>109</v>
      </c>
      <c r="BH5" s="47">
        <v>47678965350</v>
      </c>
      <c r="BI5" s="30" t="s">
        <v>77</v>
      </c>
      <c r="BJ5" s="47" t="s">
        <v>110</v>
      </c>
      <c r="BK5" s="47" t="s">
        <v>143</v>
      </c>
      <c r="BL5" s="29" t="s">
        <v>133</v>
      </c>
      <c r="BM5" s="48">
        <v>35591</v>
      </c>
      <c r="BN5" s="49" t="s">
        <v>134</v>
      </c>
      <c r="BO5" s="50" t="s">
        <v>97</v>
      </c>
      <c r="BP5" s="51" t="s">
        <v>115</v>
      </c>
      <c r="BQ5" s="30" t="s">
        <v>116</v>
      </c>
      <c r="BR5" s="52" t="s">
        <v>117</v>
      </c>
      <c r="BS5" s="30" t="s">
        <v>118</v>
      </c>
      <c r="BT5" s="51" t="s">
        <v>119</v>
      </c>
      <c r="BU5" s="51" t="s">
        <v>120</v>
      </c>
      <c r="BV5" s="30" t="s">
        <v>121</v>
      </c>
      <c r="BW5" s="30" t="s">
        <v>122</v>
      </c>
      <c r="BX5" s="30" t="s">
        <v>123</v>
      </c>
    </row>
    <row r="6" ht="14.5" customHeight="1" spans="1:76" x14ac:dyDescent="0.25">
      <c r="A6" t="s">
        <v>144</v>
      </c>
      <c r="D6" s="27" t="s">
        <v>76</v>
      </c>
      <c r="E6" t="s">
        <v>77</v>
      </c>
      <c r="H6" s="30" t="s">
        <v>80</v>
      </c>
      <c r="I6" s="30" t="s">
        <v>81</v>
      </c>
      <c r="J6" s="30" t="s">
        <v>82</v>
      </c>
      <c r="K6" s="31">
        <f>TODAY()-31</f>
        <v>45689</v>
      </c>
      <c r="L6" s="30" t="s">
        <v>77</v>
      </c>
      <c r="M6" s="30" t="s">
        <v>83</v>
      </c>
      <c r="N6" s="30" t="s">
        <v>84</v>
      </c>
      <c r="O6" s="30" t="s">
        <v>141</v>
      </c>
      <c r="P6" s="30" t="s">
        <v>85</v>
      </c>
      <c r="Q6" s="30" t="s">
        <v>86</v>
      </c>
      <c r="R6" s="30" t="s">
        <v>86</v>
      </c>
      <c r="S6" s="30" t="s">
        <v>85</v>
      </c>
      <c r="T6" s="30" t="s">
        <v>82</v>
      </c>
      <c r="U6" s="30" t="s">
        <v>87</v>
      </c>
      <c r="V6" s="32" t="s">
        <v>88</v>
      </c>
      <c r="W6" s="33" t="s">
        <v>82</v>
      </c>
      <c r="X6" s="34">
        <f>K6</f>
        <v>45689</v>
      </c>
      <c r="Y6" s="54" t="s">
        <v>89</v>
      </c>
      <c r="Z6" s="33" t="s">
        <v>90</v>
      </c>
      <c r="AA6" s="58" t="s">
        <v>91</v>
      </c>
      <c r="AB6" s="58" t="s">
        <v>92</v>
      </c>
      <c r="AC6" s="58" t="s">
        <v>136</v>
      </c>
      <c r="AD6" s="59">
        <v>766</v>
      </c>
      <c r="AE6" s="60" t="s">
        <v>70</v>
      </c>
      <c r="AF6" s="38">
        <v>30</v>
      </c>
      <c r="AG6" s="30" t="s">
        <v>86</v>
      </c>
      <c r="AH6" s="39" t="s">
        <v>94</v>
      </c>
      <c r="AI6" s="31">
        <v>43831</v>
      </c>
      <c r="AJ6" s="31">
        <v>45293</v>
      </c>
      <c r="AK6" s="40" t="s">
        <v>95</v>
      </c>
      <c r="AL6" s="29" t="s">
        <v>96</v>
      </c>
      <c r="AM6" s="57" t="s">
        <v>97</v>
      </c>
      <c r="AN6" s="30">
        <v>110</v>
      </c>
      <c r="AO6" s="33" t="s">
        <v>98</v>
      </c>
      <c r="AP6" s="42" t="s">
        <v>99</v>
      </c>
      <c r="AQ6" s="33" t="s">
        <v>100</v>
      </c>
      <c r="AR6" s="43">
        <f>X6</f>
        <v>45689</v>
      </c>
      <c r="AS6" s="43">
        <f>X6</f>
        <v>45689</v>
      </c>
      <c r="AT6" s="55">
        <f>AM6</f>
        <v>NaN</v>
      </c>
      <c r="AU6" s="42" t="s">
        <v>101</v>
      </c>
      <c r="AV6" s="61" t="s">
        <v>130</v>
      </c>
      <c r="AW6" s="46" t="s">
        <v>103</v>
      </c>
      <c r="AX6" s="46" t="s">
        <v>104</v>
      </c>
      <c r="AY6" s="46" t="s">
        <v>105</v>
      </c>
      <c r="AZ6" s="46" t="s">
        <v>106</v>
      </c>
      <c r="BA6" s="46" t="s">
        <v>107</v>
      </c>
      <c r="BB6" s="46" t="s">
        <v>90</v>
      </c>
      <c r="BC6" s="30" t="s">
        <v>77</v>
      </c>
      <c r="BD6" s="47" t="s">
        <v>108</v>
      </c>
      <c r="BE6" s="47">
        <v>9477896617</v>
      </c>
      <c r="BF6" s="30" t="s">
        <v>77</v>
      </c>
      <c r="BG6" s="47" t="s">
        <v>109</v>
      </c>
      <c r="BH6" s="47">
        <v>47678965351</v>
      </c>
      <c r="BI6" s="30" t="s">
        <v>77</v>
      </c>
      <c r="BJ6" s="47" t="s">
        <v>110</v>
      </c>
      <c r="BK6" s="47" t="s">
        <v>145</v>
      </c>
      <c r="BL6" s="29" t="s">
        <v>112</v>
      </c>
      <c r="BM6" s="48">
        <v>35591</v>
      </c>
      <c r="BN6" s="49" t="s">
        <v>113</v>
      </c>
      <c r="BO6" s="50" t="s">
        <v>139</v>
      </c>
      <c r="BP6" s="51" t="s">
        <v>115</v>
      </c>
      <c r="BQ6" s="30" t="s">
        <v>116</v>
      </c>
      <c r="BR6" s="52" t="s">
        <v>117</v>
      </c>
      <c r="BS6" s="30" t="s">
        <v>118</v>
      </c>
      <c r="BT6" s="51" t="s">
        <v>119</v>
      </c>
      <c r="BU6" s="51" t="s">
        <v>120</v>
      </c>
      <c r="BV6" s="30" t="s">
        <v>121</v>
      </c>
      <c r="BW6" s="30" t="s">
        <v>122</v>
      </c>
      <c r="BX6" s="30" t="s">
        <v>123</v>
      </c>
    </row>
    <row r="7" ht="14.5" customHeight="1" spans="1:76" x14ac:dyDescent="0.25">
      <c r="A7" t="s">
        <v>146</v>
      </c>
      <c r="D7" s="27" t="s">
        <v>76</v>
      </c>
      <c r="E7" t="s">
        <v>77</v>
      </c>
      <c r="H7" s="29" t="s">
        <v>80</v>
      </c>
      <c r="I7" s="30" t="s">
        <v>81</v>
      </c>
      <c r="J7" s="30" t="s">
        <v>82</v>
      </c>
      <c r="K7" s="31">
        <f>TODAY()-31</f>
        <v>45689</v>
      </c>
      <c r="L7" s="30" t="s">
        <v>77</v>
      </c>
      <c r="M7" s="30" t="s">
        <v>83</v>
      </c>
      <c r="N7" s="30" t="s">
        <v>84</v>
      </c>
      <c r="O7" s="30">
        <v>1</v>
      </c>
      <c r="P7" s="30" t="s">
        <v>85</v>
      </c>
      <c r="Q7" s="30" t="s">
        <v>86</v>
      </c>
      <c r="R7" s="30" t="s">
        <v>86</v>
      </c>
      <c r="S7" s="30" t="s">
        <v>85</v>
      </c>
      <c r="T7" s="30" t="s">
        <v>82</v>
      </c>
      <c r="U7" s="30" t="s">
        <v>87</v>
      </c>
      <c r="V7" s="32" t="s">
        <v>88</v>
      </c>
      <c r="W7" s="33" t="s">
        <v>82</v>
      </c>
      <c r="X7" s="34">
        <f>K7</f>
        <v>45689</v>
      </c>
      <c r="Y7" s="54" t="s">
        <v>89</v>
      </c>
      <c r="Z7" s="33" t="s">
        <v>90</v>
      </c>
      <c r="AA7" s="35" t="s">
        <v>91</v>
      </c>
      <c r="AB7" s="56" t="s">
        <v>92</v>
      </c>
      <c r="AC7" s="35" t="s">
        <v>93</v>
      </c>
      <c r="AD7" s="37">
        <v>766</v>
      </c>
      <c r="AE7" s="30" t="s">
        <v>70</v>
      </c>
      <c r="AF7" s="38">
        <v>40</v>
      </c>
      <c r="AG7" s="62" t="s">
        <v>86</v>
      </c>
      <c r="AH7" s="39" t="s">
        <v>94</v>
      </c>
      <c r="AI7" s="31">
        <v>43831</v>
      </c>
      <c r="AJ7" s="31">
        <v>45293</v>
      </c>
      <c r="AK7" s="40" t="s">
        <v>147</v>
      </c>
      <c r="AL7" s="29" t="s">
        <v>96</v>
      </c>
      <c r="AM7" s="57" t="s">
        <v>97</v>
      </c>
      <c r="AN7" s="30">
        <v>110</v>
      </c>
      <c r="AO7" s="33" t="s">
        <v>98</v>
      </c>
      <c r="AP7" s="42" t="s">
        <v>99</v>
      </c>
      <c r="AQ7" s="33" t="s">
        <v>100</v>
      </c>
      <c r="AR7" s="43">
        <f>X7</f>
        <v>45689</v>
      </c>
      <c r="AS7" s="43">
        <f>X7</f>
        <v>45689</v>
      </c>
      <c r="AT7" s="55">
        <f>AM7</f>
        <v>NaN</v>
      </c>
      <c r="AU7" s="42" t="s">
        <v>101</v>
      </c>
      <c r="AV7" s="61" t="s">
        <v>148</v>
      </c>
      <c r="AW7" s="46" t="s">
        <v>103</v>
      </c>
      <c r="AX7" s="46" t="s">
        <v>104</v>
      </c>
      <c r="AY7" s="46" t="s">
        <v>105</v>
      </c>
      <c r="AZ7" s="46" t="s">
        <v>106</v>
      </c>
      <c r="BA7" s="46" t="s">
        <v>107</v>
      </c>
      <c r="BB7" s="63" t="s">
        <v>90</v>
      </c>
      <c r="BC7" s="30" t="s">
        <v>77</v>
      </c>
      <c r="BD7" s="47" t="s">
        <v>108</v>
      </c>
      <c r="BE7" s="47">
        <v>9477896618</v>
      </c>
      <c r="BF7" s="30" t="s">
        <v>77</v>
      </c>
      <c r="BG7" s="47" t="s">
        <v>109</v>
      </c>
      <c r="BH7" s="47">
        <v>47678965352</v>
      </c>
      <c r="BI7" s="30" t="s">
        <v>77</v>
      </c>
      <c r="BJ7" s="47" t="s">
        <v>110</v>
      </c>
      <c r="BK7" s="47" t="s">
        <v>149</v>
      </c>
      <c r="BL7" s="29" t="s">
        <v>133</v>
      </c>
      <c r="BM7" s="64">
        <v>35591</v>
      </c>
      <c r="BN7" s="65" t="s">
        <v>134</v>
      </c>
      <c r="BO7" s="66" t="s">
        <v>97</v>
      </c>
      <c r="BP7" s="67" t="s">
        <v>115</v>
      </c>
      <c r="BQ7" s="68" t="s">
        <v>116</v>
      </c>
      <c r="BR7" s="69" t="s">
        <v>117</v>
      </c>
      <c r="BS7" s="68" t="s">
        <v>118</v>
      </c>
      <c r="BT7" s="67" t="s">
        <v>119</v>
      </c>
      <c r="BU7" s="67" t="s">
        <v>120</v>
      </c>
      <c r="BV7" s="68" t="s">
        <v>121</v>
      </c>
      <c r="BW7" s="68" t="s">
        <v>122</v>
      </c>
      <c r="BX7" s="68" t="s">
        <v>123</v>
      </c>
    </row>
    <row r="8" ht="14.5" customHeight="1" spans="1:76" x14ac:dyDescent="0.25">
      <c r="A8" t="s">
        <v>150</v>
      </c>
      <c r="D8" s="27" t="s">
        <v>76</v>
      </c>
      <c r="E8" t="s">
        <v>77</v>
      </c>
      <c r="H8" s="29" t="s">
        <v>80</v>
      </c>
      <c r="I8" s="30" t="s">
        <v>81</v>
      </c>
      <c r="J8" s="30" t="s">
        <v>82</v>
      </c>
      <c r="K8" s="31">
        <f>TODAY()-31</f>
        <v>45689</v>
      </c>
      <c r="L8" s="30" t="s">
        <v>77</v>
      </c>
      <c r="M8" s="30" t="s">
        <v>83</v>
      </c>
      <c r="N8" s="30" t="s">
        <v>84</v>
      </c>
      <c r="O8" s="30">
        <v>1</v>
      </c>
      <c r="P8" s="30" t="s">
        <v>85</v>
      </c>
      <c r="Q8" s="30" t="s">
        <v>86</v>
      </c>
      <c r="R8" s="30" t="s">
        <v>86</v>
      </c>
      <c r="S8" s="30" t="s">
        <v>85</v>
      </c>
      <c r="T8" s="68" t="s">
        <v>82</v>
      </c>
      <c r="U8" s="68" t="s">
        <v>87</v>
      </c>
      <c r="V8" s="70" t="s">
        <v>88</v>
      </c>
      <c r="W8" s="71" t="s">
        <v>82</v>
      </c>
      <c r="X8" s="34">
        <f>K8</f>
        <v>45689</v>
      </c>
      <c r="Y8" s="72" t="s">
        <v>89</v>
      </c>
      <c r="Z8" s="71" t="s">
        <v>90</v>
      </c>
      <c r="AA8" s="73" t="s">
        <v>128</v>
      </c>
      <c r="AB8" s="58" t="s">
        <v>92</v>
      </c>
      <c r="AC8" s="58" t="s">
        <v>136</v>
      </c>
      <c r="AD8" s="59">
        <v>766</v>
      </c>
      <c r="AE8" s="68" t="s">
        <v>70</v>
      </c>
      <c r="AF8" s="74">
        <v>10</v>
      </c>
      <c r="AG8" s="68" t="s">
        <v>86</v>
      </c>
      <c r="AH8" s="39" t="s">
        <v>94</v>
      </c>
      <c r="AI8" s="75">
        <v>43831</v>
      </c>
      <c r="AJ8" s="75">
        <v>45293</v>
      </c>
      <c r="AK8" s="40" t="s">
        <v>95</v>
      </c>
      <c r="AL8" s="29" t="s">
        <v>96</v>
      </c>
      <c r="AM8" s="55">
        <f>TODAY()+365</f>
        <v>46085</v>
      </c>
      <c r="AN8" s="30">
        <v>110</v>
      </c>
      <c r="AO8" s="33" t="s">
        <v>98</v>
      </c>
      <c r="AP8" s="35" t="s">
        <v>128</v>
      </c>
      <c r="AQ8" s="33" t="s">
        <v>100</v>
      </c>
      <c r="AR8" s="43">
        <f>X8</f>
        <v>45689</v>
      </c>
      <c r="AS8" s="43">
        <f>X8</f>
        <v>45689</v>
      </c>
      <c r="AT8" s="55">
        <f>AM8</f>
        <v>46085</v>
      </c>
      <c r="AU8" s="42" t="s">
        <v>101</v>
      </c>
      <c r="AV8" s="61" t="s">
        <v>151</v>
      </c>
      <c r="AW8" s="46" t="s">
        <v>103</v>
      </c>
      <c r="AX8" s="46" t="s">
        <v>104</v>
      </c>
      <c r="AY8" s="46" t="s">
        <v>105</v>
      </c>
      <c r="AZ8" s="46" t="s">
        <v>106</v>
      </c>
      <c r="BA8" s="46" t="s">
        <v>107</v>
      </c>
      <c r="BB8" s="63" t="s">
        <v>90</v>
      </c>
      <c r="BC8" s="30" t="s">
        <v>77</v>
      </c>
      <c r="BD8" s="47" t="s">
        <v>108</v>
      </c>
      <c r="BE8" s="47">
        <v>9477896619</v>
      </c>
      <c r="BF8" s="30" t="s">
        <v>77</v>
      </c>
      <c r="BG8" s="47" t="s">
        <v>109</v>
      </c>
      <c r="BH8" s="47">
        <v>47678965353</v>
      </c>
      <c r="BI8" s="30" t="s">
        <v>77</v>
      </c>
      <c r="BJ8" s="47" t="s">
        <v>110</v>
      </c>
      <c r="BK8" s="47" t="s">
        <v>152</v>
      </c>
      <c r="BL8" s="29" t="s">
        <v>112</v>
      </c>
      <c r="BM8" s="48">
        <v>35591</v>
      </c>
      <c r="BN8" s="51" t="s">
        <v>113</v>
      </c>
      <c r="BO8" s="76" t="s">
        <v>139</v>
      </c>
      <c r="BP8" s="51" t="s">
        <v>115</v>
      </c>
      <c r="BQ8" s="30" t="s">
        <v>116</v>
      </c>
      <c r="BR8" s="52" t="s">
        <v>117</v>
      </c>
      <c r="BS8" s="30" t="s">
        <v>118</v>
      </c>
      <c r="BT8" s="51" t="s">
        <v>119</v>
      </c>
      <c r="BU8" s="51" t="s">
        <v>120</v>
      </c>
      <c r="BV8" s="30" t="s">
        <v>121</v>
      </c>
      <c r="BW8" s="30" t="s">
        <v>122</v>
      </c>
      <c r="BX8" s="30" t="s">
        <v>123</v>
      </c>
    </row>
    <row r="9" ht="14.5" customHeight="1" spans="1:76" x14ac:dyDescent="0.25">
      <c r="A9" t="s">
        <v>153</v>
      </c>
      <c r="D9" s="27" t="s">
        <v>76</v>
      </c>
      <c r="E9" t="s">
        <v>77</v>
      </c>
      <c r="H9" s="29" t="s">
        <v>80</v>
      </c>
      <c r="I9" s="30" t="s">
        <v>81</v>
      </c>
      <c r="J9" s="30" t="s">
        <v>82</v>
      </c>
      <c r="K9" s="31">
        <f>TODAY()-31</f>
        <v>45689</v>
      </c>
      <c r="L9" s="30" t="s">
        <v>77</v>
      </c>
      <c r="M9" s="30" t="s">
        <v>83</v>
      </c>
      <c r="N9" s="30" t="s">
        <v>84</v>
      </c>
      <c r="O9" s="30">
        <v>1</v>
      </c>
      <c r="P9" s="30" t="s">
        <v>85</v>
      </c>
      <c r="Q9" s="30" t="s">
        <v>86</v>
      </c>
      <c r="R9" s="30" t="s">
        <v>86</v>
      </c>
      <c r="S9" s="30" t="s">
        <v>85</v>
      </c>
      <c r="T9" s="30" t="s">
        <v>82</v>
      </c>
      <c r="U9" s="30" t="s">
        <v>87</v>
      </c>
      <c r="V9" s="32" t="s">
        <v>88</v>
      </c>
      <c r="W9" s="77" t="s">
        <v>82</v>
      </c>
      <c r="X9" s="34">
        <f>K9</f>
        <v>45689</v>
      </c>
      <c r="Y9" s="78" t="s">
        <v>89</v>
      </c>
      <c r="Z9" s="71" t="s">
        <v>90</v>
      </c>
      <c r="AA9" s="58" t="s">
        <v>91</v>
      </c>
      <c r="AB9" s="58" t="s">
        <v>92</v>
      </c>
      <c r="AC9" s="58" t="s">
        <v>136</v>
      </c>
      <c r="AD9" s="59">
        <v>766</v>
      </c>
      <c r="AE9" s="69" t="s">
        <v>70</v>
      </c>
      <c r="AF9" s="74">
        <v>20</v>
      </c>
      <c r="AG9" s="68" t="s">
        <v>86</v>
      </c>
      <c r="AH9" s="39" t="s">
        <v>94</v>
      </c>
      <c r="AI9" s="75">
        <v>43831</v>
      </c>
      <c r="AJ9" s="75">
        <v>45293</v>
      </c>
      <c r="AK9" s="40" t="s">
        <v>95</v>
      </c>
      <c r="AL9" s="79" t="s">
        <v>96</v>
      </c>
      <c r="AM9" s="80" t="s">
        <v>97</v>
      </c>
      <c r="AN9" s="81">
        <v>110</v>
      </c>
      <c r="AO9" s="71" t="s">
        <v>98</v>
      </c>
      <c r="AP9" s="82" t="s">
        <v>99</v>
      </c>
      <c r="AQ9" s="77" t="s">
        <v>100</v>
      </c>
      <c r="AR9" s="43">
        <f>X9</f>
        <v>45689</v>
      </c>
      <c r="AS9" s="43">
        <f>X9</f>
        <v>45689</v>
      </c>
      <c r="AT9" s="55">
        <f>AM9</f>
        <v>NaN</v>
      </c>
      <c r="AU9" s="42" t="s">
        <v>101</v>
      </c>
      <c r="AV9" s="61" t="s">
        <v>154</v>
      </c>
      <c r="AW9" s="46" t="s">
        <v>103</v>
      </c>
      <c r="AX9" s="46" t="s">
        <v>104</v>
      </c>
      <c r="AY9" s="46" t="s">
        <v>105</v>
      </c>
      <c r="AZ9" s="46" t="s">
        <v>106</v>
      </c>
      <c r="BA9" s="46" t="s">
        <v>107</v>
      </c>
      <c r="BB9" s="63" t="s">
        <v>90</v>
      </c>
      <c r="BC9" s="30" t="s">
        <v>77</v>
      </c>
      <c r="BD9" s="47" t="s">
        <v>108</v>
      </c>
      <c r="BE9" s="47">
        <v>9477896620</v>
      </c>
      <c r="BF9" s="30" t="s">
        <v>77</v>
      </c>
      <c r="BG9" s="47" t="s">
        <v>109</v>
      </c>
      <c r="BH9" s="47">
        <v>47678965354</v>
      </c>
      <c r="BI9" s="30" t="s">
        <v>77</v>
      </c>
      <c r="BJ9" s="47" t="s">
        <v>110</v>
      </c>
      <c r="BK9" s="47" t="s">
        <v>155</v>
      </c>
      <c r="BL9" s="29" t="s">
        <v>133</v>
      </c>
      <c r="BM9" s="48">
        <v>35591</v>
      </c>
      <c r="BN9" s="51" t="s">
        <v>134</v>
      </c>
      <c r="BO9" s="76" t="s">
        <v>97</v>
      </c>
      <c r="BP9" s="51" t="s">
        <v>115</v>
      </c>
      <c r="BQ9" s="30" t="s">
        <v>116</v>
      </c>
      <c r="BR9" s="52" t="s">
        <v>117</v>
      </c>
      <c r="BS9" s="30" t="s">
        <v>118</v>
      </c>
      <c r="BT9" s="51" t="s">
        <v>119</v>
      </c>
      <c r="BU9" s="51" t="s">
        <v>120</v>
      </c>
      <c r="BV9" s="30" t="s">
        <v>121</v>
      </c>
      <c r="BW9" s="30" t="s">
        <v>122</v>
      </c>
      <c r="BX9" s="30" t="s">
        <v>123</v>
      </c>
    </row>
    <row r="10" ht="14.5" customHeight="1" spans="1:76" x14ac:dyDescent="0.25">
      <c r="A10" t="s">
        <v>156</v>
      </c>
      <c r="D10" s="27" t="s">
        <v>76</v>
      </c>
      <c r="E10" t="s">
        <v>77</v>
      </c>
      <c r="H10" s="29" t="s">
        <v>80</v>
      </c>
      <c r="I10" s="30" t="s">
        <v>81</v>
      </c>
      <c r="J10" s="30" t="s">
        <v>82</v>
      </c>
      <c r="K10" s="31">
        <f>TODAY()-31</f>
        <v>45689</v>
      </c>
      <c r="L10" s="30" t="s">
        <v>77</v>
      </c>
      <c r="M10" s="30" t="s">
        <v>83</v>
      </c>
      <c r="N10" s="30" t="s">
        <v>84</v>
      </c>
      <c r="O10" s="30">
        <v>1</v>
      </c>
      <c r="P10" s="30" t="s">
        <v>85</v>
      </c>
      <c r="Q10" s="30" t="s">
        <v>86</v>
      </c>
      <c r="R10" s="30" t="s">
        <v>86</v>
      </c>
      <c r="S10" s="30" t="s">
        <v>85</v>
      </c>
      <c r="T10" s="30" t="s">
        <v>82</v>
      </c>
      <c r="U10" s="30" t="s">
        <v>87</v>
      </c>
      <c r="V10" s="32" t="s">
        <v>88</v>
      </c>
      <c r="W10" s="33" t="s">
        <v>82</v>
      </c>
      <c r="X10" s="34">
        <f>K10</f>
        <v>45689</v>
      </c>
      <c r="Y10" s="33" t="s">
        <v>89</v>
      </c>
      <c r="Z10" s="33" t="s">
        <v>90</v>
      </c>
      <c r="AA10" s="36" t="s">
        <v>157</v>
      </c>
      <c r="AB10" s="36" t="s">
        <v>92</v>
      </c>
      <c r="AC10" s="36" t="s">
        <v>158</v>
      </c>
      <c r="AD10" s="83">
        <v>766</v>
      </c>
      <c r="AE10" s="30" t="s">
        <v>70</v>
      </c>
      <c r="AF10" s="38">
        <v>40</v>
      </c>
      <c r="AG10" s="30" t="s">
        <v>86</v>
      </c>
      <c r="AH10" s="39" t="s">
        <v>94</v>
      </c>
      <c r="AI10" s="31">
        <v>43831</v>
      </c>
      <c r="AJ10" s="31">
        <v>45293</v>
      </c>
      <c r="AK10" s="40" t="s">
        <v>159</v>
      </c>
      <c r="AL10" s="29" t="s">
        <v>96</v>
      </c>
      <c r="AM10" s="55">
        <f>TODAY()+365</f>
        <v>46085</v>
      </c>
      <c r="AN10" s="30">
        <v>110</v>
      </c>
      <c r="AO10" s="33" t="s">
        <v>98</v>
      </c>
      <c r="AP10" s="42" t="s">
        <v>157</v>
      </c>
      <c r="AQ10" s="33" t="s">
        <v>100</v>
      </c>
      <c r="AR10" s="43">
        <f>X10</f>
        <v>45689</v>
      </c>
      <c r="AS10" s="43">
        <f>X10</f>
        <v>45689</v>
      </c>
      <c r="AT10" s="55">
        <f>AM10</f>
        <v>46085</v>
      </c>
      <c r="AU10" s="42" t="s">
        <v>101</v>
      </c>
      <c r="AV10" s="61" t="s">
        <v>160</v>
      </c>
      <c r="AW10" s="46" t="s">
        <v>103</v>
      </c>
      <c r="AX10" s="46" t="s">
        <v>104</v>
      </c>
      <c r="AY10" s="46" t="s">
        <v>105</v>
      </c>
      <c r="AZ10" s="46" t="s">
        <v>106</v>
      </c>
      <c r="BA10" s="46" t="s">
        <v>107</v>
      </c>
      <c r="BB10" s="63" t="s">
        <v>90</v>
      </c>
      <c r="BC10" s="30" t="s">
        <v>77</v>
      </c>
      <c r="BD10" s="47" t="s">
        <v>108</v>
      </c>
      <c r="BE10" s="47">
        <v>9477896621</v>
      </c>
      <c r="BF10" s="30" t="s">
        <v>77</v>
      </c>
      <c r="BG10" s="47" t="s">
        <v>109</v>
      </c>
      <c r="BH10" s="47">
        <v>47678965355</v>
      </c>
      <c r="BI10" s="30" t="s">
        <v>77</v>
      </c>
      <c r="BJ10" s="47" t="s">
        <v>110</v>
      </c>
      <c r="BK10" s="47" t="s">
        <v>161</v>
      </c>
      <c r="BL10" s="29" t="s">
        <v>112</v>
      </c>
      <c r="BM10" s="48">
        <v>35591</v>
      </c>
      <c r="BN10" s="51" t="s">
        <v>113</v>
      </c>
      <c r="BO10" s="76" t="s">
        <v>139</v>
      </c>
      <c r="BP10" s="51" t="s">
        <v>115</v>
      </c>
      <c r="BQ10" s="30" t="s">
        <v>116</v>
      </c>
      <c r="BR10" s="52" t="s">
        <v>117</v>
      </c>
      <c r="BS10" s="30" t="s">
        <v>118</v>
      </c>
      <c r="BT10" s="51" t="s">
        <v>119</v>
      </c>
      <c r="BU10" s="51" t="s">
        <v>120</v>
      </c>
      <c r="BV10" s="30" t="s">
        <v>121</v>
      </c>
      <c r="BW10" s="30" t="s">
        <v>122</v>
      </c>
      <c r="BX10" s="30" t="s">
        <v>123</v>
      </c>
    </row>
    <row r="11" ht="14.5" customHeight="1" spans="1:76" x14ac:dyDescent="0.25">
      <c r="A11" t="s">
        <v>162</v>
      </c>
      <c r="D11" s="27" t="s">
        <v>76</v>
      </c>
      <c r="E11" t="s">
        <v>77</v>
      </c>
      <c r="H11" s="29" t="s">
        <v>80</v>
      </c>
      <c r="I11" s="30" t="s">
        <v>81</v>
      </c>
      <c r="J11" s="30" t="s">
        <v>82</v>
      </c>
      <c r="K11" s="84">
        <f>TODAY()-31</f>
        <v>45689</v>
      </c>
      <c r="L11" s="30" t="s">
        <v>77</v>
      </c>
      <c r="M11" s="30" t="s">
        <v>83</v>
      </c>
      <c r="N11" s="30" t="s">
        <v>84</v>
      </c>
      <c r="O11" s="30">
        <v>1</v>
      </c>
      <c r="P11" s="30" t="s">
        <v>85</v>
      </c>
      <c r="Q11" s="30" t="s">
        <v>86</v>
      </c>
      <c r="R11" s="30" t="s">
        <v>86</v>
      </c>
      <c r="S11" s="30" t="s">
        <v>85</v>
      </c>
      <c r="T11" s="30" t="s">
        <v>82</v>
      </c>
      <c r="U11" s="30" t="s">
        <v>87</v>
      </c>
      <c r="V11" s="32" t="s">
        <v>88</v>
      </c>
      <c r="W11" s="33" t="s">
        <v>82</v>
      </c>
      <c r="X11" s="34">
        <f>K11</f>
        <v>45689</v>
      </c>
      <c r="Y11" s="33" t="s">
        <v>89</v>
      </c>
      <c r="Z11" s="33" t="s">
        <v>90</v>
      </c>
      <c r="AA11" s="36" t="s">
        <v>128</v>
      </c>
      <c r="AB11" s="36" t="s">
        <v>92</v>
      </c>
      <c r="AC11" s="36" t="s">
        <v>163</v>
      </c>
      <c r="AD11" s="83">
        <v>766</v>
      </c>
      <c r="AE11" s="30" t="s">
        <v>70</v>
      </c>
      <c r="AF11" s="38">
        <v>20</v>
      </c>
      <c r="AG11" s="30" t="s">
        <v>86</v>
      </c>
      <c r="AH11" s="39" t="s">
        <v>94</v>
      </c>
      <c r="AI11" s="31">
        <v>43831</v>
      </c>
      <c r="AJ11" s="31">
        <v>45293</v>
      </c>
      <c r="AK11" s="40" t="s">
        <v>164</v>
      </c>
      <c r="AL11" s="29" t="s">
        <v>96</v>
      </c>
      <c r="AM11" s="85" t="s">
        <v>97</v>
      </c>
      <c r="AN11" s="30">
        <v>110</v>
      </c>
      <c r="AO11" s="33" t="s">
        <v>98</v>
      </c>
      <c r="AP11" s="42" t="s">
        <v>157</v>
      </c>
      <c r="AQ11" s="33" t="s">
        <v>100</v>
      </c>
      <c r="AR11" s="43">
        <f>X11</f>
        <v>45689</v>
      </c>
      <c r="AS11" s="43">
        <f>X11</f>
        <v>45689</v>
      </c>
      <c r="AT11" s="55">
        <f>AM11</f>
        <v>NaN</v>
      </c>
      <c r="AU11" s="42" t="s">
        <v>101</v>
      </c>
      <c r="AV11" s="61" t="s">
        <v>165</v>
      </c>
      <c r="AW11" s="46" t="s">
        <v>103</v>
      </c>
      <c r="AX11" s="46" t="s">
        <v>104</v>
      </c>
      <c r="AY11" s="46" t="s">
        <v>105</v>
      </c>
      <c r="AZ11" s="46" t="s">
        <v>106</v>
      </c>
      <c r="BA11" s="46" t="s">
        <v>107</v>
      </c>
      <c r="BB11" s="63" t="s">
        <v>90</v>
      </c>
      <c r="BC11" s="30" t="s">
        <v>77</v>
      </c>
      <c r="BD11" s="47" t="s">
        <v>108</v>
      </c>
      <c r="BE11" s="47">
        <v>9477896622</v>
      </c>
      <c r="BF11" s="30" t="s">
        <v>77</v>
      </c>
      <c r="BG11" s="47" t="s">
        <v>109</v>
      </c>
      <c r="BH11" s="47">
        <v>47678965356</v>
      </c>
      <c r="BI11" s="30" t="s">
        <v>77</v>
      </c>
      <c r="BJ11" s="47" t="s">
        <v>110</v>
      </c>
      <c r="BK11" s="47" t="s">
        <v>166</v>
      </c>
      <c r="BL11" s="29" t="s">
        <v>133</v>
      </c>
      <c r="BM11" s="48">
        <v>35591</v>
      </c>
      <c r="BN11" s="51" t="s">
        <v>134</v>
      </c>
      <c r="BO11" s="76" t="s">
        <v>97</v>
      </c>
      <c r="BP11" s="51" t="s">
        <v>115</v>
      </c>
      <c r="BQ11" s="30" t="s">
        <v>116</v>
      </c>
      <c r="BR11" s="52" t="s">
        <v>117</v>
      </c>
      <c r="BS11" s="30" t="s">
        <v>118</v>
      </c>
      <c r="BT11" s="51" t="s">
        <v>119</v>
      </c>
      <c r="BU11" s="51" t="s">
        <v>120</v>
      </c>
      <c r="BV11" s="30" t="s">
        <v>121</v>
      </c>
      <c r="BW11" s="30" t="s">
        <v>122</v>
      </c>
      <c r="BX11" s="30" t="s">
        <v>123</v>
      </c>
    </row>
    <row r="12" ht="14.5" customHeight="1" spans="1:76" x14ac:dyDescent="0.25">
      <c r="A12" t="s">
        <v>167</v>
      </c>
      <c r="D12" s="27" t="s">
        <v>76</v>
      </c>
      <c r="E12" t="s">
        <v>77</v>
      </c>
      <c r="H12" s="29" t="s">
        <v>80</v>
      </c>
      <c r="I12" s="30" t="s">
        <v>81</v>
      </c>
      <c r="J12" s="30" t="s">
        <v>82</v>
      </c>
      <c r="K12" s="84">
        <f>TODAY()-31</f>
        <v>45689</v>
      </c>
      <c r="L12" s="30" t="s">
        <v>77</v>
      </c>
      <c r="M12" s="30" t="s">
        <v>83</v>
      </c>
      <c r="N12" s="30" t="s">
        <v>84</v>
      </c>
      <c r="O12" s="30">
        <v>1</v>
      </c>
      <c r="P12" s="30" t="s">
        <v>85</v>
      </c>
      <c r="Q12" s="30" t="s">
        <v>86</v>
      </c>
      <c r="R12" s="30" t="s">
        <v>86</v>
      </c>
      <c r="S12" s="30" t="s">
        <v>85</v>
      </c>
      <c r="T12" s="30" t="s">
        <v>82</v>
      </c>
      <c r="U12" s="30" t="s">
        <v>87</v>
      </c>
      <c r="V12" s="32" t="s">
        <v>88</v>
      </c>
      <c r="W12" s="33" t="s">
        <v>82</v>
      </c>
      <c r="X12" s="86">
        <f>K12</f>
        <v>45689</v>
      </c>
      <c r="Y12" s="33" t="s">
        <v>89</v>
      </c>
      <c r="Z12" s="87" t="s">
        <v>90</v>
      </c>
      <c r="AA12" s="36" t="s">
        <v>91</v>
      </c>
      <c r="AB12" s="36" t="s">
        <v>92</v>
      </c>
      <c r="AC12" s="36" t="s">
        <v>136</v>
      </c>
      <c r="AD12" s="88">
        <v>766</v>
      </c>
      <c r="AE12" s="52" t="s">
        <v>70</v>
      </c>
      <c r="AF12" s="38">
        <v>20</v>
      </c>
      <c r="AG12" s="30" t="s">
        <v>86</v>
      </c>
      <c r="AH12" s="39" t="s">
        <v>94</v>
      </c>
      <c r="AI12" s="31">
        <v>43831</v>
      </c>
      <c r="AJ12" s="31">
        <v>45293</v>
      </c>
      <c r="AK12" s="79" t="s">
        <v>168</v>
      </c>
      <c r="AL12" s="29" t="s">
        <v>96</v>
      </c>
      <c r="AM12" s="89">
        <f>TODAY()+365</f>
        <v>46085</v>
      </c>
      <c r="AN12" s="30">
        <v>110</v>
      </c>
      <c r="AO12" s="33" t="s">
        <v>98</v>
      </c>
      <c r="AP12" s="35" t="s">
        <v>99</v>
      </c>
      <c r="AQ12" s="33" t="s">
        <v>100</v>
      </c>
      <c r="AR12" s="43">
        <f>X12</f>
        <v>45689</v>
      </c>
      <c r="AS12" s="43">
        <f>X12</f>
        <v>45689</v>
      </c>
      <c r="AT12" s="55">
        <f>AM12</f>
        <v>46085</v>
      </c>
      <c r="AU12" s="82" t="s">
        <v>101</v>
      </c>
      <c r="AV12" s="61" t="s">
        <v>169</v>
      </c>
      <c r="AW12" s="90" t="s">
        <v>103</v>
      </c>
      <c r="AX12" s="90" t="s">
        <v>104</v>
      </c>
      <c r="AY12" s="90" t="s">
        <v>105</v>
      </c>
      <c r="AZ12" s="90" t="s">
        <v>106</v>
      </c>
      <c r="BA12" s="90" t="s">
        <v>107</v>
      </c>
      <c r="BB12" s="91" t="s">
        <v>90</v>
      </c>
      <c r="BC12" s="68" t="s">
        <v>77</v>
      </c>
      <c r="BD12" s="92" t="s">
        <v>108</v>
      </c>
      <c r="BE12" s="92">
        <v>9477896623</v>
      </c>
      <c r="BF12" s="68" t="s">
        <v>77</v>
      </c>
      <c r="BG12" s="92" t="s">
        <v>109</v>
      </c>
      <c r="BH12" s="92">
        <v>47678965357</v>
      </c>
      <c r="BI12" s="68" t="s">
        <v>77</v>
      </c>
      <c r="BJ12" s="92" t="s">
        <v>110</v>
      </c>
      <c r="BK12" s="92" t="s">
        <v>170</v>
      </c>
      <c r="BL12" s="93" t="s">
        <v>112</v>
      </c>
      <c r="BM12" s="64">
        <v>35591</v>
      </c>
      <c r="BN12" s="51" t="s">
        <v>113</v>
      </c>
      <c r="BO12" s="76" t="s">
        <v>139</v>
      </c>
      <c r="BP12" s="51" t="s">
        <v>115</v>
      </c>
      <c r="BQ12" s="30" t="s">
        <v>116</v>
      </c>
      <c r="BR12" s="52" t="s">
        <v>117</v>
      </c>
      <c r="BS12" s="30" t="s">
        <v>118</v>
      </c>
      <c r="BT12" s="51" t="s">
        <v>119</v>
      </c>
      <c r="BU12" s="51" t="s">
        <v>120</v>
      </c>
      <c r="BV12" s="30" t="s">
        <v>121</v>
      </c>
      <c r="BW12" s="30" t="s">
        <v>122</v>
      </c>
      <c r="BX12" s="30" t="s">
        <v>123</v>
      </c>
    </row>
    <row r="13" ht="14.5" customHeight="1" spans="1:76" x14ac:dyDescent="0.25">
      <c r="A13" t="s">
        <v>171</v>
      </c>
      <c r="D13" s="27" t="s">
        <v>76</v>
      </c>
      <c r="E13" t="s">
        <v>77</v>
      </c>
      <c r="H13" s="29" t="s">
        <v>80</v>
      </c>
      <c r="I13" s="30" t="s">
        <v>81</v>
      </c>
      <c r="J13" s="30" t="s">
        <v>82</v>
      </c>
      <c r="K13" s="84">
        <f>TODAY()-31</f>
        <v>45689</v>
      </c>
      <c r="L13" s="30" t="s">
        <v>77</v>
      </c>
      <c r="M13" s="30" t="s">
        <v>83</v>
      </c>
      <c r="N13" s="30" t="s">
        <v>84</v>
      </c>
      <c r="O13" s="30">
        <v>1</v>
      </c>
      <c r="P13" s="30" t="s">
        <v>85</v>
      </c>
      <c r="Q13" s="30" t="s">
        <v>86</v>
      </c>
      <c r="R13" s="30" t="s">
        <v>86</v>
      </c>
      <c r="S13" s="30" t="s">
        <v>85</v>
      </c>
      <c r="T13" s="30" t="s">
        <v>82</v>
      </c>
      <c r="U13" s="30" t="s">
        <v>87</v>
      </c>
      <c r="V13" s="32" t="s">
        <v>88</v>
      </c>
      <c r="W13" s="33" t="s">
        <v>82</v>
      </c>
      <c r="X13" s="86">
        <f>K13</f>
        <v>45689</v>
      </c>
      <c r="Y13" s="33" t="s">
        <v>89</v>
      </c>
      <c r="Z13" s="94" t="s">
        <v>90</v>
      </c>
      <c r="AA13" s="36" t="s">
        <v>91</v>
      </c>
      <c r="AB13" s="36" t="s">
        <v>92</v>
      </c>
      <c r="AC13" s="36" t="s">
        <v>93</v>
      </c>
      <c r="AD13" s="83">
        <v>766</v>
      </c>
      <c r="AE13" s="52" t="s">
        <v>70</v>
      </c>
      <c r="AF13" s="38">
        <v>40</v>
      </c>
      <c r="AG13" s="30" t="s">
        <v>86</v>
      </c>
      <c r="AH13" s="39" t="s">
        <v>94</v>
      </c>
      <c r="AI13" s="31">
        <v>43831</v>
      </c>
      <c r="AJ13" s="31">
        <v>45293</v>
      </c>
      <c r="AK13" s="79" t="s">
        <v>95</v>
      </c>
      <c r="AL13" s="29" t="s">
        <v>96</v>
      </c>
      <c r="AM13" s="89">
        <f>TODAY()+365</f>
        <v>46085</v>
      </c>
      <c r="AN13" s="30">
        <v>110</v>
      </c>
      <c r="AO13" s="33" t="s">
        <v>98</v>
      </c>
      <c r="AP13" s="42" t="s">
        <v>99</v>
      </c>
      <c r="AQ13" s="33" t="s">
        <v>100</v>
      </c>
      <c r="AR13" s="43">
        <f>X13</f>
        <v>45689</v>
      </c>
      <c r="AS13" s="43">
        <f>X13</f>
        <v>45689</v>
      </c>
      <c r="AT13" s="55">
        <f>AM13</f>
        <v>46085</v>
      </c>
      <c r="AU13" s="42" t="s">
        <v>101</v>
      </c>
      <c r="AV13" s="61" t="s">
        <v>172</v>
      </c>
      <c r="AW13" s="46" t="s">
        <v>103</v>
      </c>
      <c r="AX13" s="46" t="s">
        <v>104</v>
      </c>
      <c r="AY13" s="46" t="s">
        <v>105</v>
      </c>
      <c r="AZ13" s="46" t="s">
        <v>106</v>
      </c>
      <c r="BA13" s="46" t="s">
        <v>107</v>
      </c>
      <c r="BB13" s="63" t="s">
        <v>90</v>
      </c>
      <c r="BC13" s="30" t="s">
        <v>77</v>
      </c>
      <c r="BD13" s="47" t="s">
        <v>108</v>
      </c>
      <c r="BE13" s="47">
        <v>9477896624</v>
      </c>
      <c r="BF13" s="30" t="s">
        <v>77</v>
      </c>
      <c r="BG13" s="47" t="s">
        <v>109</v>
      </c>
      <c r="BH13" s="47">
        <v>47678965358</v>
      </c>
      <c r="BI13" s="30" t="s">
        <v>77</v>
      </c>
      <c r="BJ13" s="47" t="s">
        <v>110</v>
      </c>
      <c r="BK13" s="47" t="s">
        <v>173</v>
      </c>
      <c r="BL13" s="29" t="s">
        <v>133</v>
      </c>
      <c r="BM13" s="48">
        <v>35591</v>
      </c>
      <c r="BN13" s="51" t="s">
        <v>134</v>
      </c>
      <c r="BO13" s="76" t="s">
        <v>97</v>
      </c>
      <c r="BP13" s="51" t="s">
        <v>115</v>
      </c>
      <c r="BQ13" s="30" t="s">
        <v>116</v>
      </c>
      <c r="BR13" s="52" t="s">
        <v>117</v>
      </c>
      <c r="BS13" s="30" t="s">
        <v>118</v>
      </c>
      <c r="BT13" s="51" t="s">
        <v>119</v>
      </c>
      <c r="BU13" s="51" t="s">
        <v>120</v>
      </c>
      <c r="BV13" s="30" t="s">
        <v>121</v>
      </c>
      <c r="BW13" s="30" t="s">
        <v>122</v>
      </c>
      <c r="BX13" s="30" t="s">
        <v>123</v>
      </c>
    </row>
    <row r="14" ht="14.5" customHeight="1" spans="1:76" x14ac:dyDescent="0.25">
      <c r="A14" t="s">
        <v>174</v>
      </c>
      <c r="D14" s="27" t="s">
        <v>76</v>
      </c>
      <c r="E14" t="s">
        <v>77</v>
      </c>
      <c r="H14" s="29" t="s">
        <v>80</v>
      </c>
      <c r="I14" s="30" t="s">
        <v>81</v>
      </c>
      <c r="J14" s="30" t="s">
        <v>82</v>
      </c>
      <c r="K14" s="84">
        <f>TODAY()-31</f>
        <v>45689</v>
      </c>
      <c r="L14" s="30" t="s">
        <v>77</v>
      </c>
      <c r="M14" s="30" t="s">
        <v>83</v>
      </c>
      <c r="N14" s="30" t="s">
        <v>84</v>
      </c>
      <c r="O14" s="30">
        <v>1</v>
      </c>
      <c r="P14" s="30" t="s">
        <v>85</v>
      </c>
      <c r="Q14" s="30" t="s">
        <v>86</v>
      </c>
      <c r="R14" s="30" t="s">
        <v>86</v>
      </c>
      <c r="S14" s="30" t="s">
        <v>85</v>
      </c>
      <c r="T14" s="30" t="s">
        <v>82</v>
      </c>
      <c r="U14" s="30" t="s">
        <v>87</v>
      </c>
      <c r="V14" s="32" t="s">
        <v>88</v>
      </c>
      <c r="W14" s="95" t="s">
        <v>82</v>
      </c>
      <c r="X14" s="86">
        <f>K14</f>
        <v>45689</v>
      </c>
      <c r="Y14" s="33" t="s">
        <v>89</v>
      </c>
      <c r="Z14" s="94" t="s">
        <v>90</v>
      </c>
      <c r="AA14" s="36" t="s">
        <v>91</v>
      </c>
      <c r="AB14" s="36" t="s">
        <v>92</v>
      </c>
      <c r="AC14" s="36" t="s">
        <v>93</v>
      </c>
      <c r="AD14" s="83">
        <v>766</v>
      </c>
      <c r="AE14" s="52" t="s">
        <v>70</v>
      </c>
      <c r="AF14" s="38">
        <v>40</v>
      </c>
      <c r="AG14" s="30" t="s">
        <v>86</v>
      </c>
      <c r="AH14" s="39" t="s">
        <v>94</v>
      </c>
      <c r="AI14" s="31">
        <v>43831</v>
      </c>
      <c r="AJ14" s="31">
        <v>45293</v>
      </c>
      <c r="AK14" s="79" t="s">
        <v>95</v>
      </c>
      <c r="AL14" s="29" t="s">
        <v>96</v>
      </c>
      <c r="AM14" s="89">
        <f>TODAY()+365</f>
        <v>46085</v>
      </c>
      <c r="AN14" s="30">
        <v>110</v>
      </c>
      <c r="AO14" s="33" t="s">
        <v>98</v>
      </c>
      <c r="AP14" s="42" t="s">
        <v>99</v>
      </c>
      <c r="AQ14" s="33" t="s">
        <v>100</v>
      </c>
      <c r="AR14" s="43">
        <f>X14</f>
        <v>45689</v>
      </c>
      <c r="AS14" s="43">
        <f>X14</f>
        <v>45689</v>
      </c>
      <c r="AT14" s="55">
        <f>AM14</f>
        <v>46085</v>
      </c>
      <c r="AU14" s="42" t="s">
        <v>101</v>
      </c>
      <c r="AV14" s="61" t="s">
        <v>175</v>
      </c>
      <c r="AW14" s="90" t="s">
        <v>103</v>
      </c>
      <c r="AX14" s="90" t="s">
        <v>104</v>
      </c>
      <c r="AY14" s="90" t="s">
        <v>105</v>
      </c>
      <c r="AZ14" s="90" t="s">
        <v>106</v>
      </c>
      <c r="BA14" s="90" t="s">
        <v>107</v>
      </c>
      <c r="BB14" s="91" t="s">
        <v>90</v>
      </c>
      <c r="BC14" s="68" t="s">
        <v>77</v>
      </c>
      <c r="BD14" s="92" t="s">
        <v>108</v>
      </c>
      <c r="BE14" s="92">
        <v>9477896625</v>
      </c>
      <c r="BF14" s="68" t="s">
        <v>77</v>
      </c>
      <c r="BG14" s="92" t="s">
        <v>109</v>
      </c>
      <c r="BH14" s="92">
        <v>47678965359</v>
      </c>
      <c r="BI14" s="68" t="s">
        <v>77</v>
      </c>
      <c r="BJ14" s="92" t="s">
        <v>110</v>
      </c>
      <c r="BK14" s="92" t="s">
        <v>176</v>
      </c>
      <c r="BL14" s="29" t="s">
        <v>112</v>
      </c>
      <c r="BM14" s="48">
        <v>35591</v>
      </c>
      <c r="BN14" s="51" t="s">
        <v>113</v>
      </c>
      <c r="BO14" s="76" t="s">
        <v>139</v>
      </c>
      <c r="BP14" s="51" t="s">
        <v>115</v>
      </c>
      <c r="BQ14" s="30" t="s">
        <v>116</v>
      </c>
      <c r="BR14" s="52" t="s">
        <v>117</v>
      </c>
      <c r="BS14" s="30" t="s">
        <v>118</v>
      </c>
      <c r="BT14" s="51" t="s">
        <v>119</v>
      </c>
      <c r="BU14" s="51" t="s">
        <v>120</v>
      </c>
      <c r="BV14" s="30" t="s">
        <v>121</v>
      </c>
      <c r="BW14" s="30" t="s">
        <v>122</v>
      </c>
      <c r="BX14" s="30" t="s">
        <v>123</v>
      </c>
    </row>
    <row r="15" ht="14.5" customHeight="1" spans="1:76" x14ac:dyDescent="0.25">
      <c r="A15" t="s">
        <v>177</v>
      </c>
      <c r="D15" s="27" t="s">
        <v>76</v>
      </c>
      <c r="E15" t="s">
        <v>77</v>
      </c>
      <c r="H15" s="29" t="s">
        <v>80</v>
      </c>
      <c r="I15" s="30" t="s">
        <v>81</v>
      </c>
      <c r="J15" s="30" t="s">
        <v>82</v>
      </c>
      <c r="K15" s="84">
        <f>TODAY()-31</f>
        <v>45689</v>
      </c>
      <c r="L15" s="30" t="s">
        <v>77</v>
      </c>
      <c r="M15" s="30" t="s">
        <v>83</v>
      </c>
      <c r="N15" s="30" t="s">
        <v>84</v>
      </c>
      <c r="O15" s="30">
        <v>1</v>
      </c>
      <c r="P15" s="30" t="s">
        <v>85</v>
      </c>
      <c r="Q15" s="30" t="s">
        <v>86</v>
      </c>
      <c r="R15" s="30" t="s">
        <v>86</v>
      </c>
      <c r="S15" s="30" t="s">
        <v>85</v>
      </c>
      <c r="T15" s="30" t="s">
        <v>82</v>
      </c>
      <c r="U15" s="30" t="s">
        <v>87</v>
      </c>
      <c r="V15" s="32" t="s">
        <v>88</v>
      </c>
      <c r="W15" s="33" t="s">
        <v>82</v>
      </c>
      <c r="X15" s="86">
        <f>K15</f>
        <v>45689</v>
      </c>
      <c r="Y15" s="33" t="s">
        <v>89</v>
      </c>
      <c r="Z15" s="94" t="s">
        <v>90</v>
      </c>
      <c r="AA15" s="36" t="s">
        <v>128</v>
      </c>
      <c r="AB15" s="36" t="s">
        <v>92</v>
      </c>
      <c r="AC15" s="36" t="s">
        <v>93</v>
      </c>
      <c r="AD15" s="83">
        <v>766</v>
      </c>
      <c r="AE15" s="52" t="s">
        <v>70</v>
      </c>
      <c r="AF15" s="38">
        <v>40</v>
      </c>
      <c r="AG15" s="30" t="s">
        <v>86</v>
      </c>
      <c r="AH15" s="39" t="s">
        <v>94</v>
      </c>
      <c r="AI15" s="31">
        <v>43831</v>
      </c>
      <c r="AJ15" s="31">
        <v>45293</v>
      </c>
      <c r="AK15" s="79" t="s">
        <v>95</v>
      </c>
      <c r="AL15" s="29" t="s">
        <v>96</v>
      </c>
      <c r="AM15" s="89">
        <f>TODAY()+365</f>
        <v>46085</v>
      </c>
      <c r="AN15" s="30">
        <v>110</v>
      </c>
      <c r="AO15" s="33" t="s">
        <v>98</v>
      </c>
      <c r="AP15" s="42" t="s">
        <v>157</v>
      </c>
      <c r="AQ15" s="33" t="s">
        <v>100</v>
      </c>
      <c r="AR15" s="43">
        <f>X15</f>
        <v>45689</v>
      </c>
      <c r="AS15" s="43">
        <f>X15</f>
        <v>45689</v>
      </c>
      <c r="AT15" s="55">
        <f>AM15</f>
        <v>46085</v>
      </c>
      <c r="AU15" s="42" t="s">
        <v>101</v>
      </c>
      <c r="AV15" s="61" t="s">
        <v>178</v>
      </c>
      <c r="AW15" s="46" t="s">
        <v>103</v>
      </c>
      <c r="AX15" s="46" t="s">
        <v>104</v>
      </c>
      <c r="AY15" s="46" t="s">
        <v>105</v>
      </c>
      <c r="AZ15" s="46" t="s">
        <v>106</v>
      </c>
      <c r="BA15" s="46" t="s">
        <v>107</v>
      </c>
      <c r="BB15" s="63" t="s">
        <v>90</v>
      </c>
      <c r="BC15" s="30" t="s">
        <v>77</v>
      </c>
      <c r="BD15" s="47" t="s">
        <v>108</v>
      </c>
      <c r="BE15" s="47">
        <v>9477896626</v>
      </c>
      <c r="BF15" s="30" t="s">
        <v>77</v>
      </c>
      <c r="BG15" s="47" t="s">
        <v>109</v>
      </c>
      <c r="BH15" s="47">
        <v>47678965360</v>
      </c>
      <c r="BI15" s="30" t="s">
        <v>77</v>
      </c>
      <c r="BJ15" s="47" t="s">
        <v>110</v>
      </c>
      <c r="BK15" s="47" t="s">
        <v>179</v>
      </c>
      <c r="BL15" s="29" t="s">
        <v>112</v>
      </c>
      <c r="BM15" s="48">
        <v>35591</v>
      </c>
      <c r="BN15" s="51" t="s">
        <v>113</v>
      </c>
      <c r="BO15" s="76" t="s">
        <v>139</v>
      </c>
      <c r="BP15" s="51" t="s">
        <v>115</v>
      </c>
      <c r="BQ15" s="30" t="s">
        <v>116</v>
      </c>
      <c r="BR15" s="52" t="s">
        <v>117</v>
      </c>
      <c r="BS15" s="30" t="s">
        <v>118</v>
      </c>
      <c r="BT15" s="51" t="s">
        <v>119</v>
      </c>
      <c r="BU15" s="51" t="s">
        <v>120</v>
      </c>
      <c r="BV15" s="30" t="s">
        <v>121</v>
      </c>
      <c r="BW15" s="30" t="s">
        <v>122</v>
      </c>
      <c r="BX15" s="30" t="s">
        <v>123</v>
      </c>
    </row>
    <row r="16" ht="14.5" customHeight="1" spans="1:76" x14ac:dyDescent="0.25">
      <c r="A16" t="s">
        <v>180</v>
      </c>
      <c r="D16" s="27" t="s">
        <v>76</v>
      </c>
      <c r="E16" t="s">
        <v>77</v>
      </c>
      <c r="H16" s="29" t="s">
        <v>80</v>
      </c>
      <c r="I16" s="30" t="s">
        <v>81</v>
      </c>
      <c r="J16" s="30" t="s">
        <v>82</v>
      </c>
      <c r="K16" s="84">
        <f>TODAY()+60</f>
        <v>45780</v>
      </c>
      <c r="L16" s="30" t="s">
        <v>77</v>
      </c>
      <c r="M16" s="30" t="s">
        <v>83</v>
      </c>
      <c r="N16" s="30" t="s">
        <v>84</v>
      </c>
      <c r="O16" s="30">
        <v>1</v>
      </c>
      <c r="P16" s="30" t="s">
        <v>85</v>
      </c>
      <c r="Q16" s="30" t="s">
        <v>86</v>
      </c>
      <c r="R16" s="30" t="s">
        <v>86</v>
      </c>
      <c r="S16" s="30" t="s">
        <v>85</v>
      </c>
      <c r="T16" s="30" t="s">
        <v>82</v>
      </c>
      <c r="U16" s="30" t="s">
        <v>87</v>
      </c>
      <c r="V16" s="32" t="s">
        <v>88</v>
      </c>
      <c r="W16" s="33" t="s">
        <v>82</v>
      </c>
      <c r="X16" s="86">
        <f>K16</f>
        <v>45780</v>
      </c>
      <c r="Y16" s="33" t="s">
        <v>89</v>
      </c>
      <c r="Z16" s="94" t="s">
        <v>90</v>
      </c>
      <c r="AA16" s="36" t="s">
        <v>128</v>
      </c>
      <c r="AB16" s="36" t="s">
        <v>92</v>
      </c>
      <c r="AC16" s="36" t="s">
        <v>136</v>
      </c>
      <c r="AD16" s="83">
        <v>766</v>
      </c>
      <c r="AE16" s="52" t="s">
        <v>70</v>
      </c>
      <c r="AF16" s="38">
        <v>20</v>
      </c>
      <c r="AG16" s="30" t="s">
        <v>86</v>
      </c>
      <c r="AH16" s="39" t="s">
        <v>94</v>
      </c>
      <c r="AI16" s="31">
        <v>43831</v>
      </c>
      <c r="AJ16" s="31">
        <v>45293</v>
      </c>
      <c r="AK16" s="79" t="s">
        <v>95</v>
      </c>
      <c r="AL16" s="29" t="s">
        <v>96</v>
      </c>
      <c r="AM16" s="89" t="s">
        <v>97</v>
      </c>
      <c r="AN16" s="30">
        <v>110</v>
      </c>
      <c r="AO16" s="33" t="s">
        <v>98</v>
      </c>
      <c r="AP16" s="42" t="s">
        <v>128</v>
      </c>
      <c r="AQ16" s="33" t="s">
        <v>100</v>
      </c>
      <c r="AR16" s="43">
        <f>X16</f>
        <v>45780</v>
      </c>
      <c r="AS16" s="43">
        <f>X16</f>
        <v>45780</v>
      </c>
      <c r="AT16" s="55">
        <f>AM16</f>
        <v>NaN</v>
      </c>
      <c r="AU16" s="42" t="s">
        <v>101</v>
      </c>
      <c r="AV16" s="61" t="s">
        <v>181</v>
      </c>
      <c r="AW16" s="46" t="s">
        <v>103</v>
      </c>
      <c r="AX16" s="46" t="s">
        <v>104</v>
      </c>
      <c r="AY16" s="46" t="s">
        <v>105</v>
      </c>
      <c r="AZ16" s="46" t="s">
        <v>106</v>
      </c>
      <c r="BA16" s="46" t="s">
        <v>107</v>
      </c>
      <c r="BB16" s="63" t="s">
        <v>90</v>
      </c>
      <c r="BC16" s="30" t="s">
        <v>77</v>
      </c>
      <c r="BD16" s="47" t="s">
        <v>108</v>
      </c>
      <c r="BE16" s="47">
        <v>9477896627</v>
      </c>
      <c r="BF16" s="30" t="s">
        <v>77</v>
      </c>
      <c r="BG16" s="47" t="s">
        <v>109</v>
      </c>
      <c r="BH16" s="47">
        <v>47678965361</v>
      </c>
      <c r="BI16" s="30" t="s">
        <v>77</v>
      </c>
      <c r="BJ16" s="47" t="s">
        <v>110</v>
      </c>
      <c r="BK16" s="47" t="s">
        <v>182</v>
      </c>
      <c r="BL16" s="96" t="s">
        <v>112</v>
      </c>
      <c r="BM16" s="97">
        <v>35591</v>
      </c>
      <c r="BN16" s="98" t="s">
        <v>113</v>
      </c>
      <c r="BO16" s="99" t="s">
        <v>139</v>
      </c>
      <c r="BP16" s="100" t="s">
        <v>115</v>
      </c>
      <c r="BQ16" s="101" t="s">
        <v>116</v>
      </c>
      <c r="BR16" s="102" t="s">
        <v>117</v>
      </c>
      <c r="BS16" s="101" t="s">
        <v>118</v>
      </c>
      <c r="BT16" s="100" t="s">
        <v>119</v>
      </c>
      <c r="BU16" s="100" t="s">
        <v>120</v>
      </c>
      <c r="BV16" s="101" t="s">
        <v>121</v>
      </c>
      <c r="BW16" s="101" t="s">
        <v>122</v>
      </c>
      <c r="BX16" s="101" t="s">
        <v>123</v>
      </c>
    </row>
    <row r="17" ht="14.5" customHeight="1" spans="1:76" x14ac:dyDescent="0.25">
      <c r="A17" t="s">
        <v>183</v>
      </c>
      <c r="D17" s="27" t="s">
        <v>76</v>
      </c>
      <c r="E17" t="s">
        <v>77</v>
      </c>
      <c r="H17" s="29" t="s">
        <v>80</v>
      </c>
      <c r="I17" s="30" t="s">
        <v>81</v>
      </c>
      <c r="J17" s="30" t="s">
        <v>82</v>
      </c>
      <c r="K17" s="84">
        <f>TODAY()-31</f>
        <v>45689</v>
      </c>
      <c r="L17" s="30" t="s">
        <v>77</v>
      </c>
      <c r="M17" s="30" t="s">
        <v>83</v>
      </c>
      <c r="N17" s="30" t="s">
        <v>84</v>
      </c>
      <c r="O17" s="30">
        <v>1</v>
      </c>
      <c r="P17" s="30" t="s">
        <v>85</v>
      </c>
      <c r="Q17" s="30" t="s">
        <v>86</v>
      </c>
      <c r="R17" s="30" t="s">
        <v>86</v>
      </c>
      <c r="S17" s="30" t="s">
        <v>85</v>
      </c>
      <c r="T17" s="30" t="s">
        <v>82</v>
      </c>
      <c r="U17" s="30" t="s">
        <v>87</v>
      </c>
      <c r="V17" s="32" t="s">
        <v>88</v>
      </c>
      <c r="W17" s="33" t="s">
        <v>82</v>
      </c>
      <c r="X17" s="86">
        <f>K17</f>
        <v>45689</v>
      </c>
      <c r="Y17" s="33" t="s">
        <v>89</v>
      </c>
      <c r="Z17" s="94" t="s">
        <v>90</v>
      </c>
      <c r="AA17" s="36" t="s">
        <v>128</v>
      </c>
      <c r="AB17" s="36" t="s">
        <v>92</v>
      </c>
      <c r="AC17" s="36" t="s">
        <v>93</v>
      </c>
      <c r="AD17" s="83">
        <v>766</v>
      </c>
      <c r="AE17" s="52" t="s">
        <v>70</v>
      </c>
      <c r="AF17" s="38">
        <v>40</v>
      </c>
      <c r="AG17" s="30" t="s">
        <v>86</v>
      </c>
      <c r="AH17" s="39" t="s">
        <v>94</v>
      </c>
      <c r="AI17" s="31">
        <v>43831</v>
      </c>
      <c r="AJ17" s="31">
        <v>45293</v>
      </c>
      <c r="AK17" s="79" t="s">
        <v>95</v>
      </c>
      <c r="AL17" s="29" t="s">
        <v>96</v>
      </c>
      <c r="AM17" s="89" t="s">
        <v>97</v>
      </c>
      <c r="AN17" s="30">
        <v>110</v>
      </c>
      <c r="AO17" s="33" t="s">
        <v>98</v>
      </c>
      <c r="AP17" s="42" t="s">
        <v>128</v>
      </c>
      <c r="AQ17" s="33" t="s">
        <v>100</v>
      </c>
      <c r="AR17" s="43">
        <f>X17</f>
        <v>45689</v>
      </c>
      <c r="AS17" s="43">
        <f>X17</f>
        <v>45689</v>
      </c>
      <c r="AT17" s="55">
        <f>AM17</f>
        <v>NaN</v>
      </c>
      <c r="AU17" s="42" t="s">
        <v>101</v>
      </c>
      <c r="AV17" s="61" t="s">
        <v>184</v>
      </c>
      <c r="AW17" s="46" t="s">
        <v>103</v>
      </c>
      <c r="AX17" s="46" t="s">
        <v>104</v>
      </c>
      <c r="AY17" s="46" t="s">
        <v>105</v>
      </c>
      <c r="AZ17" s="46" t="s">
        <v>106</v>
      </c>
      <c r="BA17" s="46" t="s">
        <v>107</v>
      </c>
      <c r="BB17" s="63" t="s">
        <v>90</v>
      </c>
      <c r="BC17" s="30" t="s">
        <v>77</v>
      </c>
      <c r="BD17" s="47" t="s">
        <v>108</v>
      </c>
      <c r="BE17" s="47">
        <v>9477896628</v>
      </c>
      <c r="BF17" s="30" t="s">
        <v>77</v>
      </c>
      <c r="BG17" s="47" t="s">
        <v>109</v>
      </c>
      <c r="BH17" s="47">
        <v>47678965362</v>
      </c>
      <c r="BI17" s="30" t="s">
        <v>77</v>
      </c>
      <c r="BJ17" s="47" t="s">
        <v>110</v>
      </c>
      <c r="BK17" s="47" t="s">
        <v>185</v>
      </c>
      <c r="BL17" s="96" t="s">
        <v>112</v>
      </c>
      <c r="BM17" s="97">
        <v>35591</v>
      </c>
      <c r="BN17" s="98" t="s">
        <v>113</v>
      </c>
      <c r="BO17" s="99" t="s">
        <v>139</v>
      </c>
      <c r="BP17" s="100" t="s">
        <v>115</v>
      </c>
      <c r="BQ17" s="101" t="s">
        <v>116</v>
      </c>
      <c r="BR17" s="102" t="s">
        <v>117</v>
      </c>
      <c r="BS17" s="101" t="s">
        <v>118</v>
      </c>
      <c r="BT17" s="100" t="s">
        <v>119</v>
      </c>
      <c r="BU17" s="100" t="s">
        <v>120</v>
      </c>
      <c r="BV17" s="101" t="s">
        <v>121</v>
      </c>
      <c r="BW17" s="101" t="s">
        <v>122</v>
      </c>
      <c r="BX17" s="101" t="s">
        <v>123</v>
      </c>
    </row>
    <row r="18" ht="14.5" customHeight="1" spans="1:76" x14ac:dyDescent="0.25">
      <c r="A18" t="s">
        <v>186</v>
      </c>
      <c r="D18" s="27" t="s">
        <v>76</v>
      </c>
      <c r="E18" t="s">
        <v>77</v>
      </c>
      <c r="H18" s="29" t="s">
        <v>80</v>
      </c>
      <c r="I18" s="30" t="s">
        <v>81</v>
      </c>
      <c r="J18" s="30" t="s">
        <v>82</v>
      </c>
      <c r="K18" s="103">
        <f>TODAY()-31</f>
        <v>45689</v>
      </c>
      <c r="L18" s="30" t="s">
        <v>77</v>
      </c>
      <c r="M18" s="30" t="s">
        <v>83</v>
      </c>
      <c r="N18" s="30" t="s">
        <v>84</v>
      </c>
      <c r="O18" s="30">
        <v>1</v>
      </c>
      <c r="P18" s="30" t="s">
        <v>85</v>
      </c>
      <c r="Q18" s="30" t="s">
        <v>86</v>
      </c>
      <c r="R18" s="30" t="s">
        <v>86</v>
      </c>
      <c r="S18" s="30" t="s">
        <v>85</v>
      </c>
      <c r="T18" s="30" t="s">
        <v>82</v>
      </c>
      <c r="U18" s="30" t="s">
        <v>87</v>
      </c>
      <c r="V18" s="32" t="s">
        <v>88</v>
      </c>
      <c r="W18" s="33" t="s">
        <v>82</v>
      </c>
      <c r="X18" s="86">
        <f>K18</f>
        <v>45689</v>
      </c>
      <c r="Y18" s="33" t="s">
        <v>89</v>
      </c>
      <c r="Z18" s="94" t="s">
        <v>90</v>
      </c>
      <c r="AA18" s="36" t="s">
        <v>128</v>
      </c>
      <c r="AB18" s="36" t="s">
        <v>92</v>
      </c>
      <c r="AC18" s="36" t="s">
        <v>136</v>
      </c>
      <c r="AD18" s="83">
        <v>766</v>
      </c>
      <c r="AE18" s="52" t="s">
        <v>70</v>
      </c>
      <c r="AF18" s="38">
        <v>30</v>
      </c>
      <c r="AG18" s="30" t="s">
        <v>86</v>
      </c>
      <c r="AH18" s="39" t="s">
        <v>94</v>
      </c>
      <c r="AI18" s="31">
        <v>43831</v>
      </c>
      <c r="AJ18" s="31">
        <v>45293</v>
      </c>
      <c r="AK18" s="79" t="s">
        <v>95</v>
      </c>
      <c r="AL18" s="29" t="s">
        <v>96</v>
      </c>
      <c r="AM18" s="89">
        <f>TODAY()+365</f>
        <v>46085</v>
      </c>
      <c r="AN18" s="30">
        <v>110</v>
      </c>
      <c r="AO18" s="33" t="s">
        <v>98</v>
      </c>
      <c r="AP18" s="42" t="s">
        <v>128</v>
      </c>
      <c r="AQ18" s="33" t="s">
        <v>100</v>
      </c>
      <c r="AR18" s="43">
        <f>X18</f>
        <v>45689</v>
      </c>
      <c r="AS18" s="43">
        <f>X18</f>
        <v>45689</v>
      </c>
      <c r="AT18" s="55">
        <f>AM18</f>
        <v>46085</v>
      </c>
      <c r="AU18" s="42" t="s">
        <v>101</v>
      </c>
      <c r="AV18" s="61" t="s">
        <v>187</v>
      </c>
      <c r="AW18" s="46" t="s">
        <v>103</v>
      </c>
      <c r="AX18" s="46" t="s">
        <v>104</v>
      </c>
      <c r="AY18" s="46" t="s">
        <v>105</v>
      </c>
      <c r="AZ18" s="46" t="s">
        <v>106</v>
      </c>
      <c r="BA18" s="46" t="s">
        <v>107</v>
      </c>
      <c r="BB18" s="63" t="s">
        <v>90</v>
      </c>
      <c r="BC18" s="30" t="s">
        <v>77</v>
      </c>
      <c r="BD18" s="47" t="s">
        <v>108</v>
      </c>
      <c r="BE18" s="47">
        <v>9477896629</v>
      </c>
      <c r="BF18" s="30" t="s">
        <v>77</v>
      </c>
      <c r="BG18" s="47" t="s">
        <v>109</v>
      </c>
      <c r="BH18" s="47">
        <v>47678965363</v>
      </c>
      <c r="BI18" s="30" t="s">
        <v>77</v>
      </c>
      <c r="BJ18" s="47" t="s">
        <v>110</v>
      </c>
      <c r="BK18" s="47" t="s">
        <v>188</v>
      </c>
      <c r="BL18" s="96" t="s">
        <v>112</v>
      </c>
      <c r="BM18" s="97">
        <v>35591</v>
      </c>
      <c r="BN18" s="98" t="s">
        <v>113</v>
      </c>
      <c r="BO18" s="99" t="s">
        <v>139</v>
      </c>
      <c r="BP18" s="100" t="s">
        <v>115</v>
      </c>
      <c r="BQ18" s="101" t="s">
        <v>116</v>
      </c>
      <c r="BR18" s="102" t="s">
        <v>117</v>
      </c>
      <c r="BS18" s="101" t="s">
        <v>118</v>
      </c>
      <c r="BT18" s="100" t="s">
        <v>119</v>
      </c>
      <c r="BU18" s="100" t="s">
        <v>120</v>
      </c>
      <c r="BV18" s="101" t="s">
        <v>121</v>
      </c>
      <c r="BW18" s="101" t="s">
        <v>122</v>
      </c>
      <c r="BX18" s="101" t="s">
        <v>123</v>
      </c>
    </row>
    <row r="19" ht="14.5" customHeight="1" spans="1:76" x14ac:dyDescent="0.25">
      <c r="A19" t="s">
        <v>189</v>
      </c>
      <c r="D19" s="27" t="s">
        <v>76</v>
      </c>
      <c r="E19" t="s">
        <v>77</v>
      </c>
      <c r="H19" s="29" t="s">
        <v>80</v>
      </c>
      <c r="I19" s="30" t="s">
        <v>81</v>
      </c>
      <c r="J19" s="30" t="s">
        <v>82</v>
      </c>
      <c r="K19" s="103">
        <f>TODAY()-31</f>
        <v>45689</v>
      </c>
      <c r="L19" s="30" t="s">
        <v>77</v>
      </c>
      <c r="M19" s="30" t="s">
        <v>83</v>
      </c>
      <c r="N19" s="30" t="s">
        <v>84</v>
      </c>
      <c r="O19" s="30">
        <v>1</v>
      </c>
      <c r="P19" s="30" t="s">
        <v>85</v>
      </c>
      <c r="Q19" s="30" t="s">
        <v>86</v>
      </c>
      <c r="R19" s="30" t="s">
        <v>86</v>
      </c>
      <c r="S19" s="30" t="s">
        <v>85</v>
      </c>
      <c r="T19" s="30" t="s">
        <v>82</v>
      </c>
      <c r="U19" s="30" t="s">
        <v>87</v>
      </c>
      <c r="V19" s="32" t="s">
        <v>88</v>
      </c>
      <c r="W19" s="33" t="s">
        <v>82</v>
      </c>
      <c r="X19" s="86">
        <f>K19</f>
        <v>45689</v>
      </c>
      <c r="Y19" s="33" t="s">
        <v>89</v>
      </c>
      <c r="Z19" s="94" t="s">
        <v>90</v>
      </c>
      <c r="AA19" s="36" t="s">
        <v>91</v>
      </c>
      <c r="AB19" s="36" t="s">
        <v>92</v>
      </c>
      <c r="AC19" s="36" t="s">
        <v>93</v>
      </c>
      <c r="AD19" s="83">
        <v>766</v>
      </c>
      <c r="AE19" s="52" t="s">
        <v>70</v>
      </c>
      <c r="AF19" s="38">
        <v>40</v>
      </c>
      <c r="AG19" s="30" t="s">
        <v>86</v>
      </c>
      <c r="AH19" s="39" t="s">
        <v>94</v>
      </c>
      <c r="AI19" s="31">
        <v>43831</v>
      </c>
      <c r="AJ19" s="31">
        <v>45293</v>
      </c>
      <c r="AK19" s="79" t="s">
        <v>95</v>
      </c>
      <c r="AL19" s="29" t="s">
        <v>96</v>
      </c>
      <c r="AM19" s="89" t="s">
        <v>97</v>
      </c>
      <c r="AN19" s="30">
        <v>110</v>
      </c>
      <c r="AO19" s="33" t="s">
        <v>98</v>
      </c>
      <c r="AP19" s="42" t="s">
        <v>99</v>
      </c>
      <c r="AQ19" s="33" t="s">
        <v>100</v>
      </c>
      <c r="AR19" s="43">
        <f>X19</f>
        <v>45689</v>
      </c>
      <c r="AS19" s="43">
        <f>X19</f>
        <v>45689</v>
      </c>
      <c r="AT19" s="55">
        <f>AM19</f>
        <v>NaN</v>
      </c>
      <c r="AU19" s="42" t="s">
        <v>101</v>
      </c>
      <c r="AV19" s="61" t="s">
        <v>190</v>
      </c>
      <c r="AW19" s="46" t="s">
        <v>103</v>
      </c>
      <c r="AX19" s="46" t="s">
        <v>104</v>
      </c>
      <c r="AY19" s="46" t="s">
        <v>105</v>
      </c>
      <c r="AZ19" s="46" t="s">
        <v>106</v>
      </c>
      <c r="BA19" s="46" t="s">
        <v>107</v>
      </c>
      <c r="BB19" s="63" t="s">
        <v>90</v>
      </c>
      <c r="BC19" s="30" t="s">
        <v>77</v>
      </c>
      <c r="BD19" s="47" t="s">
        <v>108</v>
      </c>
      <c r="BE19" s="47">
        <v>9477896630</v>
      </c>
      <c r="BF19" s="30" t="s">
        <v>77</v>
      </c>
      <c r="BG19" s="47" t="s">
        <v>109</v>
      </c>
      <c r="BH19" s="47">
        <v>47678965364</v>
      </c>
      <c r="BI19" s="30" t="s">
        <v>77</v>
      </c>
      <c r="BJ19" s="47" t="s">
        <v>110</v>
      </c>
      <c r="BK19" s="47" t="s">
        <v>191</v>
      </c>
      <c r="BL19" s="96" t="s">
        <v>112</v>
      </c>
      <c r="BM19" s="97">
        <v>35591</v>
      </c>
      <c r="BN19" s="98" t="s">
        <v>113</v>
      </c>
      <c r="BO19" s="99" t="s">
        <v>139</v>
      </c>
      <c r="BP19" s="100" t="s">
        <v>115</v>
      </c>
      <c r="BQ19" s="101" t="s">
        <v>116</v>
      </c>
      <c r="BR19" s="102" t="s">
        <v>117</v>
      </c>
      <c r="BS19" s="101" t="s">
        <v>118</v>
      </c>
      <c r="BT19" s="100" t="s">
        <v>119</v>
      </c>
      <c r="BU19" s="100" t="s">
        <v>120</v>
      </c>
      <c r="BV19" s="101" t="s">
        <v>121</v>
      </c>
      <c r="BW19" s="101" t="s">
        <v>122</v>
      </c>
      <c r="BX19" s="101" t="s">
        <v>123</v>
      </c>
    </row>
    <row r="20" ht="14.5" customHeight="1" spans="1:76" x14ac:dyDescent="0.25">
      <c r="A20" t="s">
        <v>192</v>
      </c>
      <c r="D20" s="27" t="s">
        <v>76</v>
      </c>
      <c r="E20" t="s">
        <v>77</v>
      </c>
      <c r="H20" s="29" t="s">
        <v>80</v>
      </c>
      <c r="I20" s="30" t="s">
        <v>81</v>
      </c>
      <c r="J20" s="30" t="s">
        <v>82</v>
      </c>
      <c r="K20" s="103">
        <f>TODAY()-31</f>
        <v>45689</v>
      </c>
      <c r="L20" s="30" t="s">
        <v>77</v>
      </c>
      <c r="M20" s="30" t="s">
        <v>83</v>
      </c>
      <c r="N20" s="30" t="s">
        <v>84</v>
      </c>
      <c r="O20" s="30">
        <v>1</v>
      </c>
      <c r="P20" s="30" t="s">
        <v>85</v>
      </c>
      <c r="Q20" s="30" t="s">
        <v>86</v>
      </c>
      <c r="R20" s="30" t="s">
        <v>86</v>
      </c>
      <c r="S20" s="30" t="s">
        <v>85</v>
      </c>
      <c r="T20" s="30" t="s">
        <v>82</v>
      </c>
      <c r="U20" s="30" t="s">
        <v>87</v>
      </c>
      <c r="V20" s="32" t="s">
        <v>88</v>
      </c>
      <c r="W20" s="33" t="s">
        <v>82</v>
      </c>
      <c r="X20" s="34">
        <f>K20</f>
        <v>45689</v>
      </c>
      <c r="Y20" s="33" t="s">
        <v>89</v>
      </c>
      <c r="Z20" s="94" t="s">
        <v>90</v>
      </c>
      <c r="AA20" s="104" t="s">
        <v>91</v>
      </c>
      <c r="AB20" s="104" t="s">
        <v>92</v>
      </c>
      <c r="AC20" s="104" t="s">
        <v>136</v>
      </c>
      <c r="AD20" s="105">
        <v>766</v>
      </c>
      <c r="AE20" s="106" t="s">
        <v>70</v>
      </c>
      <c r="AF20" s="107">
        <v>10</v>
      </c>
      <c r="AG20" s="30" t="s">
        <v>86</v>
      </c>
      <c r="AH20" s="39" t="s">
        <v>94</v>
      </c>
      <c r="AI20" s="31">
        <v>43831</v>
      </c>
      <c r="AJ20" s="31">
        <v>45293</v>
      </c>
      <c r="AK20" s="40" t="s">
        <v>95</v>
      </c>
      <c r="AL20" s="29" t="s">
        <v>96</v>
      </c>
      <c r="AM20" s="85">
        <f>TODAY()+365</f>
        <v>46085</v>
      </c>
      <c r="AN20" s="30">
        <v>110</v>
      </c>
      <c r="AO20" s="33" t="s">
        <v>98</v>
      </c>
      <c r="AP20" s="42" t="s">
        <v>99</v>
      </c>
      <c r="AQ20" s="33" t="s">
        <v>100</v>
      </c>
      <c r="AR20" s="43">
        <f>X20</f>
        <v>45689</v>
      </c>
      <c r="AS20" s="43">
        <f>X20</f>
        <v>45689</v>
      </c>
      <c r="AT20" s="55">
        <f>AM20</f>
        <v>46085</v>
      </c>
      <c r="AU20" s="42" t="s">
        <v>101</v>
      </c>
      <c r="AV20" s="61" t="s">
        <v>172</v>
      </c>
      <c r="AW20" s="46" t="s">
        <v>103</v>
      </c>
      <c r="AX20" s="46" t="s">
        <v>104</v>
      </c>
      <c r="AY20" s="46" t="s">
        <v>105</v>
      </c>
      <c r="AZ20" s="46" t="s">
        <v>106</v>
      </c>
      <c r="BA20" s="46" t="s">
        <v>107</v>
      </c>
      <c r="BB20" s="63" t="s">
        <v>90</v>
      </c>
      <c r="BC20" s="30" t="s">
        <v>77</v>
      </c>
      <c r="BD20" s="47" t="s">
        <v>108</v>
      </c>
      <c r="BE20" s="47">
        <v>9477896631</v>
      </c>
      <c r="BF20" s="30" t="s">
        <v>77</v>
      </c>
      <c r="BG20" s="47" t="s">
        <v>109</v>
      </c>
      <c r="BH20" s="47">
        <v>47678965365</v>
      </c>
      <c r="BI20" s="30" t="s">
        <v>77</v>
      </c>
      <c r="BJ20" s="47" t="s">
        <v>110</v>
      </c>
      <c r="BK20" s="47" t="s">
        <v>193</v>
      </c>
      <c r="BL20" s="96" t="s">
        <v>112</v>
      </c>
      <c r="BM20" s="97">
        <v>35591</v>
      </c>
      <c r="BN20" s="98" t="s">
        <v>113</v>
      </c>
      <c r="BO20" s="99" t="s">
        <v>139</v>
      </c>
      <c r="BP20" s="100" t="s">
        <v>115</v>
      </c>
      <c r="BQ20" s="101" t="s">
        <v>116</v>
      </c>
      <c r="BR20" s="102" t="s">
        <v>117</v>
      </c>
      <c r="BS20" s="101" t="s">
        <v>118</v>
      </c>
      <c r="BT20" s="100" t="s">
        <v>119</v>
      </c>
      <c r="BU20" s="100" t="s">
        <v>120</v>
      </c>
      <c r="BV20" s="101" t="s">
        <v>121</v>
      </c>
      <c r="BW20" s="101" t="s">
        <v>122</v>
      </c>
      <c r="BX20" s="101" t="s">
        <v>123</v>
      </c>
    </row>
    <row r="21" ht="14.5" customHeight="1" spans="1:76" x14ac:dyDescent="0.25">
      <c r="A21" t="s">
        <v>194</v>
      </c>
      <c r="D21" s="27" t="s">
        <v>76</v>
      </c>
      <c r="E21" t="s">
        <v>77</v>
      </c>
      <c r="H21" s="29" t="s">
        <v>80</v>
      </c>
      <c r="I21" s="30" t="s">
        <v>81</v>
      </c>
      <c r="J21" s="30" t="s">
        <v>82</v>
      </c>
      <c r="K21" s="103">
        <f>TODAY()-31</f>
        <v>45689</v>
      </c>
      <c r="L21" s="30" t="s">
        <v>77</v>
      </c>
      <c r="M21" s="30" t="s">
        <v>83</v>
      </c>
      <c r="N21" s="30" t="s">
        <v>84</v>
      </c>
      <c r="O21" s="30">
        <v>1</v>
      </c>
      <c r="P21" s="30" t="s">
        <v>85</v>
      </c>
      <c r="Q21" s="30" t="s">
        <v>86</v>
      </c>
      <c r="R21" s="30" t="s">
        <v>86</v>
      </c>
      <c r="S21" s="30" t="s">
        <v>85</v>
      </c>
      <c r="T21" s="30" t="s">
        <v>82</v>
      </c>
      <c r="U21" s="30" t="s">
        <v>87</v>
      </c>
      <c r="V21" s="32" t="s">
        <v>88</v>
      </c>
      <c r="W21" s="33" t="s">
        <v>82</v>
      </c>
      <c r="X21" s="34">
        <f>K21</f>
        <v>45689</v>
      </c>
      <c r="Y21" s="33" t="s">
        <v>89</v>
      </c>
      <c r="Z21" s="94" t="s">
        <v>90</v>
      </c>
      <c r="AA21" s="104" t="s">
        <v>128</v>
      </c>
      <c r="AB21" s="104" t="s">
        <v>92</v>
      </c>
      <c r="AC21" s="104" t="s">
        <v>93</v>
      </c>
      <c r="AD21" s="105">
        <v>766</v>
      </c>
      <c r="AE21" s="106" t="s">
        <v>70</v>
      </c>
      <c r="AF21" s="107">
        <v>40</v>
      </c>
      <c r="AG21" s="30" t="s">
        <v>86</v>
      </c>
      <c r="AH21" s="39" t="s">
        <v>94</v>
      </c>
      <c r="AI21" s="31">
        <v>43831</v>
      </c>
      <c r="AJ21" s="31">
        <v>45293</v>
      </c>
      <c r="AK21" s="40" t="s">
        <v>95</v>
      </c>
      <c r="AL21" s="29" t="s">
        <v>96</v>
      </c>
      <c r="AM21" s="85">
        <f>TODAY()+365</f>
        <v>46085</v>
      </c>
      <c r="AN21" s="30">
        <v>110</v>
      </c>
      <c r="AO21" s="33" t="s">
        <v>98</v>
      </c>
      <c r="AP21" s="108" t="s">
        <v>128</v>
      </c>
      <c r="AQ21" s="33" t="s">
        <v>100</v>
      </c>
      <c r="AR21" s="43">
        <f>X21</f>
        <v>45689</v>
      </c>
      <c r="AS21" s="43">
        <f>X21</f>
        <v>45689</v>
      </c>
      <c r="AT21" s="55">
        <f>AM21</f>
        <v>46085</v>
      </c>
      <c r="AU21" s="42" t="s">
        <v>101</v>
      </c>
      <c r="AV21" s="61" t="s">
        <v>165</v>
      </c>
      <c r="AW21" s="46" t="s">
        <v>103</v>
      </c>
      <c r="AX21" s="46" t="s">
        <v>104</v>
      </c>
      <c r="AY21" s="46" t="s">
        <v>105</v>
      </c>
      <c r="AZ21" s="46" t="s">
        <v>106</v>
      </c>
      <c r="BA21" s="46" t="s">
        <v>107</v>
      </c>
      <c r="BB21" s="63" t="s">
        <v>90</v>
      </c>
      <c r="BC21" s="30" t="s">
        <v>77</v>
      </c>
      <c r="BD21" s="47" t="s">
        <v>108</v>
      </c>
      <c r="BE21" s="47">
        <v>9477896632</v>
      </c>
      <c r="BF21" s="30" t="s">
        <v>77</v>
      </c>
      <c r="BG21" s="47" t="s">
        <v>109</v>
      </c>
      <c r="BH21" s="47">
        <v>47678965366</v>
      </c>
      <c r="BI21" s="30" t="s">
        <v>77</v>
      </c>
      <c r="BJ21" s="47" t="s">
        <v>110</v>
      </c>
      <c r="BK21" s="47" t="s">
        <v>195</v>
      </c>
      <c r="BL21" s="96" t="s">
        <v>112</v>
      </c>
      <c r="BM21" s="97">
        <v>35591</v>
      </c>
      <c r="BN21" s="98" t="s">
        <v>113</v>
      </c>
      <c r="BO21" s="99" t="s">
        <v>139</v>
      </c>
      <c r="BP21" s="100" t="s">
        <v>115</v>
      </c>
      <c r="BQ21" s="101" t="s">
        <v>116</v>
      </c>
      <c r="BR21" s="102" t="s">
        <v>117</v>
      </c>
      <c r="BS21" s="101" t="s">
        <v>118</v>
      </c>
      <c r="BT21" s="100" t="s">
        <v>119</v>
      </c>
      <c r="BU21" s="100" t="s">
        <v>120</v>
      </c>
      <c r="BV21" s="101" t="s">
        <v>121</v>
      </c>
      <c r="BW21" s="101" t="s">
        <v>122</v>
      </c>
      <c r="BX21" s="101" t="s">
        <v>123</v>
      </c>
    </row>
    <row r="22" ht="14.5" customHeight="1" spans="1:76" x14ac:dyDescent="0.25">
      <c r="A22" t="s">
        <v>196</v>
      </c>
      <c r="D22" s="27" t="s">
        <v>76</v>
      </c>
      <c r="E22" t="s">
        <v>77</v>
      </c>
      <c r="H22" s="29" t="s">
        <v>80</v>
      </c>
      <c r="I22" s="30" t="s">
        <v>81</v>
      </c>
      <c r="J22" s="30" t="s">
        <v>82</v>
      </c>
      <c r="K22" s="103">
        <f>TODAY()-31</f>
        <v>45689</v>
      </c>
      <c r="L22" s="30" t="s">
        <v>77</v>
      </c>
      <c r="M22" s="30" t="s">
        <v>83</v>
      </c>
      <c r="N22" s="30" t="s">
        <v>84</v>
      </c>
      <c r="O22" s="30">
        <v>1</v>
      </c>
      <c r="P22" s="30" t="s">
        <v>85</v>
      </c>
      <c r="Q22" s="30" t="s">
        <v>86</v>
      </c>
      <c r="R22" s="30" t="s">
        <v>86</v>
      </c>
      <c r="S22" s="30" t="s">
        <v>85</v>
      </c>
      <c r="T22" s="30" t="s">
        <v>82</v>
      </c>
      <c r="U22" s="30" t="s">
        <v>87</v>
      </c>
      <c r="V22" s="32" t="s">
        <v>88</v>
      </c>
      <c r="W22" s="33" t="s">
        <v>82</v>
      </c>
      <c r="X22" s="34">
        <f>K22</f>
        <v>45689</v>
      </c>
      <c r="Y22" s="33" t="s">
        <v>89</v>
      </c>
      <c r="Z22" s="94" t="s">
        <v>90</v>
      </c>
      <c r="AA22" s="104" t="s">
        <v>91</v>
      </c>
      <c r="AB22" s="104" t="s">
        <v>92</v>
      </c>
      <c r="AC22" s="104" t="s">
        <v>93</v>
      </c>
      <c r="AD22" s="105">
        <v>766</v>
      </c>
      <c r="AE22" s="106" t="s">
        <v>70</v>
      </c>
      <c r="AF22" s="107">
        <v>40</v>
      </c>
      <c r="AG22" s="30" t="s">
        <v>86</v>
      </c>
      <c r="AH22" s="39" t="s">
        <v>94</v>
      </c>
      <c r="AI22" s="31">
        <v>43831</v>
      </c>
      <c r="AJ22" s="31">
        <v>45293</v>
      </c>
      <c r="AK22" s="40" t="s">
        <v>95</v>
      </c>
      <c r="AL22" s="29" t="s">
        <v>96</v>
      </c>
      <c r="AM22" s="85">
        <f>TODAY()+365</f>
        <v>46085</v>
      </c>
      <c r="AN22" s="30">
        <v>110</v>
      </c>
      <c r="AO22" s="33" t="s">
        <v>98</v>
      </c>
      <c r="AP22" s="42" t="s">
        <v>99</v>
      </c>
      <c r="AQ22" s="33" t="s">
        <v>100</v>
      </c>
      <c r="AR22" s="43">
        <f>X22</f>
        <v>45689</v>
      </c>
      <c r="AS22" s="43">
        <f>X22</f>
        <v>45689</v>
      </c>
      <c r="AT22" s="55">
        <f>AM22</f>
        <v>46085</v>
      </c>
      <c r="AU22" s="42" t="s">
        <v>101</v>
      </c>
      <c r="AV22" s="61" t="s">
        <v>197</v>
      </c>
      <c r="AW22" s="46" t="s">
        <v>103</v>
      </c>
      <c r="AX22" s="46" t="s">
        <v>104</v>
      </c>
      <c r="AY22" s="46" t="s">
        <v>105</v>
      </c>
      <c r="AZ22" s="46" t="s">
        <v>106</v>
      </c>
      <c r="BA22" s="46" t="s">
        <v>107</v>
      </c>
      <c r="BB22" s="63" t="s">
        <v>90</v>
      </c>
      <c r="BC22" s="30" t="s">
        <v>77</v>
      </c>
      <c r="BD22" s="47" t="s">
        <v>108</v>
      </c>
      <c r="BE22" s="47">
        <v>9477896633</v>
      </c>
      <c r="BF22" s="30" t="s">
        <v>77</v>
      </c>
      <c r="BG22" s="47" t="s">
        <v>109</v>
      </c>
      <c r="BH22" s="47">
        <v>47678965367</v>
      </c>
      <c r="BI22" s="30" t="s">
        <v>77</v>
      </c>
      <c r="BJ22" s="47" t="s">
        <v>110</v>
      </c>
      <c r="BK22" s="47" t="s">
        <v>198</v>
      </c>
      <c r="BL22" s="96" t="s">
        <v>112</v>
      </c>
      <c r="BM22" s="97">
        <v>35591</v>
      </c>
      <c r="BN22" s="98" t="s">
        <v>113</v>
      </c>
      <c r="BO22" s="99" t="s">
        <v>139</v>
      </c>
      <c r="BP22" s="100" t="s">
        <v>115</v>
      </c>
      <c r="BQ22" s="101" t="s">
        <v>116</v>
      </c>
      <c r="BR22" s="102" t="s">
        <v>117</v>
      </c>
      <c r="BS22" s="101" t="s">
        <v>118</v>
      </c>
      <c r="BT22" s="100" t="s">
        <v>119</v>
      </c>
      <c r="BU22" s="100" t="s">
        <v>120</v>
      </c>
      <c r="BV22" s="101" t="s">
        <v>121</v>
      </c>
      <c r="BW22" s="101" t="s">
        <v>122</v>
      </c>
      <c r="BX22" s="101" t="s">
        <v>123</v>
      </c>
    </row>
    <row r="23" ht="14.5" customHeight="1" spans="1:76" x14ac:dyDescent="0.25">
      <c r="A23" t="s">
        <v>199</v>
      </c>
      <c r="D23" s="27" t="s">
        <v>76</v>
      </c>
      <c r="E23" t="s">
        <v>77</v>
      </c>
      <c r="H23" s="29" t="s">
        <v>80</v>
      </c>
      <c r="I23" s="30" t="s">
        <v>81</v>
      </c>
      <c r="J23" s="30" t="s">
        <v>82</v>
      </c>
      <c r="K23" s="103">
        <f>TODAY()-31</f>
        <v>45689</v>
      </c>
      <c r="L23" s="30" t="s">
        <v>77</v>
      </c>
      <c r="M23" s="30" t="s">
        <v>83</v>
      </c>
      <c r="N23" s="30" t="s">
        <v>84</v>
      </c>
      <c r="O23" s="30">
        <v>1</v>
      </c>
      <c r="P23" s="30" t="s">
        <v>85</v>
      </c>
      <c r="Q23" s="30" t="s">
        <v>86</v>
      </c>
      <c r="R23" s="30" t="s">
        <v>86</v>
      </c>
      <c r="S23" s="30" t="s">
        <v>85</v>
      </c>
      <c r="T23" s="30" t="s">
        <v>82</v>
      </c>
      <c r="U23" s="30" t="s">
        <v>87</v>
      </c>
      <c r="V23" s="32" t="s">
        <v>88</v>
      </c>
      <c r="W23" s="33" t="s">
        <v>82</v>
      </c>
      <c r="X23" s="34">
        <f>K23</f>
        <v>45689</v>
      </c>
      <c r="Y23" s="33" t="s">
        <v>89</v>
      </c>
      <c r="Z23" s="94" t="s">
        <v>90</v>
      </c>
      <c r="AA23" s="104" t="s">
        <v>128</v>
      </c>
      <c r="AB23" s="104" t="s">
        <v>92</v>
      </c>
      <c r="AC23" s="104" t="s">
        <v>93</v>
      </c>
      <c r="AD23" s="105">
        <v>766</v>
      </c>
      <c r="AE23" s="109" t="s">
        <v>70</v>
      </c>
      <c r="AF23" s="107">
        <v>40</v>
      </c>
      <c r="AG23" s="30" t="s">
        <v>86</v>
      </c>
      <c r="AH23" s="39" t="s">
        <v>94</v>
      </c>
      <c r="AI23" s="31">
        <v>43831</v>
      </c>
      <c r="AJ23" s="31">
        <v>45293</v>
      </c>
      <c r="AK23" s="40" t="s">
        <v>95</v>
      </c>
      <c r="AL23" s="29" t="s">
        <v>96</v>
      </c>
      <c r="AM23" s="85">
        <f>TODAY()+365</f>
        <v>46085</v>
      </c>
      <c r="AN23" s="30">
        <v>110</v>
      </c>
      <c r="AO23" s="33" t="s">
        <v>98</v>
      </c>
      <c r="AP23" s="108" t="s">
        <v>128</v>
      </c>
      <c r="AQ23" s="33" t="s">
        <v>100</v>
      </c>
      <c r="AR23" s="43">
        <f>X23</f>
        <v>45689</v>
      </c>
      <c r="AS23" s="43">
        <f>X23</f>
        <v>45689</v>
      </c>
      <c r="AT23" s="55">
        <f>AM23</f>
        <v>46085</v>
      </c>
      <c r="AU23" s="42" t="s">
        <v>101</v>
      </c>
      <c r="AV23" s="61" t="s">
        <v>200</v>
      </c>
      <c r="AW23" s="46" t="s">
        <v>103</v>
      </c>
      <c r="AX23" s="46" t="s">
        <v>104</v>
      </c>
      <c r="AY23" s="46" t="s">
        <v>105</v>
      </c>
      <c r="AZ23" s="46" t="s">
        <v>106</v>
      </c>
      <c r="BA23" s="46" t="s">
        <v>107</v>
      </c>
      <c r="BB23" s="63" t="s">
        <v>90</v>
      </c>
      <c r="BC23" s="30" t="s">
        <v>77</v>
      </c>
      <c r="BD23" s="47" t="s">
        <v>108</v>
      </c>
      <c r="BE23" s="47">
        <v>9477896634</v>
      </c>
      <c r="BF23" s="30" t="s">
        <v>77</v>
      </c>
      <c r="BG23" s="47" t="s">
        <v>109</v>
      </c>
      <c r="BH23" s="47">
        <v>47678965368</v>
      </c>
      <c r="BI23" s="30" t="s">
        <v>77</v>
      </c>
      <c r="BJ23" s="47" t="s">
        <v>110</v>
      </c>
      <c r="BK23" s="47" t="s">
        <v>201</v>
      </c>
      <c r="BL23" s="96" t="s">
        <v>112</v>
      </c>
      <c r="BM23" s="97">
        <v>35591</v>
      </c>
      <c r="BN23" s="98" t="s">
        <v>113</v>
      </c>
      <c r="BO23" s="99" t="s">
        <v>139</v>
      </c>
      <c r="BP23" s="100" t="s">
        <v>115</v>
      </c>
      <c r="BQ23" s="101" t="s">
        <v>116</v>
      </c>
      <c r="BR23" s="102" t="s">
        <v>117</v>
      </c>
      <c r="BS23" s="101" t="s">
        <v>118</v>
      </c>
      <c r="BT23" s="100" t="s">
        <v>119</v>
      </c>
      <c r="BU23" s="100" t="s">
        <v>120</v>
      </c>
      <c r="BV23" s="101" t="s">
        <v>121</v>
      </c>
      <c r="BW23" s="101" t="s">
        <v>122</v>
      </c>
      <c r="BX23" s="101" t="s">
        <v>123</v>
      </c>
    </row>
    <row r="24" ht="14.5" customHeight="1" spans="1:76" x14ac:dyDescent="0.25">
      <c r="A24" t="s">
        <v>202</v>
      </c>
      <c r="D24" s="27" t="s">
        <v>76</v>
      </c>
      <c r="E24" t="s">
        <v>77</v>
      </c>
      <c r="H24" s="29" t="s">
        <v>80</v>
      </c>
      <c r="I24" s="30" t="s">
        <v>81</v>
      </c>
      <c r="J24" s="30" t="s">
        <v>82</v>
      </c>
      <c r="K24" s="103">
        <f>TODAY()-31</f>
        <v>45689</v>
      </c>
      <c r="L24" s="30" t="s">
        <v>77</v>
      </c>
      <c r="M24" s="30" t="s">
        <v>83</v>
      </c>
      <c r="N24" s="30" t="s">
        <v>84</v>
      </c>
      <c r="O24" s="30">
        <v>1</v>
      </c>
      <c r="P24" s="30" t="s">
        <v>85</v>
      </c>
      <c r="Q24" s="30" t="s">
        <v>86</v>
      </c>
      <c r="R24" s="30" t="s">
        <v>86</v>
      </c>
      <c r="S24" s="30" t="s">
        <v>85</v>
      </c>
      <c r="T24" s="30" t="s">
        <v>82</v>
      </c>
      <c r="U24" s="30" t="s">
        <v>87</v>
      </c>
      <c r="V24" s="32" t="s">
        <v>88</v>
      </c>
      <c r="W24" s="33" t="s">
        <v>82</v>
      </c>
      <c r="X24" s="34">
        <f>K24</f>
        <v>45689</v>
      </c>
      <c r="Y24" s="33" t="s">
        <v>89</v>
      </c>
      <c r="Z24" s="94" t="s">
        <v>90</v>
      </c>
      <c r="AA24" s="104" t="s">
        <v>128</v>
      </c>
      <c r="AB24" s="104" t="s">
        <v>203</v>
      </c>
      <c r="AC24" s="104" t="s">
        <v>93</v>
      </c>
      <c r="AD24" s="105">
        <v>766</v>
      </c>
      <c r="AE24" s="106" t="s">
        <v>70</v>
      </c>
      <c r="AF24" s="107">
        <v>40</v>
      </c>
      <c r="AG24" s="30" t="s">
        <v>86</v>
      </c>
      <c r="AH24" s="39" t="s">
        <v>94</v>
      </c>
      <c r="AI24" s="31">
        <v>43831</v>
      </c>
      <c r="AJ24" s="31">
        <v>45293</v>
      </c>
      <c r="AK24" s="40" t="s">
        <v>95</v>
      </c>
      <c r="AL24" s="29" t="s">
        <v>96</v>
      </c>
      <c r="AM24" s="85">
        <f>TODAY()+365</f>
        <v>46085</v>
      </c>
      <c r="AN24" s="30">
        <v>110</v>
      </c>
      <c r="AO24" s="33" t="s">
        <v>98</v>
      </c>
      <c r="AP24" s="108" t="s">
        <v>128</v>
      </c>
      <c r="AQ24" s="33" t="s">
        <v>100</v>
      </c>
      <c r="AR24" s="43">
        <f>X24</f>
        <v>45689</v>
      </c>
      <c r="AS24" s="43">
        <f>X24</f>
        <v>45689</v>
      </c>
      <c r="AT24" s="55">
        <f>AM24</f>
        <v>46085</v>
      </c>
      <c r="AU24" s="42" t="s">
        <v>101</v>
      </c>
      <c r="AV24" s="61" t="s">
        <v>204</v>
      </c>
      <c r="AW24" s="46" t="s">
        <v>103</v>
      </c>
      <c r="AX24" s="46" t="s">
        <v>104</v>
      </c>
      <c r="AY24" s="46" t="s">
        <v>105</v>
      </c>
      <c r="AZ24" s="46" t="s">
        <v>106</v>
      </c>
      <c r="BA24" s="46" t="s">
        <v>107</v>
      </c>
      <c r="BB24" s="63" t="s">
        <v>90</v>
      </c>
      <c r="BC24" s="30" t="s">
        <v>77</v>
      </c>
      <c r="BD24" s="47" t="s">
        <v>108</v>
      </c>
      <c r="BE24" s="47">
        <v>9477896635</v>
      </c>
      <c r="BF24" s="30" t="s">
        <v>77</v>
      </c>
      <c r="BG24" s="47" t="s">
        <v>109</v>
      </c>
      <c r="BH24" s="47">
        <v>47678965369</v>
      </c>
      <c r="BI24" s="30" t="s">
        <v>77</v>
      </c>
      <c r="BJ24" s="47" t="s">
        <v>110</v>
      </c>
      <c r="BK24" s="47" t="s">
        <v>205</v>
      </c>
      <c r="BL24" s="96" t="s">
        <v>112</v>
      </c>
      <c r="BM24" s="97">
        <v>35591</v>
      </c>
      <c r="BN24" s="98" t="s">
        <v>113</v>
      </c>
      <c r="BO24" s="99" t="s">
        <v>139</v>
      </c>
      <c r="BP24" s="100" t="s">
        <v>115</v>
      </c>
      <c r="BQ24" s="101" t="s">
        <v>116</v>
      </c>
      <c r="BR24" s="102" t="s">
        <v>117</v>
      </c>
      <c r="BS24" s="101" t="s">
        <v>118</v>
      </c>
      <c r="BT24" s="100" t="s">
        <v>119</v>
      </c>
      <c r="BU24" s="100" t="s">
        <v>120</v>
      </c>
      <c r="BV24" s="101" t="s">
        <v>121</v>
      </c>
      <c r="BW24" s="101" t="s">
        <v>122</v>
      </c>
      <c r="BX24" s="101" t="s">
        <v>123</v>
      </c>
    </row>
    <row r="25" ht="14.5" customHeight="1" spans="1:76" x14ac:dyDescent="0.25">
      <c r="A25" t="s">
        <v>206</v>
      </c>
      <c r="D25" s="27" t="s">
        <v>76</v>
      </c>
      <c r="E25" t="s">
        <v>77</v>
      </c>
      <c r="H25" s="29" t="s">
        <v>80</v>
      </c>
      <c r="I25" s="30" t="s">
        <v>81</v>
      </c>
      <c r="J25" s="30" t="s">
        <v>82</v>
      </c>
      <c r="K25" s="103">
        <f>TODAY()+91</f>
        <v>45811</v>
      </c>
      <c r="L25" s="30" t="s">
        <v>77</v>
      </c>
      <c r="M25" s="30" t="s">
        <v>83</v>
      </c>
      <c r="N25" s="30" t="s">
        <v>84</v>
      </c>
      <c r="O25" s="30">
        <v>1</v>
      </c>
      <c r="P25" s="30" t="s">
        <v>85</v>
      </c>
      <c r="Q25" s="30" t="s">
        <v>86</v>
      </c>
      <c r="R25" s="30" t="s">
        <v>86</v>
      </c>
      <c r="S25" s="30" t="s">
        <v>85</v>
      </c>
      <c r="T25" s="30" t="s">
        <v>82</v>
      </c>
      <c r="U25" s="30" t="s">
        <v>87</v>
      </c>
      <c r="V25" s="32" t="s">
        <v>88</v>
      </c>
      <c r="W25" s="33" t="s">
        <v>82</v>
      </c>
      <c r="X25" s="34">
        <f>K25</f>
        <v>45811</v>
      </c>
      <c r="Y25" s="95" t="s">
        <v>89</v>
      </c>
      <c r="Z25" s="94" t="s">
        <v>90</v>
      </c>
      <c r="AA25" s="110" t="s">
        <v>128</v>
      </c>
      <c r="AB25" s="110" t="s">
        <v>203</v>
      </c>
      <c r="AC25" s="110" t="s">
        <v>136</v>
      </c>
      <c r="AD25" s="111">
        <v>766</v>
      </c>
      <c r="AE25" s="106" t="s">
        <v>70</v>
      </c>
      <c r="AF25" s="107">
        <v>20</v>
      </c>
      <c r="AG25" s="30" t="s">
        <v>86</v>
      </c>
      <c r="AH25" s="39" t="s">
        <v>94</v>
      </c>
      <c r="AI25" s="31">
        <v>43831</v>
      </c>
      <c r="AJ25" s="31">
        <v>45293</v>
      </c>
      <c r="AK25" s="40" t="s">
        <v>95</v>
      </c>
      <c r="AL25" s="29" t="s">
        <v>96</v>
      </c>
      <c r="AM25" s="85">
        <f>TODAY()+365</f>
        <v>46085</v>
      </c>
      <c r="AN25" s="30">
        <v>110</v>
      </c>
      <c r="AO25" s="33" t="s">
        <v>98</v>
      </c>
      <c r="AP25" s="108" t="s">
        <v>128</v>
      </c>
      <c r="AQ25" s="33" t="s">
        <v>100</v>
      </c>
      <c r="AR25" s="43">
        <f>X25</f>
        <v>45811</v>
      </c>
      <c r="AS25" s="43">
        <f>X25</f>
        <v>45811</v>
      </c>
      <c r="AT25" s="55">
        <f>AM25</f>
        <v>46085</v>
      </c>
      <c r="AU25" s="42" t="s">
        <v>101</v>
      </c>
      <c r="AV25" s="61" t="s">
        <v>204</v>
      </c>
      <c r="AW25" s="46" t="s">
        <v>103</v>
      </c>
      <c r="AX25" s="46" t="s">
        <v>104</v>
      </c>
      <c r="AY25" s="46" t="s">
        <v>105</v>
      </c>
      <c r="AZ25" s="46" t="s">
        <v>106</v>
      </c>
      <c r="BA25" s="46" t="s">
        <v>107</v>
      </c>
      <c r="BB25" s="63" t="s">
        <v>90</v>
      </c>
      <c r="BC25" s="30" t="s">
        <v>77</v>
      </c>
      <c r="BD25" s="47" t="s">
        <v>108</v>
      </c>
      <c r="BE25" s="47">
        <v>9477896636</v>
      </c>
      <c r="BF25" s="30" t="s">
        <v>77</v>
      </c>
      <c r="BG25" s="47" t="s">
        <v>109</v>
      </c>
      <c r="BH25" s="47">
        <v>47678965370</v>
      </c>
      <c r="BI25" s="30" t="s">
        <v>77</v>
      </c>
      <c r="BJ25" s="47" t="s">
        <v>110</v>
      </c>
      <c r="BK25" s="47" t="s">
        <v>207</v>
      </c>
      <c r="BL25" s="96" t="s">
        <v>112</v>
      </c>
      <c r="BM25" s="97">
        <v>35591</v>
      </c>
      <c r="BN25" s="98" t="s">
        <v>113</v>
      </c>
      <c r="BO25" s="99" t="s">
        <v>139</v>
      </c>
      <c r="BP25" s="100" t="s">
        <v>115</v>
      </c>
      <c r="BQ25" s="101" t="s">
        <v>116</v>
      </c>
      <c r="BR25" s="102" t="s">
        <v>117</v>
      </c>
      <c r="BS25" s="101" t="s">
        <v>118</v>
      </c>
      <c r="BT25" s="100" t="s">
        <v>119</v>
      </c>
      <c r="BU25" s="100" t="s">
        <v>120</v>
      </c>
      <c r="BV25" s="101" t="s">
        <v>121</v>
      </c>
      <c r="BW25" s="101" t="s">
        <v>122</v>
      </c>
      <c r="BX25" s="101" t="s">
        <v>123</v>
      </c>
    </row>
    <row r="26" ht="14.5" customHeight="1" spans="1:76" x14ac:dyDescent="0.25">
      <c r="A26" t="s">
        <v>208</v>
      </c>
      <c r="D26" s="27" t="s">
        <v>76</v>
      </c>
      <c r="E26" t="s">
        <v>77</v>
      </c>
      <c r="H26" s="29" t="s">
        <v>80</v>
      </c>
      <c r="I26" s="30" t="s">
        <v>81</v>
      </c>
      <c r="J26" s="30" t="s">
        <v>82</v>
      </c>
      <c r="K26" s="103">
        <f>TODAY()-31</f>
        <v>45689</v>
      </c>
      <c r="L26" s="30" t="s">
        <v>77</v>
      </c>
      <c r="M26" s="30" t="s">
        <v>83</v>
      </c>
      <c r="N26" s="30" t="s">
        <v>84</v>
      </c>
      <c r="O26" s="30">
        <v>1</v>
      </c>
      <c r="P26" s="30" t="s">
        <v>85</v>
      </c>
      <c r="Q26" s="30" t="s">
        <v>86</v>
      </c>
      <c r="R26" s="30" t="s">
        <v>86</v>
      </c>
      <c r="S26" s="30" t="s">
        <v>85</v>
      </c>
      <c r="T26" s="30" t="s">
        <v>82</v>
      </c>
      <c r="U26" s="30" t="s">
        <v>87</v>
      </c>
      <c r="V26" s="32" t="s">
        <v>88</v>
      </c>
      <c r="W26" s="33" t="s">
        <v>82</v>
      </c>
      <c r="X26" s="34">
        <f>K26</f>
        <v>45689</v>
      </c>
      <c r="Y26" s="33" t="s">
        <v>89</v>
      </c>
      <c r="Z26" s="94" t="s">
        <v>90</v>
      </c>
      <c r="AA26" s="104" t="s">
        <v>91</v>
      </c>
      <c r="AB26" s="104" t="s">
        <v>203</v>
      </c>
      <c r="AC26" s="104" t="s">
        <v>93</v>
      </c>
      <c r="AD26" s="105">
        <v>766</v>
      </c>
      <c r="AE26" s="106" t="s">
        <v>70</v>
      </c>
      <c r="AF26" s="107">
        <v>40</v>
      </c>
      <c r="AG26" s="30" t="s">
        <v>86</v>
      </c>
      <c r="AH26" s="39" t="s">
        <v>94</v>
      </c>
      <c r="AI26" s="31">
        <v>43831</v>
      </c>
      <c r="AJ26" s="31">
        <v>45293</v>
      </c>
      <c r="AK26" s="40" t="s">
        <v>95</v>
      </c>
      <c r="AL26" s="29" t="s">
        <v>96</v>
      </c>
      <c r="AM26" s="85">
        <f>TODAY()+365</f>
        <v>46085</v>
      </c>
      <c r="AN26" s="30">
        <v>110</v>
      </c>
      <c r="AO26" s="33" t="s">
        <v>98</v>
      </c>
      <c r="AP26" s="42" t="s">
        <v>99</v>
      </c>
      <c r="AQ26" s="33" t="s">
        <v>100</v>
      </c>
      <c r="AR26" s="43">
        <f>X26</f>
        <v>45689</v>
      </c>
      <c r="AS26" s="43">
        <f>X26</f>
        <v>45689</v>
      </c>
      <c r="AT26" s="55">
        <f>AM26</f>
        <v>46085</v>
      </c>
      <c r="AU26" s="42" t="s">
        <v>101</v>
      </c>
      <c r="AV26" s="61" t="s">
        <v>204</v>
      </c>
      <c r="AW26" s="46" t="s">
        <v>103</v>
      </c>
      <c r="AX26" s="46" t="s">
        <v>104</v>
      </c>
      <c r="AY26" s="46" t="s">
        <v>105</v>
      </c>
      <c r="AZ26" s="46" t="s">
        <v>106</v>
      </c>
      <c r="BA26" s="46" t="s">
        <v>107</v>
      </c>
      <c r="BB26" s="63" t="s">
        <v>90</v>
      </c>
      <c r="BC26" s="30" t="s">
        <v>77</v>
      </c>
      <c r="BD26" s="47" t="s">
        <v>108</v>
      </c>
      <c r="BE26" s="47">
        <v>9477896637</v>
      </c>
      <c r="BF26" s="30" t="s">
        <v>77</v>
      </c>
      <c r="BG26" s="47" t="s">
        <v>109</v>
      </c>
      <c r="BH26" s="47">
        <v>47678965371</v>
      </c>
      <c r="BI26" s="30" t="s">
        <v>77</v>
      </c>
      <c r="BJ26" s="47" t="s">
        <v>110</v>
      </c>
      <c r="BK26" s="47" t="s">
        <v>209</v>
      </c>
      <c r="BL26" s="96" t="s">
        <v>112</v>
      </c>
      <c r="BM26" s="97">
        <v>35591</v>
      </c>
      <c r="BN26" s="98" t="s">
        <v>113</v>
      </c>
      <c r="BO26" s="99" t="s">
        <v>139</v>
      </c>
      <c r="BP26" s="100" t="s">
        <v>115</v>
      </c>
      <c r="BQ26" s="101" t="s">
        <v>116</v>
      </c>
      <c r="BR26" s="102" t="s">
        <v>117</v>
      </c>
      <c r="BS26" s="101" t="s">
        <v>118</v>
      </c>
      <c r="BT26" s="100" t="s">
        <v>119</v>
      </c>
      <c r="BU26" s="100" t="s">
        <v>120</v>
      </c>
      <c r="BV26" s="101" t="s">
        <v>121</v>
      </c>
      <c r="BW26" s="101" t="s">
        <v>122</v>
      </c>
      <c r="BX26" s="101" t="s">
        <v>123</v>
      </c>
    </row>
    <row r="27" ht="14.5" customHeight="1" spans="1:76" x14ac:dyDescent="0.25">
      <c r="A27" t="s">
        <v>210</v>
      </c>
      <c r="D27" s="27" t="s">
        <v>76</v>
      </c>
      <c r="E27" t="s">
        <v>77</v>
      </c>
      <c r="H27" s="29" t="s">
        <v>80</v>
      </c>
      <c r="I27" s="30" t="s">
        <v>81</v>
      </c>
      <c r="J27" s="30" t="s">
        <v>82</v>
      </c>
      <c r="K27" s="103">
        <f>TODAY()+91</f>
        <v>45811</v>
      </c>
      <c r="L27" s="30" t="s">
        <v>77</v>
      </c>
      <c r="M27" s="30" t="s">
        <v>83</v>
      </c>
      <c r="N27" s="30" t="s">
        <v>84</v>
      </c>
      <c r="O27" s="30">
        <v>1</v>
      </c>
      <c r="P27" s="30" t="s">
        <v>85</v>
      </c>
      <c r="Q27" s="30" t="s">
        <v>86</v>
      </c>
      <c r="R27" s="30" t="s">
        <v>86</v>
      </c>
      <c r="S27" s="30" t="s">
        <v>85</v>
      </c>
      <c r="T27" s="30" t="s">
        <v>82</v>
      </c>
      <c r="U27" s="30" t="s">
        <v>87</v>
      </c>
      <c r="V27" s="32" t="s">
        <v>88</v>
      </c>
      <c r="W27" s="33" t="s">
        <v>82</v>
      </c>
      <c r="X27" s="34">
        <f>K27</f>
        <v>45811</v>
      </c>
      <c r="Y27" s="33" t="s">
        <v>89</v>
      </c>
      <c r="Z27" s="94" t="s">
        <v>90</v>
      </c>
      <c r="AA27" s="104" t="s">
        <v>128</v>
      </c>
      <c r="AB27" s="104" t="s">
        <v>203</v>
      </c>
      <c r="AC27" s="104" t="s">
        <v>93</v>
      </c>
      <c r="AD27" s="105">
        <v>766</v>
      </c>
      <c r="AE27" s="106" t="s">
        <v>70</v>
      </c>
      <c r="AF27" s="107">
        <v>40</v>
      </c>
      <c r="AG27" s="30" t="s">
        <v>86</v>
      </c>
      <c r="AH27" s="39" t="s">
        <v>94</v>
      </c>
      <c r="AI27" s="31">
        <v>43831</v>
      </c>
      <c r="AJ27" s="31">
        <v>45293</v>
      </c>
      <c r="AK27" s="40" t="s">
        <v>95</v>
      </c>
      <c r="AL27" s="29" t="s">
        <v>96</v>
      </c>
      <c r="AM27" s="85" t="s">
        <v>97</v>
      </c>
      <c r="AN27" s="30">
        <v>110</v>
      </c>
      <c r="AO27" s="33" t="s">
        <v>98</v>
      </c>
      <c r="AP27" s="108" t="s">
        <v>128</v>
      </c>
      <c r="AQ27" s="33" t="s">
        <v>100</v>
      </c>
      <c r="AR27" s="43">
        <f>X27</f>
        <v>45811</v>
      </c>
      <c r="AS27" s="43">
        <f>X27</f>
        <v>45811</v>
      </c>
      <c r="AT27" s="55">
        <f>AM27</f>
        <v>NaN</v>
      </c>
      <c r="AU27" s="42" t="s">
        <v>101</v>
      </c>
      <c r="AV27" s="61" t="s">
        <v>204</v>
      </c>
      <c r="AW27" s="46" t="s">
        <v>103</v>
      </c>
      <c r="AX27" s="46" t="s">
        <v>104</v>
      </c>
      <c r="AY27" s="46" t="s">
        <v>105</v>
      </c>
      <c r="AZ27" s="46" t="s">
        <v>106</v>
      </c>
      <c r="BA27" s="46" t="s">
        <v>107</v>
      </c>
      <c r="BB27" s="63" t="s">
        <v>90</v>
      </c>
      <c r="BC27" s="30" t="s">
        <v>77</v>
      </c>
      <c r="BD27" s="47" t="s">
        <v>108</v>
      </c>
      <c r="BE27" s="47">
        <v>9477896638</v>
      </c>
      <c r="BF27" s="30" t="s">
        <v>77</v>
      </c>
      <c r="BG27" s="47" t="s">
        <v>109</v>
      </c>
      <c r="BH27" s="47">
        <v>47678965372</v>
      </c>
      <c r="BI27" s="30" t="s">
        <v>77</v>
      </c>
      <c r="BJ27" s="47" t="s">
        <v>110</v>
      </c>
      <c r="BK27" s="47" t="s">
        <v>211</v>
      </c>
      <c r="BL27" s="96" t="s">
        <v>112</v>
      </c>
      <c r="BM27" s="97">
        <v>35591</v>
      </c>
      <c r="BN27" s="98" t="s">
        <v>113</v>
      </c>
      <c r="BO27" s="99" t="s">
        <v>139</v>
      </c>
      <c r="BP27" s="100" t="s">
        <v>115</v>
      </c>
      <c r="BQ27" s="101" t="s">
        <v>116</v>
      </c>
      <c r="BR27" s="102" t="s">
        <v>117</v>
      </c>
      <c r="BS27" s="101" t="s">
        <v>118</v>
      </c>
      <c r="BT27" s="100" t="s">
        <v>119</v>
      </c>
      <c r="BU27" s="100" t="s">
        <v>120</v>
      </c>
      <c r="BV27" s="101" t="s">
        <v>121</v>
      </c>
      <c r="BW27" s="101" t="s">
        <v>122</v>
      </c>
      <c r="BX27" s="101" t="s">
        <v>123</v>
      </c>
    </row>
    <row r="28" ht="14.5" customHeight="1" spans="1:76" x14ac:dyDescent="0.25">
      <c r="A28" t="s">
        <v>212</v>
      </c>
      <c r="D28" s="27" t="s">
        <v>76</v>
      </c>
      <c r="E28" t="s">
        <v>77</v>
      </c>
      <c r="H28" s="29" t="s">
        <v>80</v>
      </c>
      <c r="I28" s="30" t="s">
        <v>81</v>
      </c>
      <c r="J28" s="30" t="s">
        <v>82</v>
      </c>
      <c r="K28" s="103">
        <f>TODAY()-31</f>
        <v>45689</v>
      </c>
      <c r="L28" s="30" t="s">
        <v>77</v>
      </c>
      <c r="M28" s="30" t="s">
        <v>83</v>
      </c>
      <c r="N28" s="30" t="s">
        <v>84</v>
      </c>
      <c r="O28" s="30">
        <v>1</v>
      </c>
      <c r="P28" s="30" t="s">
        <v>85</v>
      </c>
      <c r="Q28" s="30" t="s">
        <v>86</v>
      </c>
      <c r="R28" s="30" t="s">
        <v>86</v>
      </c>
      <c r="S28" s="30" t="s">
        <v>85</v>
      </c>
      <c r="T28" s="30" t="s">
        <v>82</v>
      </c>
      <c r="U28" s="30" t="s">
        <v>87</v>
      </c>
      <c r="V28" s="32" t="s">
        <v>88</v>
      </c>
      <c r="W28" s="33" t="s">
        <v>82</v>
      </c>
      <c r="X28" s="34">
        <f>K28</f>
        <v>45689</v>
      </c>
      <c r="Y28" s="33" t="s">
        <v>89</v>
      </c>
      <c r="Z28" s="94" t="s">
        <v>90</v>
      </c>
      <c r="AA28" s="112" t="s">
        <v>128</v>
      </c>
      <c r="AB28" s="113" t="s">
        <v>213</v>
      </c>
      <c r="AC28" s="112" t="s">
        <v>93</v>
      </c>
      <c r="AD28" s="114">
        <v>766</v>
      </c>
      <c r="AE28" s="106" t="s">
        <v>70</v>
      </c>
      <c r="AF28" s="107">
        <v>40</v>
      </c>
      <c r="AG28" s="30" t="s">
        <v>86</v>
      </c>
      <c r="AH28" s="39" t="s">
        <v>94</v>
      </c>
      <c r="AI28" s="31">
        <v>43831</v>
      </c>
      <c r="AJ28" s="31">
        <v>45293</v>
      </c>
      <c r="AK28" s="40" t="s">
        <v>95</v>
      </c>
      <c r="AL28" s="29" t="s">
        <v>96</v>
      </c>
      <c r="AM28" s="85" t="s">
        <v>97</v>
      </c>
      <c r="AN28" s="30">
        <v>110</v>
      </c>
      <c r="AO28" s="33" t="s">
        <v>98</v>
      </c>
      <c r="AP28" s="108" t="s">
        <v>128</v>
      </c>
      <c r="AQ28" s="33" t="s">
        <v>100</v>
      </c>
      <c r="AR28" s="43">
        <f>X28</f>
        <v>45689</v>
      </c>
      <c r="AS28" s="43">
        <f>X28</f>
        <v>45689</v>
      </c>
      <c r="AT28" s="55">
        <f>AM28</f>
        <v>NaN</v>
      </c>
      <c r="AU28" s="42" t="s">
        <v>101</v>
      </c>
      <c r="AV28" s="61" t="s">
        <v>175</v>
      </c>
      <c r="AW28" s="46" t="s">
        <v>103</v>
      </c>
      <c r="AX28" s="46" t="s">
        <v>104</v>
      </c>
      <c r="AY28" s="46" t="s">
        <v>105</v>
      </c>
      <c r="AZ28" s="46" t="s">
        <v>106</v>
      </c>
      <c r="BA28" s="46" t="s">
        <v>107</v>
      </c>
      <c r="BB28" s="63" t="s">
        <v>90</v>
      </c>
      <c r="BC28" s="30" t="s">
        <v>77</v>
      </c>
      <c r="BD28" s="47" t="s">
        <v>108</v>
      </c>
      <c r="BE28" s="47">
        <v>9477896639</v>
      </c>
      <c r="BF28" s="30" t="s">
        <v>77</v>
      </c>
      <c r="BG28" s="47" t="s">
        <v>109</v>
      </c>
      <c r="BH28" s="47">
        <v>47678965373</v>
      </c>
      <c r="BI28" s="30" t="s">
        <v>77</v>
      </c>
      <c r="BJ28" s="47" t="s">
        <v>110</v>
      </c>
      <c r="BK28" s="47" t="s">
        <v>214</v>
      </c>
      <c r="BL28" s="96" t="s">
        <v>112</v>
      </c>
      <c r="BM28" s="97">
        <v>35591</v>
      </c>
      <c r="BN28" s="98" t="s">
        <v>113</v>
      </c>
      <c r="BO28" s="99" t="s">
        <v>139</v>
      </c>
      <c r="BP28" s="100" t="s">
        <v>115</v>
      </c>
      <c r="BQ28" s="101" t="s">
        <v>116</v>
      </c>
      <c r="BR28" s="102" t="s">
        <v>117</v>
      </c>
      <c r="BS28" s="101" t="s">
        <v>118</v>
      </c>
      <c r="BT28" s="100" t="s">
        <v>119</v>
      </c>
      <c r="BU28" s="100" t="s">
        <v>120</v>
      </c>
      <c r="BV28" s="101" t="s">
        <v>121</v>
      </c>
      <c r="BW28" s="101" t="s">
        <v>122</v>
      </c>
      <c r="BX28" s="101" t="s">
        <v>123</v>
      </c>
    </row>
    <row r="29" ht="14.5" customHeight="1" spans="1:76" x14ac:dyDescent="0.25">
      <c r="A29" t="s">
        <v>215</v>
      </c>
      <c r="D29" s="27" t="s">
        <v>76</v>
      </c>
      <c r="E29" t="s">
        <v>77</v>
      </c>
      <c r="H29" s="29" t="s">
        <v>80</v>
      </c>
      <c r="I29" s="30" t="s">
        <v>81</v>
      </c>
      <c r="J29" s="30" t="s">
        <v>82</v>
      </c>
      <c r="K29" s="103">
        <f>TODAY()-31</f>
        <v>45689</v>
      </c>
      <c r="L29" s="30" t="s">
        <v>77</v>
      </c>
      <c r="M29" s="30" t="s">
        <v>83</v>
      </c>
      <c r="N29" s="30" t="s">
        <v>84</v>
      </c>
      <c r="O29" s="30">
        <v>1</v>
      </c>
      <c r="P29" s="30" t="s">
        <v>85</v>
      </c>
      <c r="Q29" s="30" t="s">
        <v>86</v>
      </c>
      <c r="R29" s="30" t="s">
        <v>86</v>
      </c>
      <c r="S29" s="30" t="s">
        <v>85</v>
      </c>
      <c r="T29" s="30" t="s">
        <v>82</v>
      </c>
      <c r="U29" s="30" t="s">
        <v>87</v>
      </c>
      <c r="V29" s="32" t="s">
        <v>88</v>
      </c>
      <c r="W29" s="33" t="s">
        <v>82</v>
      </c>
      <c r="X29" s="34">
        <f>K29</f>
        <v>45689</v>
      </c>
      <c r="Y29" s="33" t="s">
        <v>89</v>
      </c>
      <c r="Z29" s="94" t="s">
        <v>90</v>
      </c>
      <c r="AA29" s="112" t="s">
        <v>128</v>
      </c>
      <c r="AB29" s="115" t="s">
        <v>213</v>
      </c>
      <c r="AC29" s="112" t="s">
        <v>136</v>
      </c>
      <c r="AD29" s="114">
        <v>766</v>
      </c>
      <c r="AE29" s="106" t="s">
        <v>70</v>
      </c>
      <c r="AF29" s="107">
        <v>20</v>
      </c>
      <c r="AG29" s="30" t="s">
        <v>86</v>
      </c>
      <c r="AH29" s="39" t="s">
        <v>94</v>
      </c>
      <c r="AI29" s="31">
        <v>43831</v>
      </c>
      <c r="AJ29" s="31">
        <v>45293</v>
      </c>
      <c r="AK29" s="40" t="s">
        <v>95</v>
      </c>
      <c r="AL29" s="29" t="s">
        <v>96</v>
      </c>
      <c r="AM29" s="85">
        <f>TODAY()+365</f>
        <v>46085</v>
      </c>
      <c r="AN29" s="30">
        <v>110</v>
      </c>
      <c r="AO29" s="33" t="s">
        <v>98</v>
      </c>
      <c r="AP29" s="108" t="s">
        <v>128</v>
      </c>
      <c r="AQ29" s="33" t="s">
        <v>100</v>
      </c>
      <c r="AR29" s="43">
        <f>X29</f>
        <v>45689</v>
      </c>
      <c r="AS29" s="43">
        <f>X29</f>
        <v>45689</v>
      </c>
      <c r="AT29" s="55">
        <f>AM29</f>
        <v>46085</v>
      </c>
      <c r="AU29" s="42" t="s">
        <v>101</v>
      </c>
      <c r="AV29" s="61" t="s">
        <v>178</v>
      </c>
      <c r="AW29" s="46" t="s">
        <v>103</v>
      </c>
      <c r="AX29" s="46" t="s">
        <v>104</v>
      </c>
      <c r="AY29" s="46" t="s">
        <v>105</v>
      </c>
      <c r="AZ29" s="46" t="s">
        <v>106</v>
      </c>
      <c r="BA29" s="46" t="s">
        <v>107</v>
      </c>
      <c r="BB29" s="63" t="s">
        <v>90</v>
      </c>
      <c r="BC29" s="30" t="s">
        <v>77</v>
      </c>
      <c r="BD29" s="47" t="s">
        <v>108</v>
      </c>
      <c r="BE29" s="47">
        <v>9477896640</v>
      </c>
      <c r="BF29" s="30" t="s">
        <v>77</v>
      </c>
      <c r="BG29" s="47" t="s">
        <v>109</v>
      </c>
      <c r="BH29" s="47">
        <v>47678965374</v>
      </c>
      <c r="BI29" s="30" t="s">
        <v>77</v>
      </c>
      <c r="BJ29" s="47" t="s">
        <v>110</v>
      </c>
      <c r="BK29" s="47" t="s">
        <v>216</v>
      </c>
      <c r="BL29" s="96" t="s">
        <v>112</v>
      </c>
      <c r="BM29" s="97">
        <v>35591</v>
      </c>
      <c r="BN29" s="98" t="s">
        <v>113</v>
      </c>
      <c r="BO29" s="99" t="s">
        <v>139</v>
      </c>
      <c r="BP29" s="100" t="s">
        <v>115</v>
      </c>
      <c r="BQ29" s="101" t="s">
        <v>116</v>
      </c>
      <c r="BR29" s="102" t="s">
        <v>117</v>
      </c>
      <c r="BS29" s="101" t="s">
        <v>118</v>
      </c>
      <c r="BT29" s="100" t="s">
        <v>119</v>
      </c>
      <c r="BU29" s="100" t="s">
        <v>120</v>
      </c>
      <c r="BV29" s="101" t="s">
        <v>121</v>
      </c>
      <c r="BW29" s="101" t="s">
        <v>122</v>
      </c>
      <c r="BX29" s="101" t="s">
        <v>123</v>
      </c>
    </row>
    <row r="30" ht="14.5" customHeight="1" spans="1:76" x14ac:dyDescent="0.25">
      <c r="A30" t="s">
        <v>217</v>
      </c>
      <c r="D30" s="27" t="s">
        <v>76</v>
      </c>
      <c r="E30" t="s">
        <v>77</v>
      </c>
      <c r="H30" s="29" t="s">
        <v>80</v>
      </c>
      <c r="I30" s="30" t="s">
        <v>81</v>
      </c>
      <c r="J30" s="30" t="s">
        <v>82</v>
      </c>
      <c r="K30" s="103">
        <f>TODAY()-31</f>
        <v>45689</v>
      </c>
      <c r="L30" s="30" t="s">
        <v>77</v>
      </c>
      <c r="M30" s="30" t="s">
        <v>83</v>
      </c>
      <c r="N30" s="30" t="s">
        <v>84</v>
      </c>
      <c r="O30" s="30">
        <v>1</v>
      </c>
      <c r="P30" s="30" t="s">
        <v>85</v>
      </c>
      <c r="Q30" s="30" t="s">
        <v>86</v>
      </c>
      <c r="R30" s="30" t="s">
        <v>86</v>
      </c>
      <c r="S30" s="30" t="s">
        <v>85</v>
      </c>
      <c r="T30" s="30" t="s">
        <v>82</v>
      </c>
      <c r="U30" s="30" t="s">
        <v>87</v>
      </c>
      <c r="V30" s="32" t="s">
        <v>88</v>
      </c>
      <c r="W30" s="33" t="s">
        <v>82</v>
      </c>
      <c r="X30" s="34">
        <f>K30</f>
        <v>45689</v>
      </c>
      <c r="Y30" s="33" t="s">
        <v>89</v>
      </c>
      <c r="Z30" s="94" t="s">
        <v>90</v>
      </c>
      <c r="AA30" s="112" t="s">
        <v>91</v>
      </c>
      <c r="AB30" s="115" t="s">
        <v>213</v>
      </c>
      <c r="AC30" s="112" t="s">
        <v>136</v>
      </c>
      <c r="AD30" s="114">
        <v>766</v>
      </c>
      <c r="AE30" s="106" t="s">
        <v>70</v>
      </c>
      <c r="AF30" s="107">
        <v>10</v>
      </c>
      <c r="AG30" s="30" t="s">
        <v>86</v>
      </c>
      <c r="AH30" s="39" t="s">
        <v>94</v>
      </c>
      <c r="AI30" s="31">
        <v>43831</v>
      </c>
      <c r="AJ30" s="31">
        <v>45293</v>
      </c>
      <c r="AK30" s="40" t="s">
        <v>95</v>
      </c>
      <c r="AL30" s="29" t="s">
        <v>96</v>
      </c>
      <c r="AM30" s="85" t="s">
        <v>97</v>
      </c>
      <c r="AN30" s="30">
        <v>110</v>
      </c>
      <c r="AO30" s="33" t="s">
        <v>98</v>
      </c>
      <c r="AP30" s="42" t="s">
        <v>99</v>
      </c>
      <c r="AQ30" s="33" t="s">
        <v>100</v>
      </c>
      <c r="AR30" s="43">
        <f>X30</f>
        <v>45689</v>
      </c>
      <c r="AS30" s="43">
        <f>X30</f>
        <v>45689</v>
      </c>
      <c r="AT30" s="55">
        <f>AM30</f>
        <v>NaN</v>
      </c>
      <c r="AU30" s="42" t="s">
        <v>101</v>
      </c>
      <c r="AV30" s="61" t="s">
        <v>184</v>
      </c>
      <c r="AW30" s="46" t="s">
        <v>103</v>
      </c>
      <c r="AX30" s="46" t="s">
        <v>104</v>
      </c>
      <c r="AY30" s="46" t="s">
        <v>105</v>
      </c>
      <c r="AZ30" s="46" t="s">
        <v>106</v>
      </c>
      <c r="BA30" s="46" t="s">
        <v>107</v>
      </c>
      <c r="BB30" s="63" t="s">
        <v>90</v>
      </c>
      <c r="BC30" s="30" t="s">
        <v>77</v>
      </c>
      <c r="BD30" s="47" t="s">
        <v>108</v>
      </c>
      <c r="BE30" s="47">
        <v>9477896641</v>
      </c>
      <c r="BF30" s="30" t="s">
        <v>77</v>
      </c>
      <c r="BG30" s="47" t="s">
        <v>109</v>
      </c>
      <c r="BH30" s="47">
        <v>47678965375</v>
      </c>
      <c r="BI30" s="30" t="s">
        <v>77</v>
      </c>
      <c r="BJ30" s="47" t="s">
        <v>110</v>
      </c>
      <c r="BK30" s="47" t="s">
        <v>218</v>
      </c>
      <c r="BL30" s="96" t="s">
        <v>112</v>
      </c>
      <c r="BM30" s="97">
        <v>35591</v>
      </c>
      <c r="BN30" s="98" t="s">
        <v>113</v>
      </c>
      <c r="BO30" s="99" t="s">
        <v>139</v>
      </c>
      <c r="BP30" s="100" t="s">
        <v>115</v>
      </c>
      <c r="BQ30" s="101" t="s">
        <v>116</v>
      </c>
      <c r="BR30" s="102" t="s">
        <v>117</v>
      </c>
      <c r="BS30" s="101" t="s">
        <v>118</v>
      </c>
      <c r="BT30" s="100" t="s">
        <v>119</v>
      </c>
      <c r="BU30" s="100" t="s">
        <v>120</v>
      </c>
      <c r="BV30" s="101" t="s">
        <v>121</v>
      </c>
      <c r="BW30" s="101" t="s">
        <v>122</v>
      </c>
      <c r="BX30" s="101" t="s">
        <v>123</v>
      </c>
    </row>
    <row r="31" ht="14.5" customHeight="1" spans="1:76" x14ac:dyDescent="0.25">
      <c r="A31" t="s">
        <v>219</v>
      </c>
      <c r="D31" s="27" t="s">
        <v>76</v>
      </c>
      <c r="E31" t="s">
        <v>77</v>
      </c>
      <c r="H31" s="29" t="s">
        <v>80</v>
      </c>
      <c r="I31" s="30" t="s">
        <v>81</v>
      </c>
      <c r="J31" s="30" t="s">
        <v>82</v>
      </c>
      <c r="K31" s="103">
        <f>TODAY()-31</f>
        <v>45689</v>
      </c>
      <c r="L31" s="30" t="s">
        <v>77</v>
      </c>
      <c r="M31" s="30" t="s">
        <v>83</v>
      </c>
      <c r="N31" s="30" t="s">
        <v>84</v>
      </c>
      <c r="O31" s="30">
        <v>1</v>
      </c>
      <c r="P31" s="30" t="s">
        <v>85</v>
      </c>
      <c r="Q31" s="30" t="s">
        <v>86</v>
      </c>
      <c r="R31" s="30" t="s">
        <v>86</v>
      </c>
      <c r="S31" s="30" t="s">
        <v>85</v>
      </c>
      <c r="T31" s="30" t="s">
        <v>82</v>
      </c>
      <c r="U31" s="30" t="s">
        <v>87</v>
      </c>
      <c r="V31" s="32" t="s">
        <v>88</v>
      </c>
      <c r="W31" s="33" t="s">
        <v>82</v>
      </c>
      <c r="X31" s="34">
        <f>K31</f>
        <v>45689</v>
      </c>
      <c r="Y31" s="33" t="s">
        <v>89</v>
      </c>
      <c r="Z31" s="94" t="s">
        <v>90</v>
      </c>
      <c r="AA31" s="112" t="s">
        <v>91</v>
      </c>
      <c r="AB31" s="115" t="s">
        <v>213</v>
      </c>
      <c r="AC31" s="112" t="s">
        <v>93</v>
      </c>
      <c r="AD31" s="114">
        <v>766</v>
      </c>
      <c r="AE31" s="106" t="s">
        <v>70</v>
      </c>
      <c r="AF31" s="107">
        <v>40</v>
      </c>
      <c r="AG31" s="30" t="s">
        <v>86</v>
      </c>
      <c r="AH31" s="39" t="s">
        <v>94</v>
      </c>
      <c r="AI31" s="31">
        <v>43831</v>
      </c>
      <c r="AJ31" s="31">
        <v>45293</v>
      </c>
      <c r="AK31" s="40" t="s">
        <v>95</v>
      </c>
      <c r="AL31" s="29" t="s">
        <v>96</v>
      </c>
      <c r="AM31" s="85">
        <f>TODAY()+365</f>
        <v>46085</v>
      </c>
      <c r="AN31" s="30">
        <v>110</v>
      </c>
      <c r="AO31" s="33" t="s">
        <v>98</v>
      </c>
      <c r="AP31" s="42" t="s">
        <v>99</v>
      </c>
      <c r="AQ31" s="33" t="s">
        <v>100</v>
      </c>
      <c r="AR31" s="43">
        <f>X31</f>
        <v>45689</v>
      </c>
      <c r="AS31" s="43">
        <f>X31</f>
        <v>45689</v>
      </c>
      <c r="AT31" s="55">
        <f>AM31</f>
        <v>46085</v>
      </c>
      <c r="AU31" s="42" t="s">
        <v>101</v>
      </c>
      <c r="AV31" s="61" t="s">
        <v>190</v>
      </c>
      <c r="AW31" s="46" t="s">
        <v>103</v>
      </c>
      <c r="AX31" s="46" t="s">
        <v>104</v>
      </c>
      <c r="AY31" s="46" t="s">
        <v>105</v>
      </c>
      <c r="AZ31" s="46" t="s">
        <v>106</v>
      </c>
      <c r="BA31" s="46" t="s">
        <v>107</v>
      </c>
      <c r="BB31" s="63" t="s">
        <v>90</v>
      </c>
      <c r="BC31" s="30" t="s">
        <v>77</v>
      </c>
      <c r="BD31" s="47" t="s">
        <v>108</v>
      </c>
      <c r="BE31" s="47">
        <v>9477896642</v>
      </c>
      <c r="BF31" s="30" t="s">
        <v>77</v>
      </c>
      <c r="BG31" s="47" t="s">
        <v>109</v>
      </c>
      <c r="BH31" s="47">
        <v>47678965376</v>
      </c>
      <c r="BI31" s="30" t="s">
        <v>77</v>
      </c>
      <c r="BJ31" s="47" t="s">
        <v>110</v>
      </c>
      <c r="BK31" s="47" t="s">
        <v>220</v>
      </c>
      <c r="BL31" s="96" t="s">
        <v>112</v>
      </c>
      <c r="BM31" s="97">
        <v>35591</v>
      </c>
      <c r="BN31" s="98" t="s">
        <v>113</v>
      </c>
      <c r="BO31" s="99" t="s">
        <v>139</v>
      </c>
      <c r="BP31" s="100" t="s">
        <v>115</v>
      </c>
      <c r="BQ31" s="101" t="s">
        <v>116</v>
      </c>
      <c r="BR31" s="102" t="s">
        <v>117</v>
      </c>
      <c r="BS31" s="101" t="s">
        <v>118</v>
      </c>
      <c r="BT31" s="100" t="s">
        <v>119</v>
      </c>
      <c r="BU31" s="100" t="s">
        <v>120</v>
      </c>
      <c r="BV31" s="101" t="s">
        <v>121</v>
      </c>
      <c r="BW31" s="101" t="s">
        <v>122</v>
      </c>
      <c r="BX31" s="101" t="s">
        <v>123</v>
      </c>
    </row>
    <row r="32" ht="14.5" customHeight="1" spans="1:76" x14ac:dyDescent="0.25">
      <c r="A32" t="s">
        <v>221</v>
      </c>
      <c r="D32" s="116" t="s">
        <v>222</v>
      </c>
      <c r="E32" t="s">
        <v>77</v>
      </c>
      <c r="H32" s="29" t="s">
        <v>80</v>
      </c>
      <c r="I32" s="30" t="s">
        <v>81</v>
      </c>
      <c r="J32" s="30" t="s">
        <v>82</v>
      </c>
      <c r="K32" s="117">
        <f>TODAY()+14</f>
        <v>45734</v>
      </c>
      <c r="L32" s="30" t="s">
        <v>77</v>
      </c>
      <c r="M32" s="30" t="s">
        <v>83</v>
      </c>
      <c r="N32" s="30" t="s">
        <v>84</v>
      </c>
      <c r="O32" s="30">
        <v>1</v>
      </c>
      <c r="P32" s="30" t="s">
        <v>85</v>
      </c>
      <c r="Q32" s="30" t="s">
        <v>86</v>
      </c>
      <c r="R32" s="30" t="s">
        <v>86</v>
      </c>
      <c r="S32" s="30" t="s">
        <v>85</v>
      </c>
      <c r="T32" s="30" t="s">
        <v>82</v>
      </c>
      <c r="U32" s="30" t="s">
        <v>87</v>
      </c>
      <c r="V32" s="32" t="s">
        <v>88</v>
      </c>
      <c r="W32" s="33" t="s">
        <v>82</v>
      </c>
      <c r="X32" s="34">
        <f>K32</f>
        <v>45734</v>
      </c>
      <c r="Y32" s="33" t="s">
        <v>89</v>
      </c>
      <c r="Z32" s="118" t="s">
        <v>131</v>
      </c>
      <c r="AA32" s="119" t="s">
        <v>128</v>
      </c>
      <c r="AB32" s="119" t="s">
        <v>223</v>
      </c>
      <c r="AC32" s="119" t="s">
        <v>93</v>
      </c>
      <c r="AD32" s="120">
        <v>766</v>
      </c>
      <c r="AE32" s="106" t="s">
        <v>70</v>
      </c>
      <c r="AF32" s="121">
        <v>40</v>
      </c>
      <c r="AG32" s="30" t="s">
        <v>86</v>
      </c>
      <c r="AH32" s="39" t="s">
        <v>94</v>
      </c>
      <c r="AI32" s="31">
        <v>43831</v>
      </c>
      <c r="AJ32" s="31">
        <v>45293</v>
      </c>
      <c r="AK32" s="122" t="s">
        <v>95</v>
      </c>
      <c r="AL32" s="29" t="s">
        <v>96</v>
      </c>
      <c r="AM32" s="85" t="s">
        <v>97</v>
      </c>
      <c r="AN32" s="30">
        <v>110</v>
      </c>
      <c r="AO32" s="123" t="s">
        <v>98</v>
      </c>
      <c r="AP32" s="124" t="s">
        <v>128</v>
      </c>
      <c r="AQ32" s="123" t="s">
        <v>100</v>
      </c>
      <c r="AR32" s="43">
        <f>X32</f>
        <v>45734</v>
      </c>
      <c r="AS32" s="43">
        <f>X32</f>
        <v>45734</v>
      </c>
      <c r="AT32" s="55">
        <f>AM32</f>
        <v>NaN</v>
      </c>
      <c r="AU32" s="124" t="s">
        <v>224</v>
      </c>
      <c r="AV32" s="125" t="s">
        <v>225</v>
      </c>
      <c r="AW32" s="46" t="s">
        <v>103</v>
      </c>
      <c r="AX32" s="46" t="s">
        <v>104</v>
      </c>
      <c r="AY32" s="46" t="s">
        <v>105</v>
      </c>
      <c r="AZ32" s="46" t="s">
        <v>106</v>
      </c>
      <c r="BA32" s="46" t="s">
        <v>107</v>
      </c>
      <c r="BB32" s="63" t="s">
        <v>90</v>
      </c>
      <c r="BC32" s="30" t="s">
        <v>77</v>
      </c>
      <c r="BD32" s="47" t="s">
        <v>108</v>
      </c>
      <c r="BE32" s="47">
        <v>9477896643</v>
      </c>
      <c r="BF32" s="30" t="s">
        <v>77</v>
      </c>
      <c r="BG32" s="47" t="s">
        <v>109</v>
      </c>
      <c r="BH32" s="47">
        <v>47678965377</v>
      </c>
      <c r="BI32" s="30" t="s">
        <v>77</v>
      </c>
      <c r="BJ32" s="47" t="s">
        <v>110</v>
      </c>
      <c r="BK32" s="47" t="s">
        <v>226</v>
      </c>
      <c r="BL32" s="126" t="s">
        <v>112</v>
      </c>
      <c r="BM32" s="127">
        <v>35591</v>
      </c>
      <c r="BN32" s="128" t="s">
        <v>113</v>
      </c>
      <c r="BO32" s="129" t="s">
        <v>139</v>
      </c>
      <c r="BP32" s="130" t="s">
        <v>115</v>
      </c>
      <c r="BQ32" s="131" t="s">
        <v>116</v>
      </c>
      <c r="BR32" s="132" t="s">
        <v>117</v>
      </c>
      <c r="BS32" s="131" t="s">
        <v>118</v>
      </c>
      <c r="BT32" s="130" t="s">
        <v>119</v>
      </c>
      <c r="BU32" s="130" t="s">
        <v>120</v>
      </c>
      <c r="BV32" s="131" t="s">
        <v>121</v>
      </c>
      <c r="BW32" s="131" t="s">
        <v>122</v>
      </c>
      <c r="BX32" s="131" t="s">
        <v>123</v>
      </c>
    </row>
    <row r="33" ht="14.5" customHeight="1" spans="1:76" x14ac:dyDescent="0.25">
      <c r="A33" t="s">
        <v>227</v>
      </c>
      <c r="D33" s="116" t="s">
        <v>222</v>
      </c>
      <c r="E33" t="s">
        <v>77</v>
      </c>
      <c r="H33" s="29" t="s">
        <v>80</v>
      </c>
      <c r="I33" s="30" t="s">
        <v>81</v>
      </c>
      <c r="J33" s="30" t="s">
        <v>82</v>
      </c>
      <c r="K33" s="117">
        <f>TODAY()-31</f>
        <v>45689</v>
      </c>
      <c r="L33" s="30" t="s">
        <v>77</v>
      </c>
      <c r="M33" s="30" t="s">
        <v>83</v>
      </c>
      <c r="N33" s="30" t="s">
        <v>84</v>
      </c>
      <c r="O33" s="30">
        <v>1</v>
      </c>
      <c r="P33" s="30" t="s">
        <v>85</v>
      </c>
      <c r="Q33" s="30" t="s">
        <v>86</v>
      </c>
      <c r="R33" s="30" t="s">
        <v>86</v>
      </c>
      <c r="S33" s="30" t="s">
        <v>85</v>
      </c>
      <c r="T33" s="30" t="s">
        <v>82</v>
      </c>
      <c r="U33" s="30" t="s">
        <v>87</v>
      </c>
      <c r="V33" s="32" t="s">
        <v>88</v>
      </c>
      <c r="W33" s="33" t="s">
        <v>82</v>
      </c>
      <c r="X33" s="34">
        <f>K33</f>
        <v>45689</v>
      </c>
      <c r="Y33" s="33" t="s">
        <v>89</v>
      </c>
      <c r="Z33" s="118" t="s">
        <v>131</v>
      </c>
      <c r="AA33" s="119" t="s">
        <v>91</v>
      </c>
      <c r="AB33" s="119" t="s">
        <v>223</v>
      </c>
      <c r="AC33" s="119" t="s">
        <v>136</v>
      </c>
      <c r="AD33" s="120">
        <v>766</v>
      </c>
      <c r="AE33" s="106" t="s">
        <v>70</v>
      </c>
      <c r="AF33" s="118"/>
      <c r="AG33" s="30" t="s">
        <v>86</v>
      </c>
      <c r="AH33" s="39" t="s">
        <v>94</v>
      </c>
      <c r="AI33" s="31">
        <v>43831</v>
      </c>
      <c r="AJ33" s="31">
        <v>45293</v>
      </c>
      <c r="AK33" s="122" t="s">
        <v>95</v>
      </c>
      <c r="AL33" s="29" t="s">
        <v>96</v>
      </c>
      <c r="AM33" s="85">
        <f>TODAY()+365</f>
        <v>46085</v>
      </c>
      <c r="AN33" s="30">
        <v>110</v>
      </c>
      <c r="AO33" s="123" t="s">
        <v>98</v>
      </c>
      <c r="AP33" s="124" t="s">
        <v>99</v>
      </c>
      <c r="AQ33" s="123" t="s">
        <v>100</v>
      </c>
      <c r="AR33" s="43">
        <f>X33</f>
        <v>45689</v>
      </c>
      <c r="AS33" s="43">
        <f>X33</f>
        <v>45689</v>
      </c>
      <c r="AT33" s="55">
        <f>AM33</f>
        <v>46085</v>
      </c>
      <c r="AU33" s="124" t="s">
        <v>224</v>
      </c>
      <c r="AV33" s="125" t="s">
        <v>225</v>
      </c>
      <c r="AW33" s="46" t="s">
        <v>103</v>
      </c>
      <c r="AX33" s="46" t="s">
        <v>104</v>
      </c>
      <c r="AY33" s="46" t="s">
        <v>105</v>
      </c>
      <c r="AZ33" s="46" t="s">
        <v>106</v>
      </c>
      <c r="BA33" s="46" t="s">
        <v>107</v>
      </c>
      <c r="BB33" s="63" t="s">
        <v>131</v>
      </c>
      <c r="BC33" s="30" t="s">
        <v>77</v>
      </c>
      <c r="BD33" s="47" t="s">
        <v>108</v>
      </c>
      <c r="BE33" s="47">
        <v>9477896644</v>
      </c>
      <c r="BF33" s="30" t="s">
        <v>77</v>
      </c>
      <c r="BG33" s="47" t="s">
        <v>109</v>
      </c>
      <c r="BH33" s="47">
        <v>47678965378</v>
      </c>
      <c r="BI33" s="30" t="s">
        <v>77</v>
      </c>
      <c r="BJ33" s="47" t="s">
        <v>110</v>
      </c>
      <c r="BK33" s="47" t="s">
        <v>228</v>
      </c>
      <c r="BL33" s="126" t="s">
        <v>112</v>
      </c>
      <c r="BM33" s="127">
        <v>35591</v>
      </c>
      <c r="BN33" s="128" t="s">
        <v>113</v>
      </c>
      <c r="BO33" s="129" t="s">
        <v>139</v>
      </c>
      <c r="BP33" s="130" t="s">
        <v>115</v>
      </c>
      <c r="BQ33" s="131" t="s">
        <v>116</v>
      </c>
      <c r="BR33" s="132" t="s">
        <v>117</v>
      </c>
      <c r="BS33" s="131" t="s">
        <v>118</v>
      </c>
      <c r="BT33" s="130" t="s">
        <v>119</v>
      </c>
      <c r="BU33" s="130" t="s">
        <v>120</v>
      </c>
      <c r="BV33" s="131" t="s">
        <v>121</v>
      </c>
      <c r="BW33" s="131" t="s">
        <v>122</v>
      </c>
      <c r="BX33" s="131" t="s">
        <v>123</v>
      </c>
    </row>
    <row r="34" ht="14.5" customHeight="1" spans="1:76" x14ac:dyDescent="0.25">
      <c r="A34" t="s">
        <v>229</v>
      </c>
      <c r="D34" s="116" t="s">
        <v>222</v>
      </c>
      <c r="E34" t="s">
        <v>77</v>
      </c>
      <c r="H34" s="29" t="s">
        <v>80</v>
      </c>
      <c r="I34" s="30" t="s">
        <v>81</v>
      </c>
      <c r="J34" s="30" t="s">
        <v>82</v>
      </c>
      <c r="K34" s="117">
        <f>TODAY()-31</f>
        <v>45689</v>
      </c>
      <c r="L34" s="30" t="s">
        <v>77</v>
      </c>
      <c r="M34" s="30" t="s">
        <v>83</v>
      </c>
      <c r="N34" s="30" t="s">
        <v>84</v>
      </c>
      <c r="O34" s="30">
        <v>1</v>
      </c>
      <c r="P34" s="30" t="s">
        <v>85</v>
      </c>
      <c r="Q34" s="30" t="s">
        <v>86</v>
      </c>
      <c r="R34" s="30" t="s">
        <v>86</v>
      </c>
      <c r="S34" s="30" t="s">
        <v>85</v>
      </c>
      <c r="T34" s="30" t="s">
        <v>82</v>
      </c>
      <c r="U34" s="30" t="s">
        <v>87</v>
      </c>
      <c r="V34" s="32" t="s">
        <v>88</v>
      </c>
      <c r="W34" s="33" t="s">
        <v>82</v>
      </c>
      <c r="X34" s="34">
        <f>K34</f>
        <v>45689</v>
      </c>
      <c r="Y34" s="33" t="s">
        <v>89</v>
      </c>
      <c r="Z34" s="118" t="s">
        <v>131</v>
      </c>
      <c r="AA34" s="119" t="s">
        <v>128</v>
      </c>
      <c r="AB34" s="119" t="s">
        <v>230</v>
      </c>
      <c r="AC34" s="119" t="s">
        <v>93</v>
      </c>
      <c r="AD34" s="120">
        <v>766</v>
      </c>
      <c r="AE34" s="106" t="s">
        <v>70</v>
      </c>
      <c r="AF34" s="121">
        <v>40</v>
      </c>
      <c r="AG34" s="30" t="s">
        <v>86</v>
      </c>
      <c r="AH34" s="39" t="s">
        <v>94</v>
      </c>
      <c r="AI34" s="31">
        <v>43831</v>
      </c>
      <c r="AJ34" s="31">
        <v>45293</v>
      </c>
      <c r="AK34" s="122" t="s">
        <v>95</v>
      </c>
      <c r="AL34" s="29" t="s">
        <v>96</v>
      </c>
      <c r="AM34" s="85" t="s">
        <v>97</v>
      </c>
      <c r="AN34" s="30">
        <v>110</v>
      </c>
      <c r="AO34" s="123" t="s">
        <v>98</v>
      </c>
      <c r="AP34" s="124" t="s">
        <v>128</v>
      </c>
      <c r="AQ34" s="123" t="s">
        <v>100</v>
      </c>
      <c r="AR34" s="43">
        <f>X34</f>
        <v>45689</v>
      </c>
      <c r="AS34" s="43">
        <f>X34</f>
        <v>45689</v>
      </c>
      <c r="AT34" s="55">
        <f>AM34</f>
        <v>NaN</v>
      </c>
      <c r="AU34" s="124" t="s">
        <v>224</v>
      </c>
      <c r="AV34" s="125" t="s">
        <v>225</v>
      </c>
      <c r="AW34" s="46" t="s">
        <v>103</v>
      </c>
      <c r="AX34" s="46" t="s">
        <v>104</v>
      </c>
      <c r="AY34" s="46" t="s">
        <v>105</v>
      </c>
      <c r="AZ34" s="46" t="s">
        <v>106</v>
      </c>
      <c r="BA34" s="46" t="s">
        <v>107</v>
      </c>
      <c r="BB34" s="63" t="s">
        <v>90</v>
      </c>
      <c r="BC34" s="30" t="s">
        <v>77</v>
      </c>
      <c r="BD34" s="47" t="s">
        <v>108</v>
      </c>
      <c r="BE34" s="47">
        <v>9477896645</v>
      </c>
      <c r="BF34" s="30" t="s">
        <v>77</v>
      </c>
      <c r="BG34" s="47" t="s">
        <v>109</v>
      </c>
      <c r="BH34" s="47">
        <v>47678965379</v>
      </c>
      <c r="BI34" s="30" t="s">
        <v>77</v>
      </c>
      <c r="BJ34" s="47" t="s">
        <v>110</v>
      </c>
      <c r="BK34" s="47" t="s">
        <v>231</v>
      </c>
      <c r="BL34" s="126" t="s">
        <v>112</v>
      </c>
      <c r="BM34" s="127">
        <v>35591</v>
      </c>
      <c r="BN34" s="128" t="s">
        <v>113</v>
      </c>
      <c r="BO34" s="129" t="s">
        <v>139</v>
      </c>
      <c r="BP34" s="130" t="s">
        <v>115</v>
      </c>
      <c r="BQ34" s="131" t="s">
        <v>116</v>
      </c>
      <c r="BR34" s="132" t="s">
        <v>117</v>
      </c>
      <c r="BS34" s="131" t="s">
        <v>118</v>
      </c>
      <c r="BT34" s="130" t="s">
        <v>119</v>
      </c>
      <c r="BU34" s="130" t="s">
        <v>120</v>
      </c>
      <c r="BV34" s="131" t="s">
        <v>121</v>
      </c>
      <c r="BW34" s="131" t="s">
        <v>122</v>
      </c>
      <c r="BX34" s="131" t="s">
        <v>123</v>
      </c>
    </row>
    <row r="35" ht="14.5" customHeight="1" spans="1:76" x14ac:dyDescent="0.25">
      <c r="A35" t="s">
        <v>232</v>
      </c>
      <c r="D35" s="116" t="s">
        <v>222</v>
      </c>
      <c r="E35" t="s">
        <v>77</v>
      </c>
      <c r="H35" s="29" t="s">
        <v>80</v>
      </c>
      <c r="I35" s="30" t="s">
        <v>81</v>
      </c>
      <c r="J35" s="30" t="s">
        <v>82</v>
      </c>
      <c r="K35" s="117">
        <f>TODAY()-31</f>
        <v>45689</v>
      </c>
      <c r="L35" s="30" t="s">
        <v>77</v>
      </c>
      <c r="M35" s="30" t="s">
        <v>83</v>
      </c>
      <c r="N35" s="30" t="s">
        <v>84</v>
      </c>
      <c r="O35" s="30">
        <v>1</v>
      </c>
      <c r="P35" s="30" t="s">
        <v>85</v>
      </c>
      <c r="Q35" s="30" t="s">
        <v>86</v>
      </c>
      <c r="R35" s="30" t="s">
        <v>86</v>
      </c>
      <c r="S35" s="30" t="s">
        <v>85</v>
      </c>
      <c r="T35" s="30" t="s">
        <v>82</v>
      </c>
      <c r="U35" s="30" t="s">
        <v>87</v>
      </c>
      <c r="V35" s="32" t="s">
        <v>88</v>
      </c>
      <c r="W35" s="33" t="s">
        <v>82</v>
      </c>
      <c r="X35" s="34">
        <f>K35</f>
        <v>45689</v>
      </c>
      <c r="Y35" s="77" t="s">
        <v>89</v>
      </c>
      <c r="Z35" s="118" t="s">
        <v>131</v>
      </c>
      <c r="AA35" s="133" t="s">
        <v>91</v>
      </c>
      <c r="AB35" s="133" t="s">
        <v>230</v>
      </c>
      <c r="AC35" s="119" t="s">
        <v>93</v>
      </c>
      <c r="AD35" s="120">
        <v>766</v>
      </c>
      <c r="AE35" s="106" t="s">
        <v>70</v>
      </c>
      <c r="AF35" s="121">
        <v>40</v>
      </c>
      <c r="AG35" s="30" t="s">
        <v>86</v>
      </c>
      <c r="AH35" s="39" t="s">
        <v>94</v>
      </c>
      <c r="AI35" s="31">
        <v>43831</v>
      </c>
      <c r="AJ35" s="31">
        <v>45293</v>
      </c>
      <c r="AK35" s="122" t="s">
        <v>95</v>
      </c>
      <c r="AL35" s="29" t="s">
        <v>96</v>
      </c>
      <c r="AM35" s="85">
        <f>TODAY()+365</f>
        <v>46085</v>
      </c>
      <c r="AN35" s="30">
        <v>110</v>
      </c>
      <c r="AO35" s="123" t="s">
        <v>98</v>
      </c>
      <c r="AP35" s="124" t="s">
        <v>128</v>
      </c>
      <c r="AQ35" s="123" t="s">
        <v>100</v>
      </c>
      <c r="AR35" s="43">
        <f>X35</f>
        <v>45689</v>
      </c>
      <c r="AS35" s="43">
        <f>X35</f>
        <v>45689</v>
      </c>
      <c r="AT35" s="55">
        <f>AM35</f>
        <v>46085</v>
      </c>
      <c r="AU35" s="124" t="s">
        <v>224</v>
      </c>
      <c r="AV35" s="125" t="s">
        <v>225</v>
      </c>
      <c r="AW35" s="46" t="s">
        <v>103</v>
      </c>
      <c r="AX35" s="46" t="s">
        <v>104</v>
      </c>
      <c r="AY35" s="46" t="s">
        <v>105</v>
      </c>
      <c r="AZ35" s="46" t="s">
        <v>106</v>
      </c>
      <c r="BA35" s="46" t="s">
        <v>107</v>
      </c>
      <c r="BB35" s="63" t="s">
        <v>90</v>
      </c>
      <c r="BC35" s="30" t="s">
        <v>77</v>
      </c>
      <c r="BD35" s="47" t="s">
        <v>108</v>
      </c>
      <c r="BE35" s="47">
        <v>9477896646</v>
      </c>
      <c r="BF35" s="30" t="s">
        <v>77</v>
      </c>
      <c r="BG35" s="47" t="s">
        <v>109</v>
      </c>
      <c r="BH35" s="47">
        <v>47678965380</v>
      </c>
      <c r="BI35" s="30" t="s">
        <v>77</v>
      </c>
      <c r="BJ35" s="47" t="s">
        <v>110</v>
      </c>
      <c r="BK35" s="47" t="s">
        <v>233</v>
      </c>
      <c r="BL35" s="126" t="s">
        <v>112</v>
      </c>
      <c r="BM35" s="127">
        <v>35591</v>
      </c>
      <c r="BN35" s="128" t="s">
        <v>113</v>
      </c>
      <c r="BO35" s="129" t="s">
        <v>139</v>
      </c>
      <c r="BP35" s="130" t="s">
        <v>115</v>
      </c>
      <c r="BQ35" s="131" t="s">
        <v>116</v>
      </c>
      <c r="BR35" s="132" t="s">
        <v>117</v>
      </c>
      <c r="BS35" s="131" t="s">
        <v>118</v>
      </c>
      <c r="BT35" s="130" t="s">
        <v>119</v>
      </c>
      <c r="BU35" s="130" t="s">
        <v>120</v>
      </c>
      <c r="BV35" s="131" t="s">
        <v>121</v>
      </c>
      <c r="BW35" s="131" t="s">
        <v>122</v>
      </c>
      <c r="BX35" s="131" t="s">
        <v>123</v>
      </c>
    </row>
    <row r="36" ht="14.5" customHeight="1" spans="1:76" x14ac:dyDescent="0.25">
      <c r="A36" t="s">
        <v>234</v>
      </c>
      <c r="D36" s="116" t="s">
        <v>222</v>
      </c>
      <c r="E36" t="s">
        <v>77</v>
      </c>
      <c r="H36" s="29" t="s">
        <v>80</v>
      </c>
      <c r="I36" s="30" t="s">
        <v>81</v>
      </c>
      <c r="J36" s="30" t="s">
        <v>82</v>
      </c>
      <c r="K36" s="117">
        <f>TODAY()-31</f>
        <v>45689</v>
      </c>
      <c r="L36" s="30" t="s">
        <v>77</v>
      </c>
      <c r="M36" s="30" t="s">
        <v>83</v>
      </c>
      <c r="N36" s="30" t="s">
        <v>84</v>
      </c>
      <c r="O36" s="30">
        <v>1</v>
      </c>
      <c r="P36" s="30" t="s">
        <v>85</v>
      </c>
      <c r="Q36" s="30" t="s">
        <v>86</v>
      </c>
      <c r="R36" s="30" t="s">
        <v>86</v>
      </c>
      <c r="S36" s="30" t="s">
        <v>85</v>
      </c>
      <c r="T36" s="30" t="s">
        <v>82</v>
      </c>
      <c r="U36" s="30" t="s">
        <v>87</v>
      </c>
      <c r="V36" s="32" t="s">
        <v>88</v>
      </c>
      <c r="W36" s="33" t="s">
        <v>82</v>
      </c>
      <c r="X36" s="34">
        <f>K36</f>
        <v>45689</v>
      </c>
      <c r="Y36" s="33" t="s">
        <v>89</v>
      </c>
      <c r="Z36" s="57" t="s">
        <v>131</v>
      </c>
      <c r="AA36" s="119" t="s">
        <v>128</v>
      </c>
      <c r="AB36" s="119" t="s">
        <v>235</v>
      </c>
      <c r="AC36" s="119" t="s">
        <v>93</v>
      </c>
      <c r="AD36" s="120">
        <v>766</v>
      </c>
      <c r="AE36" s="106" t="s">
        <v>70</v>
      </c>
      <c r="AF36" s="121">
        <v>40</v>
      </c>
      <c r="AG36" s="30" t="s">
        <v>86</v>
      </c>
      <c r="AH36" s="39" t="s">
        <v>94</v>
      </c>
      <c r="AI36" s="31">
        <v>43831</v>
      </c>
      <c r="AJ36" s="31">
        <v>45293</v>
      </c>
      <c r="AK36" s="122" t="s">
        <v>95</v>
      </c>
      <c r="AL36" s="29" t="s">
        <v>96</v>
      </c>
      <c r="AM36" s="85" t="s">
        <v>97</v>
      </c>
      <c r="AN36" s="30">
        <v>110</v>
      </c>
      <c r="AO36" s="123" t="s">
        <v>98</v>
      </c>
      <c r="AP36" s="124" t="s">
        <v>128</v>
      </c>
      <c r="AQ36" s="123" t="s">
        <v>100</v>
      </c>
      <c r="AR36" s="43">
        <f>X36</f>
        <v>45689</v>
      </c>
      <c r="AS36" s="43">
        <f>X36</f>
        <v>45689</v>
      </c>
      <c r="AT36" s="55">
        <f>AM36</f>
        <v>NaN</v>
      </c>
      <c r="AU36" s="124" t="s">
        <v>224</v>
      </c>
      <c r="AV36" s="125" t="s">
        <v>225</v>
      </c>
      <c r="AW36" s="46" t="s">
        <v>103</v>
      </c>
      <c r="AX36" s="46" t="s">
        <v>104</v>
      </c>
      <c r="AY36" s="46" t="s">
        <v>105</v>
      </c>
      <c r="AZ36" s="46" t="s">
        <v>106</v>
      </c>
      <c r="BA36" s="46" t="s">
        <v>107</v>
      </c>
      <c r="BB36" s="63" t="s">
        <v>90</v>
      </c>
      <c r="BC36" s="30" t="s">
        <v>77</v>
      </c>
      <c r="BD36" s="47" t="s">
        <v>108</v>
      </c>
      <c r="BE36" s="47">
        <v>9477896647</v>
      </c>
      <c r="BF36" s="30" t="s">
        <v>77</v>
      </c>
      <c r="BG36" s="47" t="s">
        <v>109</v>
      </c>
      <c r="BH36" s="47">
        <v>47678965381</v>
      </c>
      <c r="BI36" s="30" t="s">
        <v>77</v>
      </c>
      <c r="BJ36" s="47" t="s">
        <v>110</v>
      </c>
      <c r="BK36" s="47" t="s">
        <v>236</v>
      </c>
      <c r="BL36" s="126" t="s">
        <v>112</v>
      </c>
      <c r="BM36" s="127">
        <v>35591</v>
      </c>
      <c r="BN36" s="128" t="s">
        <v>113</v>
      </c>
      <c r="BO36" s="129" t="s">
        <v>139</v>
      </c>
      <c r="BP36" s="130" t="s">
        <v>115</v>
      </c>
      <c r="BQ36" s="131" t="s">
        <v>116</v>
      </c>
      <c r="BR36" s="132" t="s">
        <v>117</v>
      </c>
      <c r="BS36" s="131" t="s">
        <v>118</v>
      </c>
      <c r="BT36" s="130" t="s">
        <v>119</v>
      </c>
      <c r="BU36" s="130" t="s">
        <v>120</v>
      </c>
      <c r="BV36" s="131" t="s">
        <v>121</v>
      </c>
      <c r="BW36" s="131" t="s">
        <v>122</v>
      </c>
      <c r="BX36" s="131" t="s">
        <v>123</v>
      </c>
    </row>
    <row r="37" ht="14.5" customHeight="1" spans="1:76" x14ac:dyDescent="0.25">
      <c r="A37" t="s">
        <v>237</v>
      </c>
      <c r="D37" s="116" t="s">
        <v>222</v>
      </c>
      <c r="E37" t="s">
        <v>77</v>
      </c>
      <c r="H37" s="29" t="s">
        <v>80</v>
      </c>
      <c r="I37" s="30" t="s">
        <v>81</v>
      </c>
      <c r="J37" s="30" t="s">
        <v>82</v>
      </c>
      <c r="K37" s="117">
        <f>TODAY()-60</f>
        <v>45660</v>
      </c>
      <c r="L37" s="30" t="s">
        <v>77</v>
      </c>
      <c r="M37" s="30" t="s">
        <v>83</v>
      </c>
      <c r="N37" s="30" t="s">
        <v>84</v>
      </c>
      <c r="O37" s="30">
        <v>1</v>
      </c>
      <c r="P37" s="30" t="s">
        <v>85</v>
      </c>
      <c r="Q37" s="30" t="s">
        <v>86</v>
      </c>
      <c r="R37" s="30" t="s">
        <v>86</v>
      </c>
      <c r="S37" s="30" t="s">
        <v>85</v>
      </c>
      <c r="T37" s="30" t="s">
        <v>82</v>
      </c>
      <c r="U37" s="30" t="s">
        <v>87</v>
      </c>
      <c r="V37" s="32" t="s">
        <v>88</v>
      </c>
      <c r="W37" s="33" t="s">
        <v>82</v>
      </c>
      <c r="X37" s="34">
        <f>K37</f>
        <v>45660</v>
      </c>
      <c r="Y37" s="33" t="s">
        <v>89</v>
      </c>
      <c r="Z37" s="57" t="s">
        <v>131</v>
      </c>
      <c r="AA37" s="119" t="s">
        <v>91</v>
      </c>
      <c r="AB37" s="119" t="s">
        <v>235</v>
      </c>
      <c r="AC37" s="119" t="s">
        <v>136</v>
      </c>
      <c r="AD37" s="120">
        <v>766</v>
      </c>
      <c r="AE37" s="106" t="s">
        <v>70</v>
      </c>
      <c r="AF37" s="121">
        <v>30</v>
      </c>
      <c r="AG37" s="30" t="s">
        <v>86</v>
      </c>
      <c r="AH37" s="39" t="s">
        <v>94</v>
      </c>
      <c r="AI37" s="31">
        <v>43831</v>
      </c>
      <c r="AJ37" s="31">
        <v>45293</v>
      </c>
      <c r="AK37" s="122" t="s">
        <v>95</v>
      </c>
      <c r="AL37" s="29" t="s">
        <v>96</v>
      </c>
      <c r="AM37" s="85">
        <f>TODAY()+365</f>
        <v>46085</v>
      </c>
      <c r="AN37" s="30">
        <v>110</v>
      </c>
      <c r="AO37" s="123" t="s">
        <v>98</v>
      </c>
      <c r="AP37" s="124" t="s">
        <v>99</v>
      </c>
      <c r="AQ37" s="123" t="s">
        <v>100</v>
      </c>
      <c r="AR37" s="43">
        <f>X37</f>
        <v>45660</v>
      </c>
      <c r="AS37" s="43">
        <f>X37</f>
        <v>45660</v>
      </c>
      <c r="AT37" s="55">
        <f>AM37</f>
        <v>46085</v>
      </c>
      <c r="AU37" s="124" t="s">
        <v>224</v>
      </c>
      <c r="AV37" s="125" t="s">
        <v>225</v>
      </c>
      <c r="AW37" s="46" t="s">
        <v>103</v>
      </c>
      <c r="AX37" s="46" t="s">
        <v>104</v>
      </c>
      <c r="AY37" s="46" t="s">
        <v>105</v>
      </c>
      <c r="AZ37" s="46" t="s">
        <v>106</v>
      </c>
      <c r="BA37" s="46" t="s">
        <v>107</v>
      </c>
      <c r="BB37" s="63" t="s">
        <v>90</v>
      </c>
      <c r="BC37" s="30" t="s">
        <v>77</v>
      </c>
      <c r="BD37" s="47" t="s">
        <v>108</v>
      </c>
      <c r="BE37" s="47">
        <v>9477896648</v>
      </c>
      <c r="BF37" s="30" t="s">
        <v>77</v>
      </c>
      <c r="BG37" s="47" t="s">
        <v>109</v>
      </c>
      <c r="BH37" s="47">
        <v>47678965382</v>
      </c>
      <c r="BI37" s="30" t="s">
        <v>77</v>
      </c>
      <c r="BJ37" s="47" t="s">
        <v>110</v>
      </c>
      <c r="BK37" s="47" t="s">
        <v>238</v>
      </c>
      <c r="BL37" s="126" t="s">
        <v>112</v>
      </c>
      <c r="BM37" s="127">
        <v>35591</v>
      </c>
      <c r="BN37" s="128" t="s">
        <v>113</v>
      </c>
      <c r="BO37" s="129" t="s">
        <v>139</v>
      </c>
      <c r="BP37" s="130" t="s">
        <v>115</v>
      </c>
      <c r="BQ37" s="131" t="s">
        <v>116</v>
      </c>
      <c r="BR37" s="132" t="s">
        <v>117</v>
      </c>
      <c r="BS37" s="131" t="s">
        <v>118</v>
      </c>
      <c r="BT37" s="130" t="s">
        <v>119</v>
      </c>
      <c r="BU37" s="130" t="s">
        <v>120</v>
      </c>
      <c r="BV37" s="131" t="s">
        <v>121</v>
      </c>
      <c r="BW37" s="131" t="s">
        <v>122</v>
      </c>
      <c r="BX37" s="131" t="s">
        <v>123</v>
      </c>
    </row>
    <row r="38" ht="14.5" customHeight="1" spans="1:76" x14ac:dyDescent="0.25">
      <c r="A38" t="s">
        <v>239</v>
      </c>
      <c r="D38" s="116" t="s">
        <v>222</v>
      </c>
      <c r="E38" t="s">
        <v>77</v>
      </c>
      <c r="H38" s="29" t="s">
        <v>80</v>
      </c>
      <c r="I38" s="30" t="s">
        <v>81</v>
      </c>
      <c r="J38" s="30" t="s">
        <v>82</v>
      </c>
      <c r="K38" s="117">
        <f>TODAY()-31</f>
        <v>45689</v>
      </c>
      <c r="L38" s="30" t="s">
        <v>77</v>
      </c>
      <c r="M38" s="30" t="s">
        <v>83</v>
      </c>
      <c r="N38" s="30" t="s">
        <v>84</v>
      </c>
      <c r="O38" s="30">
        <v>1</v>
      </c>
      <c r="P38" s="30" t="s">
        <v>85</v>
      </c>
      <c r="Q38" s="30" t="s">
        <v>86</v>
      </c>
      <c r="R38" s="30" t="s">
        <v>86</v>
      </c>
      <c r="S38" s="30" t="s">
        <v>85</v>
      </c>
      <c r="T38" s="30" t="s">
        <v>82</v>
      </c>
      <c r="U38" s="30" t="s">
        <v>87</v>
      </c>
      <c r="V38" s="32" t="s">
        <v>88</v>
      </c>
      <c r="W38" s="33" t="s">
        <v>82</v>
      </c>
      <c r="X38" s="34">
        <f>K38</f>
        <v>45689</v>
      </c>
      <c r="Y38" s="33" t="s">
        <v>89</v>
      </c>
      <c r="Z38" s="57" t="s">
        <v>131</v>
      </c>
      <c r="AA38" s="119" t="s">
        <v>128</v>
      </c>
      <c r="AB38" s="119" t="s">
        <v>240</v>
      </c>
      <c r="AC38" s="119" t="s">
        <v>93</v>
      </c>
      <c r="AD38" s="120">
        <v>766</v>
      </c>
      <c r="AE38" s="106" t="s">
        <v>70</v>
      </c>
      <c r="AF38" s="121">
        <v>40</v>
      </c>
      <c r="AG38" s="30" t="s">
        <v>86</v>
      </c>
      <c r="AH38" s="39" t="s">
        <v>94</v>
      </c>
      <c r="AI38" s="31">
        <v>43831</v>
      </c>
      <c r="AJ38" s="31">
        <v>45293</v>
      </c>
      <c r="AK38" s="122" t="s">
        <v>95</v>
      </c>
      <c r="AL38" s="29" t="s">
        <v>96</v>
      </c>
      <c r="AM38" s="85" t="s">
        <v>97</v>
      </c>
      <c r="AN38" s="30">
        <v>110</v>
      </c>
      <c r="AO38" s="123" t="s">
        <v>98</v>
      </c>
      <c r="AP38" s="125" t="s">
        <v>128</v>
      </c>
      <c r="AQ38" s="123" t="s">
        <v>100</v>
      </c>
      <c r="AR38" s="43">
        <f>X38</f>
        <v>45689</v>
      </c>
      <c r="AS38" s="43">
        <f>X38</f>
        <v>45689</v>
      </c>
      <c r="AT38" s="55">
        <f>AM38</f>
        <v>NaN</v>
      </c>
      <c r="AU38" s="124" t="s">
        <v>224</v>
      </c>
      <c r="AV38" s="125" t="s">
        <v>225</v>
      </c>
      <c r="AW38" s="46" t="s">
        <v>103</v>
      </c>
      <c r="AX38" s="46" t="s">
        <v>104</v>
      </c>
      <c r="AY38" s="46" t="s">
        <v>105</v>
      </c>
      <c r="AZ38" s="46" t="s">
        <v>106</v>
      </c>
      <c r="BA38" s="46" t="s">
        <v>107</v>
      </c>
      <c r="BB38" s="63" t="s">
        <v>90</v>
      </c>
      <c r="BC38" s="30" t="s">
        <v>77</v>
      </c>
      <c r="BD38" s="47" t="s">
        <v>108</v>
      </c>
      <c r="BE38" s="47">
        <v>9477896649</v>
      </c>
      <c r="BF38" s="30" t="s">
        <v>77</v>
      </c>
      <c r="BG38" s="47" t="s">
        <v>109</v>
      </c>
      <c r="BH38" s="47">
        <v>47678965383</v>
      </c>
      <c r="BI38" s="30" t="s">
        <v>77</v>
      </c>
      <c r="BJ38" s="47" t="s">
        <v>110</v>
      </c>
      <c r="BK38" s="47" t="s">
        <v>241</v>
      </c>
      <c r="BL38" s="126" t="s">
        <v>112</v>
      </c>
      <c r="BM38" s="127">
        <v>35591</v>
      </c>
      <c r="BN38" s="128" t="s">
        <v>113</v>
      </c>
      <c r="BO38" s="129" t="s">
        <v>139</v>
      </c>
      <c r="BP38" s="130" t="s">
        <v>115</v>
      </c>
      <c r="BQ38" s="131" t="s">
        <v>116</v>
      </c>
      <c r="BR38" s="132" t="s">
        <v>117</v>
      </c>
      <c r="BS38" s="131" t="s">
        <v>118</v>
      </c>
      <c r="BT38" s="130" t="s">
        <v>119</v>
      </c>
      <c r="BU38" s="130" t="s">
        <v>120</v>
      </c>
      <c r="BV38" s="131" t="s">
        <v>121</v>
      </c>
      <c r="BW38" s="131" t="s">
        <v>122</v>
      </c>
      <c r="BX38" s="131" t="s">
        <v>123</v>
      </c>
    </row>
    <row r="39" ht="14.5" customHeight="1" spans="1:76" x14ac:dyDescent="0.25">
      <c r="A39" t="s">
        <v>242</v>
      </c>
      <c r="D39" s="116" t="s">
        <v>222</v>
      </c>
      <c r="E39" t="s">
        <v>77</v>
      </c>
      <c r="H39" s="29" t="s">
        <v>80</v>
      </c>
      <c r="I39" s="30" t="s">
        <v>81</v>
      </c>
      <c r="J39" s="30" t="s">
        <v>82</v>
      </c>
      <c r="K39" s="117">
        <f>TODAY()-31</f>
        <v>45689</v>
      </c>
      <c r="L39" s="30" t="s">
        <v>77</v>
      </c>
      <c r="M39" s="30" t="s">
        <v>83</v>
      </c>
      <c r="N39" s="30" t="s">
        <v>84</v>
      </c>
      <c r="O39" s="30">
        <v>1</v>
      </c>
      <c r="P39" s="30" t="s">
        <v>85</v>
      </c>
      <c r="Q39" s="30" t="s">
        <v>86</v>
      </c>
      <c r="R39" s="30" t="s">
        <v>86</v>
      </c>
      <c r="S39" s="30" t="s">
        <v>85</v>
      </c>
      <c r="T39" s="30" t="s">
        <v>82</v>
      </c>
      <c r="U39" s="30" t="s">
        <v>87</v>
      </c>
      <c r="V39" s="32" t="s">
        <v>88</v>
      </c>
      <c r="W39" s="33" t="s">
        <v>82</v>
      </c>
      <c r="X39" s="34">
        <f>K39</f>
        <v>45689</v>
      </c>
      <c r="Y39" s="33" t="s">
        <v>89</v>
      </c>
      <c r="Z39" s="57" t="s">
        <v>131</v>
      </c>
      <c r="AA39" s="119" t="s">
        <v>91</v>
      </c>
      <c r="AB39" s="119" t="s">
        <v>240</v>
      </c>
      <c r="AC39" s="119" t="s">
        <v>136</v>
      </c>
      <c r="AD39" s="120">
        <v>766</v>
      </c>
      <c r="AE39" s="106" t="s">
        <v>70</v>
      </c>
      <c r="AF39" s="121">
        <v>10</v>
      </c>
      <c r="AG39" s="30" t="s">
        <v>86</v>
      </c>
      <c r="AH39" s="39" t="s">
        <v>94</v>
      </c>
      <c r="AI39" s="31">
        <v>43831</v>
      </c>
      <c r="AJ39" s="31">
        <v>45293</v>
      </c>
      <c r="AK39" s="122" t="s">
        <v>95</v>
      </c>
      <c r="AL39" s="29" t="s">
        <v>96</v>
      </c>
      <c r="AM39" s="85">
        <f>TODAY()+365</f>
        <v>46085</v>
      </c>
      <c r="AN39" s="30">
        <v>110</v>
      </c>
      <c r="AO39" s="123" t="s">
        <v>98</v>
      </c>
      <c r="AP39" s="124" t="s">
        <v>99</v>
      </c>
      <c r="AQ39" s="123" t="s">
        <v>100</v>
      </c>
      <c r="AR39" s="43">
        <f>X39</f>
        <v>45689</v>
      </c>
      <c r="AS39" s="43">
        <f>X39</f>
        <v>45689</v>
      </c>
      <c r="AT39" s="55">
        <f>AM39</f>
        <v>46085</v>
      </c>
      <c r="AU39" s="124" t="s">
        <v>224</v>
      </c>
      <c r="AV39" s="125" t="s">
        <v>225</v>
      </c>
      <c r="AW39" s="46" t="s">
        <v>103</v>
      </c>
      <c r="AX39" s="46" t="s">
        <v>104</v>
      </c>
      <c r="AY39" s="46" t="s">
        <v>105</v>
      </c>
      <c r="AZ39" s="46" t="s">
        <v>106</v>
      </c>
      <c r="BA39" s="46" t="s">
        <v>107</v>
      </c>
      <c r="BB39" s="63" t="s">
        <v>90</v>
      </c>
      <c r="BC39" s="30" t="s">
        <v>77</v>
      </c>
      <c r="BD39" s="47" t="s">
        <v>108</v>
      </c>
      <c r="BE39" s="47">
        <v>9477896650</v>
      </c>
      <c r="BF39" s="30" t="s">
        <v>77</v>
      </c>
      <c r="BG39" s="47" t="s">
        <v>109</v>
      </c>
      <c r="BH39" s="47">
        <v>47678965384</v>
      </c>
      <c r="BI39" s="30" t="s">
        <v>77</v>
      </c>
      <c r="BJ39" s="47" t="s">
        <v>110</v>
      </c>
      <c r="BK39" s="47" t="s">
        <v>243</v>
      </c>
      <c r="BL39" s="126" t="s">
        <v>112</v>
      </c>
      <c r="BM39" s="127">
        <v>35591</v>
      </c>
      <c r="BN39" s="128" t="s">
        <v>113</v>
      </c>
      <c r="BO39" s="129" t="s">
        <v>139</v>
      </c>
      <c r="BP39" s="130" t="s">
        <v>115</v>
      </c>
      <c r="BQ39" s="131" t="s">
        <v>116</v>
      </c>
      <c r="BR39" s="132" t="s">
        <v>117</v>
      </c>
      <c r="BS39" s="131" t="s">
        <v>118</v>
      </c>
      <c r="BT39" s="130" t="s">
        <v>119</v>
      </c>
      <c r="BU39" s="130" t="s">
        <v>120</v>
      </c>
      <c r="BV39" s="131" t="s">
        <v>121</v>
      </c>
      <c r="BW39" s="131" t="s">
        <v>122</v>
      </c>
      <c r="BX39" s="131" t="s">
        <v>123</v>
      </c>
    </row>
    <row r="40" ht="14.5" customHeight="1" spans="1:76" x14ac:dyDescent="0.25">
      <c r="A40" t="s">
        <v>244</v>
      </c>
      <c r="D40" s="116" t="s">
        <v>222</v>
      </c>
      <c r="E40" t="s">
        <v>77</v>
      </c>
      <c r="H40" s="29" t="s">
        <v>80</v>
      </c>
      <c r="I40" s="30" t="s">
        <v>81</v>
      </c>
      <c r="J40" s="30" t="s">
        <v>82</v>
      </c>
      <c r="K40" s="117">
        <f>TODAY()-31</f>
        <v>45689</v>
      </c>
      <c r="L40" s="30" t="s">
        <v>77</v>
      </c>
      <c r="M40" s="30" t="s">
        <v>83</v>
      </c>
      <c r="N40" s="30" t="s">
        <v>84</v>
      </c>
      <c r="O40" s="30">
        <v>1</v>
      </c>
      <c r="P40" s="30" t="s">
        <v>85</v>
      </c>
      <c r="Q40" s="30" t="s">
        <v>86</v>
      </c>
      <c r="R40" s="30" t="s">
        <v>86</v>
      </c>
      <c r="S40" s="30" t="s">
        <v>85</v>
      </c>
      <c r="T40" s="30" t="s">
        <v>82</v>
      </c>
      <c r="U40" s="30" t="s">
        <v>87</v>
      </c>
      <c r="V40" s="32" t="s">
        <v>88</v>
      </c>
      <c r="W40" s="33" t="s">
        <v>82</v>
      </c>
      <c r="X40" s="34">
        <f>K40</f>
        <v>45689</v>
      </c>
      <c r="Y40" s="33" t="s">
        <v>89</v>
      </c>
      <c r="Z40" s="57" t="s">
        <v>131</v>
      </c>
      <c r="AA40" s="119" t="s">
        <v>128</v>
      </c>
      <c r="AB40" s="119" t="s">
        <v>245</v>
      </c>
      <c r="AC40" s="119" t="s">
        <v>93</v>
      </c>
      <c r="AD40" s="120">
        <v>766</v>
      </c>
      <c r="AE40" s="106" t="s">
        <v>70</v>
      </c>
      <c r="AF40" s="121">
        <v>40</v>
      </c>
      <c r="AG40" s="30" t="s">
        <v>86</v>
      </c>
      <c r="AH40" s="39" t="s">
        <v>94</v>
      </c>
      <c r="AI40" s="31">
        <v>43831</v>
      </c>
      <c r="AJ40" s="31">
        <v>45293</v>
      </c>
      <c r="AK40" s="122" t="s">
        <v>95</v>
      </c>
      <c r="AL40" s="29" t="s">
        <v>96</v>
      </c>
      <c r="AM40" s="85" t="s">
        <v>97</v>
      </c>
      <c r="AN40" s="30">
        <v>110</v>
      </c>
      <c r="AO40" s="123" t="s">
        <v>98</v>
      </c>
      <c r="AP40" s="125" t="s">
        <v>128</v>
      </c>
      <c r="AQ40" s="123" t="s">
        <v>100</v>
      </c>
      <c r="AR40" s="43">
        <f>X40</f>
        <v>45689</v>
      </c>
      <c r="AS40" s="43">
        <f>X40</f>
        <v>45689</v>
      </c>
      <c r="AT40" s="55">
        <f>AM40</f>
        <v>NaN</v>
      </c>
      <c r="AU40" s="124" t="s">
        <v>224</v>
      </c>
      <c r="AV40" s="125" t="s">
        <v>225</v>
      </c>
      <c r="AW40" s="46" t="s">
        <v>103</v>
      </c>
      <c r="AX40" s="46" t="s">
        <v>104</v>
      </c>
      <c r="AY40" s="46" t="s">
        <v>105</v>
      </c>
      <c r="AZ40" s="46" t="s">
        <v>106</v>
      </c>
      <c r="BA40" s="46" t="s">
        <v>107</v>
      </c>
      <c r="BB40" s="63" t="s">
        <v>131</v>
      </c>
      <c r="BC40" s="30" t="s">
        <v>77</v>
      </c>
      <c r="BD40" s="47" t="s">
        <v>108</v>
      </c>
      <c r="BE40" s="47">
        <v>9477896651</v>
      </c>
      <c r="BF40" s="30" t="s">
        <v>77</v>
      </c>
      <c r="BG40" s="47" t="s">
        <v>109</v>
      </c>
      <c r="BH40" s="47">
        <v>47678965385</v>
      </c>
      <c r="BI40" s="30" t="s">
        <v>77</v>
      </c>
      <c r="BJ40" s="47" t="s">
        <v>110</v>
      </c>
      <c r="BK40" s="47" t="s">
        <v>246</v>
      </c>
      <c r="BL40" s="126" t="s">
        <v>112</v>
      </c>
      <c r="BM40" s="127">
        <v>35591</v>
      </c>
      <c r="BN40" s="128" t="s">
        <v>113</v>
      </c>
      <c r="BO40" s="129" t="s">
        <v>139</v>
      </c>
      <c r="BP40" s="130" t="s">
        <v>115</v>
      </c>
      <c r="BQ40" s="131" t="s">
        <v>116</v>
      </c>
      <c r="BR40" s="132" t="s">
        <v>117</v>
      </c>
      <c r="BS40" s="131" t="s">
        <v>118</v>
      </c>
      <c r="BT40" s="130" t="s">
        <v>119</v>
      </c>
      <c r="BU40" s="130" t="s">
        <v>120</v>
      </c>
      <c r="BV40" s="131" t="s">
        <v>121</v>
      </c>
      <c r="BW40" s="131" t="s">
        <v>122</v>
      </c>
      <c r="BX40" s="131" t="s">
        <v>123</v>
      </c>
    </row>
    <row r="41" ht="14.5" customHeight="1" spans="1:76" x14ac:dyDescent="0.25">
      <c r="A41" t="s">
        <v>247</v>
      </c>
      <c r="D41" s="116" t="s">
        <v>222</v>
      </c>
      <c r="E41" t="s">
        <v>77</v>
      </c>
      <c r="H41" s="29" t="s">
        <v>80</v>
      </c>
      <c r="I41" s="30" t="s">
        <v>81</v>
      </c>
      <c r="J41" s="30" t="s">
        <v>82</v>
      </c>
      <c r="K41" s="117">
        <f>TODAY()-31</f>
        <v>45689</v>
      </c>
      <c r="L41" s="30" t="s">
        <v>77</v>
      </c>
      <c r="M41" s="30" t="s">
        <v>83</v>
      </c>
      <c r="N41" s="30" t="s">
        <v>84</v>
      </c>
      <c r="O41" s="30">
        <v>1</v>
      </c>
      <c r="P41" s="30" t="s">
        <v>85</v>
      </c>
      <c r="Q41" s="30" t="s">
        <v>86</v>
      </c>
      <c r="R41" s="30" t="s">
        <v>86</v>
      </c>
      <c r="S41" s="30" t="s">
        <v>85</v>
      </c>
      <c r="T41" s="30" t="s">
        <v>82</v>
      </c>
      <c r="U41" s="30" t="s">
        <v>87</v>
      </c>
      <c r="V41" s="32" t="s">
        <v>88</v>
      </c>
      <c r="W41" s="33" t="s">
        <v>82</v>
      </c>
      <c r="X41" s="34">
        <f>K41</f>
        <v>45689</v>
      </c>
      <c r="Y41" s="33" t="s">
        <v>89</v>
      </c>
      <c r="Z41" s="57" t="s">
        <v>131</v>
      </c>
      <c r="AA41" s="119" t="s">
        <v>91</v>
      </c>
      <c r="AB41" s="119" t="s">
        <v>245</v>
      </c>
      <c r="AC41" s="119" t="s">
        <v>136</v>
      </c>
      <c r="AD41" s="120">
        <v>766</v>
      </c>
      <c r="AE41" s="106" t="s">
        <v>70</v>
      </c>
      <c r="AF41" s="121">
        <v>20</v>
      </c>
      <c r="AG41" s="30" t="s">
        <v>86</v>
      </c>
      <c r="AH41" s="39" t="s">
        <v>94</v>
      </c>
      <c r="AI41" s="31">
        <v>43831</v>
      </c>
      <c r="AJ41" s="31">
        <v>45293</v>
      </c>
      <c r="AK41" s="122" t="s">
        <v>95</v>
      </c>
      <c r="AL41" s="29" t="s">
        <v>96</v>
      </c>
      <c r="AM41" s="85">
        <f>TODAY()+365</f>
        <v>46085</v>
      </c>
      <c r="AN41" s="30">
        <v>110</v>
      </c>
      <c r="AO41" s="123" t="s">
        <v>98</v>
      </c>
      <c r="AP41" s="124" t="s">
        <v>99</v>
      </c>
      <c r="AQ41" s="123" t="s">
        <v>100</v>
      </c>
      <c r="AR41" s="43">
        <f>X41</f>
        <v>45689</v>
      </c>
      <c r="AS41" s="43">
        <f>X41</f>
        <v>45689</v>
      </c>
      <c r="AT41" s="55">
        <f>AM41</f>
        <v>46085</v>
      </c>
      <c r="AU41" s="124" t="s">
        <v>224</v>
      </c>
      <c r="AV41" s="125" t="s">
        <v>225</v>
      </c>
      <c r="AW41" s="46" t="s">
        <v>103</v>
      </c>
      <c r="AX41" s="46" t="s">
        <v>104</v>
      </c>
      <c r="AY41" s="46" t="s">
        <v>105</v>
      </c>
      <c r="AZ41" s="46" t="s">
        <v>106</v>
      </c>
      <c r="BA41" s="46" t="s">
        <v>107</v>
      </c>
      <c r="BB41" s="63" t="s">
        <v>90</v>
      </c>
      <c r="BC41" s="30" t="s">
        <v>77</v>
      </c>
      <c r="BD41" s="47" t="s">
        <v>108</v>
      </c>
      <c r="BE41" s="47">
        <v>9477896652</v>
      </c>
      <c r="BF41" s="30" t="s">
        <v>77</v>
      </c>
      <c r="BG41" s="47" t="s">
        <v>109</v>
      </c>
      <c r="BH41" s="47">
        <v>47678965386</v>
      </c>
      <c r="BI41" s="30" t="s">
        <v>77</v>
      </c>
      <c r="BJ41" s="47" t="s">
        <v>110</v>
      </c>
      <c r="BK41" s="47" t="s">
        <v>248</v>
      </c>
      <c r="BL41" s="126" t="s">
        <v>112</v>
      </c>
      <c r="BM41" s="127">
        <v>35591</v>
      </c>
      <c r="BN41" s="128" t="s">
        <v>113</v>
      </c>
      <c r="BO41" s="129" t="s">
        <v>139</v>
      </c>
      <c r="BP41" s="130" t="s">
        <v>115</v>
      </c>
      <c r="BQ41" s="131" t="s">
        <v>116</v>
      </c>
      <c r="BR41" s="132" t="s">
        <v>117</v>
      </c>
      <c r="BS41" s="131" t="s">
        <v>118</v>
      </c>
      <c r="BT41" s="130" t="s">
        <v>119</v>
      </c>
      <c r="BU41" s="130" t="s">
        <v>120</v>
      </c>
      <c r="BV41" s="131" t="s">
        <v>121</v>
      </c>
      <c r="BW41" s="131" t="s">
        <v>122</v>
      </c>
      <c r="BX41" s="131" t="s">
        <v>123</v>
      </c>
    </row>
    <row r="42" ht="14.5" customHeight="1" spans="1:76" x14ac:dyDescent="0.25">
      <c r="A42" t="s">
        <v>249</v>
      </c>
      <c r="D42" s="116" t="s">
        <v>222</v>
      </c>
      <c r="E42" t="s">
        <v>77</v>
      </c>
      <c r="H42" s="29" t="s">
        <v>80</v>
      </c>
      <c r="I42" s="30" t="s">
        <v>81</v>
      </c>
      <c r="J42" s="30" t="s">
        <v>82</v>
      </c>
      <c r="K42" s="117">
        <f>TODAY()-31</f>
        <v>45689</v>
      </c>
      <c r="L42" s="30" t="s">
        <v>77</v>
      </c>
      <c r="M42" s="30" t="s">
        <v>83</v>
      </c>
      <c r="N42" s="30" t="s">
        <v>84</v>
      </c>
      <c r="O42" s="30">
        <v>1</v>
      </c>
      <c r="P42" s="30" t="s">
        <v>85</v>
      </c>
      <c r="Q42" s="30" t="s">
        <v>86</v>
      </c>
      <c r="R42" s="30" t="s">
        <v>86</v>
      </c>
      <c r="S42" s="30" t="s">
        <v>85</v>
      </c>
      <c r="T42" s="30" t="s">
        <v>82</v>
      </c>
      <c r="U42" s="30" t="s">
        <v>87</v>
      </c>
      <c r="V42" s="32" t="s">
        <v>88</v>
      </c>
      <c r="W42" s="33" t="s">
        <v>82</v>
      </c>
      <c r="X42" s="34">
        <f>K42</f>
        <v>45689</v>
      </c>
      <c r="Y42" s="33" t="s">
        <v>89</v>
      </c>
      <c r="Z42" s="57" t="s">
        <v>131</v>
      </c>
      <c r="AA42" s="119" t="s">
        <v>128</v>
      </c>
      <c r="AB42" s="119" t="s">
        <v>250</v>
      </c>
      <c r="AC42" s="119" t="s">
        <v>93</v>
      </c>
      <c r="AD42" s="120">
        <v>766</v>
      </c>
      <c r="AE42" s="106" t="s">
        <v>70</v>
      </c>
      <c r="AF42" s="121">
        <v>40</v>
      </c>
      <c r="AG42" s="30" t="s">
        <v>86</v>
      </c>
      <c r="AH42" s="39" t="s">
        <v>94</v>
      </c>
      <c r="AI42" s="31">
        <v>43831</v>
      </c>
      <c r="AJ42" s="31">
        <v>45293</v>
      </c>
      <c r="AK42" s="122" t="s">
        <v>95</v>
      </c>
      <c r="AL42" s="29" t="s">
        <v>96</v>
      </c>
      <c r="AM42" s="85">
        <f>TODAY()+365</f>
        <v>46085</v>
      </c>
      <c r="AN42" s="30">
        <v>110</v>
      </c>
      <c r="AO42" s="123" t="s">
        <v>98</v>
      </c>
      <c r="AP42" s="125" t="s">
        <v>128</v>
      </c>
      <c r="AQ42" s="123" t="s">
        <v>100</v>
      </c>
      <c r="AR42" s="43">
        <f>X42</f>
        <v>45689</v>
      </c>
      <c r="AS42" s="43">
        <f>X42</f>
        <v>45689</v>
      </c>
      <c r="AT42" s="55">
        <f>AM42</f>
        <v>46085</v>
      </c>
      <c r="AU42" s="124" t="s">
        <v>224</v>
      </c>
      <c r="AV42" s="125" t="s">
        <v>225</v>
      </c>
      <c r="AW42" s="46" t="s">
        <v>103</v>
      </c>
      <c r="AX42" s="46" t="s">
        <v>104</v>
      </c>
      <c r="AY42" s="46" t="s">
        <v>105</v>
      </c>
      <c r="AZ42" s="46" t="s">
        <v>106</v>
      </c>
      <c r="BA42" s="46" t="s">
        <v>107</v>
      </c>
      <c r="BB42" s="63" t="s">
        <v>131</v>
      </c>
      <c r="BC42" s="30" t="s">
        <v>77</v>
      </c>
      <c r="BD42" s="47" t="s">
        <v>108</v>
      </c>
      <c r="BE42" s="47">
        <v>9477896653</v>
      </c>
      <c r="BF42" s="30" t="s">
        <v>77</v>
      </c>
      <c r="BG42" s="47" t="s">
        <v>109</v>
      </c>
      <c r="BH42" s="47">
        <v>47678965387</v>
      </c>
      <c r="BI42" s="30" t="s">
        <v>77</v>
      </c>
      <c r="BJ42" s="47" t="s">
        <v>110</v>
      </c>
      <c r="BK42" s="47" t="s">
        <v>251</v>
      </c>
      <c r="BL42" s="126" t="s">
        <v>112</v>
      </c>
      <c r="BM42" s="127">
        <v>35591</v>
      </c>
      <c r="BN42" s="128" t="s">
        <v>113</v>
      </c>
      <c r="BO42" s="129" t="s">
        <v>139</v>
      </c>
      <c r="BP42" s="130" t="s">
        <v>115</v>
      </c>
      <c r="BQ42" s="131" t="s">
        <v>116</v>
      </c>
      <c r="BR42" s="132" t="s">
        <v>117</v>
      </c>
      <c r="BS42" s="131" t="s">
        <v>118</v>
      </c>
      <c r="BT42" s="130" t="s">
        <v>119</v>
      </c>
      <c r="BU42" s="130" t="s">
        <v>120</v>
      </c>
      <c r="BV42" s="131" t="s">
        <v>121</v>
      </c>
      <c r="BW42" s="131" t="s">
        <v>122</v>
      </c>
      <c r="BX42" s="131" t="s">
        <v>123</v>
      </c>
    </row>
    <row r="43" ht="14.5" customHeight="1" spans="1:76" x14ac:dyDescent="0.25">
      <c r="A43" t="s">
        <v>252</v>
      </c>
      <c r="D43" s="116" t="s">
        <v>222</v>
      </c>
      <c r="E43" t="s">
        <v>77</v>
      </c>
      <c r="H43" s="29" t="s">
        <v>80</v>
      </c>
      <c r="I43" s="30" t="s">
        <v>81</v>
      </c>
      <c r="J43" s="30" t="s">
        <v>82</v>
      </c>
      <c r="K43" s="117">
        <f>TODAY()-31</f>
        <v>45689</v>
      </c>
      <c r="L43" s="30" t="s">
        <v>77</v>
      </c>
      <c r="M43" s="30" t="s">
        <v>83</v>
      </c>
      <c r="N43" s="30" t="s">
        <v>84</v>
      </c>
      <c r="O43" s="30">
        <v>1</v>
      </c>
      <c r="P43" s="30" t="s">
        <v>85</v>
      </c>
      <c r="Q43" s="30" t="s">
        <v>86</v>
      </c>
      <c r="R43" s="30" t="s">
        <v>86</v>
      </c>
      <c r="S43" s="30" t="s">
        <v>85</v>
      </c>
      <c r="T43" s="30" t="s">
        <v>82</v>
      </c>
      <c r="U43" s="30" t="s">
        <v>87</v>
      </c>
      <c r="V43" s="32" t="s">
        <v>88</v>
      </c>
      <c r="W43" s="33" t="s">
        <v>82</v>
      </c>
      <c r="X43" s="34">
        <f>K43</f>
        <v>45689</v>
      </c>
      <c r="Y43" s="33" t="s">
        <v>89</v>
      </c>
      <c r="Z43" s="57" t="s">
        <v>131</v>
      </c>
      <c r="AA43" s="119" t="s">
        <v>91</v>
      </c>
      <c r="AB43" s="119" t="s">
        <v>250</v>
      </c>
      <c r="AC43" s="119" t="s">
        <v>136</v>
      </c>
      <c r="AD43" s="120">
        <v>766</v>
      </c>
      <c r="AE43" s="106" t="s">
        <v>70</v>
      </c>
      <c r="AF43" s="121">
        <v>10</v>
      </c>
      <c r="AG43" s="30" t="s">
        <v>86</v>
      </c>
      <c r="AH43" s="39" t="s">
        <v>94</v>
      </c>
      <c r="AI43" s="31">
        <v>43831</v>
      </c>
      <c r="AJ43" s="31">
        <v>45293</v>
      </c>
      <c r="AK43" s="122" t="s">
        <v>95</v>
      </c>
      <c r="AL43" s="29" t="s">
        <v>96</v>
      </c>
      <c r="AM43" s="85" t="s">
        <v>97</v>
      </c>
      <c r="AN43" s="30">
        <v>110</v>
      </c>
      <c r="AO43" s="123" t="s">
        <v>98</v>
      </c>
      <c r="AP43" s="124" t="s">
        <v>99</v>
      </c>
      <c r="AQ43" s="123" t="s">
        <v>100</v>
      </c>
      <c r="AR43" s="43">
        <f>X43</f>
        <v>45689</v>
      </c>
      <c r="AS43" s="43">
        <f>X43</f>
        <v>45689</v>
      </c>
      <c r="AT43" s="55">
        <f>AM43</f>
        <v>NaN</v>
      </c>
      <c r="AU43" s="124" t="s">
        <v>224</v>
      </c>
      <c r="AV43" s="125" t="s">
        <v>225</v>
      </c>
      <c r="AW43" s="46" t="s">
        <v>103</v>
      </c>
      <c r="AX43" s="46" t="s">
        <v>104</v>
      </c>
      <c r="AY43" s="46" t="s">
        <v>105</v>
      </c>
      <c r="AZ43" s="46" t="s">
        <v>106</v>
      </c>
      <c r="BA43" s="46" t="s">
        <v>107</v>
      </c>
      <c r="BB43" s="63" t="s">
        <v>90</v>
      </c>
      <c r="BC43" s="30" t="s">
        <v>77</v>
      </c>
      <c r="BD43" s="47" t="s">
        <v>108</v>
      </c>
      <c r="BE43" s="47">
        <v>9477896654</v>
      </c>
      <c r="BF43" s="30" t="s">
        <v>77</v>
      </c>
      <c r="BG43" s="47" t="s">
        <v>109</v>
      </c>
      <c r="BH43" s="47">
        <v>47678965388</v>
      </c>
      <c r="BI43" s="30" t="s">
        <v>77</v>
      </c>
      <c r="BJ43" s="47" t="s">
        <v>110</v>
      </c>
      <c r="BK43" s="47" t="s">
        <v>253</v>
      </c>
      <c r="BL43" s="126" t="s">
        <v>112</v>
      </c>
      <c r="BM43" s="127">
        <v>35591</v>
      </c>
      <c r="BN43" s="128" t="s">
        <v>113</v>
      </c>
      <c r="BO43" s="129" t="s">
        <v>139</v>
      </c>
      <c r="BP43" s="130" t="s">
        <v>115</v>
      </c>
      <c r="BQ43" s="131" t="s">
        <v>116</v>
      </c>
      <c r="BR43" s="132" t="s">
        <v>117</v>
      </c>
      <c r="BS43" s="131" t="s">
        <v>118</v>
      </c>
      <c r="BT43" s="130" t="s">
        <v>119</v>
      </c>
      <c r="BU43" s="130" t="s">
        <v>120</v>
      </c>
      <c r="BV43" s="131" t="s">
        <v>121</v>
      </c>
      <c r="BW43" s="131" t="s">
        <v>122</v>
      </c>
      <c r="BX43" s="131" t="s">
        <v>123</v>
      </c>
    </row>
    <row r="44" ht="14.5" customHeight="1" spans="1:76" x14ac:dyDescent="0.25">
      <c r="A44" t="s">
        <v>254</v>
      </c>
      <c r="D44" s="27" t="s">
        <v>76</v>
      </c>
      <c r="E44" t="s">
        <v>77</v>
      </c>
      <c r="H44" s="29" t="s">
        <v>80</v>
      </c>
      <c r="I44" s="30" t="s">
        <v>81</v>
      </c>
      <c r="J44" s="30" t="s">
        <v>82</v>
      </c>
      <c r="K44" s="117">
        <f>TODAY()-31</f>
        <v>45689</v>
      </c>
      <c r="L44" s="30" t="s">
        <v>77</v>
      </c>
      <c r="M44" s="30" t="s">
        <v>83</v>
      </c>
      <c r="N44" s="30" t="s">
        <v>84</v>
      </c>
      <c r="O44" s="30">
        <v>1</v>
      </c>
      <c r="P44" s="30" t="s">
        <v>85</v>
      </c>
      <c r="Q44" s="30" t="s">
        <v>86</v>
      </c>
      <c r="R44" s="30" t="s">
        <v>86</v>
      </c>
      <c r="S44" s="30" t="s">
        <v>85</v>
      </c>
      <c r="T44" s="30" t="s">
        <v>82</v>
      </c>
      <c r="U44" s="30" t="s">
        <v>87</v>
      </c>
      <c r="V44" s="32" t="s">
        <v>88</v>
      </c>
      <c r="W44" s="33" t="s">
        <v>82</v>
      </c>
      <c r="X44" s="34">
        <f>K44</f>
        <v>45689</v>
      </c>
      <c r="Y44" s="33" t="s">
        <v>89</v>
      </c>
      <c r="Z44" s="134" t="s">
        <v>90</v>
      </c>
      <c r="AA44" s="119" t="s">
        <v>128</v>
      </c>
      <c r="AB44" s="119" t="s">
        <v>255</v>
      </c>
      <c r="AC44" s="119" t="s">
        <v>93</v>
      </c>
      <c r="AD44" s="120">
        <v>766</v>
      </c>
      <c r="AE44" s="106" t="s">
        <v>70</v>
      </c>
      <c r="AF44" s="121">
        <v>40</v>
      </c>
      <c r="AG44" s="30" t="s">
        <v>86</v>
      </c>
      <c r="AH44" s="39" t="s">
        <v>94</v>
      </c>
      <c r="AI44" s="31">
        <v>43831</v>
      </c>
      <c r="AJ44" s="31">
        <v>45293</v>
      </c>
      <c r="AK44" s="122" t="s">
        <v>95</v>
      </c>
      <c r="AL44" s="29" t="s">
        <v>96</v>
      </c>
      <c r="AM44" s="85" t="s">
        <v>97</v>
      </c>
      <c r="AN44" s="30">
        <v>110</v>
      </c>
      <c r="AO44" s="123" t="s">
        <v>98</v>
      </c>
      <c r="AP44" s="125" t="s">
        <v>128</v>
      </c>
      <c r="AQ44" s="123" t="s">
        <v>100</v>
      </c>
      <c r="AR44" s="43">
        <f>X44</f>
        <v>45689</v>
      </c>
      <c r="AS44" s="43">
        <f>X44</f>
        <v>45689</v>
      </c>
      <c r="AT44" s="55">
        <f>AM44</f>
        <v>NaN</v>
      </c>
      <c r="AU44" s="124" t="s">
        <v>101</v>
      </c>
      <c r="AV44" s="125" t="s">
        <v>256</v>
      </c>
      <c r="AW44" s="46" t="s">
        <v>103</v>
      </c>
      <c r="AX44" s="46" t="s">
        <v>104</v>
      </c>
      <c r="AY44" s="46" t="s">
        <v>105</v>
      </c>
      <c r="AZ44" s="46" t="s">
        <v>106</v>
      </c>
      <c r="BA44" s="46" t="s">
        <v>107</v>
      </c>
      <c r="BB44" s="63" t="s">
        <v>90</v>
      </c>
      <c r="BC44" s="30" t="s">
        <v>77</v>
      </c>
      <c r="BD44" s="47" t="s">
        <v>108</v>
      </c>
      <c r="BE44" s="47">
        <v>9477896655</v>
      </c>
      <c r="BF44" s="30" t="s">
        <v>77</v>
      </c>
      <c r="BG44" s="47" t="s">
        <v>109</v>
      </c>
      <c r="BH44" s="47">
        <v>47678965389</v>
      </c>
      <c r="BI44" s="30" t="s">
        <v>77</v>
      </c>
      <c r="BJ44" s="47" t="s">
        <v>110</v>
      </c>
      <c r="BK44" s="47" t="s">
        <v>257</v>
      </c>
      <c r="BL44" s="126" t="s">
        <v>112</v>
      </c>
      <c r="BM44" s="127">
        <v>35591</v>
      </c>
      <c r="BN44" s="128" t="s">
        <v>113</v>
      </c>
      <c r="BO44" s="129" t="s">
        <v>139</v>
      </c>
      <c r="BP44" s="130" t="s">
        <v>115</v>
      </c>
      <c r="BQ44" s="131" t="s">
        <v>116</v>
      </c>
      <c r="BR44" s="132" t="s">
        <v>117</v>
      </c>
      <c r="BS44" s="131" t="s">
        <v>118</v>
      </c>
      <c r="BT44" s="130" t="s">
        <v>119</v>
      </c>
      <c r="BU44" s="130" t="s">
        <v>120</v>
      </c>
      <c r="BV44" s="131" t="s">
        <v>121</v>
      </c>
      <c r="BW44" s="131" t="s">
        <v>122</v>
      </c>
      <c r="BX44" s="131" t="s">
        <v>123</v>
      </c>
    </row>
    <row r="45" ht="14.5" customHeight="1" spans="1:76" x14ac:dyDescent="0.25">
      <c r="A45" t="s">
        <v>258</v>
      </c>
      <c r="D45" s="27" t="s">
        <v>76</v>
      </c>
      <c r="E45" t="s">
        <v>77</v>
      </c>
      <c r="H45" s="29" t="s">
        <v>80</v>
      </c>
      <c r="I45" s="30" t="s">
        <v>81</v>
      </c>
      <c r="J45" s="30" t="s">
        <v>82</v>
      </c>
      <c r="K45" s="117">
        <f>TODAY()-31</f>
        <v>45689</v>
      </c>
      <c r="L45" s="30" t="s">
        <v>77</v>
      </c>
      <c r="M45" s="30" t="s">
        <v>83</v>
      </c>
      <c r="N45" s="30" t="s">
        <v>84</v>
      </c>
      <c r="O45" s="30">
        <v>1</v>
      </c>
      <c r="P45" s="30" t="s">
        <v>85</v>
      </c>
      <c r="Q45" s="30" t="s">
        <v>86</v>
      </c>
      <c r="R45" s="30" t="s">
        <v>86</v>
      </c>
      <c r="S45" s="30" t="s">
        <v>85</v>
      </c>
      <c r="T45" s="30" t="s">
        <v>82</v>
      </c>
      <c r="U45" s="30" t="s">
        <v>87</v>
      </c>
      <c r="V45" s="32" t="s">
        <v>88</v>
      </c>
      <c r="W45" s="33" t="s">
        <v>82</v>
      </c>
      <c r="X45" s="34">
        <f>K45</f>
        <v>45689</v>
      </c>
      <c r="Y45" s="33" t="s">
        <v>89</v>
      </c>
      <c r="Z45" s="134" t="s">
        <v>90</v>
      </c>
      <c r="AA45" s="119" t="s">
        <v>128</v>
      </c>
      <c r="AB45" s="119" t="s">
        <v>255</v>
      </c>
      <c r="AC45" s="119" t="s">
        <v>136</v>
      </c>
      <c r="AD45" s="120">
        <v>766</v>
      </c>
      <c r="AE45" s="106" t="s">
        <v>70</v>
      </c>
      <c r="AF45" s="121">
        <v>20</v>
      </c>
      <c r="AG45" s="30" t="s">
        <v>86</v>
      </c>
      <c r="AH45" s="39" t="s">
        <v>94</v>
      </c>
      <c r="AI45" s="31">
        <v>43831</v>
      </c>
      <c r="AJ45" s="31">
        <v>45293</v>
      </c>
      <c r="AK45" s="122" t="s">
        <v>95</v>
      </c>
      <c r="AL45" s="29" t="s">
        <v>96</v>
      </c>
      <c r="AM45" s="85">
        <f>TODAY()+365</f>
        <v>46085</v>
      </c>
      <c r="AN45" s="30">
        <v>110</v>
      </c>
      <c r="AO45" s="123" t="s">
        <v>98</v>
      </c>
      <c r="AP45" s="124" t="s">
        <v>99</v>
      </c>
      <c r="AQ45" s="123" t="s">
        <v>100</v>
      </c>
      <c r="AR45" s="43">
        <f>X45</f>
        <v>45689</v>
      </c>
      <c r="AS45" s="43">
        <f>X45</f>
        <v>45689</v>
      </c>
      <c r="AT45" s="55">
        <f>AM45</f>
        <v>46085</v>
      </c>
      <c r="AU45" s="124" t="s">
        <v>101</v>
      </c>
      <c r="AV45" s="125" t="s">
        <v>256</v>
      </c>
      <c r="AW45" s="46" t="s">
        <v>103</v>
      </c>
      <c r="AX45" s="46" t="s">
        <v>104</v>
      </c>
      <c r="AY45" s="46" t="s">
        <v>105</v>
      </c>
      <c r="AZ45" s="46" t="s">
        <v>106</v>
      </c>
      <c r="BA45" s="46" t="s">
        <v>107</v>
      </c>
      <c r="BB45" s="63" t="s">
        <v>90</v>
      </c>
      <c r="BC45" s="30" t="s">
        <v>77</v>
      </c>
      <c r="BD45" s="47" t="s">
        <v>108</v>
      </c>
      <c r="BE45" s="47">
        <v>9477896656</v>
      </c>
      <c r="BF45" s="30" t="s">
        <v>77</v>
      </c>
      <c r="BG45" s="47" t="s">
        <v>109</v>
      </c>
      <c r="BH45" s="47">
        <v>47678965390</v>
      </c>
      <c r="BI45" s="30" t="s">
        <v>77</v>
      </c>
      <c r="BJ45" s="47" t="s">
        <v>110</v>
      </c>
      <c r="BK45" s="47" t="s">
        <v>259</v>
      </c>
      <c r="BL45" s="126" t="s">
        <v>112</v>
      </c>
      <c r="BM45" s="127">
        <v>35591</v>
      </c>
      <c r="BN45" s="128" t="s">
        <v>113</v>
      </c>
      <c r="BO45" s="129" t="s">
        <v>139</v>
      </c>
      <c r="BP45" s="130" t="s">
        <v>115</v>
      </c>
      <c r="BQ45" s="131" t="s">
        <v>116</v>
      </c>
      <c r="BR45" s="132" t="s">
        <v>117</v>
      </c>
      <c r="BS45" s="131" t="s">
        <v>118</v>
      </c>
      <c r="BT45" s="130" t="s">
        <v>119</v>
      </c>
      <c r="BU45" s="130" t="s">
        <v>120</v>
      </c>
      <c r="BV45" s="131" t="s">
        <v>121</v>
      </c>
      <c r="BW45" s="131" t="s">
        <v>122</v>
      </c>
      <c r="BX45" s="131" t="s">
        <v>123</v>
      </c>
    </row>
    <row r="46" ht="14.5" customHeight="1" spans="1:76" x14ac:dyDescent="0.25">
      <c r="A46" t="s">
        <v>260</v>
      </c>
      <c r="D46" s="27" t="s">
        <v>76</v>
      </c>
      <c r="E46" t="s">
        <v>77</v>
      </c>
      <c r="H46" s="29" t="s">
        <v>80</v>
      </c>
      <c r="I46" s="30" t="s">
        <v>81</v>
      </c>
      <c r="J46" s="30" t="s">
        <v>82</v>
      </c>
      <c r="K46" s="117">
        <f>TODAY()-31</f>
        <v>45689</v>
      </c>
      <c r="L46" s="30" t="s">
        <v>77</v>
      </c>
      <c r="M46" s="30" t="s">
        <v>83</v>
      </c>
      <c r="N46" s="30" t="s">
        <v>84</v>
      </c>
      <c r="O46" s="30">
        <v>1</v>
      </c>
      <c r="P46" s="30" t="s">
        <v>85</v>
      </c>
      <c r="Q46" s="30" t="s">
        <v>86</v>
      </c>
      <c r="R46" s="30" t="s">
        <v>86</v>
      </c>
      <c r="S46" s="30" t="s">
        <v>85</v>
      </c>
      <c r="T46" s="30" t="s">
        <v>82</v>
      </c>
      <c r="U46" s="30" t="s">
        <v>87</v>
      </c>
      <c r="V46" s="32" t="s">
        <v>88</v>
      </c>
      <c r="W46" s="33" t="s">
        <v>82</v>
      </c>
      <c r="X46" s="34">
        <f>K46</f>
        <v>45689</v>
      </c>
      <c r="Y46" s="33" t="s">
        <v>89</v>
      </c>
      <c r="Z46" s="134" t="s">
        <v>90</v>
      </c>
      <c r="AA46" s="119" t="s">
        <v>91</v>
      </c>
      <c r="AB46" s="119" t="s">
        <v>255</v>
      </c>
      <c r="AC46" s="119" t="s">
        <v>93</v>
      </c>
      <c r="AD46" s="120">
        <v>766</v>
      </c>
      <c r="AE46" s="106" t="s">
        <v>70</v>
      </c>
      <c r="AF46" s="121">
        <v>40</v>
      </c>
      <c r="AG46" s="30" t="s">
        <v>86</v>
      </c>
      <c r="AH46" s="39" t="s">
        <v>94</v>
      </c>
      <c r="AI46" s="31">
        <v>43831</v>
      </c>
      <c r="AJ46" s="31">
        <v>45293</v>
      </c>
      <c r="AK46" s="122" t="s">
        <v>95</v>
      </c>
      <c r="AL46" s="29" t="s">
        <v>96</v>
      </c>
      <c r="AM46" s="85">
        <f>TODAY()+365</f>
        <v>46085</v>
      </c>
      <c r="AN46" s="30">
        <v>110</v>
      </c>
      <c r="AO46" s="123" t="s">
        <v>98</v>
      </c>
      <c r="AP46" s="124" t="s">
        <v>99</v>
      </c>
      <c r="AQ46" s="123" t="s">
        <v>100</v>
      </c>
      <c r="AR46" s="43">
        <f>X46</f>
        <v>45689</v>
      </c>
      <c r="AS46" s="43">
        <f>X46</f>
        <v>45689</v>
      </c>
      <c r="AT46" s="55">
        <f>AM46</f>
        <v>46085</v>
      </c>
      <c r="AU46" s="124" t="s">
        <v>101</v>
      </c>
      <c r="AV46" s="125" t="s">
        <v>256</v>
      </c>
      <c r="AW46" s="46" t="s">
        <v>103</v>
      </c>
      <c r="AX46" s="46" t="s">
        <v>104</v>
      </c>
      <c r="AY46" s="46" t="s">
        <v>105</v>
      </c>
      <c r="AZ46" s="46" t="s">
        <v>106</v>
      </c>
      <c r="BA46" s="46" t="s">
        <v>107</v>
      </c>
      <c r="BB46" s="63" t="s">
        <v>90</v>
      </c>
      <c r="BC46" s="30" t="s">
        <v>77</v>
      </c>
      <c r="BD46" s="47" t="s">
        <v>108</v>
      </c>
      <c r="BE46" s="47">
        <v>9477896657</v>
      </c>
      <c r="BF46" s="30" t="s">
        <v>77</v>
      </c>
      <c r="BG46" s="47" t="s">
        <v>109</v>
      </c>
      <c r="BH46" s="47">
        <v>47678965391</v>
      </c>
      <c r="BI46" s="30" t="s">
        <v>77</v>
      </c>
      <c r="BJ46" s="47" t="s">
        <v>110</v>
      </c>
      <c r="BK46" s="47" t="s">
        <v>261</v>
      </c>
      <c r="BL46" s="126" t="s">
        <v>112</v>
      </c>
      <c r="BM46" s="127">
        <v>35591</v>
      </c>
      <c r="BN46" s="128" t="s">
        <v>113</v>
      </c>
      <c r="BO46" s="129" t="s">
        <v>139</v>
      </c>
      <c r="BP46" s="130" t="s">
        <v>115</v>
      </c>
      <c r="BQ46" s="131" t="s">
        <v>116</v>
      </c>
      <c r="BR46" s="132" t="s">
        <v>117</v>
      </c>
      <c r="BS46" s="131" t="s">
        <v>118</v>
      </c>
      <c r="BT46" s="130" t="s">
        <v>119</v>
      </c>
      <c r="BU46" s="130" t="s">
        <v>120</v>
      </c>
      <c r="BV46" s="131" t="s">
        <v>121</v>
      </c>
      <c r="BW46" s="131" t="s">
        <v>122</v>
      </c>
      <c r="BX46" s="131" t="s">
        <v>123</v>
      </c>
    </row>
    <row r="47" ht="14.5" customHeight="1" spans="1:76" x14ac:dyDescent="0.25">
      <c r="A47" t="s">
        <v>262</v>
      </c>
      <c r="D47" s="27" t="s">
        <v>76</v>
      </c>
      <c r="E47" t="s">
        <v>77</v>
      </c>
      <c r="H47" s="29" t="s">
        <v>80</v>
      </c>
      <c r="I47" s="30" t="s">
        <v>81</v>
      </c>
      <c r="J47" s="30" t="s">
        <v>82</v>
      </c>
      <c r="K47" s="117">
        <f>TODAY()-31</f>
        <v>45689</v>
      </c>
      <c r="L47" s="30" t="s">
        <v>77</v>
      </c>
      <c r="M47" s="30" t="s">
        <v>83</v>
      </c>
      <c r="N47" s="30" t="s">
        <v>84</v>
      </c>
      <c r="O47" s="30">
        <v>1</v>
      </c>
      <c r="P47" s="30" t="s">
        <v>85</v>
      </c>
      <c r="Q47" s="30" t="s">
        <v>86</v>
      </c>
      <c r="R47" s="30" t="s">
        <v>86</v>
      </c>
      <c r="S47" s="30" t="s">
        <v>85</v>
      </c>
      <c r="T47" s="30" t="s">
        <v>82</v>
      </c>
      <c r="U47" s="30" t="s">
        <v>87</v>
      </c>
      <c r="V47" s="32" t="s">
        <v>88</v>
      </c>
      <c r="W47" s="33" t="s">
        <v>82</v>
      </c>
      <c r="X47" s="34">
        <f>K47</f>
        <v>45689</v>
      </c>
      <c r="Y47" s="33" t="s">
        <v>89</v>
      </c>
      <c r="Z47" s="134" t="s">
        <v>90</v>
      </c>
      <c r="AA47" s="119" t="s">
        <v>91</v>
      </c>
      <c r="AB47" s="119" t="s">
        <v>255</v>
      </c>
      <c r="AC47" s="119" t="s">
        <v>136</v>
      </c>
      <c r="AD47" s="120">
        <v>766</v>
      </c>
      <c r="AE47" s="106" t="s">
        <v>70</v>
      </c>
      <c r="AF47" s="121">
        <v>20</v>
      </c>
      <c r="AG47" s="30" t="s">
        <v>86</v>
      </c>
      <c r="AH47" s="39" t="s">
        <v>94</v>
      </c>
      <c r="AI47" s="31">
        <v>43831</v>
      </c>
      <c r="AJ47" s="31">
        <v>45293</v>
      </c>
      <c r="AK47" s="122" t="s">
        <v>95</v>
      </c>
      <c r="AL47" s="29" t="s">
        <v>96</v>
      </c>
      <c r="AM47" s="85" t="s">
        <v>97</v>
      </c>
      <c r="AN47" s="30">
        <v>110</v>
      </c>
      <c r="AO47" s="123" t="s">
        <v>98</v>
      </c>
      <c r="AP47" s="124" t="s">
        <v>99</v>
      </c>
      <c r="AQ47" s="123" t="s">
        <v>100</v>
      </c>
      <c r="AR47" s="43">
        <f>X47</f>
        <v>45689</v>
      </c>
      <c r="AS47" s="43">
        <f>X47</f>
        <v>45689</v>
      </c>
      <c r="AT47" s="55">
        <f>AM47</f>
        <v>NaN</v>
      </c>
      <c r="AU47" s="124" t="s">
        <v>101</v>
      </c>
      <c r="AV47" s="125" t="s">
        <v>256</v>
      </c>
      <c r="AW47" s="46" t="s">
        <v>103</v>
      </c>
      <c r="AX47" s="46" t="s">
        <v>104</v>
      </c>
      <c r="AY47" s="46" t="s">
        <v>105</v>
      </c>
      <c r="AZ47" s="46" t="s">
        <v>106</v>
      </c>
      <c r="BA47" s="46" t="s">
        <v>107</v>
      </c>
      <c r="BB47" s="63" t="s">
        <v>90</v>
      </c>
      <c r="BC47" s="30" t="s">
        <v>77</v>
      </c>
      <c r="BD47" s="47" t="s">
        <v>108</v>
      </c>
      <c r="BE47" s="47">
        <v>9477896658</v>
      </c>
      <c r="BF47" s="30" t="s">
        <v>77</v>
      </c>
      <c r="BG47" s="47" t="s">
        <v>109</v>
      </c>
      <c r="BH47" s="47">
        <v>47678965392</v>
      </c>
      <c r="BI47" s="30" t="s">
        <v>77</v>
      </c>
      <c r="BJ47" s="47" t="s">
        <v>110</v>
      </c>
      <c r="BK47" s="47" t="s">
        <v>263</v>
      </c>
      <c r="BL47" s="126" t="s">
        <v>112</v>
      </c>
      <c r="BM47" s="127">
        <v>35591</v>
      </c>
      <c r="BN47" s="128" t="s">
        <v>113</v>
      </c>
      <c r="BO47" s="129" t="s">
        <v>139</v>
      </c>
      <c r="BP47" s="130" t="s">
        <v>115</v>
      </c>
      <c r="BQ47" s="131" t="s">
        <v>116</v>
      </c>
      <c r="BR47" s="132" t="s">
        <v>117</v>
      </c>
      <c r="BS47" s="131" t="s">
        <v>118</v>
      </c>
      <c r="BT47" s="130" t="s">
        <v>119</v>
      </c>
      <c r="BU47" s="130" t="s">
        <v>120</v>
      </c>
      <c r="BV47" s="131" t="s">
        <v>121</v>
      </c>
      <c r="BW47" s="131" t="s">
        <v>122</v>
      </c>
      <c r="BX47" s="131" t="s">
        <v>123</v>
      </c>
    </row>
    <row r="48" ht="14.5" customHeight="1" spans="1:76" x14ac:dyDescent="0.25">
      <c r="A48" t="s">
        <v>264</v>
      </c>
      <c r="D48" s="27" t="s">
        <v>76</v>
      </c>
      <c r="E48" t="s">
        <v>77</v>
      </c>
      <c r="H48" s="29" t="s">
        <v>80</v>
      </c>
      <c r="I48" s="30" t="s">
        <v>81</v>
      </c>
      <c r="J48" s="30" t="s">
        <v>82</v>
      </c>
      <c r="K48" s="117">
        <f>TODAY()-31</f>
        <v>45689</v>
      </c>
      <c r="L48" s="30" t="s">
        <v>77</v>
      </c>
      <c r="M48" s="30" t="s">
        <v>83</v>
      </c>
      <c r="N48" s="30" t="s">
        <v>84</v>
      </c>
      <c r="O48" s="30">
        <v>1</v>
      </c>
      <c r="P48" s="30" t="s">
        <v>85</v>
      </c>
      <c r="Q48" s="30" t="s">
        <v>86</v>
      </c>
      <c r="R48" s="30" t="s">
        <v>86</v>
      </c>
      <c r="S48" s="30" t="s">
        <v>85</v>
      </c>
      <c r="T48" s="30" t="s">
        <v>82</v>
      </c>
      <c r="U48" s="30" t="s">
        <v>87</v>
      </c>
      <c r="V48" s="32" t="s">
        <v>88</v>
      </c>
      <c r="W48" s="33" t="s">
        <v>82</v>
      </c>
      <c r="X48" s="34">
        <f>K48</f>
        <v>45689</v>
      </c>
      <c r="Y48" s="33" t="s">
        <v>89</v>
      </c>
      <c r="Z48" s="134" t="s">
        <v>90</v>
      </c>
      <c r="AA48" s="119" t="s">
        <v>128</v>
      </c>
      <c r="AB48" s="119" t="s">
        <v>265</v>
      </c>
      <c r="AC48" s="119" t="s">
        <v>93</v>
      </c>
      <c r="AD48" s="120">
        <v>766</v>
      </c>
      <c r="AE48" s="106" t="s">
        <v>70</v>
      </c>
      <c r="AF48" s="121">
        <v>40</v>
      </c>
      <c r="AG48" s="30" t="s">
        <v>86</v>
      </c>
      <c r="AH48" s="39" t="s">
        <v>94</v>
      </c>
      <c r="AI48" s="31">
        <v>43831</v>
      </c>
      <c r="AJ48" s="31">
        <v>45293</v>
      </c>
      <c r="AK48" s="122" t="s">
        <v>95</v>
      </c>
      <c r="AL48" s="29" t="s">
        <v>96</v>
      </c>
      <c r="AM48" s="85" t="s">
        <v>97</v>
      </c>
      <c r="AN48" s="30">
        <v>110</v>
      </c>
      <c r="AO48" s="123" t="s">
        <v>98</v>
      </c>
      <c r="AP48" s="125" t="s">
        <v>128</v>
      </c>
      <c r="AQ48" s="123" t="s">
        <v>100</v>
      </c>
      <c r="AR48" s="43">
        <f>X48</f>
        <v>45689</v>
      </c>
      <c r="AS48" s="43">
        <f>X48</f>
        <v>45689</v>
      </c>
      <c r="AT48" s="55">
        <f>AM48</f>
        <v>NaN</v>
      </c>
      <c r="AU48" s="124" t="s">
        <v>101</v>
      </c>
      <c r="AV48" s="125" t="s">
        <v>256</v>
      </c>
      <c r="AW48" s="46" t="s">
        <v>103</v>
      </c>
      <c r="AX48" s="46" t="s">
        <v>104</v>
      </c>
      <c r="AY48" s="46" t="s">
        <v>105</v>
      </c>
      <c r="AZ48" s="46" t="s">
        <v>106</v>
      </c>
      <c r="BA48" s="46" t="s">
        <v>107</v>
      </c>
      <c r="BB48" s="63" t="s">
        <v>90</v>
      </c>
      <c r="BC48" s="30" t="s">
        <v>77</v>
      </c>
      <c r="BD48" s="47" t="s">
        <v>108</v>
      </c>
      <c r="BE48" s="47">
        <v>9477896659</v>
      </c>
      <c r="BF48" s="30" t="s">
        <v>77</v>
      </c>
      <c r="BG48" s="47" t="s">
        <v>109</v>
      </c>
      <c r="BH48" s="47">
        <v>47678965393</v>
      </c>
      <c r="BI48" s="30" t="s">
        <v>77</v>
      </c>
      <c r="BJ48" s="47" t="s">
        <v>110</v>
      </c>
      <c r="BK48" s="47" t="s">
        <v>266</v>
      </c>
      <c r="BL48" s="126" t="s">
        <v>112</v>
      </c>
      <c r="BM48" s="127">
        <v>35591</v>
      </c>
      <c r="BN48" s="128" t="s">
        <v>113</v>
      </c>
      <c r="BO48" s="129" t="s">
        <v>139</v>
      </c>
      <c r="BP48" s="130" t="s">
        <v>115</v>
      </c>
      <c r="BQ48" s="131" t="s">
        <v>116</v>
      </c>
      <c r="BR48" s="132" t="s">
        <v>117</v>
      </c>
      <c r="BS48" s="131" t="s">
        <v>118</v>
      </c>
      <c r="BT48" s="130" t="s">
        <v>119</v>
      </c>
      <c r="BU48" s="130" t="s">
        <v>120</v>
      </c>
      <c r="BV48" s="131" t="s">
        <v>121</v>
      </c>
      <c r="BW48" s="131" t="s">
        <v>122</v>
      </c>
      <c r="BX48" s="131" t="s">
        <v>123</v>
      </c>
    </row>
    <row r="49" ht="14.5" customHeight="1" spans="1:76" x14ac:dyDescent="0.25">
      <c r="A49" t="s">
        <v>267</v>
      </c>
      <c r="D49" s="27" t="s">
        <v>76</v>
      </c>
      <c r="E49" t="s">
        <v>77</v>
      </c>
      <c r="H49" s="29" t="s">
        <v>80</v>
      </c>
      <c r="I49" s="30" t="s">
        <v>81</v>
      </c>
      <c r="J49" s="30" t="s">
        <v>82</v>
      </c>
      <c r="K49" s="117">
        <f>TODAY()-31</f>
        <v>45689</v>
      </c>
      <c r="L49" s="30" t="s">
        <v>77</v>
      </c>
      <c r="M49" s="30" t="s">
        <v>83</v>
      </c>
      <c r="N49" s="30" t="s">
        <v>84</v>
      </c>
      <c r="O49" s="30">
        <v>1</v>
      </c>
      <c r="P49" s="30" t="s">
        <v>85</v>
      </c>
      <c r="Q49" s="30" t="s">
        <v>86</v>
      </c>
      <c r="R49" s="30" t="s">
        <v>86</v>
      </c>
      <c r="S49" s="30" t="s">
        <v>85</v>
      </c>
      <c r="T49" s="30" t="s">
        <v>82</v>
      </c>
      <c r="U49" s="30" t="s">
        <v>87</v>
      </c>
      <c r="V49" s="32" t="s">
        <v>88</v>
      </c>
      <c r="W49" s="33" t="s">
        <v>82</v>
      </c>
      <c r="X49" s="34">
        <f>K49</f>
        <v>45689</v>
      </c>
      <c r="Y49" s="33" t="s">
        <v>89</v>
      </c>
      <c r="Z49" s="134" t="s">
        <v>90</v>
      </c>
      <c r="AA49" s="119" t="s">
        <v>128</v>
      </c>
      <c r="AB49" s="119" t="s">
        <v>265</v>
      </c>
      <c r="AC49" s="119" t="s">
        <v>93</v>
      </c>
      <c r="AD49" s="120">
        <v>766</v>
      </c>
      <c r="AE49" s="106" t="s">
        <v>70</v>
      </c>
      <c r="AF49" s="121">
        <v>40</v>
      </c>
      <c r="AG49" s="30" t="s">
        <v>86</v>
      </c>
      <c r="AH49" s="39" t="s">
        <v>94</v>
      </c>
      <c r="AI49" s="31">
        <v>43831</v>
      </c>
      <c r="AJ49" s="31">
        <v>45293</v>
      </c>
      <c r="AK49" s="122" t="s">
        <v>95</v>
      </c>
      <c r="AL49" s="29" t="s">
        <v>96</v>
      </c>
      <c r="AM49" s="85">
        <f>TODAY()+365</f>
        <v>46085</v>
      </c>
      <c r="AN49" s="30">
        <v>110</v>
      </c>
      <c r="AO49" s="123" t="s">
        <v>98</v>
      </c>
      <c r="AP49" s="125" t="s">
        <v>128</v>
      </c>
      <c r="AQ49" s="123" t="s">
        <v>100</v>
      </c>
      <c r="AR49" s="43">
        <f>X49</f>
        <v>45689</v>
      </c>
      <c r="AS49" s="43">
        <f>X49</f>
        <v>45689</v>
      </c>
      <c r="AT49" s="55">
        <f>AM49</f>
        <v>46085</v>
      </c>
      <c r="AU49" s="124" t="s">
        <v>101</v>
      </c>
      <c r="AV49" s="125" t="s">
        <v>256</v>
      </c>
      <c r="AW49" s="46" t="s">
        <v>103</v>
      </c>
      <c r="AX49" s="46" t="s">
        <v>104</v>
      </c>
      <c r="AY49" s="46" t="s">
        <v>105</v>
      </c>
      <c r="AZ49" s="46" t="s">
        <v>106</v>
      </c>
      <c r="BA49" s="46" t="s">
        <v>107</v>
      </c>
      <c r="BB49" s="63" t="s">
        <v>90</v>
      </c>
      <c r="BC49" s="30" t="s">
        <v>77</v>
      </c>
      <c r="BD49" s="47" t="s">
        <v>108</v>
      </c>
      <c r="BE49" s="47">
        <v>9477896660</v>
      </c>
      <c r="BF49" s="30" t="s">
        <v>77</v>
      </c>
      <c r="BG49" s="47" t="s">
        <v>109</v>
      </c>
      <c r="BH49" s="47">
        <v>47678965394</v>
      </c>
      <c r="BI49" s="30" t="s">
        <v>77</v>
      </c>
      <c r="BJ49" s="47" t="s">
        <v>110</v>
      </c>
      <c r="BK49" s="47" t="s">
        <v>268</v>
      </c>
      <c r="BL49" s="126" t="s">
        <v>112</v>
      </c>
      <c r="BM49" s="127">
        <v>35591</v>
      </c>
      <c r="BN49" s="128" t="s">
        <v>113</v>
      </c>
      <c r="BO49" s="129" t="s">
        <v>139</v>
      </c>
      <c r="BP49" s="130" t="s">
        <v>115</v>
      </c>
      <c r="BQ49" s="131" t="s">
        <v>116</v>
      </c>
      <c r="BR49" s="132" t="s">
        <v>117</v>
      </c>
      <c r="BS49" s="131" t="s">
        <v>118</v>
      </c>
      <c r="BT49" s="130" t="s">
        <v>119</v>
      </c>
      <c r="BU49" s="130" t="s">
        <v>120</v>
      </c>
      <c r="BV49" s="131" t="s">
        <v>121</v>
      </c>
      <c r="BW49" s="131" t="s">
        <v>122</v>
      </c>
      <c r="BX49" s="131" t="s">
        <v>123</v>
      </c>
    </row>
    <row r="50" ht="14.5" customHeight="1" spans="1:76" x14ac:dyDescent="0.25">
      <c r="A50" t="s">
        <v>269</v>
      </c>
      <c r="D50" s="27" t="s">
        <v>76</v>
      </c>
      <c r="E50" t="s">
        <v>77</v>
      </c>
      <c r="H50" s="93" t="s">
        <v>80</v>
      </c>
      <c r="I50" s="68" t="s">
        <v>81</v>
      </c>
      <c r="J50" s="30" t="s">
        <v>82</v>
      </c>
      <c r="K50" s="117">
        <f>TODAY()-31</f>
        <v>45689</v>
      </c>
      <c r="L50" s="30" t="s">
        <v>77</v>
      </c>
      <c r="M50" s="30" t="s">
        <v>83</v>
      </c>
      <c r="N50" s="30" t="s">
        <v>84</v>
      </c>
      <c r="O50" s="30">
        <v>1</v>
      </c>
      <c r="P50" s="30" t="s">
        <v>85</v>
      </c>
      <c r="Q50" s="30" t="s">
        <v>86</v>
      </c>
      <c r="R50" s="30" t="s">
        <v>86</v>
      </c>
      <c r="S50" s="30" t="s">
        <v>85</v>
      </c>
      <c r="T50" s="30" t="s">
        <v>82</v>
      </c>
      <c r="U50" s="30" t="s">
        <v>87</v>
      </c>
      <c r="V50" s="32" t="s">
        <v>88</v>
      </c>
      <c r="W50" s="33" t="s">
        <v>82</v>
      </c>
      <c r="X50" s="34">
        <f>K50</f>
        <v>45689</v>
      </c>
      <c r="Y50" s="33" t="s">
        <v>89</v>
      </c>
      <c r="Z50" s="134" t="s">
        <v>90</v>
      </c>
      <c r="AA50" s="119" t="s">
        <v>91</v>
      </c>
      <c r="AB50" s="119" t="s">
        <v>265</v>
      </c>
      <c r="AC50" s="119" t="s">
        <v>136</v>
      </c>
      <c r="AD50" s="120">
        <v>766</v>
      </c>
      <c r="AE50" s="106" t="s">
        <v>70</v>
      </c>
      <c r="AF50" s="121">
        <v>20</v>
      </c>
      <c r="AG50" s="30" t="s">
        <v>86</v>
      </c>
      <c r="AH50" s="39" t="s">
        <v>94</v>
      </c>
      <c r="AI50" s="31">
        <v>43831</v>
      </c>
      <c r="AJ50" s="31">
        <v>45293</v>
      </c>
      <c r="AK50" s="122" t="s">
        <v>95</v>
      </c>
      <c r="AL50" s="29" t="s">
        <v>96</v>
      </c>
      <c r="AM50" s="85" t="s">
        <v>97</v>
      </c>
      <c r="AN50" s="30">
        <v>110</v>
      </c>
      <c r="AO50" s="123" t="s">
        <v>98</v>
      </c>
      <c r="AP50" s="124" t="s">
        <v>99</v>
      </c>
      <c r="AQ50" s="123" t="s">
        <v>100</v>
      </c>
      <c r="AR50" s="43">
        <f>X50</f>
        <v>45689</v>
      </c>
      <c r="AS50" s="43">
        <f>X50</f>
        <v>45689</v>
      </c>
      <c r="AT50" s="55">
        <f>AM50</f>
        <v>NaN</v>
      </c>
      <c r="AU50" s="124" t="s">
        <v>101</v>
      </c>
      <c r="AV50" s="125" t="s">
        <v>256</v>
      </c>
      <c r="AW50" s="46" t="s">
        <v>103</v>
      </c>
      <c r="AX50" s="46" t="s">
        <v>104</v>
      </c>
      <c r="AY50" s="46" t="s">
        <v>105</v>
      </c>
      <c r="AZ50" s="46" t="s">
        <v>106</v>
      </c>
      <c r="BA50" s="46" t="s">
        <v>107</v>
      </c>
      <c r="BB50" s="63" t="s">
        <v>90</v>
      </c>
      <c r="BC50" s="30" t="s">
        <v>77</v>
      </c>
      <c r="BD50" s="47" t="s">
        <v>108</v>
      </c>
      <c r="BE50" s="47">
        <v>9477896661</v>
      </c>
      <c r="BF50" s="30" t="s">
        <v>77</v>
      </c>
      <c r="BG50" s="47" t="s">
        <v>109</v>
      </c>
      <c r="BH50" s="47">
        <v>47678965395</v>
      </c>
      <c r="BI50" s="30" t="s">
        <v>77</v>
      </c>
      <c r="BJ50" s="47" t="s">
        <v>110</v>
      </c>
      <c r="BK50" s="47" t="s">
        <v>270</v>
      </c>
      <c r="BL50" s="126" t="s">
        <v>112</v>
      </c>
      <c r="BM50" s="127">
        <v>35591</v>
      </c>
      <c r="BN50" s="128" t="s">
        <v>113</v>
      </c>
      <c r="BO50" s="129" t="s">
        <v>139</v>
      </c>
      <c r="BP50" s="130" t="s">
        <v>115</v>
      </c>
      <c r="BQ50" s="131" t="s">
        <v>116</v>
      </c>
      <c r="BR50" s="132" t="s">
        <v>117</v>
      </c>
      <c r="BS50" s="131" t="s">
        <v>118</v>
      </c>
      <c r="BT50" s="130" t="s">
        <v>119</v>
      </c>
      <c r="BU50" s="130" t="s">
        <v>120</v>
      </c>
      <c r="BV50" s="131" t="s">
        <v>121</v>
      </c>
      <c r="BW50" s="131" t="s">
        <v>122</v>
      </c>
      <c r="BX50" s="131" t="s">
        <v>123</v>
      </c>
    </row>
    <row r="51" ht="14.5" customHeight="1" spans="1:76" x14ac:dyDescent="0.25">
      <c r="A51" t="s">
        <v>271</v>
      </c>
      <c r="D51" s="27" t="s">
        <v>76</v>
      </c>
      <c r="E51" t="s">
        <v>77</v>
      </c>
      <c r="H51" s="29" t="s">
        <v>80</v>
      </c>
      <c r="I51" s="30" t="s">
        <v>81</v>
      </c>
      <c r="J51" s="30" t="s">
        <v>82</v>
      </c>
      <c r="K51" s="117">
        <f>TODAY()-31</f>
        <v>45689</v>
      </c>
      <c r="L51" s="30" t="s">
        <v>77</v>
      </c>
      <c r="M51" s="30" t="s">
        <v>83</v>
      </c>
      <c r="N51" s="30" t="s">
        <v>84</v>
      </c>
      <c r="O51" s="30">
        <v>1</v>
      </c>
      <c r="P51" s="30" t="s">
        <v>85</v>
      </c>
      <c r="Q51" s="30" t="s">
        <v>86</v>
      </c>
      <c r="R51" s="30" t="s">
        <v>86</v>
      </c>
      <c r="S51" s="30" t="s">
        <v>85</v>
      </c>
      <c r="T51" s="30" t="s">
        <v>82</v>
      </c>
      <c r="U51" s="30" t="s">
        <v>87</v>
      </c>
      <c r="V51" s="32" t="s">
        <v>88</v>
      </c>
      <c r="W51" s="33" t="s">
        <v>82</v>
      </c>
      <c r="X51" s="34">
        <f>K51</f>
        <v>45689</v>
      </c>
      <c r="Y51" s="33" t="s">
        <v>89</v>
      </c>
      <c r="Z51" s="134" t="s">
        <v>90</v>
      </c>
      <c r="AA51" s="119" t="s">
        <v>91</v>
      </c>
      <c r="AB51" s="119" t="s">
        <v>265</v>
      </c>
      <c r="AC51" s="119" t="s">
        <v>93</v>
      </c>
      <c r="AD51" s="120">
        <v>766</v>
      </c>
      <c r="AE51" s="106" t="s">
        <v>70</v>
      </c>
      <c r="AF51" s="121">
        <v>40</v>
      </c>
      <c r="AG51" s="30" t="s">
        <v>86</v>
      </c>
      <c r="AH51" s="39" t="s">
        <v>94</v>
      </c>
      <c r="AI51" s="31">
        <v>43831</v>
      </c>
      <c r="AJ51" s="31">
        <v>45293</v>
      </c>
      <c r="AK51" s="122" t="s">
        <v>95</v>
      </c>
      <c r="AL51" s="29" t="s">
        <v>96</v>
      </c>
      <c r="AM51" s="85" t="s">
        <v>97</v>
      </c>
      <c r="AN51" s="30">
        <v>110</v>
      </c>
      <c r="AO51" s="123" t="s">
        <v>98</v>
      </c>
      <c r="AP51" s="124" t="s">
        <v>99</v>
      </c>
      <c r="AQ51" s="123" t="s">
        <v>100</v>
      </c>
      <c r="AR51" s="43">
        <f>X51</f>
        <v>45689</v>
      </c>
      <c r="AS51" s="43">
        <f>X51</f>
        <v>45689</v>
      </c>
      <c r="AT51" s="55">
        <f>AM51</f>
        <v>NaN</v>
      </c>
      <c r="AU51" s="124" t="s">
        <v>101</v>
      </c>
      <c r="AV51" s="125" t="s">
        <v>256</v>
      </c>
      <c r="AW51" s="46" t="s">
        <v>103</v>
      </c>
      <c r="AX51" s="46" t="s">
        <v>104</v>
      </c>
      <c r="AY51" s="46" t="s">
        <v>105</v>
      </c>
      <c r="AZ51" s="46" t="s">
        <v>106</v>
      </c>
      <c r="BA51" s="46" t="s">
        <v>107</v>
      </c>
      <c r="BB51" s="63" t="s">
        <v>90</v>
      </c>
      <c r="BC51" s="30" t="s">
        <v>77</v>
      </c>
      <c r="BD51" s="47" t="s">
        <v>108</v>
      </c>
      <c r="BE51" s="47">
        <v>9477896662</v>
      </c>
      <c r="BF51" s="30" t="s">
        <v>77</v>
      </c>
      <c r="BG51" s="47" t="s">
        <v>109</v>
      </c>
      <c r="BH51" s="47">
        <v>47678965396</v>
      </c>
      <c r="BI51" s="30" t="s">
        <v>77</v>
      </c>
      <c r="BJ51" s="47" t="s">
        <v>110</v>
      </c>
      <c r="BK51" s="47" t="s">
        <v>272</v>
      </c>
      <c r="BL51" s="126" t="s">
        <v>112</v>
      </c>
      <c r="BM51" s="127">
        <v>35591</v>
      </c>
      <c r="BN51" s="128" t="s">
        <v>113</v>
      </c>
      <c r="BO51" s="129" t="s">
        <v>139</v>
      </c>
      <c r="BP51" s="130" t="s">
        <v>115</v>
      </c>
      <c r="BQ51" s="131" t="s">
        <v>116</v>
      </c>
      <c r="BR51" s="132" t="s">
        <v>117</v>
      </c>
      <c r="BS51" s="131" t="s">
        <v>118</v>
      </c>
      <c r="BT51" s="130" t="s">
        <v>119</v>
      </c>
      <c r="BU51" s="130" t="s">
        <v>120</v>
      </c>
      <c r="BV51" s="131" t="s">
        <v>121</v>
      </c>
      <c r="BW51" s="131" t="s">
        <v>122</v>
      </c>
      <c r="BX51" s="13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2025-03-04T06:09:43Z</dcterms:modified>
</cp:coreProperties>
</file>