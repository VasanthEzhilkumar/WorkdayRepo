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C8FA1F68-AA63-4BAC-B66E-9704FBAC71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" i="1" l="1"/>
  <c r="L5" i="1"/>
  <c r="X5" i="1" s="1"/>
  <c r="AR4" i="1"/>
  <c r="AM4" i="1"/>
  <c r="AK4" i="1"/>
  <c r="X4" i="1"/>
  <c r="L4" i="1"/>
  <c r="AN4" i="1" s="1"/>
  <c r="AR3" i="1"/>
  <c r="L3" i="1"/>
  <c r="AN3" i="1" s="1"/>
  <c r="AR2" i="1"/>
  <c r="AM2" i="1"/>
  <c r="AK2" i="1"/>
  <c r="X2" i="1"/>
  <c r="L2" i="1"/>
  <c r="AN2" i="1" s="1"/>
  <c r="X3" i="1" l="1"/>
  <c r="AK3" i="1"/>
  <c r="AK5" i="1"/>
  <c r="AM3" i="1"/>
  <c r="AM5" i="1"/>
  <c r="AN5" i="1"/>
</calcChain>
</file>

<file path=xl/sharedStrings.xml><?xml version="1.0" encoding="utf-8"?>
<sst xmlns="http://schemas.openxmlformats.org/spreadsheetml/2006/main" count="316" uniqueCount="132">
  <si>
    <t>TestCaseIDs</t>
  </si>
  <si>
    <t>EmployeeID</t>
  </si>
  <si>
    <t>TestStatus</t>
  </si>
  <si>
    <t>Process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</si>
  <si>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</si>
  <si>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</si>
  <si>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</si>
  <si>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</si>
  <si>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</si>
  <si>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</si>
  <si>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</si>
  <si>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</si>
  <si>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</si>
  <si>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</si>
  <si>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</si>
  <si>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</si>
  <si>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</si>
  <si>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</si>
  <si>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</si>
  <si>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</si>
  <si>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</si>
  <si>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</si>
  <si>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</si>
  <si>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</si>
  <si>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</si>
  <si>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</si>
  <si>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</si>
  <si>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</si>
  <si>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</si>
  <si>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</si>
  <si>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</si>
  <si>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</si>
  <si>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</si>
  <si>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</si>
  <si>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</si>
  <si>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</si>
  <si>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</si>
  <si>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</si>
  <si>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</si>
  <si>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</si>
  <si>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</si>
  <si>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</si>
  <si>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</si>
  <si>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</si>
  <si>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</si>
  <si>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</si>
  <si>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</si>
  <si>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</si>
  <si>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</si>
  <si>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</si>
  <si>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</si>
  <si>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</si>
  <si>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</si>
  <si>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</si>
  <si>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</si>
  <si>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</si>
  <si>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</si>
  <si>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</si>
  <si>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</si>
  <si>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</si>
  <si>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</si>
  <si>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</si>
  <si>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</si>
  <si>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</si>
  <si>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</si>
  <si>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</si>
  <si>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</si>
  <si>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Test_9</t>
  </si>
  <si>
    <t>Passed</t>
  </si>
  <si>
    <t>Yes</t>
  </si>
  <si>
    <t>Retail Czech Republic Area: Central (Fekof Bozilu (89628935))</t>
  </si>
  <si>
    <t>Czechia</t>
  </si>
  <si>
    <t>CZECHSITg</t>
  </si>
  <si>
    <t>CzSTPI</t>
  </si>
  <si>
    <t>771 272 784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</si>
  <si>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</si>
  <si>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</si>
  <si>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</si>
  <si>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</si>
  <si>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</si>
  <si>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</si>
  <si>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</si>
  <si>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</si>
  <si>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</si>
  <si>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42290329</t>
  </si>
  <si>
    <t>Permanent</t>
  </si>
  <si>
    <t>Assistant Store Manager_NEW</t>
  </si>
  <si>
    <t>Full Time</t>
  </si>
  <si>
    <t>896 Brno</t>
  </si>
  <si>
    <t>Salary</t>
  </si>
  <si>
    <t>5 Days</t>
  </si>
  <si>
    <t>N/A</t>
  </si>
  <si>
    <t>Employment Agreement</t>
  </si>
  <si>
    <t>Active</t>
  </si>
  <si>
    <t>92 Retail Management</t>
  </si>
  <si>
    <t>251 Management Retail</t>
  </si>
  <si>
    <t>Personal Number</t>
  </si>
  <si>
    <t>11/11/1999</t>
  </si>
  <si>
    <t>11/11/2055</t>
  </si>
  <si>
    <t>Citizen ID Number</t>
  </si>
  <si>
    <t>Male</t>
  </si>
  <si>
    <t>11/11/1984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</si>
  <si>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</si>
  <si>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</si>
  <si>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</si>
  <si>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</si>
  <si>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</si>
  <si>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</si>
  <si>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</si>
  <si>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</si>
  <si>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</si>
  <si>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</si>
  <si>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</si>
  <si>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</si>
  <si>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Test_12</t>
  </si>
  <si>
    <t>10652865</t>
  </si>
  <si>
    <t>CZECHSITq</t>
  </si>
  <si>
    <t>CzSTPL</t>
  </si>
  <si>
    <t>Auto 78958283</t>
  </si>
  <si>
    <t>P&amp;C Supervisor_NEW</t>
  </si>
  <si>
    <t>Test_13</t>
  </si>
  <si>
    <t xml:space="preserve">Test failed for 'CZECHSIT CzSTPM' Employee:{}TimeoutError: locator.clear: Timeout 30000ms exceeded.
Call log:
  [2m- waiting for locator('[aria-label="Search Workday "]')[22m
[2m  -   locator resolved to &lt;input aria-owns="" type="search" role="combobox" aria-…/&gt;[22m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[2m  -   waiting for element to be visible, enabled and editable[22m
[2m  -   element is not visible[22m
[2m  - retrying fill action, attempt #58[22m
[2m  -   waiting 500ms[22m
[2m  -   waiting for element to be visible, enabled and editable[22m
[2m  -   element is not visible[22m
[2m  - retrying fill action, attempt #59[22m
[2m  -   waiting 500ms[22m
</t>
  </si>
  <si>
    <t>Failed</t>
  </si>
  <si>
    <t>CzSTPM</t>
  </si>
  <si>
    <t>770 272 784</t>
  </si>
  <si>
    <t>Auto 84566356</t>
  </si>
  <si>
    <t>P&amp;C Manager_NEW</t>
  </si>
  <si>
    <t>Test_14</t>
  </si>
  <si>
    <t xml:space="preserve">Test failed for 'CZECHSIT CzSTPN' Employee:{}TimeoutError: locator.clear: Timeout 30000ms exceeded.
Call log:
  [2m- waiting for locator('[aria-label="Search Workday "]')[22m
[2m  -   locator resolved to &lt;input aria-owns="" type="search" role="combobox" aria-…/&gt;[22m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[2m  -   waiting for element to be visible, enabled and editable[22m
[2m  -   element is not visible[22m
[2m  - retrying fill action, attempt #58[22m
[2m  -   waiting 500ms[22m
[2m  -   waiting for element to be visible, enabled and editable[22m
[2m  -   element is not visible[22m
[2m  - retrying fill action, attempt #59[22m
[2m  -   waiting 500ms[22m
</t>
  </si>
  <si>
    <t>CzSTPN</t>
  </si>
  <si>
    <t>Auto 40579666</t>
  </si>
  <si>
    <t>Assistant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</si>
</sst>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  <xf numFmtId="0" fontId="8" fillId="5" borderId="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"/>
  <sheetViews>
    <sheetView tabSelected="1" zoomScale="110" zoomScaleNormal="110" workbookViewId="0">
      <selection activeCell="E14" sqref="E14"/>
    </sheetView>
  </sheetViews>
  <sheetFormatPr defaultRowHeight="14.4" customHeight="1" x14ac:dyDescent="0.35"/>
  <cols>
    <col min="5" max="103" width="17" customWidth="1"/>
  </cols>
  <sheetData>
    <row r="1" spans="1:103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5" t="s">
        <v>29</v>
      </c>
      <c r="AH1" s="6" t="s">
        <v>30</v>
      </c>
      <c r="AI1" s="3" t="s">
        <v>31</v>
      </c>
      <c r="AJ1" s="3" t="s">
        <v>32</v>
      </c>
      <c r="AK1" s="3" t="s">
        <v>33</v>
      </c>
      <c r="AL1" s="2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7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7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8" t="s">
        <v>59</v>
      </c>
      <c r="BL1" s="3" t="s">
        <v>60</v>
      </c>
      <c r="BM1" s="3" t="s">
        <v>5</v>
      </c>
      <c r="BN1" s="3" t="s">
        <v>6</v>
      </c>
      <c r="BO1" s="3" t="s">
        <v>7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3" t="s">
        <v>66</v>
      </c>
      <c r="BV1" s="9"/>
      <c r="BW1" s="9"/>
      <c r="BX1" s="9"/>
      <c r="BY1" s="9"/>
      <c r="BZ1" s="9"/>
      <c r="CA1" s="10"/>
      <c r="CB1" s="9"/>
      <c r="CC1" s="9"/>
      <c r="CD1" s="9"/>
      <c r="CE1" s="9"/>
      <c r="CF1" s="10"/>
      <c r="CG1" s="9"/>
      <c r="CH1" s="9"/>
      <c r="CI1" s="11"/>
      <c r="CJ1" s="10"/>
      <c r="CK1" s="9"/>
      <c r="CL1" s="10"/>
      <c r="CM1" s="10"/>
      <c r="CN1" s="9"/>
      <c r="CO1" s="9"/>
      <c r="CP1" s="9"/>
      <c r="CQ1" s="9"/>
      <c r="CR1" s="9"/>
      <c r="CS1" s="9"/>
      <c r="CT1" s="9"/>
      <c r="CU1" s="9"/>
      <c r="CV1" s="10"/>
      <c r="CW1" s="10"/>
      <c r="CX1" s="9"/>
      <c r="CY1" s="10"/>
    </row>
    <row r="2" spans="1:103" ht="14.4" customHeight="1" x14ac:dyDescent="0.35">
      <c r="A2" s="12" t="s">
        <v>67</v>
      </c>
      <c r="B2" s="13">
        <v>10652861</v>
      </c>
      <c r="C2" s="14" t="s">
        <v>68</v>
      </c>
      <c r="D2" s="14" t="s">
        <v>69</v>
      </c>
      <c r="E2" s="15" t="s">
        <v>70</v>
      </c>
      <c r="F2" s="16" t="s">
        <v>71</v>
      </c>
      <c r="G2" s="17" t="s">
        <v>72</v>
      </c>
      <c r="H2" s="17" t="s">
        <v>73</v>
      </c>
      <c r="I2" s="18" t="s">
        <v>74</v>
      </c>
      <c r="J2" s="18" t="s">
        <v>75</v>
      </c>
      <c r="K2" s="18" t="s">
        <v>76</v>
      </c>
      <c r="L2" s="19">
        <f t="shared" ref="L2:L5" ca="1" si="0">TODAY()-61</f>
        <v>45638</v>
      </c>
      <c r="M2" s="16" t="s">
        <v>71</v>
      </c>
      <c r="N2" s="16" t="s">
        <v>77</v>
      </c>
      <c r="O2" s="16">
        <v>1</v>
      </c>
      <c r="P2" s="18" t="s">
        <v>78</v>
      </c>
      <c r="Q2" s="18" t="s">
        <v>79</v>
      </c>
      <c r="R2" s="18" t="s">
        <v>78</v>
      </c>
      <c r="S2" s="18" t="s">
        <v>80</v>
      </c>
      <c r="T2" s="18" t="s">
        <v>76</v>
      </c>
      <c r="U2" s="20" t="s">
        <v>81</v>
      </c>
      <c r="V2" s="21" t="s">
        <v>82</v>
      </c>
      <c r="W2" s="18" t="s">
        <v>76</v>
      </c>
      <c r="X2" s="19">
        <f t="shared" ref="X2:X5" ca="1" si="1">L2</f>
        <v>45638</v>
      </c>
      <c r="Y2" s="18" t="s">
        <v>83</v>
      </c>
      <c r="Z2" s="17" t="s">
        <v>84</v>
      </c>
      <c r="AA2" s="22" t="s">
        <v>85</v>
      </c>
      <c r="AB2" s="22" t="s">
        <v>86</v>
      </c>
      <c r="AC2" s="22" t="s">
        <v>87</v>
      </c>
      <c r="AD2" s="23" t="s">
        <v>88</v>
      </c>
      <c r="AE2" s="23" t="s">
        <v>89</v>
      </c>
      <c r="AF2" s="22" t="s">
        <v>90</v>
      </c>
      <c r="AG2" s="24">
        <v>40</v>
      </c>
      <c r="AH2" s="25" t="s">
        <v>91</v>
      </c>
      <c r="AI2" s="26" t="s">
        <v>92</v>
      </c>
      <c r="AJ2" s="26" t="s">
        <v>93</v>
      </c>
      <c r="AK2" s="27">
        <f t="shared" ref="AK2:AK5" ca="1" si="2">L2</f>
        <v>45638</v>
      </c>
      <c r="AL2" s="25" t="s">
        <v>91</v>
      </c>
      <c r="AM2" s="28">
        <f t="shared" ref="AM2:AM5" ca="1" si="3">L2</f>
        <v>45638</v>
      </c>
      <c r="AN2" s="28">
        <f t="shared" ref="AN2:AN5" ca="1" si="4">L2</f>
        <v>45638</v>
      </c>
      <c r="AO2" s="26" t="s">
        <v>94</v>
      </c>
      <c r="AP2" s="22" t="s">
        <v>95</v>
      </c>
      <c r="AQ2" s="16">
        <v>100</v>
      </c>
      <c r="AR2" s="28">
        <f t="shared" ref="AR2:AR5" ca="1" si="5">TODAY()+20</f>
        <v>45719</v>
      </c>
      <c r="AS2" s="16" t="s">
        <v>71</v>
      </c>
      <c r="AT2" s="29" t="s">
        <v>96</v>
      </c>
      <c r="AU2" s="30">
        <v>983049443</v>
      </c>
      <c r="AV2" s="28" t="s">
        <v>97</v>
      </c>
      <c r="AW2" s="28" t="s">
        <v>98</v>
      </c>
      <c r="AX2" s="16" t="s">
        <v>71</v>
      </c>
      <c r="AY2" s="29" t="s">
        <v>99</v>
      </c>
      <c r="AZ2" s="30">
        <v>890257068</v>
      </c>
      <c r="BA2" s="28" t="s">
        <v>97</v>
      </c>
      <c r="BB2" s="28" t="s">
        <v>98</v>
      </c>
      <c r="BC2" s="31" t="s">
        <v>100</v>
      </c>
      <c r="BD2" s="28" t="s">
        <v>101</v>
      </c>
      <c r="BE2" s="29" t="s">
        <v>78</v>
      </c>
      <c r="BF2" s="29" t="s">
        <v>102</v>
      </c>
      <c r="BG2" s="29" t="s">
        <v>103</v>
      </c>
      <c r="BH2" s="16" t="s">
        <v>104</v>
      </c>
      <c r="BI2" s="16" t="s">
        <v>105</v>
      </c>
      <c r="BJ2" s="32" t="s">
        <v>106</v>
      </c>
      <c r="BK2" t="s">
        <v>107</v>
      </c>
      <c r="BL2" s="16" t="s">
        <v>108</v>
      </c>
      <c r="BM2" s="16" t="s">
        <v>71</v>
      </c>
      <c r="BN2" s="16" t="s">
        <v>72</v>
      </c>
      <c r="BO2" s="16" t="s">
        <v>73</v>
      </c>
      <c r="BP2" s="16" t="s">
        <v>109</v>
      </c>
      <c r="BQ2" s="16" t="s">
        <v>110</v>
      </c>
      <c r="BR2" s="18" t="s">
        <v>111</v>
      </c>
      <c r="BS2" s="18" t="s">
        <v>112</v>
      </c>
      <c r="BT2" t="s">
        <v>113</v>
      </c>
      <c r="BU2" s="33">
        <v>213111231</v>
      </c>
    </row>
    <row r="3" spans="1:103" ht="14.4" customHeight="1" x14ac:dyDescent="0.35">
      <c r="A3" s="12" t="s">
        <v>114</v>
      </c>
      <c r="B3" t="s">
        <v>115</v>
      </c>
      <c r="C3" s="14" t="s">
        <v>68</v>
      </c>
      <c r="D3" s="14" t="s">
        <v>69</v>
      </c>
      <c r="E3" s="15" t="s">
        <v>70</v>
      </c>
      <c r="F3" s="16" t="s">
        <v>71</v>
      </c>
      <c r="G3" s="17" t="s">
        <v>116</v>
      </c>
      <c r="H3" s="17" t="s">
        <v>117</v>
      </c>
      <c r="I3" s="18" t="s">
        <v>74</v>
      </c>
      <c r="J3" s="18" t="s">
        <v>75</v>
      </c>
      <c r="K3" s="18" t="s">
        <v>76</v>
      </c>
      <c r="L3" s="19">
        <f t="shared" ca="1" si="0"/>
        <v>45638</v>
      </c>
      <c r="M3" s="16" t="s">
        <v>71</v>
      </c>
      <c r="N3" s="16" t="s">
        <v>77</v>
      </c>
      <c r="O3" s="16">
        <v>1</v>
      </c>
      <c r="P3" s="18" t="s">
        <v>78</v>
      </c>
      <c r="Q3" s="18" t="s">
        <v>79</v>
      </c>
      <c r="R3" s="18" t="s">
        <v>78</v>
      </c>
      <c r="S3" s="18" t="s">
        <v>80</v>
      </c>
      <c r="T3" s="18" t="s">
        <v>76</v>
      </c>
      <c r="U3" s="20" t="s">
        <v>81</v>
      </c>
      <c r="V3" s="21" t="s">
        <v>82</v>
      </c>
      <c r="W3" s="18" t="s">
        <v>76</v>
      </c>
      <c r="X3" s="19">
        <f t="shared" ca="1" si="1"/>
        <v>45638</v>
      </c>
      <c r="Y3" s="18" t="s">
        <v>83</v>
      </c>
      <c r="Z3" s="17" t="s">
        <v>118</v>
      </c>
      <c r="AA3" s="22" t="s">
        <v>85</v>
      </c>
      <c r="AB3" s="22" t="s">
        <v>119</v>
      </c>
      <c r="AC3" s="22" t="s">
        <v>87</v>
      </c>
      <c r="AD3" s="23" t="s">
        <v>88</v>
      </c>
      <c r="AE3" s="23" t="s">
        <v>89</v>
      </c>
      <c r="AF3" s="22" t="s">
        <v>90</v>
      </c>
      <c r="AG3" s="24">
        <v>40</v>
      </c>
      <c r="AH3" s="25" t="s">
        <v>91</v>
      </c>
      <c r="AI3" s="26" t="s">
        <v>92</v>
      </c>
      <c r="AJ3" s="26" t="s">
        <v>93</v>
      </c>
      <c r="AK3" s="27">
        <f t="shared" ca="1" si="2"/>
        <v>45638</v>
      </c>
      <c r="AL3" s="25" t="s">
        <v>91</v>
      </c>
      <c r="AM3" s="28">
        <f t="shared" ca="1" si="3"/>
        <v>45638</v>
      </c>
      <c r="AN3" s="28">
        <f t="shared" ca="1" si="4"/>
        <v>45638</v>
      </c>
      <c r="AO3" s="26" t="s">
        <v>94</v>
      </c>
      <c r="AP3" s="22" t="s">
        <v>95</v>
      </c>
      <c r="AQ3" s="16">
        <v>100</v>
      </c>
      <c r="AR3" s="28">
        <f t="shared" ca="1" si="5"/>
        <v>45719</v>
      </c>
      <c r="AS3" s="16" t="s">
        <v>71</v>
      </c>
      <c r="AT3" s="29" t="s">
        <v>96</v>
      </c>
      <c r="AU3" s="30">
        <v>983049446</v>
      </c>
      <c r="AV3" s="28" t="s">
        <v>97</v>
      </c>
      <c r="AW3" s="28" t="s">
        <v>98</v>
      </c>
      <c r="AX3" s="16" t="s">
        <v>71</v>
      </c>
      <c r="AY3" s="29" t="s">
        <v>99</v>
      </c>
      <c r="AZ3" s="30">
        <v>890257071</v>
      </c>
      <c r="BA3" s="28" t="s">
        <v>97</v>
      </c>
      <c r="BB3" s="28" t="s">
        <v>98</v>
      </c>
      <c r="BC3" s="31" t="s">
        <v>100</v>
      </c>
      <c r="BD3" s="28" t="s">
        <v>101</v>
      </c>
      <c r="BE3" s="29" t="s">
        <v>78</v>
      </c>
      <c r="BF3" s="29" t="s">
        <v>102</v>
      </c>
      <c r="BG3" s="29" t="s">
        <v>103</v>
      </c>
      <c r="BH3" s="16" t="s">
        <v>104</v>
      </c>
      <c r="BI3" s="16" t="s">
        <v>105</v>
      </c>
      <c r="BJ3" s="32" t="s">
        <v>106</v>
      </c>
      <c r="BK3" t="s">
        <v>107</v>
      </c>
      <c r="BL3" s="16" t="s">
        <v>108</v>
      </c>
      <c r="BM3" s="16" t="s">
        <v>71</v>
      </c>
      <c r="BN3" s="16" t="s">
        <v>116</v>
      </c>
      <c r="BO3" s="16" t="s">
        <v>117</v>
      </c>
      <c r="BP3" s="16" t="s">
        <v>109</v>
      </c>
      <c r="BQ3" s="16" t="s">
        <v>110</v>
      </c>
      <c r="BR3" s="18" t="s">
        <v>111</v>
      </c>
      <c r="BS3" s="18" t="s">
        <v>112</v>
      </c>
      <c r="BT3" t="s">
        <v>113</v>
      </c>
      <c r="BU3" s="33">
        <v>213111231</v>
      </c>
    </row>
    <row r="4" spans="1:103" ht="14.4" customHeight="1" x14ac:dyDescent="0.35">
      <c r="A4" s="12" t="s">
        <v>120</v>
      </c>
      <c r="B4" t="s">
        <v>121</v>
      </c>
      <c r="C4" s="14" t="s">
        <v>122</v>
      </c>
      <c r="D4" s="14" t="s">
        <v>69</v>
      </c>
      <c r="E4" s="15" t="s">
        <v>70</v>
      </c>
      <c r="F4" s="16" t="s">
        <v>71</v>
      </c>
      <c r="G4" s="17" t="s">
        <v>72</v>
      </c>
      <c r="H4" s="17" t="s">
        <v>123</v>
      </c>
      <c r="I4" s="18" t="s">
        <v>124</v>
      </c>
      <c r="J4" s="18" t="s">
        <v>75</v>
      </c>
      <c r="K4" s="18" t="s">
        <v>76</v>
      </c>
      <c r="L4" s="19">
        <f t="shared" ca="1" si="0"/>
        <v>45638</v>
      </c>
      <c r="M4" s="16" t="s">
        <v>71</v>
      </c>
      <c r="N4" s="16" t="s">
        <v>77</v>
      </c>
      <c r="O4" s="16">
        <v>1</v>
      </c>
      <c r="P4" s="18" t="s">
        <v>78</v>
      </c>
      <c r="Q4" s="18" t="s">
        <v>79</v>
      </c>
      <c r="R4" s="18" t="s">
        <v>78</v>
      </c>
      <c r="S4" s="18" t="s">
        <v>80</v>
      </c>
      <c r="T4" s="18" t="s">
        <v>76</v>
      </c>
      <c r="U4" s="20" t="s">
        <v>81</v>
      </c>
      <c r="V4" s="21" t="s">
        <v>82</v>
      </c>
      <c r="W4" s="18" t="s">
        <v>76</v>
      </c>
      <c r="X4" s="19">
        <f t="shared" ca="1" si="1"/>
        <v>45638</v>
      </c>
      <c r="Y4" s="18" t="s">
        <v>83</v>
      </c>
      <c r="Z4" s="17" t="s">
        <v>125</v>
      </c>
      <c r="AA4" s="22" t="s">
        <v>85</v>
      </c>
      <c r="AB4" s="22" t="s">
        <v>126</v>
      </c>
      <c r="AC4" s="22" t="s">
        <v>87</v>
      </c>
      <c r="AD4" s="23" t="s">
        <v>88</v>
      </c>
      <c r="AE4" s="23" t="s">
        <v>89</v>
      </c>
      <c r="AF4" s="22" t="s">
        <v>90</v>
      </c>
      <c r="AG4" s="24">
        <v>40</v>
      </c>
      <c r="AH4" s="25" t="s">
        <v>91</v>
      </c>
      <c r="AI4" s="26" t="s">
        <v>92</v>
      </c>
      <c r="AJ4" s="26" t="s">
        <v>93</v>
      </c>
      <c r="AK4" s="27">
        <f t="shared" ca="1" si="2"/>
        <v>45638</v>
      </c>
      <c r="AL4" s="25" t="s">
        <v>91</v>
      </c>
      <c r="AM4" s="28">
        <f t="shared" ca="1" si="3"/>
        <v>45638</v>
      </c>
      <c r="AN4" s="28">
        <f t="shared" ca="1" si="4"/>
        <v>45638</v>
      </c>
      <c r="AO4" s="26" t="s">
        <v>94</v>
      </c>
      <c r="AP4" s="22" t="s">
        <v>95</v>
      </c>
      <c r="AQ4" s="16">
        <v>100</v>
      </c>
      <c r="AR4" s="28">
        <f t="shared" ca="1" si="5"/>
        <v>45719</v>
      </c>
      <c r="AS4" s="16" t="s">
        <v>71</v>
      </c>
      <c r="AT4" s="29" t="s">
        <v>96</v>
      </c>
      <c r="AU4" s="30">
        <v>983049447</v>
      </c>
      <c r="AV4" s="28" t="s">
        <v>97</v>
      </c>
      <c r="AW4" s="28" t="s">
        <v>98</v>
      </c>
      <c r="AX4" s="16" t="s">
        <v>71</v>
      </c>
      <c r="AY4" s="29" t="s">
        <v>99</v>
      </c>
      <c r="AZ4" s="30">
        <v>890257072</v>
      </c>
      <c r="BA4" s="28" t="s">
        <v>97</v>
      </c>
      <c r="BB4" s="28" t="s">
        <v>98</v>
      </c>
      <c r="BC4" s="31" t="s">
        <v>100</v>
      </c>
      <c r="BD4" s="28" t="s">
        <v>101</v>
      </c>
      <c r="BE4" s="29" t="s">
        <v>78</v>
      </c>
      <c r="BF4" s="29" t="s">
        <v>102</v>
      </c>
      <c r="BG4" s="29" t="s">
        <v>103</v>
      </c>
      <c r="BH4" s="16" t="s">
        <v>104</v>
      </c>
      <c r="BI4" s="16" t="s">
        <v>105</v>
      </c>
      <c r="BJ4" s="32" t="s">
        <v>106</v>
      </c>
      <c r="BK4" t="s">
        <v>107</v>
      </c>
      <c r="BL4" s="16" t="s">
        <v>108</v>
      </c>
      <c r="BM4" s="16" t="s">
        <v>71</v>
      </c>
      <c r="BN4" s="16" t="s">
        <v>72</v>
      </c>
      <c r="BO4" s="16" t="s">
        <v>123</v>
      </c>
      <c r="BP4" s="16" t="s">
        <v>109</v>
      </c>
      <c r="BQ4" s="16" t="s">
        <v>110</v>
      </c>
      <c r="BR4" s="18" t="s">
        <v>111</v>
      </c>
      <c r="BS4" s="18" t="s">
        <v>112</v>
      </c>
      <c r="BT4" t="s">
        <v>113</v>
      </c>
      <c r="BU4" s="33">
        <v>213111231</v>
      </c>
    </row>
    <row r="5" spans="1:103" ht="14.4" customHeight="1" x14ac:dyDescent="0.35">
      <c r="A5" s="12" t="s">
        <v>127</v>
      </c>
      <c r="B5" t="s">
        <v>128</v>
      </c>
      <c r="C5" s="14" t="s">
        <v>122</v>
      </c>
      <c r="D5" s="14" t="s">
        <v>69</v>
      </c>
      <c r="E5" s="15" t="s">
        <v>70</v>
      </c>
      <c r="F5" s="16" t="s">
        <v>71</v>
      </c>
      <c r="G5" s="17" t="s">
        <v>72</v>
      </c>
      <c r="H5" s="17" t="s">
        <v>129</v>
      </c>
      <c r="I5" s="18" t="s">
        <v>124</v>
      </c>
      <c r="J5" s="18" t="s">
        <v>75</v>
      </c>
      <c r="K5" s="18" t="s">
        <v>76</v>
      </c>
      <c r="L5" s="19">
        <f t="shared" ca="1" si="0"/>
        <v>45638</v>
      </c>
      <c r="M5" s="16" t="s">
        <v>71</v>
      </c>
      <c r="N5" s="16" t="s">
        <v>77</v>
      </c>
      <c r="O5" s="16">
        <v>1</v>
      </c>
      <c r="P5" s="18" t="s">
        <v>78</v>
      </c>
      <c r="Q5" s="18" t="s">
        <v>79</v>
      </c>
      <c r="R5" s="18" t="s">
        <v>78</v>
      </c>
      <c r="S5" s="18" t="s">
        <v>80</v>
      </c>
      <c r="T5" s="18" t="s">
        <v>76</v>
      </c>
      <c r="U5" s="20" t="s">
        <v>81</v>
      </c>
      <c r="V5" s="21" t="s">
        <v>82</v>
      </c>
      <c r="W5" s="18" t="s">
        <v>76</v>
      </c>
      <c r="X5" s="19">
        <f t="shared" ca="1" si="1"/>
        <v>45638</v>
      </c>
      <c r="Y5" s="18" t="s">
        <v>83</v>
      </c>
      <c r="Z5" s="17" t="s">
        <v>130</v>
      </c>
      <c r="AA5" s="22" t="s">
        <v>85</v>
      </c>
      <c r="AB5" s="22" t="s">
        <v>131</v>
      </c>
      <c r="AC5" s="22" t="s">
        <v>87</v>
      </c>
      <c r="AD5" s="23" t="s">
        <v>88</v>
      </c>
      <c r="AE5" s="23" t="s">
        <v>89</v>
      </c>
      <c r="AF5" s="22" t="s">
        <v>90</v>
      </c>
      <c r="AG5" s="24">
        <v>40</v>
      </c>
      <c r="AH5" s="25" t="s">
        <v>91</v>
      </c>
      <c r="AI5" s="26" t="s">
        <v>92</v>
      </c>
      <c r="AJ5" s="26" t="s">
        <v>93</v>
      </c>
      <c r="AK5" s="27">
        <f t="shared" ca="1" si="2"/>
        <v>45638</v>
      </c>
      <c r="AL5" s="25" t="s">
        <v>91</v>
      </c>
      <c r="AM5" s="28">
        <f t="shared" ca="1" si="3"/>
        <v>45638</v>
      </c>
      <c r="AN5" s="28">
        <f t="shared" ca="1" si="4"/>
        <v>45638</v>
      </c>
      <c r="AO5" s="26" t="s">
        <v>94</v>
      </c>
      <c r="AP5" s="22" t="s">
        <v>95</v>
      </c>
      <c r="AQ5" s="16">
        <v>100</v>
      </c>
      <c r="AR5" s="28">
        <f t="shared" ca="1" si="5"/>
        <v>45719</v>
      </c>
      <c r="AS5" s="16" t="s">
        <v>71</v>
      </c>
      <c r="AT5" s="29" t="s">
        <v>96</v>
      </c>
      <c r="AU5" s="30">
        <v>983049448</v>
      </c>
      <c r="AV5" s="28" t="s">
        <v>97</v>
      </c>
      <c r="AW5" s="28" t="s">
        <v>98</v>
      </c>
      <c r="AX5" s="16" t="s">
        <v>71</v>
      </c>
      <c r="AY5" s="29" t="s">
        <v>99</v>
      </c>
      <c r="AZ5" s="30">
        <v>890257073</v>
      </c>
      <c r="BA5" s="28" t="s">
        <v>97</v>
      </c>
      <c r="BB5" s="28" t="s">
        <v>98</v>
      </c>
      <c r="BC5" s="31" t="s">
        <v>100</v>
      </c>
      <c r="BD5" s="28" t="s">
        <v>101</v>
      </c>
      <c r="BE5" s="29" t="s">
        <v>78</v>
      </c>
      <c r="BF5" s="29" t="s">
        <v>102</v>
      </c>
      <c r="BG5" s="29" t="s">
        <v>103</v>
      </c>
      <c r="BH5" s="16" t="s">
        <v>104</v>
      </c>
      <c r="BI5" s="16" t="s">
        <v>105</v>
      </c>
      <c r="BJ5" s="32" t="s">
        <v>106</v>
      </c>
      <c r="BK5" t="s">
        <v>107</v>
      </c>
      <c r="BL5" s="16" t="s">
        <v>108</v>
      </c>
      <c r="BM5" s="16" t="s">
        <v>71</v>
      </c>
      <c r="BN5" s="16" t="s">
        <v>72</v>
      </c>
      <c r="BO5" s="16" t="s">
        <v>129</v>
      </c>
      <c r="BP5" s="16" t="s">
        <v>109</v>
      </c>
      <c r="BQ5" s="16" t="s">
        <v>110</v>
      </c>
      <c r="BR5" s="18" t="s">
        <v>111</v>
      </c>
      <c r="BS5" s="18" t="s">
        <v>112</v>
      </c>
      <c r="BT5" t="s">
        <v>113</v>
      </c>
      <c r="BU5" s="33">
        <v>213111231</v>
      </c>
    </row>
    <row r="8" spans="1:103" ht="14.4" customHeight="1" x14ac:dyDescent="0.25">
      <c r="C8" s="34"/>
      <c r="D8" s="35"/>
    </row>
  </sheetData>
  <dataValidations count="1">
    <dataValidation type="list" allowBlank="1" showInputMessage="1" showErrorMessage="1" sqref="AJ2:AJ5 Y2:Y5 W2:W5 T2:T5 K2:K5 BI2:BI5" xr:uid="{00000000-0002-0000-0000-000000000000}">
      <formula1>INDIRECT($F2)</formula1>
    </dataValidation>
  </dataValidations>
  <hyperlinks>
    <hyperlink ref="V3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2025-02-11T12:02:13Z</dcterms:modified>
</cp:coreProperties>
</file>