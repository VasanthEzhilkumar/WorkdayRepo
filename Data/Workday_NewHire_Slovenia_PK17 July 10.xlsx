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10" yWindow="-60" windowWidth="29020" windowHeight="158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<sst xmlns="http://schemas.openxmlformats.org/spreadsheetml/2006/main" count="187" uniqueCount="123">
  <si>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</si>
  <si>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</si>
  <si>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</si>
  <si>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</si>
  <si>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</si>
  <si>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</si>
  <si>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</si>
  <si>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</si>
  <si>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</si>
  <si>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</si>
  <si>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</si>
  <si>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</si>
  <si>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</si>
  <si>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</si>
  <si>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</si>
  <si>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</si>
  <si>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</si>
  <si>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</si>
  <si>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</si>
  <si>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</si>
  <si>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</si>
  <si>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</si>
  <si>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</si>
  <si>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</si>
  <si>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</si>
  <si>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</si>
  <si>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</si>
  <si>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</si>
  <si>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</si>
  <si>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</si>
  <si>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</si>
  <si>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</si>
  <si>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</si>
  <si>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</si>
  <si>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</si>
  <si>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</si>
  <si>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</si>
  <si>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</si>
  <si>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</si>
  <si>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</si>
  <si>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</si>
  <si>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</si>
  <si>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</si>
  <si>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</si>
  <si>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</si>
  <si>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</si>
  <si>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</si>
  <si>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</si>
  <si>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</si>
  <si>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</si>
  <si>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</si>
  <si>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</si>
  <si>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</si>
  <si>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</si>
  <si>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</si>
  <si>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</si>
  <si>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</si>
  <si>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</si>
  <si>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</si>
  <si>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</si>
  <si>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</si>
  <si>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</si>
  <si>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</si>
  <si>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</si>
  <si>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</si>
  <si>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</si>
  <si>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</si>
  <si>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</si>
  <si>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</si>
  <si>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</si>
  <si>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DefaultWeeklyHours</t>
  </si>
  <si>
    <t>[1]E2E001_SI_HIR_TC004</t>
  </si>
  <si>
    <t>10700212</t>
  </si>
  <si>
    <t>Passed</t>
  </si>
  <si>
    <t>795 Store Management  (Zogop Dogegy (On Leave) (10185858))</t>
  </si>
  <si>
    <t>Slovenia</t>
  </si>
  <si>
    <t>Triston</t>
  </si>
  <si>
    <t>Johnston</t>
  </si>
  <si>
    <t>070-417-631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</si>
  <si>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</si>
  <si>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</si>
  <si>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</si>
  <si>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</si>
  <si>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</si>
  <si>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</si>
  <si>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</si>
  <si>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72072741</t>
  </si>
  <si>
    <t>Permanent</t>
  </si>
  <si>
    <t>Team Manager - Retail_NEW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</si>
  <si>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</si>
  <si>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</si>
  <si>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</si>
  <si>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</si>
  <si>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</si>
  <si>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</si>
  <si>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92 Retail Management</t>
  </si>
  <si>
    <t>251 Management Retail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</si>
  <si>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</si>
  <si>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</si>
  <si>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</si>
  <si>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</si>
  <si>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</si>
  <si>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</si>
  <si>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</si>
  <si>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</si>
  <si>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</si>
  <si>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</si>
  <si>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</si>
  <si>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</si>
  <si>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</si>
  <si>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</si>
  <si>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</si>
  <si>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</si>
  <si>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[1]E2E001_SI_HIR_TC016</t>
  </si>
  <si>
    <t>10700211</t>
  </si>
  <si>
    <t>795 Recruitment (Zosig Depazi (10280602))</t>
  </si>
  <si>
    <t>Micaela</t>
  </si>
  <si>
    <t>Pacocha</t>
  </si>
  <si>
    <t>No</t>
  </si>
  <si>
    <t>Retail Assistant_NEW</t>
  </si>
  <si>
    <t>Part Time</t>
  </si>
  <si>
    <t>94 Retail Operatives</t>
  </si>
  <si>
    <t>01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</si>
</sst>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9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4"/>
      <name val="Arial"/>
    </font>
    <font>
      <family val="2"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6" borderId="2" xfId="0" applyFill="1" applyBorder="1" applyAlignment="1">
      <alignment wrapText="1"/>
    </xf>
    <xf numFmtId="0" fontId="0" fillId="7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7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8" fillId="0" borderId="0" xfId="0" applyFont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0" borderId="2" xfId="0" applyBorder="1" applyAlignment="1">
      <alignment wrapText="1"/>
    </xf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"/>
  <sheetViews>
    <sheetView workbookViewId="0" zoomScale="90" zoomScaleNormal="90">
      <selection activeCell="AO20" sqref="AO20"/>
    </sheetView>
  </sheetViews>
  <sheetFormatPr defaultRowHeight="15.65" outlineLevelRow="1" outlineLevelCol="0" x14ac:dyDescent="0.35" customHeight="1"/>
  <cols>
    <col min="1" max="1" width="27.36328125" style="1" customWidth="1"/>
    <col min="2" max="2" width="40.54296875" style="1" customWidth="1"/>
    <col min="3" max="3" width="9.36328125" style="1" customWidth="1"/>
    <col min="4" max="4" width="36.8164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75" width="29.6328125" customWidth="1"/>
  </cols>
  <sheetData>
    <row r="1" ht="15" customHeight="1" spans="1:75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  <c r="BW1" s="9" t="s">
        <v>70</v>
      </c>
    </row>
    <row r="2" ht="15.65" customHeight="1" spans="1:75" x14ac:dyDescent="0.25">
      <c r="A2" s="10" t="s">
        <v>71</v>
      </c>
      <c r="B2" s="1" t="s">
        <v>72</v>
      </c>
      <c r="C2" s="11" t="s">
        <v>73</v>
      </c>
      <c r="D2" s="12" t="s">
        <v>74</v>
      </c>
      <c r="E2" s="13" t="s">
        <v>75</v>
      </c>
      <c r="F2" s="14" t="s">
        <v>76</v>
      </c>
      <c r="G2" s="14" t="s">
        <v>77</v>
      </c>
      <c r="H2" s="15" t="s">
        <v>78</v>
      </c>
      <c r="I2" s="16" t="s">
        <v>79</v>
      </c>
      <c r="J2" s="16" t="s">
        <v>80</v>
      </c>
      <c r="K2" s="17">
        <f>U2</f>
        <v>45658</v>
      </c>
      <c r="L2" s="13" t="s">
        <v>75</v>
      </c>
      <c r="M2" s="18" t="s">
        <v>81</v>
      </c>
      <c r="N2" s="18" t="s">
        <v>82</v>
      </c>
      <c r="O2" s="19" t="s">
        <v>82</v>
      </c>
      <c r="P2" s="16">
        <v>1542</v>
      </c>
      <c r="Q2" s="16" t="s">
        <v>80</v>
      </c>
      <c r="R2" s="20" t="s">
        <v>83</v>
      </c>
      <c r="S2" s="21" t="s">
        <v>84</v>
      </c>
      <c r="T2" s="16" t="s">
        <v>80</v>
      </c>
      <c r="U2" s="22">
        <v>45658</v>
      </c>
      <c r="V2" s="16" t="s">
        <v>85</v>
      </c>
      <c r="W2" s="23" t="s">
        <v>86</v>
      </c>
      <c r="X2" s="24" t="s">
        <v>87</v>
      </c>
      <c r="Y2" s="24" t="s">
        <v>88</v>
      </c>
      <c r="Z2" s="24" t="s">
        <v>89</v>
      </c>
      <c r="AA2" s="25">
        <v>795</v>
      </c>
      <c r="AB2" s="25" t="s">
        <v>90</v>
      </c>
      <c r="AC2" s="26">
        <v>40</v>
      </c>
      <c r="AD2" s="27" t="s">
        <v>91</v>
      </c>
      <c r="AE2" s="28" t="s">
        <v>92</v>
      </c>
      <c r="AF2" s="29" t="s">
        <v>91</v>
      </c>
      <c r="AG2" s="16" t="s">
        <v>93</v>
      </c>
      <c r="AH2" s="16" t="s">
        <v>94</v>
      </c>
      <c r="AI2" s="16" t="s">
        <v>91</v>
      </c>
      <c r="AJ2" s="17">
        <f>U2</f>
        <v>45658</v>
      </c>
      <c r="AK2" s="17">
        <f t="shared" ref="AK2:AL3" si="0">TODAY()-100</f>
        <v>45748</v>
      </c>
      <c r="AL2" s="17">
        <f t="shared" si="0"/>
        <v>45748</v>
      </c>
      <c r="AM2" s="22">
        <f t="shared" ref="AM2:AM3" si="1">AF2</f>
        <v>NaN</v>
      </c>
      <c r="AN2" s="16" t="s">
        <v>95</v>
      </c>
      <c r="AO2" s="30" t="s">
        <v>96</v>
      </c>
      <c r="AP2" s="24" t="s">
        <v>97</v>
      </c>
      <c r="AQ2" s="24" t="s">
        <v>98</v>
      </c>
      <c r="AR2" s="19" t="s">
        <v>99</v>
      </c>
      <c r="AS2" s="13" t="s">
        <v>91</v>
      </c>
      <c r="AT2" s="13" t="s">
        <v>91</v>
      </c>
      <c r="AU2" s="17">
        <f>U2 +30</f>
        <v>45688</v>
      </c>
      <c r="AV2" s="13" t="s">
        <v>75</v>
      </c>
      <c r="AW2" s="31" t="s">
        <v>100</v>
      </c>
      <c r="AX2" s="32">
        <f t="array" ref="AX2">_xlfn.RANDARRAY(2,1,1023456789000,9999999999999,TRUE)</f>
        <v>3791697639850</v>
      </c>
      <c r="AY2" s="17" t="s">
        <v>101</v>
      </c>
      <c r="AZ2" s="17" t="s">
        <v>102</v>
      </c>
      <c r="BA2" s="13" t="s">
        <v>75</v>
      </c>
      <c r="BB2" s="31" t="s">
        <v>103</v>
      </c>
      <c r="BC2" s="32">
        <f t="array" ref="BC2">_xlfn.RANDARRAY(2,1,12345678,99999999,TRUE)</f>
        <v>43996594</v>
      </c>
      <c r="BD2" s="17" t="s">
        <v>101</v>
      </c>
      <c r="BE2" s="17" t="s">
        <v>104</v>
      </c>
      <c r="BF2" s="19" t="s">
        <v>105</v>
      </c>
      <c r="BG2" s="17">
        <v>34520</v>
      </c>
      <c r="BH2" s="13" t="s">
        <v>106</v>
      </c>
      <c r="BI2" s="13" t="s">
        <v>75</v>
      </c>
      <c r="BJ2" s="13" t="s">
        <v>107</v>
      </c>
      <c r="BK2" s="33" t="s">
        <v>91</v>
      </c>
      <c r="BL2" s="13" t="s">
        <v>108</v>
      </c>
      <c r="BM2" s="34" t="s">
        <v>109</v>
      </c>
      <c r="BN2" s="13" t="s">
        <v>110</v>
      </c>
      <c r="BO2" s="13" t="s">
        <v>75</v>
      </c>
      <c r="BP2" s="13" t="s">
        <v>111</v>
      </c>
      <c r="BQ2" s="13">
        <f t="array" ref="BQ2">_xlfn.RANDARRAY(2,1,12345,99999,TRUE)</f>
        <v>97064</v>
      </c>
      <c r="BR2" s="17">
        <v>44562</v>
      </c>
      <c r="BS2" s="17">
        <v>47119</v>
      </c>
      <c r="BT2" s="22">
        <v>44562</v>
      </c>
      <c r="BU2" s="22">
        <f t="shared" ref="BU2:BU3" si="2">TODAY()+365</f>
        <v>46213</v>
      </c>
      <c r="BV2" s="16" t="s">
        <v>112</v>
      </c>
      <c r="BW2">
        <v>40</v>
      </c>
    </row>
    <row r="3" ht="15.65" customHeight="1" spans="1:75" x14ac:dyDescent="0.25">
      <c r="A3" s="35" t="s">
        <v>113</v>
      </c>
      <c r="B3" s="1" t="s">
        <v>114</v>
      </c>
      <c r="C3" s="11" t="s">
        <v>73</v>
      </c>
      <c r="D3" s="12" t="s">
        <v>115</v>
      </c>
      <c r="E3" s="13" t="s">
        <v>75</v>
      </c>
      <c r="F3" s="14" t="s">
        <v>116</v>
      </c>
      <c r="G3" s="14" t="s">
        <v>117</v>
      </c>
      <c r="H3" s="15" t="s">
        <v>78</v>
      </c>
      <c r="I3" s="16" t="s">
        <v>79</v>
      </c>
      <c r="J3" s="16" t="s">
        <v>80</v>
      </c>
      <c r="K3" s="17">
        <f t="shared" ref="K3" si="3">U3</f>
        <v>45658</v>
      </c>
      <c r="L3" s="13" t="s">
        <v>75</v>
      </c>
      <c r="M3" s="18" t="s">
        <v>81</v>
      </c>
      <c r="N3" s="18" t="s">
        <v>82</v>
      </c>
      <c r="O3" s="19" t="s">
        <v>82</v>
      </c>
      <c r="P3" s="16">
        <v>1542</v>
      </c>
      <c r="Q3" s="16" t="s">
        <v>80</v>
      </c>
      <c r="R3" s="20" t="s">
        <v>83</v>
      </c>
      <c r="S3" s="21" t="s">
        <v>84</v>
      </c>
      <c r="T3" s="16" t="s">
        <v>80</v>
      </c>
      <c r="U3" s="22">
        <v>45658</v>
      </c>
      <c r="V3" s="16" t="s">
        <v>85</v>
      </c>
      <c r="W3" s="23" t="s">
        <v>118</v>
      </c>
      <c r="X3" s="24" t="s">
        <v>87</v>
      </c>
      <c r="Y3" s="24" t="s">
        <v>119</v>
      </c>
      <c r="Z3" s="24" t="s">
        <v>120</v>
      </c>
      <c r="AA3" s="25">
        <v>795</v>
      </c>
      <c r="AB3" s="25" t="s">
        <v>90</v>
      </c>
      <c r="AC3" s="26">
        <v>20</v>
      </c>
      <c r="AD3" s="27" t="s">
        <v>91</v>
      </c>
      <c r="AE3" s="28" t="s">
        <v>92</v>
      </c>
      <c r="AF3" s="29" t="s">
        <v>91</v>
      </c>
      <c r="AG3" s="16" t="s">
        <v>93</v>
      </c>
      <c r="AH3" s="16" t="s">
        <v>94</v>
      </c>
      <c r="AI3" s="16" t="s">
        <v>91</v>
      </c>
      <c r="AJ3" s="17">
        <f>U3</f>
        <v>45658</v>
      </c>
      <c r="AK3" s="17">
        <f t="shared" si="0"/>
        <v>45748</v>
      </c>
      <c r="AL3" s="17">
        <f t="shared" si="0"/>
        <v>45748</v>
      </c>
      <c r="AM3" s="22">
        <f t="shared" si="1"/>
        <v>NaN</v>
      </c>
      <c r="AN3" s="16" t="s">
        <v>121</v>
      </c>
      <c r="AO3" s="36" t="s">
        <v>122</v>
      </c>
      <c r="AP3" s="24" t="s">
        <v>97</v>
      </c>
      <c r="AQ3" s="24" t="s">
        <v>98</v>
      </c>
      <c r="AR3" s="19" t="s">
        <v>99</v>
      </c>
      <c r="AS3" s="13" t="s">
        <v>91</v>
      </c>
      <c r="AT3" s="13" t="s">
        <v>91</v>
      </c>
      <c r="AU3" s="17">
        <f t="shared" ref="AU3" si="4">U3 +30</f>
        <v>45688</v>
      </c>
      <c r="AV3" s="13" t="s">
        <v>75</v>
      </c>
      <c r="AW3" s="31" t="s">
        <v>100</v>
      </c>
      <c r="AX3" s="32">
        <f t="array" ref="AX3">_xlfn.RANDARRAY(2,1,1023456789000,9999999999999,TRUE)</f>
        <v>8012553586356</v>
      </c>
      <c r="AY3" s="17" t="s">
        <v>101</v>
      </c>
      <c r="AZ3" s="17" t="s">
        <v>102</v>
      </c>
      <c r="BA3" s="13" t="s">
        <v>75</v>
      </c>
      <c r="BB3" s="31" t="s">
        <v>103</v>
      </c>
      <c r="BC3" s="32">
        <f t="array" ref="BC3">_xlfn.RANDARRAY(2,1,12345678,99999999,TRUE)</f>
        <v>74987977</v>
      </c>
      <c r="BD3" s="17" t="s">
        <v>101</v>
      </c>
      <c r="BE3" s="17" t="s">
        <v>104</v>
      </c>
      <c r="BF3" s="19" t="s">
        <v>105</v>
      </c>
      <c r="BG3" s="17">
        <v>34521</v>
      </c>
      <c r="BH3" s="13" t="s">
        <v>106</v>
      </c>
      <c r="BI3" s="13" t="s">
        <v>75</v>
      </c>
      <c r="BJ3" s="13" t="s">
        <v>107</v>
      </c>
      <c r="BK3" s="33" t="s">
        <v>91</v>
      </c>
      <c r="BL3" s="13" t="s">
        <v>108</v>
      </c>
      <c r="BM3" s="34" t="s">
        <v>109</v>
      </c>
      <c r="BN3" s="13" t="s">
        <v>110</v>
      </c>
      <c r="BO3" s="13" t="s">
        <v>75</v>
      </c>
      <c r="BP3" s="13" t="s">
        <v>111</v>
      </c>
      <c r="BQ3" s="13">
        <f t="array" ref="BQ3">_xlfn.RANDARRAY(2,1,12345,99999,TRUE)</f>
        <v>63633</v>
      </c>
      <c r="BR3" s="17">
        <v>44562</v>
      </c>
      <c r="BS3" s="17">
        <v>47119</v>
      </c>
      <c r="BT3" s="22">
        <v>44562</v>
      </c>
      <c r="BU3" s="22">
        <f t="shared" si="2"/>
        <v>46213</v>
      </c>
      <c r="BV3" s="16" t="s">
        <v>112</v>
      </c>
      <c r="BW3">
        <v>40</v>
      </c>
    </row>
  </sheetData>
  <dataValidations count="6">
    <dataValidation type="list" allowBlank="1" showInputMessage="1" showErrorMessage="1" sqref="AH2:AH3">
      <formula1>INDIRECT($E2)</formula1>
    </dataValidation>
    <dataValidation type="list" allowBlank="1" showInputMessage="1" showErrorMessage="1" sqref="BL2:BL3">
      <formula1>INDIRECT($E2)</formula1>
    </dataValidation>
    <dataValidation type="list" allowBlank="1" showInputMessage="1" showErrorMessage="1" sqref="J2:J3">
      <formula1>INDIRECT($E2)</formula1>
    </dataValidation>
    <dataValidation type="list" allowBlank="1" showInputMessage="1" showErrorMessage="1" sqref="Q2:Q3">
      <formula1>INDIRECT($E2)</formula1>
    </dataValidation>
    <dataValidation type="list" allowBlank="1" showInputMessage="1" showErrorMessage="1" sqref="T2:T3">
      <formula1>INDIRECT($E2)</formula1>
    </dataValidation>
    <dataValidation type="list" allowBlank="1" showInputMessage="1" showErrorMessage="1" sqref="V2:V3">
      <formula1>INDIRECT($E2)</formula1>
    </dataValidation>
  </dataValidations>
  <hyperlinks>
    <hyperlink ref="S2" r:id="rId1"/>
    <hyperlink ref="S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2025-07-10T15:23:23Z</dcterms:modified>
</cp:coreProperties>
</file>