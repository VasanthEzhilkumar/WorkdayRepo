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:\RamWorkday_Playwright\Data\"/>
    </mc:Choice>
  </mc:AlternateContent>
  <xr:revisionPtr revIDLastSave="0" documentId="13_ncr:1_{6E381B94-98BB-4CFF-A832-90234862ACA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6" i="1" l="1"/>
  <c r="S56" i="1"/>
  <c r="R56" i="1"/>
  <c r="T24" i="1"/>
  <c r="T49" i="1" s="1"/>
  <c r="S24" i="1"/>
  <c r="S49" i="1" s="1"/>
  <c r="R24" i="1"/>
  <c r="R52" i="1" s="1"/>
  <c r="M24" i="1"/>
  <c r="M36" i="1" s="1"/>
  <c r="K56" i="1"/>
  <c r="K50" i="1"/>
  <c r="K24" i="1"/>
  <c r="K36" i="1" s="1"/>
  <c r="L24" i="1"/>
  <c r="L36" i="1" s="1"/>
  <c r="J24" i="1"/>
  <c r="J52" i="1" s="1"/>
  <c r="I24" i="1"/>
  <c r="I36" i="1" s="1"/>
  <c r="H24" i="1"/>
  <c r="H36" i="1" s="1"/>
  <c r="G24" i="1"/>
  <c r="G36" i="1" s="1"/>
  <c r="D83" i="1"/>
  <c r="E83" i="1" s="1"/>
  <c r="D82" i="1"/>
  <c r="E82" i="1" s="1"/>
  <c r="D81" i="1"/>
  <c r="E81" i="1" s="1"/>
  <c r="D80" i="1"/>
  <c r="E80" i="1" s="1"/>
  <c r="D79" i="1"/>
  <c r="E79" i="1" s="1"/>
  <c r="D78" i="1"/>
  <c r="E78" i="1" s="1"/>
  <c r="D77" i="1"/>
  <c r="E77" i="1" s="1"/>
  <c r="D76" i="1"/>
  <c r="E76" i="1" s="1"/>
  <c r="D75" i="1"/>
  <c r="E75" i="1" s="1"/>
  <c r="D74" i="1"/>
  <c r="E74" i="1" s="1"/>
  <c r="D73" i="1"/>
  <c r="E73" i="1" s="1"/>
  <c r="D72" i="1"/>
  <c r="E72" i="1" s="1"/>
  <c r="D71" i="1"/>
  <c r="E71" i="1" s="1"/>
  <c r="D70" i="1"/>
  <c r="E70" i="1" s="1"/>
  <c r="D69" i="1"/>
  <c r="E69" i="1" s="1"/>
  <c r="D68" i="1"/>
  <c r="E68" i="1" s="1"/>
  <c r="D67" i="1"/>
  <c r="E67" i="1" s="1"/>
  <c r="D66" i="1"/>
  <c r="E66" i="1" s="1"/>
  <c r="D65" i="1"/>
  <c r="E65" i="1" s="1"/>
  <c r="D64" i="1"/>
  <c r="E64" i="1" s="1"/>
  <c r="D63" i="1"/>
  <c r="E63" i="1" s="1"/>
  <c r="D62" i="1"/>
  <c r="E62" i="1" s="1"/>
  <c r="D61" i="1"/>
  <c r="E61" i="1" s="1"/>
  <c r="D60" i="1"/>
  <c r="E60" i="1" s="1"/>
  <c r="D59" i="1"/>
  <c r="E59" i="1" s="1"/>
  <c r="D58" i="1"/>
  <c r="E58" i="1" s="1"/>
  <c r="D57" i="1"/>
  <c r="E57" i="1" s="1"/>
  <c r="Q56" i="1"/>
  <c r="P56" i="1"/>
  <c r="O56" i="1"/>
  <c r="N56" i="1"/>
  <c r="M56" i="1"/>
  <c r="L56" i="1"/>
  <c r="J56" i="1"/>
  <c r="I56" i="1"/>
  <c r="H56" i="1"/>
  <c r="G56" i="1"/>
  <c r="D56" i="1"/>
  <c r="E56" i="1" s="1"/>
  <c r="D55" i="1"/>
  <c r="E55" i="1" s="1"/>
  <c r="D54" i="1"/>
  <c r="E54" i="1" s="1"/>
  <c r="D53" i="1"/>
  <c r="E53" i="1" s="1"/>
  <c r="D52" i="1"/>
  <c r="E52" i="1" s="1"/>
  <c r="D51" i="1"/>
  <c r="E51" i="1" s="1"/>
  <c r="L50" i="1"/>
  <c r="J50" i="1"/>
  <c r="H50" i="1"/>
  <c r="D50" i="1"/>
  <c r="E50" i="1" s="1"/>
  <c r="D49" i="1"/>
  <c r="E49" i="1" s="1"/>
  <c r="D48" i="1"/>
  <c r="E48" i="1" s="1"/>
  <c r="D47" i="1"/>
  <c r="E47" i="1" s="1"/>
  <c r="I50" i="1"/>
  <c r="G50" i="1"/>
  <c r="D46" i="1"/>
  <c r="E46" i="1" s="1"/>
  <c r="D45" i="1"/>
  <c r="E45" i="1" s="1"/>
  <c r="D44" i="1"/>
  <c r="E44" i="1" s="1"/>
  <c r="D43" i="1"/>
  <c r="E43" i="1" s="1"/>
  <c r="D42" i="1"/>
  <c r="E42" i="1" s="1"/>
  <c r="D41" i="1"/>
  <c r="E41" i="1" s="1"/>
  <c r="D40" i="1"/>
  <c r="E40" i="1" s="1"/>
  <c r="D39" i="1"/>
  <c r="E39" i="1" s="1"/>
  <c r="D38" i="1"/>
  <c r="E38" i="1" s="1"/>
  <c r="D37" i="1"/>
  <c r="E37" i="1" s="1"/>
  <c r="D36" i="1"/>
  <c r="E36" i="1" s="1"/>
  <c r="D35" i="1"/>
  <c r="E35" i="1" s="1"/>
  <c r="D34" i="1"/>
  <c r="E34" i="1" s="1"/>
  <c r="D33" i="1"/>
  <c r="E33" i="1" s="1"/>
  <c r="D32" i="1"/>
  <c r="E32" i="1" s="1"/>
  <c r="D31" i="1"/>
  <c r="E31" i="1" s="1"/>
  <c r="D30" i="1"/>
  <c r="E30" i="1" s="1"/>
  <c r="D29" i="1"/>
  <c r="E29" i="1" s="1"/>
  <c r="D28" i="1"/>
  <c r="E28" i="1" s="1"/>
  <c r="D27" i="1"/>
  <c r="E27" i="1" s="1"/>
  <c r="D26" i="1"/>
  <c r="E26" i="1" s="1"/>
  <c r="D25" i="1"/>
  <c r="E25" i="1" s="1"/>
  <c r="Q24" i="1"/>
  <c r="P24" i="1"/>
  <c r="P49" i="1" s="1"/>
  <c r="O24" i="1"/>
  <c r="O36" i="1" s="1"/>
  <c r="N24" i="1"/>
  <c r="N52" i="1" s="1"/>
  <c r="D24" i="1"/>
  <c r="E24" i="1" s="1"/>
  <c r="D23" i="1"/>
  <c r="E23" i="1" s="1"/>
  <c r="D22" i="1"/>
  <c r="E22" i="1" s="1"/>
  <c r="D21" i="1"/>
  <c r="E21" i="1" s="1"/>
  <c r="D20" i="1"/>
  <c r="E20" i="1" s="1"/>
  <c r="D19" i="1"/>
  <c r="E19" i="1" s="1"/>
  <c r="D18" i="1"/>
  <c r="E18" i="1" s="1"/>
  <c r="D17" i="1"/>
  <c r="E17" i="1" s="1"/>
  <c r="D16" i="1"/>
  <c r="E16" i="1" s="1"/>
  <c r="D15" i="1"/>
  <c r="E15" i="1" s="1"/>
  <c r="R36" i="1" l="1"/>
  <c r="R49" i="1"/>
  <c r="R51" i="1"/>
  <c r="T51" i="1"/>
  <c r="S51" i="1"/>
  <c r="S36" i="1"/>
  <c r="T36" i="1"/>
  <c r="S52" i="1"/>
  <c r="T52" i="1"/>
  <c r="K51" i="1"/>
  <c r="K52" i="1"/>
  <c r="K49" i="1"/>
  <c r="N51" i="1"/>
  <c r="H51" i="1"/>
  <c r="I49" i="1"/>
  <c r="H52" i="1"/>
  <c r="J51" i="1"/>
  <c r="P51" i="1"/>
  <c r="Q51" i="1"/>
  <c r="Q52" i="1"/>
  <c r="Q49" i="1"/>
  <c r="G52" i="1"/>
  <c r="G49" i="1"/>
  <c r="G51" i="1"/>
  <c r="I52" i="1"/>
  <c r="I51" i="1"/>
  <c r="M52" i="1"/>
  <c r="M51" i="1"/>
  <c r="Q36" i="1"/>
  <c r="M49" i="1"/>
  <c r="L52" i="1"/>
  <c r="L49" i="1"/>
  <c r="L51" i="1"/>
  <c r="O52" i="1"/>
  <c r="O49" i="1"/>
  <c r="O51" i="1"/>
  <c r="P52" i="1"/>
  <c r="J36" i="1"/>
  <c r="N36" i="1"/>
  <c r="P36" i="1"/>
  <c r="H49" i="1"/>
  <c r="J49" i="1"/>
  <c r="N49" i="1"/>
</calcChain>
</file>

<file path=xl/sharedStrings.xml><?xml version="1.0" encoding="utf-8"?>
<sst xmlns="http://schemas.openxmlformats.org/spreadsheetml/2006/main" count="1099" uniqueCount="228">
  <si>
    <t>Version_Number</t>
  </si>
  <si>
    <t>Test_ID</t>
  </si>
  <si>
    <t>Test_ID2</t>
  </si>
  <si>
    <t>Notes</t>
  </si>
  <si>
    <t>Test_10</t>
  </si>
  <si>
    <t>Test_11</t>
  </si>
  <si>
    <t>Test_12</t>
  </si>
  <si>
    <t>Test_13</t>
  </si>
  <si>
    <t>Test_14</t>
  </si>
  <si>
    <t>0.3</t>
  </si>
  <si>
    <t>Reporting_ID</t>
  </si>
  <si>
    <t>Process</t>
  </si>
  <si>
    <t>Process2</t>
  </si>
  <si>
    <t>If a manager hire and new role is required then select "New Role and New Hire" otherwise select "New Hire</t>
  </si>
  <si>
    <t>New Hire</t>
  </si>
  <si>
    <t>New Role &amp; New Hire</t>
  </si>
  <si>
    <t>Execution Flag</t>
  </si>
  <si>
    <t>ExecutionFlag</t>
  </si>
  <si>
    <t>ExecutionFlag2</t>
  </si>
  <si>
    <t>If set to No will not execute in next automation run</t>
  </si>
  <si>
    <t>Yes</t>
  </si>
  <si>
    <t>Data Validation Complete</t>
  </si>
  <si>
    <t>DataValidationComplete</t>
  </si>
  <si>
    <t>DataValidationComplete2</t>
  </si>
  <si>
    <t>Hire Name Complete</t>
  </si>
  <si>
    <t>HireNameComplete</t>
  </si>
  <si>
    <t>HireNameComplete2</t>
  </si>
  <si>
    <t>Results</t>
  </si>
  <si>
    <t>EmployeeID</t>
  </si>
  <si>
    <t>Last Run Error Message</t>
  </si>
  <si>
    <t>LastRunErrorMessage</t>
  </si>
  <si>
    <t>LastRunErrorMessage2</t>
  </si>
  <si>
    <t>If Automation throws errors, the details will be placed here</t>
  </si>
  <si>
    <t>Defect Description</t>
  </si>
  <si>
    <t>DefectDescription</t>
  </si>
  <si>
    <t>DefectDescription2</t>
  </si>
  <si>
    <t>After error investigation by the automation team, the defect description will be completed here</t>
  </si>
  <si>
    <t>Automation Comments</t>
  </si>
  <si>
    <t>AutomationComments</t>
  </si>
  <si>
    <t>AutomationComments2</t>
  </si>
  <si>
    <t>Automation team free text field</t>
  </si>
  <si>
    <t>QA Comments</t>
  </si>
  <si>
    <t>QAComments</t>
  </si>
  <si>
    <t>QAComments2</t>
  </si>
  <si>
    <t>QA team free text field</t>
  </si>
  <si>
    <t>Screen</t>
  </si>
  <si>
    <t>Subscreen</t>
  </si>
  <si>
    <t>Field</t>
  </si>
  <si>
    <t>Automation Ref</t>
  </si>
  <si>
    <t>Lookups Ref</t>
  </si>
  <si>
    <t>Login</t>
  </si>
  <si>
    <t>N/A</t>
  </si>
  <si>
    <t>Username</t>
  </si>
  <si>
    <t>QA user login</t>
  </si>
  <si>
    <t>Password</t>
  </si>
  <si>
    <t>QA user password</t>
  </si>
  <si>
    <t>66eb0ddfe1833a6c0473b8ea80d04ab9d9cf77994b86082d9ff6f77f</t>
  </si>
  <si>
    <t>Supervisory Organisation</t>
  </si>
  <si>
    <t>896 Retail Team (Vuvip Kevozi (10525382) (Inherited))</t>
  </si>
  <si>
    <t>Retail Czech Republic Area: Central (Fekof Bozilu (89628935))</t>
  </si>
  <si>
    <t>Legal Name Information</t>
  </si>
  <si>
    <t>Country</t>
  </si>
  <si>
    <t>Test country to be placed here</t>
  </si>
  <si>
    <t>Czechia</t>
  </si>
  <si>
    <t>Given Name</t>
  </si>
  <si>
    <t>Automation will throw error if not unique</t>
  </si>
  <si>
    <t>Family Name</t>
  </si>
  <si>
    <t>Contact Information</t>
  </si>
  <si>
    <t>Phone</t>
  </si>
  <si>
    <t>Phone Number</t>
  </si>
  <si>
    <t>770 272 784</t>
  </si>
  <si>
    <t>771 272 784</t>
  </si>
  <si>
    <t>Phone Device</t>
  </si>
  <si>
    <t>Mobile</t>
  </si>
  <si>
    <t>Type</t>
  </si>
  <si>
    <t>Home</t>
  </si>
  <si>
    <t>Address</t>
  </si>
  <si>
    <t>Effective Date</t>
  </si>
  <si>
    <t>Street Name</t>
  </si>
  <si>
    <t>Test</t>
  </si>
  <si>
    <t>House Number</t>
  </si>
  <si>
    <t>Locality</t>
  </si>
  <si>
    <t>Prague</t>
  </si>
  <si>
    <t>Postal Code</t>
  </si>
  <si>
    <t>City</t>
  </si>
  <si>
    <t>Region</t>
  </si>
  <si>
    <t>Pardubic</t>
  </si>
  <si>
    <t>Use For</t>
  </si>
  <si>
    <t>"Permanent" or "Temporary"</t>
  </si>
  <si>
    <t>Street Address</t>
  </si>
  <si>
    <t>Email</t>
  </si>
  <si>
    <t>Email Address</t>
  </si>
  <si>
    <t>Test@primark.com</t>
  </si>
  <si>
    <t>Job Details</t>
  </si>
  <si>
    <t>Hire Date</t>
  </si>
  <si>
    <t>Reason</t>
  </si>
  <si>
    <t>Position</t>
  </si>
  <si>
    <t>If Process is set to "New Role and New Hire" (Row 2) this position name will be ignored and replaced with the newly created name.</t>
  </si>
  <si>
    <t>No</t>
  </si>
  <si>
    <t>Auto 26102024 181953</t>
  </si>
  <si>
    <t>Auto 26102024 185305</t>
  </si>
  <si>
    <t>Employee Type</t>
  </si>
  <si>
    <t>If Fixed Term ensure contract end date below is populated and not N/A</t>
  </si>
  <si>
    <t>Permanent</t>
  </si>
  <si>
    <t>Job Profile</t>
  </si>
  <si>
    <t>Retail Assistant_NEW</t>
  </si>
  <si>
    <t>Store Manager_NEW</t>
  </si>
  <si>
    <t>Time Type</t>
  </si>
  <si>
    <t>Part Time</t>
  </si>
  <si>
    <t>Full Time</t>
  </si>
  <si>
    <t>Location</t>
  </si>
  <si>
    <t>896 Brno</t>
  </si>
  <si>
    <t>Pay Rate Type</t>
  </si>
  <si>
    <t>Salary</t>
  </si>
  <si>
    <t>Additional Information</t>
  </si>
  <si>
    <t>Work Shift</t>
  </si>
  <si>
    <t>5 Days</t>
  </si>
  <si>
    <t>Scheduled Weekly Hours</t>
  </si>
  <si>
    <t>End Employment Date</t>
  </si>
  <si>
    <t>Maintain Employee Contract</t>
  </si>
  <si>
    <t>Contract Type</t>
  </si>
  <si>
    <t>Employment Agreement</t>
  </si>
  <si>
    <t>Status</t>
  </si>
  <si>
    <t>Set to N/A when field not present otherwise automation will throw error</t>
  </si>
  <si>
    <t>Active</t>
  </si>
  <si>
    <t>Contract Start Date</t>
  </si>
  <si>
    <t>Contract End Date</t>
  </si>
  <si>
    <t>Date Employee Signed</t>
  </si>
  <si>
    <t>Date Employer Signed</t>
  </si>
  <si>
    <t>Change Organization Assignments</t>
  </si>
  <si>
    <t>Cost Center</t>
  </si>
  <si>
    <t>94 Retail Operatives</t>
  </si>
  <si>
    <t>92 Retail Management</t>
  </si>
  <si>
    <t>Department Section</t>
  </si>
  <si>
    <t>08 Ladieswear</t>
  </si>
  <si>
    <t>251 Management Retail</t>
  </si>
  <si>
    <t>Propose Compensation Hire</t>
  </si>
  <si>
    <t>Allowance Amount</t>
  </si>
  <si>
    <t>Manage Probation Period</t>
  </si>
  <si>
    <t>Probation End Date</t>
  </si>
  <si>
    <t>Change My Government IDs</t>
  </si>
  <si>
    <t>National IDs</t>
  </si>
  <si>
    <t>Country1</t>
  </si>
  <si>
    <t>National ID Type1</t>
  </si>
  <si>
    <t>Personal Number</t>
  </si>
  <si>
    <t>Add Edit ID1</t>
  </si>
  <si>
    <t>Issued Date1</t>
  </si>
  <si>
    <t>11/11/1999</t>
  </si>
  <si>
    <t>Expiration Date1</t>
  </si>
  <si>
    <t>11/11/2055</t>
  </si>
  <si>
    <t>Country2</t>
  </si>
  <si>
    <t>National ID Type2</t>
  </si>
  <si>
    <t>Citizen ID Number</t>
  </si>
  <si>
    <t>Add Edit ID2</t>
  </si>
  <si>
    <t>Issued Date2</t>
  </si>
  <si>
    <t>Expiration Date2</t>
  </si>
  <si>
    <t>Change My Personal Information</t>
  </si>
  <si>
    <t>Gender</t>
  </si>
  <si>
    <t>Male</t>
  </si>
  <si>
    <t>Date Of Birth</t>
  </si>
  <si>
    <t>11/11/1984</t>
  </si>
  <si>
    <t>City of Birth</t>
  </si>
  <si>
    <t>Marital Status</t>
  </si>
  <si>
    <t>Single (Czechia)</t>
  </si>
  <si>
    <t>Citizenship Status</t>
  </si>
  <si>
    <t>Citizen (Czechia)</t>
  </si>
  <si>
    <t>Payment Election Option</t>
  </si>
  <si>
    <t>Bank Name</t>
  </si>
  <si>
    <t>Air Bank</t>
  </si>
  <si>
    <t>Account Type</t>
  </si>
  <si>
    <t>Checking</t>
  </si>
  <si>
    <t>IBAN</t>
  </si>
  <si>
    <t>CZ6508000000192000145399</t>
  </si>
  <si>
    <t>Bank Identification Code</t>
  </si>
  <si>
    <t>AIRACZPPXXX</t>
  </si>
  <si>
    <t>Add Additonal Name</t>
  </si>
  <si>
    <t>Name Type</t>
  </si>
  <si>
    <t>Maiden</t>
  </si>
  <si>
    <t>Health Care Provider</t>
  </si>
  <si>
    <t>Health Insurance Company</t>
  </si>
  <si>
    <t>(VZP) – code No. 111</t>
  </si>
  <si>
    <t>Meal Voucher</t>
  </si>
  <si>
    <t>Ne</t>
  </si>
  <si>
    <t>Assign Pay Group</t>
  </si>
  <si>
    <t>Proposed Pay Group Initial</t>
  </si>
  <si>
    <t>Please select a Czech Republic Pay Group</t>
  </si>
  <si>
    <t>Proposed Pay Group Final</t>
  </si>
  <si>
    <t>CZ Monthly</t>
  </si>
  <si>
    <t>Department Manager_NEW</t>
  </si>
  <si>
    <t>Assistant Store Manager_NEW</t>
  </si>
  <si>
    <t>Team Manager - Retail_NEW</t>
  </si>
  <si>
    <t>In-Store Visual Merchandising Manager_NEW</t>
  </si>
  <si>
    <t>P&amp;C Supervisor_NEW</t>
  </si>
  <si>
    <t>P&amp;C Manager_NEW</t>
  </si>
  <si>
    <t>Assistant Manager_NEW</t>
  </si>
  <si>
    <t>Test_01</t>
  </si>
  <si>
    <t>Test_02</t>
  </si>
  <si>
    <t>Test_03</t>
  </si>
  <si>
    <t>Test_04</t>
  </si>
  <si>
    <t>Test_05</t>
  </si>
  <si>
    <t>Test_06</t>
  </si>
  <si>
    <t>Test_07</t>
  </si>
  <si>
    <t>Test_08</t>
  </si>
  <si>
    <t>Test_09</t>
  </si>
  <si>
    <t>CZECHSIT</t>
  </si>
  <si>
    <t>CzSTPA</t>
  </si>
  <si>
    <t>CzSTPB</t>
  </si>
  <si>
    <t>CzSTPC</t>
  </si>
  <si>
    <t>CzSTPD</t>
  </si>
  <si>
    <t>CzSTPE</t>
  </si>
  <si>
    <t>CzSTPF</t>
  </si>
  <si>
    <t>CzSTPG</t>
  </si>
  <si>
    <t>CzSTPH</t>
  </si>
  <si>
    <t>CzSTPI</t>
  </si>
  <si>
    <t>CzSTPJ</t>
  </si>
  <si>
    <t>CzSTPK</t>
  </si>
  <si>
    <t>CzSTPL</t>
  </si>
  <si>
    <t>CzSTPM</t>
  </si>
  <si>
    <t>CzSTPN</t>
  </si>
  <si>
    <t>10652857</t>
  </si>
  <si>
    <t>Passed</t>
  </si>
  <si>
    <t>10652858</t>
  </si>
  <si>
    <t>10652859</t>
  </si>
  <si>
    <t>10652847</t>
  </si>
  <si>
    <t>10652849</t>
  </si>
  <si>
    <t>10652850</t>
  </si>
  <si>
    <t>10652860</t>
  </si>
  <si>
    <t>10652855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</si>
</sst>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0" tint="-0.34998626667073579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b/>
      <sz val="14"/>
      <name val="Arial"/>
      <family val="2"/>
    </font>
    <font>
      <b/>
      <sz val="11"/>
      <name val="Calibri"/>
      <family val="2"/>
    </font>
    <font>
      <sz val="14"/>
      <color rgb="FFFF0000"/>
      <name val="Arial"/>
      <family val="2"/>
    </font>
    <font>
      <b/>
      <sz val="14"/>
      <color rgb="FFFF0000"/>
      <name val="Arial"/>
      <family val="2"/>
    </font>
    <font>
      <sz val="11"/>
      <name val="Calibri"/>
      <family val="2"/>
      <scheme val="minor"/>
    </font>
    <font>
      <sz val="14"/>
      <name val="Arial"/>
      <family val="2"/>
    </font>
    <font>
      <b/>
      <sz val="10"/>
      <color rgb="FF000000"/>
      <name val="Calibr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FF00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4">
    <xf numFmtId="0" fontId="0" fillId="0" borderId="0" xfId="0"/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6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5" fillId="0" borderId="0" xfId="0" applyFont="1"/>
    <xf numFmtId="0" fontId="7" fillId="3" borderId="5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center" vertical="center"/>
      <protection locked="0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9" fillId="3" borderId="8" xfId="0" applyFont="1" applyFill="1" applyBorder="1" applyAlignment="1" applyProtection="1">
      <alignment horizontal="center" vertical="center"/>
      <protection locked="0"/>
    </xf>
    <xf numFmtId="0" fontId="6" fillId="3" borderId="8" xfId="0" applyFont="1" applyFill="1" applyBorder="1" applyAlignment="1" applyProtection="1">
      <alignment horizontal="center" vertical="center"/>
      <protection locked="0"/>
    </xf>
    <xf numFmtId="0" fontId="7" fillId="3" borderId="8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 applyProtection="1">
      <alignment horizontal="center" vertical="center" wrapText="1"/>
      <protection locked="0"/>
    </xf>
    <xf numFmtId="0" fontId="7" fillId="3" borderId="12" xfId="0" applyFont="1" applyFill="1" applyBorder="1" applyAlignment="1">
      <alignment horizontal="center" vertical="center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7" fillId="3" borderId="1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 applyProtection="1">
      <alignment horizontal="center" vertical="center" wrapText="1"/>
      <protection locked="0"/>
    </xf>
    <xf numFmtId="0" fontId="7" fillId="3" borderId="16" xfId="0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left"/>
    </xf>
    <xf numFmtId="0" fontId="5" fillId="3" borderId="20" xfId="0" applyFont="1" applyFill="1" applyBorder="1" applyAlignment="1">
      <alignment horizontal="left"/>
    </xf>
    <xf numFmtId="0" fontId="5" fillId="3" borderId="21" xfId="0" applyFont="1" applyFill="1" applyBorder="1" applyAlignment="1">
      <alignment horizontal="left"/>
    </xf>
    <xf numFmtId="0" fontId="0" fillId="5" borderId="22" xfId="0" applyFill="1" applyBorder="1" applyAlignment="1" applyProtection="1">
      <alignment horizontal="left"/>
      <protection locked="0"/>
    </xf>
    <xf numFmtId="0" fontId="2" fillId="5" borderId="22" xfId="0" applyFont="1" applyFill="1" applyBorder="1"/>
    <xf numFmtId="0" fontId="10" fillId="4" borderId="20" xfId="0" applyFont="1" applyFill="1" applyBorder="1" applyAlignment="1">
      <alignment horizontal="left"/>
    </xf>
    <xf numFmtId="0" fontId="10" fillId="0" borderId="20" xfId="0" applyFont="1" applyBorder="1" applyAlignment="1">
      <alignment horizontal="left"/>
    </xf>
    <xf numFmtId="0" fontId="10" fillId="0" borderId="21" xfId="0" applyFont="1" applyBorder="1" applyAlignment="1">
      <alignment horizontal="left"/>
    </xf>
    <xf numFmtId="0" fontId="10" fillId="0" borderId="22" xfId="0" applyFont="1" applyBorder="1" applyAlignment="1">
      <alignment vertical="center" wrapText="1"/>
    </xf>
    <xf numFmtId="0" fontId="5" fillId="6" borderId="22" xfId="0" applyFont="1" applyFill="1" applyBorder="1" applyAlignment="1">
      <alignment horizontal="left"/>
    </xf>
    <xf numFmtId="0" fontId="5" fillId="7" borderId="20" xfId="0" applyFont="1" applyFill="1" applyBorder="1" applyAlignment="1">
      <alignment horizontal="left"/>
    </xf>
    <xf numFmtId="0" fontId="5" fillId="7" borderId="22" xfId="0" applyFont="1" applyFill="1" applyBorder="1" applyAlignment="1" applyProtection="1">
      <alignment horizontal="left"/>
      <protection locked="0"/>
    </xf>
    <xf numFmtId="0" fontId="5" fillId="6" borderId="22" xfId="0" applyFont="1" applyFill="1" applyBorder="1" applyAlignment="1" applyProtection="1">
      <alignment horizontal="left"/>
      <protection locked="0"/>
    </xf>
    <xf numFmtId="14" fontId="1" fillId="6" borderId="22" xfId="0" quotePrefix="1" applyNumberFormat="1" applyFont="1" applyFill="1" applyBorder="1" applyAlignment="1">
      <alignment horizontal="left"/>
    </xf>
    <xf numFmtId="0" fontId="5" fillId="5" borderId="0" xfId="0" applyFont="1" applyFill="1"/>
    <xf numFmtId="14" fontId="5" fillId="6" borderId="22" xfId="0" applyNumberFormat="1" applyFont="1" applyFill="1" applyBorder="1" applyAlignment="1">
      <alignment horizontal="left"/>
    </xf>
    <xf numFmtId="0" fontId="3" fillId="6" borderId="22" xfId="1" applyFill="1" applyBorder="1" applyProtection="1">
      <protection locked="0"/>
    </xf>
    <xf numFmtId="0" fontId="10" fillId="3" borderId="20" xfId="0" applyFont="1" applyFill="1" applyBorder="1" applyAlignment="1">
      <alignment horizontal="left"/>
    </xf>
    <xf numFmtId="0" fontId="10" fillId="3" borderId="21" xfId="0" applyFont="1" applyFill="1" applyBorder="1" applyAlignment="1">
      <alignment horizontal="left"/>
    </xf>
    <xf numFmtId="0" fontId="5" fillId="0" borderId="20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5" fillId="0" borderId="22" xfId="0" applyFont="1" applyBorder="1"/>
    <xf numFmtId="0" fontId="5" fillId="0" borderId="22" xfId="0" quotePrefix="1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6" borderId="0" xfId="0" applyFont="1" applyFill="1"/>
    <xf numFmtId="0" fontId="5" fillId="4" borderId="23" xfId="0" applyFont="1" applyFill="1" applyBorder="1" applyAlignment="1">
      <alignment horizontal="left"/>
    </xf>
    <xf numFmtId="0" fontId="5" fillId="4" borderId="8" xfId="0" applyFont="1" applyFill="1" applyBorder="1" applyAlignment="1">
      <alignment horizontal="left"/>
    </xf>
    <xf numFmtId="0" fontId="7" fillId="0" borderId="21" xfId="0" applyFont="1" applyBorder="1" applyAlignment="1">
      <alignment horizontal="center" vertical="center"/>
    </xf>
    <xf numFmtId="0" fontId="5" fillId="0" borderId="22" xfId="0" applyFont="1" applyBorder="1" applyAlignment="1" applyProtection="1">
      <alignment horizontal="left" wrapText="1"/>
      <protection locked="0"/>
    </xf>
    <xf numFmtId="0" fontId="10" fillId="4" borderId="8" xfId="0" applyFont="1" applyFill="1" applyBorder="1" applyAlignment="1">
      <alignment horizontal="left"/>
    </xf>
    <xf numFmtId="0" fontId="11" fillId="0" borderId="21" xfId="0" applyFont="1" applyBorder="1" applyAlignment="1">
      <alignment horizontal="center" vertical="center"/>
    </xf>
    <xf numFmtId="14" fontId="1" fillId="0" borderId="22" xfId="0" quotePrefix="1" applyNumberFormat="1" applyFont="1" applyBorder="1" applyAlignment="1">
      <alignment horizontal="left"/>
    </xf>
    <xf numFmtId="0" fontId="5" fillId="0" borderId="22" xfId="0" applyFont="1" applyBorder="1" applyAlignment="1" applyProtection="1">
      <alignment horizontal="left"/>
      <protection locked="0"/>
    </xf>
    <xf numFmtId="14" fontId="12" fillId="0" borderId="22" xfId="0" quotePrefix="1" applyNumberFormat="1" applyFont="1" applyBorder="1" applyAlignment="1">
      <alignment horizontal="left"/>
    </xf>
    <xf numFmtId="14" fontId="12" fillId="6" borderId="22" xfId="0" quotePrefix="1" applyNumberFormat="1" applyFont="1" applyFill="1" applyBorder="1" applyAlignment="1">
      <alignment horizontal="left"/>
    </xf>
    <xf numFmtId="0" fontId="5" fillId="0" borderId="22" xfId="0" quotePrefix="1" applyFont="1" applyBorder="1"/>
    <xf numFmtId="164" fontId="5" fillId="6" borderId="22" xfId="0" quotePrefix="1" applyNumberFormat="1" applyFont="1" applyFill="1" applyBorder="1" applyAlignment="1" applyProtection="1">
      <alignment horizontal="left"/>
      <protection locked="0"/>
    </xf>
    <xf numFmtId="0" fontId="5" fillId="5" borderId="20" xfId="0" applyFont="1" applyFill="1" applyBorder="1" applyAlignment="1">
      <alignment horizontal="left"/>
    </xf>
    <xf numFmtId="0" fontId="13" fillId="5" borderId="20" xfId="0" applyFont="1" applyFill="1" applyBorder="1" applyAlignment="1">
      <alignment horizontal="left"/>
    </xf>
    <xf numFmtId="0" fontId="13" fillId="5" borderId="21" xfId="0" applyFont="1" applyFill="1" applyBorder="1" applyAlignment="1">
      <alignment horizontal="left"/>
    </xf>
    <xf numFmtId="0" fontId="13" fillId="5" borderId="22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5" fillId="5" borderId="0" xfId="0" applyFont="1" applyFill="1" applyAlignment="1">
      <alignment horizontal="left"/>
    </xf>
    <xf numFmtId="0" fontId="5" fillId="6" borderId="22" xfId="0" applyFont="1" applyFill="1" applyBorder="1"/>
    <xf numFmtId="164" fontId="12" fillId="6" borderId="22" xfId="0" quotePrefix="1" applyNumberFormat="1" applyFont="1" applyFill="1" applyBorder="1" applyAlignment="1" applyProtection="1">
      <alignment horizontal="left"/>
      <protection locked="0"/>
    </xf>
    <xf numFmtId="0" fontId="0" fillId="4" borderId="22" xfId="0" applyFill="1" applyBorder="1" applyAlignment="1">
      <alignment horizontal="left"/>
    </xf>
    <xf numFmtId="0" fontId="0" fillId="4" borderId="23" xfId="0" applyFill="1" applyBorder="1" applyAlignment="1">
      <alignment horizontal="left"/>
    </xf>
    <xf numFmtId="0" fontId="0" fillId="4" borderId="20" xfId="0" applyFill="1" applyBorder="1" applyAlignment="1">
      <alignment horizontal="left"/>
    </xf>
    <xf numFmtId="0" fontId="0" fillId="5" borderId="24" xfId="0" applyFill="1" applyBorder="1"/>
    <xf numFmtId="0" fontId="14" fillId="5" borderId="25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0" fillId="5" borderId="0" xfId="0" applyFill="1"/>
    <xf numFmtId="0" fontId="5" fillId="0" borderId="27" xfId="0" applyFont="1" applyBorder="1" applyAlignment="1">
      <alignment horizontal="left"/>
    </xf>
    <xf numFmtId="0" fontId="5" fillId="0" borderId="27" xfId="0" applyFont="1" applyBorder="1"/>
    <xf numFmtId="0" fontId="0" fillId="8" borderId="0" xfId="0" applyFill="1"/>
    <xf numFmtId="0" fontId="16" fillId="0" borderId="0" xfId="0" applyFont="1"/>
    <xf numFmtId="0" fontId="16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Test@primark.com" TargetMode="External"/><Relationship Id="rId7" Type="http://schemas.openxmlformats.org/officeDocument/2006/relationships/hyperlink" Target="mailto:Test@primark.com" TargetMode="External"/><Relationship Id="rId2" Type="http://schemas.openxmlformats.org/officeDocument/2006/relationships/hyperlink" Target="mailto:Test@primark.com" TargetMode="External"/><Relationship Id="rId1" Type="http://schemas.openxmlformats.org/officeDocument/2006/relationships/hyperlink" Target="mailto:Test@primark.com" TargetMode="External"/><Relationship Id="rId6" Type="http://schemas.openxmlformats.org/officeDocument/2006/relationships/hyperlink" Target="mailto:Test@primark.com" TargetMode="External"/><Relationship Id="rId5" Type="http://schemas.openxmlformats.org/officeDocument/2006/relationships/hyperlink" Target="mailto:Test@primark.com" TargetMode="External"/><Relationship Id="rId4" Type="http://schemas.openxmlformats.org/officeDocument/2006/relationships/hyperlink" Target="mailto:Test@primar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83"/>
  <sheetViews>
    <sheetView tabSelected="1" topLeftCell="Q1" zoomScale="60" zoomScaleNormal="60" workbookViewId="0">
      <selection activeCell="S9" sqref="S9"/>
    </sheetView>
  </sheetViews>
  <sheetFormatPr defaultColWidth="9.1796875" defaultRowHeight="17.5" x14ac:dyDescent="0.35"/>
  <cols>
    <col min="1" max="1" width="30.1796875" style="78" bestFit="1" customWidth="1"/>
    <col min="2" max="2" width="28.54296875" style="78" customWidth="1"/>
    <col min="3" max="3" width="41.81640625" style="89" customWidth="1"/>
    <col min="4" max="4" width="34.54296875" style="8" hidden="1" customWidth="1"/>
    <col min="5" max="5" width="29.81640625" style="8" hidden="1" customWidth="1"/>
    <col min="6" max="6" width="60.81640625" style="90" hidden="1" customWidth="1"/>
    <col min="7" max="11" width="39.7265625" style="90" customWidth="1"/>
    <col min="12" max="12" width="65.453125" style="8" customWidth="1"/>
    <col min="13" max="14" width="39.7265625" style="90" customWidth="1"/>
    <col min="15" max="15" width="65.453125" style="8" customWidth="1"/>
    <col min="16" max="16" width="39.7265625" style="90" customWidth="1"/>
    <col min="17" max="17" width="76.6328125" style="90" bestFit="1" customWidth="1"/>
    <col min="18" max="18" width="65.453125" style="8" customWidth="1"/>
    <col min="19" max="19" width="39.7265625" style="90" customWidth="1"/>
    <col min="20" max="20" width="76.6328125" style="90" bestFit="1" customWidth="1"/>
    <col min="21" max="16384" width="9.1796875" style="8"/>
  </cols>
  <sheetData>
    <row r="1" spans="1:20" ht="18.5" thickBot="1" x14ac:dyDescent="0.4">
      <c r="A1" s="1" t="s">
        <v>0</v>
      </c>
      <c r="B1" s="2"/>
      <c r="C1" s="3" t="s">
        <v>1</v>
      </c>
      <c r="D1" s="4" t="s">
        <v>1</v>
      </c>
      <c r="E1" s="5" t="s">
        <v>2</v>
      </c>
      <c r="F1" s="6" t="s">
        <v>3</v>
      </c>
      <c r="G1" s="7" t="s">
        <v>195</v>
      </c>
      <c r="H1" s="7" t="s">
        <v>196</v>
      </c>
      <c r="I1" s="7" t="s">
        <v>197</v>
      </c>
      <c r="J1" s="7" t="s">
        <v>198</v>
      </c>
      <c r="K1" s="7" t="s">
        <v>199</v>
      </c>
      <c r="L1" s="7" t="s">
        <v>200</v>
      </c>
      <c r="M1" s="7" t="s">
        <v>201</v>
      </c>
      <c r="N1" s="7" t="s">
        <v>202</v>
      </c>
      <c r="O1" s="7" t="s">
        <v>203</v>
      </c>
      <c r="P1" s="7" t="s">
        <v>4</v>
      </c>
      <c r="Q1" s="7" t="s">
        <v>5</v>
      </c>
      <c r="R1" s="7" t="s">
        <v>6</v>
      </c>
      <c r="S1" s="7" t="s">
        <v>7</v>
      </c>
      <c r="T1" s="7" t="s">
        <v>8</v>
      </c>
    </row>
    <row r="2" spans="1:20" ht="18.5" thickBot="1" x14ac:dyDescent="0.4">
      <c r="A2" s="1" t="s">
        <v>9</v>
      </c>
      <c r="B2" s="2"/>
      <c r="C2" s="3" t="s">
        <v>10</v>
      </c>
      <c r="D2" s="9"/>
      <c r="E2" s="10"/>
      <c r="F2" s="11"/>
      <c r="G2" s="12">
        <v>1</v>
      </c>
      <c r="H2" s="12">
        <v>2</v>
      </c>
      <c r="I2" s="12">
        <v>3</v>
      </c>
      <c r="J2" s="12">
        <v>4</v>
      </c>
      <c r="K2" s="12">
        <v>5</v>
      </c>
      <c r="L2" s="12">
        <v>6</v>
      </c>
      <c r="M2" s="12">
        <v>7</v>
      </c>
      <c r="N2" s="12">
        <v>8</v>
      </c>
      <c r="O2" s="12">
        <v>9</v>
      </c>
      <c r="P2" s="12">
        <v>10</v>
      </c>
      <c r="Q2" s="12">
        <v>11</v>
      </c>
      <c r="R2" s="12">
        <v>12</v>
      </c>
      <c r="S2" s="12">
        <v>13</v>
      </c>
      <c r="T2" s="12">
        <v>14</v>
      </c>
    </row>
    <row r="3" spans="1:20" ht="44.5" customHeight="1" x14ac:dyDescent="0.35">
      <c r="A3" s="1"/>
      <c r="B3" s="2"/>
      <c r="C3" s="13" t="s">
        <v>11</v>
      </c>
      <c r="D3" s="4" t="s">
        <v>11</v>
      </c>
      <c r="E3" s="5" t="s">
        <v>12</v>
      </c>
      <c r="F3" s="14" t="s">
        <v>13</v>
      </c>
      <c r="G3" s="15" t="s">
        <v>14</v>
      </c>
      <c r="H3" s="15" t="s">
        <v>14</v>
      </c>
      <c r="I3" s="15" t="s">
        <v>14</v>
      </c>
      <c r="J3" s="15" t="s">
        <v>14</v>
      </c>
      <c r="K3" s="15" t="s">
        <v>14</v>
      </c>
      <c r="L3" s="15" t="s">
        <v>14</v>
      </c>
      <c r="M3" s="15" t="s">
        <v>15</v>
      </c>
      <c r="N3" s="15" t="s">
        <v>15</v>
      </c>
      <c r="O3" s="15" t="s">
        <v>15</v>
      </c>
      <c r="P3" s="15" t="s">
        <v>15</v>
      </c>
      <c r="Q3" s="15" t="s">
        <v>15</v>
      </c>
      <c r="R3" s="15" t="s">
        <v>15</v>
      </c>
      <c r="S3" s="15" t="s">
        <v>15</v>
      </c>
      <c r="T3" s="15" t="s">
        <v>15</v>
      </c>
    </row>
    <row r="4" spans="1:20" ht="18" x14ac:dyDescent="0.35">
      <c r="A4" s="2"/>
      <c r="B4" s="2"/>
      <c r="C4" s="16" t="s">
        <v>16</v>
      </c>
      <c r="D4" s="17" t="s">
        <v>17</v>
      </c>
      <c r="E4" s="18" t="s">
        <v>18</v>
      </c>
      <c r="F4" s="16" t="s">
        <v>19</v>
      </c>
      <c r="G4" s="19" t="s">
        <v>20</v>
      </c>
      <c r="H4" s="19" t="s">
        <v>20</v>
      </c>
      <c r="I4" s="19" t="s">
        <v>20</v>
      </c>
      <c r="J4" s="19" t="s">
        <v>20</v>
      </c>
      <c r="K4" s="19" t="s">
        <v>20</v>
      </c>
      <c r="L4" s="19" t="s">
        <v>20</v>
      </c>
      <c r="M4" s="19" t="s">
        <v>20</v>
      </c>
      <c r="N4" s="19" t="s">
        <v>20</v>
      </c>
      <c r="O4" s="19" t="s">
        <v>20</v>
      </c>
      <c r="P4" s="19" t="s">
        <v>20</v>
      </c>
      <c r="Q4" s="19" t="s">
        <v>20</v>
      </c>
      <c r="R4" s="19" t="s">
        <v>20</v>
      </c>
      <c r="S4" s="19" t="s">
        <v>20</v>
      </c>
      <c r="T4" s="19" t="s">
        <v>20</v>
      </c>
    </row>
    <row r="5" spans="1:20" ht="18" x14ac:dyDescent="0.35">
      <c r="A5" s="2"/>
      <c r="B5" s="2"/>
      <c r="C5" s="16" t="s">
        <v>21</v>
      </c>
      <c r="D5" s="17" t="s">
        <v>22</v>
      </c>
      <c r="E5" s="18" t="s">
        <v>23</v>
      </c>
      <c r="F5" s="16"/>
      <c r="G5" s="20" t="b">
        <v>1</v>
      </c>
      <c r="H5" s="20" t="b">
        <v>1</v>
      </c>
      <c r="I5" s="20" t="b">
        <v>1</v>
      </c>
      <c r="J5" s="20" t="b">
        <v>1</v>
      </c>
      <c r="K5" s="20" t="b">
        <v>1</v>
      </c>
      <c r="L5" s="20" t="b">
        <v>1</v>
      </c>
      <c r="M5" s="20" t="b">
        <v>1</v>
      </c>
      <c r="N5" s="20" t="b">
        <v>1</v>
      </c>
      <c r="O5" s="20" t="b">
        <v>1</v>
      </c>
      <c r="P5" s="20" t="b">
        <v>1</v>
      </c>
      <c r="Q5" s="20" t="b">
        <v>1</v>
      </c>
      <c r="R5" s="20" t="b">
        <v>1</v>
      </c>
      <c r="S5" s="20" t="b">
        <v>1</v>
      </c>
      <c r="T5" s="20" t="b">
        <v>1</v>
      </c>
    </row>
    <row r="6" spans="1:20" ht="18" x14ac:dyDescent="0.35">
      <c r="A6" s="2"/>
      <c r="B6" s="2"/>
      <c r="C6" s="16" t="s">
        <v>24</v>
      </c>
      <c r="D6" s="17" t="s">
        <v>25</v>
      </c>
      <c r="E6" s="18" t="s">
        <v>26</v>
      </c>
      <c r="F6" s="16"/>
      <c r="G6" s="20" t="b">
        <v>1</v>
      </c>
      <c r="H6" s="20" t="b">
        <v>1</v>
      </c>
      <c r="I6" s="20" t="b">
        <v>1</v>
      </c>
      <c r="J6" s="20" t="b">
        <v>1</v>
      </c>
      <c r="K6" s="20" t="b">
        <v>1</v>
      </c>
      <c r="L6" s="20" t="b">
        <v>1</v>
      </c>
      <c r="M6" s="20" t="b">
        <v>1</v>
      </c>
      <c r="N6" s="20" t="b">
        <v>1</v>
      </c>
      <c r="O6" s="20" t="b">
        <v>1</v>
      </c>
      <c r="P6" s="20" t="b">
        <v>1</v>
      </c>
      <c r="Q6" s="20" t="b">
        <v>1</v>
      </c>
      <c r="R6" s="20" t="b">
        <v>1</v>
      </c>
      <c r="S6" s="20" t="b">
        <v>1</v>
      </c>
      <c r="T6" s="20" t="b">
        <v>1</v>
      </c>
    </row>
    <row r="7" spans="1:20" x14ac:dyDescent="0.35">
      <c r="A7" s="2"/>
      <c r="B7" s="2"/>
      <c r="C7" s="16" t="s">
        <v>27</v>
      </c>
      <c r="D7" s="17"/>
      <c r="E7" s="18"/>
      <c r="F7" s="21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</row>
    <row r="8" spans="1:20" ht="30" customHeight="1" x14ac:dyDescent="0.45">
      <c r="A8" s="2"/>
      <c r="B8" s="2"/>
      <c r="C8" s="16" t="s">
        <v>28</v>
      </c>
      <c r="D8" s="17"/>
      <c r="E8" s="18"/>
      <c r="F8" s="22"/>
      <c r="G8" s="92" t="s">
        <v>219</v>
      </c>
      <c r="H8" s="92" t="s">
        <v>221</v>
      </c>
      <c r="I8" s="92" t="s">
        <v>222</v>
      </c>
      <c r="J8" s="92" t="s">
        <v>223</v>
      </c>
      <c r="K8" s="92" t="s">
        <v>224</v>
      </c>
      <c r="L8" s="92" t="s">
        <v>225</v>
      </c>
      <c r="M8" s="93">
        <v>10652852</v>
      </c>
      <c r="N8" s="93">
        <v>10652854</v>
      </c>
      <c r="O8" s="92">
        <v>10652861</v>
      </c>
      <c r="P8" s="92" t="s">
        <v>226</v>
      </c>
      <c r="Q8" s="92" t="s">
        <v>227</v>
      </c>
      <c r="R8" s="23"/>
      <c r="S8" s="23"/>
      <c r="T8" s="23"/>
    </row>
    <row r="9" spans="1:20" ht="144" customHeight="1" x14ac:dyDescent="0.35">
      <c r="A9" s="2"/>
      <c r="B9" s="2"/>
      <c r="C9" s="16" t="s">
        <v>29</v>
      </c>
      <c r="D9" s="17" t="s">
        <v>30</v>
      </c>
      <c r="E9" s="24" t="s">
        <v>31</v>
      </c>
      <c r="F9" s="16" t="s">
        <v>32</v>
      </c>
      <c r="G9" s="91" t="s">
        <v>220</v>
      </c>
      <c r="H9" s="91" t="s">
        <v>220</v>
      </c>
      <c r="I9" s="91" t="s">
        <v>220</v>
      </c>
      <c r="J9" s="91" t="s">
        <v>220</v>
      </c>
      <c r="K9" s="91" t="s">
        <v>220</v>
      </c>
      <c r="L9" s="91" t="s">
        <v>220</v>
      </c>
      <c r="M9" s="91" t="s">
        <v>220</v>
      </c>
      <c r="N9" s="91" t="s">
        <v>220</v>
      </c>
      <c r="O9" s="91" t="s">
        <v>220</v>
      </c>
      <c r="P9" s="91" t="s">
        <v>220</v>
      </c>
      <c r="Q9" s="91" t="s">
        <v>220</v>
      </c>
      <c r="R9" s="23"/>
      <c r="S9" s="23"/>
      <c r="T9" s="23"/>
    </row>
    <row r="10" spans="1:20" ht="31.5" customHeight="1" x14ac:dyDescent="0.35">
      <c r="A10" s="2"/>
      <c r="B10" s="2"/>
      <c r="C10" s="16" t="s">
        <v>33</v>
      </c>
      <c r="D10" s="17" t="s">
        <v>34</v>
      </c>
      <c r="E10" s="18" t="s">
        <v>35</v>
      </c>
      <c r="F10" s="21" t="s">
        <v>36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</row>
    <row r="11" spans="1:20" ht="62.25" customHeight="1" x14ac:dyDescent="0.35">
      <c r="A11" s="2"/>
      <c r="B11" s="2"/>
      <c r="C11" s="16" t="s">
        <v>37</v>
      </c>
      <c r="D11" s="17" t="s">
        <v>38</v>
      </c>
      <c r="E11" s="18" t="s">
        <v>39</v>
      </c>
      <c r="F11" s="16" t="s">
        <v>40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</row>
    <row r="12" spans="1:20" ht="18" thickBot="1" x14ac:dyDescent="0.4">
      <c r="A12" s="2"/>
      <c r="B12" s="2"/>
      <c r="C12" s="26" t="s">
        <v>41</v>
      </c>
      <c r="D12" s="27" t="s">
        <v>42</v>
      </c>
      <c r="E12" s="28" t="s">
        <v>43</v>
      </c>
      <c r="F12" s="26" t="s">
        <v>44</v>
      </c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</row>
    <row r="13" spans="1:20" ht="31.5" customHeight="1" thickBot="1" x14ac:dyDescent="0.4">
      <c r="A13" s="2"/>
      <c r="B13" s="2"/>
      <c r="C13" s="30"/>
      <c r="D13" s="30"/>
      <c r="E13" s="30"/>
      <c r="F13" s="30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</row>
    <row r="14" spans="1:20" ht="18" thickBot="1" x14ac:dyDescent="0.4">
      <c r="A14" s="32" t="s">
        <v>45</v>
      </c>
      <c r="B14" s="33" t="s">
        <v>46</v>
      </c>
      <c r="C14" s="34" t="s">
        <v>47</v>
      </c>
      <c r="D14" s="35" t="s">
        <v>48</v>
      </c>
      <c r="E14" s="36" t="s">
        <v>49</v>
      </c>
      <c r="F14" s="36" t="s">
        <v>3</v>
      </c>
      <c r="G14" s="7" t="s">
        <v>195</v>
      </c>
      <c r="H14" s="7" t="s">
        <v>196</v>
      </c>
      <c r="I14" s="7" t="s">
        <v>197</v>
      </c>
      <c r="J14" s="7" t="s">
        <v>198</v>
      </c>
      <c r="K14" s="7" t="s">
        <v>199</v>
      </c>
      <c r="L14" s="7" t="s">
        <v>200</v>
      </c>
      <c r="M14" s="7" t="s">
        <v>201</v>
      </c>
      <c r="N14" s="7" t="s">
        <v>202</v>
      </c>
      <c r="O14" s="7" t="s">
        <v>203</v>
      </c>
      <c r="P14" s="7" t="s">
        <v>4</v>
      </c>
      <c r="Q14" s="7" t="s">
        <v>5</v>
      </c>
      <c r="R14" s="7" t="s">
        <v>6</v>
      </c>
      <c r="S14" s="7" t="s">
        <v>7</v>
      </c>
      <c r="T14" s="7" t="s">
        <v>8</v>
      </c>
    </row>
    <row r="15" spans="1:20" x14ac:dyDescent="0.35">
      <c r="A15" s="37" t="s">
        <v>50</v>
      </c>
      <c r="B15" s="37" t="s">
        <v>51</v>
      </c>
      <c r="C15" s="37" t="s">
        <v>52</v>
      </c>
      <c r="D15" s="38" t="str">
        <f>SUBSTITUTE(A15," ","") &amp; "_" &amp; SUBSTITUTE(IF(B15="N/A","",B15&amp; "_")," ","")  &amp; SUBSTITUTE(SUBSTITUTE(C15," ",""),"/","")</f>
        <v>Login_Username</v>
      </c>
      <c r="E15" s="38" t="str">
        <f>D15&amp;2</f>
        <v>Login_Username2</v>
      </c>
      <c r="F15" s="39" t="s">
        <v>53</v>
      </c>
      <c r="G15" s="40">
        <v>90002195</v>
      </c>
      <c r="H15" s="40">
        <v>90002195</v>
      </c>
      <c r="I15" s="40">
        <v>90002195</v>
      </c>
      <c r="J15" s="40">
        <v>90002195</v>
      </c>
      <c r="K15" s="40">
        <v>90002195</v>
      </c>
      <c r="L15" s="40">
        <v>90002195</v>
      </c>
      <c r="M15" s="40">
        <v>90002195</v>
      </c>
      <c r="N15" s="40">
        <v>90002195</v>
      </c>
      <c r="O15" s="40">
        <v>90002195</v>
      </c>
      <c r="P15" s="40">
        <v>90002195</v>
      </c>
      <c r="Q15" s="40">
        <v>90002195</v>
      </c>
      <c r="R15" s="40">
        <v>90002195</v>
      </c>
      <c r="S15" s="40">
        <v>90002195</v>
      </c>
      <c r="T15" s="40">
        <v>90002195</v>
      </c>
    </row>
    <row r="16" spans="1:20" x14ac:dyDescent="0.35">
      <c r="A16" s="37" t="s">
        <v>50</v>
      </c>
      <c r="B16" s="37" t="s">
        <v>51</v>
      </c>
      <c r="C16" s="37" t="s">
        <v>54</v>
      </c>
      <c r="D16" s="38" t="str">
        <f>SUBSTITUTE(A16," ","") &amp; "_" &amp; SUBSTITUTE(IF(B16="N/A","",B16&amp; "_")," ","")  &amp; SUBSTITUTE(SUBSTITUTE(C16," ",""),"/","")</f>
        <v>Login_Password</v>
      </c>
      <c r="E16" s="38" t="str">
        <f>D16&amp;2</f>
        <v>Login_Password2</v>
      </c>
      <c r="F16" s="39" t="s">
        <v>55</v>
      </c>
      <c r="G16" s="41" t="s">
        <v>56</v>
      </c>
      <c r="H16" s="41" t="s">
        <v>56</v>
      </c>
      <c r="I16" s="41" t="s">
        <v>56</v>
      </c>
      <c r="J16" s="41" t="s">
        <v>56</v>
      </c>
      <c r="K16" s="41" t="s">
        <v>56</v>
      </c>
      <c r="L16" s="41" t="s">
        <v>56</v>
      </c>
      <c r="M16" s="41" t="s">
        <v>56</v>
      </c>
      <c r="N16" s="41" t="s">
        <v>56</v>
      </c>
      <c r="O16" s="41" t="s">
        <v>56</v>
      </c>
      <c r="P16" s="41" t="s">
        <v>56</v>
      </c>
      <c r="Q16" s="41" t="s">
        <v>56</v>
      </c>
      <c r="R16" s="41" t="s">
        <v>56</v>
      </c>
      <c r="S16" s="41" t="s">
        <v>56</v>
      </c>
      <c r="T16" s="41" t="s">
        <v>56</v>
      </c>
    </row>
    <row r="17" spans="1:115" ht="16.5" customHeight="1" x14ac:dyDescent="0.35">
      <c r="A17" s="37" t="s">
        <v>57</v>
      </c>
      <c r="B17" s="37" t="s">
        <v>51</v>
      </c>
      <c r="C17" s="42" t="s">
        <v>57</v>
      </c>
      <c r="D17" s="43" t="str">
        <f>SUBSTITUTE(A17," ","") &amp; "_" &amp; SUBSTITUTE(IF(B17="N/A","",B17&amp; "_")," ","")  &amp; SUBSTITUTE(SUBSTITUTE(C17," ",""),"/","")</f>
        <v>SupervisoryOrganisation_SupervisoryOrganisation</v>
      </c>
      <c r="E17" s="43" t="str">
        <f>D17&amp;2</f>
        <v>SupervisoryOrganisation_SupervisoryOrganisation2</v>
      </c>
      <c r="F17" s="44"/>
      <c r="G17" s="45" t="s">
        <v>58</v>
      </c>
      <c r="H17" s="45" t="s">
        <v>58</v>
      </c>
      <c r="I17" s="45" t="s">
        <v>58</v>
      </c>
      <c r="J17" s="45" t="s">
        <v>58</v>
      </c>
      <c r="K17" s="45" t="s">
        <v>58</v>
      </c>
      <c r="L17" s="45" t="s">
        <v>58</v>
      </c>
      <c r="M17" s="45" t="s">
        <v>59</v>
      </c>
      <c r="N17" s="45" t="s">
        <v>59</v>
      </c>
      <c r="O17" s="45" t="s">
        <v>59</v>
      </c>
      <c r="P17" s="45" t="s">
        <v>59</v>
      </c>
      <c r="Q17" s="45" t="s">
        <v>59</v>
      </c>
      <c r="R17" s="45" t="s">
        <v>59</v>
      </c>
      <c r="S17" s="45" t="s">
        <v>59</v>
      </c>
      <c r="T17" s="45" t="s">
        <v>59</v>
      </c>
    </row>
    <row r="18" spans="1:115" ht="19" customHeight="1" x14ac:dyDescent="0.35">
      <c r="A18" s="37" t="s">
        <v>60</v>
      </c>
      <c r="B18" s="37" t="s">
        <v>51</v>
      </c>
      <c r="C18" s="37" t="s">
        <v>61</v>
      </c>
      <c r="D18" s="38" t="str">
        <f>SUBSTITUTE(A18," ","") &amp; "_" &amp; SUBSTITUTE(IF(B18="N/A","",B18&amp; "_")," ","")  &amp; SUBSTITUTE(SUBSTITUTE(C18," ",""),"/","")</f>
        <v>LegalNameInformation_Country</v>
      </c>
      <c r="E18" s="38" t="str">
        <f>D18&amp;2</f>
        <v>LegalNameInformation_Country2</v>
      </c>
      <c r="F18" s="39" t="s">
        <v>62</v>
      </c>
      <c r="G18" s="46" t="s">
        <v>63</v>
      </c>
      <c r="H18" s="46" t="s">
        <v>63</v>
      </c>
      <c r="I18" s="46" t="s">
        <v>63</v>
      </c>
      <c r="J18" s="46" t="s">
        <v>63</v>
      </c>
      <c r="K18" s="46" t="s">
        <v>63</v>
      </c>
      <c r="L18" s="46" t="s">
        <v>63</v>
      </c>
      <c r="M18" s="46" t="s">
        <v>63</v>
      </c>
      <c r="N18" s="46" t="s">
        <v>63</v>
      </c>
      <c r="O18" s="46" t="s">
        <v>63</v>
      </c>
      <c r="P18" s="46" t="s">
        <v>63</v>
      </c>
      <c r="Q18" s="46" t="s">
        <v>63</v>
      </c>
      <c r="R18" s="46" t="s">
        <v>63</v>
      </c>
      <c r="S18" s="46" t="s">
        <v>63</v>
      </c>
      <c r="T18" s="46" t="s">
        <v>63</v>
      </c>
    </row>
    <row r="19" spans="1:115" x14ac:dyDescent="0.35">
      <c r="A19" s="37" t="s">
        <v>60</v>
      </c>
      <c r="B19" s="37" t="s">
        <v>51</v>
      </c>
      <c r="C19" s="47" t="s">
        <v>64</v>
      </c>
      <c r="D19" s="38" t="str">
        <f>SUBSTITUTE(A19," ","") &amp; "_" &amp; SUBSTITUTE(IF(B19="N/A","",B19&amp; "_")," ","")  &amp; SUBSTITUTE(SUBSTITUTE(C19," ",""),"/","")</f>
        <v>LegalNameInformation_GivenName</v>
      </c>
      <c r="E19" s="38" t="str">
        <f>D19&amp;2</f>
        <v>LegalNameInformation_GivenName2</v>
      </c>
      <c r="F19" s="39" t="s">
        <v>65</v>
      </c>
      <c r="G19" s="48" t="s">
        <v>204</v>
      </c>
      <c r="H19" s="48" t="s">
        <v>204</v>
      </c>
      <c r="I19" s="48" t="s">
        <v>204</v>
      </c>
      <c r="J19" s="48" t="s">
        <v>204</v>
      </c>
      <c r="K19" s="48" t="s">
        <v>204</v>
      </c>
      <c r="L19" s="48" t="s">
        <v>204</v>
      </c>
      <c r="M19" s="48" t="s">
        <v>204</v>
      </c>
      <c r="N19" s="48" t="s">
        <v>204</v>
      </c>
      <c r="O19" s="48" t="s">
        <v>204</v>
      </c>
      <c r="P19" s="48" t="s">
        <v>204</v>
      </c>
      <c r="Q19" s="48" t="s">
        <v>204</v>
      </c>
      <c r="R19" s="48" t="s">
        <v>204</v>
      </c>
      <c r="S19" s="48" t="s">
        <v>204</v>
      </c>
      <c r="T19" s="48" t="s">
        <v>204</v>
      </c>
    </row>
    <row r="20" spans="1:115" x14ac:dyDescent="0.35">
      <c r="A20" s="37" t="s">
        <v>60</v>
      </c>
      <c r="B20" s="37" t="s">
        <v>51</v>
      </c>
      <c r="C20" s="47" t="s">
        <v>66</v>
      </c>
      <c r="D20" s="38" t="str">
        <f t="shared" ref="D20:D83" si="0">SUBSTITUTE(A20," ","") &amp; "_" &amp; SUBSTITUTE(IF(B20="N/A","",B20&amp; "_")," ","")  &amp; SUBSTITUTE(SUBSTITUTE(C20," ",""),"/","")</f>
        <v>LegalNameInformation_FamilyName</v>
      </c>
      <c r="E20" s="38" t="str">
        <f t="shared" ref="E20:E83" si="1">D20&amp;2</f>
        <v>LegalNameInformation_FamilyName2</v>
      </c>
      <c r="F20" s="39" t="s">
        <v>65</v>
      </c>
      <c r="G20" s="48" t="s">
        <v>205</v>
      </c>
      <c r="H20" s="48" t="s">
        <v>206</v>
      </c>
      <c r="I20" s="48" t="s">
        <v>207</v>
      </c>
      <c r="J20" s="48" t="s">
        <v>208</v>
      </c>
      <c r="K20" s="48" t="s">
        <v>209</v>
      </c>
      <c r="L20" s="48" t="s">
        <v>210</v>
      </c>
      <c r="M20" s="48" t="s">
        <v>211</v>
      </c>
      <c r="N20" s="48" t="s">
        <v>212</v>
      </c>
      <c r="O20" s="48" t="s">
        <v>213</v>
      </c>
      <c r="P20" s="48" t="s">
        <v>214</v>
      </c>
      <c r="Q20" s="48" t="s">
        <v>215</v>
      </c>
      <c r="R20" s="48" t="s">
        <v>216</v>
      </c>
      <c r="S20" s="48" t="s">
        <v>217</v>
      </c>
      <c r="T20" s="48" t="s">
        <v>218</v>
      </c>
    </row>
    <row r="21" spans="1:115" x14ac:dyDescent="0.35">
      <c r="A21" s="37" t="s">
        <v>67</v>
      </c>
      <c r="B21" s="37" t="s">
        <v>68</v>
      </c>
      <c r="C21" s="37" t="s">
        <v>69</v>
      </c>
      <c r="D21" s="38" t="str">
        <f t="shared" si="0"/>
        <v>ContactInformation_Phone_PhoneNumber</v>
      </c>
      <c r="E21" s="38" t="str">
        <f t="shared" si="1"/>
        <v>ContactInformation_Phone_PhoneNumber2</v>
      </c>
      <c r="F21" s="39"/>
      <c r="G21" s="49" t="s">
        <v>70</v>
      </c>
      <c r="H21" s="49" t="s">
        <v>70</v>
      </c>
      <c r="I21" s="49" t="s">
        <v>70</v>
      </c>
      <c r="J21" s="49" t="s">
        <v>70</v>
      </c>
      <c r="K21" s="49" t="s">
        <v>70</v>
      </c>
      <c r="L21" s="49" t="s">
        <v>71</v>
      </c>
      <c r="M21" s="49" t="s">
        <v>70</v>
      </c>
      <c r="N21" s="49" t="s">
        <v>70</v>
      </c>
      <c r="O21" s="49" t="s">
        <v>71</v>
      </c>
      <c r="P21" s="49" t="s">
        <v>70</v>
      </c>
      <c r="Q21" s="49" t="s">
        <v>70</v>
      </c>
      <c r="R21" s="49" t="s">
        <v>71</v>
      </c>
      <c r="S21" s="49" t="s">
        <v>70</v>
      </c>
      <c r="T21" s="49" t="s">
        <v>70</v>
      </c>
    </row>
    <row r="22" spans="1:115" x14ac:dyDescent="0.35">
      <c r="A22" s="37" t="s">
        <v>67</v>
      </c>
      <c r="B22" s="37" t="s">
        <v>68</v>
      </c>
      <c r="C22" s="37" t="s">
        <v>72</v>
      </c>
      <c r="D22" s="38" t="str">
        <f t="shared" si="0"/>
        <v>ContactInformation_Phone_PhoneDevice</v>
      </c>
      <c r="E22" s="38" t="str">
        <f t="shared" si="1"/>
        <v>ContactInformation_Phone_PhoneDevice2</v>
      </c>
      <c r="F22" s="39"/>
      <c r="G22" s="49" t="s">
        <v>73</v>
      </c>
      <c r="H22" s="49" t="s">
        <v>73</v>
      </c>
      <c r="I22" s="49" t="s">
        <v>73</v>
      </c>
      <c r="J22" s="49" t="s">
        <v>73</v>
      </c>
      <c r="K22" s="49" t="s">
        <v>73</v>
      </c>
      <c r="L22" s="49" t="s">
        <v>73</v>
      </c>
      <c r="M22" s="49" t="s">
        <v>73</v>
      </c>
      <c r="N22" s="49" t="s">
        <v>73</v>
      </c>
      <c r="O22" s="49" t="s">
        <v>73</v>
      </c>
      <c r="P22" s="49" t="s">
        <v>73</v>
      </c>
      <c r="Q22" s="49" t="s">
        <v>73</v>
      </c>
      <c r="R22" s="49" t="s">
        <v>73</v>
      </c>
      <c r="S22" s="49" t="s">
        <v>73</v>
      </c>
      <c r="T22" s="49" t="s">
        <v>73</v>
      </c>
    </row>
    <row r="23" spans="1:115" x14ac:dyDescent="0.35">
      <c r="A23" s="37" t="s">
        <v>67</v>
      </c>
      <c r="B23" s="37" t="s">
        <v>68</v>
      </c>
      <c r="C23" s="37" t="s">
        <v>74</v>
      </c>
      <c r="D23" s="38" t="str">
        <f t="shared" si="0"/>
        <v>ContactInformation_Phone_Type</v>
      </c>
      <c r="E23" s="38" t="str">
        <f t="shared" si="1"/>
        <v>ContactInformation_Phone_Type2</v>
      </c>
      <c r="F23" s="39"/>
      <c r="G23" s="49" t="s">
        <v>75</v>
      </c>
      <c r="H23" s="49" t="s">
        <v>75</v>
      </c>
      <c r="I23" s="49" t="s">
        <v>75</v>
      </c>
      <c r="J23" s="49" t="s">
        <v>75</v>
      </c>
      <c r="K23" s="49" t="s">
        <v>75</v>
      </c>
      <c r="L23" s="49" t="s">
        <v>75</v>
      </c>
      <c r="M23" s="49" t="s">
        <v>75</v>
      </c>
      <c r="N23" s="49" t="s">
        <v>75</v>
      </c>
      <c r="O23" s="49" t="s">
        <v>75</v>
      </c>
      <c r="P23" s="49" t="s">
        <v>75</v>
      </c>
      <c r="Q23" s="49" t="s">
        <v>75</v>
      </c>
      <c r="R23" s="49" t="s">
        <v>75</v>
      </c>
      <c r="S23" s="49" t="s">
        <v>75</v>
      </c>
      <c r="T23" s="49" t="s">
        <v>75</v>
      </c>
    </row>
    <row r="24" spans="1:115" s="51" customFormat="1" x14ac:dyDescent="0.35">
      <c r="A24" s="37" t="s">
        <v>67</v>
      </c>
      <c r="B24" s="37" t="s">
        <v>76</v>
      </c>
      <c r="C24" s="42" t="s">
        <v>77</v>
      </c>
      <c r="D24" s="38" t="str">
        <f t="shared" si="0"/>
        <v>ContactInformation_Address_EffectiveDate</v>
      </c>
      <c r="E24" s="38" t="str">
        <f t="shared" si="1"/>
        <v>ContactInformation_Address_EffectiveDate2</v>
      </c>
      <c r="F24" s="39"/>
      <c r="G24" s="50">
        <f t="shared" ref="G24:M24" ca="1" si="2">TODAY()-250</f>
        <v>45449</v>
      </c>
      <c r="H24" s="50">
        <f t="shared" ca="1" si="2"/>
        <v>45449</v>
      </c>
      <c r="I24" s="50">
        <f t="shared" ca="1" si="2"/>
        <v>45449</v>
      </c>
      <c r="J24" s="50">
        <f t="shared" ca="1" si="2"/>
        <v>45449</v>
      </c>
      <c r="K24" s="50">
        <f t="shared" ca="1" si="2"/>
        <v>45449</v>
      </c>
      <c r="L24" s="50">
        <f t="shared" ca="1" si="2"/>
        <v>45449</v>
      </c>
      <c r="M24" s="50">
        <f t="shared" ca="1" si="2"/>
        <v>45449</v>
      </c>
      <c r="N24" s="50">
        <f t="shared" ref="N24:T24" ca="1" si="3">TODAY()-61</f>
        <v>45638</v>
      </c>
      <c r="O24" s="50">
        <f t="shared" ca="1" si="3"/>
        <v>45638</v>
      </c>
      <c r="P24" s="50">
        <f t="shared" ca="1" si="3"/>
        <v>45638</v>
      </c>
      <c r="Q24" s="50">
        <f t="shared" ca="1" si="3"/>
        <v>45638</v>
      </c>
      <c r="R24" s="50">
        <f t="shared" ca="1" si="3"/>
        <v>45638</v>
      </c>
      <c r="S24" s="50">
        <f t="shared" ca="1" si="3"/>
        <v>45638</v>
      </c>
      <c r="T24" s="50">
        <f t="shared" ca="1" si="3"/>
        <v>45638</v>
      </c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</row>
    <row r="25" spans="1:115" x14ac:dyDescent="0.35">
      <c r="A25" s="37" t="s">
        <v>67</v>
      </c>
      <c r="B25" s="37" t="s">
        <v>76</v>
      </c>
      <c r="C25" s="37" t="s">
        <v>61</v>
      </c>
      <c r="D25" s="38" t="str">
        <f t="shared" si="0"/>
        <v>ContactInformation_Address_Country</v>
      </c>
      <c r="E25" s="38" t="str">
        <f t="shared" si="1"/>
        <v>ContactInformation_Address_Country2</v>
      </c>
      <c r="F25" s="39"/>
      <c r="G25" s="46" t="s">
        <v>63</v>
      </c>
      <c r="H25" s="46" t="s">
        <v>63</v>
      </c>
      <c r="I25" s="46" t="s">
        <v>63</v>
      </c>
      <c r="J25" s="46" t="s">
        <v>63</v>
      </c>
      <c r="K25" s="46" t="s">
        <v>63</v>
      </c>
      <c r="L25" s="46" t="s">
        <v>63</v>
      </c>
      <c r="M25" s="46" t="s">
        <v>63</v>
      </c>
      <c r="N25" s="46" t="s">
        <v>63</v>
      </c>
      <c r="O25" s="46" t="s">
        <v>63</v>
      </c>
      <c r="P25" s="46" t="s">
        <v>63</v>
      </c>
      <c r="Q25" s="46" t="s">
        <v>63</v>
      </c>
      <c r="R25" s="46" t="s">
        <v>63</v>
      </c>
      <c r="S25" s="46" t="s">
        <v>63</v>
      </c>
      <c r="T25" s="46" t="s">
        <v>63</v>
      </c>
    </row>
    <row r="26" spans="1:115" x14ac:dyDescent="0.35">
      <c r="A26" s="37" t="s">
        <v>67</v>
      </c>
      <c r="B26" s="37" t="s">
        <v>76</v>
      </c>
      <c r="C26" s="37" t="s">
        <v>78</v>
      </c>
      <c r="D26" s="38" t="str">
        <f t="shared" si="0"/>
        <v>ContactInformation_Address_StreetName</v>
      </c>
      <c r="E26" s="38" t="str">
        <f t="shared" si="1"/>
        <v>ContactInformation_Address_StreetName2</v>
      </c>
      <c r="F26" s="39"/>
      <c r="G26" s="46" t="s">
        <v>79</v>
      </c>
      <c r="H26" s="46" t="s">
        <v>79</v>
      </c>
      <c r="I26" s="46" t="s">
        <v>79</v>
      </c>
      <c r="J26" s="46" t="s">
        <v>79</v>
      </c>
      <c r="K26" s="46" t="s">
        <v>79</v>
      </c>
      <c r="L26" s="46" t="s">
        <v>79</v>
      </c>
      <c r="M26" s="46" t="s">
        <v>79</v>
      </c>
      <c r="N26" s="46" t="s">
        <v>79</v>
      </c>
      <c r="O26" s="46" t="s">
        <v>79</v>
      </c>
      <c r="P26" s="46" t="s">
        <v>79</v>
      </c>
      <c r="Q26" s="46" t="s">
        <v>79</v>
      </c>
      <c r="R26" s="46" t="s">
        <v>79</v>
      </c>
      <c r="S26" s="46" t="s">
        <v>79</v>
      </c>
      <c r="T26" s="46" t="s">
        <v>79</v>
      </c>
    </row>
    <row r="27" spans="1:115" x14ac:dyDescent="0.35">
      <c r="A27" s="37" t="s">
        <v>67</v>
      </c>
      <c r="B27" s="37" t="s">
        <v>76</v>
      </c>
      <c r="C27" s="37" t="s">
        <v>80</v>
      </c>
      <c r="D27" s="38" t="str">
        <f t="shared" si="0"/>
        <v>ContactInformation_Address_HouseNumber</v>
      </c>
      <c r="E27" s="38" t="str">
        <f t="shared" si="1"/>
        <v>ContactInformation_Address_HouseNumber2</v>
      </c>
      <c r="F27" s="39"/>
      <c r="G27" s="46">
        <v>1</v>
      </c>
      <c r="H27" s="46">
        <v>1</v>
      </c>
      <c r="I27" s="46">
        <v>1</v>
      </c>
      <c r="J27" s="46">
        <v>1</v>
      </c>
      <c r="K27" s="46">
        <v>1</v>
      </c>
      <c r="L27" s="46">
        <v>1</v>
      </c>
      <c r="M27" s="46">
        <v>1</v>
      </c>
      <c r="N27" s="46">
        <v>1</v>
      </c>
      <c r="O27" s="46">
        <v>1</v>
      </c>
      <c r="P27" s="46">
        <v>1</v>
      </c>
      <c r="Q27" s="46">
        <v>1</v>
      </c>
      <c r="R27" s="46">
        <v>1</v>
      </c>
      <c r="S27" s="46">
        <v>1</v>
      </c>
      <c r="T27" s="46">
        <v>1</v>
      </c>
    </row>
    <row r="28" spans="1:115" s="51" customFormat="1" x14ac:dyDescent="0.35">
      <c r="A28" s="37" t="s">
        <v>67</v>
      </c>
      <c r="B28" s="37" t="s">
        <v>76</v>
      </c>
      <c r="C28" s="37" t="s">
        <v>81</v>
      </c>
      <c r="D28" s="38" t="str">
        <f t="shared" si="0"/>
        <v>ContactInformation_Address_Locality</v>
      </c>
      <c r="E28" s="38" t="str">
        <f t="shared" si="1"/>
        <v>ContactInformation_Address_Locality2</v>
      </c>
      <c r="F28" s="39"/>
      <c r="G28" s="49" t="s">
        <v>82</v>
      </c>
      <c r="H28" s="49" t="s">
        <v>82</v>
      </c>
      <c r="I28" s="49" t="s">
        <v>82</v>
      </c>
      <c r="J28" s="49" t="s">
        <v>82</v>
      </c>
      <c r="K28" s="49" t="s">
        <v>82</v>
      </c>
      <c r="L28" s="49" t="s">
        <v>82</v>
      </c>
      <c r="M28" s="49" t="s">
        <v>82</v>
      </c>
      <c r="N28" s="49" t="s">
        <v>82</v>
      </c>
      <c r="O28" s="49" t="s">
        <v>82</v>
      </c>
      <c r="P28" s="49" t="s">
        <v>82</v>
      </c>
      <c r="Q28" s="49" t="s">
        <v>82</v>
      </c>
      <c r="R28" s="49" t="s">
        <v>82</v>
      </c>
      <c r="S28" s="49" t="s">
        <v>82</v>
      </c>
      <c r="T28" s="49" t="s">
        <v>82</v>
      </c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</row>
    <row r="29" spans="1:115" s="51" customFormat="1" x14ac:dyDescent="0.35">
      <c r="A29" s="37" t="s">
        <v>67</v>
      </c>
      <c r="B29" s="37" t="s">
        <v>76</v>
      </c>
      <c r="C29" s="37" t="s">
        <v>83</v>
      </c>
      <c r="D29" s="38" t="str">
        <f t="shared" si="0"/>
        <v>ContactInformation_Address_PostalCode</v>
      </c>
      <c r="E29" s="38" t="str">
        <f t="shared" si="1"/>
        <v>ContactInformation_Address_PostalCode2</v>
      </c>
      <c r="F29" s="39"/>
      <c r="G29" s="49">
        <v>26401</v>
      </c>
      <c r="H29" s="49">
        <v>26401</v>
      </c>
      <c r="I29" s="49">
        <v>26401</v>
      </c>
      <c r="J29" s="49">
        <v>26401</v>
      </c>
      <c r="K29" s="49">
        <v>26401</v>
      </c>
      <c r="L29" s="49">
        <v>26401</v>
      </c>
      <c r="M29" s="49">
        <v>26401</v>
      </c>
      <c r="N29" s="49">
        <v>26401</v>
      </c>
      <c r="O29" s="49">
        <v>26401</v>
      </c>
      <c r="P29" s="49">
        <v>26401</v>
      </c>
      <c r="Q29" s="49">
        <v>26401</v>
      </c>
      <c r="R29" s="49">
        <v>26401</v>
      </c>
      <c r="S29" s="49">
        <v>26401</v>
      </c>
      <c r="T29" s="49">
        <v>26401</v>
      </c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</row>
    <row r="30" spans="1:115" s="51" customFormat="1" x14ac:dyDescent="0.35">
      <c r="A30" s="37" t="s">
        <v>67</v>
      </c>
      <c r="B30" s="37" t="s">
        <v>76</v>
      </c>
      <c r="C30" s="37" t="s">
        <v>84</v>
      </c>
      <c r="D30" s="38" t="str">
        <f t="shared" si="0"/>
        <v>ContactInformation_Address_City</v>
      </c>
      <c r="E30" s="38" t="str">
        <f t="shared" si="1"/>
        <v>ContactInformation_Address_City2</v>
      </c>
      <c r="F30" s="39"/>
      <c r="G30" s="49" t="s">
        <v>82</v>
      </c>
      <c r="H30" s="49" t="s">
        <v>82</v>
      </c>
      <c r="I30" s="49" t="s">
        <v>82</v>
      </c>
      <c r="J30" s="49" t="s">
        <v>82</v>
      </c>
      <c r="K30" s="49" t="s">
        <v>82</v>
      </c>
      <c r="L30" s="49" t="s">
        <v>82</v>
      </c>
      <c r="M30" s="49" t="s">
        <v>82</v>
      </c>
      <c r="N30" s="49" t="s">
        <v>82</v>
      </c>
      <c r="O30" s="49" t="s">
        <v>82</v>
      </c>
      <c r="P30" s="49" t="s">
        <v>82</v>
      </c>
      <c r="Q30" s="49" t="s">
        <v>82</v>
      </c>
      <c r="R30" s="49" t="s">
        <v>82</v>
      </c>
      <c r="S30" s="49" t="s">
        <v>82</v>
      </c>
      <c r="T30" s="49" t="s">
        <v>82</v>
      </c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</row>
    <row r="31" spans="1:115" s="51" customFormat="1" x14ac:dyDescent="0.35">
      <c r="A31" s="37" t="s">
        <v>67</v>
      </c>
      <c r="B31" s="37" t="s">
        <v>76</v>
      </c>
      <c r="C31" s="37" t="s">
        <v>85</v>
      </c>
      <c r="D31" s="38" t="str">
        <f t="shared" si="0"/>
        <v>ContactInformation_Address_Region</v>
      </c>
      <c r="E31" s="38" t="str">
        <f t="shared" si="1"/>
        <v>ContactInformation_Address_Region2</v>
      </c>
      <c r="F31" s="39"/>
      <c r="G31" s="49" t="s">
        <v>86</v>
      </c>
      <c r="H31" s="49" t="s">
        <v>86</v>
      </c>
      <c r="I31" s="49" t="s">
        <v>86</v>
      </c>
      <c r="J31" s="49" t="s">
        <v>86</v>
      </c>
      <c r="K31" s="49" t="s">
        <v>86</v>
      </c>
      <c r="L31" s="49" t="s">
        <v>86</v>
      </c>
      <c r="M31" s="49" t="s">
        <v>86</v>
      </c>
      <c r="N31" s="49" t="s">
        <v>86</v>
      </c>
      <c r="O31" s="49" t="s">
        <v>86</v>
      </c>
      <c r="P31" s="49" t="s">
        <v>86</v>
      </c>
      <c r="Q31" s="49" t="s">
        <v>86</v>
      </c>
      <c r="R31" s="49" t="s">
        <v>86</v>
      </c>
      <c r="S31" s="49" t="s">
        <v>86</v>
      </c>
      <c r="T31" s="49" t="s">
        <v>86</v>
      </c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</row>
    <row r="32" spans="1:115" x14ac:dyDescent="0.35">
      <c r="A32" s="37" t="s">
        <v>67</v>
      </c>
      <c r="B32" s="37" t="s">
        <v>76</v>
      </c>
      <c r="C32" s="37" t="s">
        <v>74</v>
      </c>
      <c r="D32" s="38" t="str">
        <f t="shared" si="0"/>
        <v>ContactInformation_Address_Type</v>
      </c>
      <c r="E32" s="38" t="str">
        <f t="shared" si="1"/>
        <v>ContactInformation_Address_Type2</v>
      </c>
      <c r="F32" s="39"/>
      <c r="G32" s="49" t="s">
        <v>75</v>
      </c>
      <c r="H32" s="49" t="s">
        <v>75</v>
      </c>
      <c r="I32" s="49" t="s">
        <v>75</v>
      </c>
      <c r="J32" s="49" t="s">
        <v>75</v>
      </c>
      <c r="K32" s="49" t="s">
        <v>75</v>
      </c>
      <c r="L32" s="49" t="s">
        <v>75</v>
      </c>
      <c r="M32" s="49" t="s">
        <v>75</v>
      </c>
      <c r="N32" s="49" t="s">
        <v>75</v>
      </c>
      <c r="O32" s="49" t="s">
        <v>75</v>
      </c>
      <c r="P32" s="49" t="s">
        <v>75</v>
      </c>
      <c r="Q32" s="49" t="s">
        <v>75</v>
      </c>
      <c r="R32" s="49" t="s">
        <v>75</v>
      </c>
      <c r="S32" s="49" t="s">
        <v>75</v>
      </c>
      <c r="T32" s="49" t="s">
        <v>75</v>
      </c>
    </row>
    <row r="33" spans="1:115" x14ac:dyDescent="0.35">
      <c r="A33" s="37" t="s">
        <v>67</v>
      </c>
      <c r="B33" s="37" t="s">
        <v>76</v>
      </c>
      <c r="C33" s="37" t="s">
        <v>87</v>
      </c>
      <c r="D33" s="38" t="str">
        <f t="shared" si="0"/>
        <v>ContactInformation_Address_UseFor</v>
      </c>
      <c r="E33" s="38" t="str">
        <f t="shared" si="1"/>
        <v>ContactInformation_Address_UseFor2</v>
      </c>
      <c r="F33" s="39" t="s">
        <v>88</v>
      </c>
      <c r="G33" s="52" t="s">
        <v>89</v>
      </c>
      <c r="H33" s="52" t="s">
        <v>89</v>
      </c>
      <c r="I33" s="52" t="s">
        <v>89</v>
      </c>
      <c r="J33" s="52" t="s">
        <v>89</v>
      </c>
      <c r="K33" s="52" t="s">
        <v>89</v>
      </c>
      <c r="L33" s="52" t="s">
        <v>89</v>
      </c>
      <c r="M33" s="52" t="s">
        <v>89</v>
      </c>
      <c r="N33" s="52" t="s">
        <v>89</v>
      </c>
      <c r="O33" s="52" t="s">
        <v>89</v>
      </c>
      <c r="P33" s="52" t="s">
        <v>89</v>
      </c>
      <c r="Q33" s="52" t="s">
        <v>89</v>
      </c>
      <c r="R33" s="52" t="s">
        <v>89</v>
      </c>
      <c r="S33" s="52" t="s">
        <v>89</v>
      </c>
      <c r="T33" s="52" t="s">
        <v>89</v>
      </c>
    </row>
    <row r="34" spans="1:115" x14ac:dyDescent="0.35">
      <c r="A34" s="37" t="s">
        <v>67</v>
      </c>
      <c r="B34" s="37" t="s">
        <v>90</v>
      </c>
      <c r="C34" s="37" t="s">
        <v>91</v>
      </c>
      <c r="D34" s="38" t="str">
        <f t="shared" si="0"/>
        <v>ContactInformation_Email_EmailAddress</v>
      </c>
      <c r="E34" s="38" t="str">
        <f t="shared" si="1"/>
        <v>ContactInformation_Email_EmailAddress2</v>
      </c>
      <c r="F34" s="39"/>
      <c r="G34" s="53" t="s">
        <v>92</v>
      </c>
      <c r="H34" s="53" t="s">
        <v>92</v>
      </c>
      <c r="I34" s="53" t="s">
        <v>92</v>
      </c>
      <c r="J34" s="53" t="s">
        <v>92</v>
      </c>
      <c r="K34" s="53" t="s">
        <v>92</v>
      </c>
      <c r="L34" s="53" t="s">
        <v>92</v>
      </c>
      <c r="M34" s="53" t="s">
        <v>92</v>
      </c>
      <c r="N34" s="53" t="s">
        <v>92</v>
      </c>
      <c r="O34" s="53" t="s">
        <v>92</v>
      </c>
      <c r="P34" s="53" t="s">
        <v>92</v>
      </c>
      <c r="Q34" s="53" t="s">
        <v>92</v>
      </c>
      <c r="R34" s="53" t="s">
        <v>92</v>
      </c>
      <c r="S34" s="53" t="s">
        <v>92</v>
      </c>
      <c r="T34" s="53" t="s">
        <v>92</v>
      </c>
    </row>
    <row r="35" spans="1:115" x14ac:dyDescent="0.35">
      <c r="A35" s="37" t="s">
        <v>67</v>
      </c>
      <c r="B35" s="37" t="s">
        <v>90</v>
      </c>
      <c r="C35" s="37" t="s">
        <v>74</v>
      </c>
      <c r="D35" s="38" t="str">
        <f t="shared" si="0"/>
        <v>ContactInformation_Email_Type</v>
      </c>
      <c r="E35" s="38" t="str">
        <f t="shared" si="1"/>
        <v>ContactInformation_Email_Type2</v>
      </c>
      <c r="F35" s="39"/>
      <c r="G35" s="49" t="s">
        <v>75</v>
      </c>
      <c r="H35" s="49" t="s">
        <v>75</v>
      </c>
      <c r="I35" s="49" t="s">
        <v>75</v>
      </c>
      <c r="J35" s="49" t="s">
        <v>75</v>
      </c>
      <c r="K35" s="49" t="s">
        <v>75</v>
      </c>
      <c r="L35" s="49" t="s">
        <v>75</v>
      </c>
      <c r="M35" s="49" t="s">
        <v>75</v>
      </c>
      <c r="N35" s="49" t="s">
        <v>75</v>
      </c>
      <c r="O35" s="49" t="s">
        <v>75</v>
      </c>
      <c r="P35" s="49" t="s">
        <v>75</v>
      </c>
      <c r="Q35" s="49" t="s">
        <v>75</v>
      </c>
      <c r="R35" s="49" t="s">
        <v>75</v>
      </c>
      <c r="S35" s="49" t="s">
        <v>75</v>
      </c>
      <c r="T35" s="49" t="s">
        <v>75</v>
      </c>
    </row>
    <row r="36" spans="1:115" s="51" customFormat="1" x14ac:dyDescent="0.35">
      <c r="A36" s="37" t="s">
        <v>93</v>
      </c>
      <c r="B36" s="37" t="s">
        <v>51</v>
      </c>
      <c r="C36" s="42" t="s">
        <v>94</v>
      </c>
      <c r="D36" s="54" t="str">
        <f t="shared" si="0"/>
        <v>JobDetails_HireDate</v>
      </c>
      <c r="E36" s="54" t="str">
        <f t="shared" si="1"/>
        <v>JobDetails_HireDate2</v>
      </c>
      <c r="F36" s="55"/>
      <c r="G36" s="50">
        <f ca="1">G24</f>
        <v>45449</v>
      </c>
      <c r="H36" s="50">
        <f ca="1">H24</f>
        <v>45449</v>
      </c>
      <c r="I36" s="50">
        <f ca="1">I24</f>
        <v>45449</v>
      </c>
      <c r="J36" s="50">
        <f ca="1">J24</f>
        <v>45449</v>
      </c>
      <c r="K36" s="50">
        <f ca="1">K24</f>
        <v>45449</v>
      </c>
      <c r="L36" s="50">
        <f t="shared" ref="L36" ca="1" si="4">L24</f>
        <v>45449</v>
      </c>
      <c r="M36" s="50">
        <f ca="1">M24</f>
        <v>45449</v>
      </c>
      <c r="N36" s="50">
        <f ca="1">N24</f>
        <v>45638</v>
      </c>
      <c r="O36" s="50">
        <f t="shared" ref="O36" ca="1" si="5">O24</f>
        <v>45638</v>
      </c>
      <c r="P36" s="50">
        <f ca="1">P24</f>
        <v>45638</v>
      </c>
      <c r="Q36" s="50">
        <f ca="1">Q24</f>
        <v>45638</v>
      </c>
      <c r="R36" s="50">
        <f t="shared" ref="R36" ca="1" si="6">R24</f>
        <v>45638</v>
      </c>
      <c r="S36" s="50">
        <f ca="1">S24</f>
        <v>45638</v>
      </c>
      <c r="T36" s="50">
        <f ca="1">T24</f>
        <v>45638</v>
      </c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</row>
    <row r="37" spans="1:115" x14ac:dyDescent="0.35">
      <c r="A37" s="37" t="s">
        <v>93</v>
      </c>
      <c r="B37" s="37" t="s">
        <v>51</v>
      </c>
      <c r="C37" s="37" t="s">
        <v>95</v>
      </c>
      <c r="D37" s="38" t="str">
        <f t="shared" si="0"/>
        <v>JobDetails_Reason</v>
      </c>
      <c r="E37" s="38" t="str">
        <f t="shared" si="1"/>
        <v>JobDetails_Reason2</v>
      </c>
      <c r="F37" s="39"/>
      <c r="G37" s="49" t="s">
        <v>14</v>
      </c>
      <c r="H37" s="49" t="s">
        <v>14</v>
      </c>
      <c r="I37" s="49" t="s">
        <v>14</v>
      </c>
      <c r="J37" s="49" t="s">
        <v>14</v>
      </c>
      <c r="K37" s="49" t="s">
        <v>14</v>
      </c>
      <c r="L37" s="49" t="s">
        <v>14</v>
      </c>
      <c r="M37" s="49" t="s">
        <v>14</v>
      </c>
      <c r="N37" s="49" t="s">
        <v>14</v>
      </c>
      <c r="O37" s="49" t="s">
        <v>14</v>
      </c>
      <c r="P37" s="49" t="s">
        <v>14</v>
      </c>
      <c r="Q37" s="49" t="s">
        <v>14</v>
      </c>
      <c r="R37" s="49" t="s">
        <v>14</v>
      </c>
      <c r="S37" s="49" t="s">
        <v>14</v>
      </c>
      <c r="T37" s="49" t="s">
        <v>14</v>
      </c>
    </row>
    <row r="38" spans="1:115" ht="20.149999999999999" customHeight="1" x14ac:dyDescent="0.35">
      <c r="A38" s="37" t="s">
        <v>93</v>
      </c>
      <c r="B38" s="37" t="s">
        <v>51</v>
      </c>
      <c r="C38" s="47" t="s">
        <v>96</v>
      </c>
      <c r="D38" s="56" t="str">
        <f t="shared" si="0"/>
        <v>JobDetails_Position</v>
      </c>
      <c r="E38" s="56" t="str">
        <f t="shared" si="1"/>
        <v>JobDetails_Position2</v>
      </c>
      <c r="F38" s="57" t="s">
        <v>97</v>
      </c>
      <c r="G38" s="48" t="s">
        <v>99</v>
      </c>
      <c r="H38" s="48" t="s">
        <v>98</v>
      </c>
      <c r="I38" s="48" t="s">
        <v>99</v>
      </c>
      <c r="J38" s="48" t="s">
        <v>98</v>
      </c>
      <c r="K38" s="48" t="s">
        <v>98</v>
      </c>
      <c r="L38" s="48" t="s">
        <v>100</v>
      </c>
      <c r="M38" s="48" t="s">
        <v>99</v>
      </c>
      <c r="N38" s="48" t="s">
        <v>98</v>
      </c>
      <c r="O38" s="48" t="s">
        <v>100</v>
      </c>
      <c r="P38" s="48" t="s">
        <v>99</v>
      </c>
      <c r="Q38" s="48" t="s">
        <v>98</v>
      </c>
      <c r="R38" s="48" t="s">
        <v>100</v>
      </c>
      <c r="S38" s="48" t="s">
        <v>99</v>
      </c>
      <c r="T38" s="48" t="s">
        <v>98</v>
      </c>
    </row>
    <row r="39" spans="1:115" x14ac:dyDescent="0.35">
      <c r="A39" s="37" t="s">
        <v>93</v>
      </c>
      <c r="B39" s="37" t="s">
        <v>51</v>
      </c>
      <c r="C39" s="37" t="s">
        <v>101</v>
      </c>
      <c r="D39" s="56" t="str">
        <f t="shared" si="0"/>
        <v>JobDetails_EmployeeType</v>
      </c>
      <c r="E39" s="56" t="str">
        <f t="shared" si="1"/>
        <v>JobDetails_EmployeeType2</v>
      </c>
      <c r="F39" s="57" t="s">
        <v>102</v>
      </c>
      <c r="G39" s="58" t="s">
        <v>103</v>
      </c>
      <c r="H39" s="58" t="s">
        <v>103</v>
      </c>
      <c r="I39" s="58" t="s">
        <v>103</v>
      </c>
      <c r="J39" s="58" t="s">
        <v>103</v>
      </c>
      <c r="K39" s="58" t="s">
        <v>103</v>
      </c>
      <c r="L39" s="58" t="s">
        <v>103</v>
      </c>
      <c r="M39" s="58" t="s">
        <v>103</v>
      </c>
      <c r="N39" s="58" t="s">
        <v>103</v>
      </c>
      <c r="O39" s="58" t="s">
        <v>103</v>
      </c>
      <c r="P39" s="58" t="s">
        <v>103</v>
      </c>
      <c r="Q39" s="58" t="s">
        <v>103</v>
      </c>
      <c r="R39" s="58" t="s">
        <v>103</v>
      </c>
      <c r="S39" s="58" t="s">
        <v>103</v>
      </c>
      <c r="T39" s="58" t="s">
        <v>103</v>
      </c>
    </row>
    <row r="40" spans="1:115" x14ac:dyDescent="0.35">
      <c r="A40" s="37" t="s">
        <v>93</v>
      </c>
      <c r="B40" s="37" t="s">
        <v>51</v>
      </c>
      <c r="C40" s="37" t="s">
        <v>104</v>
      </c>
      <c r="D40" s="56" t="str">
        <f t="shared" si="0"/>
        <v>JobDetails_JobProfile</v>
      </c>
      <c r="E40" s="56" t="str">
        <f t="shared" si="1"/>
        <v>JobDetails_JobProfile2</v>
      </c>
      <c r="F40" s="57"/>
      <c r="G40" s="58" t="s">
        <v>105</v>
      </c>
      <c r="H40" s="58" t="s">
        <v>105</v>
      </c>
      <c r="I40" s="58" t="s">
        <v>105</v>
      </c>
      <c r="J40" s="58" t="s">
        <v>105</v>
      </c>
      <c r="K40" s="58" t="s">
        <v>105</v>
      </c>
      <c r="L40" s="58" t="s">
        <v>105</v>
      </c>
      <c r="M40" s="58" t="s">
        <v>106</v>
      </c>
      <c r="N40" s="58" t="s">
        <v>188</v>
      </c>
      <c r="O40" s="58" t="s">
        <v>189</v>
      </c>
      <c r="P40" s="58" t="s">
        <v>190</v>
      </c>
      <c r="Q40" s="58" t="s">
        <v>191</v>
      </c>
      <c r="R40" s="58" t="s">
        <v>192</v>
      </c>
      <c r="S40" s="58" t="s">
        <v>193</v>
      </c>
      <c r="T40" s="58" t="s">
        <v>194</v>
      </c>
    </row>
    <row r="41" spans="1:115" x14ac:dyDescent="0.35">
      <c r="A41" s="37" t="s">
        <v>93</v>
      </c>
      <c r="B41" s="37" t="s">
        <v>51</v>
      </c>
      <c r="C41" s="37" t="s">
        <v>107</v>
      </c>
      <c r="D41" s="56" t="str">
        <f t="shared" si="0"/>
        <v>JobDetails_TimeType</v>
      </c>
      <c r="E41" s="56" t="str">
        <f t="shared" si="1"/>
        <v>JobDetails_TimeType2</v>
      </c>
      <c r="F41" s="57"/>
      <c r="G41" s="58" t="s">
        <v>109</v>
      </c>
      <c r="H41" s="58" t="s">
        <v>109</v>
      </c>
      <c r="I41" s="58" t="s">
        <v>109</v>
      </c>
      <c r="J41" s="58" t="s">
        <v>108</v>
      </c>
      <c r="K41" s="58" t="s">
        <v>108</v>
      </c>
      <c r="L41" s="58" t="s">
        <v>108</v>
      </c>
      <c r="M41" s="58" t="s">
        <v>109</v>
      </c>
      <c r="N41" s="58" t="s">
        <v>109</v>
      </c>
      <c r="O41" s="58" t="s">
        <v>109</v>
      </c>
      <c r="P41" s="58" t="s">
        <v>109</v>
      </c>
      <c r="Q41" s="58" t="s">
        <v>109</v>
      </c>
      <c r="R41" s="58" t="s">
        <v>109</v>
      </c>
      <c r="S41" s="58" t="s">
        <v>109</v>
      </c>
      <c r="T41" s="58" t="s">
        <v>109</v>
      </c>
    </row>
    <row r="42" spans="1:115" x14ac:dyDescent="0.35">
      <c r="A42" s="37" t="s">
        <v>93</v>
      </c>
      <c r="B42" s="37" t="s">
        <v>51</v>
      </c>
      <c r="C42" s="37" t="s">
        <v>110</v>
      </c>
      <c r="D42" s="38" t="str">
        <f t="shared" si="0"/>
        <v>JobDetails_Location</v>
      </c>
      <c r="E42" s="38" t="str">
        <f t="shared" si="1"/>
        <v>JobDetails_Location2</v>
      </c>
      <c r="F42" s="39"/>
      <c r="G42" s="59" t="s">
        <v>111</v>
      </c>
      <c r="H42" s="59" t="s">
        <v>111</v>
      </c>
      <c r="I42" s="59" t="s">
        <v>111</v>
      </c>
      <c r="J42" s="59" t="s">
        <v>111</v>
      </c>
      <c r="K42" s="59" t="s">
        <v>111</v>
      </c>
      <c r="L42" s="59" t="s">
        <v>111</v>
      </c>
      <c r="M42" s="59" t="s">
        <v>111</v>
      </c>
      <c r="N42" s="59" t="s">
        <v>111</v>
      </c>
      <c r="O42" s="59" t="s">
        <v>111</v>
      </c>
      <c r="P42" s="59" t="s">
        <v>111</v>
      </c>
      <c r="Q42" s="59" t="s">
        <v>111</v>
      </c>
      <c r="R42" s="59" t="s">
        <v>111</v>
      </c>
      <c r="S42" s="59" t="s">
        <v>111</v>
      </c>
      <c r="T42" s="59" t="s">
        <v>111</v>
      </c>
    </row>
    <row r="43" spans="1:115" s="61" customFormat="1" x14ac:dyDescent="0.35">
      <c r="A43" s="37" t="s">
        <v>93</v>
      </c>
      <c r="B43" s="37" t="s">
        <v>51</v>
      </c>
      <c r="C43" s="37" t="s">
        <v>112</v>
      </c>
      <c r="D43" s="38" t="str">
        <f t="shared" si="0"/>
        <v>JobDetails_PayRateType</v>
      </c>
      <c r="E43" s="38" t="str">
        <f t="shared" si="1"/>
        <v>JobDetails_PayRateType2</v>
      </c>
      <c r="F43" s="39"/>
      <c r="G43" s="60" t="s">
        <v>113</v>
      </c>
      <c r="H43" s="60" t="s">
        <v>113</v>
      </c>
      <c r="I43" s="60" t="s">
        <v>113</v>
      </c>
      <c r="J43" s="60" t="s">
        <v>113</v>
      </c>
      <c r="K43" s="60" t="s">
        <v>113</v>
      </c>
      <c r="L43" s="60" t="s">
        <v>113</v>
      </c>
      <c r="M43" s="60" t="s">
        <v>113</v>
      </c>
      <c r="N43" s="60" t="s">
        <v>113</v>
      </c>
      <c r="O43" s="60" t="s">
        <v>113</v>
      </c>
      <c r="P43" s="60" t="s">
        <v>113</v>
      </c>
      <c r="Q43" s="60" t="s">
        <v>113</v>
      </c>
      <c r="R43" s="60" t="s">
        <v>113</v>
      </c>
      <c r="S43" s="60" t="s">
        <v>113</v>
      </c>
      <c r="T43" s="60" t="s">
        <v>113</v>
      </c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</row>
    <row r="44" spans="1:115" x14ac:dyDescent="0.35">
      <c r="A44" s="37" t="s">
        <v>93</v>
      </c>
      <c r="B44" s="37" t="s">
        <v>114</v>
      </c>
      <c r="C44" s="37" t="s">
        <v>115</v>
      </c>
      <c r="D44" s="56" t="str">
        <f t="shared" si="0"/>
        <v>JobDetails_AdditionalInformation_WorkShift</v>
      </c>
      <c r="E44" s="56" t="str">
        <f t="shared" si="1"/>
        <v>JobDetails_AdditionalInformation_WorkShift2</v>
      </c>
      <c r="F44" s="57"/>
      <c r="G44" s="58" t="s">
        <v>116</v>
      </c>
      <c r="H44" s="58" t="s">
        <v>116</v>
      </c>
      <c r="I44" s="58" t="s">
        <v>116</v>
      </c>
      <c r="J44" s="58" t="s">
        <v>116</v>
      </c>
      <c r="K44" s="58" t="s">
        <v>116</v>
      </c>
      <c r="L44" s="58" t="s">
        <v>116</v>
      </c>
      <c r="M44" s="58" t="s">
        <v>116</v>
      </c>
      <c r="N44" s="58" t="s">
        <v>116</v>
      </c>
      <c r="O44" s="58" t="s">
        <v>116</v>
      </c>
      <c r="P44" s="58" t="s">
        <v>116</v>
      </c>
      <c r="Q44" s="58" t="s">
        <v>116</v>
      </c>
      <c r="R44" s="58" t="s">
        <v>116</v>
      </c>
      <c r="S44" s="58" t="s">
        <v>116</v>
      </c>
      <c r="T44" s="58" t="s">
        <v>116</v>
      </c>
    </row>
    <row r="45" spans="1:115" x14ac:dyDescent="0.35">
      <c r="A45" s="37" t="s">
        <v>93</v>
      </c>
      <c r="B45" s="62" t="s">
        <v>114</v>
      </c>
      <c r="C45" s="63" t="s">
        <v>117</v>
      </c>
      <c r="D45" s="56" t="str">
        <f t="shared" si="0"/>
        <v>JobDetails_AdditionalInformation_ScheduledWeeklyHours</v>
      </c>
      <c r="E45" s="56" t="str">
        <f t="shared" si="1"/>
        <v>JobDetails_AdditionalInformation_ScheduledWeeklyHours2</v>
      </c>
      <c r="F45" s="64"/>
      <c r="G45" s="65">
        <v>37.5</v>
      </c>
      <c r="H45" s="65">
        <v>37.5</v>
      </c>
      <c r="I45" s="65">
        <v>37.5</v>
      </c>
      <c r="J45" s="65">
        <v>25</v>
      </c>
      <c r="K45" s="65">
        <v>25</v>
      </c>
      <c r="L45" s="65">
        <v>25</v>
      </c>
      <c r="M45" s="65">
        <v>40</v>
      </c>
      <c r="N45" s="65">
        <v>40</v>
      </c>
      <c r="O45" s="65">
        <v>40</v>
      </c>
      <c r="P45" s="65">
        <v>40</v>
      </c>
      <c r="Q45" s="65">
        <v>40</v>
      </c>
      <c r="R45" s="65">
        <v>40</v>
      </c>
      <c r="S45" s="65">
        <v>40</v>
      </c>
      <c r="T45" s="65">
        <v>40</v>
      </c>
    </row>
    <row r="46" spans="1:115" x14ac:dyDescent="0.35">
      <c r="A46" s="37" t="s">
        <v>93</v>
      </c>
      <c r="B46" s="62" t="s">
        <v>114</v>
      </c>
      <c r="C46" s="66" t="s">
        <v>118</v>
      </c>
      <c r="D46" s="43" t="str">
        <f t="shared" si="0"/>
        <v>JobDetails_AdditionalInformation_EndEmploymentDate</v>
      </c>
      <c r="E46" s="43" t="str">
        <f t="shared" si="1"/>
        <v>JobDetails_AdditionalInformation_EndEmploymentDate2</v>
      </c>
      <c r="F46" s="67"/>
      <c r="G46" s="68" t="s">
        <v>51</v>
      </c>
      <c r="H46" s="68" t="s">
        <v>51</v>
      </c>
      <c r="I46" s="68" t="s">
        <v>51</v>
      </c>
      <c r="J46" s="68" t="s">
        <v>51</v>
      </c>
      <c r="K46" s="68" t="s">
        <v>51</v>
      </c>
      <c r="L46" s="68" t="s">
        <v>51</v>
      </c>
      <c r="M46" s="68"/>
      <c r="N46" s="68"/>
      <c r="O46" s="68"/>
      <c r="P46" s="68"/>
      <c r="Q46" s="68"/>
      <c r="R46" s="68"/>
      <c r="S46" s="68"/>
      <c r="T46" s="68"/>
    </row>
    <row r="47" spans="1:115" x14ac:dyDescent="0.35">
      <c r="A47" s="37" t="s">
        <v>119</v>
      </c>
      <c r="B47" s="37" t="s">
        <v>51</v>
      </c>
      <c r="C47" s="37" t="s">
        <v>120</v>
      </c>
      <c r="D47" s="56" t="str">
        <f t="shared" si="0"/>
        <v>MaintainEmployeeContract_ContractType</v>
      </c>
      <c r="E47" s="56" t="str">
        <f t="shared" si="1"/>
        <v>MaintainEmployeeContract_ContractType2</v>
      </c>
      <c r="F47" s="57"/>
      <c r="G47" s="69" t="s">
        <v>121</v>
      </c>
      <c r="H47" s="69" t="s">
        <v>121</v>
      </c>
      <c r="I47" s="69" t="s">
        <v>121</v>
      </c>
      <c r="J47" s="69" t="s">
        <v>121</v>
      </c>
      <c r="K47" s="69" t="s">
        <v>121</v>
      </c>
      <c r="L47" s="69" t="s">
        <v>121</v>
      </c>
      <c r="M47" s="69" t="s">
        <v>121</v>
      </c>
      <c r="N47" s="69" t="s">
        <v>121</v>
      </c>
      <c r="O47" s="69" t="s">
        <v>121</v>
      </c>
      <c r="P47" s="69" t="s">
        <v>121</v>
      </c>
      <c r="Q47" s="69" t="s">
        <v>121</v>
      </c>
      <c r="R47" s="69" t="s">
        <v>121</v>
      </c>
      <c r="S47" s="69" t="s">
        <v>121</v>
      </c>
      <c r="T47" s="69" t="s">
        <v>121</v>
      </c>
    </row>
    <row r="48" spans="1:115" x14ac:dyDescent="0.35">
      <c r="A48" s="37" t="s">
        <v>119</v>
      </c>
      <c r="B48" s="37" t="s">
        <v>51</v>
      </c>
      <c r="C48" s="37" t="s">
        <v>122</v>
      </c>
      <c r="D48" s="56" t="str">
        <f t="shared" si="0"/>
        <v>MaintainEmployeeContract_Status</v>
      </c>
      <c r="E48" s="56" t="str">
        <f t="shared" si="1"/>
        <v>MaintainEmployeeContract_Status2</v>
      </c>
      <c r="F48" s="57" t="s">
        <v>123</v>
      </c>
      <c r="G48" s="69" t="s">
        <v>124</v>
      </c>
      <c r="H48" s="69" t="s">
        <v>124</v>
      </c>
      <c r="I48" s="69" t="s">
        <v>124</v>
      </c>
      <c r="J48" s="69" t="s">
        <v>124</v>
      </c>
      <c r="K48" s="69" t="s">
        <v>124</v>
      </c>
      <c r="L48" s="69" t="s">
        <v>124</v>
      </c>
      <c r="M48" s="69" t="s">
        <v>124</v>
      </c>
      <c r="N48" s="69" t="s">
        <v>124</v>
      </c>
      <c r="O48" s="69" t="s">
        <v>124</v>
      </c>
      <c r="P48" s="69" t="s">
        <v>124</v>
      </c>
      <c r="Q48" s="69" t="s">
        <v>124</v>
      </c>
      <c r="R48" s="69" t="s">
        <v>124</v>
      </c>
      <c r="S48" s="69" t="s">
        <v>124</v>
      </c>
      <c r="T48" s="69" t="s">
        <v>124</v>
      </c>
    </row>
    <row r="49" spans="1:115" x14ac:dyDescent="0.35">
      <c r="A49" s="37" t="s">
        <v>119</v>
      </c>
      <c r="B49" s="37" t="s">
        <v>51</v>
      </c>
      <c r="C49" s="37" t="s">
        <v>125</v>
      </c>
      <c r="D49" s="56" t="str">
        <f t="shared" si="0"/>
        <v>MaintainEmployeeContract_ContractStartDate</v>
      </c>
      <c r="E49" s="56" t="str">
        <f t="shared" si="1"/>
        <v>MaintainEmployeeContract_ContractStartDate2</v>
      </c>
      <c r="F49" s="57"/>
      <c r="G49" s="70">
        <f ca="1">G24</f>
        <v>45449</v>
      </c>
      <c r="H49" s="70">
        <f ca="1">H24</f>
        <v>45449</v>
      </c>
      <c r="I49" s="70">
        <f ca="1">I24</f>
        <v>45449</v>
      </c>
      <c r="J49" s="70">
        <f ca="1">J24</f>
        <v>45449</v>
      </c>
      <c r="K49" s="70">
        <f ca="1">K24</f>
        <v>45449</v>
      </c>
      <c r="L49" s="70">
        <f t="shared" ref="L49" ca="1" si="7">L24</f>
        <v>45449</v>
      </c>
      <c r="M49" s="70">
        <f ca="1">M24</f>
        <v>45449</v>
      </c>
      <c r="N49" s="70">
        <f ca="1">N24</f>
        <v>45638</v>
      </c>
      <c r="O49" s="70">
        <f t="shared" ref="O49" ca="1" si="8">O24</f>
        <v>45638</v>
      </c>
      <c r="P49" s="70">
        <f ca="1">P24</f>
        <v>45638</v>
      </c>
      <c r="Q49" s="70">
        <f ca="1">Q24</f>
        <v>45638</v>
      </c>
      <c r="R49" s="70">
        <f t="shared" ref="R49" ca="1" si="9">R24</f>
        <v>45638</v>
      </c>
      <c r="S49" s="70">
        <f ca="1">S24</f>
        <v>45638</v>
      </c>
      <c r="T49" s="70">
        <f ca="1">T24</f>
        <v>45638</v>
      </c>
    </row>
    <row r="50" spans="1:115" x14ac:dyDescent="0.35">
      <c r="A50" s="37" t="s">
        <v>119</v>
      </c>
      <c r="B50" s="37" t="s">
        <v>51</v>
      </c>
      <c r="C50" s="42" t="s">
        <v>126</v>
      </c>
      <c r="D50" s="43" t="str">
        <f>SUBSTITUTE(A50," ","") &amp; "_" &amp; SUBSTITUTE(IF(B50="N/A","",B50&amp; "_")," ","")  &amp; SUBSTITUTE(SUBSTITUTE(C50," ",""),"/","")</f>
        <v>MaintainEmployeeContract_ContractEndDate</v>
      </c>
      <c r="E50" s="43" t="str">
        <f>D50&amp;2</f>
        <v>MaintainEmployeeContract_ContractEndDate2</v>
      </c>
      <c r="F50" s="44"/>
      <c r="G50" s="68" t="str">
        <f t="shared" ref="G50:L50" si="10">G46</f>
        <v>N/A</v>
      </c>
      <c r="H50" s="68" t="str">
        <f t="shared" si="10"/>
        <v>N/A</v>
      </c>
      <c r="I50" s="68" t="str">
        <f t="shared" si="10"/>
        <v>N/A</v>
      </c>
      <c r="J50" s="68" t="str">
        <f t="shared" si="10"/>
        <v>N/A</v>
      </c>
      <c r="K50" s="68" t="str">
        <f t="shared" ref="K50" si="11">K46</f>
        <v>N/A</v>
      </c>
      <c r="L50" s="68" t="str">
        <f t="shared" si="10"/>
        <v>N/A</v>
      </c>
      <c r="M50" s="68"/>
      <c r="N50" s="68"/>
      <c r="O50" s="68"/>
      <c r="P50" s="68"/>
      <c r="Q50" s="68"/>
      <c r="R50" s="68"/>
      <c r="S50" s="68"/>
      <c r="T50" s="68"/>
    </row>
    <row r="51" spans="1:115" x14ac:dyDescent="0.35">
      <c r="A51" s="37" t="s">
        <v>119</v>
      </c>
      <c r="B51" s="37" t="s">
        <v>51</v>
      </c>
      <c r="C51" s="37" t="s">
        <v>127</v>
      </c>
      <c r="D51" s="38" t="str">
        <f t="shared" si="0"/>
        <v>MaintainEmployeeContract_DateEmployeeSigned</v>
      </c>
      <c r="E51" s="38" t="str">
        <f t="shared" si="1"/>
        <v>MaintainEmployeeContract_DateEmployeeSigned2</v>
      </c>
      <c r="F51" s="39"/>
      <c r="G51" s="71">
        <f ca="1">G24</f>
        <v>45449</v>
      </c>
      <c r="H51" s="71">
        <f ca="1">H24</f>
        <v>45449</v>
      </c>
      <c r="I51" s="71">
        <f ca="1">I24</f>
        <v>45449</v>
      </c>
      <c r="J51" s="71">
        <f ca="1">J24</f>
        <v>45449</v>
      </c>
      <c r="K51" s="71">
        <f ca="1">K24</f>
        <v>45449</v>
      </c>
      <c r="L51" s="71">
        <f t="shared" ref="L51" ca="1" si="12">L24</f>
        <v>45449</v>
      </c>
      <c r="M51" s="71">
        <f ca="1">M24</f>
        <v>45449</v>
      </c>
      <c r="N51" s="71">
        <f ca="1">N24</f>
        <v>45638</v>
      </c>
      <c r="O51" s="71">
        <f t="shared" ref="O51" ca="1" si="13">O24</f>
        <v>45638</v>
      </c>
      <c r="P51" s="71">
        <f ca="1">P24</f>
        <v>45638</v>
      </c>
      <c r="Q51" s="71">
        <f ca="1">Q24</f>
        <v>45638</v>
      </c>
      <c r="R51" s="71">
        <f t="shared" ref="R51" ca="1" si="14">R24</f>
        <v>45638</v>
      </c>
      <c r="S51" s="71">
        <f ca="1">S24</f>
        <v>45638</v>
      </c>
      <c r="T51" s="71">
        <f ca="1">T24</f>
        <v>45638</v>
      </c>
    </row>
    <row r="52" spans="1:115" x14ac:dyDescent="0.35">
      <c r="A52" s="37" t="s">
        <v>119</v>
      </c>
      <c r="B52" s="37" t="s">
        <v>51</v>
      </c>
      <c r="C52" s="37" t="s">
        <v>128</v>
      </c>
      <c r="D52" s="38" t="str">
        <f t="shared" si="0"/>
        <v>MaintainEmployeeContract_DateEmployerSigned</v>
      </c>
      <c r="E52" s="38" t="str">
        <f t="shared" si="1"/>
        <v>MaintainEmployeeContract_DateEmployerSigned2</v>
      </c>
      <c r="F52" s="39"/>
      <c r="G52" s="71">
        <f ca="1">G24</f>
        <v>45449</v>
      </c>
      <c r="H52" s="71">
        <f ca="1">H24</f>
        <v>45449</v>
      </c>
      <c r="I52" s="71">
        <f ca="1">I24</f>
        <v>45449</v>
      </c>
      <c r="J52" s="71">
        <f ca="1">J24</f>
        <v>45449</v>
      </c>
      <c r="K52" s="71">
        <f ca="1">K24</f>
        <v>45449</v>
      </c>
      <c r="L52" s="71">
        <f t="shared" ref="L52" ca="1" si="15">L24</f>
        <v>45449</v>
      </c>
      <c r="M52" s="71">
        <f ca="1">M24</f>
        <v>45449</v>
      </c>
      <c r="N52" s="71">
        <f ca="1">N24</f>
        <v>45638</v>
      </c>
      <c r="O52" s="71">
        <f t="shared" ref="O52" ca="1" si="16">O24</f>
        <v>45638</v>
      </c>
      <c r="P52" s="71">
        <f ca="1">P24</f>
        <v>45638</v>
      </c>
      <c r="Q52" s="71">
        <f ca="1">Q24</f>
        <v>45638</v>
      </c>
      <c r="R52" s="71">
        <f t="shared" ref="R52" ca="1" si="17">R24</f>
        <v>45638</v>
      </c>
      <c r="S52" s="71">
        <f ca="1">S24</f>
        <v>45638</v>
      </c>
      <c r="T52" s="71">
        <f ca="1">T24</f>
        <v>45638</v>
      </c>
    </row>
    <row r="53" spans="1:115" x14ac:dyDescent="0.35">
      <c r="A53" s="37" t="s">
        <v>129</v>
      </c>
      <c r="B53" s="37" t="s">
        <v>51</v>
      </c>
      <c r="C53" s="37" t="s">
        <v>130</v>
      </c>
      <c r="D53" s="56" t="str">
        <f t="shared" si="0"/>
        <v>ChangeOrganizationAssignments_CostCenter</v>
      </c>
      <c r="E53" s="56" t="str">
        <f t="shared" si="1"/>
        <v>ChangeOrganizationAssignments_CostCenter2</v>
      </c>
      <c r="F53" s="57"/>
      <c r="G53" s="69" t="s">
        <v>131</v>
      </c>
      <c r="H53" s="69" t="s">
        <v>131</v>
      </c>
      <c r="I53" s="69" t="s">
        <v>131</v>
      </c>
      <c r="J53" s="69" t="s">
        <v>131</v>
      </c>
      <c r="K53" s="69" t="s">
        <v>131</v>
      </c>
      <c r="L53" s="69" t="s">
        <v>131</v>
      </c>
      <c r="M53" s="69" t="s">
        <v>132</v>
      </c>
      <c r="N53" s="69" t="s">
        <v>132</v>
      </c>
      <c r="O53" s="69" t="s">
        <v>132</v>
      </c>
      <c r="P53" s="69" t="s">
        <v>132</v>
      </c>
      <c r="Q53" s="69" t="s">
        <v>132</v>
      </c>
      <c r="R53" s="69" t="s">
        <v>132</v>
      </c>
      <c r="S53" s="69" t="s">
        <v>132</v>
      </c>
      <c r="T53" s="69" t="s">
        <v>132</v>
      </c>
    </row>
    <row r="54" spans="1:115" x14ac:dyDescent="0.35">
      <c r="A54" s="37" t="s">
        <v>129</v>
      </c>
      <c r="B54" s="37" t="s">
        <v>51</v>
      </c>
      <c r="C54" s="37" t="s">
        <v>133</v>
      </c>
      <c r="D54" s="56" t="str">
        <f t="shared" si="0"/>
        <v>ChangeOrganizationAssignments_DepartmentSection</v>
      </c>
      <c r="E54" s="56" t="str">
        <f t="shared" si="1"/>
        <v>ChangeOrganizationAssignments_DepartmentSection2</v>
      </c>
      <c r="F54" s="57"/>
      <c r="G54" s="72" t="s">
        <v>134</v>
      </c>
      <c r="H54" s="72" t="s">
        <v>134</v>
      </c>
      <c r="I54" s="72" t="s">
        <v>134</v>
      </c>
      <c r="J54" s="72" t="s">
        <v>134</v>
      </c>
      <c r="K54" s="72" t="s">
        <v>134</v>
      </c>
      <c r="L54" s="72" t="s">
        <v>134</v>
      </c>
      <c r="M54" s="72" t="s">
        <v>135</v>
      </c>
      <c r="N54" s="72" t="s">
        <v>135</v>
      </c>
      <c r="O54" s="72" t="s">
        <v>135</v>
      </c>
      <c r="P54" s="72" t="s">
        <v>135</v>
      </c>
      <c r="Q54" s="72" t="s">
        <v>135</v>
      </c>
      <c r="R54" s="72" t="s">
        <v>135</v>
      </c>
      <c r="S54" s="72" t="s">
        <v>135</v>
      </c>
      <c r="T54" s="72" t="s">
        <v>135</v>
      </c>
    </row>
    <row r="55" spans="1:115" x14ac:dyDescent="0.35">
      <c r="A55" s="37" t="s">
        <v>136</v>
      </c>
      <c r="B55" s="37" t="s">
        <v>51</v>
      </c>
      <c r="C55" s="37" t="s">
        <v>137</v>
      </c>
      <c r="D55" s="38" t="str">
        <f t="shared" si="0"/>
        <v>ProposeCompensationHire_AllowanceAmount</v>
      </c>
      <c r="E55" s="38" t="str">
        <f t="shared" si="1"/>
        <v>ProposeCompensationHire_AllowanceAmount2</v>
      </c>
      <c r="F55" s="39"/>
      <c r="G55" s="46">
        <v>100</v>
      </c>
      <c r="H55" s="46">
        <v>100</v>
      </c>
      <c r="I55" s="46">
        <v>100</v>
      </c>
      <c r="J55" s="46">
        <v>100</v>
      </c>
      <c r="K55" s="46">
        <v>100</v>
      </c>
      <c r="L55" s="46">
        <v>100</v>
      </c>
      <c r="M55" s="46">
        <v>100</v>
      </c>
      <c r="N55" s="46">
        <v>100</v>
      </c>
      <c r="O55" s="46">
        <v>100</v>
      </c>
      <c r="P55" s="46">
        <v>100</v>
      </c>
      <c r="Q55" s="46">
        <v>100</v>
      </c>
      <c r="R55" s="46">
        <v>100</v>
      </c>
      <c r="S55" s="46">
        <v>100</v>
      </c>
      <c r="T55" s="46">
        <v>100</v>
      </c>
    </row>
    <row r="56" spans="1:115" x14ac:dyDescent="0.35">
      <c r="A56" s="37" t="s">
        <v>138</v>
      </c>
      <c r="B56" s="37" t="s">
        <v>51</v>
      </c>
      <c r="C56" s="37" t="s">
        <v>139</v>
      </c>
      <c r="D56" s="38" t="str">
        <f t="shared" si="0"/>
        <v>ManageProbationPeriod_ProbationEndDate</v>
      </c>
      <c r="E56" s="38" t="str">
        <f t="shared" si="1"/>
        <v>ManageProbationPeriod_ProbationEndDate2</v>
      </c>
      <c r="F56" s="39"/>
      <c r="G56" s="71">
        <f t="shared" ref="G56:L56" ca="1" si="18">TODAY()+20</f>
        <v>45719</v>
      </c>
      <c r="H56" s="71">
        <f t="shared" ca="1" si="18"/>
        <v>45719</v>
      </c>
      <c r="I56" s="71">
        <f t="shared" ca="1" si="18"/>
        <v>45719</v>
      </c>
      <c r="J56" s="71">
        <f t="shared" ca="1" si="18"/>
        <v>45719</v>
      </c>
      <c r="K56" s="71">
        <f t="shared" ca="1" si="18"/>
        <v>45719</v>
      </c>
      <c r="L56" s="71">
        <f t="shared" ca="1" si="18"/>
        <v>45719</v>
      </c>
      <c r="M56" s="71">
        <f t="shared" ref="M56:T56" ca="1" si="19">TODAY()+20</f>
        <v>45719</v>
      </c>
      <c r="N56" s="71">
        <f t="shared" ca="1" si="19"/>
        <v>45719</v>
      </c>
      <c r="O56" s="71">
        <f t="shared" ca="1" si="19"/>
        <v>45719</v>
      </c>
      <c r="P56" s="71">
        <f t="shared" ca="1" si="19"/>
        <v>45719</v>
      </c>
      <c r="Q56" s="71">
        <f t="shared" ca="1" si="19"/>
        <v>45719</v>
      </c>
      <c r="R56" s="71">
        <f t="shared" ca="1" si="19"/>
        <v>45719</v>
      </c>
      <c r="S56" s="71">
        <f t="shared" ca="1" si="19"/>
        <v>45719</v>
      </c>
      <c r="T56" s="71">
        <f t="shared" ca="1" si="19"/>
        <v>45719</v>
      </c>
    </row>
    <row r="57" spans="1:115" x14ac:dyDescent="0.35">
      <c r="A57" s="37" t="s">
        <v>140</v>
      </c>
      <c r="B57" s="37" t="s">
        <v>141</v>
      </c>
      <c r="C57" s="37" t="s">
        <v>142</v>
      </c>
      <c r="D57" s="38" t="str">
        <f t="shared" si="0"/>
        <v>ChangeMyGovernmentIDs_NationalIDs_Country1</v>
      </c>
      <c r="E57" s="38" t="str">
        <f t="shared" si="1"/>
        <v>ChangeMyGovernmentIDs_NationalIDs_Country12</v>
      </c>
      <c r="F57" s="39"/>
      <c r="G57" s="46" t="s">
        <v>63</v>
      </c>
      <c r="H57" s="46" t="s">
        <v>63</v>
      </c>
      <c r="I57" s="46" t="s">
        <v>63</v>
      </c>
      <c r="J57" s="46" t="s">
        <v>63</v>
      </c>
      <c r="K57" s="46" t="s">
        <v>63</v>
      </c>
      <c r="L57" s="46" t="s">
        <v>63</v>
      </c>
      <c r="M57" s="46" t="s">
        <v>63</v>
      </c>
      <c r="N57" s="46" t="s">
        <v>63</v>
      </c>
      <c r="O57" s="46" t="s">
        <v>63</v>
      </c>
      <c r="P57" s="46" t="s">
        <v>63</v>
      </c>
      <c r="Q57" s="46" t="s">
        <v>63</v>
      </c>
      <c r="R57" s="46" t="s">
        <v>63</v>
      </c>
      <c r="S57" s="46" t="s">
        <v>63</v>
      </c>
      <c r="T57" s="46" t="s">
        <v>63</v>
      </c>
    </row>
    <row r="58" spans="1:115" x14ac:dyDescent="0.35">
      <c r="A58" s="37" t="s">
        <v>140</v>
      </c>
      <c r="B58" s="37" t="s">
        <v>141</v>
      </c>
      <c r="C58" s="37" t="s">
        <v>143</v>
      </c>
      <c r="D58" s="38" t="str">
        <f t="shared" si="0"/>
        <v>ChangeMyGovernmentIDs_NationalIDs_NationalIDType1</v>
      </c>
      <c r="E58" s="38" t="str">
        <f t="shared" si="1"/>
        <v>ChangeMyGovernmentIDs_NationalIDs_NationalIDType12</v>
      </c>
      <c r="F58" s="39"/>
      <c r="G58" s="73" t="s">
        <v>144</v>
      </c>
      <c r="H58" s="73" t="s">
        <v>144</v>
      </c>
      <c r="I58" s="73" t="s">
        <v>144</v>
      </c>
      <c r="J58" s="73" t="s">
        <v>144</v>
      </c>
      <c r="K58" s="73" t="s">
        <v>144</v>
      </c>
      <c r="L58" s="73" t="s">
        <v>144</v>
      </c>
      <c r="M58" s="73" t="s">
        <v>144</v>
      </c>
      <c r="N58" s="73" t="s">
        <v>144</v>
      </c>
      <c r="O58" s="73" t="s">
        <v>144</v>
      </c>
      <c r="P58" s="73" t="s">
        <v>144</v>
      </c>
      <c r="Q58" s="73" t="s">
        <v>144</v>
      </c>
      <c r="R58" s="73" t="s">
        <v>144</v>
      </c>
      <c r="S58" s="73" t="s">
        <v>144</v>
      </c>
      <c r="T58" s="73" t="s">
        <v>144</v>
      </c>
    </row>
    <row r="59" spans="1:115" s="79" customFormat="1" x14ac:dyDescent="0.35">
      <c r="A59" s="74" t="s">
        <v>140</v>
      </c>
      <c r="B59" s="74" t="s">
        <v>141</v>
      </c>
      <c r="C59" s="75" t="s">
        <v>145</v>
      </c>
      <c r="D59" s="75" t="str">
        <f t="shared" si="0"/>
        <v>ChangeMyGovernmentIDs_NationalIDs_AddEditID1</v>
      </c>
      <c r="E59" s="75" t="str">
        <f t="shared" si="1"/>
        <v>ChangeMyGovernmentIDs_NationalIDs_AddEditID12</v>
      </c>
      <c r="F59" s="76" t="s">
        <v>65</v>
      </c>
      <c r="G59" s="77">
        <v>983049435</v>
      </c>
      <c r="H59" s="77">
        <v>983049436</v>
      </c>
      <c r="I59" s="77">
        <v>983049437</v>
      </c>
      <c r="J59" s="77">
        <v>983049438</v>
      </c>
      <c r="K59" s="77">
        <v>983049439</v>
      </c>
      <c r="L59" s="77">
        <v>983049440</v>
      </c>
      <c r="M59" s="77">
        <v>983049441</v>
      </c>
      <c r="N59" s="77">
        <v>983049442</v>
      </c>
      <c r="O59" s="77">
        <v>983049443</v>
      </c>
      <c r="P59" s="77">
        <v>983049444</v>
      </c>
      <c r="Q59" s="77">
        <v>983049445</v>
      </c>
      <c r="R59" s="77">
        <v>983049446</v>
      </c>
      <c r="S59" s="77">
        <v>983049447</v>
      </c>
      <c r="T59" s="77">
        <v>983049448</v>
      </c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  <c r="AN59" s="78"/>
      <c r="AO59" s="78"/>
      <c r="AP59" s="78"/>
      <c r="AQ59" s="78"/>
      <c r="AR59" s="78"/>
      <c r="AS59" s="78"/>
      <c r="AT59" s="78"/>
      <c r="AU59" s="78"/>
      <c r="AV59" s="78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78"/>
      <c r="BH59" s="78"/>
      <c r="BI59" s="78"/>
      <c r="BJ59" s="78"/>
      <c r="BK59" s="78"/>
      <c r="BL59" s="78"/>
      <c r="BM59" s="78"/>
      <c r="BN59" s="78"/>
      <c r="BO59" s="78"/>
      <c r="BP59" s="78"/>
      <c r="BQ59" s="78"/>
      <c r="BR59" s="78"/>
      <c r="BS59" s="78"/>
      <c r="BT59" s="78"/>
      <c r="BU59" s="78"/>
      <c r="BV59" s="78"/>
      <c r="BW59" s="78"/>
      <c r="BX59" s="78"/>
      <c r="BY59" s="78"/>
      <c r="BZ59" s="78"/>
      <c r="CA59" s="78"/>
      <c r="CB59" s="78"/>
      <c r="CC59" s="78"/>
      <c r="CD59" s="78"/>
      <c r="CE59" s="78"/>
      <c r="CF59" s="78"/>
      <c r="CG59" s="78"/>
      <c r="CH59" s="78"/>
      <c r="CI59" s="78"/>
      <c r="CJ59" s="78"/>
      <c r="CK59" s="78"/>
      <c r="CL59" s="78"/>
      <c r="CM59" s="78"/>
      <c r="CN59" s="78"/>
      <c r="CO59" s="78"/>
      <c r="CP59" s="78"/>
      <c r="CQ59" s="78"/>
      <c r="CR59" s="78"/>
      <c r="CS59" s="78"/>
      <c r="CT59" s="78"/>
      <c r="CU59" s="78"/>
      <c r="CV59" s="78"/>
      <c r="CW59" s="78"/>
      <c r="CX59" s="78"/>
      <c r="CY59" s="78"/>
      <c r="CZ59" s="78"/>
      <c r="DA59" s="78"/>
      <c r="DB59" s="78"/>
      <c r="DC59" s="78"/>
      <c r="DD59" s="78"/>
      <c r="DE59" s="78"/>
      <c r="DF59" s="78"/>
      <c r="DG59" s="78"/>
      <c r="DH59" s="78"/>
      <c r="DI59" s="78"/>
      <c r="DJ59" s="78"/>
      <c r="DK59" s="78"/>
    </row>
    <row r="60" spans="1:115" s="79" customFormat="1" x14ac:dyDescent="0.35">
      <c r="A60" s="37" t="s">
        <v>140</v>
      </c>
      <c r="B60" s="37" t="s">
        <v>141</v>
      </c>
      <c r="C60" s="37" t="s">
        <v>146</v>
      </c>
      <c r="D60" s="38" t="str">
        <f t="shared" si="0"/>
        <v>ChangeMyGovernmentIDs_NationalIDs_IssuedDate1</v>
      </c>
      <c r="E60" s="38" t="str">
        <f t="shared" si="1"/>
        <v>ChangeMyGovernmentIDs_NationalIDs_IssuedDate12</v>
      </c>
      <c r="F60" s="39"/>
      <c r="G60" s="71" t="s">
        <v>147</v>
      </c>
      <c r="H60" s="71" t="s">
        <v>147</v>
      </c>
      <c r="I60" s="71" t="s">
        <v>147</v>
      </c>
      <c r="J60" s="71" t="s">
        <v>147</v>
      </c>
      <c r="K60" s="71" t="s">
        <v>147</v>
      </c>
      <c r="L60" s="71" t="s">
        <v>147</v>
      </c>
      <c r="M60" s="71" t="s">
        <v>147</v>
      </c>
      <c r="N60" s="71" t="s">
        <v>147</v>
      </c>
      <c r="O60" s="71" t="s">
        <v>147</v>
      </c>
      <c r="P60" s="71" t="s">
        <v>147</v>
      </c>
      <c r="Q60" s="71" t="s">
        <v>147</v>
      </c>
      <c r="R60" s="71" t="s">
        <v>147</v>
      </c>
      <c r="S60" s="71" t="s">
        <v>147</v>
      </c>
      <c r="T60" s="71" t="s">
        <v>147</v>
      </c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/>
      <c r="AO60" s="78"/>
      <c r="AP60" s="78"/>
      <c r="AQ60" s="78"/>
      <c r="AR60" s="78"/>
      <c r="AS60" s="78"/>
      <c r="AT60" s="78"/>
      <c r="AU60" s="78"/>
      <c r="AV60" s="78"/>
      <c r="AW60" s="78"/>
      <c r="AX60" s="78"/>
      <c r="AY60" s="78"/>
      <c r="AZ60" s="78"/>
      <c r="BA60" s="78"/>
      <c r="BB60" s="78"/>
      <c r="BC60" s="78"/>
      <c r="BD60" s="78"/>
      <c r="BE60" s="78"/>
      <c r="BF60" s="78"/>
      <c r="BG60" s="78"/>
      <c r="BH60" s="78"/>
      <c r="BI60" s="78"/>
      <c r="BJ60" s="78"/>
      <c r="BK60" s="78"/>
      <c r="BL60" s="78"/>
      <c r="BM60" s="78"/>
      <c r="BN60" s="78"/>
      <c r="BO60" s="78"/>
      <c r="BP60" s="78"/>
      <c r="BQ60" s="78"/>
      <c r="BR60" s="78"/>
      <c r="BS60" s="78"/>
      <c r="BT60" s="78"/>
      <c r="BU60" s="78"/>
      <c r="BV60" s="78"/>
      <c r="BW60" s="78"/>
      <c r="BX60" s="78"/>
      <c r="BY60" s="78"/>
      <c r="BZ60" s="78"/>
      <c r="CA60" s="78"/>
      <c r="CB60" s="78"/>
      <c r="CC60" s="78"/>
      <c r="CD60" s="78"/>
      <c r="CE60" s="78"/>
      <c r="CF60" s="78"/>
      <c r="CG60" s="78"/>
      <c r="CH60" s="78"/>
      <c r="CI60" s="78"/>
      <c r="CJ60" s="78"/>
      <c r="CK60" s="78"/>
      <c r="CL60" s="78"/>
      <c r="CM60" s="78"/>
      <c r="CN60" s="78"/>
      <c r="CO60" s="78"/>
      <c r="CP60" s="78"/>
      <c r="CQ60" s="78"/>
      <c r="CR60" s="78"/>
      <c r="CS60" s="78"/>
      <c r="CT60" s="78"/>
      <c r="CU60" s="78"/>
      <c r="CV60" s="78"/>
      <c r="CW60" s="78"/>
      <c r="CX60" s="78"/>
      <c r="CY60" s="78"/>
      <c r="CZ60" s="78"/>
      <c r="DA60" s="78"/>
      <c r="DB60" s="78"/>
      <c r="DC60" s="78"/>
      <c r="DD60" s="78"/>
      <c r="DE60" s="78"/>
      <c r="DF60" s="78"/>
      <c r="DG60" s="78"/>
      <c r="DH60" s="78"/>
      <c r="DI60" s="78"/>
      <c r="DJ60" s="78"/>
      <c r="DK60" s="78"/>
    </row>
    <row r="61" spans="1:115" s="79" customFormat="1" x14ac:dyDescent="0.35">
      <c r="A61" s="37" t="s">
        <v>140</v>
      </c>
      <c r="B61" s="37" t="s">
        <v>141</v>
      </c>
      <c r="C61" s="37" t="s">
        <v>148</v>
      </c>
      <c r="D61" s="38" t="str">
        <f t="shared" si="0"/>
        <v>ChangeMyGovernmentIDs_NationalIDs_ExpirationDate1</v>
      </c>
      <c r="E61" s="38" t="str">
        <f t="shared" si="1"/>
        <v>ChangeMyGovernmentIDs_NationalIDs_ExpirationDate12</v>
      </c>
      <c r="F61" s="39"/>
      <c r="G61" s="71" t="s">
        <v>149</v>
      </c>
      <c r="H61" s="71" t="s">
        <v>149</v>
      </c>
      <c r="I61" s="71" t="s">
        <v>149</v>
      </c>
      <c r="J61" s="71" t="s">
        <v>149</v>
      </c>
      <c r="K61" s="71" t="s">
        <v>149</v>
      </c>
      <c r="L61" s="71" t="s">
        <v>149</v>
      </c>
      <c r="M61" s="71" t="s">
        <v>149</v>
      </c>
      <c r="N61" s="71" t="s">
        <v>149</v>
      </c>
      <c r="O61" s="71" t="s">
        <v>149</v>
      </c>
      <c r="P61" s="71" t="s">
        <v>149</v>
      </c>
      <c r="Q61" s="71" t="s">
        <v>149</v>
      </c>
      <c r="R61" s="71" t="s">
        <v>149</v>
      </c>
      <c r="S61" s="71" t="s">
        <v>149</v>
      </c>
      <c r="T61" s="71" t="s">
        <v>149</v>
      </c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AY61" s="78"/>
      <c r="AZ61" s="78"/>
      <c r="BA61" s="78"/>
      <c r="BB61" s="78"/>
      <c r="BC61" s="78"/>
      <c r="BD61" s="78"/>
      <c r="BE61" s="78"/>
      <c r="BF61" s="78"/>
      <c r="BG61" s="78"/>
      <c r="BH61" s="78"/>
      <c r="BI61" s="78"/>
      <c r="BJ61" s="78"/>
      <c r="BK61" s="78"/>
      <c r="BL61" s="78"/>
      <c r="BM61" s="78"/>
      <c r="BN61" s="78"/>
      <c r="BO61" s="78"/>
      <c r="BP61" s="78"/>
      <c r="BQ61" s="78"/>
      <c r="BR61" s="78"/>
      <c r="BS61" s="78"/>
      <c r="BT61" s="78"/>
      <c r="BU61" s="78"/>
      <c r="BV61" s="78"/>
      <c r="BW61" s="78"/>
      <c r="BX61" s="78"/>
      <c r="BY61" s="78"/>
      <c r="BZ61" s="78"/>
      <c r="CA61" s="78"/>
      <c r="CB61" s="78"/>
      <c r="CC61" s="78"/>
      <c r="CD61" s="78"/>
      <c r="CE61" s="78"/>
      <c r="CF61" s="78"/>
      <c r="CG61" s="78"/>
      <c r="CH61" s="78"/>
      <c r="CI61" s="78"/>
      <c r="CJ61" s="78"/>
      <c r="CK61" s="78"/>
      <c r="CL61" s="78"/>
      <c r="CM61" s="78"/>
      <c r="CN61" s="78"/>
      <c r="CO61" s="78"/>
      <c r="CP61" s="78"/>
      <c r="CQ61" s="78"/>
      <c r="CR61" s="78"/>
      <c r="CS61" s="78"/>
      <c r="CT61" s="78"/>
      <c r="CU61" s="78"/>
      <c r="CV61" s="78"/>
      <c r="CW61" s="78"/>
      <c r="CX61" s="78"/>
      <c r="CY61" s="78"/>
      <c r="CZ61" s="78"/>
      <c r="DA61" s="78"/>
      <c r="DB61" s="78"/>
      <c r="DC61" s="78"/>
      <c r="DD61" s="78"/>
      <c r="DE61" s="78"/>
      <c r="DF61" s="78"/>
      <c r="DG61" s="78"/>
      <c r="DH61" s="78"/>
      <c r="DI61" s="78"/>
      <c r="DJ61" s="78"/>
      <c r="DK61" s="78"/>
    </row>
    <row r="62" spans="1:115" s="79" customFormat="1" x14ac:dyDescent="0.35">
      <c r="A62" s="37" t="s">
        <v>140</v>
      </c>
      <c r="B62" s="37" t="s">
        <v>141</v>
      </c>
      <c r="C62" s="37" t="s">
        <v>150</v>
      </c>
      <c r="D62" s="38" t="str">
        <f t="shared" si="0"/>
        <v>ChangeMyGovernmentIDs_NationalIDs_Country2</v>
      </c>
      <c r="E62" s="38" t="str">
        <f t="shared" si="1"/>
        <v>ChangeMyGovernmentIDs_NationalIDs_Country22</v>
      </c>
      <c r="F62" s="39"/>
      <c r="G62" s="46" t="s">
        <v>63</v>
      </c>
      <c r="H62" s="46" t="s">
        <v>63</v>
      </c>
      <c r="I62" s="46" t="s">
        <v>63</v>
      </c>
      <c r="J62" s="46" t="s">
        <v>63</v>
      </c>
      <c r="K62" s="46" t="s">
        <v>63</v>
      </c>
      <c r="L62" s="46" t="s">
        <v>63</v>
      </c>
      <c r="M62" s="46" t="s">
        <v>63</v>
      </c>
      <c r="N62" s="46" t="s">
        <v>63</v>
      </c>
      <c r="O62" s="46" t="s">
        <v>63</v>
      </c>
      <c r="P62" s="46" t="s">
        <v>63</v>
      </c>
      <c r="Q62" s="46" t="s">
        <v>63</v>
      </c>
      <c r="R62" s="46" t="s">
        <v>63</v>
      </c>
      <c r="S62" s="46" t="s">
        <v>63</v>
      </c>
      <c r="T62" s="46" t="s">
        <v>63</v>
      </c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8"/>
      <c r="AN62" s="78"/>
      <c r="AO62" s="78"/>
      <c r="AP62" s="78"/>
      <c r="AQ62" s="78"/>
      <c r="AR62" s="78"/>
      <c r="AS62" s="78"/>
      <c r="AT62" s="78"/>
      <c r="AU62" s="78"/>
      <c r="AV62" s="78"/>
      <c r="AW62" s="78"/>
      <c r="AX62" s="78"/>
      <c r="AY62" s="78"/>
      <c r="AZ62" s="78"/>
      <c r="BA62" s="78"/>
      <c r="BB62" s="78"/>
      <c r="BC62" s="78"/>
      <c r="BD62" s="78"/>
      <c r="BE62" s="78"/>
      <c r="BF62" s="78"/>
      <c r="BG62" s="78"/>
      <c r="BH62" s="78"/>
      <c r="BI62" s="78"/>
      <c r="BJ62" s="78"/>
      <c r="BK62" s="78"/>
      <c r="BL62" s="78"/>
      <c r="BM62" s="78"/>
      <c r="BN62" s="78"/>
      <c r="BO62" s="78"/>
      <c r="BP62" s="78"/>
      <c r="BQ62" s="78"/>
      <c r="BR62" s="78"/>
      <c r="BS62" s="78"/>
      <c r="BT62" s="78"/>
      <c r="BU62" s="78"/>
      <c r="BV62" s="78"/>
      <c r="BW62" s="78"/>
      <c r="BX62" s="78"/>
      <c r="BY62" s="78"/>
      <c r="BZ62" s="78"/>
      <c r="CA62" s="78"/>
      <c r="CB62" s="78"/>
      <c r="CC62" s="78"/>
      <c r="CD62" s="78"/>
      <c r="CE62" s="78"/>
      <c r="CF62" s="78"/>
      <c r="CG62" s="78"/>
      <c r="CH62" s="78"/>
      <c r="CI62" s="78"/>
      <c r="CJ62" s="78"/>
      <c r="CK62" s="78"/>
      <c r="CL62" s="78"/>
      <c r="CM62" s="78"/>
      <c r="CN62" s="78"/>
      <c r="CO62" s="78"/>
      <c r="CP62" s="78"/>
      <c r="CQ62" s="78"/>
      <c r="CR62" s="78"/>
      <c r="CS62" s="78"/>
      <c r="CT62" s="78"/>
      <c r="CU62" s="78"/>
      <c r="CV62" s="78"/>
      <c r="CW62" s="78"/>
      <c r="CX62" s="78"/>
      <c r="CY62" s="78"/>
      <c r="CZ62" s="78"/>
      <c r="DA62" s="78"/>
      <c r="DB62" s="78"/>
      <c r="DC62" s="78"/>
      <c r="DD62" s="78"/>
      <c r="DE62" s="78"/>
      <c r="DF62" s="78"/>
      <c r="DG62" s="78"/>
      <c r="DH62" s="78"/>
      <c r="DI62" s="78"/>
      <c r="DJ62" s="78"/>
      <c r="DK62" s="78"/>
    </row>
    <row r="63" spans="1:115" s="79" customFormat="1" x14ac:dyDescent="0.35">
      <c r="A63" s="37" t="s">
        <v>140</v>
      </c>
      <c r="B63" s="37" t="s">
        <v>141</v>
      </c>
      <c r="C63" s="37" t="s">
        <v>151</v>
      </c>
      <c r="D63" s="38" t="str">
        <f t="shared" si="0"/>
        <v>ChangeMyGovernmentIDs_NationalIDs_NationalIDType2</v>
      </c>
      <c r="E63" s="38" t="str">
        <f t="shared" si="1"/>
        <v>ChangeMyGovernmentIDs_NationalIDs_NationalIDType22</v>
      </c>
      <c r="F63" s="39"/>
      <c r="G63" s="73" t="s">
        <v>152</v>
      </c>
      <c r="H63" s="73" t="s">
        <v>152</v>
      </c>
      <c r="I63" s="73" t="s">
        <v>152</v>
      </c>
      <c r="J63" s="73" t="s">
        <v>152</v>
      </c>
      <c r="K63" s="73" t="s">
        <v>152</v>
      </c>
      <c r="L63" s="73" t="s">
        <v>152</v>
      </c>
      <c r="M63" s="73" t="s">
        <v>152</v>
      </c>
      <c r="N63" s="73" t="s">
        <v>152</v>
      </c>
      <c r="O63" s="73" t="s">
        <v>152</v>
      </c>
      <c r="P63" s="73" t="s">
        <v>152</v>
      </c>
      <c r="Q63" s="73" t="s">
        <v>152</v>
      </c>
      <c r="R63" s="73" t="s">
        <v>152</v>
      </c>
      <c r="S63" s="73" t="s">
        <v>152</v>
      </c>
      <c r="T63" s="73" t="s">
        <v>152</v>
      </c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  <c r="AL63" s="78"/>
      <c r="AM63" s="78"/>
      <c r="AN63" s="78"/>
      <c r="AO63" s="78"/>
      <c r="AP63" s="78"/>
      <c r="AQ63" s="78"/>
      <c r="AR63" s="78"/>
      <c r="AS63" s="78"/>
      <c r="AT63" s="78"/>
      <c r="AU63" s="78"/>
      <c r="AV63" s="78"/>
      <c r="AW63" s="78"/>
      <c r="AX63" s="78"/>
      <c r="AY63" s="78"/>
      <c r="AZ63" s="78"/>
      <c r="BA63" s="78"/>
      <c r="BB63" s="78"/>
      <c r="BC63" s="78"/>
      <c r="BD63" s="78"/>
      <c r="BE63" s="78"/>
      <c r="BF63" s="78"/>
      <c r="BG63" s="78"/>
      <c r="BH63" s="78"/>
      <c r="BI63" s="78"/>
      <c r="BJ63" s="78"/>
      <c r="BK63" s="78"/>
      <c r="BL63" s="78"/>
      <c r="BM63" s="78"/>
      <c r="BN63" s="78"/>
      <c r="BO63" s="78"/>
      <c r="BP63" s="78"/>
      <c r="BQ63" s="78"/>
      <c r="BR63" s="78"/>
      <c r="BS63" s="78"/>
      <c r="BT63" s="78"/>
      <c r="BU63" s="78"/>
      <c r="BV63" s="78"/>
      <c r="BW63" s="78"/>
      <c r="BX63" s="78"/>
      <c r="BY63" s="78"/>
      <c r="BZ63" s="78"/>
      <c r="CA63" s="78"/>
      <c r="CB63" s="78"/>
      <c r="CC63" s="78"/>
      <c r="CD63" s="78"/>
      <c r="CE63" s="78"/>
      <c r="CF63" s="78"/>
      <c r="CG63" s="78"/>
      <c r="CH63" s="78"/>
      <c r="CI63" s="78"/>
      <c r="CJ63" s="78"/>
      <c r="CK63" s="78"/>
      <c r="CL63" s="78"/>
      <c r="CM63" s="78"/>
      <c r="CN63" s="78"/>
      <c r="CO63" s="78"/>
      <c r="CP63" s="78"/>
      <c r="CQ63" s="78"/>
      <c r="CR63" s="78"/>
      <c r="CS63" s="78"/>
      <c r="CT63" s="78"/>
      <c r="CU63" s="78"/>
      <c r="CV63" s="78"/>
      <c r="CW63" s="78"/>
      <c r="CX63" s="78"/>
      <c r="CY63" s="78"/>
      <c r="CZ63" s="78"/>
      <c r="DA63" s="78"/>
      <c r="DB63" s="78"/>
      <c r="DC63" s="78"/>
      <c r="DD63" s="78"/>
      <c r="DE63" s="78"/>
      <c r="DF63" s="78"/>
      <c r="DG63" s="78"/>
      <c r="DH63" s="78"/>
      <c r="DI63" s="78"/>
      <c r="DJ63" s="78"/>
      <c r="DK63" s="78"/>
    </row>
    <row r="64" spans="1:115" s="79" customFormat="1" x14ac:dyDescent="0.35">
      <c r="A64" s="74" t="s">
        <v>140</v>
      </c>
      <c r="B64" s="74" t="s">
        <v>141</v>
      </c>
      <c r="C64" s="75" t="s">
        <v>153</v>
      </c>
      <c r="D64" s="75" t="str">
        <f t="shared" si="0"/>
        <v>ChangeMyGovernmentIDs_NationalIDs_AddEditID2</v>
      </c>
      <c r="E64" s="75" t="str">
        <f t="shared" si="1"/>
        <v>ChangeMyGovernmentIDs_NationalIDs_AddEditID22</v>
      </c>
      <c r="F64" s="76"/>
      <c r="G64" s="77">
        <v>890257060</v>
      </c>
      <c r="H64" s="77">
        <v>890257061</v>
      </c>
      <c r="I64" s="77">
        <v>890257062</v>
      </c>
      <c r="J64" s="77">
        <v>890257063</v>
      </c>
      <c r="K64" s="77">
        <v>890257064</v>
      </c>
      <c r="L64" s="77">
        <v>890257065</v>
      </c>
      <c r="M64" s="77">
        <v>890257066</v>
      </c>
      <c r="N64" s="77">
        <v>890257067</v>
      </c>
      <c r="O64" s="77">
        <v>890257068</v>
      </c>
      <c r="P64" s="77">
        <v>890257069</v>
      </c>
      <c r="Q64" s="77">
        <v>890257070</v>
      </c>
      <c r="R64" s="77">
        <v>890257071</v>
      </c>
      <c r="S64" s="77">
        <v>890257072</v>
      </c>
      <c r="T64" s="77">
        <v>890257073</v>
      </c>
      <c r="U64" s="77">
        <v>890257074</v>
      </c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78"/>
      <c r="AR64" s="78"/>
      <c r="AS64" s="78"/>
      <c r="AT64" s="78"/>
      <c r="AU64" s="78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8"/>
      <c r="BI64" s="78"/>
      <c r="BJ64" s="78"/>
      <c r="BK64" s="78"/>
      <c r="BL64" s="78"/>
      <c r="BM64" s="78"/>
      <c r="BN64" s="78"/>
      <c r="BO64" s="78"/>
      <c r="BP64" s="78"/>
      <c r="BQ64" s="78"/>
      <c r="BR64" s="78"/>
      <c r="BS64" s="78"/>
      <c r="BT64" s="78"/>
      <c r="BU64" s="78"/>
      <c r="BV64" s="78"/>
      <c r="BW64" s="78"/>
      <c r="BX64" s="78"/>
      <c r="BY64" s="78"/>
      <c r="BZ64" s="78"/>
      <c r="CA64" s="78"/>
      <c r="CB64" s="78"/>
      <c r="CC64" s="78"/>
      <c r="CD64" s="78"/>
      <c r="CE64" s="78"/>
      <c r="CF64" s="78"/>
      <c r="CG64" s="78"/>
      <c r="CH64" s="78"/>
      <c r="CI64" s="78"/>
      <c r="CJ64" s="78"/>
      <c r="CK64" s="78"/>
      <c r="CL64" s="78"/>
      <c r="CM64" s="78"/>
      <c r="CN64" s="78"/>
      <c r="CO64" s="78"/>
      <c r="CP64" s="78"/>
      <c r="CQ64" s="78"/>
      <c r="CR64" s="78"/>
      <c r="CS64" s="78"/>
      <c r="CT64" s="78"/>
      <c r="CU64" s="78"/>
      <c r="CV64" s="78"/>
      <c r="CW64" s="78"/>
      <c r="CX64" s="78"/>
      <c r="CY64" s="78"/>
      <c r="CZ64" s="78"/>
      <c r="DA64" s="78"/>
      <c r="DB64" s="78"/>
      <c r="DC64" s="78"/>
      <c r="DD64" s="78"/>
      <c r="DE64" s="78"/>
      <c r="DF64" s="78"/>
      <c r="DG64" s="78"/>
      <c r="DH64" s="78"/>
      <c r="DI64" s="78"/>
      <c r="DJ64" s="78"/>
      <c r="DK64" s="78"/>
    </row>
    <row r="65" spans="1:115" s="79" customFormat="1" x14ac:dyDescent="0.35">
      <c r="A65" s="37" t="s">
        <v>140</v>
      </c>
      <c r="B65" s="37" t="s">
        <v>141</v>
      </c>
      <c r="C65" s="37" t="s">
        <v>154</v>
      </c>
      <c r="D65" s="38" t="str">
        <f t="shared" si="0"/>
        <v>ChangeMyGovernmentIDs_NationalIDs_IssuedDate2</v>
      </c>
      <c r="E65" s="38" t="str">
        <f t="shared" si="1"/>
        <v>ChangeMyGovernmentIDs_NationalIDs_IssuedDate22</v>
      </c>
      <c r="F65" s="39"/>
      <c r="G65" s="71" t="s">
        <v>147</v>
      </c>
      <c r="H65" s="71" t="s">
        <v>147</v>
      </c>
      <c r="I65" s="71" t="s">
        <v>147</v>
      </c>
      <c r="J65" s="71" t="s">
        <v>147</v>
      </c>
      <c r="K65" s="71" t="s">
        <v>147</v>
      </c>
      <c r="L65" s="71" t="s">
        <v>147</v>
      </c>
      <c r="M65" s="71" t="s">
        <v>147</v>
      </c>
      <c r="N65" s="71" t="s">
        <v>147</v>
      </c>
      <c r="O65" s="71" t="s">
        <v>147</v>
      </c>
      <c r="P65" s="71" t="s">
        <v>147</v>
      </c>
      <c r="Q65" s="71" t="s">
        <v>147</v>
      </c>
      <c r="R65" s="71" t="s">
        <v>147</v>
      </c>
      <c r="S65" s="71" t="s">
        <v>147</v>
      </c>
      <c r="T65" s="71" t="s">
        <v>147</v>
      </c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  <c r="AL65" s="78"/>
      <c r="AM65" s="78"/>
      <c r="AN65" s="78"/>
      <c r="AO65" s="78"/>
      <c r="AP65" s="78"/>
      <c r="AQ65" s="78"/>
      <c r="AR65" s="78"/>
      <c r="AS65" s="78"/>
      <c r="AT65" s="78"/>
      <c r="AU65" s="78"/>
      <c r="AV65" s="78"/>
      <c r="AW65" s="78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78"/>
      <c r="BM65" s="78"/>
      <c r="BN65" s="78"/>
      <c r="BO65" s="78"/>
      <c r="BP65" s="78"/>
      <c r="BQ65" s="78"/>
      <c r="BR65" s="78"/>
      <c r="BS65" s="78"/>
      <c r="BT65" s="78"/>
      <c r="BU65" s="78"/>
      <c r="BV65" s="78"/>
      <c r="BW65" s="78"/>
      <c r="BX65" s="78"/>
      <c r="BY65" s="78"/>
      <c r="BZ65" s="78"/>
      <c r="CA65" s="78"/>
      <c r="CB65" s="78"/>
      <c r="CC65" s="78"/>
      <c r="CD65" s="78"/>
      <c r="CE65" s="78"/>
      <c r="CF65" s="78"/>
      <c r="CG65" s="78"/>
      <c r="CH65" s="78"/>
      <c r="CI65" s="78"/>
      <c r="CJ65" s="78"/>
      <c r="CK65" s="78"/>
      <c r="CL65" s="78"/>
      <c r="CM65" s="78"/>
      <c r="CN65" s="78"/>
      <c r="CO65" s="78"/>
      <c r="CP65" s="78"/>
      <c r="CQ65" s="78"/>
      <c r="CR65" s="78"/>
      <c r="CS65" s="78"/>
      <c r="CT65" s="78"/>
      <c r="CU65" s="78"/>
      <c r="CV65" s="78"/>
      <c r="CW65" s="78"/>
      <c r="CX65" s="78"/>
      <c r="CY65" s="78"/>
      <c r="CZ65" s="78"/>
      <c r="DA65" s="78"/>
      <c r="DB65" s="78"/>
      <c r="DC65" s="78"/>
      <c r="DD65" s="78"/>
      <c r="DE65" s="78"/>
      <c r="DF65" s="78"/>
      <c r="DG65" s="78"/>
      <c r="DH65" s="78"/>
      <c r="DI65" s="78"/>
      <c r="DJ65" s="78"/>
      <c r="DK65" s="78"/>
    </row>
    <row r="66" spans="1:115" s="79" customFormat="1" x14ac:dyDescent="0.35">
      <c r="A66" s="37" t="s">
        <v>140</v>
      </c>
      <c r="B66" s="37" t="s">
        <v>141</v>
      </c>
      <c r="C66" s="37" t="s">
        <v>155</v>
      </c>
      <c r="D66" s="38" t="str">
        <f t="shared" si="0"/>
        <v>ChangeMyGovernmentIDs_NationalIDs_ExpirationDate2</v>
      </c>
      <c r="E66" s="38" t="str">
        <f t="shared" si="1"/>
        <v>ChangeMyGovernmentIDs_NationalIDs_ExpirationDate22</v>
      </c>
      <c r="F66" s="39"/>
      <c r="G66" s="71" t="s">
        <v>149</v>
      </c>
      <c r="H66" s="71" t="s">
        <v>149</v>
      </c>
      <c r="I66" s="71" t="s">
        <v>149</v>
      </c>
      <c r="J66" s="71" t="s">
        <v>149</v>
      </c>
      <c r="K66" s="71" t="s">
        <v>149</v>
      </c>
      <c r="L66" s="71" t="s">
        <v>149</v>
      </c>
      <c r="M66" s="71" t="s">
        <v>149</v>
      </c>
      <c r="N66" s="71" t="s">
        <v>149</v>
      </c>
      <c r="O66" s="71" t="s">
        <v>149</v>
      </c>
      <c r="P66" s="71" t="s">
        <v>149</v>
      </c>
      <c r="Q66" s="71" t="s">
        <v>149</v>
      </c>
      <c r="R66" s="71" t="s">
        <v>149</v>
      </c>
      <c r="S66" s="71" t="s">
        <v>149</v>
      </c>
      <c r="T66" s="71" t="s">
        <v>149</v>
      </c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  <c r="AN66" s="78"/>
      <c r="AO66" s="78"/>
      <c r="AP66" s="78"/>
      <c r="AQ66" s="78"/>
      <c r="AR66" s="78"/>
      <c r="AS66" s="78"/>
      <c r="AT66" s="78"/>
      <c r="AU66" s="78"/>
      <c r="AV66" s="78"/>
      <c r="AW66" s="78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  <c r="BM66" s="78"/>
      <c r="BN66" s="78"/>
      <c r="BO66" s="78"/>
      <c r="BP66" s="78"/>
      <c r="BQ66" s="78"/>
      <c r="BR66" s="78"/>
      <c r="BS66" s="78"/>
      <c r="BT66" s="78"/>
      <c r="BU66" s="78"/>
      <c r="BV66" s="78"/>
      <c r="BW66" s="78"/>
      <c r="BX66" s="78"/>
      <c r="BY66" s="78"/>
      <c r="BZ66" s="78"/>
      <c r="CA66" s="78"/>
      <c r="CB66" s="78"/>
      <c r="CC66" s="78"/>
      <c r="CD66" s="78"/>
      <c r="CE66" s="78"/>
      <c r="CF66" s="78"/>
      <c r="CG66" s="78"/>
      <c r="CH66" s="78"/>
      <c r="CI66" s="78"/>
      <c r="CJ66" s="78"/>
      <c r="CK66" s="78"/>
      <c r="CL66" s="78"/>
      <c r="CM66" s="78"/>
      <c r="CN66" s="78"/>
      <c r="CO66" s="78"/>
      <c r="CP66" s="78"/>
      <c r="CQ66" s="78"/>
      <c r="CR66" s="78"/>
      <c r="CS66" s="78"/>
      <c r="CT66" s="78"/>
      <c r="CU66" s="78"/>
      <c r="CV66" s="78"/>
      <c r="CW66" s="78"/>
      <c r="CX66" s="78"/>
      <c r="CY66" s="78"/>
      <c r="CZ66" s="78"/>
      <c r="DA66" s="78"/>
      <c r="DB66" s="78"/>
      <c r="DC66" s="78"/>
      <c r="DD66" s="78"/>
      <c r="DE66" s="78"/>
      <c r="DF66" s="78"/>
      <c r="DG66" s="78"/>
      <c r="DH66" s="78"/>
      <c r="DI66" s="78"/>
      <c r="DJ66" s="78"/>
      <c r="DK66" s="78"/>
    </row>
    <row r="67" spans="1:115" x14ac:dyDescent="0.35">
      <c r="A67" s="37" t="s">
        <v>156</v>
      </c>
      <c r="B67" s="37" t="s">
        <v>51</v>
      </c>
      <c r="C67" s="37" t="s">
        <v>157</v>
      </c>
      <c r="D67" s="38" t="str">
        <f t="shared" si="0"/>
        <v>ChangeMyPersonalInformation_Gender</v>
      </c>
      <c r="E67" s="38" t="str">
        <f t="shared" si="1"/>
        <v>ChangeMyPersonalInformation_Gender2</v>
      </c>
      <c r="F67" s="39"/>
      <c r="G67" s="80" t="s">
        <v>158</v>
      </c>
      <c r="H67" s="80" t="s">
        <v>158</v>
      </c>
      <c r="I67" s="80" t="s">
        <v>158</v>
      </c>
      <c r="J67" s="80" t="s">
        <v>158</v>
      </c>
      <c r="K67" s="80" t="s">
        <v>158</v>
      </c>
      <c r="L67" s="80" t="s">
        <v>158</v>
      </c>
      <c r="M67" s="80" t="s">
        <v>158</v>
      </c>
      <c r="N67" s="80" t="s">
        <v>158</v>
      </c>
      <c r="O67" s="80" t="s">
        <v>158</v>
      </c>
      <c r="P67" s="80" t="s">
        <v>158</v>
      </c>
      <c r="Q67" s="80" t="s">
        <v>158</v>
      </c>
      <c r="R67" s="80" t="s">
        <v>158</v>
      </c>
      <c r="S67" s="80" t="s">
        <v>158</v>
      </c>
      <c r="T67" s="80" t="s">
        <v>158</v>
      </c>
    </row>
    <row r="68" spans="1:115" x14ac:dyDescent="0.35">
      <c r="A68" s="37" t="s">
        <v>156</v>
      </c>
      <c r="B68" s="37" t="s">
        <v>51</v>
      </c>
      <c r="C68" s="37" t="s">
        <v>159</v>
      </c>
      <c r="D68" s="38" t="str">
        <f t="shared" si="0"/>
        <v>ChangeMyPersonalInformation_DateOfBirth</v>
      </c>
      <c r="E68" s="38" t="str">
        <f t="shared" si="1"/>
        <v>ChangeMyPersonalInformation_DateOfBirth2</v>
      </c>
      <c r="F68" s="39"/>
      <c r="G68" s="71" t="s">
        <v>160</v>
      </c>
      <c r="H68" s="71" t="s">
        <v>160</v>
      </c>
      <c r="I68" s="71" t="s">
        <v>160</v>
      </c>
      <c r="J68" s="71" t="s">
        <v>160</v>
      </c>
      <c r="K68" s="71" t="s">
        <v>160</v>
      </c>
      <c r="L68" s="71" t="s">
        <v>160</v>
      </c>
      <c r="M68" s="71" t="s">
        <v>160</v>
      </c>
      <c r="N68" s="71" t="s">
        <v>160</v>
      </c>
      <c r="O68" s="71" t="s">
        <v>160</v>
      </c>
      <c r="P68" s="71" t="s">
        <v>160</v>
      </c>
      <c r="Q68" s="71" t="s">
        <v>160</v>
      </c>
      <c r="R68" s="71" t="s">
        <v>160</v>
      </c>
      <c r="S68" s="71" t="s">
        <v>160</v>
      </c>
      <c r="T68" s="71" t="s">
        <v>160</v>
      </c>
    </row>
    <row r="69" spans="1:115" x14ac:dyDescent="0.35">
      <c r="A69" s="37" t="s">
        <v>156</v>
      </c>
      <c r="B69" s="37" t="s">
        <v>51</v>
      </c>
      <c r="C69" s="37" t="s">
        <v>161</v>
      </c>
      <c r="D69" s="38" t="str">
        <f t="shared" si="0"/>
        <v>ChangeMyPersonalInformation_CityofBirth</v>
      </c>
      <c r="E69" s="38" t="str">
        <f t="shared" si="1"/>
        <v>ChangeMyPersonalInformation_CityofBirth2</v>
      </c>
      <c r="F69" s="39"/>
      <c r="G69" s="73" t="s">
        <v>82</v>
      </c>
      <c r="H69" s="73" t="s">
        <v>82</v>
      </c>
      <c r="I69" s="73" t="s">
        <v>82</v>
      </c>
      <c r="J69" s="73" t="s">
        <v>82</v>
      </c>
      <c r="K69" s="73" t="s">
        <v>82</v>
      </c>
      <c r="L69" s="73" t="s">
        <v>82</v>
      </c>
      <c r="M69" s="73" t="s">
        <v>82</v>
      </c>
      <c r="N69" s="73" t="s">
        <v>82</v>
      </c>
      <c r="O69" s="73" t="s">
        <v>82</v>
      </c>
      <c r="P69" s="73" t="s">
        <v>82</v>
      </c>
      <c r="Q69" s="73" t="s">
        <v>82</v>
      </c>
      <c r="R69" s="73" t="s">
        <v>82</v>
      </c>
      <c r="S69" s="73" t="s">
        <v>82</v>
      </c>
      <c r="T69" s="73" t="s">
        <v>82</v>
      </c>
    </row>
    <row r="70" spans="1:115" customFormat="1" ht="19.899999999999999" customHeight="1" x14ac:dyDescent="0.35">
      <c r="A70" s="37" t="s">
        <v>156</v>
      </c>
      <c r="B70" s="37" t="s">
        <v>51</v>
      </c>
      <c r="C70" s="37" t="s">
        <v>162</v>
      </c>
      <c r="D70" s="38" t="str">
        <f t="shared" si="0"/>
        <v>ChangeMyPersonalInformation_MaritalStatus</v>
      </c>
      <c r="E70" s="38" t="str">
        <f t="shared" si="1"/>
        <v>ChangeMyPersonalInformation_MaritalStatus2</v>
      </c>
      <c r="F70" s="39"/>
      <c r="G70" s="73" t="s">
        <v>163</v>
      </c>
      <c r="H70" s="73" t="s">
        <v>163</v>
      </c>
      <c r="I70" s="73" t="s">
        <v>163</v>
      </c>
      <c r="J70" s="73" t="s">
        <v>163</v>
      </c>
      <c r="K70" s="73" t="s">
        <v>163</v>
      </c>
      <c r="L70" s="73" t="s">
        <v>163</v>
      </c>
      <c r="M70" s="73" t="s">
        <v>163</v>
      </c>
      <c r="N70" s="73" t="s">
        <v>163</v>
      </c>
      <c r="O70" s="73" t="s">
        <v>163</v>
      </c>
      <c r="P70" s="73" t="s">
        <v>163</v>
      </c>
      <c r="Q70" s="73" t="s">
        <v>163</v>
      </c>
      <c r="R70" s="73" t="s">
        <v>163</v>
      </c>
      <c r="S70" s="73" t="s">
        <v>163</v>
      </c>
      <c r="T70" s="73" t="s">
        <v>163</v>
      </c>
    </row>
    <row r="71" spans="1:115" customFormat="1" ht="19.899999999999999" customHeight="1" x14ac:dyDescent="0.35">
      <c r="A71" s="37" t="s">
        <v>156</v>
      </c>
      <c r="B71" s="37" t="s">
        <v>51</v>
      </c>
      <c r="C71" s="37" t="s">
        <v>164</v>
      </c>
      <c r="D71" s="38" t="str">
        <f t="shared" si="0"/>
        <v>ChangeMyPersonalInformation_CitizenshipStatus</v>
      </c>
      <c r="E71" s="38" t="str">
        <f t="shared" si="1"/>
        <v>ChangeMyPersonalInformation_CitizenshipStatus2</v>
      </c>
      <c r="F71" s="39"/>
      <c r="G71" s="73" t="s">
        <v>165</v>
      </c>
      <c r="H71" s="73" t="s">
        <v>165</v>
      </c>
      <c r="I71" s="73" t="s">
        <v>165</v>
      </c>
      <c r="J71" s="73" t="s">
        <v>165</v>
      </c>
      <c r="K71" s="73" t="s">
        <v>165</v>
      </c>
      <c r="L71" s="73" t="s">
        <v>165</v>
      </c>
      <c r="M71" s="73" t="s">
        <v>165</v>
      </c>
      <c r="N71" s="73" t="s">
        <v>165</v>
      </c>
      <c r="O71" s="73" t="s">
        <v>165</v>
      </c>
      <c r="P71" s="73" t="s">
        <v>165</v>
      </c>
      <c r="Q71" s="73" t="s">
        <v>165</v>
      </c>
      <c r="R71" s="73" t="s">
        <v>165</v>
      </c>
      <c r="S71" s="73" t="s">
        <v>165</v>
      </c>
      <c r="T71" s="73" t="s">
        <v>165</v>
      </c>
    </row>
    <row r="72" spans="1:115" customFormat="1" ht="19.899999999999999" customHeight="1" x14ac:dyDescent="0.35">
      <c r="A72" s="37" t="s">
        <v>166</v>
      </c>
      <c r="B72" s="37" t="s">
        <v>51</v>
      </c>
      <c r="C72" s="37" t="s">
        <v>167</v>
      </c>
      <c r="D72" s="38" t="str">
        <f t="shared" si="0"/>
        <v>PaymentElectionOption_BankName</v>
      </c>
      <c r="E72" s="38" t="str">
        <f t="shared" si="1"/>
        <v>PaymentElectionOption_BankName2</v>
      </c>
      <c r="F72" s="39"/>
      <c r="G72" s="46" t="s">
        <v>168</v>
      </c>
      <c r="H72" s="46" t="s">
        <v>168</v>
      </c>
      <c r="I72" s="46" t="s">
        <v>168</v>
      </c>
      <c r="J72" s="46" t="s">
        <v>168</v>
      </c>
      <c r="K72" s="46" t="s">
        <v>168</v>
      </c>
      <c r="L72" s="46" t="s">
        <v>168</v>
      </c>
      <c r="M72" s="46" t="s">
        <v>168</v>
      </c>
      <c r="N72" s="46" t="s">
        <v>168</v>
      </c>
      <c r="O72" s="46" t="s">
        <v>168</v>
      </c>
      <c r="P72" s="46" t="s">
        <v>168</v>
      </c>
      <c r="Q72" s="46" t="s">
        <v>168</v>
      </c>
      <c r="R72" s="46" t="s">
        <v>168</v>
      </c>
      <c r="S72" s="46" t="s">
        <v>168</v>
      </c>
      <c r="T72" s="46" t="s">
        <v>168</v>
      </c>
    </row>
    <row r="73" spans="1:115" customFormat="1" ht="19.899999999999999" customHeight="1" x14ac:dyDescent="0.35">
      <c r="A73" s="37" t="s">
        <v>166</v>
      </c>
      <c r="B73" s="37" t="s">
        <v>51</v>
      </c>
      <c r="C73" s="37" t="s">
        <v>169</v>
      </c>
      <c r="D73" s="38" t="str">
        <f t="shared" si="0"/>
        <v>PaymentElectionOption_AccountType</v>
      </c>
      <c r="E73" s="38" t="str">
        <f t="shared" si="1"/>
        <v>PaymentElectionOption_AccountType2</v>
      </c>
      <c r="F73" s="39"/>
      <c r="G73" s="46" t="s">
        <v>170</v>
      </c>
      <c r="H73" s="46" t="s">
        <v>170</v>
      </c>
      <c r="I73" s="46" t="s">
        <v>170</v>
      </c>
      <c r="J73" s="46" t="s">
        <v>170</v>
      </c>
      <c r="K73" s="46" t="s">
        <v>170</v>
      </c>
      <c r="L73" s="46" t="s">
        <v>170</v>
      </c>
      <c r="M73" s="46" t="s">
        <v>170</v>
      </c>
      <c r="N73" s="46" t="s">
        <v>170</v>
      </c>
      <c r="O73" s="46" t="s">
        <v>170</v>
      </c>
      <c r="P73" s="46" t="s">
        <v>170</v>
      </c>
      <c r="Q73" s="46" t="s">
        <v>170</v>
      </c>
      <c r="R73" s="46" t="s">
        <v>170</v>
      </c>
      <c r="S73" s="46" t="s">
        <v>170</v>
      </c>
      <c r="T73" s="46" t="s">
        <v>170</v>
      </c>
    </row>
    <row r="74" spans="1:115" customFormat="1" ht="19.5" customHeight="1" thickBot="1" x14ac:dyDescent="0.4">
      <c r="A74" s="37" t="s">
        <v>166</v>
      </c>
      <c r="B74" s="37" t="s">
        <v>51</v>
      </c>
      <c r="C74" s="37" t="s">
        <v>171</v>
      </c>
      <c r="D74" s="38" t="str">
        <f t="shared" si="0"/>
        <v>PaymentElectionOption_IBAN</v>
      </c>
      <c r="E74" s="38" t="str">
        <f t="shared" si="1"/>
        <v>PaymentElectionOption_IBAN2</v>
      </c>
      <c r="F74" s="39"/>
      <c r="G74" s="81" t="s">
        <v>172</v>
      </c>
      <c r="H74" s="81" t="s">
        <v>172</v>
      </c>
      <c r="I74" s="81" t="s">
        <v>172</v>
      </c>
      <c r="J74" s="81" t="s">
        <v>172</v>
      </c>
      <c r="K74" s="81" t="s">
        <v>172</v>
      </c>
      <c r="L74" s="81" t="s">
        <v>172</v>
      </c>
      <c r="M74" s="81" t="s">
        <v>172</v>
      </c>
      <c r="N74" s="81" t="s">
        <v>172</v>
      </c>
      <c r="O74" s="81" t="s">
        <v>172</v>
      </c>
      <c r="P74" s="81" t="s">
        <v>172</v>
      </c>
      <c r="Q74" s="81" t="s">
        <v>172</v>
      </c>
      <c r="R74" s="81" t="s">
        <v>172</v>
      </c>
      <c r="S74" s="81" t="s">
        <v>172</v>
      </c>
      <c r="T74" s="81" t="s">
        <v>172</v>
      </c>
    </row>
    <row r="75" spans="1:115" s="88" customFormat="1" ht="14.5" x14ac:dyDescent="0.35">
      <c r="A75" s="82" t="s">
        <v>166</v>
      </c>
      <c r="B75" s="83" t="s">
        <v>51</v>
      </c>
      <c r="C75" s="84" t="s">
        <v>173</v>
      </c>
      <c r="D75" s="85" t="str">
        <f t="shared" si="0"/>
        <v>PaymentElectionOption_BankIdentificationCode</v>
      </c>
      <c r="E75" s="86" t="str">
        <f t="shared" si="1"/>
        <v>PaymentElectionOption_BankIdentificationCode2</v>
      </c>
      <c r="F75" s="87"/>
      <c r="G75" t="s">
        <v>174</v>
      </c>
      <c r="H75" t="s">
        <v>174</v>
      </c>
      <c r="I75" t="s">
        <v>174</v>
      </c>
      <c r="J75" t="s">
        <v>174</v>
      </c>
      <c r="K75" t="s">
        <v>174</v>
      </c>
      <c r="L75" t="s">
        <v>174</v>
      </c>
      <c r="M75" t="s">
        <v>174</v>
      </c>
      <c r="N75" t="s">
        <v>174</v>
      </c>
      <c r="O75" t="s">
        <v>174</v>
      </c>
      <c r="P75" t="s">
        <v>174</v>
      </c>
      <c r="Q75" t="s">
        <v>174</v>
      </c>
      <c r="R75" t="s">
        <v>174</v>
      </c>
      <c r="S75" t="s">
        <v>174</v>
      </c>
      <c r="T75" t="s">
        <v>174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</row>
    <row r="76" spans="1:115" customFormat="1" ht="19.5" customHeight="1" x14ac:dyDescent="0.35">
      <c r="A76" s="37" t="s">
        <v>175</v>
      </c>
      <c r="B76" s="37" t="s">
        <v>51</v>
      </c>
      <c r="C76" s="37" t="s">
        <v>176</v>
      </c>
      <c r="D76" s="38" t="str">
        <f t="shared" si="0"/>
        <v>AddAdditonalName_NameType</v>
      </c>
      <c r="E76" s="38" t="str">
        <f t="shared" si="1"/>
        <v>AddAdditonalName_NameType2</v>
      </c>
      <c r="F76" s="39"/>
      <c r="G76" s="46" t="s">
        <v>177</v>
      </c>
      <c r="H76" s="46" t="s">
        <v>177</v>
      </c>
      <c r="I76" s="46" t="s">
        <v>177</v>
      </c>
      <c r="J76" s="46" t="s">
        <v>177</v>
      </c>
      <c r="K76" s="46" t="s">
        <v>177</v>
      </c>
      <c r="L76" s="46" t="s">
        <v>177</v>
      </c>
      <c r="M76" s="46" t="s">
        <v>177</v>
      </c>
      <c r="N76" s="46" t="s">
        <v>177</v>
      </c>
      <c r="O76" s="46" t="s">
        <v>177</v>
      </c>
      <c r="P76" s="46" t="s">
        <v>177</v>
      </c>
      <c r="Q76" s="46" t="s">
        <v>177</v>
      </c>
      <c r="R76" s="46" t="s">
        <v>177</v>
      </c>
      <c r="S76" s="46" t="s">
        <v>177</v>
      </c>
      <c r="T76" s="46" t="s">
        <v>177</v>
      </c>
    </row>
    <row r="77" spans="1:115" customFormat="1" ht="19.5" customHeight="1" x14ac:dyDescent="0.35">
      <c r="A77" s="37" t="s">
        <v>175</v>
      </c>
      <c r="B77" s="37" t="s">
        <v>51</v>
      </c>
      <c r="C77" s="37" t="s">
        <v>61</v>
      </c>
      <c r="D77" s="38" t="str">
        <f t="shared" si="0"/>
        <v>AddAdditonalName_Country</v>
      </c>
      <c r="E77" s="38" t="str">
        <f t="shared" si="1"/>
        <v>AddAdditonalName_Country2</v>
      </c>
      <c r="F77" s="39"/>
      <c r="G77" s="46" t="s">
        <v>63</v>
      </c>
      <c r="H77" s="46" t="s">
        <v>63</v>
      </c>
      <c r="I77" s="46" t="s">
        <v>63</v>
      </c>
      <c r="J77" s="46" t="s">
        <v>63</v>
      </c>
      <c r="K77" s="46" t="s">
        <v>63</v>
      </c>
      <c r="L77" s="46" t="s">
        <v>63</v>
      </c>
      <c r="M77" s="46" t="s">
        <v>63</v>
      </c>
      <c r="N77" s="46" t="s">
        <v>63</v>
      </c>
      <c r="O77" s="46" t="s">
        <v>63</v>
      </c>
      <c r="P77" s="46" t="s">
        <v>63</v>
      </c>
      <c r="Q77" s="46" t="s">
        <v>63</v>
      </c>
      <c r="R77" s="46" t="s">
        <v>63</v>
      </c>
      <c r="S77" s="46" t="s">
        <v>63</v>
      </c>
      <c r="T77" s="46" t="s">
        <v>63</v>
      </c>
    </row>
    <row r="78" spans="1:115" customFormat="1" ht="19.5" customHeight="1" x14ac:dyDescent="0.35">
      <c r="A78" s="37" t="s">
        <v>175</v>
      </c>
      <c r="B78" s="37" t="s">
        <v>51</v>
      </c>
      <c r="C78" s="37" t="s">
        <v>64</v>
      </c>
      <c r="D78" s="38" t="str">
        <f t="shared" si="0"/>
        <v>AddAdditonalName_GivenName</v>
      </c>
      <c r="E78" s="38" t="str">
        <f t="shared" si="1"/>
        <v>AddAdditonalName_GivenName2</v>
      </c>
      <c r="F78" s="39"/>
      <c r="G78" s="46" t="s">
        <v>79</v>
      </c>
      <c r="H78" s="46" t="s">
        <v>79</v>
      </c>
      <c r="I78" s="46" t="s">
        <v>79</v>
      </c>
      <c r="J78" s="46" t="s">
        <v>79</v>
      </c>
      <c r="K78" s="46" t="s">
        <v>79</v>
      </c>
      <c r="L78" s="46" t="s">
        <v>79</v>
      </c>
      <c r="M78" s="46" t="s">
        <v>79</v>
      </c>
      <c r="N78" s="46" t="s">
        <v>79</v>
      </c>
      <c r="O78" s="46" t="s">
        <v>79</v>
      </c>
      <c r="P78" s="46" t="s">
        <v>79</v>
      </c>
      <c r="Q78" s="46" t="s">
        <v>79</v>
      </c>
      <c r="R78" s="46" t="s">
        <v>79</v>
      </c>
      <c r="S78" s="46" t="s">
        <v>79</v>
      </c>
      <c r="T78" s="46" t="s">
        <v>79</v>
      </c>
    </row>
    <row r="79" spans="1:115" customFormat="1" ht="19.5" customHeight="1" x14ac:dyDescent="0.35">
      <c r="A79" s="37" t="s">
        <v>175</v>
      </c>
      <c r="B79" s="37" t="s">
        <v>51</v>
      </c>
      <c r="C79" s="37" t="s">
        <v>66</v>
      </c>
      <c r="D79" s="38" t="str">
        <f t="shared" si="0"/>
        <v>AddAdditonalName_FamilyName</v>
      </c>
      <c r="E79" s="38" t="str">
        <f t="shared" si="1"/>
        <v>AddAdditonalName_FamilyName2</v>
      </c>
      <c r="F79" s="39"/>
      <c r="G79" s="46" t="s">
        <v>79</v>
      </c>
      <c r="H79" s="46" t="s">
        <v>79</v>
      </c>
      <c r="I79" s="46" t="s">
        <v>79</v>
      </c>
      <c r="J79" s="46" t="s">
        <v>79</v>
      </c>
      <c r="K79" s="46" t="s">
        <v>79</v>
      </c>
      <c r="L79" s="46" t="s">
        <v>79</v>
      </c>
      <c r="M79" s="46" t="s">
        <v>79</v>
      </c>
      <c r="N79" s="46" t="s">
        <v>79</v>
      </c>
      <c r="O79" s="46" t="s">
        <v>79</v>
      </c>
      <c r="P79" s="46" t="s">
        <v>79</v>
      </c>
      <c r="Q79" s="46" t="s">
        <v>79</v>
      </c>
      <c r="R79" s="46" t="s">
        <v>79</v>
      </c>
      <c r="S79" s="46" t="s">
        <v>79</v>
      </c>
      <c r="T79" s="46" t="s">
        <v>79</v>
      </c>
    </row>
    <row r="80" spans="1:115" customFormat="1" ht="19.5" customHeight="1" x14ac:dyDescent="0.35">
      <c r="A80" s="37" t="s">
        <v>178</v>
      </c>
      <c r="B80" s="37" t="s">
        <v>51</v>
      </c>
      <c r="C80" s="37" t="s">
        <v>179</v>
      </c>
      <c r="D80" s="38" t="str">
        <f t="shared" si="0"/>
        <v>HealthCareProvider_HealthInsuranceCompany</v>
      </c>
      <c r="E80" s="38" t="str">
        <f t="shared" si="1"/>
        <v>HealthCareProvider_HealthInsuranceCompany2</v>
      </c>
      <c r="F80" s="39"/>
      <c r="G80" s="46" t="s">
        <v>180</v>
      </c>
      <c r="H80" s="46" t="s">
        <v>180</v>
      </c>
      <c r="I80" s="46" t="s">
        <v>180</v>
      </c>
      <c r="J80" s="46" t="s">
        <v>180</v>
      </c>
      <c r="K80" s="46" t="s">
        <v>180</v>
      </c>
      <c r="L80" s="46" t="s">
        <v>180</v>
      </c>
      <c r="M80" s="46" t="s">
        <v>180</v>
      </c>
      <c r="N80" s="46" t="s">
        <v>180</v>
      </c>
      <c r="O80" s="46" t="s">
        <v>180</v>
      </c>
      <c r="P80" s="46" t="s">
        <v>180</v>
      </c>
      <c r="Q80" s="46" t="s">
        <v>180</v>
      </c>
      <c r="R80" s="46" t="s">
        <v>180</v>
      </c>
      <c r="S80" s="46" t="s">
        <v>180</v>
      </c>
      <c r="T80" s="46" t="s">
        <v>180</v>
      </c>
    </row>
    <row r="81" spans="1:115" customFormat="1" ht="19.5" customHeight="1" x14ac:dyDescent="0.35">
      <c r="A81" s="37" t="s">
        <v>178</v>
      </c>
      <c r="B81" s="37" t="s">
        <v>51</v>
      </c>
      <c r="C81" s="37" t="s">
        <v>181</v>
      </c>
      <c r="D81" s="38" t="str">
        <f t="shared" si="0"/>
        <v>HealthCareProvider_MealVoucher</v>
      </c>
      <c r="E81" s="38" t="str">
        <f t="shared" si="1"/>
        <v>HealthCareProvider_MealVoucher2</v>
      </c>
      <c r="F81" s="39"/>
      <c r="G81" s="46" t="s">
        <v>182</v>
      </c>
      <c r="H81" s="46" t="s">
        <v>182</v>
      </c>
      <c r="I81" s="46" t="s">
        <v>182</v>
      </c>
      <c r="J81" s="46" t="s">
        <v>182</v>
      </c>
      <c r="K81" s="46" t="s">
        <v>182</v>
      </c>
      <c r="L81" s="46" t="s">
        <v>182</v>
      </c>
      <c r="M81" s="46" t="s">
        <v>182</v>
      </c>
      <c r="N81" s="46" t="s">
        <v>182</v>
      </c>
      <c r="O81" s="46" t="s">
        <v>182</v>
      </c>
      <c r="P81" s="46" t="s">
        <v>182</v>
      </c>
      <c r="Q81" s="46" t="s">
        <v>182</v>
      </c>
      <c r="R81" s="46" t="s">
        <v>182</v>
      </c>
      <c r="S81" s="46" t="s">
        <v>182</v>
      </c>
      <c r="T81" s="46" t="s">
        <v>182</v>
      </c>
    </row>
    <row r="82" spans="1:115" customFormat="1" ht="19.5" customHeight="1" x14ac:dyDescent="0.35">
      <c r="A82" s="37" t="s">
        <v>183</v>
      </c>
      <c r="B82" s="37" t="s">
        <v>51</v>
      </c>
      <c r="C82" s="37" t="s">
        <v>184</v>
      </c>
      <c r="D82" s="38" t="str">
        <f t="shared" si="0"/>
        <v>AssignPayGroup_ProposedPayGroupInitial</v>
      </c>
      <c r="E82" s="38" t="str">
        <f t="shared" si="1"/>
        <v>AssignPayGroup_ProposedPayGroupInitial2</v>
      </c>
      <c r="F82" s="39"/>
      <c r="G82" s="49" t="s">
        <v>185</v>
      </c>
      <c r="H82" s="49" t="s">
        <v>185</v>
      </c>
      <c r="I82" s="49" t="s">
        <v>185</v>
      </c>
      <c r="J82" s="49" t="s">
        <v>185</v>
      </c>
      <c r="K82" s="49" t="s">
        <v>185</v>
      </c>
      <c r="L82" s="49" t="s">
        <v>185</v>
      </c>
      <c r="M82" s="49" t="s">
        <v>185</v>
      </c>
      <c r="N82" s="49" t="s">
        <v>185</v>
      </c>
      <c r="O82" s="49" t="s">
        <v>185</v>
      </c>
      <c r="P82" s="49" t="s">
        <v>185</v>
      </c>
      <c r="Q82" s="49" t="s">
        <v>185</v>
      </c>
      <c r="R82" s="49" t="s">
        <v>185</v>
      </c>
      <c r="S82" s="49" t="s">
        <v>185</v>
      </c>
      <c r="T82" s="49" t="s">
        <v>185</v>
      </c>
    </row>
    <row r="83" spans="1:115" s="51" customFormat="1" ht="19.899999999999999" customHeight="1" x14ac:dyDescent="0.35">
      <c r="A83" s="37" t="s">
        <v>183</v>
      </c>
      <c r="B83" s="37" t="s">
        <v>51</v>
      </c>
      <c r="C83" s="37" t="s">
        <v>186</v>
      </c>
      <c r="D83" s="38" t="str">
        <f t="shared" si="0"/>
        <v>AssignPayGroup_ProposedPayGroupFinal</v>
      </c>
      <c r="E83" s="38" t="str">
        <f t="shared" si="1"/>
        <v>AssignPayGroup_ProposedPayGroupFinal2</v>
      </c>
      <c r="F83" s="39"/>
      <c r="G83" s="49" t="s">
        <v>187</v>
      </c>
      <c r="H83" s="49" t="s">
        <v>187</v>
      </c>
      <c r="I83" s="49" t="s">
        <v>187</v>
      </c>
      <c r="J83" s="49" t="s">
        <v>187</v>
      </c>
      <c r="K83" s="49" t="s">
        <v>187</v>
      </c>
      <c r="L83" s="49" t="s">
        <v>187</v>
      </c>
      <c r="M83" s="49" t="s">
        <v>187</v>
      </c>
      <c r="N83" s="49" t="s">
        <v>187</v>
      </c>
      <c r="O83" s="49" t="s">
        <v>187</v>
      </c>
      <c r="P83" s="49" t="s">
        <v>187</v>
      </c>
      <c r="Q83" s="49" t="s">
        <v>187</v>
      </c>
      <c r="R83" s="49" t="s">
        <v>187</v>
      </c>
      <c r="S83" s="49" t="s">
        <v>187</v>
      </c>
      <c r="T83" s="49" t="s">
        <v>187</v>
      </c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</row>
  </sheetData>
  <phoneticPr fontId="15" type="noConversion"/>
  <conditionalFormatting sqref="G7:L7">
    <cfRule type="containsText" dxfId="11" priority="57" operator="containsText" text="Pass">
      <formula>NOT(ISERROR(SEARCH("Pass",G7)))</formula>
    </cfRule>
    <cfRule type="containsText" dxfId="10" priority="58" operator="containsText" text="Fail">
      <formula>NOT(ISERROR(SEARCH("Fail",G7)))</formula>
    </cfRule>
  </conditionalFormatting>
  <conditionalFormatting sqref="G5:L6">
    <cfRule type="containsText" dxfId="9" priority="27" operator="containsText" text="Pass">
      <formula>NOT(ISERROR(SEARCH("Pass",G5)))</formula>
    </cfRule>
    <cfRule type="containsText" dxfId="8" priority="28" operator="containsText" text="Fail">
      <formula>NOT(ISERROR(SEARCH("Fail",G5)))</formula>
    </cfRule>
  </conditionalFormatting>
  <conditionalFormatting sqref="M5:O7">
    <cfRule type="containsText" dxfId="7" priority="7" operator="containsText" text="Pass">
      <formula>NOT(ISERROR(SEARCH("Pass",M5)))</formula>
    </cfRule>
    <cfRule type="containsText" dxfId="6" priority="8" operator="containsText" text="Fail">
      <formula>NOT(ISERROR(SEARCH("Fail",M5)))</formula>
    </cfRule>
  </conditionalFormatting>
  <conditionalFormatting sqref="P5:Q7">
    <cfRule type="containsText" dxfId="5" priority="5" operator="containsText" text="Pass">
      <formula>NOT(ISERROR(SEARCH("Pass",P5)))</formula>
    </cfRule>
    <cfRule type="containsText" dxfId="4" priority="6" operator="containsText" text="Fail">
      <formula>NOT(ISERROR(SEARCH("Fail",P5)))</formula>
    </cfRule>
  </conditionalFormatting>
  <conditionalFormatting sqref="R5:R7">
    <cfRule type="containsText" dxfId="3" priority="3" operator="containsText" text="Pass">
      <formula>NOT(ISERROR(SEARCH("Pass",R5)))</formula>
    </cfRule>
    <cfRule type="containsText" dxfId="2" priority="4" operator="containsText" text="Fail">
      <formula>NOT(ISERROR(SEARCH("Fail",R5)))</formula>
    </cfRule>
  </conditionalFormatting>
  <conditionalFormatting sqref="S5:T7">
    <cfRule type="containsText" dxfId="1" priority="1" operator="containsText" text="Pass">
      <formula>NOT(ISERROR(SEARCH("Pass",S5)))</formula>
    </cfRule>
    <cfRule type="containsText" dxfId="0" priority="2" operator="containsText" text="Fail">
      <formula>NOT(ISERROR(SEARCH("Fail",S5)))</formula>
    </cfRule>
  </conditionalFormatting>
  <dataValidations count="1">
    <dataValidation type="list" allowBlank="1" showInputMessage="1" showErrorMessage="1" sqref="G3:T4 G37:T37 G23:T23 G48:T48 G35:T35 G32:T32 G73:T73" xr:uid="{963207A7-2384-4557-A209-782316E287ED}">
      <formula1>INDIRECT($E3)</formula1>
    </dataValidation>
  </dataValidations>
  <hyperlinks>
    <hyperlink ref="G34:L34" r:id="rId1" display="Test@primark.com" xr:uid="{75AE720B-EE6E-4363-AB69-D2D91EC810DE}"/>
    <hyperlink ref="I34:J34" r:id="rId2" display="Test@primark.com" xr:uid="{F3214DD5-7028-4641-BDA0-D7A50502B8F3}"/>
    <hyperlink ref="M34:O34" r:id="rId3" display="Test@primark.com" xr:uid="{F16D3054-39B5-4918-A9E0-F7B5D294DE19}"/>
    <hyperlink ref="P34:Q34" r:id="rId4" display="Test@primark.com" xr:uid="{56254129-4A03-43AA-96AA-2AD00065D766}"/>
    <hyperlink ref="K34" r:id="rId5" xr:uid="{5F7B3F6A-6275-4294-8747-686440A92AA1}"/>
    <hyperlink ref="R34" r:id="rId6" xr:uid="{53F47A6F-9AFF-406F-A042-3FA393557CC8}"/>
    <hyperlink ref="S34:T34" r:id="rId7" display="Test@primark.com" xr:uid="{461269F9-8534-493A-A438-45D0CA597F6F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Phani Kusam</dc:creator>
  <cp:lastModifiedBy>Madhukar Kirkan</cp:lastModifiedBy>
  <dcterms:created xsi:type="dcterms:W3CDTF">2015-06-05T18:17:20Z</dcterms:created>
  <dcterms:modified xsi:type="dcterms:W3CDTF">2025-02-11T12:13:25Z</dcterms:modified>
</cp:coreProperties>
</file>