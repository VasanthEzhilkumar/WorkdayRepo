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<sst xmlns="http://schemas.openxmlformats.org/spreadsheetml/2006/main" count="187" uniqueCount="120">
  <si>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</si>
  <si>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</si>
  <si>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</si>
  <si>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</si>
  <si>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</si>
  <si>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</si>
  <si>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</si>
  <si>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</si>
  <si>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</si>
  <si>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</si>
  <si>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</si>
  <si>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AdressLine1</t>
  </si>
  <si>
    <t>AdressLine2</t>
  </si>
  <si>
    <t>City</t>
  </si>
  <si>
    <t>PostalCode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</si>
  <si>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</si>
  <si>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</si>
  <si>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</si>
  <si>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</si>
  <si>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</si>
  <si>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</si>
  <si>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</si>
  <si>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</si>
  <si>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</si>
  <si>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</si>
  <si>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</si>
  <si>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</si>
  <si>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</si>
  <si>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</si>
  <si>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ContractType</t>
  </si>
  <si>
    <t>Status</t>
  </si>
  <si>
    <t>ContractReason</t>
  </si>
  <si>
    <t>ContractStartDate</t>
  </si>
  <si>
    <t>DateEmployeeSigned</t>
  </si>
  <si>
    <t>DateEmployerSigned</t>
  </si>
  <si>
    <t>ContractEndDate</t>
  </si>
  <si>
    <t>CostCenter</t>
  </si>
  <si>
    <t>DepartmentSection1</t>
  </si>
  <si>
    <t>CollectiveAgreement</t>
  </si>
  <si>
    <t>ProfessionalCategory</t>
  </si>
  <si>
    <t>Level</t>
  </si>
  <si>
    <t>GradeProfile</t>
  </si>
  <si>
    <t>Step</t>
  </si>
  <si>
    <t>ProbationEndDate</t>
  </si>
  <si>
    <t>Country1</t>
  </si>
  <si>
    <t>NationalIDType1</t>
  </si>
  <si>
    <t>AddEditID1</t>
  </si>
  <si>
    <t>IssuedDate1</t>
  </si>
  <si>
    <t>ExpirationDate1</t>
  </si>
  <si>
    <t>Country2</t>
  </si>
  <si>
    <t>GovernmentIDType2</t>
  </si>
  <si>
    <t>AddEditID2</t>
  </si>
  <si>
    <t>IssuedDate2</t>
  </si>
  <si>
    <t>ExpirationDate2</t>
  </si>
  <si>
    <t>Gender</t>
  </si>
  <si>
    <t>DateOfBirth</t>
  </si>
  <si>
    <t>CitizenshipStatus</t>
  </si>
  <si>
    <t>PrimaryNationality</t>
  </si>
  <si>
    <t>BankName</t>
  </si>
  <si>
    <t>BankIdentificationCode</t>
  </si>
  <si>
    <t>AccountType</t>
  </si>
  <si>
    <t>IBAN</t>
  </si>
  <si>
    <t>NameOnAccount</t>
  </si>
  <si>
    <t>PassportIDType</t>
  </si>
  <si>
    <t>IdentificationNo</t>
  </si>
  <si>
    <t>IssuedDate</t>
  </si>
  <si>
    <t>ExpirationDate</t>
  </si>
  <si>
    <t>DateWhenMedicalExamTaken</t>
  </si>
  <si>
    <t>ExpirationDateOfTheExam</t>
  </si>
  <si>
    <t>ProposedPayGroupFinal</t>
  </si>
  <si>
    <t>Test1</t>
  </si>
  <si>
    <t>10698894</t>
  </si>
  <si>
    <t>Passed</t>
  </si>
  <si>
    <t>795 Store Management (Zogop Dogegy (On Leave) (10185858))</t>
  </si>
  <si>
    <t>Slovenia</t>
  </si>
  <si>
    <t>Jaqueline</t>
  </si>
  <si>
    <t>Haag</t>
  </si>
  <si>
    <t xml:space="preserve">070-417-626 </t>
  </si>
  <si>
    <t>Landline</t>
  </si>
  <si>
    <t>Home</t>
  </si>
  <si>
    <t>Automation Street Name</t>
  </si>
  <si>
    <t>Ljubljana</t>
  </si>
  <si>
    <t>Street Address</t>
  </si>
  <si>
    <t>Test@email.com</t>
  </si>
  <si>
    <t>New Hire</t>
  </si>
  <si>
    <t>Auto 84185324</t>
  </si>
  <si>
    <t>Permanent</t>
  </si>
  <si>
    <t>Store Manager_NEW</t>
  </si>
  <si>
    <t>Full time</t>
  </si>
  <si>
    <t>Salary</t>
  </si>
  <si>
    <t>N/A</t>
  </si>
  <si>
    <t>5 Days (Slovenia)</t>
  </si>
  <si>
    <t>0- Ne gre za zaposlitev po ZUTD-A ali ZIUPTDSV</t>
  </si>
  <si>
    <t>Active</t>
  </si>
  <si>
    <t>251</t>
  </si>
  <si>
    <t>Collective Agreement - Slovenia (01/01/1900 - )</t>
  </si>
  <si>
    <t>Asistent v prodaji</t>
  </si>
  <si>
    <t>IV.</t>
  </si>
  <si>
    <t>Unique Master Citizen Number</t>
  </si>
  <si>
    <t>01/01/1999</t>
  </si>
  <si>
    <t>01/01/2045</t>
  </si>
  <si>
    <t>Slovenia Tax Number</t>
  </si>
  <si>
    <t>01/01/2041</t>
  </si>
  <si>
    <t>Female</t>
  </si>
  <si>
    <t>Citizen (Slovenia)</t>
  </si>
  <si>
    <t>TestBankOFSlovenia</t>
  </si>
  <si>
    <t>Checking</t>
  </si>
  <si>
    <t>SI56 2633 0001 2039 086</t>
  </si>
  <si>
    <t>Grun Frun</t>
  </si>
  <si>
    <t>Standard</t>
  </si>
  <si>
    <t>SVN Monthly</t>
  </si>
  <si>
    <t>Test2</t>
  </si>
  <si>
    <t>10698895</t>
  </si>
  <si>
    <t>795 Recruitment (Zosig Depazi (10280602))</t>
  </si>
  <si>
    <t>Eladio</t>
  </si>
  <si>
    <t>Shanahan</t>
  </si>
  <si>
    <t>No</t>
  </si>
  <si>
    <t>Retail Assistant_NEW</t>
  </si>
  <si>
    <t>94 Retail Operatives</t>
  </si>
  <si>
    <t>01 Accessories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</si>
</sst>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7" x14ac:knownFonts="1">
    <font>
      <color theme="1"/>
      <family val="2"/>
      <scheme val="minor"/>
      <sz val="11"/>
      <name val="Calibri"/>
    </font>
    <font>
      <color rgb="FFFF0000"/>
      <family val="2"/>
      <sz val="14"/>
      <name val="Arial"/>
    </font>
    <font>
      <color theme="1"/>
      <family val="2"/>
      <sz val="14"/>
      <name val="Arial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color rgb="FFFF0000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 style="thin"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2" borderId="0" xfId="0" applyNumberFormat="1" applyFill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 wrapText="1"/>
    </xf>
    <xf numFmtId="0" fontId="0" fillId="6" borderId="0" xfId="0" applyFill="1" applyAlignment="1">
      <alignment horizontal="left"/>
    </xf>
    <xf numFmtId="0" fontId="1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4" borderId="2" xfId="0" applyFill="1" applyBorder="1"/>
    <xf numFmtId="0" fontId="3" fillId="0" borderId="0" xfId="0" applyFont="1"/>
    <xf numFmtId="0" fontId="2" fillId="0" borderId="2" xfId="0" applyFont="1" applyBorder="1" applyAlignment="1" applyProtection="1">
      <alignment horizontal="left"/>
      <protection locked="0"/>
    </xf>
    <xf numFmtId="14" fontId="4" fillId="0" borderId="2" xfId="0" applyNumberFormat="1" applyFont="1" applyBorder="1" applyAlignment="1">
      <alignment horizontal="left"/>
    </xf>
    <xf numFmtId="0" fontId="2" fillId="0" borderId="2" xfId="0" applyFont="1" applyBorder="1" applyProtection="1">
      <protection locked="0"/>
    </xf>
    <xf numFmtId="0" fontId="2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6" fillId="0" borderId="2" xfId="0" applyNumberFormat="1" applyFont="1" applyBorder="1" applyAlignment="1">
      <alignment horizontal="left"/>
    </xf>
    <xf numFmtId="0" fontId="2" fillId="4" borderId="2" xfId="0" applyFont="1" applyFill="1" applyBorder="1" applyAlignment="1" applyProtection="1">
      <alignment horizontal="left"/>
      <protection locked="0"/>
    </xf>
    <xf numFmtId="0" fontId="2" fillId="0" borderId="2" xfId="0" applyFont="1" applyBorder="1"/>
    <xf numFmtId="0" fontId="2" fillId="0" borderId="0" xfId="0" applyFont="1" applyAlignment="1">
      <alignment horizontal="left"/>
    </xf>
    <xf numFmtId="0" fontId="2" fillId="0" borderId="2" xfId="0" applyFont="1" applyBorder="1" applyAlignment="1" applyProtection="1">
      <alignment horizontal="left" wrapText="1"/>
      <protection locked="0"/>
    </xf>
    <xf numFmtId="0" fontId="5" fillId="0" borderId="0" xfId="0" applyFont="1"/>
    <xf numFmtId="14" fontId="1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1" fontId="2" fillId="0" borderId="2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Test@email.com" TargetMode="External"/><Relationship Id="rId2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"/>
  <sheetViews>
    <sheetView workbookViewId="0" zoomScale="115" zoomScaleNormal="115">
      <selection activeCell="C5" sqref="C5"/>
    </sheetView>
  </sheetViews>
  <sheetFormatPr defaultRowHeight="15.65" outlineLevelRow="1" outlineLevelCol="0" x14ac:dyDescent="0.35" customHeight="1"/>
  <cols>
    <col min="1" max="2" width="10.81640625" style="1" customWidth="1"/>
    <col min="3" max="3" width="9.36328125" style="1" customWidth="1"/>
    <col min="4" max="4" width="28.90625" style="1" customWidth="1"/>
    <col min="5" max="5" width="10.54296875" style="1" customWidth="1"/>
    <col min="6" max="6" width="15.36328125" style="1" customWidth="1"/>
    <col min="7" max="7" width="24.36328125" style="1" customWidth="1"/>
    <col min="8" max="8" width="17.6328125" style="1" customWidth="1"/>
    <col min="9" max="9" width="16" style="1" customWidth="1"/>
    <col min="10" max="10" width="7.7265625" style="1" customWidth="1"/>
    <col min="11" max="11" width="16" style="1" customWidth="1"/>
    <col min="12" max="12" width="10.54296875" style="1" customWidth="1"/>
    <col min="13" max="13" width="29.1796875" style="2" customWidth="1"/>
    <col min="14" max="14" width="15.26953125" style="1" customWidth="1"/>
    <col min="15" max="15" width="11.1796875" style="1" customWidth="1"/>
    <col min="16" max="16" width="14.08984375" style="1" customWidth="1"/>
    <col min="17" max="17" width="7.7265625" style="1" customWidth="1"/>
    <col min="18" max="18" width="18" style="1" customWidth="1"/>
    <col min="19" max="19" width="16.81640625" style="1" customWidth="1"/>
    <col min="20" max="20" width="7.7265625" style="1" customWidth="1"/>
    <col min="21" max="21" width="10.81640625" style="1" customWidth="1"/>
    <col min="22" max="22" width="11.26953125" style="1" customWidth="1"/>
    <col min="23" max="23" width="28.453125" style="1" customWidth="1"/>
    <col min="24" max="24" width="29.81640625" style="1" customWidth="1"/>
    <col min="25" max="25" width="56.1796875" style="2" customWidth="1"/>
    <col min="26" max="26" width="12" style="1" customWidth="1"/>
    <col min="27" max="27" width="10.54296875" style="1" customWidth="1"/>
    <col min="28" max="28" width="16.08984375" style="1" customWidth="1"/>
    <col min="29" max="29" width="28.453125" style="1" customWidth="1"/>
    <col min="30" max="30" width="32.7265625" style="1" customWidth="1"/>
    <col min="31" max="31" width="20.90625" style="1" customWidth="1"/>
    <col min="32" max="32" width="25.453125" style="1" customWidth="1"/>
    <col min="33" max="33" width="57.6328125" style="1" customWidth="1"/>
    <col min="34" max="34" width="8.26953125" style="1" customWidth="1"/>
    <col min="35" max="35" width="19.36328125" style="1" customWidth="1"/>
    <col min="36" max="36" width="21.453125" style="1" customWidth="1"/>
    <col min="37" max="37" width="25.81640625" style="1" customWidth="1"/>
    <col min="38" max="38" width="25.1796875" style="1" customWidth="1"/>
    <col min="39" max="39" width="20.6328125" style="1" customWidth="1"/>
    <col min="40" max="40" width="24.08984375" style="1" customWidth="1"/>
    <col min="41" max="41" width="34.7265625" style="1" customWidth="1"/>
    <col min="42" max="42" width="55.453125" style="1" customWidth="1"/>
    <col min="43" max="43" width="44.54296875" style="1" customWidth="1"/>
    <col min="44" max="44" width="6.90625" style="1" customWidth="1"/>
    <col min="45" max="45" width="15.08984375" style="1" customWidth="1"/>
    <col min="46" max="46" width="6.26953125" style="1" customWidth="1"/>
    <col min="47" max="47" width="22" style="1" customWidth="1"/>
    <col min="48" max="48" width="11.26953125" style="1" customWidth="1"/>
    <col min="49" max="50" width="36.26953125" style="1" customWidth="1"/>
    <col min="51" max="51" width="13.90625" style="1" customWidth="1"/>
    <col min="52" max="52" width="17.6328125" style="2" customWidth="1"/>
    <col min="53" max="53" width="11.26953125" style="1" customWidth="1"/>
    <col min="54" max="55" width="25.453125" style="2" customWidth="1"/>
    <col min="56" max="56" width="15.36328125" style="1" customWidth="1"/>
    <col min="57" max="57" width="19.08984375" style="1" customWidth="1"/>
    <col min="58" max="58" width="9.453125" style="1" customWidth="1"/>
    <col min="59" max="59" width="14.36328125" style="1" customWidth="1"/>
    <col min="60" max="60" width="20.90625" style="1" customWidth="1"/>
    <col min="61" max="61" width="21.54296875" style="1" customWidth="1"/>
    <col min="62" max="62" width="25" style="1" customWidth="1"/>
    <col min="63" max="63" width="27.36328125" style="1" customWidth="1"/>
    <col min="64" max="64" width="15.81640625" style="1" customWidth="1"/>
    <col min="65" max="65" width="21.81640625" style="1" customWidth="1"/>
    <col min="66" max="66" width="20.6328125" style="1" customWidth="1"/>
    <col min="67" max="67" width="10.54296875" style="1" customWidth="1"/>
    <col min="68" max="69" width="19.1796875" style="1" customWidth="1"/>
    <col min="70" max="70" width="13.90625" customWidth="1"/>
    <col min="71" max="71" width="17.6328125" customWidth="1"/>
    <col min="72" max="72" width="35.6328125" customWidth="1"/>
    <col min="73" max="73" width="31.26953125" customWidth="1"/>
    <col min="74" max="74" width="29" customWidth="1"/>
  </cols>
  <sheetData>
    <row r="1" ht="14.5" customHeight="1" spans="1:74" s="3" customFormat="1" x14ac:dyDescent="0.25" outlineLevel="1" collapsed="1">
      <c r="A1" s="2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4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9</v>
      </c>
      <c r="R1" s="5" t="s">
        <v>15</v>
      </c>
      <c r="S1" s="5" t="s">
        <v>16</v>
      </c>
      <c r="T1" s="5" t="s">
        <v>9</v>
      </c>
      <c r="U1" s="4" t="s">
        <v>17</v>
      </c>
      <c r="V1" s="5" t="s">
        <v>18</v>
      </c>
      <c r="W1" s="8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4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4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9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9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4</v>
      </c>
      <c r="BP1" s="5" t="s">
        <v>63</v>
      </c>
      <c r="BQ1" s="9" t="s">
        <v>64</v>
      </c>
      <c r="BR1" s="5" t="s">
        <v>65</v>
      </c>
      <c r="BS1" s="5" t="s">
        <v>66</v>
      </c>
      <c r="BT1" s="4" t="s">
        <v>67</v>
      </c>
      <c r="BU1" s="4" t="s">
        <v>68</v>
      </c>
      <c r="BV1" s="9" t="s">
        <v>69</v>
      </c>
    </row>
    <row r="2" ht="15.65" customHeight="1" spans="1:74" x14ac:dyDescent="0.25">
      <c r="A2" s="1" t="s">
        <v>70</v>
      </c>
      <c r="B2" s="10" t="s">
        <v>71</v>
      </c>
      <c r="C2" s="11" t="s">
        <v>72</v>
      </c>
      <c r="D2" s="12" t="s">
        <v>73</v>
      </c>
      <c r="E2" s="13" t="s">
        <v>74</v>
      </c>
      <c r="F2" s="14" t="s">
        <v>75</v>
      </c>
      <c r="G2" s="14" t="s">
        <v>76</v>
      </c>
      <c r="H2" s="15" t="s">
        <v>77</v>
      </c>
      <c r="I2" s="16" t="s">
        <v>78</v>
      </c>
      <c r="J2" s="16" t="s">
        <v>79</v>
      </c>
      <c r="K2" s="17">
        <f t="shared" ref="K2:K3" si="0">TODAY()-7</f>
        <v>45776</v>
      </c>
      <c r="L2" s="13" t="s">
        <v>74</v>
      </c>
      <c r="M2" s="18" t="s">
        <v>80</v>
      </c>
      <c r="N2" s="18" t="s">
        <v>81</v>
      </c>
      <c r="O2" s="19" t="s">
        <v>81</v>
      </c>
      <c r="P2" s="16">
        <v>1542</v>
      </c>
      <c r="Q2" s="16" t="s">
        <v>79</v>
      </c>
      <c r="R2" s="20" t="s">
        <v>82</v>
      </c>
      <c r="S2" s="21" t="s">
        <v>83</v>
      </c>
      <c r="T2" s="16" t="s">
        <v>79</v>
      </c>
      <c r="U2" s="22">
        <f t="shared" ref="U2:U3" si="1">TODAY()-31</f>
        <v>45752</v>
      </c>
      <c r="V2" s="16" t="s">
        <v>84</v>
      </c>
      <c r="W2" s="23" t="s">
        <v>85</v>
      </c>
      <c r="X2" s="24" t="s">
        <v>86</v>
      </c>
      <c r="Y2" s="24" t="s">
        <v>87</v>
      </c>
      <c r="Z2" s="24" t="s">
        <v>88</v>
      </c>
      <c r="AA2" s="25">
        <v>795</v>
      </c>
      <c r="AB2" s="25" t="s">
        <v>89</v>
      </c>
      <c r="AC2" s="26">
        <v>40</v>
      </c>
      <c r="AD2" s="27" t="s">
        <v>90</v>
      </c>
      <c r="AE2" s="19" t="s">
        <v>91</v>
      </c>
      <c r="AF2" s="28" t="s">
        <v>90</v>
      </c>
      <c r="AG2" s="16" t="s">
        <v>92</v>
      </c>
      <c r="AH2" s="16" t="s">
        <v>93</v>
      </c>
      <c r="AI2" s="16" t="s">
        <v>90</v>
      </c>
      <c r="AJ2" s="17">
        <f t="shared" ref="AJ2:AL3" si="2">TODAY()-31</f>
        <v>45752</v>
      </c>
      <c r="AK2" s="17">
        <f t="shared" si="2"/>
        <v>45752</v>
      </c>
      <c r="AL2" s="17">
        <f t="shared" si="2"/>
        <v>45752</v>
      </c>
      <c r="AM2" s="22">
        <f t="shared" ref="AM2:AM3" si="3">AF2</f>
        <v>NaN</v>
      </c>
      <c r="AN2" s="16">
        <v>92</v>
      </c>
      <c r="AO2" s="24" t="s">
        <v>94</v>
      </c>
      <c r="AP2" s="24" t="s">
        <v>95</v>
      </c>
      <c r="AQ2" s="24" t="s">
        <v>96</v>
      </c>
      <c r="AR2" s="19" t="s">
        <v>97</v>
      </c>
      <c r="AS2" s="13" t="s">
        <v>90</v>
      </c>
      <c r="AT2" s="13" t="s">
        <v>90</v>
      </c>
      <c r="AU2" s="17">
        <f t="shared" ref="AU2:AU3" si="4">TODAY()+7</f>
        <v>45790</v>
      </c>
      <c r="AV2" s="13" t="s">
        <v>74</v>
      </c>
      <c r="AW2" s="29" t="s">
        <v>98</v>
      </c>
      <c r="AX2" s="30">
        <f t="array" ref="AX2:AX3">_xlfn.RANDARRAY(2,1,1023456789000,9999999999999,TRUE)</f>
        <v>1201571380892</v>
      </c>
      <c r="AY2" s="17" t="s">
        <v>99</v>
      </c>
      <c r="AZ2" s="17" t="s">
        <v>100</v>
      </c>
      <c r="BA2" s="13" t="s">
        <v>74</v>
      </c>
      <c r="BB2" s="29" t="s">
        <v>101</v>
      </c>
      <c r="BC2" s="30">
        <f t="array" ref="BC2:BC3">_xlfn.RANDARRAY(2,1,12345678,99999999,TRUE)</f>
        <v>40580357</v>
      </c>
      <c r="BD2" s="17" t="s">
        <v>99</v>
      </c>
      <c r="BE2" s="17" t="s">
        <v>102</v>
      </c>
      <c r="BF2" s="19" t="s">
        <v>103</v>
      </c>
      <c r="BG2" s="17" t="s">
        <v>99</v>
      </c>
      <c r="BH2" s="13" t="s">
        <v>104</v>
      </c>
      <c r="BI2" s="13" t="s">
        <v>74</v>
      </c>
      <c r="BJ2" s="13" t="s">
        <v>105</v>
      </c>
      <c r="BK2" s="31" t="s">
        <v>90</v>
      </c>
      <c r="BL2" s="13" t="s">
        <v>106</v>
      </c>
      <c r="BM2" s="32" t="s">
        <v>107</v>
      </c>
      <c r="BN2" s="13" t="s">
        <v>108</v>
      </c>
      <c r="BO2" s="13" t="s">
        <v>74</v>
      </c>
      <c r="BP2" s="13" t="s">
        <v>109</v>
      </c>
      <c r="BQ2" s="13">
        <f t="array" ref="BQ2:BQ3">_xlfn.RANDARRAY(2,1,12345,99999,TRUE)</f>
        <v>28305</v>
      </c>
      <c r="BR2" s="17">
        <v>44562</v>
      </c>
      <c r="BS2" s="17">
        <v>47119</v>
      </c>
      <c r="BT2" s="22">
        <v>44562</v>
      </c>
      <c r="BU2" s="22">
        <f t="shared" ref="BU2:BU3" si="5">TODAY()+365</f>
        <v>46148</v>
      </c>
      <c r="BV2" s="16" t="s">
        <v>110</v>
      </c>
    </row>
    <row r="3" ht="15.65" customHeight="1" spans="1:74" x14ac:dyDescent="0.25">
      <c r="A3" s="1" t="s">
        <v>111</v>
      </c>
      <c r="B3" s="1" t="s">
        <v>112</v>
      </c>
      <c r="C3" s="11" t="s">
        <v>72</v>
      </c>
      <c r="D3" s="12" t="s">
        <v>113</v>
      </c>
      <c r="E3" s="13" t="s">
        <v>74</v>
      </c>
      <c r="F3" s="14" t="s">
        <v>114</v>
      </c>
      <c r="G3" s="14" t="s">
        <v>115</v>
      </c>
      <c r="H3" s="15" t="s">
        <v>77</v>
      </c>
      <c r="I3" s="16" t="s">
        <v>78</v>
      </c>
      <c r="J3" s="16" t="s">
        <v>79</v>
      </c>
      <c r="K3" s="17">
        <f t="shared" si="0"/>
        <v>45776</v>
      </c>
      <c r="L3" s="13" t="s">
        <v>74</v>
      </c>
      <c r="M3" s="18" t="s">
        <v>80</v>
      </c>
      <c r="N3" s="18" t="s">
        <v>81</v>
      </c>
      <c r="O3" s="19" t="s">
        <v>81</v>
      </c>
      <c r="P3" s="16">
        <v>1542</v>
      </c>
      <c r="Q3" s="16" t="s">
        <v>79</v>
      </c>
      <c r="R3" s="20" t="s">
        <v>82</v>
      </c>
      <c r="S3" s="21" t="s">
        <v>83</v>
      </c>
      <c r="T3" s="16" t="s">
        <v>79</v>
      </c>
      <c r="U3" s="22">
        <f t="shared" si="1"/>
        <v>45752</v>
      </c>
      <c r="V3" s="16" t="s">
        <v>84</v>
      </c>
      <c r="W3" s="23" t="s">
        <v>116</v>
      </c>
      <c r="X3" s="24" t="s">
        <v>86</v>
      </c>
      <c r="Y3" s="24" t="s">
        <v>117</v>
      </c>
      <c r="Z3" s="24" t="s">
        <v>88</v>
      </c>
      <c r="AA3" s="25">
        <v>795</v>
      </c>
      <c r="AB3" s="25" t="s">
        <v>89</v>
      </c>
      <c r="AC3" s="26">
        <v>40</v>
      </c>
      <c r="AD3" s="27" t="s">
        <v>90</v>
      </c>
      <c r="AE3" s="19" t="s">
        <v>91</v>
      </c>
      <c r="AF3" s="28" t="s">
        <v>90</v>
      </c>
      <c r="AG3" s="16" t="s">
        <v>92</v>
      </c>
      <c r="AH3" s="16" t="s">
        <v>93</v>
      </c>
      <c r="AI3" s="16" t="s">
        <v>90</v>
      </c>
      <c r="AJ3" s="17">
        <f t="shared" si="2"/>
        <v>45752</v>
      </c>
      <c r="AK3" s="17">
        <f t="shared" si="2"/>
        <v>45752</v>
      </c>
      <c r="AL3" s="17">
        <f t="shared" si="2"/>
        <v>45752</v>
      </c>
      <c r="AM3" s="22">
        <f t="shared" si="3"/>
        <v>NaN</v>
      </c>
      <c r="AN3" s="16" t="s">
        <v>118</v>
      </c>
      <c r="AO3" s="24" t="s">
        <v>119</v>
      </c>
      <c r="AP3" s="24" t="s">
        <v>95</v>
      </c>
      <c r="AQ3" s="24" t="s">
        <v>96</v>
      </c>
      <c r="AR3" s="19" t="s">
        <v>97</v>
      </c>
      <c r="AS3" s="13" t="s">
        <v>90</v>
      </c>
      <c r="AT3" s="13" t="s">
        <v>90</v>
      </c>
      <c r="AU3" s="17">
        <f t="shared" si="4"/>
        <v>45790</v>
      </c>
      <c r="AV3" s="13" t="s">
        <v>74</v>
      </c>
      <c r="AW3" s="29" t="s">
        <v>98</v>
      </c>
      <c r="AX3" s="30">
        <v>3266911361957</v>
      </c>
      <c r="AY3" s="17" t="s">
        <v>99</v>
      </c>
      <c r="AZ3" s="17" t="s">
        <v>100</v>
      </c>
      <c r="BA3" s="13" t="s">
        <v>74</v>
      </c>
      <c r="BB3" s="29" t="s">
        <v>101</v>
      </c>
      <c r="BC3" s="30">
        <v>25989337</v>
      </c>
      <c r="BD3" s="17" t="s">
        <v>99</v>
      </c>
      <c r="BE3" s="17" t="s">
        <v>102</v>
      </c>
      <c r="BF3" s="19" t="s">
        <v>103</v>
      </c>
      <c r="BG3" s="17" t="s">
        <v>99</v>
      </c>
      <c r="BH3" s="13" t="s">
        <v>104</v>
      </c>
      <c r="BI3" s="13" t="s">
        <v>74</v>
      </c>
      <c r="BJ3" s="13" t="s">
        <v>105</v>
      </c>
      <c r="BK3" s="31" t="s">
        <v>90</v>
      </c>
      <c r="BL3" s="13" t="s">
        <v>106</v>
      </c>
      <c r="BM3" s="32" t="s">
        <v>107</v>
      </c>
      <c r="BN3" s="13" t="s">
        <v>108</v>
      </c>
      <c r="BO3" s="13" t="s">
        <v>74</v>
      </c>
      <c r="BP3" s="13" t="s">
        <v>109</v>
      </c>
      <c r="BQ3" s="13">
        <v>32281</v>
      </c>
      <c r="BR3" s="17">
        <v>44562</v>
      </c>
      <c r="BS3" s="17">
        <v>47119</v>
      </c>
      <c r="BT3" s="22">
        <v>44562</v>
      </c>
      <c r="BU3" s="22">
        <f t="shared" si="5"/>
        <v>46148</v>
      </c>
      <c r="BV3" s="16" t="s">
        <v>110</v>
      </c>
    </row>
  </sheetData>
  <dataValidations count="6">
    <dataValidation type="list" allowBlank="1" showInputMessage="1" showErrorMessage="1" sqref="AH2:AH3">
      <formula1>INDIRECT($E2)</formula1>
    </dataValidation>
    <dataValidation type="list" allowBlank="1" showInputMessage="1" showErrorMessage="1" sqref="BL2:BL3">
      <formula1>INDIRECT($E2)</formula1>
    </dataValidation>
    <dataValidation type="list" allowBlank="1" showInputMessage="1" showErrorMessage="1" sqref="J2:J3">
      <formula1>INDIRECT($E2)</formula1>
    </dataValidation>
    <dataValidation type="list" allowBlank="1" showInputMessage="1" showErrorMessage="1" sqref="Q2:Q3">
      <formula1>INDIRECT($E2)</formula1>
    </dataValidation>
    <dataValidation type="list" allowBlank="1" showInputMessage="1" showErrorMessage="1" sqref="T2:T3">
      <formula1>INDIRECT($E2)</formula1>
    </dataValidation>
    <dataValidation type="list" allowBlank="1" showInputMessage="1" showErrorMessage="1" sqref="V2:V3">
      <formula1>INDIRECT($E2)</formula1>
    </dataValidation>
  </dataValidations>
  <hyperlinks>
    <hyperlink ref="S2" r:id="rId1"/>
    <hyperlink ref="S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2025-05-06T04:06:52Z</dcterms:modified>
</cp:coreProperties>
</file>