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8_{B990B584-9DF0-48D1-B461-F957F0559B4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01" i="1" l="1"/>
  <c r="AL101" i="1"/>
  <c r="L101" i="1"/>
  <c r="AR100" i="1"/>
  <c r="AL100" i="1"/>
  <c r="AK100" i="1"/>
  <c r="L100" i="1"/>
  <c r="AM100" i="1" s="1"/>
  <c r="AR99" i="1"/>
  <c r="AL99" i="1"/>
  <c r="L99" i="1"/>
  <c r="AR98" i="1"/>
  <c r="AL98" i="1"/>
  <c r="AK98" i="1"/>
  <c r="L98" i="1"/>
  <c r="AM98" i="1" s="1"/>
  <c r="AR97" i="1"/>
  <c r="AL97" i="1"/>
  <c r="L97" i="1"/>
  <c r="AR96" i="1"/>
  <c r="AL96" i="1"/>
  <c r="AK96" i="1"/>
  <c r="L96" i="1"/>
  <c r="AM96" i="1" s="1"/>
  <c r="AR95" i="1"/>
  <c r="AL95" i="1"/>
  <c r="L95" i="1"/>
  <c r="AR94" i="1"/>
  <c r="AL94" i="1"/>
  <c r="AK94" i="1"/>
  <c r="L94" i="1"/>
  <c r="AM94" i="1" s="1"/>
  <c r="AR93" i="1"/>
  <c r="AL93" i="1"/>
  <c r="L93" i="1"/>
  <c r="AR92" i="1"/>
  <c r="AL92" i="1"/>
  <c r="AK92" i="1"/>
  <c r="L92" i="1"/>
  <c r="AM92" i="1" s="1"/>
  <c r="AR91" i="1"/>
  <c r="AL91" i="1"/>
  <c r="L91" i="1"/>
  <c r="AR90" i="1"/>
  <c r="AL90" i="1"/>
  <c r="AK90" i="1"/>
  <c r="L90" i="1"/>
  <c r="AM90" i="1" s="1"/>
  <c r="AR89" i="1"/>
  <c r="AL89" i="1"/>
  <c r="L89" i="1"/>
  <c r="AR88" i="1"/>
  <c r="AM88" i="1"/>
  <c r="AL88" i="1"/>
  <c r="AK88" i="1"/>
  <c r="L88" i="1"/>
  <c r="AN88" i="1" s="1"/>
  <c r="AR87" i="1"/>
  <c r="AL87" i="1"/>
  <c r="L87" i="1"/>
  <c r="AR86" i="1"/>
  <c r="AL86" i="1"/>
  <c r="AK86" i="1"/>
  <c r="L86" i="1"/>
  <c r="AM86" i="1" s="1"/>
  <c r="AR85" i="1"/>
  <c r="AL85" i="1"/>
  <c r="L85" i="1"/>
  <c r="AR84" i="1"/>
  <c r="AL84" i="1"/>
  <c r="AK84" i="1"/>
  <c r="L84" i="1"/>
  <c r="AM84" i="1" s="1"/>
  <c r="AR83" i="1"/>
  <c r="AL83" i="1"/>
  <c r="L83" i="1"/>
  <c r="AR82" i="1"/>
  <c r="AL82" i="1"/>
  <c r="AK82" i="1"/>
  <c r="L82" i="1"/>
  <c r="AM82" i="1" s="1"/>
  <c r="AR81" i="1"/>
  <c r="AL81" i="1"/>
  <c r="L81" i="1"/>
  <c r="AR80" i="1"/>
  <c r="AL80" i="1"/>
  <c r="AK80" i="1"/>
  <c r="L80" i="1"/>
  <c r="AM80" i="1" s="1"/>
  <c r="AR79" i="1"/>
  <c r="AL79" i="1"/>
  <c r="L79" i="1"/>
  <c r="AR78" i="1"/>
  <c r="AL78" i="1"/>
  <c r="AK78" i="1"/>
  <c r="L78" i="1"/>
  <c r="AM78" i="1" s="1"/>
  <c r="AR77" i="1"/>
  <c r="AL77" i="1"/>
  <c r="L77" i="1"/>
  <c r="AR76" i="1"/>
  <c r="AL76" i="1"/>
  <c r="AK76" i="1"/>
  <c r="L76" i="1"/>
  <c r="AM76" i="1" s="1"/>
  <c r="AR75" i="1"/>
  <c r="AN75" i="1"/>
  <c r="AL75" i="1"/>
  <c r="L75" i="1"/>
  <c r="AR74" i="1"/>
  <c r="AL74" i="1"/>
  <c r="AK74" i="1"/>
  <c r="L74" i="1"/>
  <c r="AM74" i="1" s="1"/>
  <c r="AR73" i="1"/>
  <c r="AN73" i="1"/>
  <c r="AL73" i="1"/>
  <c r="L73" i="1"/>
  <c r="AR72" i="1"/>
  <c r="AL72" i="1"/>
  <c r="AK72" i="1"/>
  <c r="L72" i="1"/>
  <c r="AM72" i="1" s="1"/>
  <c r="AR71" i="1"/>
  <c r="AN71" i="1"/>
  <c r="AL71" i="1"/>
  <c r="L71" i="1"/>
  <c r="AR70" i="1"/>
  <c r="AL70" i="1"/>
  <c r="AK70" i="1"/>
  <c r="L70" i="1"/>
  <c r="AM70" i="1" s="1"/>
  <c r="AR69" i="1"/>
  <c r="AN69" i="1"/>
  <c r="AL69" i="1"/>
  <c r="L69" i="1"/>
  <c r="AR68" i="1"/>
  <c r="AL68" i="1"/>
  <c r="AK68" i="1"/>
  <c r="L68" i="1"/>
  <c r="AM68" i="1" s="1"/>
  <c r="AR67" i="1"/>
  <c r="AN67" i="1"/>
  <c r="AL67" i="1"/>
  <c r="L67" i="1"/>
  <c r="AR66" i="1"/>
  <c r="AL66" i="1"/>
  <c r="AK66" i="1"/>
  <c r="L66" i="1"/>
  <c r="AM66" i="1" s="1"/>
  <c r="AR65" i="1"/>
  <c r="AN65" i="1"/>
  <c r="AL65" i="1"/>
  <c r="L65" i="1"/>
  <c r="AR64" i="1"/>
  <c r="AL64" i="1"/>
  <c r="AK64" i="1"/>
  <c r="L64" i="1"/>
  <c r="AM64" i="1" s="1"/>
  <c r="AR63" i="1"/>
  <c r="AN63" i="1"/>
  <c r="AL63" i="1"/>
  <c r="L63" i="1"/>
  <c r="AR62" i="1"/>
  <c r="AL62" i="1"/>
  <c r="AK62" i="1"/>
  <c r="L62" i="1"/>
  <c r="AM62" i="1" s="1"/>
  <c r="AR61" i="1"/>
  <c r="AN61" i="1"/>
  <c r="AL61" i="1"/>
  <c r="L61" i="1"/>
  <c r="AR60" i="1"/>
  <c r="AL60" i="1"/>
  <c r="AK60" i="1"/>
  <c r="L60" i="1"/>
  <c r="AM60" i="1" s="1"/>
  <c r="AR59" i="1"/>
  <c r="AN59" i="1"/>
  <c r="AL59" i="1"/>
  <c r="L59" i="1"/>
  <c r="AR58" i="1"/>
  <c r="AL58" i="1"/>
  <c r="AK58" i="1"/>
  <c r="L58" i="1"/>
  <c r="AM58" i="1" s="1"/>
  <c r="AR57" i="1"/>
  <c r="AN57" i="1"/>
  <c r="AL57" i="1"/>
  <c r="L57" i="1"/>
  <c r="AR56" i="1"/>
  <c r="AL56" i="1"/>
  <c r="AK56" i="1"/>
  <c r="L56" i="1"/>
  <c r="AM56" i="1" s="1"/>
  <c r="AR55" i="1"/>
  <c r="AN55" i="1"/>
  <c r="AL55" i="1"/>
  <c r="L55" i="1"/>
  <c r="AR54" i="1"/>
  <c r="AL54" i="1"/>
  <c r="AK54" i="1"/>
  <c r="L54" i="1"/>
  <c r="AM54" i="1" s="1"/>
  <c r="AR53" i="1"/>
  <c r="AN53" i="1"/>
  <c r="AL53" i="1"/>
  <c r="L53" i="1"/>
  <c r="AR52" i="1"/>
  <c r="AL52" i="1"/>
  <c r="AK52" i="1"/>
  <c r="L52" i="1"/>
  <c r="AM52" i="1" s="1"/>
  <c r="AR51" i="1"/>
  <c r="AN51" i="1"/>
  <c r="AL51" i="1"/>
  <c r="L51" i="1"/>
  <c r="AR50" i="1"/>
  <c r="AL50" i="1"/>
  <c r="AK50" i="1"/>
  <c r="L50" i="1"/>
  <c r="AM50" i="1" s="1"/>
  <c r="AR49" i="1"/>
  <c r="AN49" i="1"/>
  <c r="AL49" i="1"/>
  <c r="L49" i="1"/>
  <c r="AR48" i="1"/>
  <c r="AM48" i="1"/>
  <c r="AL48" i="1"/>
  <c r="AK48" i="1"/>
  <c r="L48" i="1"/>
  <c r="AN48" i="1" s="1"/>
  <c r="AR47" i="1"/>
  <c r="AN47" i="1"/>
  <c r="AL47" i="1"/>
  <c r="L47" i="1"/>
  <c r="AR46" i="1"/>
  <c r="AL46" i="1"/>
  <c r="AK46" i="1"/>
  <c r="L46" i="1"/>
  <c r="AM46" i="1" s="1"/>
  <c r="AR45" i="1"/>
  <c r="AN45" i="1"/>
  <c r="AL45" i="1"/>
  <c r="L45" i="1"/>
  <c r="AR44" i="1"/>
  <c r="AL44" i="1"/>
  <c r="AK44" i="1"/>
  <c r="L44" i="1"/>
  <c r="AM44" i="1" s="1"/>
  <c r="AR43" i="1"/>
  <c r="AN43" i="1"/>
  <c r="AL43" i="1"/>
  <c r="L43" i="1"/>
  <c r="AR42" i="1"/>
  <c r="AL42" i="1"/>
  <c r="AK42" i="1"/>
  <c r="L42" i="1"/>
  <c r="AM42" i="1" s="1"/>
  <c r="AR41" i="1"/>
  <c r="AL41" i="1"/>
  <c r="L41" i="1"/>
  <c r="AK41" i="1" s="1"/>
  <c r="AR40" i="1"/>
  <c r="AL40" i="1"/>
  <c r="AK40" i="1"/>
  <c r="L40" i="1"/>
  <c r="AM40" i="1" s="1"/>
  <c r="AR39" i="1"/>
  <c r="AL39" i="1"/>
  <c r="L39" i="1"/>
  <c r="AK39" i="1" s="1"/>
  <c r="AR38" i="1"/>
  <c r="AL38" i="1"/>
  <c r="AK38" i="1"/>
  <c r="L38" i="1"/>
  <c r="AM38" i="1" s="1"/>
  <c r="AR37" i="1"/>
  <c r="AM37" i="1"/>
  <c r="AL37" i="1"/>
  <c r="L37" i="1"/>
  <c r="AK37" i="1" s="1"/>
  <c r="AR36" i="1"/>
  <c r="AL36" i="1"/>
  <c r="AK36" i="1"/>
  <c r="L36" i="1"/>
  <c r="AM36" i="1" s="1"/>
  <c r="AR35" i="1"/>
  <c r="AN35" i="1"/>
  <c r="AM35" i="1"/>
  <c r="AL35" i="1"/>
  <c r="L35" i="1"/>
  <c r="AK35" i="1" s="1"/>
  <c r="AR34" i="1"/>
  <c r="AL34" i="1"/>
  <c r="AK34" i="1"/>
  <c r="L34" i="1"/>
  <c r="AM34" i="1" s="1"/>
  <c r="AR33" i="1"/>
  <c r="AL33" i="1"/>
  <c r="L33" i="1"/>
  <c r="AK33" i="1" s="1"/>
  <c r="AR32" i="1"/>
  <c r="AL32" i="1"/>
  <c r="AK32" i="1"/>
  <c r="L32" i="1"/>
  <c r="AM32" i="1" s="1"/>
  <c r="AR31" i="1"/>
  <c r="AL31" i="1"/>
  <c r="L31" i="1"/>
  <c r="AK31" i="1" s="1"/>
  <c r="AR30" i="1"/>
  <c r="AL30" i="1"/>
  <c r="AK30" i="1"/>
  <c r="L30" i="1"/>
  <c r="AM30" i="1" s="1"/>
  <c r="AL29" i="1"/>
  <c r="X29" i="1"/>
  <c r="AR29" i="1" s="1"/>
  <c r="AR28" i="1"/>
  <c r="AM28" i="1"/>
  <c r="AL28" i="1"/>
  <c r="AK28" i="1"/>
  <c r="L28" i="1"/>
  <c r="AN28" i="1" s="1"/>
  <c r="AR27" i="1"/>
  <c r="AN27" i="1"/>
  <c r="AL27" i="1"/>
  <c r="L27" i="1"/>
  <c r="AM27" i="1" s="1"/>
  <c r="AR26" i="1"/>
  <c r="AM26" i="1"/>
  <c r="AL26" i="1"/>
  <c r="AK26" i="1"/>
  <c r="L26" i="1"/>
  <c r="AN26" i="1" s="1"/>
  <c r="AR25" i="1"/>
  <c r="AL25" i="1"/>
  <c r="AK25" i="1"/>
  <c r="L25" i="1"/>
  <c r="AM25" i="1" s="1"/>
  <c r="AR24" i="1"/>
  <c r="AM24" i="1"/>
  <c r="AL24" i="1"/>
  <c r="AK24" i="1"/>
  <c r="L24" i="1"/>
  <c r="AN24" i="1" s="1"/>
  <c r="AR23" i="1"/>
  <c r="AN23" i="1"/>
  <c r="AL23" i="1"/>
  <c r="L23" i="1"/>
  <c r="AM23" i="1" s="1"/>
  <c r="AR22" i="1"/>
  <c r="AM22" i="1"/>
  <c r="AL22" i="1"/>
  <c r="AK22" i="1"/>
  <c r="L22" i="1"/>
  <c r="AN22" i="1" s="1"/>
  <c r="AL21" i="1"/>
  <c r="AK21" i="1"/>
  <c r="X21" i="1"/>
  <c r="L21" i="1" s="1"/>
  <c r="AM21" i="1" s="1"/>
  <c r="AR20" i="1"/>
  <c r="AN20" i="1"/>
  <c r="AM20" i="1"/>
  <c r="AL20" i="1"/>
  <c r="L20" i="1"/>
  <c r="AK20" i="1" s="1"/>
  <c r="AR19" i="1"/>
  <c r="AL19" i="1"/>
  <c r="AK19" i="1"/>
  <c r="L19" i="1"/>
  <c r="AM19" i="1" s="1"/>
  <c r="AR18" i="1"/>
  <c r="AN18" i="1"/>
  <c r="AL18" i="1"/>
  <c r="L18" i="1"/>
  <c r="AK18" i="1" s="1"/>
  <c r="AR17" i="1"/>
  <c r="AL17" i="1"/>
  <c r="X17" i="1"/>
  <c r="L17" i="1" s="1"/>
  <c r="AR16" i="1"/>
  <c r="AL16" i="1"/>
  <c r="L16" i="1"/>
  <c r="AM16" i="1" s="1"/>
  <c r="AR15" i="1"/>
  <c r="AM15" i="1"/>
  <c r="AL15" i="1"/>
  <c r="AK15" i="1"/>
  <c r="L15" i="1"/>
  <c r="AN15" i="1" s="1"/>
  <c r="AR14" i="1"/>
  <c r="AN14" i="1"/>
  <c r="AL14" i="1"/>
  <c r="AK14" i="1"/>
  <c r="L14" i="1"/>
  <c r="AM14" i="1" s="1"/>
  <c r="AR13" i="1"/>
  <c r="AL13" i="1"/>
  <c r="X13" i="1"/>
  <c r="L13" i="1"/>
  <c r="AN13" i="1" s="1"/>
  <c r="AR12" i="1"/>
  <c r="AL12" i="1"/>
  <c r="AK12" i="1"/>
  <c r="L12" i="1"/>
  <c r="AM12" i="1" s="1"/>
  <c r="AR11" i="1"/>
  <c r="AN11" i="1"/>
  <c r="AM11" i="1"/>
  <c r="AL11" i="1"/>
  <c r="L11" i="1"/>
  <c r="AK11" i="1" s="1"/>
  <c r="AR10" i="1"/>
  <c r="AL10" i="1"/>
  <c r="L10" i="1"/>
  <c r="AK10" i="1" s="1"/>
  <c r="AR9" i="1"/>
  <c r="AL9" i="1"/>
  <c r="X9" i="1"/>
  <c r="L9" i="1"/>
  <c r="AN9" i="1" s="1"/>
  <c r="AR8" i="1"/>
  <c r="AL8" i="1"/>
  <c r="AK8" i="1"/>
  <c r="L8" i="1"/>
  <c r="AM8" i="1" s="1"/>
  <c r="AR7" i="1"/>
  <c r="AM7" i="1"/>
  <c r="AL7" i="1"/>
  <c r="L7" i="1"/>
  <c r="AK7" i="1" s="1"/>
  <c r="AR6" i="1"/>
  <c r="AL6" i="1"/>
  <c r="AK6" i="1"/>
  <c r="L6" i="1"/>
  <c r="AM6" i="1" s="1"/>
  <c r="AL5" i="1"/>
  <c r="X5" i="1"/>
  <c r="AR5" i="1" s="1"/>
  <c r="L5" i="1"/>
  <c r="AK5" i="1" s="1"/>
  <c r="AR4" i="1"/>
  <c r="AM4" i="1"/>
  <c r="AL4" i="1"/>
  <c r="AK4" i="1"/>
  <c r="L4" i="1"/>
  <c r="AN4" i="1" s="1"/>
  <c r="AR3" i="1"/>
  <c r="AL3" i="1"/>
  <c r="L3" i="1"/>
  <c r="AK3" i="1" s="1"/>
  <c r="AR2" i="1"/>
  <c r="AM2" i="1"/>
  <c r="AL2" i="1"/>
  <c r="AK2" i="1"/>
  <c r="L2" i="1"/>
  <c r="AN2" i="1" s="1"/>
  <c r="AM3" i="1" l="1"/>
  <c r="AN6" i="1"/>
  <c r="AN8" i="1"/>
  <c r="AK9" i="1"/>
  <c r="AM10" i="1"/>
  <c r="AN16" i="1"/>
  <c r="AM18" i="1"/>
  <c r="AR21" i="1"/>
  <c r="L29" i="1"/>
  <c r="AN31" i="1"/>
  <c r="AM33" i="1"/>
  <c r="AN39" i="1"/>
  <c r="AM41" i="1"/>
  <c r="AK49" i="1"/>
  <c r="AM49" i="1"/>
  <c r="AK51" i="1"/>
  <c r="AM51" i="1"/>
  <c r="AK53" i="1"/>
  <c r="AM53" i="1"/>
  <c r="AK55" i="1"/>
  <c r="AM55" i="1"/>
  <c r="AK57" i="1"/>
  <c r="AM57" i="1"/>
  <c r="AK59" i="1"/>
  <c r="AM59" i="1"/>
  <c r="AK61" i="1"/>
  <c r="AM61" i="1"/>
  <c r="AK63" i="1"/>
  <c r="AM63" i="1"/>
  <c r="AK65" i="1"/>
  <c r="AM65" i="1"/>
  <c r="AK67" i="1"/>
  <c r="AM67" i="1"/>
  <c r="AK69" i="1"/>
  <c r="AM69" i="1"/>
  <c r="AK71" i="1"/>
  <c r="AM71" i="1"/>
  <c r="AK73" i="1"/>
  <c r="AM73" i="1"/>
  <c r="AK75" i="1"/>
  <c r="AM75" i="1"/>
  <c r="AK77" i="1"/>
  <c r="AM77" i="1"/>
  <c r="AK79" i="1"/>
  <c r="AM79" i="1"/>
  <c r="AK81" i="1"/>
  <c r="AM81" i="1"/>
  <c r="AK83" i="1"/>
  <c r="AM83" i="1"/>
  <c r="AK85" i="1"/>
  <c r="AM85" i="1"/>
  <c r="AK87" i="1"/>
  <c r="AM87" i="1"/>
  <c r="AN10" i="1"/>
  <c r="AM13" i="1"/>
  <c r="AN33" i="1"/>
  <c r="AN41" i="1"/>
  <c r="AK89" i="1"/>
  <c r="AM89" i="1"/>
  <c r="AK91" i="1"/>
  <c r="AM91" i="1"/>
  <c r="AK93" i="1"/>
  <c r="AM93" i="1"/>
  <c r="AK95" i="1"/>
  <c r="AM95" i="1"/>
  <c r="AK97" i="1"/>
  <c r="AM97" i="1"/>
  <c r="AK99" i="1"/>
  <c r="AM99" i="1"/>
  <c r="AK101" i="1"/>
  <c r="AN101" i="1"/>
  <c r="AM101" i="1"/>
  <c r="AN5" i="1"/>
  <c r="AM17" i="1"/>
  <c r="AN17" i="1"/>
  <c r="AN77" i="1"/>
  <c r="AN79" i="1"/>
  <c r="AN81" i="1"/>
  <c r="AN83" i="1"/>
  <c r="AN85" i="1"/>
  <c r="AN87" i="1"/>
  <c r="AN3" i="1"/>
  <c r="AM5" i="1"/>
  <c r="AN7" i="1"/>
  <c r="AM9" i="1"/>
  <c r="AK16" i="1"/>
  <c r="AN12" i="1"/>
  <c r="AK13" i="1"/>
  <c r="AK17" i="1"/>
  <c r="AN21" i="1"/>
  <c r="AK23" i="1"/>
  <c r="AN25" i="1"/>
  <c r="AK27" i="1"/>
  <c r="AM31" i="1"/>
  <c r="AN37" i="1"/>
  <c r="AM39" i="1"/>
  <c r="AK43" i="1"/>
  <c r="AM43" i="1"/>
  <c r="AK45" i="1"/>
  <c r="AM45" i="1"/>
  <c r="AK47" i="1"/>
  <c r="AM47" i="1"/>
  <c r="AN89" i="1"/>
  <c r="AN91" i="1"/>
  <c r="AN93" i="1"/>
  <c r="AN95" i="1"/>
  <c r="AN97" i="1"/>
  <c r="AN99" i="1"/>
  <c r="AN19" i="1"/>
  <c r="AN30" i="1"/>
  <c r="AN32" i="1"/>
  <c r="AN34" i="1"/>
  <c r="AN36" i="1"/>
  <c r="AN38" i="1"/>
  <c r="AN40" i="1"/>
  <c r="AN42" i="1"/>
  <c r="AN44" i="1"/>
  <c r="AN46" i="1"/>
  <c r="AN50" i="1"/>
  <c r="AN52" i="1"/>
  <c r="AN54" i="1"/>
  <c r="AN56" i="1"/>
  <c r="AN58" i="1"/>
  <c r="AN60" i="1"/>
  <c r="AN62" i="1"/>
  <c r="AN64" i="1"/>
  <c r="AN66" i="1"/>
  <c r="AN68" i="1"/>
  <c r="AN70" i="1"/>
  <c r="AN72" i="1"/>
  <c r="AN74" i="1"/>
  <c r="AN76" i="1"/>
  <c r="AN78" i="1"/>
  <c r="AN80" i="1"/>
  <c r="AN82" i="1"/>
  <c r="AN84" i="1"/>
  <c r="AN86" i="1"/>
  <c r="AN90" i="1"/>
  <c r="AN92" i="1"/>
  <c r="AN94" i="1"/>
  <c r="AN96" i="1"/>
  <c r="AN98" i="1"/>
  <c r="AN100" i="1"/>
  <c r="AK29" i="1" l="1"/>
  <c r="AM29" i="1"/>
  <c r="AN29" i="1"/>
</calcChain>
</file>

<file path=xl/sharedStrings.xml><?xml version="1.0" encoding="utf-8"?>
<sst xmlns="http://schemas.openxmlformats.org/spreadsheetml/2006/main" count="5571" uniqueCount="399">
  <si>
    <t>TestCaseIDs</t>
  </si>
  <si>
    <t>EmployeeID</t>
  </si>
  <si>
    <t>TestStatus</t>
  </si>
  <si>
    <t>Process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</si>
  <si>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</si>
  <si>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</si>
  <si>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</si>
  <si>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</si>
  <si>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</si>
  <si>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</si>
  <si>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</si>
  <si>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</si>
  <si>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</si>
  <si>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</si>
  <si>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</si>
  <si>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</si>
  <si>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</si>
  <si>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</si>
  <si>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</si>
  <si>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</si>
  <si>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</si>
  <si>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</si>
  <si>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</si>
  <si>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</si>
  <si>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</si>
  <si>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</si>
  <si>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</si>
  <si>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</si>
  <si>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</si>
  <si>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</si>
  <si>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</si>
  <si>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</si>
  <si>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</si>
  <si>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</si>
  <si>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</si>
  <si>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</si>
  <si>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</si>
  <si>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</si>
  <si>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</si>
  <si>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</si>
  <si>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</si>
  <si>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</si>
  <si>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</si>
  <si>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</si>
  <si>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</si>
  <si>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</si>
  <si>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</si>
  <si>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</si>
  <si>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</si>
  <si>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</si>
  <si>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</si>
  <si>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</si>
  <si>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</si>
  <si>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</si>
  <si>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</si>
  <si>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</si>
  <si>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</si>
  <si>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</si>
  <si>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</si>
  <si>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</si>
  <si>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</si>
  <si>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GivenName2</t>
  </si>
  <si>
    <t>FamilyName2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</si>
  <si>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</si>
  <si>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</si>
  <si>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</si>
  <si>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</si>
  <si>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</si>
  <si>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</si>
  <si>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Test_2</t>
  </si>
  <si>
    <t xml:space="preserve">Test failed for 'SMOneA CZETEMgmt' Employee:{10697298}TimeoutError: locator.click: Timeout 30000ms exceeded.
Call log:
  [2m- waiting for locator('text=Assign Pay Group for Hire: SMOneA CZETEMgmt')[22m
</t>
  </si>
  <si>
    <t>Failed</t>
  </si>
  <si>
    <t>Yes</t>
  </si>
  <si>
    <t>896 Store Management (Vuves Mubezy (10509258))</t>
  </si>
  <si>
    <t>Czechia</t>
  </si>
  <si>
    <t>SMOneA</t>
  </si>
  <si>
    <t>CZETEMgmt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</si>
  <si>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</si>
  <si>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</si>
  <si>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</si>
  <si>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</si>
  <si>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</si>
  <si>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</si>
  <si>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</si>
  <si>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</si>
  <si>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</si>
  <si>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</si>
  <si>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14503160</t>
  </si>
  <si>
    <t>Permanent</t>
  </si>
  <si>
    <t>Store Manager_NEW </t>
  </si>
  <si>
    <t>Full Time</t>
  </si>
  <si>
    <t>896 Brno</t>
  </si>
  <si>
    <t>Salary</t>
  </si>
  <si>
    <t>N/A</t>
  </si>
  <si>
    <t>Employment Agreement</t>
  </si>
  <si>
    <t>Active</t>
  </si>
  <si>
    <t>92 Retail Management</t>
  </si>
  <si>
    <t>251 Management Retail  </t>
  </si>
  <si>
    <t>Personal Number</t>
  </si>
  <si>
    <t>11/11/1999</t>
  </si>
  <si>
    <t>11/11/2055</t>
  </si>
  <si>
    <t>Citizen ID Number</t>
  </si>
  <si>
    <t>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</si>
  <si>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</si>
  <si>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</si>
  <si>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</si>
  <si>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</si>
  <si>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</si>
  <si>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</si>
  <si>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</si>
  <si>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</si>
  <si>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</si>
  <si>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</si>
  <si>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</si>
  <si>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Test_3</t>
  </si>
  <si>
    <t xml:space="preserve">Test failed for 'SMTwoB CZETEMgmt' Employee:{undefined}TimeoutError: locator.clear: Timeout 30000ms exceeded.
Call log:
  [2m- waiting for locator('//label[contains(.,\'End Employment Date\')]/parent::div/following-sibling::div/descendant::input[@data-automation-id=\'dateSectionDay-input\']')[22m
[2m  -   locator resolved to &lt;input min="1" max="31" value="" width="2ch" tabindex="…/&gt;[22m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</t>
  </si>
  <si>
    <t>SMTwoB</t>
  </si>
  <si>
    <t>Auto 77019082</t>
  </si>
  <si>
    <t>Fixed Term (Fixed Term)</t>
  </si>
  <si>
    <t>Test_4</t>
  </si>
  <si>
    <t xml:space="preserve">Test failed for 'SMThreeC CZETEMgmt' Employee:{10697299}TimeoutError: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element was detached from the DOM, retrying[22m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#40[22m
[2m  -   waiting 500ms[22m
</t>
  </si>
  <si>
    <t>SMThreeC</t>
  </si>
  <si>
    <t>771 272 784</t>
  </si>
  <si>
    <t>Auto 31410187</t>
  </si>
  <si>
    <t>Test_5</t>
  </si>
  <si>
    <t xml:space="preserve">Test failed for 'SMFourFutD CZETEMgmt' Employee:{}TimeoutError: locator.click: Timeout 30000ms exceeded.
Call log:
  [2m- waiting for getByLabel('Work Shift')[22m
</t>
  </si>
  <si>
    <t>SMFourFutD</t>
  </si>
  <si>
    <t>Auto 30518812</t>
  </si>
  <si>
    <t>Test_6</t>
  </si>
  <si>
    <t xml:space="preserve">Test failed for 'PCMOneE CZETEMgmt' Employee:{10697300}TimeoutError: locator.click: Timeout 30000ms exceeded.
Call log:
  [2m- waiting for locator('text=Assign Pay Group for Hire: PCMOneE CZETEMgmt')[22m
</t>
  </si>
  <si>
    <t>PCMOneE</t>
  </si>
  <si>
    <t>Auto 23560374</t>
  </si>
  <si>
    <t>In-Store P&amp;C Manager_NEW </t>
  </si>
  <si>
    <t>Test_7</t>
  </si>
  <si>
    <t xml:space="preserve">Test failed for 'PCMTwoF CZETEMgmt' Employee:{}TimeoutError: locator.clear: Timeout 30000ms exceeded.
Call log:
  [2m- waiting for locator('//label[contains(.,\'End Employment Date\')]/parent::div/following-sibling::div/descendant::input[@data-automation-id=\'dateSectionDay-input\']')[22m
[2m  -   locator resolved to &lt;input min="1" max="31" value="" width="2ch" tabindex="…/&gt;[22m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</t>
  </si>
  <si>
    <t>PCMTwoF</t>
  </si>
  <si>
    <t>Auto 94545112</t>
  </si>
  <si>
    <t>Test_8</t>
  </si>
  <si>
    <t xml:space="preserve">Test failed for 'PCMThreeG CZETEMgmt' Employee:{10697301}TimeoutError: locator.click: Timeout 30000ms exceeded.
Call log:
  [2m- waiting for locator('text=Assign Pay Group for Hire: PCMThreeG CZETEMgmt')[22m
</t>
  </si>
  <si>
    <t>PCMThreeG</t>
  </si>
  <si>
    <t>Auto 20810599</t>
  </si>
  <si>
    <t>Test_9</t>
  </si>
  <si>
    <t xml:space="preserve">Test failed for 'PCMFourFutH CZETEMgmt' Employee:{}TimeoutError: locator.click: Timeout 30000ms exceeded.
Call log:
  [2m- waiting for getByLabel('Work Shift')[22m
</t>
  </si>
  <si>
    <t>PCMFourFutH</t>
  </si>
  <si>
    <t>Auto 69181657</t>
  </si>
  <si>
    <t>Test_10</t>
  </si>
  <si>
    <t xml:space="preserve">Test failed for 'ASMOneI CZETEMgmt' Employee:{10697302}TimeoutError: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element was detached from the DOM, retrying[22m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#45[22m
[2m  -   waiting 500ms[22m
</t>
  </si>
  <si>
    <t>ASMOneI</t>
  </si>
  <si>
    <t>Auto 11582787</t>
  </si>
  <si>
    <t>Assistant Store Manager_NEW </t>
  </si>
  <si>
    <t>Test_11</t>
  </si>
  <si>
    <t xml:space="preserve">Test failed for 'ASMTwoJ CZETEMgmt' Employee:{}TimeoutError: locator.clear: Timeout 30000ms exceeded.
Call log:
  [2m- waiting for locator('//label[contains(.,\'End Employment Date\')]/parent::div/following-sibling::div/descendant::input[@data-automation-id=\'dateSectionDay-input\']')[22m
[2m  -   locator resolved to &lt;input min="1" max="31" value="" width="2ch" tabindex="…/&gt;[22m
[2m  -   fill("")[22m
[2m  - attempting fill action[22m
[2m  -   waiting for element to be visible, enabled and editable[22m
[2m  -   element is not visible[22m
[2m  - retrying fill action, attempt #1[22m
[2m  -   waiting for element to be visible, enabled and editable[22m
[2m  -   element is not visible[22m
[2m  - retrying fill action, attempt #2[22m
[2m  -   waiting 20ms[22m
[2m  -   waiting for element to be visible, enabled and editable[22m
[2m  -   element is not visible[22m
[2m  - retrying fill action, attempt #3[22m
[2m  -   waiting 100ms[22m
[2m  -   waiting for element to be visible, enabled and editable[22m
[2m  -   element is not visible[22m
[2m  - retrying fill action, attempt #4[22m
[2m  -   waiting 100ms[22m
[2m  -   waiting for element to be visible, enabled and editable[22m
[2m  -   element is not visible[22m
[2m  - retrying fill action, attempt #5[22m
[2m  -   waiting 500ms[22m
[2m  -   waiting for element to be visible, enabled and editable[22m
[2m  -   element is not visible[22m
[2m  - retrying fill action, attempt #6[22m
[2m  -   waiting 500ms[22m
[2m  -   waiting for element to be visible, enabled and editable[22m
[2m  -   element is not visible[22m
[2m  - retrying fill action, attempt #7[22m
[2m  -   waiting 500ms[22m
[2m  -   waiting for element to be visible, enabled and editable[22m
[2m  -   element is not visible[22m
[2m  - retrying fill action, attempt #8[22m
[2m  -   waiting 500ms[22m
[2m  -   waiting for element to be visible, enabled and editable[22m
[2m  -   element is not visible[22m
[2m  - retrying fill action, attempt #9[22m
[2m  -   waiting 500ms[22m
[2m  -   waiting for element to be visible, enabled and editable[22m
[2m  -   element is not visible[22m
[2m  - retrying fill action, attempt #10[22m
[2m  -   waiting 500ms[22m
[2m  -   waiting for element to be visible, enabled and editable[22m
[2m  -   element is not visible[22m
[2m  - retrying fill action, attempt #11[22m
[2m  -   waiting 500ms[22m
[2m  -   waiting for element to be visible, enabled and editable[22m
[2m  -   element is not visible[22m
[2m  - retrying fill action, attempt #12[22m
[2m  -   waiting 500ms[22m
[2m  -   waiting for element to be visible, enabled and editable[22m
[2m  -   element is not visible[22m
[2m  - retrying fill action, attempt #13[22m
[2m  -   waiting 500ms[22m
[2m  -   waiting for element to be visible, enabled and editable[22m
[2m  -   element is not visible[22m
[2m  - retrying fill action, attempt #14[22m
[2m  -   waiting 500ms[22m
[2m  -   waiting for element to be visible, enabled and editable[22m
[2m  -   element is not visible[22m
[2m  - retrying fill action, attempt #15[22m
[2m  -   waiting 500ms[22m
[2m  -   waiting for element to be visible, enabled and editable[22m
[2m  -   element is not visible[22m
[2m  - retrying fill action, attempt #16[22m
[2m  -   waiting 500ms[22m
[2m  -   waiting for element to be visible, enabled and editable[22m
[2m  -   element is not visible[22m
[2m  - retrying fill action, attempt #17[22m
[2m  -   waiting 500ms[22m
[2m  -   waiting for element to be visible, enabled and editable[22m
[2m  -   element is not visible[22m
[2m  - retrying fill action, attempt #18[22m
[2m  -   waiting 500ms[22m
[2m  -   waiting for element to be visible, enabled and editable[22m
[2m  -   element is not visible[22m
[2m  - retrying fill action, attempt #19[22m
[2m  -   waiting 500ms[22m
[2m  -   waiting for element to be visible, enabled and editable[22m
[2m  -   element is not visible[22m
[2m  - retrying fill action, attempt #20[22m
[2m  -   waiting 500ms[22m
[2m  -   waiting for element to be visible, enabled and editable[22m
[2m  -   element is not visible[22m
[2m  - retrying fill action, attempt #21[22m
[2m  -   waiting 500ms[22m
[2m  -   waiting for element to be visible, enabled and editable[22m
[2m  -   element is not visible[22m
[2m  - retrying fill action, attempt #22[22m
[2m  -   waiting 500ms[22m
[2m  -   waiting for element to be visible, enabled and editable[22m
[2m  -   element is not visible[22m
[2m  - retrying fill action, attempt #23[22m
[2m  -   waiting 500ms[22m
[2m  -   waiting for element to be visible, enabled and editable[22m
[2m  -   element is not visible[22m
[2m  - retrying fill action, attempt #24[22m
[2m  -   waiting 500ms[22m
[2m  -   waiting for element to be visible, enabled and editable[22m
[2m  -   element is not visible[22m
[2m  - retrying fill action, attempt #25[22m
[2m  -   waiting 500ms[22m
[2m  -   waiting for element to be visible, enabled and editable[22m
[2m  -   element is not visible[22m
[2m  - retrying fill action, attempt #26[22m
[2m  -   waiting 500ms[22m
[2m  -   waiting for element to be visible, enabled and editable[22m
[2m  -   element is not visible[22m
[2m  - retrying fill action, attempt #27[22m
[2m  -   waiting 500ms[22m
[2m  -   waiting for element to be visible, enabled and editable[22m
[2m  -   element is not visible[22m
[2m  - retrying fill action, attempt #28[22m
[2m  -   waiting 500ms[22m
[2m  -   waiting for element to be visible, enabled and editable[22m
[2m  -   element is not visible[22m
[2m  - retrying fill action, attempt #29[22m
[2m  -   waiting 500ms[22m
[2m  -   waiting for element to be visible, enabled and editable[22m
[2m  -   element is not visible[22m
[2m  - retrying fill action, attempt #30[22m
[2m  -   waiting 500ms[22m
[2m  -   waiting for element to be visible, enabled and editable[22m
[2m  -   element is not visible[22m
[2m  - retrying fill action, attempt #31[22m
[2m  -   waiting 500ms[22m
[2m  -   waiting for element to be visible, enabled and editable[22m
[2m  -   element is not visible[22m
[2m  - retrying fill action, attempt #32[22m
[2m  -   waiting 500ms[22m
[2m  -   waiting for element to be visible, enabled and editable[22m
[2m  -   element is not visible[22m
[2m  - retrying fill action, attempt #33[22m
[2m  -   waiting 500ms[22m
[2m  -   waiting for element to be visible, enabled and editable[22m
[2m  -   element is not visible[22m
[2m  - retrying fill action, attempt #34[22m
[2m  -   waiting 500ms[22m
[2m  -   waiting for element to be visible, enabled and editable[22m
[2m  -   element is not visible[22m
[2m  - retrying fill action, attempt #35[22m
[2m  -   waiting 500ms[22m
[2m  -   waiting for element to be visible, enabled and editable[22m
[2m  -   element is not visible[22m
[2m  - retrying fill action, attempt #36[22m
[2m  -   waiting 500ms[22m
[2m  -   waiting for element to be visible, enabled and editable[22m
[2m  -   element is not visible[22m
[2m  - retrying fill action, attempt #37[22m
[2m  -   waiting 500ms[22m
[2m  -   waiting for element to be visible, enabled and editable[22m
[2m  -   element is not visible[22m
[2m  - retrying fill action, attempt #38[22m
[2m  -   waiting 500ms[22m
[2m  -   waiting for element to be visible, enabled and editable[22m
[2m  -   element is not visible[22m
[2m  - retrying fill action, attempt #39[22m
[2m  -   waiting 500ms[22m
[2m  -   waiting for element to be visible, enabled and editable[22m
[2m  -   element is not visible[22m
[2m  - retrying fill action, attempt #40[22m
[2m  -   waiting 500ms[22m
[2m  -   waiting for element to be visible, enabled and editable[22m
[2m  -   element is not visible[22m
[2m  - retrying fill action, attempt #41[22m
[2m  -   waiting 500ms[22m
[2m  -   waiting for element to be visible, enabled and editable[22m
[2m  -   element is not visible[22m
[2m  - retrying fill action, attempt #42[22m
[2m  -   waiting 500ms[22m
[2m  -   waiting for element to be visible, enabled and editable[22m
[2m  -   element is not visible[22m
[2m  - retrying fill action, attempt #43[22m
[2m  -   waiting 500ms[22m
[2m  -   waiting for element to be visible, enabled and editable[22m
[2m  -   element is not visible[22m
[2m  - retrying fill action, attempt #44[22m
[2m  -   waiting 500ms[22m
[2m  -   waiting for element to be visible, enabled and editable[22m
[2m  -   element is not visible[22m
[2m  - retrying fill action, attempt #45[22m
[2m  -   waiting 500ms[22m
[2m  -   waiting for element to be visible, enabled and editable[22m
[2m  -   element is not visible[22m
[2m  - retrying fill action, attempt #46[22m
[2m  -   waiting 500ms[22m
[2m  -   waiting for element to be visible, enabled and editable[22m
[2m  -   element is not visible[22m
[2m  - retrying fill action, attempt #47[22m
[2m  -   waiting 500ms[22m
[2m  -   waiting for element to be visible, enabled and editable[22m
[2m  -   element is not visible[22m
[2m  - retrying fill action, attempt #48[22m
[2m  -   waiting 500ms[22m
[2m  -   waiting for element to be visible, enabled and editable[22m
[2m  -   element is not visible[22m
[2m  - retrying fill action, attempt #49[22m
[2m  -   waiting 500ms[22m
[2m  -   waiting for element to be visible, enabled and editable[22m
[2m  -   element is not visible[22m
[2m  - retrying fill action, attempt #50[22m
[2m  -   waiting 500ms[22m
[2m  -   waiting for element to be visible, enabled and editable[22m
[2m  -   element is not visible[22m
[2m  - retrying fill action, attempt #51[22m
[2m  -   waiting 500ms[22m
[2m  -   waiting for element to be visible, enabled and editable[22m
[2m  -   element is not visible[22m
[2m  - retrying fill action, attempt #52[22m
[2m  -   waiting 500ms[22m
[2m  -   waiting for element to be visible, enabled and editable[22m
[2m  -   element is not visible[22m
[2m  - retrying fill action, attempt #53[22m
[2m  -   waiting 500ms[22m
[2m  -   waiting for element to be visible, enabled and editable[22m
[2m  -   element is not visible[22m
[2m  - retrying fill action, attempt #54[22m
[2m  -   waiting 500ms[22m
[2m  -   waiting for element to be visible, enabled and editable[22m
[2m  -   element is not visible[22m
[2m  - retrying fill action, attempt #55[22m
[2m  -   waiting 500ms[22m
[2m  -   waiting for element to be visible, enabled and editable[22m
[2m  -   element is not visible[22m
[2m  - retrying fill action, attempt #56[22m
[2m  -   waiting 500ms[22m
[2m  -   waiting for element to be visible, enabled and editable[22m
[2m  -   element is not visible[22m
[2m  - retrying fill action, attempt #57[22m
[2m  -   waiting 500ms[22m
</t>
  </si>
  <si>
    <t>ASMTwoJ</t>
  </si>
  <si>
    <t>Auto 82314898</t>
  </si>
  <si>
    <t>Test_12</t>
  </si>
  <si>
    <t xml:space="preserve">Test failed for 'ASMThreeK CZETEMgmt' Employee:{10697303}TimeoutError: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class="WBNP"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element was detached from the DOM, retrying[22m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role="none" class="css-1qp66hh"&gt;…&lt;/div&gt;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</t>
  </si>
  <si>
    <t>ASMThreeK</t>
  </si>
  <si>
    <t>Auto 24413203</t>
  </si>
  <si>
    <t>Test_13</t>
  </si>
  <si>
    <t xml:space="preserve">Test failed for 'ASMFourFutL CZETEMgmt' Employee:{}TimeoutError: locator.click: Timeout 30000ms exceeded.
Call log:
  [2m- waiting for getByLabel('Work Shift')[22m
</t>
  </si>
  <si>
    <t>ASMFourFutL</t>
  </si>
  <si>
    <t>Auto 19800897</t>
  </si>
  <si>
    <t>Test_14</t>
  </si>
  <si>
    <t xml:space="preserve">Test failed for 'DMNOneM CZETEMgmt' Employee:{}Error: locator.focus: Test ended.
Call log:
  [2m- waiting for locator('text=ReasonReason0 items selected').locator('[placeholder="Search"]')[22m
</t>
  </si>
  <si>
    <t>DMNOneM</t>
  </si>
  <si>
    <t>Auto 28550845</t>
  </si>
  <si>
    <t>Department Manager_NEW </t>
  </si>
  <si>
    <t>Test_15</t>
  </si>
  <si>
    <t xml:space="preserve">Test failed for 'DMNTwoN CZETEMgmt' Employee:{}Error: locator.press: Test ended.
Call log:
  [2m- waiting for locator('[aria-label="Search Workday "]')[22m
[2m  -   locator resolved to &lt;input type="search" placeholder="" role="combobox" ari…/&gt;[22m
[2m  - elementHandle.press("Enter")[22m
</t>
  </si>
  <si>
    <t>DMNTwoN</t>
  </si>
  <si>
    <t>No</t>
  </si>
  <si>
    <t>Test_16</t>
  </si>
  <si>
    <t>DMNThreeO</t>
  </si>
  <si>
    <t>Test_17</t>
  </si>
  <si>
    <t>DMNFourFutP</t>
  </si>
  <si>
    <t>Test_18</t>
  </si>
  <si>
    <t>TMOneQ</t>
  </si>
  <si>
    <t>Team Manager - Retail_NEW </t>
  </si>
  <si>
    <t>Test_19</t>
  </si>
  <si>
    <t>TMTwoR</t>
  </si>
  <si>
    <t>Test_20</t>
  </si>
  <si>
    <t>TMThreeS</t>
  </si>
  <si>
    <t>Test_21</t>
  </si>
  <si>
    <t>TMFourFutT</t>
  </si>
  <si>
    <t>Test_22</t>
  </si>
  <si>
    <t>PCSOneU</t>
  </si>
  <si>
    <t>Auto 26102024 181953</t>
  </si>
  <si>
    <t>In-Store P&amp;C Supervisor_NEW </t>
  </si>
  <si>
    <t>Test_23</t>
  </si>
  <si>
    <t>PCSTwoV</t>
  </si>
  <si>
    <t>Test_24</t>
  </si>
  <si>
    <t>PCSThreeW</t>
  </si>
  <si>
    <t>Test_25</t>
  </si>
  <si>
    <t>PCSFourFutX</t>
  </si>
  <si>
    <t>Test_26</t>
  </si>
  <si>
    <t>VMOneY</t>
  </si>
  <si>
    <t>Auto 26102024 185305</t>
  </si>
  <si>
    <t>In-Store Visual Merchandising Manager_NEW </t>
  </si>
  <si>
    <t>Test_27</t>
  </si>
  <si>
    <t>VMTwoZ</t>
  </si>
  <si>
    <t>Test_28</t>
  </si>
  <si>
    <t>VMThreeA</t>
  </si>
  <si>
    <t>Test_29</t>
  </si>
  <si>
    <t>VMFourFutB</t>
  </si>
  <si>
    <t>Test_30</t>
  </si>
  <si>
    <t>896 Recruitment (Midet Rupoke (10550474))</t>
  </si>
  <si>
    <t>RAOneC</t>
  </si>
  <si>
    <t>CZETENonMgmt</t>
  </si>
  <si>
    <t>Retail Assistant_NEW</t>
  </si>
  <si>
    <t>94 Retail Operatives</t>
  </si>
  <si>
    <t>01 Accessories  </t>
  </si>
  <si>
    <t>Test_31</t>
  </si>
  <si>
    <t>RATwoD</t>
  </si>
  <si>
    <t>02 Hosiery  </t>
  </si>
  <si>
    <t>Test_32</t>
  </si>
  <si>
    <t>RAThreeE</t>
  </si>
  <si>
    <t>04 Lingerie  </t>
  </si>
  <si>
    <t>Test_33</t>
  </si>
  <si>
    <t xml:space="preserve">Test failed for 'RAFourFrerunX CZETENonMgmt' Employee:{10697305}TimeoutError: locator.click: Timeout 30000ms exceeded.
Call log:
  [2m- waiting for locator('button:has-text("Approve")')[22m
</t>
  </si>
  <si>
    <t>RAFourFrerunX</t>
  </si>
  <si>
    <t>05 Children’s Wear  </t>
  </si>
  <si>
    <t>Test_34</t>
  </si>
  <si>
    <t>RAFiveG</t>
  </si>
  <si>
    <t>06 Menswear  </t>
  </si>
  <si>
    <t>Test_35</t>
  </si>
  <si>
    <t>RASixFutH</t>
  </si>
  <si>
    <t>07 Footwear  </t>
  </si>
  <si>
    <t>Test_36</t>
  </si>
  <si>
    <t>RASevenI</t>
  </si>
  <si>
    <t>08 Ladieswear  </t>
  </si>
  <si>
    <t>Test_37</t>
  </si>
  <si>
    <t>RAEightJ</t>
  </si>
  <si>
    <t>11 Household  </t>
  </si>
  <si>
    <t>Test_38</t>
  </si>
  <si>
    <t>RANineK</t>
  </si>
  <si>
    <t>15 Children’s Accessories  </t>
  </si>
  <si>
    <t>Test_39</t>
  </si>
  <si>
    <t>RATenL</t>
  </si>
  <si>
    <t>16 Men’s Accessories  </t>
  </si>
  <si>
    <t>Test_40</t>
  </si>
  <si>
    <t>RAElevenM</t>
  </si>
  <si>
    <t>23 Health &amp; Beauty  </t>
  </si>
  <si>
    <t>Test_41</t>
  </si>
  <si>
    <t>RATwelveN</t>
  </si>
  <si>
    <t>24 Gifts Christmas  </t>
  </si>
  <si>
    <t>Test_42</t>
  </si>
  <si>
    <t>RAThirteenO</t>
  </si>
  <si>
    <t>Part Time</t>
  </si>
  <si>
    <t>25 Primarket  </t>
  </si>
  <si>
    <t>Test_43</t>
  </si>
  <si>
    <t>RAFourteenP</t>
  </si>
  <si>
    <t>258 Cash Office  </t>
  </si>
  <si>
    <t>Test_44</t>
  </si>
  <si>
    <t>RAFifteenQ</t>
  </si>
  <si>
    <t>259 Customer Service Desk  </t>
  </si>
  <si>
    <t>Test_45</t>
  </si>
  <si>
    <t>RAEighteenR</t>
  </si>
  <si>
    <t>262 Nightshift  </t>
  </si>
  <si>
    <t>0811111136</t>
  </si>
  <si>
    <t>Test_46</t>
  </si>
  <si>
    <t>RANineteenS</t>
  </si>
  <si>
    <t>Test_47</t>
  </si>
  <si>
    <t>RATwentyT</t>
  </si>
  <si>
    <t>Test_48</t>
  </si>
  <si>
    <t>RATwentyOneU</t>
  </si>
  <si>
    <t>Test_49</t>
  </si>
  <si>
    <t>RATwentyFourV</t>
  </si>
  <si>
    <t>0811115899</t>
  </si>
  <si>
    <t>Test_50</t>
  </si>
  <si>
    <t>RATwentyFiveW</t>
  </si>
  <si>
    <t>Test_51</t>
  </si>
  <si>
    <t>RATwentySixX</t>
  </si>
  <si>
    <t>Test_52</t>
  </si>
  <si>
    <t>RATwentySevenY</t>
  </si>
  <si>
    <t>Test_53</t>
  </si>
  <si>
    <t>RAThirtyZ</t>
  </si>
  <si>
    <t>Test_54</t>
  </si>
  <si>
    <t>RAThirtyOneA</t>
  </si>
  <si>
    <t>Test_55</t>
  </si>
  <si>
    <t>RAThirtyTwoB</t>
  </si>
  <si>
    <t>Test_56</t>
  </si>
  <si>
    <t>RAThirtyThreeC</t>
  </si>
  <si>
    <t>Test_57</t>
  </si>
  <si>
    <t>RAThirtySixD</t>
  </si>
  <si>
    <t>0811113996</t>
  </si>
  <si>
    <t>Test_58</t>
  </si>
  <si>
    <t>RAThirtySevenE</t>
  </si>
  <si>
    <t>Test_59</t>
  </si>
  <si>
    <t>RAThirtyEightF</t>
  </si>
  <si>
    <t>Test_60</t>
  </si>
  <si>
    <t>RAThirtyNineG</t>
  </si>
  <si>
    <t>Test_61</t>
  </si>
  <si>
    <t>RAFortyTwoH</t>
  </si>
  <si>
    <t>0811116581</t>
  </si>
  <si>
    <t>Test_62</t>
  </si>
  <si>
    <t>RAFortyThreeI</t>
  </si>
  <si>
    <t>260 Fitting Rooms  </t>
  </si>
  <si>
    <t>Test_63</t>
  </si>
  <si>
    <t>RAFortyFourJ</t>
  </si>
  <si>
    <t>261 Tills  </t>
  </si>
  <si>
    <t>Test_64</t>
  </si>
  <si>
    <t>RAFortyFiveK</t>
  </si>
  <si>
    <t>Test_65</t>
  </si>
  <si>
    <t>RAFortyEightL</t>
  </si>
  <si>
    <t>0811118495</t>
  </si>
  <si>
    <t>Test_66</t>
  </si>
  <si>
    <t>RAFortyNineM</t>
  </si>
  <si>
    <t>Test_67</t>
  </si>
  <si>
    <t>RAFiftyFutN</t>
  </si>
  <si>
    <t>Test_68</t>
  </si>
  <si>
    <t>RAFiftyOneO</t>
  </si>
  <si>
    <t>Test_69</t>
  </si>
  <si>
    <t>RAFiftyFourP</t>
  </si>
  <si>
    <t>0811118187</t>
  </si>
  <si>
    <t>Test_70</t>
  </si>
  <si>
    <t>RAFiftyFiveQ</t>
  </si>
  <si>
    <t>Test_71</t>
  </si>
  <si>
    <t>RAFiftySixR</t>
  </si>
  <si>
    <t>Test_72</t>
  </si>
  <si>
    <t>RACashOneS</t>
  </si>
  <si>
    <t>Retail Assistant Cash Office_NEW  </t>
  </si>
  <si>
    <t>Test_73</t>
  </si>
  <si>
    <t>RACashFourT</t>
  </si>
  <si>
    <t>0811113534</t>
  </si>
  <si>
    <t>Test_74</t>
  </si>
  <si>
    <t>RAStockOneU</t>
  </si>
  <si>
    <t>Retail Assistant Stockroom_NEW  </t>
  </si>
  <si>
    <t>Test_75</t>
  </si>
  <si>
    <t>RAStockTwoV</t>
  </si>
  <si>
    <t>Test_76</t>
  </si>
  <si>
    <t>RAStockThreeW</t>
  </si>
  <si>
    <t>Test_77</t>
  </si>
  <si>
    <t>896 Recruitment (Mypez Luzezu (10550474))</t>
  </si>
  <si>
    <t>RADPPOneX</t>
  </si>
  <si>
    <t>Pardubice</t>
  </si>
  <si>
    <t>Retail Assistant Special Contracts_NEW </t>
  </si>
  <si>
    <t>Hourly</t>
  </si>
  <si>
    <t>DPP/DPC (Czechia)</t>
  </si>
  <si>
    <t>DPP - Agreement to Complete a Job</t>
  </si>
  <si>
    <t>0811110553</t>
  </si>
  <si>
    <t>Test_78</t>
  </si>
  <si>
    <t>RADPPTwoY</t>
  </si>
  <si>
    <t>0811113897</t>
  </si>
  <si>
    <t>Test_79</t>
  </si>
  <si>
    <t>RADPPThreeZ</t>
  </si>
  <si>
    <t>Test_80</t>
  </si>
  <si>
    <t>RADPPFourA</t>
  </si>
  <si>
    <t>Test_81</t>
  </si>
  <si>
    <t>RADPPFiveB</t>
  </si>
  <si>
    <t>Test_82</t>
  </si>
  <si>
    <t>RADPCOneC</t>
  </si>
  <si>
    <t>DPC - Agreement to perform work</t>
  </si>
  <si>
    <t>0811118737</t>
  </si>
  <si>
    <t>Test_83</t>
  </si>
  <si>
    <t>RADPCTwoD</t>
  </si>
  <si>
    <t>0811110597</t>
  </si>
  <si>
    <t>Test_84</t>
  </si>
  <si>
    <t>RADPCThreeE</t>
  </si>
  <si>
    <t>Test_85</t>
  </si>
  <si>
    <t>RADPCFourF</t>
  </si>
  <si>
    <t>Test_86</t>
  </si>
  <si>
    <t>RADPCFiveG</t>
  </si>
  <si>
    <t>Test_87</t>
  </si>
  <si>
    <t>PCSuperOneH</t>
  </si>
  <si>
    <t>250 Human Resources Retail  </t>
  </si>
  <si>
    <t>Test_88</t>
  </si>
  <si>
    <t>PCSuperTwoI</t>
  </si>
  <si>
    <t>Test_89</t>
  </si>
  <si>
    <t>PCSuperThreeJ</t>
  </si>
  <si>
    <t>Test_90</t>
  </si>
  <si>
    <t>VMOneK</t>
  </si>
  <si>
    <t>In-Store Visual Merchandising Assistant_NEW </t>
  </si>
  <si>
    <t>256 Visual Merchandising  </t>
  </si>
  <si>
    <t>Test_91</t>
  </si>
  <si>
    <t>VMTwoL</t>
  </si>
  <si>
    <t>Test_92</t>
  </si>
  <si>
    <t>VMThreeFutM</t>
  </si>
  <si>
    <t>Test_93</t>
  </si>
  <si>
    <t>OPSOneN</t>
  </si>
  <si>
    <r>
      <t> </t>
    </r>
    <r>
      <rPr>
        <sz val="11"/>
        <rFont val="Calibri"/>
        <family val="2"/>
        <scheme val="minor"/>
      </rPr>
      <t>Operational Support_NEW  </t>
    </r>
  </si>
  <si>
    <t>Test_94</t>
  </si>
  <si>
    <t>OPSTwoO</t>
  </si>
  <si>
    <t>Test_95</t>
  </si>
  <si>
    <t>OPSThreeP</t>
  </si>
  <si>
    <t>Test_96</t>
  </si>
  <si>
    <t>OPSFourQ</t>
  </si>
  <si>
    <t>Test_97</t>
  </si>
  <si>
    <t>OPSFiveR</t>
  </si>
  <si>
    <t>Test_98</t>
  </si>
  <si>
    <t>PCAssisOneS</t>
  </si>
  <si>
    <t>In-Store P&amp;C Assistant_NEW </t>
  </si>
  <si>
    <t>Test_99</t>
  </si>
  <si>
    <t>PCAssisTwoT</t>
  </si>
  <si>
    <t>Test_100</t>
  </si>
  <si>
    <t>Test failed for 'Destany Altenwerth' Employee:{undefined}TypeError: Cannot read properties of null (reading 'toString')</t>
  </si>
  <si>
    <t>PCAThreeU</t>
  </si>
  <si>
    <t>Test_101</t>
  </si>
  <si>
    <t>Test failed for 'Abbigail Simonis' Employee:{undefined}TypeError: Cannot read properties of null (reading 'toString')</t>
  </si>
  <si>
    <t>PCAFourFutV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</si>
</sst>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2" borderId="0" xfId="0" applyNumberForma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5" borderId="0" xfId="0" applyFill="1"/>
    <xf numFmtId="0" fontId="1" fillId="0" borderId="3" xfId="0" applyFont="1" applyBorder="1" applyAlignment="1">
      <alignment vertical="center" wrapText="1"/>
    </xf>
    <xf numFmtId="0" fontId="2" fillId="6" borderId="3" xfId="0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2" fillId="6" borderId="3" xfId="0" applyFont="1" applyFill="1" applyBorder="1" applyAlignment="1" applyProtection="1">
      <alignment horizontal="left"/>
      <protection locked="0"/>
    </xf>
    <xf numFmtId="14" fontId="4" fillId="6" borderId="3" xfId="0" applyNumberFormat="1" applyFont="1" applyFill="1" applyBorder="1" applyAlignment="1">
      <alignment horizontal="left"/>
    </xf>
    <xf numFmtId="14" fontId="2" fillId="6" borderId="3" xfId="0" applyNumberFormat="1" applyFont="1" applyFill="1" applyBorder="1" applyAlignment="1">
      <alignment horizontal="left"/>
    </xf>
    <xf numFmtId="0" fontId="5" fillId="6" borderId="3" xfId="0" applyFont="1" applyFill="1" applyBorder="1" applyProtection="1">
      <protection locked="0"/>
    </xf>
    <xf numFmtId="14" fontId="0" fillId="0" borderId="4" xfId="0" applyNumberFormat="1" applyBorder="1" applyAlignment="1">
      <alignment horizontal="left" vertical="top"/>
    </xf>
    <xf numFmtId="0" fontId="2" fillId="7" borderId="3" xfId="0" applyFont="1" applyFill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left" vertical="top"/>
    </xf>
    <xf numFmtId="0" fontId="6" fillId="0" borderId="3" xfId="0" applyFont="1" applyBorder="1" applyAlignment="1">
      <alignment horizontal="left" vertical="top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14" fontId="6" fillId="6" borderId="3" xfId="0" applyNumberFormat="1" applyFont="1" applyFill="1" applyBorder="1" applyAlignment="1">
      <alignment horizontal="left"/>
    </xf>
    <xf numFmtId="164" fontId="2" fillId="6" borderId="3" xfId="0" applyNumberFormat="1" applyFont="1" applyFill="1" applyBorder="1" applyAlignment="1" applyProtection="1">
      <alignment horizontal="left"/>
      <protection locked="0"/>
    </xf>
    <xf numFmtId="0" fontId="3" fillId="2" borderId="3" xfId="0" applyFont="1" applyFill="1" applyBorder="1" applyAlignment="1">
      <alignment horizontal="left"/>
    </xf>
    <xf numFmtId="0" fontId="2" fillId="6" borderId="3" xfId="0" applyFont="1" applyFill="1" applyBorder="1"/>
    <xf numFmtId="164" fontId="6" fillId="6" borderId="3" xfId="0" applyNumberFormat="1" applyFont="1" applyFill="1" applyBorder="1" applyAlignment="1" applyProtection="1">
      <alignment horizontal="left"/>
      <protection locked="0"/>
    </xf>
    <xf numFmtId="0" fontId="7" fillId="8" borderId="3" xfId="0" applyFont="1" applyFill="1" applyBorder="1" applyAlignment="1">
      <alignment horizontal="left" vertical="top"/>
    </xf>
    <xf numFmtId="0" fontId="0" fillId="2" borderId="0" xfId="0" applyFill="1"/>
    <xf numFmtId="14" fontId="0" fillId="0" borderId="0" xfId="0" applyNumberFormat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2" borderId="0" xfId="0" applyFill="1" applyAlignment="1">
      <alignment wrapText="1"/>
    </xf>
    <xf numFmtId="0" fontId="0" fillId="4" borderId="0" xfId="0" applyFill="1"/>
    <xf numFmtId="0" fontId="6" fillId="0" borderId="4" xfId="0" applyFont="1" applyBorder="1" applyAlignment="1">
      <alignment horizontal="left" vertical="top" wrapText="1"/>
    </xf>
    <xf numFmtId="0" fontId="2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Relationship Id="rId1" Type="http://schemas.openxmlformats.org/officeDocument/2006/relationships/hyperlink" Target="mailto:Test@primark.com" TargetMode="External"/><Relationship Id="rId5" Type="http://schemas.openxmlformats.org/officeDocument/2006/relationships/hyperlink" Target="mailto:Test@primark.com" TargetMode="External"/><Relationship Id="rId4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01"/>
  <sheetViews>
    <sheetView tabSelected="1" zoomScale="110" zoomScaleNormal="110" workbookViewId="0">
      <selection activeCell="B33" sqref="B33"/>
    </sheetView>
  </sheetViews>
  <sheetFormatPr defaultRowHeight="14.4" customHeight="1" x14ac:dyDescent="0.35"/>
  <cols>
    <col min="5" max="103" width="17" customWidth="1"/>
  </cols>
  <sheetData>
    <row r="1" spans="1:103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3" t="s">
        <v>5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4" t="s">
        <v>29</v>
      </c>
      <c r="AH1" s="5" t="s">
        <v>30</v>
      </c>
      <c r="AI1" s="3" t="s">
        <v>31</v>
      </c>
      <c r="AJ1" s="3" t="s">
        <v>32</v>
      </c>
      <c r="AK1" s="3" t="s">
        <v>33</v>
      </c>
      <c r="AL1" s="2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6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6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7" t="s">
        <v>59</v>
      </c>
      <c r="BL1" s="3" t="s">
        <v>60</v>
      </c>
      <c r="BM1" s="3" t="s">
        <v>5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8"/>
      <c r="BW1" s="8"/>
      <c r="BX1" s="8"/>
      <c r="BY1" s="8"/>
      <c r="BZ1" s="8"/>
      <c r="CA1" s="3"/>
      <c r="CB1" s="8"/>
      <c r="CC1" s="8"/>
      <c r="CD1" s="8"/>
      <c r="CE1" s="8"/>
      <c r="CF1" s="3"/>
      <c r="CG1" s="8"/>
      <c r="CH1" s="8"/>
      <c r="CI1" s="9"/>
      <c r="CJ1" s="3"/>
      <c r="CK1" s="8"/>
      <c r="CL1" s="3"/>
      <c r="CM1" s="3"/>
      <c r="CN1" s="8"/>
      <c r="CO1" s="8"/>
      <c r="CP1" s="8"/>
      <c r="CQ1" s="8"/>
      <c r="CR1" s="8"/>
      <c r="CS1" s="8"/>
      <c r="CT1" s="8"/>
      <c r="CU1" s="8"/>
      <c r="CV1" s="3"/>
      <c r="CW1" s="3"/>
      <c r="CX1" s="8"/>
      <c r="CY1" s="3"/>
    </row>
    <row r="2" spans="1:103" ht="14.4" customHeight="1" x14ac:dyDescent="0.35">
      <c r="A2" t="s">
        <v>69</v>
      </c>
      <c r="B2" t="s">
        <v>70</v>
      </c>
      <c r="C2" s="10" t="s">
        <v>71</v>
      </c>
      <c r="D2" t="s">
        <v>72</v>
      </c>
      <c r="E2" s="11" t="s">
        <v>73</v>
      </c>
      <c r="F2" s="12" t="s">
        <v>74</v>
      </c>
      <c r="G2" t="s">
        <v>75</v>
      </c>
      <c r="H2" s="13" t="s">
        <v>76</v>
      </c>
      <c r="I2" s="14" t="s">
        <v>77</v>
      </c>
      <c r="J2" s="14" t="s">
        <v>78</v>
      </c>
      <c r="K2" s="14" t="s">
        <v>79</v>
      </c>
      <c r="L2" s="15">
        <f t="shared" ref="L2:L33" si="0">X2</f>
        <v>45108</v>
      </c>
      <c r="M2" s="12" t="s">
        <v>74</v>
      </c>
      <c r="N2" s="12" t="s">
        <v>80</v>
      </c>
      <c r="O2" s="12">
        <v>1</v>
      </c>
      <c r="P2" s="14" t="s">
        <v>81</v>
      </c>
      <c r="Q2" s="14" t="s">
        <v>82</v>
      </c>
      <c r="R2" s="14" t="s">
        <v>81</v>
      </c>
      <c r="S2" s="14" t="s">
        <v>83</v>
      </c>
      <c r="T2" s="14" t="s">
        <v>79</v>
      </c>
      <c r="U2" s="16" t="s">
        <v>84</v>
      </c>
      <c r="V2" s="17" t="s">
        <v>85</v>
      </c>
      <c r="W2" s="14" t="s">
        <v>79</v>
      </c>
      <c r="X2" s="18">
        <v>45108</v>
      </c>
      <c r="Y2" s="14" t="s">
        <v>86</v>
      </c>
      <c r="Z2" s="19" t="s">
        <v>87</v>
      </c>
      <c r="AA2" s="13" t="s">
        <v>88</v>
      </c>
      <c r="AB2" s="20" t="s">
        <v>89</v>
      </c>
      <c r="AC2" s="21" t="s">
        <v>90</v>
      </c>
      <c r="AD2" s="22" t="s">
        <v>91</v>
      </c>
      <c r="AE2" s="21" t="s">
        <v>92</v>
      </c>
      <c r="AF2" s="13">
        <v>5</v>
      </c>
      <c r="AG2" s="13">
        <v>40</v>
      </c>
      <c r="AH2" s="23" t="s">
        <v>93</v>
      </c>
      <c r="AI2" s="24" t="s">
        <v>94</v>
      </c>
      <c r="AJ2" s="25" t="s">
        <v>95</v>
      </c>
      <c r="AK2" s="26">
        <f t="shared" ref="AK2:AK33" si="1">L2</f>
        <v>45108</v>
      </c>
      <c r="AL2" s="27" t="str">
        <f t="shared" ref="AL2:AL33" si="2">AH2</f>
        <v>N/A</v>
      </c>
      <c r="AM2" s="28">
        <f t="shared" ref="AM2:AM33" si="3">L2</f>
        <v>45108</v>
      </c>
      <c r="AN2" s="28">
        <f t="shared" ref="AN2:AN33" si="4">L2</f>
        <v>45108</v>
      </c>
      <c r="AO2" s="25" t="s">
        <v>96</v>
      </c>
      <c r="AP2" s="20" t="s">
        <v>97</v>
      </c>
      <c r="AQ2" s="12">
        <v>100</v>
      </c>
      <c r="AR2" s="28">
        <f t="shared" ref="AR2:AR33" si="5">X2+60</f>
        <v>45168</v>
      </c>
      <c r="AS2" s="12" t="s">
        <v>74</v>
      </c>
      <c r="AT2" s="29" t="s">
        <v>98</v>
      </c>
      <c r="AU2" s="30">
        <v>8312060372</v>
      </c>
      <c r="AV2" s="28" t="s">
        <v>99</v>
      </c>
      <c r="AW2" s="28" t="s">
        <v>100</v>
      </c>
      <c r="AX2" s="12" t="s">
        <v>74</v>
      </c>
      <c r="AY2" s="29" t="s">
        <v>101</v>
      </c>
      <c r="AZ2" s="30">
        <v>198306120</v>
      </c>
      <c r="BA2" s="28" t="s">
        <v>99</v>
      </c>
      <c r="BB2" s="28" t="s">
        <v>100</v>
      </c>
      <c r="BC2" s="31" t="s">
        <v>102</v>
      </c>
      <c r="BD2" s="18">
        <v>30656</v>
      </c>
      <c r="BE2" s="29" t="s">
        <v>81</v>
      </c>
      <c r="BF2" s="29" t="s">
        <v>103</v>
      </c>
      <c r="BG2" s="29" t="s">
        <v>104</v>
      </c>
      <c r="BH2" s="12" t="s">
        <v>105</v>
      </c>
      <c r="BI2" s="12" t="s">
        <v>106</v>
      </c>
      <c r="BJ2" s="32" t="s">
        <v>107</v>
      </c>
      <c r="BK2" t="s">
        <v>108</v>
      </c>
      <c r="BL2" s="12" t="s">
        <v>109</v>
      </c>
      <c r="BM2" s="12" t="s">
        <v>74</v>
      </c>
      <c r="BN2" s="12" t="s">
        <v>80</v>
      </c>
      <c r="BO2" s="12" t="s">
        <v>80</v>
      </c>
      <c r="BP2" s="12" t="s">
        <v>110</v>
      </c>
      <c r="BQ2" s="12" t="s">
        <v>111</v>
      </c>
      <c r="BR2" s="14" t="s">
        <v>112</v>
      </c>
      <c r="BS2" s="14" t="s">
        <v>113</v>
      </c>
      <c r="BT2" s="23">
        <v>40</v>
      </c>
      <c r="BU2" s="33">
        <v>213111231</v>
      </c>
    </row>
    <row r="3" spans="1:103" s="34" customFormat="1" ht="14.4" customHeight="1" x14ac:dyDescent="0.35">
      <c r="A3" t="s">
        <v>114</v>
      </c>
      <c r="B3" s="34" t="s">
        <v>115</v>
      </c>
      <c r="C3" s="10" t="s">
        <v>71</v>
      </c>
      <c r="D3" t="s">
        <v>72</v>
      </c>
      <c r="E3" s="11" t="s">
        <v>73</v>
      </c>
      <c r="F3" s="12" t="s">
        <v>74</v>
      </c>
      <c r="G3" t="s">
        <v>116</v>
      </c>
      <c r="H3" s="13" t="s">
        <v>76</v>
      </c>
      <c r="I3" s="14" t="s">
        <v>77</v>
      </c>
      <c r="J3" s="14" t="s">
        <v>78</v>
      </c>
      <c r="K3" s="14" t="s">
        <v>79</v>
      </c>
      <c r="L3" s="15">
        <f t="shared" si="0"/>
        <v>45506</v>
      </c>
      <c r="M3" s="12" t="s">
        <v>74</v>
      </c>
      <c r="N3" s="12" t="s">
        <v>80</v>
      </c>
      <c r="O3" s="12">
        <v>1</v>
      </c>
      <c r="P3" s="14" t="s">
        <v>81</v>
      </c>
      <c r="Q3" s="14" t="s">
        <v>82</v>
      </c>
      <c r="R3" s="14" t="s">
        <v>81</v>
      </c>
      <c r="S3" s="14" t="s">
        <v>83</v>
      </c>
      <c r="T3" s="14" t="s">
        <v>79</v>
      </c>
      <c r="U3" s="16" t="s">
        <v>84</v>
      </c>
      <c r="V3" s="17" t="s">
        <v>85</v>
      </c>
      <c r="W3" s="14" t="s">
        <v>79</v>
      </c>
      <c r="X3" s="18">
        <v>45506</v>
      </c>
      <c r="Y3" s="14" t="s">
        <v>86</v>
      </c>
      <c r="Z3" s="19" t="s">
        <v>117</v>
      </c>
      <c r="AA3" s="13" t="s">
        <v>118</v>
      </c>
      <c r="AB3" s="20" t="s">
        <v>89</v>
      </c>
      <c r="AC3" s="21" t="s">
        <v>90</v>
      </c>
      <c r="AD3" s="22" t="s">
        <v>91</v>
      </c>
      <c r="AE3" s="21" t="s">
        <v>92</v>
      </c>
      <c r="AF3" s="13">
        <v>5</v>
      </c>
      <c r="AG3" s="13">
        <v>40</v>
      </c>
      <c r="AH3" s="35">
        <v>46357</v>
      </c>
      <c r="AI3" s="24" t="s">
        <v>94</v>
      </c>
      <c r="AJ3" s="25" t="s">
        <v>95</v>
      </c>
      <c r="AK3" s="26">
        <f t="shared" si="1"/>
        <v>45506</v>
      </c>
      <c r="AL3" s="27">
        <f t="shared" si="2"/>
        <v>46357</v>
      </c>
      <c r="AM3" s="28">
        <f t="shared" si="3"/>
        <v>45506</v>
      </c>
      <c r="AN3" s="28">
        <f t="shared" si="4"/>
        <v>45506</v>
      </c>
      <c r="AO3" s="25" t="s">
        <v>96</v>
      </c>
      <c r="AP3" s="20" t="s">
        <v>97</v>
      </c>
      <c r="AQ3" s="12">
        <v>100</v>
      </c>
      <c r="AR3" s="28">
        <f t="shared" si="5"/>
        <v>45566</v>
      </c>
      <c r="AS3" s="12" t="s">
        <v>74</v>
      </c>
      <c r="AT3" s="29" t="s">
        <v>98</v>
      </c>
      <c r="AU3" s="30">
        <v>8312060603</v>
      </c>
      <c r="AV3" s="28" t="s">
        <v>99</v>
      </c>
      <c r="AW3" s="28" t="s">
        <v>100</v>
      </c>
      <c r="AX3" s="12" t="s">
        <v>74</v>
      </c>
      <c r="AY3" s="29" t="s">
        <v>101</v>
      </c>
      <c r="AZ3" s="30">
        <v>198306121</v>
      </c>
      <c r="BA3" s="28" t="s">
        <v>99</v>
      </c>
      <c r="BB3" s="28" t="s">
        <v>100</v>
      </c>
      <c r="BC3" s="31" t="s">
        <v>102</v>
      </c>
      <c r="BD3" s="18">
        <v>30656</v>
      </c>
      <c r="BE3" s="29" t="s">
        <v>81</v>
      </c>
      <c r="BF3" s="29" t="s">
        <v>103</v>
      </c>
      <c r="BG3" s="29" t="s">
        <v>104</v>
      </c>
      <c r="BH3" s="12" t="s">
        <v>105</v>
      </c>
      <c r="BI3" s="12" t="s">
        <v>106</v>
      </c>
      <c r="BJ3" s="32" t="s">
        <v>107</v>
      </c>
      <c r="BK3" t="s">
        <v>108</v>
      </c>
      <c r="BL3" s="12" t="s">
        <v>109</v>
      </c>
      <c r="BM3" s="12" t="s">
        <v>74</v>
      </c>
      <c r="BN3" s="12" t="s">
        <v>80</v>
      </c>
      <c r="BO3" s="12" t="s">
        <v>80</v>
      </c>
      <c r="BP3" s="12" t="s">
        <v>110</v>
      </c>
      <c r="BQ3" s="12" t="s">
        <v>111</v>
      </c>
      <c r="BR3" s="14" t="s">
        <v>112</v>
      </c>
      <c r="BS3" s="14" t="s">
        <v>113</v>
      </c>
      <c r="BT3" s="23">
        <v>40</v>
      </c>
      <c r="BU3" s="33">
        <v>213111231</v>
      </c>
    </row>
    <row r="4" spans="1:103" ht="14.4" customHeight="1" x14ac:dyDescent="0.35">
      <c r="A4" t="s">
        <v>119</v>
      </c>
      <c r="B4" t="s">
        <v>120</v>
      </c>
      <c r="C4" s="10" t="s">
        <v>71</v>
      </c>
      <c r="D4" t="s">
        <v>72</v>
      </c>
      <c r="E4" s="11" t="s">
        <v>73</v>
      </c>
      <c r="F4" s="12" t="s">
        <v>74</v>
      </c>
      <c r="G4" t="s">
        <v>121</v>
      </c>
      <c r="H4" s="13" t="s">
        <v>76</v>
      </c>
      <c r="I4" s="14" t="s">
        <v>122</v>
      </c>
      <c r="J4" s="14" t="s">
        <v>78</v>
      </c>
      <c r="K4" s="14" t="s">
        <v>79</v>
      </c>
      <c r="L4" s="15">
        <f t="shared" si="0"/>
        <v>44807</v>
      </c>
      <c r="M4" s="12" t="s">
        <v>74</v>
      </c>
      <c r="N4" s="12" t="s">
        <v>80</v>
      </c>
      <c r="O4" s="12">
        <v>1</v>
      </c>
      <c r="P4" s="14" t="s">
        <v>81</v>
      </c>
      <c r="Q4" s="14" t="s">
        <v>82</v>
      </c>
      <c r="R4" s="14" t="s">
        <v>81</v>
      </c>
      <c r="S4" s="14" t="s">
        <v>83</v>
      </c>
      <c r="T4" s="14" t="s">
        <v>79</v>
      </c>
      <c r="U4" s="16" t="s">
        <v>84</v>
      </c>
      <c r="V4" s="17" t="s">
        <v>85</v>
      </c>
      <c r="W4" s="14" t="s">
        <v>79</v>
      </c>
      <c r="X4" s="18">
        <v>44807</v>
      </c>
      <c r="Y4" s="14" t="s">
        <v>86</v>
      </c>
      <c r="Z4" s="19" t="s">
        <v>123</v>
      </c>
      <c r="AA4" s="13" t="s">
        <v>88</v>
      </c>
      <c r="AB4" s="20" t="s">
        <v>89</v>
      </c>
      <c r="AC4" s="21" t="s">
        <v>90</v>
      </c>
      <c r="AD4" s="22" t="s">
        <v>91</v>
      </c>
      <c r="AE4" s="21" t="s">
        <v>92</v>
      </c>
      <c r="AF4" s="13">
        <v>5</v>
      </c>
      <c r="AG4" s="13">
        <v>37.5</v>
      </c>
      <c r="AH4" s="23" t="s">
        <v>93</v>
      </c>
      <c r="AI4" s="24" t="s">
        <v>94</v>
      </c>
      <c r="AJ4" s="25" t="s">
        <v>95</v>
      </c>
      <c r="AK4" s="26">
        <f t="shared" si="1"/>
        <v>44807</v>
      </c>
      <c r="AL4" s="27" t="str">
        <f t="shared" si="2"/>
        <v>N/A</v>
      </c>
      <c r="AM4" s="28">
        <f t="shared" si="3"/>
        <v>44807</v>
      </c>
      <c r="AN4" s="28">
        <f t="shared" si="4"/>
        <v>44807</v>
      </c>
      <c r="AO4" s="25" t="s">
        <v>96</v>
      </c>
      <c r="AP4" s="20" t="s">
        <v>97</v>
      </c>
      <c r="AQ4" s="12">
        <v>100</v>
      </c>
      <c r="AR4" s="28">
        <f t="shared" si="5"/>
        <v>44867</v>
      </c>
      <c r="AS4" s="12" t="s">
        <v>74</v>
      </c>
      <c r="AT4" s="29" t="s">
        <v>98</v>
      </c>
      <c r="AU4" s="30">
        <v>8312060746</v>
      </c>
      <c r="AV4" s="28" t="s">
        <v>99</v>
      </c>
      <c r="AW4" s="28" t="s">
        <v>100</v>
      </c>
      <c r="AX4" s="12" t="s">
        <v>74</v>
      </c>
      <c r="AY4" s="29" t="s">
        <v>101</v>
      </c>
      <c r="AZ4" s="30">
        <v>198306122</v>
      </c>
      <c r="BA4" s="28" t="s">
        <v>99</v>
      </c>
      <c r="BB4" s="28" t="s">
        <v>100</v>
      </c>
      <c r="BC4" s="31" t="s">
        <v>102</v>
      </c>
      <c r="BD4" s="18">
        <v>30656</v>
      </c>
      <c r="BE4" s="29" t="s">
        <v>81</v>
      </c>
      <c r="BF4" s="29" t="s">
        <v>103</v>
      </c>
      <c r="BG4" s="29" t="s">
        <v>104</v>
      </c>
      <c r="BH4" s="12" t="s">
        <v>105</v>
      </c>
      <c r="BI4" s="12" t="s">
        <v>106</v>
      </c>
      <c r="BJ4" s="32" t="s">
        <v>107</v>
      </c>
      <c r="BK4" t="s">
        <v>108</v>
      </c>
      <c r="BL4" s="12" t="s">
        <v>109</v>
      </c>
      <c r="BM4" s="12" t="s">
        <v>74</v>
      </c>
      <c r="BN4" s="12" t="s">
        <v>80</v>
      </c>
      <c r="BO4" s="12" t="s">
        <v>80</v>
      </c>
      <c r="BP4" s="12" t="s">
        <v>110</v>
      </c>
      <c r="BQ4" s="12" t="s">
        <v>111</v>
      </c>
      <c r="BR4" s="14" t="s">
        <v>112</v>
      </c>
      <c r="BS4" s="14" t="s">
        <v>113</v>
      </c>
      <c r="BT4" s="23">
        <v>37.5</v>
      </c>
      <c r="BU4" s="33">
        <v>213111231</v>
      </c>
    </row>
    <row r="5" spans="1:103" ht="14.4" customHeight="1" x14ac:dyDescent="0.35">
      <c r="A5" t="s">
        <v>124</v>
      </c>
      <c r="B5" t="s">
        <v>125</v>
      </c>
      <c r="C5" s="10" t="s">
        <v>71</v>
      </c>
      <c r="D5" t="s">
        <v>72</v>
      </c>
      <c r="E5" s="11" t="s">
        <v>73</v>
      </c>
      <c r="F5" s="12" t="s">
        <v>74</v>
      </c>
      <c r="G5" t="s">
        <v>126</v>
      </c>
      <c r="H5" s="13" t="s">
        <v>76</v>
      </c>
      <c r="I5" s="14" t="s">
        <v>77</v>
      </c>
      <c r="J5" s="14" t="s">
        <v>78</v>
      </c>
      <c r="K5" s="14" t="s">
        <v>79</v>
      </c>
      <c r="L5" s="15">
        <f t="shared" ca="1" si="0"/>
        <v>45769</v>
      </c>
      <c r="M5" s="12" t="s">
        <v>74</v>
      </c>
      <c r="N5" s="12" t="s">
        <v>80</v>
      </c>
      <c r="O5" s="12">
        <v>1</v>
      </c>
      <c r="P5" s="14" t="s">
        <v>81</v>
      </c>
      <c r="Q5" s="14" t="s">
        <v>82</v>
      </c>
      <c r="R5" s="14" t="s">
        <v>81</v>
      </c>
      <c r="S5" s="14" t="s">
        <v>83</v>
      </c>
      <c r="T5" s="14" t="s">
        <v>79</v>
      </c>
      <c r="U5" s="16" t="s">
        <v>84</v>
      </c>
      <c r="V5" s="17" t="s">
        <v>85</v>
      </c>
      <c r="W5" s="14" t="s">
        <v>79</v>
      </c>
      <c r="X5" s="18">
        <f ca="1">TODAY()+60</f>
        <v>45769</v>
      </c>
      <c r="Y5" s="14" t="s">
        <v>86</v>
      </c>
      <c r="Z5" s="19" t="s">
        <v>127</v>
      </c>
      <c r="AA5" s="13" t="s">
        <v>118</v>
      </c>
      <c r="AB5" s="20" t="s">
        <v>89</v>
      </c>
      <c r="AC5" s="21" t="s">
        <v>90</v>
      </c>
      <c r="AD5" s="22" t="s">
        <v>91</v>
      </c>
      <c r="AE5" s="21" t="s">
        <v>92</v>
      </c>
      <c r="AF5" s="13">
        <v>5</v>
      </c>
      <c r="AG5" s="13">
        <v>37.5</v>
      </c>
      <c r="AH5" s="35">
        <v>46357</v>
      </c>
      <c r="AI5" s="24" t="s">
        <v>94</v>
      </c>
      <c r="AJ5" s="25" t="s">
        <v>95</v>
      </c>
      <c r="AK5" s="26">
        <f t="shared" ca="1" si="1"/>
        <v>45769</v>
      </c>
      <c r="AL5" s="27">
        <f t="shared" si="2"/>
        <v>46357</v>
      </c>
      <c r="AM5" s="28">
        <f t="shared" ca="1" si="3"/>
        <v>45769</v>
      </c>
      <c r="AN5" s="28">
        <f t="shared" ca="1" si="4"/>
        <v>45769</v>
      </c>
      <c r="AO5" s="25" t="s">
        <v>96</v>
      </c>
      <c r="AP5" s="20" t="s">
        <v>97</v>
      </c>
      <c r="AQ5" s="12">
        <v>100</v>
      </c>
      <c r="AR5" s="28">
        <f t="shared" ca="1" si="5"/>
        <v>45829</v>
      </c>
      <c r="AS5" s="12" t="s">
        <v>74</v>
      </c>
      <c r="AT5" s="29" t="s">
        <v>98</v>
      </c>
      <c r="AU5" s="30">
        <v>8312061692</v>
      </c>
      <c r="AV5" s="28" t="s">
        <v>99</v>
      </c>
      <c r="AW5" s="28" t="s">
        <v>100</v>
      </c>
      <c r="AX5" s="12" t="s">
        <v>74</v>
      </c>
      <c r="AY5" s="29" t="s">
        <v>101</v>
      </c>
      <c r="AZ5" s="30">
        <v>198306123</v>
      </c>
      <c r="BA5" s="28" t="s">
        <v>99</v>
      </c>
      <c r="BB5" s="28" t="s">
        <v>100</v>
      </c>
      <c r="BC5" s="31" t="s">
        <v>102</v>
      </c>
      <c r="BD5" s="18">
        <v>30656</v>
      </c>
      <c r="BE5" s="29" t="s">
        <v>81</v>
      </c>
      <c r="BF5" s="29" t="s">
        <v>103</v>
      </c>
      <c r="BG5" s="29" t="s">
        <v>104</v>
      </c>
      <c r="BH5" s="12" t="s">
        <v>105</v>
      </c>
      <c r="BI5" s="12" t="s">
        <v>106</v>
      </c>
      <c r="BJ5" s="32" t="s">
        <v>107</v>
      </c>
      <c r="BK5" t="s">
        <v>108</v>
      </c>
      <c r="BL5" s="12" t="s">
        <v>109</v>
      </c>
      <c r="BM5" s="12" t="s">
        <v>74</v>
      </c>
      <c r="BN5" s="12" t="s">
        <v>80</v>
      </c>
      <c r="BO5" s="12" t="s">
        <v>80</v>
      </c>
      <c r="BP5" s="12" t="s">
        <v>110</v>
      </c>
      <c r="BQ5" s="12" t="s">
        <v>111</v>
      </c>
      <c r="BR5" s="14" t="s">
        <v>112</v>
      </c>
      <c r="BS5" s="14" t="s">
        <v>113</v>
      </c>
      <c r="BT5" s="23">
        <v>37.5</v>
      </c>
      <c r="BU5" s="33">
        <v>213111231</v>
      </c>
    </row>
    <row r="6" spans="1:103" ht="14.4" customHeight="1" x14ac:dyDescent="0.35">
      <c r="A6" t="s">
        <v>128</v>
      </c>
      <c r="B6" t="s">
        <v>129</v>
      </c>
      <c r="C6" s="10" t="s">
        <v>71</v>
      </c>
      <c r="D6" t="s">
        <v>72</v>
      </c>
      <c r="E6" s="11" t="s">
        <v>73</v>
      </c>
      <c r="F6" s="12" t="s">
        <v>74</v>
      </c>
      <c r="G6" t="s">
        <v>130</v>
      </c>
      <c r="H6" s="13" t="s">
        <v>76</v>
      </c>
      <c r="I6" s="14" t="s">
        <v>77</v>
      </c>
      <c r="J6" s="14" t="s">
        <v>78</v>
      </c>
      <c r="K6" s="14" t="s">
        <v>79</v>
      </c>
      <c r="L6" s="15">
        <f t="shared" si="0"/>
        <v>45170</v>
      </c>
      <c r="M6" s="12" t="s">
        <v>74</v>
      </c>
      <c r="N6" s="12" t="s">
        <v>80</v>
      </c>
      <c r="O6" s="12">
        <v>1</v>
      </c>
      <c r="P6" s="14" t="s">
        <v>81</v>
      </c>
      <c r="Q6" s="14" t="s">
        <v>82</v>
      </c>
      <c r="R6" s="14" t="s">
        <v>81</v>
      </c>
      <c r="S6" s="14" t="s">
        <v>83</v>
      </c>
      <c r="T6" s="14" t="s">
        <v>79</v>
      </c>
      <c r="U6" s="16" t="s">
        <v>84</v>
      </c>
      <c r="V6" s="17" t="s">
        <v>85</v>
      </c>
      <c r="W6" s="14" t="s">
        <v>79</v>
      </c>
      <c r="X6" s="18">
        <v>45170</v>
      </c>
      <c r="Y6" s="14" t="s">
        <v>86</v>
      </c>
      <c r="Z6" s="19" t="s">
        <v>131</v>
      </c>
      <c r="AA6" s="13" t="s">
        <v>88</v>
      </c>
      <c r="AB6" s="20" t="s">
        <v>132</v>
      </c>
      <c r="AC6" s="21" t="s">
        <v>90</v>
      </c>
      <c r="AD6" s="22" t="s">
        <v>91</v>
      </c>
      <c r="AE6" s="21" t="s">
        <v>92</v>
      </c>
      <c r="AF6" s="13">
        <v>5</v>
      </c>
      <c r="AG6" s="13">
        <v>40</v>
      </c>
      <c r="AH6" s="23" t="s">
        <v>93</v>
      </c>
      <c r="AI6" s="24" t="s">
        <v>94</v>
      </c>
      <c r="AJ6" s="25" t="s">
        <v>95</v>
      </c>
      <c r="AK6" s="26">
        <f t="shared" si="1"/>
        <v>45170</v>
      </c>
      <c r="AL6" s="27" t="str">
        <f t="shared" si="2"/>
        <v>N/A</v>
      </c>
      <c r="AM6" s="28">
        <f t="shared" si="3"/>
        <v>45170</v>
      </c>
      <c r="AN6" s="28">
        <f t="shared" si="4"/>
        <v>45170</v>
      </c>
      <c r="AO6" s="25" t="s">
        <v>96</v>
      </c>
      <c r="AP6" s="20" t="s">
        <v>97</v>
      </c>
      <c r="AQ6" s="12">
        <v>100</v>
      </c>
      <c r="AR6" s="28">
        <f t="shared" si="5"/>
        <v>45230</v>
      </c>
      <c r="AS6" s="12" t="s">
        <v>74</v>
      </c>
      <c r="AT6" s="29" t="s">
        <v>98</v>
      </c>
      <c r="AU6" s="30">
        <v>8312061769</v>
      </c>
      <c r="AV6" s="28" t="s">
        <v>99</v>
      </c>
      <c r="AW6" s="28" t="s">
        <v>100</v>
      </c>
      <c r="AX6" s="12" t="s">
        <v>74</v>
      </c>
      <c r="AY6" s="29" t="s">
        <v>101</v>
      </c>
      <c r="AZ6" s="30">
        <v>198306124</v>
      </c>
      <c r="BA6" s="28" t="s">
        <v>99</v>
      </c>
      <c r="BB6" s="28" t="s">
        <v>100</v>
      </c>
      <c r="BC6" s="31" t="s">
        <v>102</v>
      </c>
      <c r="BD6" s="18">
        <v>30656</v>
      </c>
      <c r="BE6" s="29" t="s">
        <v>81</v>
      </c>
      <c r="BF6" s="29" t="s">
        <v>103</v>
      </c>
      <c r="BG6" s="29" t="s">
        <v>104</v>
      </c>
      <c r="BH6" s="12" t="s">
        <v>105</v>
      </c>
      <c r="BI6" s="12" t="s">
        <v>106</v>
      </c>
      <c r="BJ6" s="32" t="s">
        <v>107</v>
      </c>
      <c r="BK6" t="s">
        <v>108</v>
      </c>
      <c r="BL6" s="12" t="s">
        <v>109</v>
      </c>
      <c r="BM6" s="12" t="s">
        <v>74</v>
      </c>
      <c r="BN6" s="12" t="s">
        <v>80</v>
      </c>
      <c r="BO6" s="12" t="s">
        <v>80</v>
      </c>
      <c r="BP6" s="12" t="s">
        <v>110</v>
      </c>
      <c r="BQ6" s="12" t="s">
        <v>111</v>
      </c>
      <c r="BR6" s="14" t="s">
        <v>112</v>
      </c>
      <c r="BS6" s="14" t="s">
        <v>113</v>
      </c>
      <c r="BT6" s="23">
        <v>40</v>
      </c>
      <c r="BU6" s="33">
        <v>213111231</v>
      </c>
    </row>
    <row r="7" spans="1:103" s="34" customFormat="1" ht="14.4" customHeight="1" x14ac:dyDescent="0.35">
      <c r="A7" t="s">
        <v>133</v>
      </c>
      <c r="B7" s="34" t="s">
        <v>134</v>
      </c>
      <c r="C7" s="10" t="s">
        <v>71</v>
      </c>
      <c r="D7" t="s">
        <v>72</v>
      </c>
      <c r="E7" s="11" t="s">
        <v>73</v>
      </c>
      <c r="F7" s="12" t="s">
        <v>74</v>
      </c>
      <c r="G7" t="s">
        <v>135</v>
      </c>
      <c r="H7" s="13" t="s">
        <v>76</v>
      </c>
      <c r="I7" s="14" t="s">
        <v>122</v>
      </c>
      <c r="J7" s="14" t="s">
        <v>78</v>
      </c>
      <c r="K7" s="14" t="s">
        <v>79</v>
      </c>
      <c r="L7" s="15">
        <f t="shared" si="0"/>
        <v>45475</v>
      </c>
      <c r="M7" s="12" t="s">
        <v>74</v>
      </c>
      <c r="N7" s="12" t="s">
        <v>80</v>
      </c>
      <c r="O7" s="12">
        <v>1</v>
      </c>
      <c r="P7" s="14" t="s">
        <v>81</v>
      </c>
      <c r="Q7" s="14" t="s">
        <v>82</v>
      </c>
      <c r="R7" s="14" t="s">
        <v>81</v>
      </c>
      <c r="S7" s="14" t="s">
        <v>83</v>
      </c>
      <c r="T7" s="14" t="s">
        <v>79</v>
      </c>
      <c r="U7" s="16" t="s">
        <v>84</v>
      </c>
      <c r="V7" s="17" t="s">
        <v>85</v>
      </c>
      <c r="W7" s="14" t="s">
        <v>79</v>
      </c>
      <c r="X7" s="18">
        <v>45475</v>
      </c>
      <c r="Y7" s="14" t="s">
        <v>86</v>
      </c>
      <c r="Z7" s="19" t="s">
        <v>136</v>
      </c>
      <c r="AA7" s="13" t="s">
        <v>118</v>
      </c>
      <c r="AB7" s="20" t="s">
        <v>132</v>
      </c>
      <c r="AC7" s="21" t="s">
        <v>90</v>
      </c>
      <c r="AD7" s="22" t="s">
        <v>91</v>
      </c>
      <c r="AE7" s="21" t="s">
        <v>92</v>
      </c>
      <c r="AF7" s="13">
        <v>5</v>
      </c>
      <c r="AG7" s="13">
        <v>40</v>
      </c>
      <c r="AH7" s="35">
        <v>46357</v>
      </c>
      <c r="AI7" s="24" t="s">
        <v>94</v>
      </c>
      <c r="AJ7" s="25" t="s">
        <v>95</v>
      </c>
      <c r="AK7" s="26">
        <f t="shared" si="1"/>
        <v>45475</v>
      </c>
      <c r="AL7" s="27">
        <f t="shared" si="2"/>
        <v>46357</v>
      </c>
      <c r="AM7" s="28">
        <f t="shared" si="3"/>
        <v>45475</v>
      </c>
      <c r="AN7" s="28">
        <f t="shared" si="4"/>
        <v>45475</v>
      </c>
      <c r="AO7" s="25" t="s">
        <v>96</v>
      </c>
      <c r="AP7" s="20" t="s">
        <v>97</v>
      </c>
      <c r="AQ7" s="12">
        <v>100</v>
      </c>
      <c r="AR7" s="28">
        <f t="shared" si="5"/>
        <v>45535</v>
      </c>
      <c r="AS7" s="12" t="s">
        <v>74</v>
      </c>
      <c r="AT7" s="29" t="s">
        <v>98</v>
      </c>
      <c r="AU7" s="30">
        <v>8312061901</v>
      </c>
      <c r="AV7" s="28" t="s">
        <v>99</v>
      </c>
      <c r="AW7" s="28" t="s">
        <v>100</v>
      </c>
      <c r="AX7" s="12" t="s">
        <v>74</v>
      </c>
      <c r="AY7" s="29" t="s">
        <v>101</v>
      </c>
      <c r="AZ7" s="30">
        <v>198306125</v>
      </c>
      <c r="BA7" s="28" t="s">
        <v>99</v>
      </c>
      <c r="BB7" s="28" t="s">
        <v>100</v>
      </c>
      <c r="BC7" s="31" t="s">
        <v>102</v>
      </c>
      <c r="BD7" s="18">
        <v>30656</v>
      </c>
      <c r="BE7" s="29" t="s">
        <v>81</v>
      </c>
      <c r="BF7" s="29" t="s">
        <v>103</v>
      </c>
      <c r="BG7" s="29" t="s">
        <v>104</v>
      </c>
      <c r="BH7" s="12" t="s">
        <v>105</v>
      </c>
      <c r="BI7" s="12" t="s">
        <v>106</v>
      </c>
      <c r="BJ7" s="32" t="s">
        <v>107</v>
      </c>
      <c r="BK7" t="s">
        <v>108</v>
      </c>
      <c r="BL7" s="12" t="s">
        <v>109</v>
      </c>
      <c r="BM7" s="12" t="s">
        <v>74</v>
      </c>
      <c r="BN7" s="12" t="s">
        <v>80</v>
      </c>
      <c r="BO7" s="12" t="s">
        <v>80</v>
      </c>
      <c r="BP7" s="12" t="s">
        <v>110</v>
      </c>
      <c r="BQ7" s="12" t="s">
        <v>111</v>
      </c>
      <c r="BR7" s="14" t="s">
        <v>112</v>
      </c>
      <c r="BS7" s="14" t="s">
        <v>113</v>
      </c>
      <c r="BT7" s="23">
        <v>40</v>
      </c>
      <c r="BU7" s="33">
        <v>213111231</v>
      </c>
    </row>
    <row r="8" spans="1:103" ht="14.4" customHeight="1" x14ac:dyDescent="0.35">
      <c r="A8" t="s">
        <v>137</v>
      </c>
      <c r="B8" t="s">
        <v>138</v>
      </c>
      <c r="C8" s="10" t="s">
        <v>71</v>
      </c>
      <c r="D8" t="s">
        <v>72</v>
      </c>
      <c r="E8" s="11" t="s">
        <v>73</v>
      </c>
      <c r="F8" s="12" t="s">
        <v>74</v>
      </c>
      <c r="G8" t="s">
        <v>139</v>
      </c>
      <c r="H8" s="13" t="s">
        <v>76</v>
      </c>
      <c r="I8" s="14" t="s">
        <v>77</v>
      </c>
      <c r="J8" s="14" t="s">
        <v>78</v>
      </c>
      <c r="K8" s="14" t="s">
        <v>79</v>
      </c>
      <c r="L8" s="15">
        <f t="shared" si="0"/>
        <v>44807</v>
      </c>
      <c r="M8" s="12" t="s">
        <v>74</v>
      </c>
      <c r="N8" s="12" t="s">
        <v>80</v>
      </c>
      <c r="O8" s="12">
        <v>1</v>
      </c>
      <c r="P8" s="14" t="s">
        <v>81</v>
      </c>
      <c r="Q8" s="14" t="s">
        <v>82</v>
      </c>
      <c r="R8" s="14" t="s">
        <v>81</v>
      </c>
      <c r="S8" s="14" t="s">
        <v>83</v>
      </c>
      <c r="T8" s="14" t="s">
        <v>79</v>
      </c>
      <c r="U8" s="16" t="s">
        <v>84</v>
      </c>
      <c r="V8" s="17" t="s">
        <v>85</v>
      </c>
      <c r="W8" s="14" t="s">
        <v>79</v>
      </c>
      <c r="X8" s="18">
        <v>44807</v>
      </c>
      <c r="Y8" s="14" t="s">
        <v>86</v>
      </c>
      <c r="Z8" s="19" t="s">
        <v>140</v>
      </c>
      <c r="AA8" s="13" t="s">
        <v>88</v>
      </c>
      <c r="AB8" s="20" t="s">
        <v>132</v>
      </c>
      <c r="AC8" s="21" t="s">
        <v>90</v>
      </c>
      <c r="AD8" s="22" t="s">
        <v>91</v>
      </c>
      <c r="AE8" s="21" t="s">
        <v>92</v>
      </c>
      <c r="AF8" s="13">
        <v>5</v>
      </c>
      <c r="AG8" s="13">
        <v>37.5</v>
      </c>
      <c r="AH8" s="23" t="s">
        <v>93</v>
      </c>
      <c r="AI8" s="24" t="s">
        <v>94</v>
      </c>
      <c r="AJ8" s="25" t="s">
        <v>95</v>
      </c>
      <c r="AK8" s="26">
        <f t="shared" si="1"/>
        <v>44807</v>
      </c>
      <c r="AL8" s="27" t="str">
        <f t="shared" si="2"/>
        <v>N/A</v>
      </c>
      <c r="AM8" s="28">
        <f t="shared" si="3"/>
        <v>44807</v>
      </c>
      <c r="AN8" s="28">
        <f t="shared" si="4"/>
        <v>44807</v>
      </c>
      <c r="AO8" s="25" t="s">
        <v>96</v>
      </c>
      <c r="AP8" s="20" t="s">
        <v>97</v>
      </c>
      <c r="AQ8" s="12">
        <v>100</v>
      </c>
      <c r="AR8" s="28">
        <f t="shared" si="5"/>
        <v>44867</v>
      </c>
      <c r="AS8" s="12" t="s">
        <v>74</v>
      </c>
      <c r="AT8" s="29" t="s">
        <v>98</v>
      </c>
      <c r="AU8" s="30">
        <v>8312062297</v>
      </c>
      <c r="AV8" s="28" t="s">
        <v>99</v>
      </c>
      <c r="AW8" s="28" t="s">
        <v>100</v>
      </c>
      <c r="AX8" s="12" t="s">
        <v>74</v>
      </c>
      <c r="AY8" s="29" t="s">
        <v>101</v>
      </c>
      <c r="AZ8" s="30">
        <v>198306126</v>
      </c>
      <c r="BA8" s="28" t="s">
        <v>99</v>
      </c>
      <c r="BB8" s="28" t="s">
        <v>100</v>
      </c>
      <c r="BC8" s="31" t="s">
        <v>102</v>
      </c>
      <c r="BD8" s="18">
        <v>30656</v>
      </c>
      <c r="BE8" s="29" t="s">
        <v>81</v>
      </c>
      <c r="BF8" s="29" t="s">
        <v>103</v>
      </c>
      <c r="BG8" s="29" t="s">
        <v>104</v>
      </c>
      <c r="BH8" s="12" t="s">
        <v>105</v>
      </c>
      <c r="BI8" s="12" t="s">
        <v>106</v>
      </c>
      <c r="BJ8" s="32" t="s">
        <v>107</v>
      </c>
      <c r="BK8" t="s">
        <v>108</v>
      </c>
      <c r="BL8" s="12" t="s">
        <v>109</v>
      </c>
      <c r="BM8" s="12" t="s">
        <v>74</v>
      </c>
      <c r="BN8" s="12" t="s">
        <v>80</v>
      </c>
      <c r="BO8" s="12" t="s">
        <v>80</v>
      </c>
      <c r="BP8" s="12" t="s">
        <v>110</v>
      </c>
      <c r="BQ8" s="12" t="s">
        <v>111</v>
      </c>
      <c r="BR8" s="14" t="s">
        <v>112</v>
      </c>
      <c r="BS8" s="14" t="s">
        <v>113</v>
      </c>
      <c r="BT8" s="23">
        <v>37.5</v>
      </c>
      <c r="BU8" s="33">
        <v>213111231</v>
      </c>
    </row>
    <row r="9" spans="1:103" ht="14.4" customHeight="1" x14ac:dyDescent="0.35">
      <c r="A9" t="s">
        <v>141</v>
      </c>
      <c r="B9" t="s">
        <v>142</v>
      </c>
      <c r="C9" s="10" t="s">
        <v>71</v>
      </c>
      <c r="D9" t="s">
        <v>72</v>
      </c>
      <c r="E9" s="11" t="s">
        <v>73</v>
      </c>
      <c r="F9" s="12" t="s">
        <v>74</v>
      </c>
      <c r="G9" t="s">
        <v>143</v>
      </c>
      <c r="H9" s="13" t="s">
        <v>76</v>
      </c>
      <c r="I9" s="14" t="s">
        <v>77</v>
      </c>
      <c r="J9" s="14" t="s">
        <v>78</v>
      </c>
      <c r="K9" s="14" t="s">
        <v>79</v>
      </c>
      <c r="L9" s="15">
        <f t="shared" ca="1" si="0"/>
        <v>45769</v>
      </c>
      <c r="M9" s="12" t="s">
        <v>74</v>
      </c>
      <c r="N9" s="12" t="s">
        <v>80</v>
      </c>
      <c r="O9" s="12">
        <v>1</v>
      </c>
      <c r="P9" s="14" t="s">
        <v>81</v>
      </c>
      <c r="Q9" s="14" t="s">
        <v>82</v>
      </c>
      <c r="R9" s="14" t="s">
        <v>81</v>
      </c>
      <c r="S9" s="14" t="s">
        <v>83</v>
      </c>
      <c r="T9" s="14" t="s">
        <v>79</v>
      </c>
      <c r="U9" s="16" t="s">
        <v>84</v>
      </c>
      <c r="V9" s="17" t="s">
        <v>85</v>
      </c>
      <c r="W9" s="14" t="s">
        <v>79</v>
      </c>
      <c r="X9" s="18">
        <f ca="1">TODAY()+60</f>
        <v>45769</v>
      </c>
      <c r="Y9" s="14" t="s">
        <v>86</v>
      </c>
      <c r="Z9" s="19" t="s">
        <v>144</v>
      </c>
      <c r="AA9" s="13" t="s">
        <v>118</v>
      </c>
      <c r="AB9" s="20" t="s">
        <v>132</v>
      </c>
      <c r="AC9" s="21" t="s">
        <v>90</v>
      </c>
      <c r="AD9" s="22" t="s">
        <v>91</v>
      </c>
      <c r="AE9" s="21" t="s">
        <v>92</v>
      </c>
      <c r="AF9" s="13">
        <v>5</v>
      </c>
      <c r="AG9" s="13">
        <v>37.5</v>
      </c>
      <c r="AH9" s="36">
        <v>46357</v>
      </c>
      <c r="AI9" s="37" t="s">
        <v>94</v>
      </c>
      <c r="AJ9" s="25" t="s">
        <v>95</v>
      </c>
      <c r="AK9" s="26">
        <f t="shared" ca="1" si="1"/>
        <v>45769</v>
      </c>
      <c r="AL9" s="27">
        <f t="shared" si="2"/>
        <v>46357</v>
      </c>
      <c r="AM9" s="28">
        <f t="shared" ca="1" si="3"/>
        <v>45769</v>
      </c>
      <c r="AN9" s="28">
        <f t="shared" ca="1" si="4"/>
        <v>45769</v>
      </c>
      <c r="AO9" s="25" t="s">
        <v>96</v>
      </c>
      <c r="AP9" s="20" t="s">
        <v>97</v>
      </c>
      <c r="AQ9" s="12">
        <v>100</v>
      </c>
      <c r="AR9" s="28">
        <f t="shared" ca="1" si="5"/>
        <v>45829</v>
      </c>
      <c r="AS9" s="12" t="s">
        <v>74</v>
      </c>
      <c r="AT9" s="29" t="s">
        <v>98</v>
      </c>
      <c r="AU9" s="30">
        <v>8312063353</v>
      </c>
      <c r="AV9" s="28" t="s">
        <v>99</v>
      </c>
      <c r="AW9" s="28" t="s">
        <v>100</v>
      </c>
      <c r="AX9" s="12" t="s">
        <v>74</v>
      </c>
      <c r="AY9" s="29" t="s">
        <v>101</v>
      </c>
      <c r="AZ9" s="30">
        <v>198306127</v>
      </c>
      <c r="BA9" s="28" t="s">
        <v>99</v>
      </c>
      <c r="BB9" s="28" t="s">
        <v>100</v>
      </c>
      <c r="BC9" s="31" t="s">
        <v>102</v>
      </c>
      <c r="BD9" s="18">
        <v>30656</v>
      </c>
      <c r="BE9" s="29" t="s">
        <v>81</v>
      </c>
      <c r="BF9" s="29" t="s">
        <v>103</v>
      </c>
      <c r="BG9" s="29" t="s">
        <v>104</v>
      </c>
      <c r="BH9" s="12" t="s">
        <v>105</v>
      </c>
      <c r="BI9" s="12" t="s">
        <v>106</v>
      </c>
      <c r="BJ9" s="32" t="s">
        <v>107</v>
      </c>
      <c r="BK9" t="s">
        <v>108</v>
      </c>
      <c r="BL9" s="12" t="s">
        <v>109</v>
      </c>
      <c r="BM9" s="12" t="s">
        <v>74</v>
      </c>
      <c r="BN9" s="12" t="s">
        <v>80</v>
      </c>
      <c r="BO9" s="12" t="s">
        <v>80</v>
      </c>
      <c r="BP9" s="12" t="s">
        <v>110</v>
      </c>
      <c r="BQ9" s="12" t="s">
        <v>111</v>
      </c>
      <c r="BR9" s="14" t="s">
        <v>112</v>
      </c>
      <c r="BS9" s="14" t="s">
        <v>113</v>
      </c>
      <c r="BT9" s="23">
        <v>37.5</v>
      </c>
      <c r="BU9" s="33">
        <v>213111231</v>
      </c>
    </row>
    <row r="10" spans="1:103" ht="14.4" customHeight="1" x14ac:dyDescent="0.35">
      <c r="A10" t="s">
        <v>145</v>
      </c>
      <c r="B10" t="s">
        <v>146</v>
      </c>
      <c r="C10" s="10" t="s">
        <v>71</v>
      </c>
      <c r="D10" t="s">
        <v>72</v>
      </c>
      <c r="E10" s="11" t="s">
        <v>73</v>
      </c>
      <c r="F10" s="12" t="s">
        <v>74</v>
      </c>
      <c r="G10" t="s">
        <v>147</v>
      </c>
      <c r="H10" s="13" t="s">
        <v>76</v>
      </c>
      <c r="I10" s="14" t="s">
        <v>122</v>
      </c>
      <c r="J10" s="14" t="s">
        <v>78</v>
      </c>
      <c r="K10" s="14" t="s">
        <v>79</v>
      </c>
      <c r="L10" s="15">
        <f t="shared" si="0"/>
        <v>45170</v>
      </c>
      <c r="M10" s="12" t="s">
        <v>74</v>
      </c>
      <c r="N10" s="12" t="s">
        <v>80</v>
      </c>
      <c r="O10" s="12">
        <v>1</v>
      </c>
      <c r="P10" s="14" t="s">
        <v>81</v>
      </c>
      <c r="Q10" s="14" t="s">
        <v>82</v>
      </c>
      <c r="R10" s="14" t="s">
        <v>81</v>
      </c>
      <c r="S10" s="14" t="s">
        <v>83</v>
      </c>
      <c r="T10" s="14" t="s">
        <v>79</v>
      </c>
      <c r="U10" s="16" t="s">
        <v>84</v>
      </c>
      <c r="V10" s="17" t="s">
        <v>85</v>
      </c>
      <c r="W10" s="14" t="s">
        <v>79</v>
      </c>
      <c r="X10" s="18">
        <v>45170</v>
      </c>
      <c r="Y10" s="14" t="s">
        <v>86</v>
      </c>
      <c r="Z10" s="19" t="s">
        <v>148</v>
      </c>
      <c r="AA10" s="13" t="s">
        <v>88</v>
      </c>
      <c r="AB10" s="20" t="s">
        <v>149</v>
      </c>
      <c r="AC10" s="21" t="s">
        <v>90</v>
      </c>
      <c r="AD10" s="22" t="s">
        <v>91</v>
      </c>
      <c r="AE10" s="21" t="s">
        <v>92</v>
      </c>
      <c r="AF10" s="13">
        <v>5</v>
      </c>
      <c r="AG10" s="13">
        <v>40</v>
      </c>
      <c r="AH10" s="38" t="s">
        <v>93</v>
      </c>
      <c r="AI10" s="37" t="s">
        <v>94</v>
      </c>
      <c r="AJ10" s="25" t="s">
        <v>95</v>
      </c>
      <c r="AK10" s="26">
        <f t="shared" si="1"/>
        <v>45170</v>
      </c>
      <c r="AL10" s="27" t="str">
        <f t="shared" si="2"/>
        <v>N/A</v>
      </c>
      <c r="AM10" s="28">
        <f t="shared" si="3"/>
        <v>45170</v>
      </c>
      <c r="AN10" s="28">
        <f t="shared" si="4"/>
        <v>45170</v>
      </c>
      <c r="AO10" s="25" t="s">
        <v>96</v>
      </c>
      <c r="AP10" s="20" t="s">
        <v>97</v>
      </c>
      <c r="AQ10" s="12">
        <v>100</v>
      </c>
      <c r="AR10" s="28">
        <f t="shared" si="5"/>
        <v>45230</v>
      </c>
      <c r="AS10" s="12" t="s">
        <v>74</v>
      </c>
      <c r="AT10" s="29" t="s">
        <v>98</v>
      </c>
      <c r="AU10" s="30">
        <v>8312063419</v>
      </c>
      <c r="AV10" s="28" t="s">
        <v>99</v>
      </c>
      <c r="AW10" s="28" t="s">
        <v>100</v>
      </c>
      <c r="AX10" s="12" t="s">
        <v>74</v>
      </c>
      <c r="AY10" s="29" t="s">
        <v>101</v>
      </c>
      <c r="AZ10" s="30">
        <v>198306128</v>
      </c>
      <c r="BA10" s="28" t="s">
        <v>99</v>
      </c>
      <c r="BB10" s="28" t="s">
        <v>100</v>
      </c>
      <c r="BC10" s="31" t="s">
        <v>102</v>
      </c>
      <c r="BD10" s="18">
        <v>30656</v>
      </c>
      <c r="BE10" s="29" t="s">
        <v>81</v>
      </c>
      <c r="BF10" s="29" t="s">
        <v>103</v>
      </c>
      <c r="BG10" s="29" t="s">
        <v>104</v>
      </c>
      <c r="BH10" s="12" t="s">
        <v>105</v>
      </c>
      <c r="BI10" s="12" t="s">
        <v>106</v>
      </c>
      <c r="BJ10" s="32" t="s">
        <v>107</v>
      </c>
      <c r="BK10" t="s">
        <v>108</v>
      </c>
      <c r="BL10" s="12" t="s">
        <v>109</v>
      </c>
      <c r="BM10" s="12" t="s">
        <v>74</v>
      </c>
      <c r="BN10" s="12" t="s">
        <v>80</v>
      </c>
      <c r="BO10" s="12" t="s">
        <v>80</v>
      </c>
      <c r="BP10" s="12" t="s">
        <v>110</v>
      </c>
      <c r="BQ10" s="12" t="s">
        <v>111</v>
      </c>
      <c r="BR10" s="14" t="s">
        <v>112</v>
      </c>
      <c r="BS10" s="14" t="s">
        <v>113</v>
      </c>
      <c r="BT10" s="23">
        <v>40</v>
      </c>
      <c r="BU10" s="33">
        <v>213111231</v>
      </c>
    </row>
    <row r="11" spans="1:103" s="34" customFormat="1" ht="14.4" customHeight="1" x14ac:dyDescent="0.35">
      <c r="A11" t="s">
        <v>150</v>
      </c>
      <c r="B11" s="34" t="s">
        <v>151</v>
      </c>
      <c r="C11" s="10" t="s">
        <v>71</v>
      </c>
      <c r="D11" t="s">
        <v>72</v>
      </c>
      <c r="E11" s="11" t="s">
        <v>73</v>
      </c>
      <c r="F11" s="12" t="s">
        <v>74</v>
      </c>
      <c r="G11" t="s">
        <v>152</v>
      </c>
      <c r="H11" s="13" t="s">
        <v>76</v>
      </c>
      <c r="I11" s="14" t="s">
        <v>77</v>
      </c>
      <c r="J11" s="14" t="s">
        <v>78</v>
      </c>
      <c r="K11" s="14" t="s">
        <v>79</v>
      </c>
      <c r="L11" s="15">
        <f t="shared" si="0"/>
        <v>45445</v>
      </c>
      <c r="M11" s="12" t="s">
        <v>74</v>
      </c>
      <c r="N11" s="12" t="s">
        <v>80</v>
      </c>
      <c r="O11" s="12">
        <v>1</v>
      </c>
      <c r="P11" s="14" t="s">
        <v>81</v>
      </c>
      <c r="Q11" s="14" t="s">
        <v>82</v>
      </c>
      <c r="R11" s="14" t="s">
        <v>81</v>
      </c>
      <c r="S11" s="14" t="s">
        <v>83</v>
      </c>
      <c r="T11" s="14" t="s">
        <v>79</v>
      </c>
      <c r="U11" s="16" t="s">
        <v>84</v>
      </c>
      <c r="V11" s="17" t="s">
        <v>85</v>
      </c>
      <c r="W11" s="14" t="s">
        <v>79</v>
      </c>
      <c r="X11" s="18">
        <v>45445</v>
      </c>
      <c r="Y11" s="14" t="s">
        <v>86</v>
      </c>
      <c r="Z11" s="19" t="s">
        <v>153</v>
      </c>
      <c r="AA11" s="13" t="s">
        <v>118</v>
      </c>
      <c r="AB11" s="20" t="s">
        <v>149</v>
      </c>
      <c r="AC11" s="21" t="s">
        <v>90</v>
      </c>
      <c r="AD11" s="22" t="s">
        <v>91</v>
      </c>
      <c r="AE11" s="21" t="s">
        <v>92</v>
      </c>
      <c r="AF11" s="13">
        <v>5</v>
      </c>
      <c r="AG11" s="13">
        <v>40</v>
      </c>
      <c r="AH11" s="36">
        <v>46357</v>
      </c>
      <c r="AI11" s="37" t="s">
        <v>94</v>
      </c>
      <c r="AJ11" s="25" t="s">
        <v>95</v>
      </c>
      <c r="AK11" s="26">
        <f t="shared" si="1"/>
        <v>45445</v>
      </c>
      <c r="AL11" s="27">
        <f t="shared" si="2"/>
        <v>46357</v>
      </c>
      <c r="AM11" s="28">
        <f t="shared" si="3"/>
        <v>45445</v>
      </c>
      <c r="AN11" s="28">
        <f t="shared" si="4"/>
        <v>45445</v>
      </c>
      <c r="AO11" s="25" t="s">
        <v>96</v>
      </c>
      <c r="AP11" s="20" t="s">
        <v>97</v>
      </c>
      <c r="AQ11" s="12">
        <v>100</v>
      </c>
      <c r="AR11" s="28">
        <f t="shared" si="5"/>
        <v>45505</v>
      </c>
      <c r="AS11" s="12" t="s">
        <v>74</v>
      </c>
      <c r="AT11" s="29" t="s">
        <v>98</v>
      </c>
      <c r="AU11" s="30">
        <v>8312063958</v>
      </c>
      <c r="AV11" s="28" t="s">
        <v>99</v>
      </c>
      <c r="AW11" s="28" t="s">
        <v>100</v>
      </c>
      <c r="AX11" s="12" t="s">
        <v>74</v>
      </c>
      <c r="AY11" s="29" t="s">
        <v>101</v>
      </c>
      <c r="AZ11" s="30">
        <v>198306129</v>
      </c>
      <c r="BA11" s="28" t="s">
        <v>99</v>
      </c>
      <c r="BB11" s="28" t="s">
        <v>100</v>
      </c>
      <c r="BC11" s="31" t="s">
        <v>102</v>
      </c>
      <c r="BD11" s="18">
        <v>30656</v>
      </c>
      <c r="BE11" s="29" t="s">
        <v>81</v>
      </c>
      <c r="BF11" s="29" t="s">
        <v>103</v>
      </c>
      <c r="BG11" s="29" t="s">
        <v>104</v>
      </c>
      <c r="BH11" s="12" t="s">
        <v>105</v>
      </c>
      <c r="BI11" s="12" t="s">
        <v>106</v>
      </c>
      <c r="BJ11" s="32" t="s">
        <v>107</v>
      </c>
      <c r="BK11" t="s">
        <v>108</v>
      </c>
      <c r="BL11" s="12" t="s">
        <v>109</v>
      </c>
      <c r="BM11" s="12" t="s">
        <v>74</v>
      </c>
      <c r="BN11" s="12" t="s">
        <v>80</v>
      </c>
      <c r="BO11" s="12" t="s">
        <v>80</v>
      </c>
      <c r="BP11" s="12" t="s">
        <v>110</v>
      </c>
      <c r="BQ11" s="12" t="s">
        <v>111</v>
      </c>
      <c r="BR11" s="14" t="s">
        <v>112</v>
      </c>
      <c r="BS11" s="14" t="s">
        <v>113</v>
      </c>
      <c r="BT11" s="23">
        <v>40</v>
      </c>
      <c r="BU11" s="33">
        <v>213111231</v>
      </c>
    </row>
    <row r="12" spans="1:103" ht="14.4" customHeight="1" x14ac:dyDescent="0.35">
      <c r="A12" t="s">
        <v>154</v>
      </c>
      <c r="B12" t="s">
        <v>155</v>
      </c>
      <c r="C12" s="10" t="s">
        <v>71</v>
      </c>
      <c r="D12" t="s">
        <v>72</v>
      </c>
      <c r="E12" s="11" t="s">
        <v>73</v>
      </c>
      <c r="F12" s="12" t="s">
        <v>74</v>
      </c>
      <c r="G12" t="s">
        <v>156</v>
      </c>
      <c r="H12" s="13" t="s">
        <v>76</v>
      </c>
      <c r="I12" s="14" t="s">
        <v>77</v>
      </c>
      <c r="J12" s="14" t="s">
        <v>78</v>
      </c>
      <c r="K12" s="14" t="s">
        <v>79</v>
      </c>
      <c r="L12" s="15">
        <f t="shared" si="0"/>
        <v>44807</v>
      </c>
      <c r="M12" s="12" t="s">
        <v>74</v>
      </c>
      <c r="N12" s="12" t="s">
        <v>80</v>
      </c>
      <c r="O12" s="12">
        <v>1</v>
      </c>
      <c r="P12" s="14" t="s">
        <v>81</v>
      </c>
      <c r="Q12" s="14" t="s">
        <v>82</v>
      </c>
      <c r="R12" s="14" t="s">
        <v>81</v>
      </c>
      <c r="S12" s="14" t="s">
        <v>83</v>
      </c>
      <c r="T12" s="14" t="s">
        <v>79</v>
      </c>
      <c r="U12" s="16" t="s">
        <v>84</v>
      </c>
      <c r="V12" s="17" t="s">
        <v>85</v>
      </c>
      <c r="W12" s="14" t="s">
        <v>79</v>
      </c>
      <c r="X12" s="18">
        <v>44807</v>
      </c>
      <c r="Y12" s="14" t="s">
        <v>86</v>
      </c>
      <c r="Z12" s="19" t="s">
        <v>157</v>
      </c>
      <c r="AA12" s="13" t="s">
        <v>88</v>
      </c>
      <c r="AB12" s="20" t="s">
        <v>149</v>
      </c>
      <c r="AC12" s="21" t="s">
        <v>90</v>
      </c>
      <c r="AD12" s="22" t="s">
        <v>91</v>
      </c>
      <c r="AE12" s="21" t="s">
        <v>92</v>
      </c>
      <c r="AF12" s="13">
        <v>5</v>
      </c>
      <c r="AG12" s="13">
        <v>37.5</v>
      </c>
      <c r="AH12" s="38" t="s">
        <v>93</v>
      </c>
      <c r="AI12" s="37" t="s">
        <v>94</v>
      </c>
      <c r="AJ12" s="25" t="s">
        <v>95</v>
      </c>
      <c r="AK12" s="26">
        <f t="shared" si="1"/>
        <v>44807</v>
      </c>
      <c r="AL12" s="27" t="str">
        <f t="shared" si="2"/>
        <v>N/A</v>
      </c>
      <c r="AM12" s="28">
        <f t="shared" si="3"/>
        <v>44807</v>
      </c>
      <c r="AN12" s="28">
        <f t="shared" si="4"/>
        <v>44807</v>
      </c>
      <c r="AO12" s="25" t="s">
        <v>96</v>
      </c>
      <c r="AP12" s="20" t="s">
        <v>97</v>
      </c>
      <c r="AQ12" s="12">
        <v>100</v>
      </c>
      <c r="AR12" s="28">
        <f t="shared" si="5"/>
        <v>44867</v>
      </c>
      <c r="AS12" s="12" t="s">
        <v>74</v>
      </c>
      <c r="AT12" s="29" t="s">
        <v>98</v>
      </c>
      <c r="AU12" s="30">
        <v>8312064013</v>
      </c>
      <c r="AV12" s="28" t="s">
        <v>99</v>
      </c>
      <c r="AW12" s="28" t="s">
        <v>100</v>
      </c>
      <c r="AX12" s="12" t="s">
        <v>74</v>
      </c>
      <c r="AY12" s="29" t="s">
        <v>101</v>
      </c>
      <c r="AZ12" s="30">
        <v>198306130</v>
      </c>
      <c r="BA12" s="28" t="s">
        <v>99</v>
      </c>
      <c r="BB12" s="28" t="s">
        <v>100</v>
      </c>
      <c r="BC12" s="31" t="s">
        <v>102</v>
      </c>
      <c r="BD12" s="18">
        <v>30656</v>
      </c>
      <c r="BE12" s="29" t="s">
        <v>81</v>
      </c>
      <c r="BF12" s="29" t="s">
        <v>103</v>
      </c>
      <c r="BG12" s="29" t="s">
        <v>104</v>
      </c>
      <c r="BH12" s="12" t="s">
        <v>105</v>
      </c>
      <c r="BI12" s="12" t="s">
        <v>106</v>
      </c>
      <c r="BJ12" s="32" t="s">
        <v>107</v>
      </c>
      <c r="BK12" t="s">
        <v>108</v>
      </c>
      <c r="BL12" s="12" t="s">
        <v>109</v>
      </c>
      <c r="BM12" s="12" t="s">
        <v>74</v>
      </c>
      <c r="BN12" s="12" t="s">
        <v>80</v>
      </c>
      <c r="BO12" s="12" t="s">
        <v>80</v>
      </c>
      <c r="BP12" s="12" t="s">
        <v>110</v>
      </c>
      <c r="BQ12" s="12" t="s">
        <v>111</v>
      </c>
      <c r="BR12" s="14" t="s">
        <v>112</v>
      </c>
      <c r="BS12" s="14" t="s">
        <v>113</v>
      </c>
      <c r="BT12" s="23">
        <v>37.5</v>
      </c>
      <c r="BU12" s="33">
        <v>213111231</v>
      </c>
    </row>
    <row r="13" spans="1:103" ht="14.4" customHeight="1" x14ac:dyDescent="0.35">
      <c r="A13" t="s">
        <v>158</v>
      </c>
      <c r="B13" t="s">
        <v>159</v>
      </c>
      <c r="C13" s="10" t="s">
        <v>71</v>
      </c>
      <c r="D13" t="s">
        <v>72</v>
      </c>
      <c r="E13" s="11" t="s">
        <v>73</v>
      </c>
      <c r="F13" s="12" t="s">
        <v>74</v>
      </c>
      <c r="G13" t="s">
        <v>160</v>
      </c>
      <c r="H13" s="13" t="s">
        <v>76</v>
      </c>
      <c r="I13" s="14" t="s">
        <v>77</v>
      </c>
      <c r="J13" s="14" t="s">
        <v>78</v>
      </c>
      <c r="K13" s="14" t="s">
        <v>79</v>
      </c>
      <c r="L13" s="15">
        <f t="shared" ca="1" si="0"/>
        <v>45769</v>
      </c>
      <c r="M13" s="12" t="s">
        <v>74</v>
      </c>
      <c r="N13" s="12" t="s">
        <v>80</v>
      </c>
      <c r="O13" s="12">
        <v>1</v>
      </c>
      <c r="P13" s="14" t="s">
        <v>81</v>
      </c>
      <c r="Q13" s="14" t="s">
        <v>82</v>
      </c>
      <c r="R13" s="14" t="s">
        <v>81</v>
      </c>
      <c r="S13" s="14" t="s">
        <v>83</v>
      </c>
      <c r="T13" s="14" t="s">
        <v>79</v>
      </c>
      <c r="U13" s="16" t="s">
        <v>84</v>
      </c>
      <c r="V13" s="17" t="s">
        <v>85</v>
      </c>
      <c r="W13" s="14" t="s">
        <v>79</v>
      </c>
      <c r="X13" s="18">
        <f ca="1">TODAY()+60</f>
        <v>45769</v>
      </c>
      <c r="Y13" s="14" t="s">
        <v>86</v>
      </c>
      <c r="Z13" s="19" t="s">
        <v>161</v>
      </c>
      <c r="AA13" s="13" t="s">
        <v>118</v>
      </c>
      <c r="AB13" s="20" t="s">
        <v>149</v>
      </c>
      <c r="AC13" s="21" t="s">
        <v>90</v>
      </c>
      <c r="AD13" s="22" t="s">
        <v>91</v>
      </c>
      <c r="AE13" s="21" t="s">
        <v>92</v>
      </c>
      <c r="AF13" s="13">
        <v>5</v>
      </c>
      <c r="AG13" s="13">
        <v>37.5</v>
      </c>
      <c r="AH13" s="36">
        <v>46357</v>
      </c>
      <c r="AI13" s="37" t="s">
        <v>94</v>
      </c>
      <c r="AJ13" s="25" t="s">
        <v>95</v>
      </c>
      <c r="AK13" s="26">
        <f t="shared" ca="1" si="1"/>
        <v>45769</v>
      </c>
      <c r="AL13" s="27">
        <f t="shared" si="2"/>
        <v>46357</v>
      </c>
      <c r="AM13" s="28">
        <f t="shared" ca="1" si="3"/>
        <v>45769</v>
      </c>
      <c r="AN13" s="28">
        <f t="shared" ca="1" si="4"/>
        <v>45769</v>
      </c>
      <c r="AO13" s="25" t="s">
        <v>96</v>
      </c>
      <c r="AP13" s="20" t="s">
        <v>97</v>
      </c>
      <c r="AQ13" s="12">
        <v>100</v>
      </c>
      <c r="AR13" s="28">
        <f t="shared" ca="1" si="5"/>
        <v>45829</v>
      </c>
      <c r="AS13" s="12" t="s">
        <v>74</v>
      </c>
      <c r="AT13" s="29" t="s">
        <v>98</v>
      </c>
      <c r="AU13" s="30">
        <v>8312064068</v>
      </c>
      <c r="AV13" s="28" t="s">
        <v>99</v>
      </c>
      <c r="AW13" s="28" t="s">
        <v>100</v>
      </c>
      <c r="AX13" s="12" t="s">
        <v>74</v>
      </c>
      <c r="AY13" s="29" t="s">
        <v>101</v>
      </c>
      <c r="AZ13" s="30">
        <v>198306131</v>
      </c>
      <c r="BA13" s="28" t="s">
        <v>99</v>
      </c>
      <c r="BB13" s="28" t="s">
        <v>100</v>
      </c>
      <c r="BC13" s="31" t="s">
        <v>102</v>
      </c>
      <c r="BD13" s="18">
        <v>30656</v>
      </c>
      <c r="BE13" s="29" t="s">
        <v>81</v>
      </c>
      <c r="BF13" s="29" t="s">
        <v>103</v>
      </c>
      <c r="BG13" s="29" t="s">
        <v>104</v>
      </c>
      <c r="BH13" s="12" t="s">
        <v>105</v>
      </c>
      <c r="BI13" s="12" t="s">
        <v>106</v>
      </c>
      <c r="BJ13" s="32" t="s">
        <v>107</v>
      </c>
      <c r="BK13" t="s">
        <v>108</v>
      </c>
      <c r="BL13" s="12" t="s">
        <v>109</v>
      </c>
      <c r="BM13" s="12" t="s">
        <v>74</v>
      </c>
      <c r="BN13" s="12" t="s">
        <v>80</v>
      </c>
      <c r="BO13" s="12" t="s">
        <v>80</v>
      </c>
      <c r="BP13" s="12" t="s">
        <v>110</v>
      </c>
      <c r="BQ13" s="12" t="s">
        <v>111</v>
      </c>
      <c r="BR13" s="14" t="s">
        <v>112</v>
      </c>
      <c r="BS13" s="14" t="s">
        <v>113</v>
      </c>
      <c r="BT13" s="23">
        <v>37.5</v>
      </c>
      <c r="BU13" s="33">
        <v>213111231</v>
      </c>
    </row>
    <row r="14" spans="1:103" ht="14.4" customHeight="1" x14ac:dyDescent="0.35">
      <c r="A14" t="s">
        <v>162</v>
      </c>
      <c r="B14" t="s">
        <v>163</v>
      </c>
      <c r="C14" s="10" t="s">
        <v>71</v>
      </c>
      <c r="D14" t="s">
        <v>72</v>
      </c>
      <c r="E14" s="11" t="s">
        <v>73</v>
      </c>
      <c r="F14" s="12" t="s">
        <v>74</v>
      </c>
      <c r="G14" t="s">
        <v>164</v>
      </c>
      <c r="H14" s="13" t="s">
        <v>76</v>
      </c>
      <c r="I14" s="14" t="s">
        <v>122</v>
      </c>
      <c r="J14" s="14" t="s">
        <v>78</v>
      </c>
      <c r="K14" s="14" t="s">
        <v>79</v>
      </c>
      <c r="L14" s="15">
        <f t="shared" si="0"/>
        <v>45170</v>
      </c>
      <c r="M14" s="12" t="s">
        <v>74</v>
      </c>
      <c r="N14" s="12" t="s">
        <v>80</v>
      </c>
      <c r="O14" s="12">
        <v>1</v>
      </c>
      <c r="P14" s="14" t="s">
        <v>81</v>
      </c>
      <c r="Q14" s="14" t="s">
        <v>82</v>
      </c>
      <c r="R14" s="14" t="s">
        <v>81</v>
      </c>
      <c r="S14" s="14" t="s">
        <v>83</v>
      </c>
      <c r="T14" s="14" t="s">
        <v>79</v>
      </c>
      <c r="U14" s="16" t="s">
        <v>84</v>
      </c>
      <c r="V14" s="17" t="s">
        <v>85</v>
      </c>
      <c r="W14" s="14" t="s">
        <v>79</v>
      </c>
      <c r="X14" s="18">
        <v>45170</v>
      </c>
      <c r="Y14" s="14" t="s">
        <v>86</v>
      </c>
      <c r="Z14" s="19" t="s">
        <v>165</v>
      </c>
      <c r="AA14" s="13" t="s">
        <v>88</v>
      </c>
      <c r="AB14" s="20" t="s">
        <v>166</v>
      </c>
      <c r="AC14" s="21" t="s">
        <v>90</v>
      </c>
      <c r="AD14" s="22" t="s">
        <v>91</v>
      </c>
      <c r="AE14" s="21" t="s">
        <v>92</v>
      </c>
      <c r="AF14" s="13">
        <v>5</v>
      </c>
      <c r="AG14" s="13">
        <v>40</v>
      </c>
      <c r="AH14" s="38" t="s">
        <v>93</v>
      </c>
      <c r="AI14" s="37" t="s">
        <v>94</v>
      </c>
      <c r="AJ14" s="25" t="s">
        <v>95</v>
      </c>
      <c r="AK14" s="26">
        <f t="shared" si="1"/>
        <v>45170</v>
      </c>
      <c r="AL14" s="27" t="str">
        <f t="shared" si="2"/>
        <v>N/A</v>
      </c>
      <c r="AM14" s="28">
        <f t="shared" si="3"/>
        <v>45170</v>
      </c>
      <c r="AN14" s="28">
        <f t="shared" si="4"/>
        <v>45170</v>
      </c>
      <c r="AO14" s="25" t="s">
        <v>96</v>
      </c>
      <c r="AP14" s="20" t="s">
        <v>97</v>
      </c>
      <c r="AQ14" s="12">
        <v>100</v>
      </c>
      <c r="AR14" s="28">
        <f t="shared" si="5"/>
        <v>45230</v>
      </c>
      <c r="AS14" s="12" t="s">
        <v>74</v>
      </c>
      <c r="AT14" s="29" t="s">
        <v>98</v>
      </c>
      <c r="AU14" s="30">
        <v>8312064211</v>
      </c>
      <c r="AV14" s="28" t="s">
        <v>99</v>
      </c>
      <c r="AW14" s="28" t="s">
        <v>100</v>
      </c>
      <c r="AX14" s="12" t="s">
        <v>74</v>
      </c>
      <c r="AY14" s="29" t="s">
        <v>101</v>
      </c>
      <c r="AZ14" s="30">
        <v>198306132</v>
      </c>
      <c r="BA14" s="28" t="s">
        <v>99</v>
      </c>
      <c r="BB14" s="28" t="s">
        <v>100</v>
      </c>
      <c r="BC14" s="31" t="s">
        <v>102</v>
      </c>
      <c r="BD14" s="18">
        <v>30656</v>
      </c>
      <c r="BE14" s="29" t="s">
        <v>81</v>
      </c>
      <c r="BF14" s="29" t="s">
        <v>103</v>
      </c>
      <c r="BG14" s="29" t="s">
        <v>104</v>
      </c>
      <c r="BH14" s="12" t="s">
        <v>105</v>
      </c>
      <c r="BI14" s="12" t="s">
        <v>106</v>
      </c>
      <c r="BJ14" s="32" t="s">
        <v>107</v>
      </c>
      <c r="BK14" t="s">
        <v>108</v>
      </c>
      <c r="BL14" s="12" t="s">
        <v>109</v>
      </c>
      <c r="BM14" s="12" t="s">
        <v>74</v>
      </c>
      <c r="BN14" s="12" t="s">
        <v>80</v>
      </c>
      <c r="BO14" s="12" t="s">
        <v>80</v>
      </c>
      <c r="BP14" s="12" t="s">
        <v>110</v>
      </c>
      <c r="BQ14" s="12" t="s">
        <v>111</v>
      </c>
      <c r="BR14" s="14" t="s">
        <v>112</v>
      </c>
      <c r="BS14" s="14" t="s">
        <v>113</v>
      </c>
      <c r="BT14" s="23">
        <v>40</v>
      </c>
      <c r="BU14" s="33">
        <v>213111231</v>
      </c>
    </row>
    <row r="15" spans="1:103" s="34" customFormat="1" ht="14.4" customHeight="1" x14ac:dyDescent="0.35">
      <c r="A15" t="s">
        <v>167</v>
      </c>
      <c r="B15" s="34" t="s">
        <v>168</v>
      </c>
      <c r="C15" s="10" t="s">
        <v>71</v>
      </c>
      <c r="D15" t="s">
        <v>72</v>
      </c>
      <c r="E15" s="11" t="s">
        <v>73</v>
      </c>
      <c r="F15" s="12" t="s">
        <v>74</v>
      </c>
      <c r="G15" t="s">
        <v>169</v>
      </c>
      <c r="H15" s="13" t="s">
        <v>76</v>
      </c>
      <c r="I15" s="14" t="s">
        <v>77</v>
      </c>
      <c r="J15" s="14" t="s">
        <v>78</v>
      </c>
      <c r="K15" s="14" t="s">
        <v>79</v>
      </c>
      <c r="L15" s="15">
        <f t="shared" si="0"/>
        <v>45414</v>
      </c>
      <c r="M15" s="12" t="s">
        <v>74</v>
      </c>
      <c r="N15" s="12" t="s">
        <v>80</v>
      </c>
      <c r="O15" s="12">
        <v>1</v>
      </c>
      <c r="P15" s="14" t="s">
        <v>81</v>
      </c>
      <c r="Q15" s="14" t="s">
        <v>82</v>
      </c>
      <c r="R15" s="14" t="s">
        <v>81</v>
      </c>
      <c r="S15" s="14" t="s">
        <v>83</v>
      </c>
      <c r="T15" s="14" t="s">
        <v>79</v>
      </c>
      <c r="U15" s="16" t="s">
        <v>84</v>
      </c>
      <c r="V15" s="17" t="s">
        <v>85</v>
      </c>
      <c r="W15" s="14" t="s">
        <v>79</v>
      </c>
      <c r="X15" s="18">
        <v>45414</v>
      </c>
      <c r="Y15" s="14" t="s">
        <v>86</v>
      </c>
      <c r="Z15" s="19" t="s">
        <v>170</v>
      </c>
      <c r="AA15" s="13" t="s">
        <v>118</v>
      </c>
      <c r="AB15" s="20" t="s">
        <v>166</v>
      </c>
      <c r="AC15" s="21" t="s">
        <v>90</v>
      </c>
      <c r="AD15" s="22" t="s">
        <v>91</v>
      </c>
      <c r="AE15" s="21" t="s">
        <v>92</v>
      </c>
      <c r="AF15" s="13">
        <v>5</v>
      </c>
      <c r="AG15" s="13">
        <v>40</v>
      </c>
      <c r="AH15" s="36">
        <v>46357</v>
      </c>
      <c r="AI15" s="37" t="s">
        <v>94</v>
      </c>
      <c r="AJ15" s="25" t="s">
        <v>95</v>
      </c>
      <c r="AK15" s="26">
        <f t="shared" si="1"/>
        <v>45414</v>
      </c>
      <c r="AL15" s="27">
        <f t="shared" si="2"/>
        <v>46357</v>
      </c>
      <c r="AM15" s="28">
        <f t="shared" si="3"/>
        <v>45414</v>
      </c>
      <c r="AN15" s="28">
        <f t="shared" si="4"/>
        <v>45414</v>
      </c>
      <c r="AO15" s="25" t="s">
        <v>96</v>
      </c>
      <c r="AP15" s="20" t="s">
        <v>97</v>
      </c>
      <c r="AQ15" s="12">
        <v>100</v>
      </c>
      <c r="AR15" s="28">
        <f t="shared" si="5"/>
        <v>45474</v>
      </c>
      <c r="AS15" s="12" t="s">
        <v>74</v>
      </c>
      <c r="AT15" s="29" t="s">
        <v>98</v>
      </c>
      <c r="AU15" s="30">
        <v>8312064783</v>
      </c>
      <c r="AV15" s="28" t="s">
        <v>99</v>
      </c>
      <c r="AW15" s="28" t="s">
        <v>100</v>
      </c>
      <c r="AX15" s="12" t="s">
        <v>74</v>
      </c>
      <c r="AY15" s="29" t="s">
        <v>101</v>
      </c>
      <c r="AZ15" s="30">
        <v>198306133</v>
      </c>
      <c r="BA15" s="28" t="s">
        <v>99</v>
      </c>
      <c r="BB15" s="28" t="s">
        <v>100</v>
      </c>
      <c r="BC15" s="31" t="s">
        <v>102</v>
      </c>
      <c r="BD15" s="18">
        <v>30656</v>
      </c>
      <c r="BE15" s="29" t="s">
        <v>81</v>
      </c>
      <c r="BF15" s="29" t="s">
        <v>103</v>
      </c>
      <c r="BG15" s="29" t="s">
        <v>104</v>
      </c>
      <c r="BH15" s="12" t="s">
        <v>105</v>
      </c>
      <c r="BI15" s="12" t="s">
        <v>106</v>
      </c>
      <c r="BJ15" s="32" t="s">
        <v>107</v>
      </c>
      <c r="BK15" t="s">
        <v>108</v>
      </c>
      <c r="BL15" s="12" t="s">
        <v>109</v>
      </c>
      <c r="BM15" s="12" t="s">
        <v>74</v>
      </c>
      <c r="BN15" s="12" t="s">
        <v>80</v>
      </c>
      <c r="BO15" s="12" t="s">
        <v>80</v>
      </c>
      <c r="BP15" s="12" t="s">
        <v>110</v>
      </c>
      <c r="BQ15" s="12" t="s">
        <v>111</v>
      </c>
      <c r="BR15" s="14" t="s">
        <v>112</v>
      </c>
      <c r="BS15" s="14" t="s">
        <v>113</v>
      </c>
      <c r="BT15" s="23">
        <v>40</v>
      </c>
      <c r="BU15" s="33">
        <v>213111231</v>
      </c>
    </row>
    <row r="16" spans="1:103" ht="14.4" customHeight="1" x14ac:dyDescent="0.35">
      <c r="A16" t="s">
        <v>171</v>
      </c>
      <c r="C16" s="10"/>
      <c r="D16" t="s">
        <v>72</v>
      </c>
      <c r="E16" s="11" t="s">
        <v>73</v>
      </c>
      <c r="F16" s="12" t="s">
        <v>74</v>
      </c>
      <c r="G16" t="s">
        <v>172</v>
      </c>
      <c r="H16" s="13" t="s">
        <v>76</v>
      </c>
      <c r="I16" s="14" t="s">
        <v>77</v>
      </c>
      <c r="J16" s="14" t="s">
        <v>78</v>
      </c>
      <c r="K16" s="14" t="s">
        <v>79</v>
      </c>
      <c r="L16" s="15">
        <f t="shared" si="0"/>
        <v>44807</v>
      </c>
      <c r="M16" s="12" t="s">
        <v>74</v>
      </c>
      <c r="N16" s="12" t="s">
        <v>80</v>
      </c>
      <c r="O16" s="12">
        <v>1</v>
      </c>
      <c r="P16" s="14" t="s">
        <v>81</v>
      </c>
      <c r="Q16" s="14" t="s">
        <v>82</v>
      </c>
      <c r="R16" s="14" t="s">
        <v>81</v>
      </c>
      <c r="S16" s="14" t="s">
        <v>83</v>
      </c>
      <c r="T16" s="14" t="s">
        <v>79</v>
      </c>
      <c r="U16" s="16" t="s">
        <v>84</v>
      </c>
      <c r="V16" s="17" t="s">
        <v>85</v>
      </c>
      <c r="W16" s="14" t="s">
        <v>79</v>
      </c>
      <c r="X16" s="18">
        <v>44807</v>
      </c>
      <c r="Y16" s="14" t="s">
        <v>86</v>
      </c>
      <c r="Z16" s="19" t="s">
        <v>170</v>
      </c>
      <c r="AA16" s="13" t="s">
        <v>88</v>
      </c>
      <c r="AB16" s="20" t="s">
        <v>166</v>
      </c>
      <c r="AC16" s="21" t="s">
        <v>90</v>
      </c>
      <c r="AD16" s="22" t="s">
        <v>91</v>
      </c>
      <c r="AE16" s="21" t="s">
        <v>92</v>
      </c>
      <c r="AF16" s="13">
        <v>5</v>
      </c>
      <c r="AG16" s="13">
        <v>37.5</v>
      </c>
      <c r="AH16" s="38" t="s">
        <v>93</v>
      </c>
      <c r="AI16" s="37" t="s">
        <v>94</v>
      </c>
      <c r="AJ16" s="25" t="s">
        <v>95</v>
      </c>
      <c r="AK16" s="26">
        <f t="shared" si="1"/>
        <v>44807</v>
      </c>
      <c r="AL16" s="27" t="str">
        <f t="shared" si="2"/>
        <v>N/A</v>
      </c>
      <c r="AM16" s="28">
        <f t="shared" si="3"/>
        <v>44807</v>
      </c>
      <c r="AN16" s="28">
        <f t="shared" si="4"/>
        <v>44807</v>
      </c>
      <c r="AO16" s="25" t="s">
        <v>96</v>
      </c>
      <c r="AP16" s="20" t="s">
        <v>97</v>
      </c>
      <c r="AQ16" s="12">
        <v>100</v>
      </c>
      <c r="AR16" s="28">
        <f t="shared" si="5"/>
        <v>44867</v>
      </c>
      <c r="AS16" s="12" t="s">
        <v>74</v>
      </c>
      <c r="AT16" s="29" t="s">
        <v>98</v>
      </c>
      <c r="AU16" s="30">
        <v>8312064948</v>
      </c>
      <c r="AV16" s="28" t="s">
        <v>99</v>
      </c>
      <c r="AW16" s="28" t="s">
        <v>100</v>
      </c>
      <c r="AX16" s="12" t="s">
        <v>74</v>
      </c>
      <c r="AY16" s="29" t="s">
        <v>101</v>
      </c>
      <c r="AZ16" s="30">
        <v>198306134</v>
      </c>
      <c r="BA16" s="28" t="s">
        <v>99</v>
      </c>
      <c r="BB16" s="28" t="s">
        <v>100</v>
      </c>
      <c r="BC16" s="31" t="s">
        <v>102</v>
      </c>
      <c r="BD16" s="18">
        <v>30656</v>
      </c>
      <c r="BE16" s="29" t="s">
        <v>81</v>
      </c>
      <c r="BF16" s="29" t="s">
        <v>103</v>
      </c>
      <c r="BG16" s="29" t="s">
        <v>104</v>
      </c>
      <c r="BH16" s="12" t="s">
        <v>105</v>
      </c>
      <c r="BI16" s="12" t="s">
        <v>106</v>
      </c>
      <c r="BJ16" s="32" t="s">
        <v>107</v>
      </c>
      <c r="BK16" t="s">
        <v>108</v>
      </c>
      <c r="BL16" s="12" t="s">
        <v>109</v>
      </c>
      <c r="BM16" s="12" t="s">
        <v>74</v>
      </c>
      <c r="BN16" s="12" t="s">
        <v>80</v>
      </c>
      <c r="BO16" s="12" t="s">
        <v>80</v>
      </c>
      <c r="BP16" s="12" t="s">
        <v>110</v>
      </c>
      <c r="BQ16" s="12" t="s">
        <v>111</v>
      </c>
      <c r="BR16" s="14" t="s">
        <v>112</v>
      </c>
      <c r="BS16" s="14" t="s">
        <v>113</v>
      </c>
      <c r="BT16" s="23">
        <v>37.5</v>
      </c>
      <c r="BU16" s="33">
        <v>213111231</v>
      </c>
    </row>
    <row r="17" spans="1:73" ht="14.4" customHeight="1" x14ac:dyDescent="0.35">
      <c r="A17" t="s">
        <v>173</v>
      </c>
      <c r="C17" s="10"/>
      <c r="D17" t="s">
        <v>72</v>
      </c>
      <c r="E17" s="11" t="s">
        <v>73</v>
      </c>
      <c r="F17" s="12" t="s">
        <v>74</v>
      </c>
      <c r="G17" t="s">
        <v>174</v>
      </c>
      <c r="H17" s="13" t="s">
        <v>76</v>
      </c>
      <c r="I17" s="14" t="s">
        <v>122</v>
      </c>
      <c r="J17" s="14" t="s">
        <v>78</v>
      </c>
      <c r="K17" s="14" t="s">
        <v>79</v>
      </c>
      <c r="L17" s="15">
        <f t="shared" ca="1" si="0"/>
        <v>45769</v>
      </c>
      <c r="M17" s="12" t="s">
        <v>74</v>
      </c>
      <c r="N17" s="12" t="s">
        <v>80</v>
      </c>
      <c r="O17" s="12">
        <v>1</v>
      </c>
      <c r="P17" s="14" t="s">
        <v>81</v>
      </c>
      <c r="Q17" s="14" t="s">
        <v>82</v>
      </c>
      <c r="R17" s="14" t="s">
        <v>81</v>
      </c>
      <c r="S17" s="14" t="s">
        <v>83</v>
      </c>
      <c r="T17" s="14" t="s">
        <v>79</v>
      </c>
      <c r="U17" s="16" t="s">
        <v>84</v>
      </c>
      <c r="V17" s="17" t="s">
        <v>85</v>
      </c>
      <c r="W17" s="14" t="s">
        <v>79</v>
      </c>
      <c r="X17" s="18">
        <f ca="1">TODAY()+60</f>
        <v>45769</v>
      </c>
      <c r="Y17" s="14" t="s">
        <v>86</v>
      </c>
      <c r="Z17" s="19" t="s">
        <v>170</v>
      </c>
      <c r="AA17" s="13" t="s">
        <v>118</v>
      </c>
      <c r="AB17" s="20" t="s">
        <v>166</v>
      </c>
      <c r="AC17" s="21" t="s">
        <v>90</v>
      </c>
      <c r="AD17" s="22" t="s">
        <v>91</v>
      </c>
      <c r="AE17" s="21" t="s">
        <v>92</v>
      </c>
      <c r="AF17" s="13">
        <v>5</v>
      </c>
      <c r="AG17" s="13">
        <v>37.5</v>
      </c>
      <c r="AH17" s="36">
        <v>46357</v>
      </c>
      <c r="AI17" s="37" t="s">
        <v>94</v>
      </c>
      <c r="AJ17" s="25" t="s">
        <v>95</v>
      </c>
      <c r="AK17" s="26">
        <f t="shared" ca="1" si="1"/>
        <v>45769</v>
      </c>
      <c r="AL17" s="27">
        <f t="shared" si="2"/>
        <v>46357</v>
      </c>
      <c r="AM17" s="28">
        <f t="shared" ca="1" si="3"/>
        <v>45769</v>
      </c>
      <c r="AN17" s="28">
        <f t="shared" ca="1" si="4"/>
        <v>45769</v>
      </c>
      <c r="AO17" s="25" t="s">
        <v>96</v>
      </c>
      <c r="AP17" s="20" t="s">
        <v>97</v>
      </c>
      <c r="AQ17" s="12">
        <v>100</v>
      </c>
      <c r="AR17" s="28">
        <f t="shared" ca="1" si="5"/>
        <v>45829</v>
      </c>
      <c r="AS17" s="12" t="s">
        <v>74</v>
      </c>
      <c r="AT17" s="29" t="s">
        <v>98</v>
      </c>
      <c r="AU17" s="30">
        <v>8312064981</v>
      </c>
      <c r="AV17" s="28" t="s">
        <v>99</v>
      </c>
      <c r="AW17" s="28" t="s">
        <v>100</v>
      </c>
      <c r="AX17" s="12" t="s">
        <v>74</v>
      </c>
      <c r="AY17" s="29" t="s">
        <v>101</v>
      </c>
      <c r="AZ17" s="30">
        <v>198306135</v>
      </c>
      <c r="BA17" s="28" t="s">
        <v>99</v>
      </c>
      <c r="BB17" s="28" t="s">
        <v>100</v>
      </c>
      <c r="BC17" s="31" t="s">
        <v>102</v>
      </c>
      <c r="BD17" s="18">
        <v>30656</v>
      </c>
      <c r="BE17" s="29" t="s">
        <v>81</v>
      </c>
      <c r="BF17" s="29" t="s">
        <v>103</v>
      </c>
      <c r="BG17" s="29" t="s">
        <v>104</v>
      </c>
      <c r="BH17" s="12" t="s">
        <v>105</v>
      </c>
      <c r="BI17" s="12" t="s">
        <v>106</v>
      </c>
      <c r="BJ17" s="32" t="s">
        <v>107</v>
      </c>
      <c r="BK17" t="s">
        <v>108</v>
      </c>
      <c r="BL17" s="12" t="s">
        <v>109</v>
      </c>
      <c r="BM17" s="12" t="s">
        <v>74</v>
      </c>
      <c r="BN17" s="12" t="s">
        <v>80</v>
      </c>
      <c r="BO17" s="12" t="s">
        <v>80</v>
      </c>
      <c r="BP17" s="12" t="s">
        <v>110</v>
      </c>
      <c r="BQ17" s="12" t="s">
        <v>111</v>
      </c>
      <c r="BR17" s="14" t="s">
        <v>112</v>
      </c>
      <c r="BS17" s="14" t="s">
        <v>113</v>
      </c>
      <c r="BT17" s="23">
        <v>37.5</v>
      </c>
      <c r="BU17" s="33">
        <v>213111231</v>
      </c>
    </row>
    <row r="18" spans="1:73" ht="14.4" customHeight="1" x14ac:dyDescent="0.35">
      <c r="A18" t="s">
        <v>175</v>
      </c>
      <c r="C18" s="10"/>
      <c r="D18" t="s">
        <v>72</v>
      </c>
      <c r="E18" s="11" t="s">
        <v>73</v>
      </c>
      <c r="F18" s="12" t="s">
        <v>74</v>
      </c>
      <c r="G18" t="s">
        <v>176</v>
      </c>
      <c r="H18" s="13" t="s">
        <v>76</v>
      </c>
      <c r="I18" s="14" t="s">
        <v>77</v>
      </c>
      <c r="J18" s="14" t="s">
        <v>78</v>
      </c>
      <c r="K18" s="14" t="s">
        <v>79</v>
      </c>
      <c r="L18" s="15">
        <f t="shared" si="0"/>
        <v>45231</v>
      </c>
      <c r="M18" s="12" t="s">
        <v>74</v>
      </c>
      <c r="N18" s="12" t="s">
        <v>80</v>
      </c>
      <c r="O18" s="12">
        <v>1</v>
      </c>
      <c r="P18" s="14" t="s">
        <v>81</v>
      </c>
      <c r="Q18" s="14" t="s">
        <v>82</v>
      </c>
      <c r="R18" s="14" t="s">
        <v>81</v>
      </c>
      <c r="S18" s="14" t="s">
        <v>83</v>
      </c>
      <c r="T18" s="14" t="s">
        <v>79</v>
      </c>
      <c r="U18" s="16" t="s">
        <v>84</v>
      </c>
      <c r="V18" s="17" t="s">
        <v>85</v>
      </c>
      <c r="W18" s="14" t="s">
        <v>79</v>
      </c>
      <c r="X18" s="18">
        <v>45231</v>
      </c>
      <c r="Y18" s="14" t="s">
        <v>86</v>
      </c>
      <c r="Z18" s="19" t="s">
        <v>170</v>
      </c>
      <c r="AA18" s="13" t="s">
        <v>88</v>
      </c>
      <c r="AB18" s="20" t="s">
        <v>177</v>
      </c>
      <c r="AC18" s="21" t="s">
        <v>90</v>
      </c>
      <c r="AD18" s="22" t="s">
        <v>91</v>
      </c>
      <c r="AE18" s="21" t="s">
        <v>92</v>
      </c>
      <c r="AF18" s="13">
        <v>5</v>
      </c>
      <c r="AG18" s="13">
        <v>40</v>
      </c>
      <c r="AH18" s="38" t="s">
        <v>93</v>
      </c>
      <c r="AI18" s="37" t="s">
        <v>94</v>
      </c>
      <c r="AJ18" s="25" t="s">
        <v>95</v>
      </c>
      <c r="AK18" s="26">
        <f t="shared" si="1"/>
        <v>45231</v>
      </c>
      <c r="AL18" s="27" t="str">
        <f t="shared" si="2"/>
        <v>N/A</v>
      </c>
      <c r="AM18" s="28">
        <f t="shared" si="3"/>
        <v>45231</v>
      </c>
      <c r="AN18" s="28">
        <f t="shared" si="4"/>
        <v>45231</v>
      </c>
      <c r="AO18" s="25" t="s">
        <v>96</v>
      </c>
      <c r="AP18" s="20" t="s">
        <v>97</v>
      </c>
      <c r="AQ18" s="12">
        <v>100</v>
      </c>
      <c r="AR18" s="28">
        <f t="shared" si="5"/>
        <v>45291</v>
      </c>
      <c r="AS18" s="12" t="s">
        <v>74</v>
      </c>
      <c r="AT18" s="29" t="s">
        <v>98</v>
      </c>
      <c r="AU18" s="30">
        <v>8312065014</v>
      </c>
      <c r="AV18" s="28" t="s">
        <v>99</v>
      </c>
      <c r="AW18" s="28" t="s">
        <v>100</v>
      </c>
      <c r="AX18" s="12" t="s">
        <v>74</v>
      </c>
      <c r="AY18" s="29" t="s">
        <v>101</v>
      </c>
      <c r="AZ18" s="30">
        <v>198306136</v>
      </c>
      <c r="BA18" s="28" t="s">
        <v>99</v>
      </c>
      <c r="BB18" s="28" t="s">
        <v>100</v>
      </c>
      <c r="BC18" s="31" t="s">
        <v>102</v>
      </c>
      <c r="BD18" s="18">
        <v>30656</v>
      </c>
      <c r="BE18" s="29" t="s">
        <v>81</v>
      </c>
      <c r="BF18" s="29" t="s">
        <v>103</v>
      </c>
      <c r="BG18" s="29" t="s">
        <v>104</v>
      </c>
      <c r="BH18" s="12" t="s">
        <v>105</v>
      </c>
      <c r="BI18" s="12" t="s">
        <v>106</v>
      </c>
      <c r="BJ18" s="32" t="s">
        <v>107</v>
      </c>
      <c r="BK18" t="s">
        <v>108</v>
      </c>
      <c r="BL18" s="12" t="s">
        <v>109</v>
      </c>
      <c r="BM18" s="12" t="s">
        <v>74</v>
      </c>
      <c r="BN18" s="12" t="s">
        <v>80</v>
      </c>
      <c r="BO18" s="12" t="s">
        <v>80</v>
      </c>
      <c r="BP18" s="12" t="s">
        <v>110</v>
      </c>
      <c r="BQ18" s="12" t="s">
        <v>111</v>
      </c>
      <c r="BR18" s="14" t="s">
        <v>112</v>
      </c>
      <c r="BS18" s="14" t="s">
        <v>113</v>
      </c>
      <c r="BT18" s="23">
        <v>40</v>
      </c>
      <c r="BU18" s="33">
        <v>213111231</v>
      </c>
    </row>
    <row r="19" spans="1:73" s="34" customFormat="1" ht="14.4" customHeight="1" x14ac:dyDescent="0.35">
      <c r="A19" t="s">
        <v>178</v>
      </c>
      <c r="B19" s="39"/>
      <c r="C19" s="10"/>
      <c r="D19" t="s">
        <v>72</v>
      </c>
      <c r="E19" s="11" t="s">
        <v>73</v>
      </c>
      <c r="F19" s="12" t="s">
        <v>74</v>
      </c>
      <c r="G19" t="s">
        <v>179</v>
      </c>
      <c r="H19" s="13" t="s">
        <v>76</v>
      </c>
      <c r="I19" s="14" t="s">
        <v>77</v>
      </c>
      <c r="J19" s="14" t="s">
        <v>78</v>
      </c>
      <c r="K19" s="14" t="s">
        <v>79</v>
      </c>
      <c r="L19" s="15">
        <f t="shared" si="0"/>
        <v>45537</v>
      </c>
      <c r="M19" s="12" t="s">
        <v>74</v>
      </c>
      <c r="N19" s="12" t="s">
        <v>80</v>
      </c>
      <c r="O19" s="12">
        <v>1</v>
      </c>
      <c r="P19" s="14" t="s">
        <v>81</v>
      </c>
      <c r="Q19" s="14" t="s">
        <v>82</v>
      </c>
      <c r="R19" s="14" t="s">
        <v>81</v>
      </c>
      <c r="S19" s="14" t="s">
        <v>83</v>
      </c>
      <c r="T19" s="14" t="s">
        <v>79</v>
      </c>
      <c r="U19" s="16" t="s">
        <v>84</v>
      </c>
      <c r="V19" s="17" t="s">
        <v>85</v>
      </c>
      <c r="W19" s="14" t="s">
        <v>79</v>
      </c>
      <c r="X19" s="18">
        <v>45537</v>
      </c>
      <c r="Y19" s="14" t="s">
        <v>86</v>
      </c>
      <c r="Z19" s="19" t="s">
        <v>170</v>
      </c>
      <c r="AA19" s="13" t="s">
        <v>118</v>
      </c>
      <c r="AB19" s="20" t="s">
        <v>177</v>
      </c>
      <c r="AC19" s="21" t="s">
        <v>90</v>
      </c>
      <c r="AD19" s="22" t="s">
        <v>91</v>
      </c>
      <c r="AE19" s="21" t="s">
        <v>92</v>
      </c>
      <c r="AF19" s="13">
        <v>5</v>
      </c>
      <c r="AG19" s="13">
        <v>40</v>
      </c>
      <c r="AH19" s="36">
        <v>46357</v>
      </c>
      <c r="AI19" s="37" t="s">
        <v>94</v>
      </c>
      <c r="AJ19" s="25" t="s">
        <v>95</v>
      </c>
      <c r="AK19" s="26">
        <f t="shared" si="1"/>
        <v>45537</v>
      </c>
      <c r="AL19" s="27">
        <f t="shared" si="2"/>
        <v>46357</v>
      </c>
      <c r="AM19" s="28">
        <f t="shared" si="3"/>
        <v>45537</v>
      </c>
      <c r="AN19" s="28">
        <f t="shared" si="4"/>
        <v>45537</v>
      </c>
      <c r="AO19" s="25" t="s">
        <v>96</v>
      </c>
      <c r="AP19" s="20" t="s">
        <v>97</v>
      </c>
      <c r="AQ19" s="12">
        <v>100</v>
      </c>
      <c r="AR19" s="28">
        <f t="shared" si="5"/>
        <v>45597</v>
      </c>
      <c r="AS19" s="12" t="s">
        <v>74</v>
      </c>
      <c r="AT19" s="29" t="s">
        <v>98</v>
      </c>
      <c r="AU19" s="30">
        <v>8312065344</v>
      </c>
      <c r="AV19" s="28" t="s">
        <v>99</v>
      </c>
      <c r="AW19" s="28" t="s">
        <v>100</v>
      </c>
      <c r="AX19" s="12" t="s">
        <v>74</v>
      </c>
      <c r="AY19" s="29" t="s">
        <v>101</v>
      </c>
      <c r="AZ19" s="30">
        <v>198306137</v>
      </c>
      <c r="BA19" s="28" t="s">
        <v>99</v>
      </c>
      <c r="BB19" s="28" t="s">
        <v>100</v>
      </c>
      <c r="BC19" s="31" t="s">
        <v>102</v>
      </c>
      <c r="BD19" s="18">
        <v>30656</v>
      </c>
      <c r="BE19" s="29" t="s">
        <v>81</v>
      </c>
      <c r="BF19" s="29" t="s">
        <v>103</v>
      </c>
      <c r="BG19" s="29" t="s">
        <v>104</v>
      </c>
      <c r="BH19" s="12" t="s">
        <v>105</v>
      </c>
      <c r="BI19" s="12" t="s">
        <v>106</v>
      </c>
      <c r="BJ19" s="32" t="s">
        <v>107</v>
      </c>
      <c r="BK19" t="s">
        <v>108</v>
      </c>
      <c r="BL19" s="12" t="s">
        <v>109</v>
      </c>
      <c r="BM19" s="12" t="s">
        <v>74</v>
      </c>
      <c r="BN19" s="12" t="s">
        <v>80</v>
      </c>
      <c r="BO19" s="12" t="s">
        <v>80</v>
      </c>
      <c r="BP19" s="12" t="s">
        <v>110</v>
      </c>
      <c r="BQ19" s="12" t="s">
        <v>111</v>
      </c>
      <c r="BR19" s="14" t="s">
        <v>112</v>
      </c>
      <c r="BS19" s="14" t="s">
        <v>113</v>
      </c>
      <c r="BT19" s="23">
        <v>40</v>
      </c>
      <c r="BU19" s="33">
        <v>213111231</v>
      </c>
    </row>
    <row r="20" spans="1:73" ht="14.4" customHeight="1" x14ac:dyDescent="0.35">
      <c r="A20" t="s">
        <v>180</v>
      </c>
      <c r="C20" s="10"/>
      <c r="D20" t="s">
        <v>72</v>
      </c>
      <c r="E20" s="11" t="s">
        <v>73</v>
      </c>
      <c r="F20" s="12" t="s">
        <v>74</v>
      </c>
      <c r="G20" t="s">
        <v>181</v>
      </c>
      <c r="H20" s="13" t="s">
        <v>76</v>
      </c>
      <c r="I20" s="14" t="s">
        <v>122</v>
      </c>
      <c r="J20" s="14" t="s">
        <v>78</v>
      </c>
      <c r="K20" s="14" t="s">
        <v>79</v>
      </c>
      <c r="L20" s="15">
        <f t="shared" si="0"/>
        <v>44654</v>
      </c>
      <c r="M20" s="12" t="s">
        <v>74</v>
      </c>
      <c r="N20" s="12" t="s">
        <v>80</v>
      </c>
      <c r="O20" s="12">
        <v>1</v>
      </c>
      <c r="P20" s="14" t="s">
        <v>81</v>
      </c>
      <c r="Q20" s="14" t="s">
        <v>82</v>
      </c>
      <c r="R20" s="14" t="s">
        <v>81</v>
      </c>
      <c r="S20" s="14" t="s">
        <v>83</v>
      </c>
      <c r="T20" s="14" t="s">
        <v>79</v>
      </c>
      <c r="U20" s="16" t="s">
        <v>84</v>
      </c>
      <c r="V20" s="17" t="s">
        <v>85</v>
      </c>
      <c r="W20" s="14" t="s">
        <v>79</v>
      </c>
      <c r="X20" s="18">
        <v>44654</v>
      </c>
      <c r="Y20" s="14" t="s">
        <v>86</v>
      </c>
      <c r="Z20" s="19" t="s">
        <v>170</v>
      </c>
      <c r="AA20" s="13" t="s">
        <v>88</v>
      </c>
      <c r="AB20" s="20" t="s">
        <v>177</v>
      </c>
      <c r="AC20" s="21" t="s">
        <v>90</v>
      </c>
      <c r="AD20" s="22" t="s">
        <v>91</v>
      </c>
      <c r="AE20" s="21" t="s">
        <v>92</v>
      </c>
      <c r="AF20" s="13">
        <v>5</v>
      </c>
      <c r="AG20" s="13">
        <v>37.5</v>
      </c>
      <c r="AH20" s="38" t="s">
        <v>93</v>
      </c>
      <c r="AI20" s="37" t="s">
        <v>94</v>
      </c>
      <c r="AJ20" s="25" t="s">
        <v>95</v>
      </c>
      <c r="AK20" s="26">
        <f t="shared" si="1"/>
        <v>44654</v>
      </c>
      <c r="AL20" s="27" t="str">
        <f t="shared" si="2"/>
        <v>N/A</v>
      </c>
      <c r="AM20" s="28">
        <f t="shared" si="3"/>
        <v>44654</v>
      </c>
      <c r="AN20" s="28">
        <f t="shared" si="4"/>
        <v>44654</v>
      </c>
      <c r="AO20" s="25" t="s">
        <v>96</v>
      </c>
      <c r="AP20" s="20" t="s">
        <v>97</v>
      </c>
      <c r="AQ20" s="12">
        <v>100</v>
      </c>
      <c r="AR20" s="28">
        <f t="shared" si="5"/>
        <v>44714</v>
      </c>
      <c r="AS20" s="12" t="s">
        <v>74</v>
      </c>
      <c r="AT20" s="29" t="s">
        <v>98</v>
      </c>
      <c r="AU20" s="30">
        <v>8312065685</v>
      </c>
      <c r="AV20" s="28" t="s">
        <v>99</v>
      </c>
      <c r="AW20" s="28" t="s">
        <v>100</v>
      </c>
      <c r="AX20" s="12" t="s">
        <v>74</v>
      </c>
      <c r="AY20" s="29" t="s">
        <v>101</v>
      </c>
      <c r="AZ20" s="30">
        <v>198306138</v>
      </c>
      <c r="BA20" s="28" t="s">
        <v>99</v>
      </c>
      <c r="BB20" s="28" t="s">
        <v>100</v>
      </c>
      <c r="BC20" s="31" t="s">
        <v>102</v>
      </c>
      <c r="BD20" s="18">
        <v>30656</v>
      </c>
      <c r="BE20" s="29" t="s">
        <v>81</v>
      </c>
      <c r="BF20" s="29" t="s">
        <v>103</v>
      </c>
      <c r="BG20" s="29" t="s">
        <v>104</v>
      </c>
      <c r="BH20" s="12" t="s">
        <v>105</v>
      </c>
      <c r="BI20" s="12" t="s">
        <v>106</v>
      </c>
      <c r="BJ20" s="32" t="s">
        <v>107</v>
      </c>
      <c r="BK20" t="s">
        <v>108</v>
      </c>
      <c r="BL20" s="12" t="s">
        <v>109</v>
      </c>
      <c r="BM20" s="12" t="s">
        <v>74</v>
      </c>
      <c r="BN20" s="12" t="s">
        <v>80</v>
      </c>
      <c r="BO20" s="12" t="s">
        <v>80</v>
      </c>
      <c r="BP20" s="12" t="s">
        <v>110</v>
      </c>
      <c r="BQ20" s="12" t="s">
        <v>111</v>
      </c>
      <c r="BR20" s="14" t="s">
        <v>112</v>
      </c>
      <c r="BS20" s="14" t="s">
        <v>113</v>
      </c>
      <c r="BT20" s="23">
        <v>37.5</v>
      </c>
      <c r="BU20" s="33">
        <v>213111231</v>
      </c>
    </row>
    <row r="21" spans="1:73" ht="14.4" customHeight="1" x14ac:dyDescent="0.35">
      <c r="A21" t="s">
        <v>182</v>
      </c>
      <c r="C21" s="10"/>
      <c r="D21" t="s">
        <v>72</v>
      </c>
      <c r="E21" s="11" t="s">
        <v>73</v>
      </c>
      <c r="F21" s="12" t="s">
        <v>74</v>
      </c>
      <c r="G21" t="s">
        <v>183</v>
      </c>
      <c r="H21" s="13" t="s">
        <v>76</v>
      </c>
      <c r="I21" s="14" t="s">
        <v>77</v>
      </c>
      <c r="J21" s="14" t="s">
        <v>78</v>
      </c>
      <c r="K21" s="14" t="s">
        <v>79</v>
      </c>
      <c r="L21" s="15">
        <f t="shared" ca="1" si="0"/>
        <v>45769</v>
      </c>
      <c r="M21" s="12" t="s">
        <v>74</v>
      </c>
      <c r="N21" s="12" t="s">
        <v>80</v>
      </c>
      <c r="O21" s="12">
        <v>1</v>
      </c>
      <c r="P21" s="14" t="s">
        <v>81</v>
      </c>
      <c r="Q21" s="14" t="s">
        <v>82</v>
      </c>
      <c r="R21" s="14" t="s">
        <v>81</v>
      </c>
      <c r="S21" s="14" t="s">
        <v>83</v>
      </c>
      <c r="T21" s="14" t="s">
        <v>79</v>
      </c>
      <c r="U21" s="16" t="s">
        <v>84</v>
      </c>
      <c r="V21" s="17" t="s">
        <v>85</v>
      </c>
      <c r="W21" s="14" t="s">
        <v>79</v>
      </c>
      <c r="X21" s="18">
        <f ca="1">TODAY()+60</f>
        <v>45769</v>
      </c>
      <c r="Y21" s="14" t="s">
        <v>86</v>
      </c>
      <c r="Z21" s="19" t="s">
        <v>170</v>
      </c>
      <c r="AA21" s="13" t="s">
        <v>118</v>
      </c>
      <c r="AB21" s="20" t="s">
        <v>177</v>
      </c>
      <c r="AC21" s="21" t="s">
        <v>90</v>
      </c>
      <c r="AD21" s="22" t="s">
        <v>91</v>
      </c>
      <c r="AE21" s="21" t="s">
        <v>92</v>
      </c>
      <c r="AF21" s="13">
        <v>5</v>
      </c>
      <c r="AG21" s="13">
        <v>37.5</v>
      </c>
      <c r="AH21" s="36">
        <v>46357</v>
      </c>
      <c r="AI21" s="37" t="s">
        <v>94</v>
      </c>
      <c r="AJ21" s="25" t="s">
        <v>95</v>
      </c>
      <c r="AK21" s="26">
        <f t="shared" ca="1" si="1"/>
        <v>45769</v>
      </c>
      <c r="AL21" s="27">
        <f t="shared" si="2"/>
        <v>46357</v>
      </c>
      <c r="AM21" s="28">
        <f t="shared" ca="1" si="3"/>
        <v>45769</v>
      </c>
      <c r="AN21" s="28">
        <f t="shared" ca="1" si="4"/>
        <v>45769</v>
      </c>
      <c r="AO21" s="25" t="s">
        <v>96</v>
      </c>
      <c r="AP21" s="20" t="s">
        <v>97</v>
      </c>
      <c r="AQ21" s="12">
        <v>100</v>
      </c>
      <c r="AR21" s="28">
        <f t="shared" ca="1" si="5"/>
        <v>45829</v>
      </c>
      <c r="AS21" s="12" t="s">
        <v>74</v>
      </c>
      <c r="AT21" s="29" t="s">
        <v>98</v>
      </c>
      <c r="AU21" s="30">
        <v>8312065729</v>
      </c>
      <c r="AV21" s="28" t="s">
        <v>99</v>
      </c>
      <c r="AW21" s="28" t="s">
        <v>100</v>
      </c>
      <c r="AX21" s="12" t="s">
        <v>74</v>
      </c>
      <c r="AY21" s="29" t="s">
        <v>101</v>
      </c>
      <c r="AZ21" s="30">
        <v>198306139</v>
      </c>
      <c r="BA21" s="28" t="s">
        <v>99</v>
      </c>
      <c r="BB21" s="28" t="s">
        <v>100</v>
      </c>
      <c r="BC21" s="31" t="s">
        <v>102</v>
      </c>
      <c r="BD21" s="18">
        <v>30656</v>
      </c>
      <c r="BE21" s="29" t="s">
        <v>81</v>
      </c>
      <c r="BF21" s="29" t="s">
        <v>103</v>
      </c>
      <c r="BG21" s="29" t="s">
        <v>104</v>
      </c>
      <c r="BH21" s="12" t="s">
        <v>105</v>
      </c>
      <c r="BI21" s="12" t="s">
        <v>106</v>
      </c>
      <c r="BJ21" s="32" t="s">
        <v>107</v>
      </c>
      <c r="BK21" t="s">
        <v>108</v>
      </c>
      <c r="BL21" s="12" t="s">
        <v>109</v>
      </c>
      <c r="BM21" s="12" t="s">
        <v>74</v>
      </c>
      <c r="BN21" s="12" t="s">
        <v>80</v>
      </c>
      <c r="BO21" s="12" t="s">
        <v>80</v>
      </c>
      <c r="BP21" s="12" t="s">
        <v>110</v>
      </c>
      <c r="BQ21" s="12" t="s">
        <v>111</v>
      </c>
      <c r="BR21" s="14" t="s">
        <v>112</v>
      </c>
      <c r="BS21" s="14" t="s">
        <v>113</v>
      </c>
      <c r="BT21" s="23">
        <v>37.5</v>
      </c>
      <c r="BU21" s="33">
        <v>213111231</v>
      </c>
    </row>
    <row r="22" spans="1:73" ht="14.4" customHeight="1" x14ac:dyDescent="0.35">
      <c r="A22" t="s">
        <v>184</v>
      </c>
      <c r="C22" s="10"/>
      <c r="D22" t="s">
        <v>72</v>
      </c>
      <c r="E22" s="11" t="s">
        <v>73</v>
      </c>
      <c r="F22" s="12" t="s">
        <v>74</v>
      </c>
      <c r="G22" t="s">
        <v>185</v>
      </c>
      <c r="H22" s="13" t="s">
        <v>76</v>
      </c>
      <c r="I22" s="14" t="s">
        <v>77</v>
      </c>
      <c r="J22" s="14" t="s">
        <v>78</v>
      </c>
      <c r="K22" s="14" t="s">
        <v>79</v>
      </c>
      <c r="L22" s="15">
        <f t="shared" si="0"/>
        <v>45170</v>
      </c>
      <c r="M22" s="12" t="s">
        <v>74</v>
      </c>
      <c r="N22" s="12" t="s">
        <v>80</v>
      </c>
      <c r="O22" s="12">
        <v>1</v>
      </c>
      <c r="P22" s="14" t="s">
        <v>81</v>
      </c>
      <c r="Q22" s="14" t="s">
        <v>82</v>
      </c>
      <c r="R22" s="14" t="s">
        <v>81</v>
      </c>
      <c r="S22" s="14" t="s">
        <v>83</v>
      </c>
      <c r="T22" s="14" t="s">
        <v>79</v>
      </c>
      <c r="U22" s="16" t="s">
        <v>84</v>
      </c>
      <c r="V22" s="17" t="s">
        <v>85</v>
      </c>
      <c r="W22" s="14" t="s">
        <v>79</v>
      </c>
      <c r="X22" s="18">
        <v>45170</v>
      </c>
      <c r="Y22" s="14" t="s">
        <v>86</v>
      </c>
      <c r="Z22" s="19" t="s">
        <v>186</v>
      </c>
      <c r="AA22" s="13" t="s">
        <v>88</v>
      </c>
      <c r="AB22" s="20" t="s">
        <v>187</v>
      </c>
      <c r="AC22" s="21" t="s">
        <v>90</v>
      </c>
      <c r="AD22" s="22" t="s">
        <v>91</v>
      </c>
      <c r="AE22" s="21" t="s">
        <v>92</v>
      </c>
      <c r="AF22" s="13">
        <v>5</v>
      </c>
      <c r="AG22" s="13">
        <v>40</v>
      </c>
      <c r="AH22" s="38" t="s">
        <v>93</v>
      </c>
      <c r="AI22" s="37" t="s">
        <v>94</v>
      </c>
      <c r="AJ22" s="25" t="s">
        <v>95</v>
      </c>
      <c r="AK22" s="26">
        <f t="shared" si="1"/>
        <v>45170</v>
      </c>
      <c r="AL22" s="27" t="str">
        <f t="shared" si="2"/>
        <v>N/A</v>
      </c>
      <c r="AM22" s="28">
        <f t="shared" si="3"/>
        <v>45170</v>
      </c>
      <c r="AN22" s="28">
        <f t="shared" si="4"/>
        <v>45170</v>
      </c>
      <c r="AO22" s="25" t="s">
        <v>96</v>
      </c>
      <c r="AP22" s="20" t="s">
        <v>97</v>
      </c>
      <c r="AQ22" s="12">
        <v>100</v>
      </c>
      <c r="AR22" s="28">
        <f t="shared" si="5"/>
        <v>45230</v>
      </c>
      <c r="AS22" s="12" t="s">
        <v>74</v>
      </c>
      <c r="AT22" s="29" t="s">
        <v>98</v>
      </c>
      <c r="AU22" s="30">
        <v>8312065762</v>
      </c>
      <c r="AV22" s="28" t="s">
        <v>99</v>
      </c>
      <c r="AW22" s="28" t="s">
        <v>100</v>
      </c>
      <c r="AX22" s="12" t="s">
        <v>74</v>
      </c>
      <c r="AY22" s="29" t="s">
        <v>101</v>
      </c>
      <c r="AZ22" s="30">
        <v>198306140</v>
      </c>
      <c r="BA22" s="28" t="s">
        <v>99</v>
      </c>
      <c r="BB22" s="28" t="s">
        <v>100</v>
      </c>
      <c r="BC22" s="31" t="s">
        <v>102</v>
      </c>
      <c r="BD22" s="18">
        <v>30656</v>
      </c>
      <c r="BE22" s="29" t="s">
        <v>81</v>
      </c>
      <c r="BF22" s="29" t="s">
        <v>103</v>
      </c>
      <c r="BG22" s="29" t="s">
        <v>104</v>
      </c>
      <c r="BH22" s="12" t="s">
        <v>105</v>
      </c>
      <c r="BI22" s="12" t="s">
        <v>106</v>
      </c>
      <c r="BJ22" s="32" t="s">
        <v>107</v>
      </c>
      <c r="BK22" t="s">
        <v>108</v>
      </c>
      <c r="BL22" s="12" t="s">
        <v>109</v>
      </c>
      <c r="BM22" s="12" t="s">
        <v>74</v>
      </c>
      <c r="BN22" s="12" t="s">
        <v>80</v>
      </c>
      <c r="BO22" s="12" t="s">
        <v>80</v>
      </c>
      <c r="BP22" s="12" t="s">
        <v>110</v>
      </c>
      <c r="BQ22" s="12" t="s">
        <v>111</v>
      </c>
      <c r="BR22" s="14" t="s">
        <v>112</v>
      </c>
      <c r="BS22" s="14" t="s">
        <v>113</v>
      </c>
      <c r="BT22" s="23">
        <v>40</v>
      </c>
      <c r="BU22" s="33">
        <v>213111231</v>
      </c>
    </row>
    <row r="23" spans="1:73" ht="14.4" customHeight="1" x14ac:dyDescent="0.35">
      <c r="A23" t="s">
        <v>188</v>
      </c>
      <c r="C23" s="10"/>
      <c r="D23" t="s">
        <v>72</v>
      </c>
      <c r="E23" s="11" t="s">
        <v>73</v>
      </c>
      <c r="F23" s="12" t="s">
        <v>74</v>
      </c>
      <c r="G23" t="s">
        <v>189</v>
      </c>
      <c r="H23" s="13" t="s">
        <v>76</v>
      </c>
      <c r="I23" s="14" t="s">
        <v>77</v>
      </c>
      <c r="J23" s="14" t="s">
        <v>78</v>
      </c>
      <c r="K23" s="14" t="s">
        <v>79</v>
      </c>
      <c r="L23" s="15">
        <f t="shared" si="0"/>
        <v>45353</v>
      </c>
      <c r="M23" s="12" t="s">
        <v>74</v>
      </c>
      <c r="N23" s="12" t="s">
        <v>80</v>
      </c>
      <c r="O23" s="12">
        <v>1</v>
      </c>
      <c r="P23" s="14" t="s">
        <v>81</v>
      </c>
      <c r="Q23" s="14" t="s">
        <v>82</v>
      </c>
      <c r="R23" s="14" t="s">
        <v>81</v>
      </c>
      <c r="S23" s="14" t="s">
        <v>83</v>
      </c>
      <c r="T23" s="14" t="s">
        <v>79</v>
      </c>
      <c r="U23" s="16" t="s">
        <v>84</v>
      </c>
      <c r="V23" s="17" t="s">
        <v>85</v>
      </c>
      <c r="W23" s="14" t="s">
        <v>79</v>
      </c>
      <c r="X23" s="18">
        <v>45353</v>
      </c>
      <c r="Y23" s="14" t="s">
        <v>86</v>
      </c>
      <c r="Z23" s="19" t="s">
        <v>186</v>
      </c>
      <c r="AA23" s="13" t="s">
        <v>118</v>
      </c>
      <c r="AB23" s="20" t="s">
        <v>187</v>
      </c>
      <c r="AC23" s="21" t="s">
        <v>90</v>
      </c>
      <c r="AD23" s="22" t="s">
        <v>91</v>
      </c>
      <c r="AE23" s="21" t="s">
        <v>92</v>
      </c>
      <c r="AF23" s="13">
        <v>5</v>
      </c>
      <c r="AG23" s="13">
        <v>40</v>
      </c>
      <c r="AH23" s="36">
        <v>46357</v>
      </c>
      <c r="AI23" s="37" t="s">
        <v>94</v>
      </c>
      <c r="AJ23" s="25" t="s">
        <v>95</v>
      </c>
      <c r="AK23" s="26">
        <f t="shared" si="1"/>
        <v>45353</v>
      </c>
      <c r="AL23" s="27">
        <f t="shared" si="2"/>
        <v>46357</v>
      </c>
      <c r="AM23" s="28">
        <f t="shared" si="3"/>
        <v>45353</v>
      </c>
      <c r="AN23" s="28">
        <f t="shared" si="4"/>
        <v>45353</v>
      </c>
      <c r="AO23" s="25" t="s">
        <v>96</v>
      </c>
      <c r="AP23" s="20" t="s">
        <v>97</v>
      </c>
      <c r="AQ23" s="12">
        <v>100</v>
      </c>
      <c r="AR23" s="28">
        <f t="shared" si="5"/>
        <v>45413</v>
      </c>
      <c r="AS23" s="12" t="s">
        <v>74</v>
      </c>
      <c r="AT23" s="29" t="s">
        <v>98</v>
      </c>
      <c r="AU23" s="30">
        <v>8312066147</v>
      </c>
      <c r="AV23" s="28" t="s">
        <v>99</v>
      </c>
      <c r="AW23" s="28" t="s">
        <v>100</v>
      </c>
      <c r="AX23" s="12" t="s">
        <v>74</v>
      </c>
      <c r="AY23" s="29" t="s">
        <v>101</v>
      </c>
      <c r="AZ23" s="30">
        <v>198306141</v>
      </c>
      <c r="BA23" s="28" t="s">
        <v>99</v>
      </c>
      <c r="BB23" s="28" t="s">
        <v>100</v>
      </c>
      <c r="BC23" s="31" t="s">
        <v>102</v>
      </c>
      <c r="BD23" s="18">
        <v>30656</v>
      </c>
      <c r="BE23" s="29" t="s">
        <v>81</v>
      </c>
      <c r="BF23" s="29" t="s">
        <v>103</v>
      </c>
      <c r="BG23" s="29" t="s">
        <v>104</v>
      </c>
      <c r="BH23" s="12" t="s">
        <v>105</v>
      </c>
      <c r="BI23" s="12" t="s">
        <v>106</v>
      </c>
      <c r="BJ23" s="32" t="s">
        <v>107</v>
      </c>
      <c r="BK23" t="s">
        <v>108</v>
      </c>
      <c r="BL23" s="12" t="s">
        <v>109</v>
      </c>
      <c r="BM23" s="12" t="s">
        <v>74</v>
      </c>
      <c r="BN23" s="12" t="s">
        <v>80</v>
      </c>
      <c r="BO23" s="12" t="s">
        <v>80</v>
      </c>
      <c r="BP23" s="12" t="s">
        <v>110</v>
      </c>
      <c r="BQ23" s="12" t="s">
        <v>111</v>
      </c>
      <c r="BR23" s="14" t="s">
        <v>112</v>
      </c>
      <c r="BS23" s="14" t="s">
        <v>113</v>
      </c>
      <c r="BT23" s="23">
        <v>40</v>
      </c>
      <c r="BU23" s="33">
        <v>213111231</v>
      </c>
    </row>
    <row r="24" spans="1:73" ht="14.4" customHeight="1" x14ac:dyDescent="0.35">
      <c r="A24" t="s">
        <v>190</v>
      </c>
      <c r="C24" s="10"/>
      <c r="D24" t="s">
        <v>72</v>
      </c>
      <c r="E24" s="11" t="s">
        <v>73</v>
      </c>
      <c r="F24" s="12" t="s">
        <v>74</v>
      </c>
      <c r="G24" t="s">
        <v>191</v>
      </c>
      <c r="H24" s="13" t="s">
        <v>76</v>
      </c>
      <c r="I24" s="14" t="s">
        <v>77</v>
      </c>
      <c r="J24" s="14" t="s">
        <v>78</v>
      </c>
      <c r="K24" s="14" t="s">
        <v>79</v>
      </c>
      <c r="L24" s="15">
        <f t="shared" si="0"/>
        <v>44807</v>
      </c>
      <c r="M24" s="12" t="s">
        <v>74</v>
      </c>
      <c r="N24" s="12" t="s">
        <v>80</v>
      </c>
      <c r="O24" s="12">
        <v>1</v>
      </c>
      <c r="P24" s="14" t="s">
        <v>81</v>
      </c>
      <c r="Q24" s="14" t="s">
        <v>82</v>
      </c>
      <c r="R24" s="14" t="s">
        <v>81</v>
      </c>
      <c r="S24" s="14" t="s">
        <v>83</v>
      </c>
      <c r="T24" s="14" t="s">
        <v>79</v>
      </c>
      <c r="U24" s="16" t="s">
        <v>84</v>
      </c>
      <c r="V24" s="17" t="s">
        <v>85</v>
      </c>
      <c r="W24" s="14" t="s">
        <v>79</v>
      </c>
      <c r="X24" s="18">
        <v>44807</v>
      </c>
      <c r="Y24" s="14" t="s">
        <v>86</v>
      </c>
      <c r="Z24" s="19" t="s">
        <v>170</v>
      </c>
      <c r="AA24" s="13" t="s">
        <v>88</v>
      </c>
      <c r="AB24" s="20" t="s">
        <v>187</v>
      </c>
      <c r="AC24" s="21" t="s">
        <v>90</v>
      </c>
      <c r="AD24" s="22" t="s">
        <v>91</v>
      </c>
      <c r="AE24" s="21" t="s">
        <v>92</v>
      </c>
      <c r="AF24" s="13">
        <v>5</v>
      </c>
      <c r="AG24" s="13">
        <v>37.5</v>
      </c>
      <c r="AH24" s="38" t="s">
        <v>93</v>
      </c>
      <c r="AI24" s="37" t="s">
        <v>94</v>
      </c>
      <c r="AJ24" s="25" t="s">
        <v>95</v>
      </c>
      <c r="AK24" s="26">
        <f t="shared" si="1"/>
        <v>44807</v>
      </c>
      <c r="AL24" s="27" t="str">
        <f t="shared" si="2"/>
        <v>N/A</v>
      </c>
      <c r="AM24" s="28">
        <f t="shared" si="3"/>
        <v>44807</v>
      </c>
      <c r="AN24" s="28">
        <f t="shared" si="4"/>
        <v>44807</v>
      </c>
      <c r="AO24" s="25" t="s">
        <v>96</v>
      </c>
      <c r="AP24" s="20" t="s">
        <v>97</v>
      </c>
      <c r="AQ24" s="12">
        <v>100</v>
      </c>
      <c r="AR24" s="28">
        <f t="shared" si="5"/>
        <v>44867</v>
      </c>
      <c r="AS24" s="12" t="s">
        <v>74</v>
      </c>
      <c r="AT24" s="29" t="s">
        <v>98</v>
      </c>
      <c r="AU24" s="30">
        <v>8312066312</v>
      </c>
      <c r="AV24" s="28" t="s">
        <v>99</v>
      </c>
      <c r="AW24" s="28" t="s">
        <v>100</v>
      </c>
      <c r="AX24" s="12" t="s">
        <v>74</v>
      </c>
      <c r="AY24" s="29" t="s">
        <v>101</v>
      </c>
      <c r="AZ24" s="30">
        <v>198306142</v>
      </c>
      <c r="BA24" s="28" t="s">
        <v>99</v>
      </c>
      <c r="BB24" s="28" t="s">
        <v>100</v>
      </c>
      <c r="BC24" s="31" t="s">
        <v>102</v>
      </c>
      <c r="BD24" s="18">
        <v>30656</v>
      </c>
      <c r="BE24" s="29" t="s">
        <v>81</v>
      </c>
      <c r="BF24" s="29" t="s">
        <v>103</v>
      </c>
      <c r="BG24" s="29" t="s">
        <v>104</v>
      </c>
      <c r="BH24" s="12" t="s">
        <v>105</v>
      </c>
      <c r="BI24" s="12" t="s">
        <v>106</v>
      </c>
      <c r="BJ24" s="32" t="s">
        <v>107</v>
      </c>
      <c r="BK24" t="s">
        <v>108</v>
      </c>
      <c r="BL24" s="12" t="s">
        <v>109</v>
      </c>
      <c r="BM24" s="12" t="s">
        <v>74</v>
      </c>
      <c r="BN24" s="12" t="s">
        <v>80</v>
      </c>
      <c r="BO24" s="12" t="s">
        <v>80</v>
      </c>
      <c r="BP24" s="12" t="s">
        <v>110</v>
      </c>
      <c r="BQ24" s="12" t="s">
        <v>111</v>
      </c>
      <c r="BR24" s="14" t="s">
        <v>112</v>
      </c>
      <c r="BS24" s="14" t="s">
        <v>113</v>
      </c>
      <c r="BT24" s="23">
        <v>37.5</v>
      </c>
      <c r="BU24" s="33">
        <v>213111231</v>
      </c>
    </row>
    <row r="25" spans="1:73" ht="14.4" customHeight="1" x14ac:dyDescent="0.35">
      <c r="A25" t="s">
        <v>192</v>
      </c>
      <c r="C25" s="10"/>
      <c r="D25" t="s">
        <v>72</v>
      </c>
      <c r="E25" s="11" t="s">
        <v>73</v>
      </c>
      <c r="F25" s="12" t="s">
        <v>74</v>
      </c>
      <c r="G25" t="s">
        <v>193</v>
      </c>
      <c r="H25" s="13" t="s">
        <v>76</v>
      </c>
      <c r="I25" s="14" t="s">
        <v>77</v>
      </c>
      <c r="J25" s="14" t="s">
        <v>78</v>
      </c>
      <c r="K25" s="14" t="s">
        <v>79</v>
      </c>
      <c r="L25" s="15">
        <f t="shared" si="0"/>
        <v>45720</v>
      </c>
      <c r="M25" s="12" t="s">
        <v>74</v>
      </c>
      <c r="N25" s="12" t="s">
        <v>80</v>
      </c>
      <c r="O25" s="12">
        <v>1</v>
      </c>
      <c r="P25" s="14" t="s">
        <v>81</v>
      </c>
      <c r="Q25" s="14" t="s">
        <v>82</v>
      </c>
      <c r="R25" s="14" t="s">
        <v>81</v>
      </c>
      <c r="S25" s="14" t="s">
        <v>83</v>
      </c>
      <c r="T25" s="14" t="s">
        <v>79</v>
      </c>
      <c r="U25" s="16" t="s">
        <v>84</v>
      </c>
      <c r="V25" s="17" t="s">
        <v>85</v>
      </c>
      <c r="W25" s="14" t="s">
        <v>79</v>
      </c>
      <c r="X25" s="18">
        <v>45720</v>
      </c>
      <c r="Y25" s="14" t="s">
        <v>86</v>
      </c>
      <c r="Z25" s="19" t="s">
        <v>170</v>
      </c>
      <c r="AA25" s="13" t="s">
        <v>118</v>
      </c>
      <c r="AB25" s="20" t="s">
        <v>187</v>
      </c>
      <c r="AC25" s="21" t="s">
        <v>90</v>
      </c>
      <c r="AD25" s="22" t="s">
        <v>91</v>
      </c>
      <c r="AE25" s="21" t="s">
        <v>92</v>
      </c>
      <c r="AF25" s="13">
        <v>5</v>
      </c>
      <c r="AG25" s="13">
        <v>37.5</v>
      </c>
      <c r="AH25" s="36">
        <v>46357</v>
      </c>
      <c r="AI25" s="37" t="s">
        <v>94</v>
      </c>
      <c r="AJ25" s="25" t="s">
        <v>95</v>
      </c>
      <c r="AK25" s="26">
        <f t="shared" si="1"/>
        <v>45720</v>
      </c>
      <c r="AL25" s="27">
        <f t="shared" si="2"/>
        <v>46357</v>
      </c>
      <c r="AM25" s="28">
        <f t="shared" si="3"/>
        <v>45720</v>
      </c>
      <c r="AN25" s="28">
        <f t="shared" si="4"/>
        <v>45720</v>
      </c>
      <c r="AO25" s="25" t="s">
        <v>96</v>
      </c>
      <c r="AP25" s="20" t="s">
        <v>97</v>
      </c>
      <c r="AQ25" s="12">
        <v>100</v>
      </c>
      <c r="AR25" s="28">
        <f t="shared" si="5"/>
        <v>45780</v>
      </c>
      <c r="AS25" s="12" t="s">
        <v>74</v>
      </c>
      <c r="AT25" s="29" t="s">
        <v>98</v>
      </c>
      <c r="AU25" s="30">
        <v>8312066422</v>
      </c>
      <c r="AV25" s="28" t="s">
        <v>99</v>
      </c>
      <c r="AW25" s="28" t="s">
        <v>100</v>
      </c>
      <c r="AX25" s="12" t="s">
        <v>74</v>
      </c>
      <c r="AY25" s="29" t="s">
        <v>101</v>
      </c>
      <c r="AZ25" s="30">
        <v>198306143</v>
      </c>
      <c r="BA25" s="28" t="s">
        <v>99</v>
      </c>
      <c r="BB25" s="28" t="s">
        <v>100</v>
      </c>
      <c r="BC25" s="31" t="s">
        <v>102</v>
      </c>
      <c r="BD25" s="18">
        <v>30656</v>
      </c>
      <c r="BE25" s="29" t="s">
        <v>81</v>
      </c>
      <c r="BF25" s="29" t="s">
        <v>103</v>
      </c>
      <c r="BG25" s="29" t="s">
        <v>104</v>
      </c>
      <c r="BH25" s="12" t="s">
        <v>105</v>
      </c>
      <c r="BI25" s="12" t="s">
        <v>106</v>
      </c>
      <c r="BJ25" s="32" t="s">
        <v>107</v>
      </c>
      <c r="BK25" t="s">
        <v>108</v>
      </c>
      <c r="BL25" s="12" t="s">
        <v>109</v>
      </c>
      <c r="BM25" s="12" t="s">
        <v>74</v>
      </c>
      <c r="BN25" s="12" t="s">
        <v>80</v>
      </c>
      <c r="BO25" s="12" t="s">
        <v>80</v>
      </c>
      <c r="BP25" s="12" t="s">
        <v>110</v>
      </c>
      <c r="BQ25" s="12" t="s">
        <v>111</v>
      </c>
      <c r="BR25" s="14" t="s">
        <v>112</v>
      </c>
      <c r="BS25" s="14" t="s">
        <v>113</v>
      </c>
      <c r="BT25" s="23">
        <v>37.5</v>
      </c>
      <c r="BU25" s="33">
        <v>213111231</v>
      </c>
    </row>
    <row r="26" spans="1:73" ht="14.4" customHeight="1" x14ac:dyDescent="0.35">
      <c r="A26" t="s">
        <v>194</v>
      </c>
      <c r="C26" s="10"/>
      <c r="D26" t="s">
        <v>72</v>
      </c>
      <c r="E26" s="11" t="s">
        <v>73</v>
      </c>
      <c r="F26" s="12" t="s">
        <v>74</v>
      </c>
      <c r="G26" t="s">
        <v>195</v>
      </c>
      <c r="H26" s="13" t="s">
        <v>76</v>
      </c>
      <c r="I26" s="14" t="s">
        <v>122</v>
      </c>
      <c r="J26" s="14" t="s">
        <v>78</v>
      </c>
      <c r="K26" s="14" t="s">
        <v>79</v>
      </c>
      <c r="L26" s="15">
        <f t="shared" si="0"/>
        <v>45170</v>
      </c>
      <c r="M26" s="12" t="s">
        <v>74</v>
      </c>
      <c r="N26" s="12" t="s">
        <v>80</v>
      </c>
      <c r="O26" s="12">
        <v>1</v>
      </c>
      <c r="P26" s="14" t="s">
        <v>81</v>
      </c>
      <c r="Q26" s="14" t="s">
        <v>82</v>
      </c>
      <c r="R26" s="14" t="s">
        <v>81</v>
      </c>
      <c r="S26" s="14" t="s">
        <v>83</v>
      </c>
      <c r="T26" s="14" t="s">
        <v>79</v>
      </c>
      <c r="U26" s="16" t="s">
        <v>84</v>
      </c>
      <c r="V26" s="17" t="s">
        <v>85</v>
      </c>
      <c r="W26" s="14" t="s">
        <v>79</v>
      </c>
      <c r="X26" s="18">
        <v>45170</v>
      </c>
      <c r="Y26" s="14" t="s">
        <v>86</v>
      </c>
      <c r="Z26" s="19" t="s">
        <v>196</v>
      </c>
      <c r="AA26" s="13" t="s">
        <v>88</v>
      </c>
      <c r="AB26" s="20" t="s">
        <v>197</v>
      </c>
      <c r="AC26" s="21" t="s">
        <v>90</v>
      </c>
      <c r="AD26" s="22" t="s">
        <v>91</v>
      </c>
      <c r="AE26" s="21" t="s">
        <v>92</v>
      </c>
      <c r="AF26" s="13">
        <v>5</v>
      </c>
      <c r="AG26" s="13">
        <v>40</v>
      </c>
      <c r="AH26" s="38" t="s">
        <v>93</v>
      </c>
      <c r="AI26" s="37" t="s">
        <v>94</v>
      </c>
      <c r="AJ26" s="25" t="s">
        <v>95</v>
      </c>
      <c r="AK26" s="26">
        <f t="shared" si="1"/>
        <v>45170</v>
      </c>
      <c r="AL26" s="27" t="str">
        <f t="shared" si="2"/>
        <v>N/A</v>
      </c>
      <c r="AM26" s="28">
        <f t="shared" si="3"/>
        <v>45170</v>
      </c>
      <c r="AN26" s="28">
        <f t="shared" si="4"/>
        <v>45170</v>
      </c>
      <c r="AO26" s="25" t="s">
        <v>96</v>
      </c>
      <c r="AP26" s="20" t="s">
        <v>97</v>
      </c>
      <c r="AQ26" s="12">
        <v>100</v>
      </c>
      <c r="AR26" s="28">
        <f t="shared" si="5"/>
        <v>45230</v>
      </c>
      <c r="AS26" s="12" t="s">
        <v>74</v>
      </c>
      <c r="AT26" s="29" t="s">
        <v>98</v>
      </c>
      <c r="AU26" s="30">
        <v>8312066895</v>
      </c>
      <c r="AV26" s="28" t="s">
        <v>99</v>
      </c>
      <c r="AW26" s="28" t="s">
        <v>100</v>
      </c>
      <c r="AX26" s="12" t="s">
        <v>74</v>
      </c>
      <c r="AY26" s="29" t="s">
        <v>101</v>
      </c>
      <c r="AZ26" s="30">
        <v>198306144</v>
      </c>
      <c r="BA26" s="28" t="s">
        <v>99</v>
      </c>
      <c r="BB26" s="28" t="s">
        <v>100</v>
      </c>
      <c r="BC26" s="31" t="s">
        <v>102</v>
      </c>
      <c r="BD26" s="18">
        <v>30656</v>
      </c>
      <c r="BE26" s="29" t="s">
        <v>81</v>
      </c>
      <c r="BF26" s="29" t="s">
        <v>103</v>
      </c>
      <c r="BG26" s="29" t="s">
        <v>104</v>
      </c>
      <c r="BH26" s="12" t="s">
        <v>105</v>
      </c>
      <c r="BI26" s="12" t="s">
        <v>106</v>
      </c>
      <c r="BJ26" s="32" t="s">
        <v>107</v>
      </c>
      <c r="BK26" t="s">
        <v>108</v>
      </c>
      <c r="BL26" s="12" t="s">
        <v>109</v>
      </c>
      <c r="BM26" s="12" t="s">
        <v>74</v>
      </c>
      <c r="BN26" s="12" t="s">
        <v>80</v>
      </c>
      <c r="BO26" s="12" t="s">
        <v>80</v>
      </c>
      <c r="BP26" s="12" t="s">
        <v>110</v>
      </c>
      <c r="BQ26" s="12" t="s">
        <v>111</v>
      </c>
      <c r="BR26" s="14" t="s">
        <v>112</v>
      </c>
      <c r="BS26" s="14" t="s">
        <v>113</v>
      </c>
      <c r="BT26" s="23">
        <v>40</v>
      </c>
      <c r="BU26" s="33">
        <v>213111231</v>
      </c>
    </row>
    <row r="27" spans="1:73" s="34" customFormat="1" ht="14.4" customHeight="1" x14ac:dyDescent="0.35">
      <c r="A27" t="s">
        <v>198</v>
      </c>
      <c r="C27" s="10"/>
      <c r="D27" t="s">
        <v>72</v>
      </c>
      <c r="E27" s="11" t="s">
        <v>73</v>
      </c>
      <c r="F27" s="12" t="s">
        <v>74</v>
      </c>
      <c r="G27" t="s">
        <v>199</v>
      </c>
      <c r="H27" s="13" t="s">
        <v>76</v>
      </c>
      <c r="I27" s="14" t="s">
        <v>77</v>
      </c>
      <c r="J27" s="14" t="s">
        <v>78</v>
      </c>
      <c r="K27" s="14" t="s">
        <v>79</v>
      </c>
      <c r="L27" s="15">
        <f t="shared" si="0"/>
        <v>45445</v>
      </c>
      <c r="M27" s="12" t="s">
        <v>74</v>
      </c>
      <c r="N27" s="12" t="s">
        <v>80</v>
      </c>
      <c r="O27" s="12">
        <v>1</v>
      </c>
      <c r="P27" s="14" t="s">
        <v>81</v>
      </c>
      <c r="Q27" s="14" t="s">
        <v>82</v>
      </c>
      <c r="R27" s="14" t="s">
        <v>81</v>
      </c>
      <c r="S27" s="14" t="s">
        <v>83</v>
      </c>
      <c r="T27" s="14" t="s">
        <v>79</v>
      </c>
      <c r="U27" s="16" t="s">
        <v>84</v>
      </c>
      <c r="V27" s="17" t="s">
        <v>85</v>
      </c>
      <c r="W27" s="14" t="s">
        <v>79</v>
      </c>
      <c r="X27" s="18">
        <v>45445</v>
      </c>
      <c r="Y27" s="14" t="s">
        <v>86</v>
      </c>
      <c r="Z27" s="19" t="s">
        <v>186</v>
      </c>
      <c r="AA27" s="13" t="s">
        <v>118</v>
      </c>
      <c r="AB27" s="20" t="s">
        <v>197</v>
      </c>
      <c r="AC27" s="21" t="s">
        <v>90</v>
      </c>
      <c r="AD27" s="22" t="s">
        <v>91</v>
      </c>
      <c r="AE27" s="21" t="s">
        <v>92</v>
      </c>
      <c r="AF27" s="13">
        <v>5</v>
      </c>
      <c r="AG27" s="13">
        <v>40</v>
      </c>
      <c r="AH27" s="36">
        <v>46357</v>
      </c>
      <c r="AI27" s="37" t="s">
        <v>94</v>
      </c>
      <c r="AJ27" s="25" t="s">
        <v>95</v>
      </c>
      <c r="AK27" s="26">
        <f t="shared" si="1"/>
        <v>45445</v>
      </c>
      <c r="AL27" s="27">
        <f t="shared" si="2"/>
        <v>46357</v>
      </c>
      <c r="AM27" s="28">
        <f t="shared" si="3"/>
        <v>45445</v>
      </c>
      <c r="AN27" s="28">
        <f t="shared" si="4"/>
        <v>45445</v>
      </c>
      <c r="AO27" s="25" t="s">
        <v>96</v>
      </c>
      <c r="AP27" s="20" t="s">
        <v>97</v>
      </c>
      <c r="AQ27" s="12">
        <v>100</v>
      </c>
      <c r="AR27" s="28">
        <f t="shared" si="5"/>
        <v>45505</v>
      </c>
      <c r="AS27" s="12" t="s">
        <v>74</v>
      </c>
      <c r="AT27" s="29" t="s">
        <v>98</v>
      </c>
      <c r="AU27" s="30">
        <v>8312067104</v>
      </c>
      <c r="AV27" s="28" t="s">
        <v>99</v>
      </c>
      <c r="AW27" s="28" t="s">
        <v>100</v>
      </c>
      <c r="AX27" s="12" t="s">
        <v>74</v>
      </c>
      <c r="AY27" s="29" t="s">
        <v>101</v>
      </c>
      <c r="AZ27" s="30">
        <v>198306145</v>
      </c>
      <c r="BA27" s="28" t="s">
        <v>99</v>
      </c>
      <c r="BB27" s="28" t="s">
        <v>100</v>
      </c>
      <c r="BC27" s="31" t="s">
        <v>102</v>
      </c>
      <c r="BD27" s="18">
        <v>30656</v>
      </c>
      <c r="BE27" s="29" t="s">
        <v>81</v>
      </c>
      <c r="BF27" s="29" t="s">
        <v>103</v>
      </c>
      <c r="BG27" s="29" t="s">
        <v>104</v>
      </c>
      <c r="BH27" s="12" t="s">
        <v>105</v>
      </c>
      <c r="BI27" s="12" t="s">
        <v>106</v>
      </c>
      <c r="BJ27" s="32" t="s">
        <v>107</v>
      </c>
      <c r="BK27" t="s">
        <v>108</v>
      </c>
      <c r="BL27" s="12" t="s">
        <v>109</v>
      </c>
      <c r="BM27" s="12" t="s">
        <v>74</v>
      </c>
      <c r="BN27" s="12" t="s">
        <v>80</v>
      </c>
      <c r="BO27" s="12" t="s">
        <v>80</v>
      </c>
      <c r="BP27" s="12" t="s">
        <v>110</v>
      </c>
      <c r="BQ27" s="12" t="s">
        <v>111</v>
      </c>
      <c r="BR27" s="14" t="s">
        <v>112</v>
      </c>
      <c r="BS27" s="14" t="s">
        <v>113</v>
      </c>
      <c r="BT27" s="23">
        <v>40</v>
      </c>
      <c r="BU27" s="33">
        <v>213111231</v>
      </c>
    </row>
    <row r="28" spans="1:73" s="40" customFormat="1" ht="14.4" customHeight="1" x14ac:dyDescent="0.35">
      <c r="A28" t="s">
        <v>200</v>
      </c>
      <c r="C28" s="10"/>
      <c r="D28" t="s">
        <v>72</v>
      </c>
      <c r="E28" s="11" t="s">
        <v>73</v>
      </c>
      <c r="F28" s="12" t="s">
        <v>74</v>
      </c>
      <c r="G28" t="s">
        <v>201</v>
      </c>
      <c r="H28" s="13" t="s">
        <v>76</v>
      </c>
      <c r="I28" s="14" t="s">
        <v>77</v>
      </c>
      <c r="J28" s="14" t="s">
        <v>78</v>
      </c>
      <c r="K28" s="14" t="s">
        <v>79</v>
      </c>
      <c r="L28" s="15">
        <f t="shared" si="0"/>
        <v>44898</v>
      </c>
      <c r="M28" s="12" t="s">
        <v>74</v>
      </c>
      <c r="N28" s="12" t="s">
        <v>80</v>
      </c>
      <c r="O28" s="12">
        <v>1</v>
      </c>
      <c r="P28" s="14" t="s">
        <v>81</v>
      </c>
      <c r="Q28" s="14" t="s">
        <v>82</v>
      </c>
      <c r="R28" s="14" t="s">
        <v>81</v>
      </c>
      <c r="S28" s="14" t="s">
        <v>83</v>
      </c>
      <c r="T28" s="14" t="s">
        <v>79</v>
      </c>
      <c r="U28" s="16" t="s">
        <v>84</v>
      </c>
      <c r="V28" s="17" t="s">
        <v>85</v>
      </c>
      <c r="W28" s="14" t="s">
        <v>79</v>
      </c>
      <c r="X28" s="18">
        <v>44898</v>
      </c>
      <c r="Y28" s="14" t="s">
        <v>86</v>
      </c>
      <c r="Z28" s="19" t="s">
        <v>170</v>
      </c>
      <c r="AA28" s="13" t="s">
        <v>118</v>
      </c>
      <c r="AB28" s="20" t="s">
        <v>197</v>
      </c>
      <c r="AC28" s="21" t="s">
        <v>90</v>
      </c>
      <c r="AD28" s="22" t="s">
        <v>91</v>
      </c>
      <c r="AE28" s="21" t="s">
        <v>92</v>
      </c>
      <c r="AF28" s="13">
        <v>5</v>
      </c>
      <c r="AG28" s="13">
        <v>37.5</v>
      </c>
      <c r="AH28" s="36">
        <v>46357</v>
      </c>
      <c r="AI28" s="37" t="s">
        <v>94</v>
      </c>
      <c r="AJ28" s="25" t="s">
        <v>95</v>
      </c>
      <c r="AK28" s="26">
        <f t="shared" si="1"/>
        <v>44898</v>
      </c>
      <c r="AL28" s="27">
        <f t="shared" si="2"/>
        <v>46357</v>
      </c>
      <c r="AM28" s="28">
        <f t="shared" si="3"/>
        <v>44898</v>
      </c>
      <c r="AN28" s="28">
        <f t="shared" si="4"/>
        <v>44898</v>
      </c>
      <c r="AO28" s="25" t="s">
        <v>96</v>
      </c>
      <c r="AP28" s="20" t="s">
        <v>97</v>
      </c>
      <c r="AQ28" s="12">
        <v>100</v>
      </c>
      <c r="AR28" s="28">
        <f t="shared" si="5"/>
        <v>44958</v>
      </c>
      <c r="AS28" s="12" t="s">
        <v>74</v>
      </c>
      <c r="AT28" s="29" t="s">
        <v>98</v>
      </c>
      <c r="AU28" s="30">
        <v>8312067148</v>
      </c>
      <c r="AV28" s="28" t="s">
        <v>99</v>
      </c>
      <c r="AW28" s="28" t="s">
        <v>100</v>
      </c>
      <c r="AX28" s="12" t="s">
        <v>74</v>
      </c>
      <c r="AY28" s="29" t="s">
        <v>101</v>
      </c>
      <c r="AZ28" s="30">
        <v>198306146</v>
      </c>
      <c r="BA28" s="28" t="s">
        <v>99</v>
      </c>
      <c r="BB28" s="28" t="s">
        <v>100</v>
      </c>
      <c r="BC28" s="31" t="s">
        <v>102</v>
      </c>
      <c r="BD28" s="18">
        <v>30656</v>
      </c>
      <c r="BE28" s="29" t="s">
        <v>81</v>
      </c>
      <c r="BF28" s="29" t="s">
        <v>103</v>
      </c>
      <c r="BG28" s="29" t="s">
        <v>104</v>
      </c>
      <c r="BH28" s="12" t="s">
        <v>105</v>
      </c>
      <c r="BI28" s="12" t="s">
        <v>106</v>
      </c>
      <c r="BJ28" s="32" t="s">
        <v>107</v>
      </c>
      <c r="BK28" t="s">
        <v>108</v>
      </c>
      <c r="BL28" s="12" t="s">
        <v>109</v>
      </c>
      <c r="BM28" s="12" t="s">
        <v>74</v>
      </c>
      <c r="BN28" s="12" t="s">
        <v>80</v>
      </c>
      <c r="BO28" s="12" t="s">
        <v>80</v>
      </c>
      <c r="BP28" s="12" t="s">
        <v>110</v>
      </c>
      <c r="BQ28" s="12" t="s">
        <v>111</v>
      </c>
      <c r="BR28" s="14" t="s">
        <v>112</v>
      </c>
      <c r="BS28" s="14" t="s">
        <v>113</v>
      </c>
      <c r="BT28" s="23">
        <v>37.5</v>
      </c>
      <c r="BU28" s="33">
        <v>213111231</v>
      </c>
    </row>
    <row r="29" spans="1:73" ht="14.4" customHeight="1" x14ac:dyDescent="0.35">
      <c r="A29" t="s">
        <v>202</v>
      </c>
      <c r="C29" s="10"/>
      <c r="D29" t="s">
        <v>72</v>
      </c>
      <c r="E29" s="11" t="s">
        <v>73</v>
      </c>
      <c r="F29" s="12" t="s">
        <v>74</v>
      </c>
      <c r="G29" t="s">
        <v>203</v>
      </c>
      <c r="H29" s="13" t="s">
        <v>76</v>
      </c>
      <c r="I29" s="14" t="s">
        <v>77</v>
      </c>
      <c r="J29" s="14" t="s">
        <v>78</v>
      </c>
      <c r="K29" s="14" t="s">
        <v>79</v>
      </c>
      <c r="L29" s="15">
        <f t="shared" ca="1" si="0"/>
        <v>45769</v>
      </c>
      <c r="M29" s="12" t="s">
        <v>74</v>
      </c>
      <c r="N29" s="12" t="s">
        <v>80</v>
      </c>
      <c r="O29" s="12">
        <v>1</v>
      </c>
      <c r="P29" s="14" t="s">
        <v>81</v>
      </c>
      <c r="Q29" s="14" t="s">
        <v>82</v>
      </c>
      <c r="R29" s="14" t="s">
        <v>81</v>
      </c>
      <c r="S29" s="14" t="s">
        <v>83</v>
      </c>
      <c r="T29" s="14" t="s">
        <v>79</v>
      </c>
      <c r="U29" s="16" t="s">
        <v>84</v>
      </c>
      <c r="V29" s="17" t="s">
        <v>85</v>
      </c>
      <c r="W29" s="14" t="s">
        <v>79</v>
      </c>
      <c r="X29" s="18">
        <f ca="1">TODAY()+60</f>
        <v>45769</v>
      </c>
      <c r="Y29" s="14" t="s">
        <v>86</v>
      </c>
      <c r="Z29" s="19" t="s">
        <v>186</v>
      </c>
      <c r="AA29" s="13" t="s">
        <v>88</v>
      </c>
      <c r="AB29" s="20" t="s">
        <v>197</v>
      </c>
      <c r="AC29" s="21" t="s">
        <v>90</v>
      </c>
      <c r="AD29" s="22" t="s">
        <v>91</v>
      </c>
      <c r="AE29" s="21" t="s">
        <v>92</v>
      </c>
      <c r="AF29" s="13">
        <v>5</v>
      </c>
      <c r="AG29" s="13">
        <v>37.5</v>
      </c>
      <c r="AH29" s="38" t="s">
        <v>93</v>
      </c>
      <c r="AI29" s="37" t="s">
        <v>94</v>
      </c>
      <c r="AJ29" s="25" t="s">
        <v>95</v>
      </c>
      <c r="AK29" s="26">
        <f t="shared" ca="1" si="1"/>
        <v>45769</v>
      </c>
      <c r="AL29" s="27" t="str">
        <f t="shared" si="2"/>
        <v>N/A</v>
      </c>
      <c r="AM29" s="28">
        <f t="shared" ca="1" si="3"/>
        <v>45769</v>
      </c>
      <c r="AN29" s="28">
        <f t="shared" ca="1" si="4"/>
        <v>45769</v>
      </c>
      <c r="AO29" s="25" t="s">
        <v>96</v>
      </c>
      <c r="AP29" s="20" t="s">
        <v>97</v>
      </c>
      <c r="AQ29" s="12">
        <v>100</v>
      </c>
      <c r="AR29" s="28">
        <f t="shared" ca="1" si="5"/>
        <v>45829</v>
      </c>
      <c r="AS29" s="12" t="s">
        <v>74</v>
      </c>
      <c r="AT29" s="29" t="s">
        <v>98</v>
      </c>
      <c r="AU29" s="30">
        <v>8312067192</v>
      </c>
      <c r="AV29" s="28" t="s">
        <v>99</v>
      </c>
      <c r="AW29" s="28" t="s">
        <v>100</v>
      </c>
      <c r="AX29" s="12" t="s">
        <v>74</v>
      </c>
      <c r="AY29" s="29" t="s">
        <v>101</v>
      </c>
      <c r="AZ29" s="30">
        <v>198306147</v>
      </c>
      <c r="BA29" s="28" t="s">
        <v>99</v>
      </c>
      <c r="BB29" s="28" t="s">
        <v>100</v>
      </c>
      <c r="BC29" s="31" t="s">
        <v>102</v>
      </c>
      <c r="BD29" s="18">
        <v>30656</v>
      </c>
      <c r="BE29" s="29" t="s">
        <v>81</v>
      </c>
      <c r="BF29" s="29" t="s">
        <v>103</v>
      </c>
      <c r="BG29" s="29" t="s">
        <v>104</v>
      </c>
      <c r="BH29" s="12" t="s">
        <v>105</v>
      </c>
      <c r="BI29" s="12" t="s">
        <v>106</v>
      </c>
      <c r="BJ29" s="32" t="s">
        <v>107</v>
      </c>
      <c r="BK29" t="s">
        <v>108</v>
      </c>
      <c r="BL29" s="12" t="s">
        <v>109</v>
      </c>
      <c r="BM29" s="12" t="s">
        <v>74</v>
      </c>
      <c r="BN29" s="12" t="s">
        <v>80</v>
      </c>
      <c r="BO29" s="12" t="s">
        <v>80</v>
      </c>
      <c r="BP29" s="12" t="s">
        <v>110</v>
      </c>
      <c r="BQ29" s="12" t="s">
        <v>111</v>
      </c>
      <c r="BR29" s="14" t="s">
        <v>112</v>
      </c>
      <c r="BS29" s="14" t="s">
        <v>113</v>
      </c>
      <c r="BT29" s="23">
        <v>37.5</v>
      </c>
      <c r="BU29" s="33">
        <v>213111231</v>
      </c>
    </row>
    <row r="30" spans="1:73" ht="14.4" customHeight="1" x14ac:dyDescent="0.35">
      <c r="A30" t="s">
        <v>204</v>
      </c>
      <c r="C30" s="10"/>
      <c r="D30" t="s">
        <v>170</v>
      </c>
      <c r="E30" s="11" t="s">
        <v>205</v>
      </c>
      <c r="F30" s="12" t="s">
        <v>74</v>
      </c>
      <c r="G30" t="s">
        <v>206</v>
      </c>
      <c r="H30" s="13" t="s">
        <v>207</v>
      </c>
      <c r="I30" s="14" t="s">
        <v>77</v>
      </c>
      <c r="J30" s="14" t="s">
        <v>78</v>
      </c>
      <c r="K30" s="14" t="s">
        <v>79</v>
      </c>
      <c r="L30" s="15">
        <f t="shared" si="0"/>
        <v>44805</v>
      </c>
      <c r="M30" s="12" t="s">
        <v>74</v>
      </c>
      <c r="N30" s="12" t="s">
        <v>80</v>
      </c>
      <c r="O30" s="12">
        <v>1</v>
      </c>
      <c r="P30" s="14" t="s">
        <v>81</v>
      </c>
      <c r="Q30" s="14" t="s">
        <v>82</v>
      </c>
      <c r="R30" s="14" t="s">
        <v>81</v>
      </c>
      <c r="S30" s="14" t="s">
        <v>83</v>
      </c>
      <c r="T30" s="14" t="s">
        <v>79</v>
      </c>
      <c r="U30" s="16" t="s">
        <v>84</v>
      </c>
      <c r="V30" s="17" t="s">
        <v>85</v>
      </c>
      <c r="W30" s="14" t="s">
        <v>79</v>
      </c>
      <c r="X30" s="18">
        <v>44805</v>
      </c>
      <c r="Y30" s="14" t="s">
        <v>86</v>
      </c>
      <c r="Z30" s="19" t="s">
        <v>170</v>
      </c>
      <c r="AA30" s="13" t="s">
        <v>88</v>
      </c>
      <c r="AB30" s="20" t="s">
        <v>208</v>
      </c>
      <c r="AC30" s="21" t="s">
        <v>90</v>
      </c>
      <c r="AD30" s="22" t="s">
        <v>91</v>
      </c>
      <c r="AE30" s="21" t="s">
        <v>92</v>
      </c>
      <c r="AF30" s="13">
        <v>5</v>
      </c>
      <c r="AG30" s="13">
        <v>37.5</v>
      </c>
      <c r="AH30" s="36" t="s">
        <v>93</v>
      </c>
      <c r="AI30" s="24" t="s">
        <v>94</v>
      </c>
      <c r="AJ30" s="25" t="s">
        <v>95</v>
      </c>
      <c r="AK30" s="26">
        <f t="shared" si="1"/>
        <v>44805</v>
      </c>
      <c r="AL30" s="27" t="str">
        <f t="shared" si="2"/>
        <v>N/A</v>
      </c>
      <c r="AM30" s="28">
        <f t="shared" si="3"/>
        <v>44805</v>
      </c>
      <c r="AN30" s="28">
        <f t="shared" si="4"/>
        <v>44805</v>
      </c>
      <c r="AO30" s="25" t="s">
        <v>209</v>
      </c>
      <c r="AP30" s="41" t="s">
        <v>210</v>
      </c>
      <c r="AQ30" s="12">
        <v>100</v>
      </c>
      <c r="AR30" s="28">
        <f t="shared" si="5"/>
        <v>44865</v>
      </c>
      <c r="AS30" s="12" t="s">
        <v>74</v>
      </c>
      <c r="AT30" s="29" t="s">
        <v>98</v>
      </c>
      <c r="AU30" s="30">
        <v>8312067357</v>
      </c>
      <c r="AV30" s="28" t="s">
        <v>99</v>
      </c>
      <c r="AW30" s="28" t="s">
        <v>100</v>
      </c>
      <c r="AX30" s="12" t="s">
        <v>74</v>
      </c>
      <c r="AY30" s="29" t="s">
        <v>101</v>
      </c>
      <c r="AZ30" s="30">
        <v>198306148</v>
      </c>
      <c r="BA30" s="28" t="s">
        <v>99</v>
      </c>
      <c r="BB30" s="28" t="s">
        <v>100</v>
      </c>
      <c r="BC30" s="31" t="s">
        <v>102</v>
      </c>
      <c r="BD30" s="18">
        <v>30656</v>
      </c>
      <c r="BE30" s="29" t="s">
        <v>81</v>
      </c>
      <c r="BF30" s="29" t="s">
        <v>103</v>
      </c>
      <c r="BG30" s="29" t="s">
        <v>104</v>
      </c>
      <c r="BH30" s="12" t="s">
        <v>105</v>
      </c>
      <c r="BI30" s="12" t="s">
        <v>106</v>
      </c>
      <c r="BJ30" s="32" t="s">
        <v>107</v>
      </c>
      <c r="BK30" t="s">
        <v>108</v>
      </c>
      <c r="BL30" s="12" t="s">
        <v>109</v>
      </c>
      <c r="BM30" s="12" t="s">
        <v>74</v>
      </c>
      <c r="BN30" s="12" t="s">
        <v>80</v>
      </c>
      <c r="BO30" s="12" t="s">
        <v>80</v>
      </c>
      <c r="BP30" s="12" t="s">
        <v>110</v>
      </c>
      <c r="BQ30" s="12" t="s">
        <v>111</v>
      </c>
      <c r="BR30" s="14" t="s">
        <v>112</v>
      </c>
      <c r="BS30" s="14" t="s">
        <v>113</v>
      </c>
      <c r="BT30" s="23">
        <v>37.5</v>
      </c>
      <c r="BU30" s="33">
        <v>213111231</v>
      </c>
    </row>
    <row r="31" spans="1:73" ht="14.4" customHeight="1" x14ac:dyDescent="0.35">
      <c r="A31" t="s">
        <v>211</v>
      </c>
      <c r="C31" s="10"/>
      <c r="D31" t="s">
        <v>170</v>
      </c>
      <c r="E31" s="11" t="s">
        <v>205</v>
      </c>
      <c r="F31" s="12" t="s">
        <v>74</v>
      </c>
      <c r="G31" t="s">
        <v>212</v>
      </c>
      <c r="H31" s="13" t="s">
        <v>207</v>
      </c>
      <c r="I31" s="14" t="s">
        <v>122</v>
      </c>
      <c r="J31" s="14" t="s">
        <v>78</v>
      </c>
      <c r="K31" s="14" t="s">
        <v>79</v>
      </c>
      <c r="L31" s="15">
        <f t="shared" si="0"/>
        <v>45414</v>
      </c>
      <c r="M31" s="12" t="s">
        <v>74</v>
      </c>
      <c r="N31" s="12" t="s">
        <v>80</v>
      </c>
      <c r="O31" s="12">
        <v>1</v>
      </c>
      <c r="P31" s="14" t="s">
        <v>81</v>
      </c>
      <c r="Q31" s="14" t="s">
        <v>82</v>
      </c>
      <c r="R31" s="14" t="s">
        <v>81</v>
      </c>
      <c r="S31" s="14" t="s">
        <v>83</v>
      </c>
      <c r="T31" s="14" t="s">
        <v>79</v>
      </c>
      <c r="U31" s="16" t="s">
        <v>84</v>
      </c>
      <c r="V31" s="17" t="s">
        <v>85</v>
      </c>
      <c r="W31" s="14" t="s">
        <v>79</v>
      </c>
      <c r="X31" s="18">
        <v>45414</v>
      </c>
      <c r="Y31" s="14" t="s">
        <v>86</v>
      </c>
      <c r="Z31" s="19" t="s">
        <v>196</v>
      </c>
      <c r="AA31" s="13" t="s">
        <v>118</v>
      </c>
      <c r="AB31" s="20" t="s">
        <v>208</v>
      </c>
      <c r="AC31" s="21" t="s">
        <v>90</v>
      </c>
      <c r="AD31" s="22" t="s">
        <v>91</v>
      </c>
      <c r="AE31" s="21" t="s">
        <v>92</v>
      </c>
      <c r="AF31" s="13">
        <v>5</v>
      </c>
      <c r="AG31" s="13">
        <v>37.5</v>
      </c>
      <c r="AH31" s="36">
        <v>46357</v>
      </c>
      <c r="AI31" s="24" t="s">
        <v>94</v>
      </c>
      <c r="AJ31" s="25" t="s">
        <v>95</v>
      </c>
      <c r="AK31" s="26">
        <f t="shared" si="1"/>
        <v>45414</v>
      </c>
      <c r="AL31" s="27">
        <f t="shared" si="2"/>
        <v>46357</v>
      </c>
      <c r="AM31" s="28">
        <f t="shared" si="3"/>
        <v>45414</v>
      </c>
      <c r="AN31" s="28">
        <f t="shared" si="4"/>
        <v>45414</v>
      </c>
      <c r="AO31" s="25" t="s">
        <v>209</v>
      </c>
      <c r="AP31" s="41" t="s">
        <v>213</v>
      </c>
      <c r="AQ31" s="12">
        <v>100</v>
      </c>
      <c r="AR31" s="28">
        <f t="shared" si="5"/>
        <v>45474</v>
      </c>
      <c r="AS31" s="12" t="s">
        <v>74</v>
      </c>
      <c r="AT31" s="29" t="s">
        <v>98</v>
      </c>
      <c r="AU31" s="30">
        <v>8312067610</v>
      </c>
      <c r="AV31" s="28" t="s">
        <v>99</v>
      </c>
      <c r="AW31" s="28" t="s">
        <v>100</v>
      </c>
      <c r="AX31" s="12" t="s">
        <v>74</v>
      </c>
      <c r="AY31" s="29" t="s">
        <v>101</v>
      </c>
      <c r="AZ31" s="30">
        <v>198306149</v>
      </c>
      <c r="BA31" s="28" t="s">
        <v>99</v>
      </c>
      <c r="BB31" s="28" t="s">
        <v>100</v>
      </c>
      <c r="BC31" s="31" t="s">
        <v>102</v>
      </c>
      <c r="BD31" s="18">
        <v>30656</v>
      </c>
      <c r="BE31" s="29" t="s">
        <v>81</v>
      </c>
      <c r="BF31" s="29" t="s">
        <v>103</v>
      </c>
      <c r="BG31" s="29" t="s">
        <v>104</v>
      </c>
      <c r="BH31" s="12" t="s">
        <v>105</v>
      </c>
      <c r="BI31" s="12" t="s">
        <v>106</v>
      </c>
      <c r="BJ31" s="32" t="s">
        <v>107</v>
      </c>
      <c r="BK31" t="s">
        <v>108</v>
      </c>
      <c r="BL31" s="12" t="s">
        <v>109</v>
      </c>
      <c r="BM31" s="12" t="s">
        <v>74</v>
      </c>
      <c r="BN31" s="12" t="s">
        <v>80</v>
      </c>
      <c r="BO31" s="12" t="s">
        <v>80</v>
      </c>
      <c r="BP31" s="12" t="s">
        <v>110</v>
      </c>
      <c r="BQ31" s="12" t="s">
        <v>111</v>
      </c>
      <c r="BR31" s="14" t="s">
        <v>112</v>
      </c>
      <c r="BS31" s="14" t="s">
        <v>113</v>
      </c>
      <c r="BT31" s="23">
        <v>37.5</v>
      </c>
      <c r="BU31" s="33">
        <v>213111231</v>
      </c>
    </row>
    <row r="32" spans="1:73" ht="14.4" customHeight="1" x14ac:dyDescent="0.35">
      <c r="A32" t="s">
        <v>214</v>
      </c>
      <c r="C32" s="10"/>
      <c r="D32" t="s">
        <v>170</v>
      </c>
      <c r="E32" s="11" t="s">
        <v>205</v>
      </c>
      <c r="F32" s="12" t="s">
        <v>74</v>
      </c>
      <c r="G32" t="s">
        <v>215</v>
      </c>
      <c r="H32" s="13" t="s">
        <v>207</v>
      </c>
      <c r="I32" s="14" t="s">
        <v>77</v>
      </c>
      <c r="J32" s="14" t="s">
        <v>78</v>
      </c>
      <c r="K32" s="14" t="s">
        <v>79</v>
      </c>
      <c r="L32" s="15">
        <f t="shared" si="0"/>
        <v>44807</v>
      </c>
      <c r="M32" s="12" t="s">
        <v>74</v>
      </c>
      <c r="N32" s="12" t="s">
        <v>80</v>
      </c>
      <c r="O32" s="12">
        <v>1</v>
      </c>
      <c r="P32" s="14" t="s">
        <v>81</v>
      </c>
      <c r="Q32" s="14" t="s">
        <v>82</v>
      </c>
      <c r="R32" s="14" t="s">
        <v>81</v>
      </c>
      <c r="S32" s="14" t="s">
        <v>83</v>
      </c>
      <c r="T32" s="14" t="s">
        <v>79</v>
      </c>
      <c r="U32" s="16" t="s">
        <v>84</v>
      </c>
      <c r="V32" s="17" t="s">
        <v>85</v>
      </c>
      <c r="W32" s="14" t="s">
        <v>79</v>
      </c>
      <c r="X32" s="18">
        <v>44807</v>
      </c>
      <c r="Y32" s="14" t="s">
        <v>86</v>
      </c>
      <c r="Z32" s="19" t="s">
        <v>186</v>
      </c>
      <c r="AA32" s="13" t="s">
        <v>88</v>
      </c>
      <c r="AB32" s="20" t="s">
        <v>208</v>
      </c>
      <c r="AC32" s="21" t="s">
        <v>90</v>
      </c>
      <c r="AD32" s="22" t="s">
        <v>91</v>
      </c>
      <c r="AE32" s="21" t="s">
        <v>92</v>
      </c>
      <c r="AF32" s="13">
        <v>5</v>
      </c>
      <c r="AG32" s="13">
        <v>37.5</v>
      </c>
      <c r="AH32" s="36" t="s">
        <v>93</v>
      </c>
      <c r="AI32" s="24" t="s">
        <v>94</v>
      </c>
      <c r="AJ32" s="25" t="s">
        <v>95</v>
      </c>
      <c r="AK32" s="26">
        <f t="shared" si="1"/>
        <v>44807</v>
      </c>
      <c r="AL32" s="27" t="str">
        <f t="shared" si="2"/>
        <v>N/A</v>
      </c>
      <c r="AM32" s="28">
        <f t="shared" si="3"/>
        <v>44807</v>
      </c>
      <c r="AN32" s="28">
        <f t="shared" si="4"/>
        <v>44807</v>
      </c>
      <c r="AO32" s="25" t="s">
        <v>209</v>
      </c>
      <c r="AP32" s="41" t="s">
        <v>216</v>
      </c>
      <c r="AQ32" s="12">
        <v>100</v>
      </c>
      <c r="AR32" s="28">
        <f t="shared" si="5"/>
        <v>44867</v>
      </c>
      <c r="AS32" s="12" t="s">
        <v>74</v>
      </c>
      <c r="AT32" s="29" t="s">
        <v>98</v>
      </c>
      <c r="AU32" s="30">
        <v>8312067742</v>
      </c>
      <c r="AV32" s="28" t="s">
        <v>99</v>
      </c>
      <c r="AW32" s="28" t="s">
        <v>100</v>
      </c>
      <c r="AX32" s="12" t="s">
        <v>74</v>
      </c>
      <c r="AY32" s="29" t="s">
        <v>101</v>
      </c>
      <c r="AZ32" s="30">
        <v>198306150</v>
      </c>
      <c r="BA32" s="28" t="s">
        <v>99</v>
      </c>
      <c r="BB32" s="28" t="s">
        <v>100</v>
      </c>
      <c r="BC32" s="31" t="s">
        <v>102</v>
      </c>
      <c r="BD32" s="18">
        <v>30656</v>
      </c>
      <c r="BE32" s="29" t="s">
        <v>81</v>
      </c>
      <c r="BF32" s="29" t="s">
        <v>103</v>
      </c>
      <c r="BG32" s="29" t="s">
        <v>104</v>
      </c>
      <c r="BH32" s="12" t="s">
        <v>105</v>
      </c>
      <c r="BI32" s="12" t="s">
        <v>106</v>
      </c>
      <c r="BJ32" s="32" t="s">
        <v>107</v>
      </c>
      <c r="BK32" t="s">
        <v>108</v>
      </c>
      <c r="BL32" s="12" t="s">
        <v>109</v>
      </c>
      <c r="BM32" s="12" t="s">
        <v>74</v>
      </c>
      <c r="BN32" s="12" t="s">
        <v>80</v>
      </c>
      <c r="BO32" s="12" t="s">
        <v>80</v>
      </c>
      <c r="BP32" s="12" t="s">
        <v>110</v>
      </c>
      <c r="BQ32" s="12" t="s">
        <v>111</v>
      </c>
      <c r="BR32" s="14" t="s">
        <v>112</v>
      </c>
      <c r="BS32" s="14" t="s">
        <v>113</v>
      </c>
      <c r="BT32" s="23">
        <v>37.5</v>
      </c>
      <c r="BU32" s="33">
        <v>213111231</v>
      </c>
    </row>
    <row r="33" spans="1:73" ht="14.4" customHeight="1" x14ac:dyDescent="0.35">
      <c r="A33" t="s">
        <v>217</v>
      </c>
      <c r="B33" t="s">
        <v>218</v>
      </c>
      <c r="C33" s="10" t="s">
        <v>71</v>
      </c>
      <c r="D33" t="s">
        <v>170</v>
      </c>
      <c r="E33" s="11" t="s">
        <v>205</v>
      </c>
      <c r="F33" s="12" t="s">
        <v>74</v>
      </c>
      <c r="G33" t="s">
        <v>219</v>
      </c>
      <c r="H33" s="13" t="s">
        <v>207</v>
      </c>
      <c r="I33" s="14" t="s">
        <v>77</v>
      </c>
      <c r="J33" s="14" t="s">
        <v>78</v>
      </c>
      <c r="K33" s="14" t="s">
        <v>79</v>
      </c>
      <c r="L33" s="15">
        <f t="shared" si="0"/>
        <v>45111</v>
      </c>
      <c r="M33" s="12" t="s">
        <v>74</v>
      </c>
      <c r="N33" s="12" t="s">
        <v>80</v>
      </c>
      <c r="O33" s="12">
        <v>1</v>
      </c>
      <c r="P33" s="14" t="s">
        <v>81</v>
      </c>
      <c r="Q33" s="14" t="s">
        <v>82</v>
      </c>
      <c r="R33" s="14" t="s">
        <v>81</v>
      </c>
      <c r="S33" s="14" t="s">
        <v>83</v>
      </c>
      <c r="T33" s="14" t="s">
        <v>79</v>
      </c>
      <c r="U33" s="16" t="s">
        <v>84</v>
      </c>
      <c r="V33" s="17" t="s">
        <v>85</v>
      </c>
      <c r="W33" s="14" t="s">
        <v>79</v>
      </c>
      <c r="X33" s="18">
        <v>45111</v>
      </c>
      <c r="Y33" s="14" t="s">
        <v>86</v>
      </c>
      <c r="Z33" s="19" t="s">
        <v>170</v>
      </c>
      <c r="AA33" s="13" t="s">
        <v>118</v>
      </c>
      <c r="AB33" s="20" t="s">
        <v>208</v>
      </c>
      <c r="AC33" s="21" t="s">
        <v>90</v>
      </c>
      <c r="AD33" s="22" t="s">
        <v>91</v>
      </c>
      <c r="AE33" s="21" t="s">
        <v>92</v>
      </c>
      <c r="AF33" s="13">
        <v>5</v>
      </c>
      <c r="AG33" s="13">
        <v>37.5</v>
      </c>
      <c r="AH33" s="36">
        <v>46357</v>
      </c>
      <c r="AI33" s="24" t="s">
        <v>94</v>
      </c>
      <c r="AJ33" s="25" t="s">
        <v>95</v>
      </c>
      <c r="AK33" s="26">
        <f t="shared" si="1"/>
        <v>45111</v>
      </c>
      <c r="AL33" s="27">
        <f t="shared" si="2"/>
        <v>46357</v>
      </c>
      <c r="AM33" s="28">
        <f t="shared" si="3"/>
        <v>45111</v>
      </c>
      <c r="AN33" s="28">
        <f t="shared" si="4"/>
        <v>45111</v>
      </c>
      <c r="AO33" s="25" t="s">
        <v>209</v>
      </c>
      <c r="AP33" s="41" t="s">
        <v>220</v>
      </c>
      <c r="AQ33" s="12">
        <v>100</v>
      </c>
      <c r="AR33" s="28">
        <f t="shared" si="5"/>
        <v>45171</v>
      </c>
      <c r="AS33" s="12" t="s">
        <v>74</v>
      </c>
      <c r="AT33" s="29" t="s">
        <v>98</v>
      </c>
      <c r="AU33" s="30">
        <v>8312067753</v>
      </c>
      <c r="AV33" s="28" t="s">
        <v>99</v>
      </c>
      <c r="AW33" s="28" t="s">
        <v>100</v>
      </c>
      <c r="AX33" s="12" t="s">
        <v>74</v>
      </c>
      <c r="AY33" s="29" t="s">
        <v>101</v>
      </c>
      <c r="AZ33" s="30">
        <v>198306151</v>
      </c>
      <c r="BA33" s="28" t="s">
        <v>99</v>
      </c>
      <c r="BB33" s="28" t="s">
        <v>100</v>
      </c>
      <c r="BC33" s="31" t="s">
        <v>102</v>
      </c>
      <c r="BD33" s="18">
        <v>30656</v>
      </c>
      <c r="BE33" s="29" t="s">
        <v>81</v>
      </c>
      <c r="BF33" s="29" t="s">
        <v>103</v>
      </c>
      <c r="BG33" s="29" t="s">
        <v>104</v>
      </c>
      <c r="BH33" s="12" t="s">
        <v>105</v>
      </c>
      <c r="BI33" s="12" t="s">
        <v>106</v>
      </c>
      <c r="BJ33" s="32" t="s">
        <v>107</v>
      </c>
      <c r="BK33" t="s">
        <v>108</v>
      </c>
      <c r="BL33" s="12" t="s">
        <v>109</v>
      </c>
      <c r="BM33" s="12" t="s">
        <v>74</v>
      </c>
      <c r="BN33" s="12" t="s">
        <v>80</v>
      </c>
      <c r="BO33" s="12" t="s">
        <v>80</v>
      </c>
      <c r="BP33" s="12" t="s">
        <v>110</v>
      </c>
      <c r="BQ33" s="12" t="s">
        <v>111</v>
      </c>
      <c r="BR33" s="14" t="s">
        <v>112</v>
      </c>
      <c r="BS33" s="14" t="s">
        <v>113</v>
      </c>
      <c r="BT33" s="23">
        <v>37.5</v>
      </c>
      <c r="BU33" s="33">
        <v>213111231</v>
      </c>
    </row>
    <row r="34" spans="1:73" ht="14.4" customHeight="1" x14ac:dyDescent="0.35">
      <c r="A34" t="s">
        <v>221</v>
      </c>
      <c r="C34" s="10"/>
      <c r="D34" t="s">
        <v>170</v>
      </c>
      <c r="E34" s="11" t="s">
        <v>205</v>
      </c>
      <c r="F34" s="12" t="s">
        <v>74</v>
      </c>
      <c r="G34" t="s">
        <v>222</v>
      </c>
      <c r="H34" s="13" t="s">
        <v>207</v>
      </c>
      <c r="I34" s="14" t="s">
        <v>77</v>
      </c>
      <c r="J34" s="14" t="s">
        <v>78</v>
      </c>
      <c r="K34" s="14" t="s">
        <v>79</v>
      </c>
      <c r="L34" s="15">
        <f t="shared" ref="L34:L65" si="6">X34</f>
        <v>44809</v>
      </c>
      <c r="M34" s="12" t="s">
        <v>74</v>
      </c>
      <c r="N34" s="12" t="s">
        <v>80</v>
      </c>
      <c r="O34" s="12">
        <v>1</v>
      </c>
      <c r="P34" s="14" t="s">
        <v>81</v>
      </c>
      <c r="Q34" s="14" t="s">
        <v>82</v>
      </c>
      <c r="R34" s="14" t="s">
        <v>81</v>
      </c>
      <c r="S34" s="14" t="s">
        <v>83</v>
      </c>
      <c r="T34" s="14" t="s">
        <v>79</v>
      </c>
      <c r="U34" s="16" t="s">
        <v>84</v>
      </c>
      <c r="V34" s="17" t="s">
        <v>85</v>
      </c>
      <c r="W34" s="14" t="s">
        <v>79</v>
      </c>
      <c r="X34" s="18">
        <v>44809</v>
      </c>
      <c r="Y34" s="14" t="s">
        <v>86</v>
      </c>
      <c r="Z34" s="19" t="s">
        <v>186</v>
      </c>
      <c r="AA34" s="13" t="s">
        <v>88</v>
      </c>
      <c r="AB34" s="20" t="s">
        <v>208</v>
      </c>
      <c r="AC34" s="21" t="s">
        <v>90</v>
      </c>
      <c r="AD34" s="22" t="s">
        <v>91</v>
      </c>
      <c r="AE34" s="21" t="s">
        <v>92</v>
      </c>
      <c r="AF34" s="13">
        <v>5</v>
      </c>
      <c r="AG34" s="13">
        <v>37.5</v>
      </c>
      <c r="AH34" s="36" t="s">
        <v>93</v>
      </c>
      <c r="AI34" s="24" t="s">
        <v>94</v>
      </c>
      <c r="AJ34" s="25" t="s">
        <v>95</v>
      </c>
      <c r="AK34" s="26">
        <f t="shared" ref="AK34:AK65" si="7">L34</f>
        <v>44809</v>
      </c>
      <c r="AL34" s="27" t="str">
        <f t="shared" ref="AL34:AL65" si="8">AH34</f>
        <v>N/A</v>
      </c>
      <c r="AM34" s="28">
        <f t="shared" ref="AM34:AM65" si="9">L34</f>
        <v>44809</v>
      </c>
      <c r="AN34" s="28">
        <f t="shared" ref="AN34:AN65" si="10">L34</f>
        <v>44809</v>
      </c>
      <c r="AO34" s="25" t="s">
        <v>209</v>
      </c>
      <c r="AP34" s="41" t="s">
        <v>223</v>
      </c>
      <c r="AQ34" s="12">
        <v>100</v>
      </c>
      <c r="AR34" s="28">
        <f t="shared" ref="AR34:AR65" si="11">X34+60</f>
        <v>44869</v>
      </c>
      <c r="AS34" s="12" t="s">
        <v>74</v>
      </c>
      <c r="AT34" s="29" t="s">
        <v>98</v>
      </c>
      <c r="AU34" s="30">
        <v>8312067786</v>
      </c>
      <c r="AV34" s="28" t="s">
        <v>99</v>
      </c>
      <c r="AW34" s="28" t="s">
        <v>100</v>
      </c>
      <c r="AX34" s="12" t="s">
        <v>74</v>
      </c>
      <c r="AY34" s="29" t="s">
        <v>101</v>
      </c>
      <c r="AZ34" s="30">
        <v>198306152</v>
      </c>
      <c r="BA34" s="28" t="s">
        <v>99</v>
      </c>
      <c r="BB34" s="28" t="s">
        <v>100</v>
      </c>
      <c r="BC34" s="31" t="s">
        <v>102</v>
      </c>
      <c r="BD34" s="18">
        <v>30656</v>
      </c>
      <c r="BE34" s="29" t="s">
        <v>81</v>
      </c>
      <c r="BF34" s="29" t="s">
        <v>103</v>
      </c>
      <c r="BG34" s="29" t="s">
        <v>104</v>
      </c>
      <c r="BH34" s="12" t="s">
        <v>105</v>
      </c>
      <c r="BI34" s="12" t="s">
        <v>106</v>
      </c>
      <c r="BJ34" s="32" t="s">
        <v>107</v>
      </c>
      <c r="BK34" t="s">
        <v>108</v>
      </c>
      <c r="BL34" s="12" t="s">
        <v>109</v>
      </c>
      <c r="BM34" s="12" t="s">
        <v>74</v>
      </c>
      <c r="BN34" s="12" t="s">
        <v>80</v>
      </c>
      <c r="BO34" s="12" t="s">
        <v>80</v>
      </c>
      <c r="BP34" s="12" t="s">
        <v>110</v>
      </c>
      <c r="BQ34" s="12" t="s">
        <v>111</v>
      </c>
      <c r="BR34" s="14" t="s">
        <v>112</v>
      </c>
      <c r="BS34" s="14" t="s">
        <v>113</v>
      </c>
      <c r="BT34" s="23">
        <v>37.5</v>
      </c>
      <c r="BU34" s="33">
        <v>213111231</v>
      </c>
    </row>
    <row r="35" spans="1:73" ht="14.4" customHeight="1" x14ac:dyDescent="0.35">
      <c r="A35" t="s">
        <v>224</v>
      </c>
      <c r="C35" s="10"/>
      <c r="D35" t="s">
        <v>170</v>
      </c>
      <c r="E35" s="11" t="s">
        <v>205</v>
      </c>
      <c r="F35" s="12" t="s">
        <v>74</v>
      </c>
      <c r="G35" t="s">
        <v>225</v>
      </c>
      <c r="H35" s="13" t="s">
        <v>207</v>
      </c>
      <c r="I35" s="14" t="s">
        <v>77</v>
      </c>
      <c r="J35" s="14" t="s">
        <v>78</v>
      </c>
      <c r="K35" s="14" t="s">
        <v>79</v>
      </c>
      <c r="L35" s="15">
        <f t="shared" si="6"/>
        <v>45719</v>
      </c>
      <c r="M35" s="12" t="s">
        <v>74</v>
      </c>
      <c r="N35" s="12" t="s">
        <v>80</v>
      </c>
      <c r="O35" s="12">
        <v>1</v>
      </c>
      <c r="P35" s="14" t="s">
        <v>81</v>
      </c>
      <c r="Q35" s="14" t="s">
        <v>82</v>
      </c>
      <c r="R35" s="14" t="s">
        <v>81</v>
      </c>
      <c r="S35" s="14" t="s">
        <v>83</v>
      </c>
      <c r="T35" s="14" t="s">
        <v>79</v>
      </c>
      <c r="U35" s="16" t="s">
        <v>84</v>
      </c>
      <c r="V35" s="17" t="s">
        <v>85</v>
      </c>
      <c r="W35" s="14" t="s">
        <v>79</v>
      </c>
      <c r="X35" s="18">
        <v>45719</v>
      </c>
      <c r="Y35" s="14" t="s">
        <v>86</v>
      </c>
      <c r="Z35" s="19" t="s">
        <v>170</v>
      </c>
      <c r="AA35" s="13" t="s">
        <v>118</v>
      </c>
      <c r="AB35" s="20" t="s">
        <v>208</v>
      </c>
      <c r="AC35" s="21" t="s">
        <v>90</v>
      </c>
      <c r="AD35" s="22" t="s">
        <v>91</v>
      </c>
      <c r="AE35" s="21" t="s">
        <v>92</v>
      </c>
      <c r="AF35" s="13">
        <v>5</v>
      </c>
      <c r="AG35" s="13">
        <v>37.5</v>
      </c>
      <c r="AH35" s="36">
        <v>46357</v>
      </c>
      <c r="AI35" s="24" t="s">
        <v>94</v>
      </c>
      <c r="AJ35" s="25" t="s">
        <v>95</v>
      </c>
      <c r="AK35" s="26">
        <f t="shared" si="7"/>
        <v>45719</v>
      </c>
      <c r="AL35" s="27">
        <f t="shared" si="8"/>
        <v>46357</v>
      </c>
      <c r="AM35" s="28">
        <f t="shared" si="9"/>
        <v>45719</v>
      </c>
      <c r="AN35" s="28">
        <f t="shared" si="10"/>
        <v>45719</v>
      </c>
      <c r="AO35" s="25" t="s">
        <v>209</v>
      </c>
      <c r="AP35" s="41" t="s">
        <v>226</v>
      </c>
      <c r="AQ35" s="12">
        <v>100</v>
      </c>
      <c r="AR35" s="28">
        <f t="shared" si="11"/>
        <v>45779</v>
      </c>
      <c r="AS35" s="12" t="s">
        <v>74</v>
      </c>
      <c r="AT35" s="29" t="s">
        <v>98</v>
      </c>
      <c r="AU35" s="30">
        <v>8312068809</v>
      </c>
      <c r="AV35" s="28" t="s">
        <v>99</v>
      </c>
      <c r="AW35" s="28" t="s">
        <v>100</v>
      </c>
      <c r="AX35" s="12" t="s">
        <v>74</v>
      </c>
      <c r="AY35" s="29" t="s">
        <v>101</v>
      </c>
      <c r="AZ35" s="30">
        <v>198306153</v>
      </c>
      <c r="BA35" s="28" t="s">
        <v>99</v>
      </c>
      <c r="BB35" s="28" t="s">
        <v>100</v>
      </c>
      <c r="BC35" s="31" t="s">
        <v>102</v>
      </c>
      <c r="BD35" s="18">
        <v>30656</v>
      </c>
      <c r="BE35" s="29" t="s">
        <v>81</v>
      </c>
      <c r="BF35" s="29" t="s">
        <v>103</v>
      </c>
      <c r="BG35" s="29" t="s">
        <v>104</v>
      </c>
      <c r="BH35" s="12" t="s">
        <v>105</v>
      </c>
      <c r="BI35" s="12" t="s">
        <v>106</v>
      </c>
      <c r="BJ35" s="32" t="s">
        <v>107</v>
      </c>
      <c r="BK35" t="s">
        <v>108</v>
      </c>
      <c r="BL35" s="12" t="s">
        <v>109</v>
      </c>
      <c r="BM35" s="12" t="s">
        <v>74</v>
      </c>
      <c r="BN35" s="12" t="s">
        <v>80</v>
      </c>
      <c r="BO35" s="12" t="s">
        <v>80</v>
      </c>
      <c r="BP35" s="12" t="s">
        <v>110</v>
      </c>
      <c r="BQ35" s="12" t="s">
        <v>111</v>
      </c>
      <c r="BR35" s="14" t="s">
        <v>112</v>
      </c>
      <c r="BS35" s="14" t="s">
        <v>113</v>
      </c>
      <c r="BT35" s="23">
        <v>37.5</v>
      </c>
      <c r="BU35" s="33">
        <v>213111231</v>
      </c>
    </row>
    <row r="36" spans="1:73" ht="14.4" customHeight="1" x14ac:dyDescent="0.35">
      <c r="A36" t="s">
        <v>227</v>
      </c>
      <c r="C36" s="10"/>
      <c r="D36" t="s">
        <v>170</v>
      </c>
      <c r="E36" s="11" t="s">
        <v>205</v>
      </c>
      <c r="F36" s="12" t="s">
        <v>74</v>
      </c>
      <c r="G36" t="s">
        <v>228</v>
      </c>
      <c r="H36" s="13" t="s">
        <v>207</v>
      </c>
      <c r="I36" s="14" t="s">
        <v>122</v>
      </c>
      <c r="J36" s="14" t="s">
        <v>78</v>
      </c>
      <c r="K36" s="14" t="s">
        <v>79</v>
      </c>
      <c r="L36" s="15">
        <f t="shared" si="6"/>
        <v>45176</v>
      </c>
      <c r="M36" s="12" t="s">
        <v>74</v>
      </c>
      <c r="N36" s="12" t="s">
        <v>80</v>
      </c>
      <c r="O36" s="12">
        <v>1</v>
      </c>
      <c r="P36" s="14" t="s">
        <v>81</v>
      </c>
      <c r="Q36" s="14" t="s">
        <v>82</v>
      </c>
      <c r="R36" s="14" t="s">
        <v>81</v>
      </c>
      <c r="S36" s="14" t="s">
        <v>83</v>
      </c>
      <c r="T36" s="14" t="s">
        <v>79</v>
      </c>
      <c r="U36" s="16" t="s">
        <v>84</v>
      </c>
      <c r="V36" s="17" t="s">
        <v>85</v>
      </c>
      <c r="W36" s="14" t="s">
        <v>79</v>
      </c>
      <c r="X36" s="18">
        <v>45176</v>
      </c>
      <c r="Y36" s="14" t="s">
        <v>86</v>
      </c>
      <c r="Z36" s="19" t="s">
        <v>196</v>
      </c>
      <c r="AA36" s="13" t="s">
        <v>88</v>
      </c>
      <c r="AB36" s="20" t="s">
        <v>208</v>
      </c>
      <c r="AC36" s="21" t="s">
        <v>90</v>
      </c>
      <c r="AD36" s="22" t="s">
        <v>91</v>
      </c>
      <c r="AE36" s="21" t="s">
        <v>92</v>
      </c>
      <c r="AF36" s="13">
        <v>5</v>
      </c>
      <c r="AG36" s="13">
        <v>40</v>
      </c>
      <c r="AH36" s="36" t="s">
        <v>93</v>
      </c>
      <c r="AI36" s="24" t="s">
        <v>94</v>
      </c>
      <c r="AJ36" s="25" t="s">
        <v>95</v>
      </c>
      <c r="AK36" s="26">
        <f t="shared" si="7"/>
        <v>45176</v>
      </c>
      <c r="AL36" s="27" t="str">
        <f t="shared" si="8"/>
        <v>N/A</v>
      </c>
      <c r="AM36" s="28">
        <f t="shared" si="9"/>
        <v>45176</v>
      </c>
      <c r="AN36" s="28">
        <f t="shared" si="10"/>
        <v>45176</v>
      </c>
      <c r="AO36" s="25" t="s">
        <v>209</v>
      </c>
      <c r="AP36" s="41" t="s">
        <v>229</v>
      </c>
      <c r="AQ36" s="12">
        <v>100</v>
      </c>
      <c r="AR36" s="28">
        <f t="shared" si="11"/>
        <v>45236</v>
      </c>
      <c r="AS36" s="12" t="s">
        <v>74</v>
      </c>
      <c r="AT36" s="29" t="s">
        <v>98</v>
      </c>
      <c r="AU36" s="30">
        <v>8312068963</v>
      </c>
      <c r="AV36" s="28" t="s">
        <v>99</v>
      </c>
      <c r="AW36" s="28" t="s">
        <v>100</v>
      </c>
      <c r="AX36" s="12" t="s">
        <v>74</v>
      </c>
      <c r="AY36" s="29" t="s">
        <v>101</v>
      </c>
      <c r="AZ36" s="30">
        <v>198306154</v>
      </c>
      <c r="BA36" s="28" t="s">
        <v>99</v>
      </c>
      <c r="BB36" s="28" t="s">
        <v>100</v>
      </c>
      <c r="BC36" s="31" t="s">
        <v>102</v>
      </c>
      <c r="BD36" s="18">
        <v>30656</v>
      </c>
      <c r="BE36" s="29" t="s">
        <v>81</v>
      </c>
      <c r="BF36" s="29" t="s">
        <v>103</v>
      </c>
      <c r="BG36" s="29" t="s">
        <v>104</v>
      </c>
      <c r="BH36" s="12" t="s">
        <v>105</v>
      </c>
      <c r="BI36" s="12" t="s">
        <v>106</v>
      </c>
      <c r="BJ36" s="32" t="s">
        <v>107</v>
      </c>
      <c r="BK36" t="s">
        <v>108</v>
      </c>
      <c r="BL36" s="12" t="s">
        <v>109</v>
      </c>
      <c r="BM36" s="12" t="s">
        <v>74</v>
      </c>
      <c r="BN36" s="12" t="s">
        <v>80</v>
      </c>
      <c r="BO36" s="12" t="s">
        <v>80</v>
      </c>
      <c r="BP36" s="12" t="s">
        <v>110</v>
      </c>
      <c r="BQ36" s="12" t="s">
        <v>111</v>
      </c>
      <c r="BR36" s="14" t="s">
        <v>112</v>
      </c>
      <c r="BS36" s="14" t="s">
        <v>113</v>
      </c>
      <c r="BT36" s="23">
        <v>40</v>
      </c>
      <c r="BU36" s="33">
        <v>213111231</v>
      </c>
    </row>
    <row r="37" spans="1:73" ht="14.4" customHeight="1" x14ac:dyDescent="0.35">
      <c r="A37" t="s">
        <v>230</v>
      </c>
      <c r="C37" s="10"/>
      <c r="D37" t="s">
        <v>170</v>
      </c>
      <c r="E37" s="11" t="s">
        <v>205</v>
      </c>
      <c r="F37" s="12" t="s">
        <v>74</v>
      </c>
      <c r="G37" t="s">
        <v>231</v>
      </c>
      <c r="H37" s="13" t="s">
        <v>207</v>
      </c>
      <c r="I37" s="14" t="s">
        <v>77</v>
      </c>
      <c r="J37" s="14" t="s">
        <v>78</v>
      </c>
      <c r="K37" s="14" t="s">
        <v>79</v>
      </c>
      <c r="L37" s="15">
        <f t="shared" si="6"/>
        <v>44750</v>
      </c>
      <c r="M37" s="12" t="s">
        <v>74</v>
      </c>
      <c r="N37" s="12" t="s">
        <v>80</v>
      </c>
      <c r="O37" s="12">
        <v>1</v>
      </c>
      <c r="P37" s="14" t="s">
        <v>81</v>
      </c>
      <c r="Q37" s="14" t="s">
        <v>82</v>
      </c>
      <c r="R37" s="14" t="s">
        <v>81</v>
      </c>
      <c r="S37" s="14" t="s">
        <v>83</v>
      </c>
      <c r="T37" s="14" t="s">
        <v>79</v>
      </c>
      <c r="U37" s="16" t="s">
        <v>84</v>
      </c>
      <c r="V37" s="17" t="s">
        <v>85</v>
      </c>
      <c r="W37" s="14" t="s">
        <v>79</v>
      </c>
      <c r="X37" s="18">
        <v>44750</v>
      </c>
      <c r="Y37" s="14" t="s">
        <v>86</v>
      </c>
      <c r="Z37" s="19" t="s">
        <v>186</v>
      </c>
      <c r="AA37" s="13" t="s">
        <v>118</v>
      </c>
      <c r="AB37" s="20" t="s">
        <v>208</v>
      </c>
      <c r="AC37" s="21" t="s">
        <v>90</v>
      </c>
      <c r="AD37" s="22" t="s">
        <v>91</v>
      </c>
      <c r="AE37" s="21" t="s">
        <v>92</v>
      </c>
      <c r="AF37" s="13">
        <v>5</v>
      </c>
      <c r="AG37" s="13">
        <v>40</v>
      </c>
      <c r="AH37" s="36">
        <v>46357</v>
      </c>
      <c r="AI37" s="24" t="s">
        <v>94</v>
      </c>
      <c r="AJ37" s="25" t="s">
        <v>95</v>
      </c>
      <c r="AK37" s="26">
        <f t="shared" si="7"/>
        <v>44750</v>
      </c>
      <c r="AL37" s="27">
        <f t="shared" si="8"/>
        <v>46357</v>
      </c>
      <c r="AM37" s="28">
        <f t="shared" si="9"/>
        <v>44750</v>
      </c>
      <c r="AN37" s="28">
        <f t="shared" si="10"/>
        <v>44750</v>
      </c>
      <c r="AO37" s="25" t="s">
        <v>209</v>
      </c>
      <c r="AP37" s="41" t="s">
        <v>232</v>
      </c>
      <c r="AQ37" s="12">
        <v>100</v>
      </c>
      <c r="AR37" s="28">
        <f t="shared" si="11"/>
        <v>44810</v>
      </c>
      <c r="AS37" s="12" t="s">
        <v>74</v>
      </c>
      <c r="AT37" s="29" t="s">
        <v>98</v>
      </c>
      <c r="AU37" s="30">
        <v>8312069139</v>
      </c>
      <c r="AV37" s="28" t="s">
        <v>99</v>
      </c>
      <c r="AW37" s="28" t="s">
        <v>100</v>
      </c>
      <c r="AX37" s="12" t="s">
        <v>74</v>
      </c>
      <c r="AY37" s="29" t="s">
        <v>101</v>
      </c>
      <c r="AZ37" s="30">
        <v>198306155</v>
      </c>
      <c r="BA37" s="28" t="s">
        <v>99</v>
      </c>
      <c r="BB37" s="28" t="s">
        <v>100</v>
      </c>
      <c r="BC37" s="31" t="s">
        <v>102</v>
      </c>
      <c r="BD37" s="18">
        <v>30656</v>
      </c>
      <c r="BE37" s="29" t="s">
        <v>81</v>
      </c>
      <c r="BF37" s="29" t="s">
        <v>103</v>
      </c>
      <c r="BG37" s="29" t="s">
        <v>104</v>
      </c>
      <c r="BH37" s="12" t="s">
        <v>105</v>
      </c>
      <c r="BI37" s="12" t="s">
        <v>106</v>
      </c>
      <c r="BJ37" s="32" t="s">
        <v>107</v>
      </c>
      <c r="BK37" t="s">
        <v>108</v>
      </c>
      <c r="BL37" s="12" t="s">
        <v>109</v>
      </c>
      <c r="BM37" s="12" t="s">
        <v>74</v>
      </c>
      <c r="BN37" s="12" t="s">
        <v>80</v>
      </c>
      <c r="BO37" s="12" t="s">
        <v>80</v>
      </c>
      <c r="BP37" s="12" t="s">
        <v>110</v>
      </c>
      <c r="BQ37" s="12" t="s">
        <v>111</v>
      </c>
      <c r="BR37" s="14" t="s">
        <v>112</v>
      </c>
      <c r="BS37" s="14" t="s">
        <v>113</v>
      </c>
      <c r="BT37" s="23">
        <v>40</v>
      </c>
      <c r="BU37" s="33">
        <v>213111231</v>
      </c>
    </row>
    <row r="38" spans="1:73" ht="14.4" customHeight="1" x14ac:dyDescent="0.35">
      <c r="A38" t="s">
        <v>233</v>
      </c>
      <c r="C38" s="10"/>
      <c r="D38" t="s">
        <v>170</v>
      </c>
      <c r="E38" s="11" t="s">
        <v>205</v>
      </c>
      <c r="F38" s="12" t="s">
        <v>74</v>
      </c>
      <c r="G38" t="s">
        <v>234</v>
      </c>
      <c r="H38" s="13" t="s">
        <v>207</v>
      </c>
      <c r="I38" s="14" t="s">
        <v>77</v>
      </c>
      <c r="J38" s="14" t="s">
        <v>78</v>
      </c>
      <c r="K38" s="14" t="s">
        <v>79</v>
      </c>
      <c r="L38" s="15">
        <f t="shared" si="6"/>
        <v>45544</v>
      </c>
      <c r="M38" s="12" t="s">
        <v>74</v>
      </c>
      <c r="N38" s="12" t="s">
        <v>80</v>
      </c>
      <c r="O38" s="12">
        <v>1</v>
      </c>
      <c r="P38" s="14" t="s">
        <v>81</v>
      </c>
      <c r="Q38" s="14" t="s">
        <v>82</v>
      </c>
      <c r="R38" s="14" t="s">
        <v>81</v>
      </c>
      <c r="S38" s="14" t="s">
        <v>83</v>
      </c>
      <c r="T38" s="14" t="s">
        <v>79</v>
      </c>
      <c r="U38" s="16" t="s">
        <v>84</v>
      </c>
      <c r="V38" s="17" t="s">
        <v>85</v>
      </c>
      <c r="W38" s="14" t="s">
        <v>79</v>
      </c>
      <c r="X38" s="18">
        <v>45544</v>
      </c>
      <c r="Y38" s="14" t="s">
        <v>86</v>
      </c>
      <c r="Z38" s="19" t="s">
        <v>170</v>
      </c>
      <c r="AA38" s="13" t="s">
        <v>88</v>
      </c>
      <c r="AB38" s="20" t="s">
        <v>208</v>
      </c>
      <c r="AC38" s="21" t="s">
        <v>90</v>
      </c>
      <c r="AD38" s="22" t="s">
        <v>91</v>
      </c>
      <c r="AE38" s="21" t="s">
        <v>92</v>
      </c>
      <c r="AF38" s="13">
        <v>5</v>
      </c>
      <c r="AG38" s="13">
        <v>40</v>
      </c>
      <c r="AH38" s="36" t="s">
        <v>93</v>
      </c>
      <c r="AI38" s="24" t="s">
        <v>94</v>
      </c>
      <c r="AJ38" s="25" t="s">
        <v>95</v>
      </c>
      <c r="AK38" s="26">
        <f t="shared" si="7"/>
        <v>45544</v>
      </c>
      <c r="AL38" s="27" t="str">
        <f t="shared" si="8"/>
        <v>N/A</v>
      </c>
      <c r="AM38" s="28">
        <f t="shared" si="9"/>
        <v>45544</v>
      </c>
      <c r="AN38" s="28">
        <f t="shared" si="10"/>
        <v>45544</v>
      </c>
      <c r="AO38" s="25" t="s">
        <v>209</v>
      </c>
      <c r="AP38" s="41" t="s">
        <v>235</v>
      </c>
      <c r="AQ38" s="12">
        <v>100</v>
      </c>
      <c r="AR38" s="28">
        <f t="shared" si="11"/>
        <v>45604</v>
      </c>
      <c r="AS38" s="12" t="s">
        <v>74</v>
      </c>
      <c r="AT38" s="29" t="s">
        <v>98</v>
      </c>
      <c r="AU38" s="30">
        <v>8312069205</v>
      </c>
      <c r="AV38" s="28" t="s">
        <v>99</v>
      </c>
      <c r="AW38" s="28" t="s">
        <v>100</v>
      </c>
      <c r="AX38" s="12" t="s">
        <v>74</v>
      </c>
      <c r="AY38" s="29" t="s">
        <v>101</v>
      </c>
      <c r="AZ38" s="30">
        <v>198306156</v>
      </c>
      <c r="BA38" s="28" t="s">
        <v>99</v>
      </c>
      <c r="BB38" s="28" t="s">
        <v>100</v>
      </c>
      <c r="BC38" s="31" t="s">
        <v>102</v>
      </c>
      <c r="BD38" s="18">
        <v>30656</v>
      </c>
      <c r="BE38" s="29" t="s">
        <v>81</v>
      </c>
      <c r="BF38" s="29" t="s">
        <v>103</v>
      </c>
      <c r="BG38" s="29" t="s">
        <v>104</v>
      </c>
      <c r="BH38" s="12" t="s">
        <v>105</v>
      </c>
      <c r="BI38" s="12" t="s">
        <v>106</v>
      </c>
      <c r="BJ38" s="32" t="s">
        <v>107</v>
      </c>
      <c r="BK38" t="s">
        <v>108</v>
      </c>
      <c r="BL38" s="12" t="s">
        <v>109</v>
      </c>
      <c r="BM38" s="12" t="s">
        <v>74</v>
      </c>
      <c r="BN38" s="12" t="s">
        <v>80</v>
      </c>
      <c r="BO38" s="12" t="s">
        <v>80</v>
      </c>
      <c r="BP38" s="12" t="s">
        <v>110</v>
      </c>
      <c r="BQ38" s="12" t="s">
        <v>111</v>
      </c>
      <c r="BR38" s="14" t="s">
        <v>112</v>
      </c>
      <c r="BS38" s="14" t="s">
        <v>113</v>
      </c>
      <c r="BT38" s="23">
        <v>40</v>
      </c>
      <c r="BU38" s="33">
        <v>213111231</v>
      </c>
    </row>
    <row r="39" spans="1:73" ht="14.4" customHeight="1" x14ac:dyDescent="0.35">
      <c r="A39" t="s">
        <v>236</v>
      </c>
      <c r="C39" s="10"/>
      <c r="D39" t="s">
        <v>170</v>
      </c>
      <c r="E39" s="11" t="s">
        <v>205</v>
      </c>
      <c r="F39" s="12" t="s">
        <v>74</v>
      </c>
      <c r="G39" t="s">
        <v>237</v>
      </c>
      <c r="H39" s="13" t="s">
        <v>207</v>
      </c>
      <c r="I39" s="14" t="s">
        <v>77</v>
      </c>
      <c r="J39" s="14" t="s">
        <v>78</v>
      </c>
      <c r="K39" s="14" t="s">
        <v>79</v>
      </c>
      <c r="L39" s="15">
        <f t="shared" si="6"/>
        <v>44875</v>
      </c>
      <c r="M39" s="12" t="s">
        <v>74</v>
      </c>
      <c r="N39" s="12" t="s">
        <v>80</v>
      </c>
      <c r="O39" s="12">
        <v>1</v>
      </c>
      <c r="P39" s="14" t="s">
        <v>81</v>
      </c>
      <c r="Q39" s="14" t="s">
        <v>82</v>
      </c>
      <c r="R39" s="14" t="s">
        <v>81</v>
      </c>
      <c r="S39" s="14" t="s">
        <v>83</v>
      </c>
      <c r="T39" s="14" t="s">
        <v>79</v>
      </c>
      <c r="U39" s="16" t="s">
        <v>84</v>
      </c>
      <c r="V39" s="17" t="s">
        <v>85</v>
      </c>
      <c r="W39" s="14" t="s">
        <v>79</v>
      </c>
      <c r="X39" s="18">
        <v>44875</v>
      </c>
      <c r="Y39" s="14" t="s">
        <v>86</v>
      </c>
      <c r="Z39" s="19" t="s">
        <v>186</v>
      </c>
      <c r="AA39" s="13" t="s">
        <v>118</v>
      </c>
      <c r="AB39" s="20" t="s">
        <v>208</v>
      </c>
      <c r="AC39" s="21" t="s">
        <v>90</v>
      </c>
      <c r="AD39" s="22" t="s">
        <v>91</v>
      </c>
      <c r="AE39" s="21" t="s">
        <v>92</v>
      </c>
      <c r="AF39" s="13">
        <v>5</v>
      </c>
      <c r="AG39" s="13">
        <v>40</v>
      </c>
      <c r="AH39" s="36">
        <v>46357</v>
      </c>
      <c r="AI39" s="24" t="s">
        <v>94</v>
      </c>
      <c r="AJ39" s="25" t="s">
        <v>95</v>
      </c>
      <c r="AK39" s="26">
        <f t="shared" si="7"/>
        <v>44875</v>
      </c>
      <c r="AL39" s="27">
        <f t="shared" si="8"/>
        <v>46357</v>
      </c>
      <c r="AM39" s="28">
        <f t="shared" si="9"/>
        <v>44875</v>
      </c>
      <c r="AN39" s="28">
        <f t="shared" si="10"/>
        <v>44875</v>
      </c>
      <c r="AO39" s="25" t="s">
        <v>209</v>
      </c>
      <c r="AP39" s="41" t="s">
        <v>238</v>
      </c>
      <c r="AQ39" s="12">
        <v>100</v>
      </c>
      <c r="AR39" s="28">
        <f t="shared" si="11"/>
        <v>44935</v>
      </c>
      <c r="AS39" s="12" t="s">
        <v>74</v>
      </c>
      <c r="AT39" s="29" t="s">
        <v>98</v>
      </c>
      <c r="AU39" s="30">
        <v>8312069601</v>
      </c>
      <c r="AV39" s="28" t="s">
        <v>99</v>
      </c>
      <c r="AW39" s="28" t="s">
        <v>100</v>
      </c>
      <c r="AX39" s="12" t="s">
        <v>74</v>
      </c>
      <c r="AY39" s="29" t="s">
        <v>101</v>
      </c>
      <c r="AZ39" s="30">
        <v>198306157</v>
      </c>
      <c r="BA39" s="28" t="s">
        <v>99</v>
      </c>
      <c r="BB39" s="28" t="s">
        <v>100</v>
      </c>
      <c r="BC39" s="31" t="s">
        <v>102</v>
      </c>
      <c r="BD39" s="18">
        <v>30656</v>
      </c>
      <c r="BE39" s="29" t="s">
        <v>81</v>
      </c>
      <c r="BF39" s="29" t="s">
        <v>103</v>
      </c>
      <c r="BG39" s="29" t="s">
        <v>104</v>
      </c>
      <c r="BH39" s="12" t="s">
        <v>105</v>
      </c>
      <c r="BI39" s="12" t="s">
        <v>106</v>
      </c>
      <c r="BJ39" s="32" t="s">
        <v>107</v>
      </c>
      <c r="BK39" t="s">
        <v>108</v>
      </c>
      <c r="BL39" s="12" t="s">
        <v>109</v>
      </c>
      <c r="BM39" s="12" t="s">
        <v>74</v>
      </c>
      <c r="BN39" s="12" t="s">
        <v>80</v>
      </c>
      <c r="BO39" s="12" t="s">
        <v>80</v>
      </c>
      <c r="BP39" s="12" t="s">
        <v>110</v>
      </c>
      <c r="BQ39" s="12" t="s">
        <v>111</v>
      </c>
      <c r="BR39" s="14" t="s">
        <v>112</v>
      </c>
      <c r="BS39" s="14" t="s">
        <v>113</v>
      </c>
      <c r="BT39" s="23">
        <v>40</v>
      </c>
      <c r="BU39" s="33">
        <v>213111231</v>
      </c>
    </row>
    <row r="40" spans="1:73" ht="14.4" customHeight="1" x14ac:dyDescent="0.35">
      <c r="A40" t="s">
        <v>239</v>
      </c>
      <c r="C40" s="10"/>
      <c r="D40" t="s">
        <v>170</v>
      </c>
      <c r="E40" s="11" t="s">
        <v>205</v>
      </c>
      <c r="F40" s="12" t="s">
        <v>74</v>
      </c>
      <c r="G40" t="s">
        <v>240</v>
      </c>
      <c r="H40" s="13" t="s">
        <v>207</v>
      </c>
      <c r="I40" s="14" t="s">
        <v>77</v>
      </c>
      <c r="J40" s="14" t="s">
        <v>78</v>
      </c>
      <c r="K40" s="14" t="s">
        <v>79</v>
      </c>
      <c r="L40" s="15">
        <f t="shared" si="6"/>
        <v>44815</v>
      </c>
      <c r="M40" s="12" t="s">
        <v>74</v>
      </c>
      <c r="N40" s="12" t="s">
        <v>80</v>
      </c>
      <c r="O40" s="12">
        <v>1</v>
      </c>
      <c r="P40" s="14" t="s">
        <v>81</v>
      </c>
      <c r="Q40" s="14" t="s">
        <v>82</v>
      </c>
      <c r="R40" s="14" t="s">
        <v>81</v>
      </c>
      <c r="S40" s="14" t="s">
        <v>83</v>
      </c>
      <c r="T40" s="14" t="s">
        <v>79</v>
      </c>
      <c r="U40" s="16" t="s">
        <v>84</v>
      </c>
      <c r="V40" s="17" t="s">
        <v>85</v>
      </c>
      <c r="W40" s="14" t="s">
        <v>79</v>
      </c>
      <c r="X40" s="18">
        <v>44815</v>
      </c>
      <c r="Y40" s="14" t="s">
        <v>86</v>
      </c>
      <c r="Z40" s="19" t="s">
        <v>170</v>
      </c>
      <c r="AA40" s="13" t="s">
        <v>88</v>
      </c>
      <c r="AB40" s="20" t="s">
        <v>208</v>
      </c>
      <c r="AC40" s="21" t="s">
        <v>90</v>
      </c>
      <c r="AD40" s="22" t="s">
        <v>91</v>
      </c>
      <c r="AE40" s="21" t="s">
        <v>92</v>
      </c>
      <c r="AF40" s="13">
        <v>5</v>
      </c>
      <c r="AG40" s="13">
        <v>40</v>
      </c>
      <c r="AH40" s="36" t="s">
        <v>93</v>
      </c>
      <c r="AI40" s="24" t="s">
        <v>94</v>
      </c>
      <c r="AJ40" s="25" t="s">
        <v>95</v>
      </c>
      <c r="AK40" s="26">
        <f t="shared" si="7"/>
        <v>44815</v>
      </c>
      <c r="AL40" s="27" t="str">
        <f t="shared" si="8"/>
        <v>N/A</v>
      </c>
      <c r="AM40" s="28">
        <f t="shared" si="9"/>
        <v>44815</v>
      </c>
      <c r="AN40" s="28">
        <f t="shared" si="10"/>
        <v>44815</v>
      </c>
      <c r="AO40" s="25" t="s">
        <v>209</v>
      </c>
      <c r="AP40" s="41" t="s">
        <v>241</v>
      </c>
      <c r="AQ40" s="12">
        <v>100</v>
      </c>
      <c r="AR40" s="28">
        <f t="shared" si="11"/>
        <v>44875</v>
      </c>
      <c r="AS40" s="12" t="s">
        <v>74</v>
      </c>
      <c r="AT40" s="29" t="s">
        <v>98</v>
      </c>
      <c r="AU40" s="30">
        <v>8312069887</v>
      </c>
      <c r="AV40" s="28" t="s">
        <v>99</v>
      </c>
      <c r="AW40" s="28" t="s">
        <v>100</v>
      </c>
      <c r="AX40" s="12" t="s">
        <v>74</v>
      </c>
      <c r="AY40" s="29" t="s">
        <v>101</v>
      </c>
      <c r="AZ40" s="30">
        <v>198306158</v>
      </c>
      <c r="BA40" s="28" t="s">
        <v>99</v>
      </c>
      <c r="BB40" s="28" t="s">
        <v>100</v>
      </c>
      <c r="BC40" s="31" t="s">
        <v>102</v>
      </c>
      <c r="BD40" s="18">
        <v>30656</v>
      </c>
      <c r="BE40" s="29" t="s">
        <v>81</v>
      </c>
      <c r="BF40" s="29" t="s">
        <v>103</v>
      </c>
      <c r="BG40" s="29" t="s">
        <v>104</v>
      </c>
      <c r="BH40" s="12" t="s">
        <v>105</v>
      </c>
      <c r="BI40" s="12" t="s">
        <v>106</v>
      </c>
      <c r="BJ40" s="32" t="s">
        <v>107</v>
      </c>
      <c r="BK40" t="s">
        <v>108</v>
      </c>
      <c r="BL40" s="12" t="s">
        <v>109</v>
      </c>
      <c r="BM40" s="12" t="s">
        <v>74</v>
      </c>
      <c r="BN40" s="12" t="s">
        <v>80</v>
      </c>
      <c r="BO40" s="12" t="s">
        <v>80</v>
      </c>
      <c r="BP40" s="12" t="s">
        <v>110</v>
      </c>
      <c r="BQ40" s="12" t="s">
        <v>111</v>
      </c>
      <c r="BR40" s="14" t="s">
        <v>112</v>
      </c>
      <c r="BS40" s="14" t="s">
        <v>113</v>
      </c>
      <c r="BT40" s="23">
        <v>40</v>
      </c>
      <c r="BU40" s="33">
        <v>213111231</v>
      </c>
    </row>
    <row r="41" spans="1:73" ht="14.4" customHeight="1" x14ac:dyDescent="0.35">
      <c r="A41" t="s">
        <v>242</v>
      </c>
      <c r="C41" s="10"/>
      <c r="D41" t="s">
        <v>170</v>
      </c>
      <c r="E41" s="11" t="s">
        <v>205</v>
      </c>
      <c r="F41" s="12" t="s">
        <v>74</v>
      </c>
      <c r="G41" t="s">
        <v>243</v>
      </c>
      <c r="H41" s="13" t="s">
        <v>207</v>
      </c>
      <c r="I41" s="14" t="s">
        <v>122</v>
      </c>
      <c r="J41" s="14" t="s">
        <v>78</v>
      </c>
      <c r="K41" s="14" t="s">
        <v>79</v>
      </c>
      <c r="L41" s="15">
        <f t="shared" si="6"/>
        <v>45547</v>
      </c>
      <c r="M41" s="12" t="s">
        <v>74</v>
      </c>
      <c r="N41" s="12" t="s">
        <v>80</v>
      </c>
      <c r="O41" s="12">
        <v>1</v>
      </c>
      <c r="P41" s="14" t="s">
        <v>81</v>
      </c>
      <c r="Q41" s="14" t="s">
        <v>82</v>
      </c>
      <c r="R41" s="14" t="s">
        <v>81</v>
      </c>
      <c r="S41" s="14" t="s">
        <v>83</v>
      </c>
      <c r="T41" s="14" t="s">
        <v>79</v>
      </c>
      <c r="U41" s="16" t="s">
        <v>84</v>
      </c>
      <c r="V41" s="17" t="s">
        <v>85</v>
      </c>
      <c r="W41" s="14" t="s">
        <v>79</v>
      </c>
      <c r="X41" s="18">
        <v>45547</v>
      </c>
      <c r="Y41" s="14" t="s">
        <v>86</v>
      </c>
      <c r="Z41" s="19" t="s">
        <v>196</v>
      </c>
      <c r="AA41" s="13" t="s">
        <v>118</v>
      </c>
      <c r="AB41" s="20" t="s">
        <v>208</v>
      </c>
      <c r="AC41" s="21" t="s">
        <v>90</v>
      </c>
      <c r="AD41" s="22" t="s">
        <v>91</v>
      </c>
      <c r="AE41" s="21" t="s">
        <v>92</v>
      </c>
      <c r="AF41" s="13">
        <v>5</v>
      </c>
      <c r="AG41" s="13">
        <v>40</v>
      </c>
      <c r="AH41" s="36">
        <v>46357</v>
      </c>
      <c r="AI41" s="24" t="s">
        <v>94</v>
      </c>
      <c r="AJ41" s="25" t="s">
        <v>95</v>
      </c>
      <c r="AK41" s="26">
        <f t="shared" si="7"/>
        <v>45547</v>
      </c>
      <c r="AL41" s="27">
        <f t="shared" si="8"/>
        <v>46357</v>
      </c>
      <c r="AM41" s="28">
        <f t="shared" si="9"/>
        <v>45547</v>
      </c>
      <c r="AN41" s="28">
        <f t="shared" si="10"/>
        <v>45547</v>
      </c>
      <c r="AO41" s="25" t="s">
        <v>209</v>
      </c>
      <c r="AP41" s="41" t="s">
        <v>244</v>
      </c>
      <c r="AQ41" s="12">
        <v>100</v>
      </c>
      <c r="AR41" s="28">
        <f t="shared" si="11"/>
        <v>45607</v>
      </c>
      <c r="AS41" s="12" t="s">
        <v>74</v>
      </c>
      <c r="AT41" s="29" t="s">
        <v>98</v>
      </c>
      <c r="AU41" s="30">
        <v>8312062154</v>
      </c>
      <c r="AV41" s="28" t="s">
        <v>99</v>
      </c>
      <c r="AW41" s="28" t="s">
        <v>100</v>
      </c>
      <c r="AX41" s="12" t="s">
        <v>74</v>
      </c>
      <c r="AY41" s="29" t="s">
        <v>101</v>
      </c>
      <c r="AZ41" s="30">
        <v>198306159</v>
      </c>
      <c r="BA41" s="28" t="s">
        <v>99</v>
      </c>
      <c r="BB41" s="28" t="s">
        <v>100</v>
      </c>
      <c r="BC41" s="31" t="s">
        <v>102</v>
      </c>
      <c r="BD41" s="18">
        <v>30656</v>
      </c>
      <c r="BE41" s="29" t="s">
        <v>81</v>
      </c>
      <c r="BF41" s="29" t="s">
        <v>103</v>
      </c>
      <c r="BG41" s="29" t="s">
        <v>104</v>
      </c>
      <c r="BH41" s="12" t="s">
        <v>105</v>
      </c>
      <c r="BI41" s="12" t="s">
        <v>106</v>
      </c>
      <c r="BJ41" s="32" t="s">
        <v>107</v>
      </c>
      <c r="BK41" t="s">
        <v>108</v>
      </c>
      <c r="BL41" s="12" t="s">
        <v>109</v>
      </c>
      <c r="BM41" s="12" t="s">
        <v>74</v>
      </c>
      <c r="BN41" s="12" t="s">
        <v>80</v>
      </c>
      <c r="BO41" s="12" t="s">
        <v>80</v>
      </c>
      <c r="BP41" s="12" t="s">
        <v>110</v>
      </c>
      <c r="BQ41" s="12" t="s">
        <v>111</v>
      </c>
      <c r="BR41" s="14" t="s">
        <v>112</v>
      </c>
      <c r="BS41" s="14" t="s">
        <v>113</v>
      </c>
      <c r="BT41" s="23">
        <v>40</v>
      </c>
      <c r="BU41" s="33">
        <v>213111231</v>
      </c>
    </row>
    <row r="42" spans="1:73" ht="14.4" customHeight="1" x14ac:dyDescent="0.35">
      <c r="A42" t="s">
        <v>245</v>
      </c>
      <c r="C42" s="10"/>
      <c r="D42" t="s">
        <v>170</v>
      </c>
      <c r="E42" s="11" t="s">
        <v>205</v>
      </c>
      <c r="F42" s="12" t="s">
        <v>74</v>
      </c>
      <c r="G42" t="s">
        <v>246</v>
      </c>
      <c r="H42" s="13" t="s">
        <v>207</v>
      </c>
      <c r="I42" s="14" t="s">
        <v>77</v>
      </c>
      <c r="J42" s="14" t="s">
        <v>78</v>
      </c>
      <c r="K42" s="14" t="s">
        <v>79</v>
      </c>
      <c r="L42" s="15">
        <f t="shared" si="6"/>
        <v>44908</v>
      </c>
      <c r="M42" s="12" t="s">
        <v>74</v>
      </c>
      <c r="N42" s="12" t="s">
        <v>80</v>
      </c>
      <c r="O42" s="12">
        <v>1</v>
      </c>
      <c r="P42" s="14" t="s">
        <v>81</v>
      </c>
      <c r="Q42" s="14" t="s">
        <v>82</v>
      </c>
      <c r="R42" s="14" t="s">
        <v>81</v>
      </c>
      <c r="S42" s="14" t="s">
        <v>83</v>
      </c>
      <c r="T42" s="14" t="s">
        <v>79</v>
      </c>
      <c r="U42" s="16" t="s">
        <v>84</v>
      </c>
      <c r="V42" s="17" t="s">
        <v>85</v>
      </c>
      <c r="W42" s="14" t="s">
        <v>79</v>
      </c>
      <c r="X42" s="18">
        <v>44908</v>
      </c>
      <c r="Y42" s="14" t="s">
        <v>86</v>
      </c>
      <c r="Z42" s="19" t="s">
        <v>186</v>
      </c>
      <c r="AA42" s="13" t="s">
        <v>88</v>
      </c>
      <c r="AB42" s="20" t="s">
        <v>208</v>
      </c>
      <c r="AC42" s="21" t="s">
        <v>247</v>
      </c>
      <c r="AD42" s="22" t="s">
        <v>91</v>
      </c>
      <c r="AE42" s="21" t="s">
        <v>92</v>
      </c>
      <c r="AF42" s="13">
        <v>5</v>
      </c>
      <c r="AG42" s="13">
        <v>30</v>
      </c>
      <c r="AH42" s="36" t="s">
        <v>93</v>
      </c>
      <c r="AI42" s="24" t="s">
        <v>94</v>
      </c>
      <c r="AJ42" s="25" t="s">
        <v>95</v>
      </c>
      <c r="AK42" s="26">
        <f t="shared" si="7"/>
        <v>44908</v>
      </c>
      <c r="AL42" s="27" t="str">
        <f t="shared" si="8"/>
        <v>N/A</v>
      </c>
      <c r="AM42" s="28">
        <f t="shared" si="9"/>
        <v>44908</v>
      </c>
      <c r="AN42" s="28">
        <f t="shared" si="10"/>
        <v>44908</v>
      </c>
      <c r="AO42" s="25" t="s">
        <v>209</v>
      </c>
      <c r="AP42" s="41" t="s">
        <v>248</v>
      </c>
      <c r="AQ42" s="12">
        <v>100</v>
      </c>
      <c r="AR42" s="28">
        <f t="shared" si="11"/>
        <v>44968</v>
      </c>
      <c r="AS42" s="12" t="s">
        <v>74</v>
      </c>
      <c r="AT42" s="29" t="s">
        <v>98</v>
      </c>
      <c r="AU42" s="30">
        <v>9006242641</v>
      </c>
      <c r="AV42" s="28" t="s">
        <v>99</v>
      </c>
      <c r="AW42" s="28" t="s">
        <v>100</v>
      </c>
      <c r="AX42" s="12" t="s">
        <v>74</v>
      </c>
      <c r="AY42" s="29" t="s">
        <v>101</v>
      </c>
      <c r="AZ42" s="30">
        <v>198306160</v>
      </c>
      <c r="BA42" s="28" t="s">
        <v>99</v>
      </c>
      <c r="BB42" s="28" t="s">
        <v>100</v>
      </c>
      <c r="BC42" s="31" t="s">
        <v>102</v>
      </c>
      <c r="BD42" s="18">
        <v>33048</v>
      </c>
      <c r="BE42" s="29" t="s">
        <v>81</v>
      </c>
      <c r="BF42" s="29" t="s">
        <v>103</v>
      </c>
      <c r="BG42" s="29" t="s">
        <v>104</v>
      </c>
      <c r="BH42" s="12" t="s">
        <v>105</v>
      </c>
      <c r="BI42" s="12" t="s">
        <v>106</v>
      </c>
      <c r="BJ42" s="32" t="s">
        <v>107</v>
      </c>
      <c r="BK42" t="s">
        <v>108</v>
      </c>
      <c r="BL42" s="12" t="s">
        <v>109</v>
      </c>
      <c r="BM42" s="12" t="s">
        <v>74</v>
      </c>
      <c r="BN42" s="12" t="s">
        <v>80</v>
      </c>
      <c r="BO42" s="12" t="s">
        <v>80</v>
      </c>
      <c r="BP42" s="12" t="s">
        <v>110</v>
      </c>
      <c r="BQ42" s="12" t="s">
        <v>111</v>
      </c>
      <c r="BR42" s="14" t="s">
        <v>112</v>
      </c>
      <c r="BS42" s="14" t="s">
        <v>113</v>
      </c>
      <c r="BT42" s="23">
        <v>40</v>
      </c>
      <c r="BU42" s="33">
        <v>213111231</v>
      </c>
    </row>
    <row r="43" spans="1:73" ht="14.4" customHeight="1" x14ac:dyDescent="0.35">
      <c r="A43" t="s">
        <v>249</v>
      </c>
      <c r="C43" s="10"/>
      <c r="D43" t="s">
        <v>170</v>
      </c>
      <c r="E43" s="11" t="s">
        <v>205</v>
      </c>
      <c r="F43" s="12" t="s">
        <v>74</v>
      </c>
      <c r="G43" t="s">
        <v>250</v>
      </c>
      <c r="H43" s="13" t="s">
        <v>207</v>
      </c>
      <c r="I43" s="14" t="s">
        <v>77</v>
      </c>
      <c r="J43" s="14" t="s">
        <v>78</v>
      </c>
      <c r="K43" s="14" t="s">
        <v>79</v>
      </c>
      <c r="L43" s="15">
        <f t="shared" si="6"/>
        <v>44818</v>
      </c>
      <c r="M43" s="12" t="s">
        <v>74</v>
      </c>
      <c r="N43" s="12" t="s">
        <v>80</v>
      </c>
      <c r="O43" s="12">
        <v>1</v>
      </c>
      <c r="P43" s="14" t="s">
        <v>81</v>
      </c>
      <c r="Q43" s="14" t="s">
        <v>82</v>
      </c>
      <c r="R43" s="14" t="s">
        <v>81</v>
      </c>
      <c r="S43" s="14" t="s">
        <v>83</v>
      </c>
      <c r="T43" s="14" t="s">
        <v>79</v>
      </c>
      <c r="U43" s="16" t="s">
        <v>84</v>
      </c>
      <c r="V43" s="17" t="s">
        <v>85</v>
      </c>
      <c r="W43" s="14" t="s">
        <v>79</v>
      </c>
      <c r="X43" s="18">
        <v>44818</v>
      </c>
      <c r="Y43" s="14" t="s">
        <v>86</v>
      </c>
      <c r="Z43" s="19" t="s">
        <v>170</v>
      </c>
      <c r="AA43" s="13" t="s">
        <v>118</v>
      </c>
      <c r="AB43" s="20" t="s">
        <v>208</v>
      </c>
      <c r="AC43" s="21" t="s">
        <v>247</v>
      </c>
      <c r="AD43" s="22" t="s">
        <v>91</v>
      </c>
      <c r="AE43" s="21" t="s">
        <v>92</v>
      </c>
      <c r="AF43" s="13">
        <v>5</v>
      </c>
      <c r="AG43" s="13">
        <v>30</v>
      </c>
      <c r="AH43" s="36">
        <v>46357</v>
      </c>
      <c r="AI43" s="24" t="s">
        <v>94</v>
      </c>
      <c r="AJ43" s="25" t="s">
        <v>95</v>
      </c>
      <c r="AK43" s="26">
        <f t="shared" si="7"/>
        <v>44818</v>
      </c>
      <c r="AL43" s="27">
        <f t="shared" si="8"/>
        <v>46357</v>
      </c>
      <c r="AM43" s="28">
        <f t="shared" si="9"/>
        <v>44818</v>
      </c>
      <c r="AN43" s="28">
        <f t="shared" si="10"/>
        <v>44818</v>
      </c>
      <c r="AO43" s="25" t="s">
        <v>209</v>
      </c>
      <c r="AP43" s="41" t="s">
        <v>251</v>
      </c>
      <c r="AQ43" s="12">
        <v>100</v>
      </c>
      <c r="AR43" s="28">
        <f t="shared" si="11"/>
        <v>44878</v>
      </c>
      <c r="AS43" s="12" t="s">
        <v>74</v>
      </c>
      <c r="AT43" s="29" t="s">
        <v>98</v>
      </c>
      <c r="AU43" s="30">
        <v>9006240320</v>
      </c>
      <c r="AV43" s="28" t="s">
        <v>99</v>
      </c>
      <c r="AW43" s="28" t="s">
        <v>100</v>
      </c>
      <c r="AX43" s="12" t="s">
        <v>74</v>
      </c>
      <c r="AY43" s="29" t="s">
        <v>101</v>
      </c>
      <c r="AZ43" s="30">
        <v>198306161</v>
      </c>
      <c r="BA43" s="28" t="s">
        <v>99</v>
      </c>
      <c r="BB43" s="28" t="s">
        <v>100</v>
      </c>
      <c r="BC43" s="31" t="s">
        <v>102</v>
      </c>
      <c r="BD43" s="18">
        <v>33048</v>
      </c>
      <c r="BE43" s="29" t="s">
        <v>81</v>
      </c>
      <c r="BF43" s="29" t="s">
        <v>103</v>
      </c>
      <c r="BG43" s="29" t="s">
        <v>104</v>
      </c>
      <c r="BH43" s="12" t="s">
        <v>105</v>
      </c>
      <c r="BI43" s="12" t="s">
        <v>106</v>
      </c>
      <c r="BJ43" s="32" t="s">
        <v>107</v>
      </c>
      <c r="BK43" t="s">
        <v>108</v>
      </c>
      <c r="BL43" s="12" t="s">
        <v>109</v>
      </c>
      <c r="BM43" s="12" t="s">
        <v>74</v>
      </c>
      <c r="BN43" s="12" t="s">
        <v>80</v>
      </c>
      <c r="BO43" s="12" t="s">
        <v>80</v>
      </c>
      <c r="BP43" s="12" t="s">
        <v>110</v>
      </c>
      <c r="BQ43" s="12" t="s">
        <v>111</v>
      </c>
      <c r="BR43" s="14" t="s">
        <v>112</v>
      </c>
      <c r="BS43" s="14" t="s">
        <v>113</v>
      </c>
      <c r="BT43" s="23">
        <v>40</v>
      </c>
      <c r="BU43" s="33">
        <v>213111231</v>
      </c>
    </row>
    <row r="44" spans="1:73" ht="14.4" customHeight="1" x14ac:dyDescent="0.35">
      <c r="A44" t="s">
        <v>252</v>
      </c>
      <c r="C44" s="10"/>
      <c r="D44" t="s">
        <v>170</v>
      </c>
      <c r="E44" s="11" t="s">
        <v>205</v>
      </c>
      <c r="F44" s="12" t="s">
        <v>74</v>
      </c>
      <c r="G44" t="s">
        <v>253</v>
      </c>
      <c r="H44" s="13" t="s">
        <v>207</v>
      </c>
      <c r="I44" s="14" t="s">
        <v>77</v>
      </c>
      <c r="J44" s="14" t="s">
        <v>78</v>
      </c>
      <c r="K44" s="14" t="s">
        <v>79</v>
      </c>
      <c r="L44" s="15">
        <f t="shared" si="6"/>
        <v>44819</v>
      </c>
      <c r="M44" s="12" t="s">
        <v>74</v>
      </c>
      <c r="N44" s="12" t="s">
        <v>80</v>
      </c>
      <c r="O44" s="12">
        <v>1</v>
      </c>
      <c r="P44" s="14" t="s">
        <v>81</v>
      </c>
      <c r="Q44" s="14" t="s">
        <v>82</v>
      </c>
      <c r="R44" s="14" t="s">
        <v>81</v>
      </c>
      <c r="S44" s="14" t="s">
        <v>83</v>
      </c>
      <c r="T44" s="14" t="s">
        <v>79</v>
      </c>
      <c r="U44" s="16" t="s">
        <v>84</v>
      </c>
      <c r="V44" s="17" t="s">
        <v>85</v>
      </c>
      <c r="W44" s="14" t="s">
        <v>79</v>
      </c>
      <c r="X44" s="18">
        <v>44819</v>
      </c>
      <c r="Y44" s="14" t="s">
        <v>86</v>
      </c>
      <c r="Z44" s="19" t="s">
        <v>186</v>
      </c>
      <c r="AA44" s="13" t="s">
        <v>88</v>
      </c>
      <c r="AB44" s="20" t="s">
        <v>208</v>
      </c>
      <c r="AC44" s="21" t="s">
        <v>247</v>
      </c>
      <c r="AD44" s="22" t="s">
        <v>91</v>
      </c>
      <c r="AE44" s="21" t="s">
        <v>92</v>
      </c>
      <c r="AF44" s="13">
        <v>5</v>
      </c>
      <c r="AG44" s="13">
        <v>30</v>
      </c>
      <c r="AH44" s="36" t="s">
        <v>93</v>
      </c>
      <c r="AI44" s="24" t="s">
        <v>94</v>
      </c>
      <c r="AJ44" s="25" t="s">
        <v>95</v>
      </c>
      <c r="AK44" s="26">
        <f t="shared" si="7"/>
        <v>44819</v>
      </c>
      <c r="AL44" s="27" t="str">
        <f t="shared" si="8"/>
        <v>N/A</v>
      </c>
      <c r="AM44" s="28">
        <f t="shared" si="9"/>
        <v>44819</v>
      </c>
      <c r="AN44" s="28">
        <f t="shared" si="10"/>
        <v>44819</v>
      </c>
      <c r="AO44" s="25" t="s">
        <v>209</v>
      </c>
      <c r="AP44" s="41" t="s">
        <v>254</v>
      </c>
      <c r="AQ44" s="12">
        <v>100</v>
      </c>
      <c r="AR44" s="28">
        <f t="shared" si="11"/>
        <v>44879</v>
      </c>
      <c r="AS44" s="12" t="s">
        <v>74</v>
      </c>
      <c r="AT44" s="29" t="s">
        <v>98</v>
      </c>
      <c r="AU44" s="30">
        <v>9006242223</v>
      </c>
      <c r="AV44" s="28" t="s">
        <v>99</v>
      </c>
      <c r="AW44" s="28" t="s">
        <v>100</v>
      </c>
      <c r="AX44" s="12" t="s">
        <v>74</v>
      </c>
      <c r="AY44" s="29" t="s">
        <v>101</v>
      </c>
      <c r="AZ44" s="30">
        <v>198306162</v>
      </c>
      <c r="BA44" s="28" t="s">
        <v>99</v>
      </c>
      <c r="BB44" s="28" t="s">
        <v>100</v>
      </c>
      <c r="BC44" s="31" t="s">
        <v>102</v>
      </c>
      <c r="BD44" s="18">
        <v>33048</v>
      </c>
      <c r="BE44" s="29" t="s">
        <v>81</v>
      </c>
      <c r="BF44" s="29" t="s">
        <v>103</v>
      </c>
      <c r="BG44" s="29" t="s">
        <v>104</v>
      </c>
      <c r="BH44" s="12" t="s">
        <v>105</v>
      </c>
      <c r="BI44" s="12" t="s">
        <v>106</v>
      </c>
      <c r="BJ44" s="32" t="s">
        <v>107</v>
      </c>
      <c r="BK44" t="s">
        <v>108</v>
      </c>
      <c r="BL44" s="12" t="s">
        <v>109</v>
      </c>
      <c r="BM44" s="12" t="s">
        <v>74</v>
      </c>
      <c r="BN44" s="12" t="s">
        <v>80</v>
      </c>
      <c r="BO44" s="12" t="s">
        <v>80</v>
      </c>
      <c r="BP44" s="12" t="s">
        <v>110</v>
      </c>
      <c r="BQ44" s="12" t="s">
        <v>111</v>
      </c>
      <c r="BR44" s="14" t="s">
        <v>112</v>
      </c>
      <c r="BS44" s="14" t="s">
        <v>113</v>
      </c>
      <c r="BT44" s="23">
        <v>40</v>
      </c>
      <c r="BU44" s="33">
        <v>213111231</v>
      </c>
    </row>
    <row r="45" spans="1:73" ht="14.4" customHeight="1" x14ac:dyDescent="0.35">
      <c r="A45" t="s">
        <v>255</v>
      </c>
      <c r="C45" s="10"/>
      <c r="D45" t="s">
        <v>170</v>
      </c>
      <c r="E45" s="11" t="s">
        <v>205</v>
      </c>
      <c r="F45" s="12" t="s">
        <v>74</v>
      </c>
      <c r="G45" t="s">
        <v>256</v>
      </c>
      <c r="H45" s="13" t="s">
        <v>207</v>
      </c>
      <c r="I45" s="14" t="s">
        <v>77</v>
      </c>
      <c r="J45" s="14" t="s">
        <v>78</v>
      </c>
      <c r="K45" s="14" t="s">
        <v>79</v>
      </c>
      <c r="L45" s="15">
        <f t="shared" si="6"/>
        <v>45430</v>
      </c>
      <c r="M45" s="12" t="s">
        <v>74</v>
      </c>
      <c r="N45" s="12" t="s">
        <v>80</v>
      </c>
      <c r="O45" s="12">
        <v>1</v>
      </c>
      <c r="P45" s="14" t="s">
        <v>81</v>
      </c>
      <c r="Q45" s="14" t="s">
        <v>82</v>
      </c>
      <c r="R45" s="14" t="s">
        <v>81</v>
      </c>
      <c r="S45" s="14" t="s">
        <v>83</v>
      </c>
      <c r="T45" s="14" t="s">
        <v>79</v>
      </c>
      <c r="U45" s="16" t="s">
        <v>84</v>
      </c>
      <c r="V45" s="17" t="s">
        <v>85</v>
      </c>
      <c r="W45" s="14" t="s">
        <v>79</v>
      </c>
      <c r="X45" s="18">
        <v>45430</v>
      </c>
      <c r="Y45" s="14" t="s">
        <v>86</v>
      </c>
      <c r="Z45" s="19" t="s">
        <v>170</v>
      </c>
      <c r="AA45" s="13" t="s">
        <v>118</v>
      </c>
      <c r="AB45" s="20" t="s">
        <v>208</v>
      </c>
      <c r="AC45" s="21" t="s">
        <v>247</v>
      </c>
      <c r="AD45" s="22" t="s">
        <v>91</v>
      </c>
      <c r="AE45" s="21" t="s">
        <v>92</v>
      </c>
      <c r="AF45" s="13">
        <v>5</v>
      </c>
      <c r="AG45" s="13">
        <v>30</v>
      </c>
      <c r="AH45" s="36">
        <v>46357</v>
      </c>
      <c r="AI45" s="24" t="s">
        <v>94</v>
      </c>
      <c r="AJ45" s="25" t="s">
        <v>95</v>
      </c>
      <c r="AK45" s="26">
        <f t="shared" si="7"/>
        <v>45430</v>
      </c>
      <c r="AL45" s="27">
        <f t="shared" si="8"/>
        <v>46357</v>
      </c>
      <c r="AM45" s="28">
        <f t="shared" si="9"/>
        <v>45430</v>
      </c>
      <c r="AN45" s="28">
        <f t="shared" si="10"/>
        <v>45430</v>
      </c>
      <c r="AO45" s="25" t="s">
        <v>209</v>
      </c>
      <c r="AP45" s="41" t="s">
        <v>257</v>
      </c>
      <c r="AQ45" s="12">
        <v>100</v>
      </c>
      <c r="AR45" s="28">
        <f t="shared" si="11"/>
        <v>45490</v>
      </c>
      <c r="AS45" s="12" t="s">
        <v>74</v>
      </c>
      <c r="AT45" s="29" t="s">
        <v>98</v>
      </c>
      <c r="AU45" s="30" t="s">
        <v>258</v>
      </c>
      <c r="AV45" s="28" t="s">
        <v>99</v>
      </c>
      <c r="AW45" s="28" t="s">
        <v>100</v>
      </c>
      <c r="AX45" s="12" t="s">
        <v>74</v>
      </c>
      <c r="AY45" s="29" t="s">
        <v>101</v>
      </c>
      <c r="AZ45" s="30">
        <v>198306163</v>
      </c>
      <c r="BA45" s="28" t="s">
        <v>99</v>
      </c>
      <c r="BB45" s="28" t="s">
        <v>100</v>
      </c>
      <c r="BC45" s="31" t="s">
        <v>102</v>
      </c>
      <c r="BD45" s="18">
        <v>39763</v>
      </c>
      <c r="BE45" s="29" t="s">
        <v>81</v>
      </c>
      <c r="BF45" s="29" t="s">
        <v>103</v>
      </c>
      <c r="BG45" s="29" t="s">
        <v>104</v>
      </c>
      <c r="BH45" s="12" t="s">
        <v>105</v>
      </c>
      <c r="BI45" s="12" t="s">
        <v>106</v>
      </c>
      <c r="BJ45" s="32" t="s">
        <v>107</v>
      </c>
      <c r="BK45" t="s">
        <v>108</v>
      </c>
      <c r="BL45" s="12" t="s">
        <v>109</v>
      </c>
      <c r="BM45" s="12" t="s">
        <v>74</v>
      </c>
      <c r="BN45" s="12" t="s">
        <v>80</v>
      </c>
      <c r="BO45" s="12" t="s">
        <v>80</v>
      </c>
      <c r="BP45" s="12" t="s">
        <v>110</v>
      </c>
      <c r="BQ45" s="12" t="s">
        <v>111</v>
      </c>
      <c r="BR45" s="14" t="s">
        <v>112</v>
      </c>
      <c r="BS45" s="14" t="s">
        <v>113</v>
      </c>
      <c r="BT45" s="23">
        <v>40</v>
      </c>
      <c r="BU45" s="33">
        <v>213111231</v>
      </c>
    </row>
    <row r="46" spans="1:73" ht="14.4" customHeight="1" x14ac:dyDescent="0.35">
      <c r="A46" t="s">
        <v>259</v>
      </c>
      <c r="C46" s="10"/>
      <c r="D46" t="s">
        <v>170</v>
      </c>
      <c r="E46" s="11" t="s">
        <v>205</v>
      </c>
      <c r="F46" s="12" t="s">
        <v>74</v>
      </c>
      <c r="G46" t="s">
        <v>260</v>
      </c>
      <c r="H46" s="13" t="s">
        <v>207</v>
      </c>
      <c r="I46" s="14" t="s">
        <v>122</v>
      </c>
      <c r="J46" s="14" t="s">
        <v>78</v>
      </c>
      <c r="K46" s="14" t="s">
        <v>79</v>
      </c>
      <c r="L46" s="15">
        <f t="shared" si="6"/>
        <v>44823</v>
      </c>
      <c r="M46" s="12" t="s">
        <v>74</v>
      </c>
      <c r="N46" s="12" t="s">
        <v>80</v>
      </c>
      <c r="O46" s="12">
        <v>1</v>
      </c>
      <c r="P46" s="14" t="s">
        <v>81</v>
      </c>
      <c r="Q46" s="14" t="s">
        <v>82</v>
      </c>
      <c r="R46" s="14" t="s">
        <v>81</v>
      </c>
      <c r="S46" s="14" t="s">
        <v>83</v>
      </c>
      <c r="T46" s="14" t="s">
        <v>79</v>
      </c>
      <c r="U46" s="16" t="s">
        <v>84</v>
      </c>
      <c r="V46" s="17" t="s">
        <v>85</v>
      </c>
      <c r="W46" s="14" t="s">
        <v>79</v>
      </c>
      <c r="X46" s="18">
        <v>44823</v>
      </c>
      <c r="Y46" s="14" t="s">
        <v>86</v>
      </c>
      <c r="Z46" s="19" t="s">
        <v>196</v>
      </c>
      <c r="AA46" s="13" t="s">
        <v>88</v>
      </c>
      <c r="AB46" s="20" t="s">
        <v>208</v>
      </c>
      <c r="AC46" s="21" t="s">
        <v>247</v>
      </c>
      <c r="AD46" s="22" t="s">
        <v>91</v>
      </c>
      <c r="AE46" s="21" t="s">
        <v>92</v>
      </c>
      <c r="AF46" s="13">
        <v>5</v>
      </c>
      <c r="AG46" s="13">
        <v>25</v>
      </c>
      <c r="AH46" s="36" t="s">
        <v>93</v>
      </c>
      <c r="AI46" s="24" t="s">
        <v>94</v>
      </c>
      <c r="AJ46" s="25" t="s">
        <v>95</v>
      </c>
      <c r="AK46" s="26">
        <f t="shared" si="7"/>
        <v>44823</v>
      </c>
      <c r="AL46" s="27" t="str">
        <f t="shared" si="8"/>
        <v>N/A</v>
      </c>
      <c r="AM46" s="28">
        <f t="shared" si="9"/>
        <v>44823</v>
      </c>
      <c r="AN46" s="28">
        <f t="shared" si="10"/>
        <v>44823</v>
      </c>
      <c r="AO46" s="25" t="s">
        <v>209</v>
      </c>
      <c r="AP46" s="41" t="s">
        <v>210</v>
      </c>
      <c r="AQ46" s="12">
        <v>100</v>
      </c>
      <c r="AR46" s="28">
        <f t="shared" si="11"/>
        <v>44883</v>
      </c>
      <c r="AS46" s="12" t="s">
        <v>74</v>
      </c>
      <c r="AT46" s="29" t="s">
        <v>98</v>
      </c>
      <c r="AU46" s="30">
        <v>9006243147</v>
      </c>
      <c r="AV46" s="28" t="s">
        <v>99</v>
      </c>
      <c r="AW46" s="28" t="s">
        <v>100</v>
      </c>
      <c r="AX46" s="12" t="s">
        <v>74</v>
      </c>
      <c r="AY46" s="29" t="s">
        <v>101</v>
      </c>
      <c r="AZ46" s="30">
        <v>198306164</v>
      </c>
      <c r="BA46" s="28" t="s">
        <v>99</v>
      </c>
      <c r="BB46" s="28" t="s">
        <v>100</v>
      </c>
      <c r="BC46" s="31" t="s">
        <v>102</v>
      </c>
      <c r="BD46" s="18">
        <v>33048</v>
      </c>
      <c r="BE46" s="29" t="s">
        <v>81</v>
      </c>
      <c r="BF46" s="29" t="s">
        <v>103</v>
      </c>
      <c r="BG46" s="29" t="s">
        <v>104</v>
      </c>
      <c r="BH46" s="12" t="s">
        <v>105</v>
      </c>
      <c r="BI46" s="12" t="s">
        <v>106</v>
      </c>
      <c r="BJ46" s="32" t="s">
        <v>107</v>
      </c>
      <c r="BK46" t="s">
        <v>108</v>
      </c>
      <c r="BL46" s="12" t="s">
        <v>109</v>
      </c>
      <c r="BM46" s="12" t="s">
        <v>74</v>
      </c>
      <c r="BN46" s="12" t="s">
        <v>80</v>
      </c>
      <c r="BO46" s="12" t="s">
        <v>80</v>
      </c>
      <c r="BP46" s="12" t="s">
        <v>110</v>
      </c>
      <c r="BQ46" s="12" t="s">
        <v>111</v>
      </c>
      <c r="BR46" s="14" t="s">
        <v>112</v>
      </c>
      <c r="BS46" s="14" t="s">
        <v>113</v>
      </c>
      <c r="BT46" s="23">
        <v>40</v>
      </c>
      <c r="BU46" s="33">
        <v>213111231</v>
      </c>
    </row>
    <row r="47" spans="1:73" ht="14.4" customHeight="1" x14ac:dyDescent="0.35">
      <c r="A47" t="s">
        <v>261</v>
      </c>
      <c r="C47" s="10"/>
      <c r="D47" t="s">
        <v>170</v>
      </c>
      <c r="E47" s="11" t="s">
        <v>205</v>
      </c>
      <c r="F47" s="12" t="s">
        <v>74</v>
      </c>
      <c r="G47" t="s">
        <v>262</v>
      </c>
      <c r="H47" s="13" t="s">
        <v>207</v>
      </c>
      <c r="I47" s="14" t="s">
        <v>77</v>
      </c>
      <c r="J47" s="14" t="s">
        <v>78</v>
      </c>
      <c r="K47" s="14" t="s">
        <v>79</v>
      </c>
      <c r="L47" s="15">
        <f t="shared" si="6"/>
        <v>44824</v>
      </c>
      <c r="M47" s="12" t="s">
        <v>74</v>
      </c>
      <c r="N47" s="12" t="s">
        <v>80</v>
      </c>
      <c r="O47" s="12">
        <v>1</v>
      </c>
      <c r="P47" s="14" t="s">
        <v>81</v>
      </c>
      <c r="Q47" s="14" t="s">
        <v>82</v>
      </c>
      <c r="R47" s="14" t="s">
        <v>81</v>
      </c>
      <c r="S47" s="14" t="s">
        <v>83</v>
      </c>
      <c r="T47" s="14" t="s">
        <v>79</v>
      </c>
      <c r="U47" s="16" t="s">
        <v>84</v>
      </c>
      <c r="V47" s="17" t="s">
        <v>85</v>
      </c>
      <c r="W47" s="14" t="s">
        <v>79</v>
      </c>
      <c r="X47" s="18">
        <v>44824</v>
      </c>
      <c r="Y47" s="14" t="s">
        <v>86</v>
      </c>
      <c r="Z47" s="19" t="s">
        <v>186</v>
      </c>
      <c r="AA47" s="13" t="s">
        <v>118</v>
      </c>
      <c r="AB47" s="20" t="s">
        <v>208</v>
      </c>
      <c r="AC47" s="21" t="s">
        <v>247</v>
      </c>
      <c r="AD47" s="22" t="s">
        <v>91</v>
      </c>
      <c r="AE47" s="21" t="s">
        <v>92</v>
      </c>
      <c r="AF47" s="13">
        <v>5</v>
      </c>
      <c r="AG47" s="13">
        <v>25</v>
      </c>
      <c r="AH47" s="36">
        <v>46357</v>
      </c>
      <c r="AI47" s="24" t="s">
        <v>94</v>
      </c>
      <c r="AJ47" s="25" t="s">
        <v>95</v>
      </c>
      <c r="AK47" s="26">
        <f t="shared" si="7"/>
        <v>44824</v>
      </c>
      <c r="AL47" s="27">
        <f t="shared" si="8"/>
        <v>46357</v>
      </c>
      <c r="AM47" s="28">
        <f t="shared" si="9"/>
        <v>44824</v>
      </c>
      <c r="AN47" s="28">
        <f t="shared" si="10"/>
        <v>44824</v>
      </c>
      <c r="AO47" s="25" t="s">
        <v>209</v>
      </c>
      <c r="AP47" s="41" t="s">
        <v>213</v>
      </c>
      <c r="AQ47" s="12">
        <v>100</v>
      </c>
      <c r="AR47" s="28">
        <f t="shared" si="11"/>
        <v>44884</v>
      </c>
      <c r="AS47" s="12" t="s">
        <v>74</v>
      </c>
      <c r="AT47" s="29" t="s">
        <v>98</v>
      </c>
      <c r="AU47" s="30">
        <v>9006241772</v>
      </c>
      <c r="AV47" s="28" t="s">
        <v>99</v>
      </c>
      <c r="AW47" s="28" t="s">
        <v>100</v>
      </c>
      <c r="AX47" s="12" t="s">
        <v>74</v>
      </c>
      <c r="AY47" s="29" t="s">
        <v>101</v>
      </c>
      <c r="AZ47" s="30">
        <v>198306165</v>
      </c>
      <c r="BA47" s="28" t="s">
        <v>99</v>
      </c>
      <c r="BB47" s="28" t="s">
        <v>100</v>
      </c>
      <c r="BC47" s="31" t="s">
        <v>102</v>
      </c>
      <c r="BD47" s="18">
        <v>33048</v>
      </c>
      <c r="BE47" s="29" t="s">
        <v>81</v>
      </c>
      <c r="BF47" s="29" t="s">
        <v>103</v>
      </c>
      <c r="BG47" s="29" t="s">
        <v>104</v>
      </c>
      <c r="BH47" s="12" t="s">
        <v>105</v>
      </c>
      <c r="BI47" s="12" t="s">
        <v>106</v>
      </c>
      <c r="BJ47" s="32" t="s">
        <v>107</v>
      </c>
      <c r="BK47" t="s">
        <v>108</v>
      </c>
      <c r="BL47" s="12" t="s">
        <v>109</v>
      </c>
      <c r="BM47" s="12" t="s">
        <v>74</v>
      </c>
      <c r="BN47" s="12" t="s">
        <v>80</v>
      </c>
      <c r="BO47" s="12" t="s">
        <v>80</v>
      </c>
      <c r="BP47" s="12" t="s">
        <v>110</v>
      </c>
      <c r="BQ47" s="12" t="s">
        <v>111</v>
      </c>
      <c r="BR47" s="14" t="s">
        <v>112</v>
      </c>
      <c r="BS47" s="14" t="s">
        <v>113</v>
      </c>
      <c r="BT47" s="23">
        <v>40</v>
      </c>
      <c r="BU47" s="33">
        <v>213111231</v>
      </c>
    </row>
    <row r="48" spans="1:73" ht="14.4" customHeight="1" x14ac:dyDescent="0.35">
      <c r="A48" t="s">
        <v>263</v>
      </c>
      <c r="C48" s="10"/>
      <c r="D48" t="s">
        <v>170</v>
      </c>
      <c r="E48" s="11" t="s">
        <v>205</v>
      </c>
      <c r="F48" s="12" t="s">
        <v>74</v>
      </c>
      <c r="G48" t="s">
        <v>264</v>
      </c>
      <c r="H48" s="13" t="s">
        <v>207</v>
      </c>
      <c r="I48" s="14" t="s">
        <v>77</v>
      </c>
      <c r="J48" s="14" t="s">
        <v>78</v>
      </c>
      <c r="K48" s="14" t="s">
        <v>79</v>
      </c>
      <c r="L48" s="15">
        <f t="shared" si="6"/>
        <v>44825</v>
      </c>
      <c r="M48" s="12" t="s">
        <v>74</v>
      </c>
      <c r="N48" s="12" t="s">
        <v>80</v>
      </c>
      <c r="O48" s="12">
        <v>1</v>
      </c>
      <c r="P48" s="14" t="s">
        <v>81</v>
      </c>
      <c r="Q48" s="14" t="s">
        <v>82</v>
      </c>
      <c r="R48" s="14" t="s">
        <v>81</v>
      </c>
      <c r="S48" s="14" t="s">
        <v>83</v>
      </c>
      <c r="T48" s="14" t="s">
        <v>79</v>
      </c>
      <c r="U48" s="16" t="s">
        <v>84</v>
      </c>
      <c r="V48" s="17" t="s">
        <v>85</v>
      </c>
      <c r="W48" s="14" t="s">
        <v>79</v>
      </c>
      <c r="X48" s="18">
        <v>44825</v>
      </c>
      <c r="Y48" s="14" t="s">
        <v>86</v>
      </c>
      <c r="Z48" s="19" t="s">
        <v>170</v>
      </c>
      <c r="AA48" s="13" t="s">
        <v>88</v>
      </c>
      <c r="AB48" s="20" t="s">
        <v>208</v>
      </c>
      <c r="AC48" s="21" t="s">
        <v>247</v>
      </c>
      <c r="AD48" s="22" t="s">
        <v>91</v>
      </c>
      <c r="AE48" s="21" t="s">
        <v>92</v>
      </c>
      <c r="AF48" s="13">
        <v>5</v>
      </c>
      <c r="AG48" s="13">
        <v>25</v>
      </c>
      <c r="AH48" s="36" t="s">
        <v>93</v>
      </c>
      <c r="AI48" s="24" t="s">
        <v>94</v>
      </c>
      <c r="AJ48" s="25" t="s">
        <v>95</v>
      </c>
      <c r="AK48" s="26">
        <f t="shared" si="7"/>
        <v>44825</v>
      </c>
      <c r="AL48" s="27" t="str">
        <f t="shared" si="8"/>
        <v>N/A</v>
      </c>
      <c r="AM48" s="28">
        <f t="shared" si="9"/>
        <v>44825</v>
      </c>
      <c r="AN48" s="28">
        <f t="shared" si="10"/>
        <v>44825</v>
      </c>
      <c r="AO48" s="25" t="s">
        <v>209</v>
      </c>
      <c r="AP48" s="41" t="s">
        <v>216</v>
      </c>
      <c r="AQ48" s="12">
        <v>100</v>
      </c>
      <c r="AR48" s="28">
        <f t="shared" si="11"/>
        <v>44885</v>
      </c>
      <c r="AS48" s="12" t="s">
        <v>74</v>
      </c>
      <c r="AT48" s="29" t="s">
        <v>98</v>
      </c>
      <c r="AU48" s="30">
        <v>9006240243</v>
      </c>
      <c r="AV48" s="28" t="s">
        <v>99</v>
      </c>
      <c r="AW48" s="28" t="s">
        <v>100</v>
      </c>
      <c r="AX48" s="12" t="s">
        <v>74</v>
      </c>
      <c r="AY48" s="29" t="s">
        <v>101</v>
      </c>
      <c r="AZ48" s="30">
        <v>198306166</v>
      </c>
      <c r="BA48" s="28" t="s">
        <v>99</v>
      </c>
      <c r="BB48" s="28" t="s">
        <v>100</v>
      </c>
      <c r="BC48" s="31" t="s">
        <v>102</v>
      </c>
      <c r="BD48" s="18">
        <v>33048</v>
      </c>
      <c r="BE48" s="29" t="s">
        <v>81</v>
      </c>
      <c r="BF48" s="29" t="s">
        <v>103</v>
      </c>
      <c r="BG48" s="29" t="s">
        <v>104</v>
      </c>
      <c r="BH48" s="12" t="s">
        <v>105</v>
      </c>
      <c r="BI48" s="12" t="s">
        <v>106</v>
      </c>
      <c r="BJ48" s="32" t="s">
        <v>107</v>
      </c>
      <c r="BK48" t="s">
        <v>108</v>
      </c>
      <c r="BL48" s="12" t="s">
        <v>109</v>
      </c>
      <c r="BM48" s="12" t="s">
        <v>74</v>
      </c>
      <c r="BN48" s="12" t="s">
        <v>80</v>
      </c>
      <c r="BO48" s="12" t="s">
        <v>80</v>
      </c>
      <c r="BP48" s="12" t="s">
        <v>110</v>
      </c>
      <c r="BQ48" s="12" t="s">
        <v>111</v>
      </c>
      <c r="BR48" s="14" t="s">
        <v>112</v>
      </c>
      <c r="BS48" s="14" t="s">
        <v>113</v>
      </c>
      <c r="BT48" s="23">
        <v>40</v>
      </c>
      <c r="BU48" s="33">
        <v>213111231</v>
      </c>
    </row>
    <row r="49" spans="1:73" ht="14.4" customHeight="1" x14ac:dyDescent="0.35">
      <c r="A49" t="s">
        <v>265</v>
      </c>
      <c r="C49" s="10"/>
      <c r="D49" t="s">
        <v>170</v>
      </c>
      <c r="E49" s="11" t="s">
        <v>205</v>
      </c>
      <c r="F49" s="12" t="s">
        <v>74</v>
      </c>
      <c r="G49" t="s">
        <v>266</v>
      </c>
      <c r="H49" s="13" t="s">
        <v>207</v>
      </c>
      <c r="I49" s="14" t="s">
        <v>77</v>
      </c>
      <c r="J49" s="14" t="s">
        <v>78</v>
      </c>
      <c r="K49" s="14" t="s">
        <v>79</v>
      </c>
      <c r="L49" s="15">
        <f t="shared" si="6"/>
        <v>45436</v>
      </c>
      <c r="M49" s="12" t="s">
        <v>74</v>
      </c>
      <c r="N49" s="12" t="s">
        <v>80</v>
      </c>
      <c r="O49" s="12">
        <v>1</v>
      </c>
      <c r="P49" s="14" t="s">
        <v>81</v>
      </c>
      <c r="Q49" s="14" t="s">
        <v>82</v>
      </c>
      <c r="R49" s="14" t="s">
        <v>81</v>
      </c>
      <c r="S49" s="14" t="s">
        <v>83</v>
      </c>
      <c r="T49" s="14" t="s">
        <v>79</v>
      </c>
      <c r="U49" s="16" t="s">
        <v>84</v>
      </c>
      <c r="V49" s="17" t="s">
        <v>85</v>
      </c>
      <c r="W49" s="14" t="s">
        <v>79</v>
      </c>
      <c r="X49" s="18">
        <v>45436</v>
      </c>
      <c r="Y49" s="14" t="s">
        <v>86</v>
      </c>
      <c r="Z49" s="19" t="s">
        <v>186</v>
      </c>
      <c r="AA49" s="13" t="s">
        <v>118</v>
      </c>
      <c r="AB49" s="20" t="s">
        <v>208</v>
      </c>
      <c r="AC49" s="21" t="s">
        <v>247</v>
      </c>
      <c r="AD49" s="22" t="s">
        <v>91</v>
      </c>
      <c r="AE49" s="21" t="s">
        <v>92</v>
      </c>
      <c r="AF49" s="13">
        <v>5</v>
      </c>
      <c r="AG49" s="13">
        <v>25</v>
      </c>
      <c r="AH49" s="36">
        <v>46357</v>
      </c>
      <c r="AI49" s="24" t="s">
        <v>94</v>
      </c>
      <c r="AJ49" s="25" t="s">
        <v>95</v>
      </c>
      <c r="AK49" s="26">
        <f t="shared" si="7"/>
        <v>45436</v>
      </c>
      <c r="AL49" s="27">
        <f t="shared" si="8"/>
        <v>46357</v>
      </c>
      <c r="AM49" s="28">
        <f t="shared" si="9"/>
        <v>45436</v>
      </c>
      <c r="AN49" s="28">
        <f t="shared" si="10"/>
        <v>45436</v>
      </c>
      <c r="AO49" s="25" t="s">
        <v>209</v>
      </c>
      <c r="AP49" s="41" t="s">
        <v>226</v>
      </c>
      <c r="AQ49" s="12">
        <v>100</v>
      </c>
      <c r="AR49" s="28">
        <f t="shared" si="11"/>
        <v>45496</v>
      </c>
      <c r="AS49" s="12" t="s">
        <v>74</v>
      </c>
      <c r="AT49" s="29" t="s">
        <v>98</v>
      </c>
      <c r="AU49" s="30" t="s">
        <v>267</v>
      </c>
      <c r="AV49" s="28" t="s">
        <v>99</v>
      </c>
      <c r="AW49" s="28" t="s">
        <v>100</v>
      </c>
      <c r="AX49" s="12" t="s">
        <v>74</v>
      </c>
      <c r="AY49" s="29" t="s">
        <v>101</v>
      </c>
      <c r="AZ49" s="30">
        <v>198306167</v>
      </c>
      <c r="BA49" s="28" t="s">
        <v>99</v>
      </c>
      <c r="BB49" s="28" t="s">
        <v>100</v>
      </c>
      <c r="BC49" s="31" t="s">
        <v>102</v>
      </c>
      <c r="BD49" s="18">
        <v>39763</v>
      </c>
      <c r="BE49" s="29" t="s">
        <v>81</v>
      </c>
      <c r="BF49" s="29" t="s">
        <v>103</v>
      </c>
      <c r="BG49" s="29" t="s">
        <v>104</v>
      </c>
      <c r="BH49" s="12" t="s">
        <v>105</v>
      </c>
      <c r="BI49" s="12" t="s">
        <v>106</v>
      </c>
      <c r="BJ49" s="32" t="s">
        <v>107</v>
      </c>
      <c r="BK49" t="s">
        <v>108</v>
      </c>
      <c r="BL49" s="12" t="s">
        <v>109</v>
      </c>
      <c r="BM49" s="12" t="s">
        <v>74</v>
      </c>
      <c r="BN49" s="12" t="s">
        <v>80</v>
      </c>
      <c r="BO49" s="12" t="s">
        <v>80</v>
      </c>
      <c r="BP49" s="12" t="s">
        <v>110</v>
      </c>
      <c r="BQ49" s="12" t="s">
        <v>111</v>
      </c>
      <c r="BR49" s="14" t="s">
        <v>112</v>
      </c>
      <c r="BS49" s="14" t="s">
        <v>113</v>
      </c>
      <c r="BT49" s="23">
        <v>40</v>
      </c>
      <c r="BU49" s="33">
        <v>213111231</v>
      </c>
    </row>
    <row r="50" spans="1:73" ht="14.4" customHeight="1" x14ac:dyDescent="0.35">
      <c r="A50" t="s">
        <v>268</v>
      </c>
      <c r="C50" s="10"/>
      <c r="D50" t="s">
        <v>170</v>
      </c>
      <c r="E50" s="11" t="s">
        <v>205</v>
      </c>
      <c r="F50" s="12" t="s">
        <v>74</v>
      </c>
      <c r="G50" t="s">
        <v>269</v>
      </c>
      <c r="H50" s="13" t="s">
        <v>207</v>
      </c>
      <c r="I50" s="14" t="s">
        <v>77</v>
      </c>
      <c r="J50" s="14" t="s">
        <v>78</v>
      </c>
      <c r="K50" s="14" t="s">
        <v>79</v>
      </c>
      <c r="L50" s="15">
        <f t="shared" si="6"/>
        <v>45102</v>
      </c>
      <c r="M50" s="12" t="s">
        <v>74</v>
      </c>
      <c r="N50" s="12" t="s">
        <v>80</v>
      </c>
      <c r="O50" s="12">
        <v>1</v>
      </c>
      <c r="P50" s="14" t="s">
        <v>81</v>
      </c>
      <c r="Q50" s="14" t="s">
        <v>82</v>
      </c>
      <c r="R50" s="14" t="s">
        <v>81</v>
      </c>
      <c r="S50" s="14" t="s">
        <v>83</v>
      </c>
      <c r="T50" s="14" t="s">
        <v>79</v>
      </c>
      <c r="U50" s="16" t="s">
        <v>84</v>
      </c>
      <c r="V50" s="17" t="s">
        <v>85</v>
      </c>
      <c r="W50" s="14" t="s">
        <v>79</v>
      </c>
      <c r="X50" s="18">
        <v>45102</v>
      </c>
      <c r="Y50" s="14" t="s">
        <v>86</v>
      </c>
      <c r="Z50" s="19" t="s">
        <v>170</v>
      </c>
      <c r="AA50" s="13" t="s">
        <v>88</v>
      </c>
      <c r="AB50" s="20" t="s">
        <v>208</v>
      </c>
      <c r="AC50" s="21" t="s">
        <v>247</v>
      </c>
      <c r="AD50" s="22" t="s">
        <v>91</v>
      </c>
      <c r="AE50" s="21" t="s">
        <v>92</v>
      </c>
      <c r="AF50" s="13">
        <v>5</v>
      </c>
      <c r="AG50" s="13">
        <v>20</v>
      </c>
      <c r="AH50" s="36" t="s">
        <v>93</v>
      </c>
      <c r="AI50" s="24" t="s">
        <v>94</v>
      </c>
      <c r="AJ50" s="25" t="s">
        <v>95</v>
      </c>
      <c r="AK50" s="26">
        <f t="shared" si="7"/>
        <v>45102</v>
      </c>
      <c r="AL50" s="27" t="str">
        <f t="shared" si="8"/>
        <v>N/A</v>
      </c>
      <c r="AM50" s="28">
        <f t="shared" si="9"/>
        <v>45102</v>
      </c>
      <c r="AN50" s="28">
        <f t="shared" si="10"/>
        <v>45102</v>
      </c>
      <c r="AO50" s="25" t="s">
        <v>209</v>
      </c>
      <c r="AP50" s="41" t="s">
        <v>210</v>
      </c>
      <c r="AQ50" s="12">
        <v>100</v>
      </c>
      <c r="AR50" s="28">
        <f t="shared" si="11"/>
        <v>45162</v>
      </c>
      <c r="AS50" s="12" t="s">
        <v>74</v>
      </c>
      <c r="AT50" s="29" t="s">
        <v>98</v>
      </c>
      <c r="AU50" s="30">
        <v>9006244940</v>
      </c>
      <c r="AV50" s="28" t="s">
        <v>99</v>
      </c>
      <c r="AW50" s="28" t="s">
        <v>100</v>
      </c>
      <c r="AX50" s="12" t="s">
        <v>74</v>
      </c>
      <c r="AY50" s="29" t="s">
        <v>101</v>
      </c>
      <c r="AZ50" s="30">
        <v>198306168</v>
      </c>
      <c r="BA50" s="28" t="s">
        <v>99</v>
      </c>
      <c r="BB50" s="28" t="s">
        <v>100</v>
      </c>
      <c r="BC50" s="31" t="s">
        <v>102</v>
      </c>
      <c r="BD50" s="18">
        <v>33048</v>
      </c>
      <c r="BE50" s="29" t="s">
        <v>81</v>
      </c>
      <c r="BF50" s="29" t="s">
        <v>103</v>
      </c>
      <c r="BG50" s="29" t="s">
        <v>104</v>
      </c>
      <c r="BH50" s="12" t="s">
        <v>105</v>
      </c>
      <c r="BI50" s="12" t="s">
        <v>106</v>
      </c>
      <c r="BJ50" s="32" t="s">
        <v>107</v>
      </c>
      <c r="BK50" t="s">
        <v>108</v>
      </c>
      <c r="BL50" s="12" t="s">
        <v>109</v>
      </c>
      <c r="BM50" s="12" t="s">
        <v>74</v>
      </c>
      <c r="BN50" s="12" t="s">
        <v>80</v>
      </c>
      <c r="BO50" s="12" t="s">
        <v>80</v>
      </c>
      <c r="BP50" s="12" t="s">
        <v>110</v>
      </c>
      <c r="BQ50" s="12" t="s">
        <v>111</v>
      </c>
      <c r="BR50" s="14" t="s">
        <v>112</v>
      </c>
      <c r="BS50" s="14" t="s">
        <v>113</v>
      </c>
      <c r="BT50" s="23">
        <v>40</v>
      </c>
      <c r="BU50" s="33">
        <v>213111231</v>
      </c>
    </row>
    <row r="51" spans="1:73" ht="14.4" customHeight="1" x14ac:dyDescent="0.35">
      <c r="A51" t="s">
        <v>270</v>
      </c>
      <c r="C51" s="10"/>
      <c r="D51" t="s">
        <v>170</v>
      </c>
      <c r="E51" s="11" t="s">
        <v>205</v>
      </c>
      <c r="F51" s="12" t="s">
        <v>74</v>
      </c>
      <c r="G51" t="s">
        <v>271</v>
      </c>
      <c r="H51" s="13" t="s">
        <v>207</v>
      </c>
      <c r="I51" s="14" t="s">
        <v>122</v>
      </c>
      <c r="J51" s="14" t="s">
        <v>78</v>
      </c>
      <c r="K51" s="14" t="s">
        <v>79</v>
      </c>
      <c r="L51" s="15">
        <f t="shared" si="6"/>
        <v>44830</v>
      </c>
      <c r="M51" s="12" t="s">
        <v>74</v>
      </c>
      <c r="N51" s="12" t="s">
        <v>80</v>
      </c>
      <c r="O51" s="12">
        <v>1</v>
      </c>
      <c r="P51" s="14" t="s">
        <v>81</v>
      </c>
      <c r="Q51" s="14" t="s">
        <v>82</v>
      </c>
      <c r="R51" s="14" t="s">
        <v>81</v>
      </c>
      <c r="S51" s="14" t="s">
        <v>83</v>
      </c>
      <c r="T51" s="14" t="s">
        <v>79</v>
      </c>
      <c r="U51" s="16" t="s">
        <v>84</v>
      </c>
      <c r="V51" s="17" t="s">
        <v>85</v>
      </c>
      <c r="W51" s="14" t="s">
        <v>79</v>
      </c>
      <c r="X51" s="18">
        <v>44830</v>
      </c>
      <c r="Y51" s="14" t="s">
        <v>86</v>
      </c>
      <c r="Z51" s="19" t="s">
        <v>196</v>
      </c>
      <c r="AA51" s="13" t="s">
        <v>118</v>
      </c>
      <c r="AB51" s="20" t="s">
        <v>208</v>
      </c>
      <c r="AC51" s="21" t="s">
        <v>247</v>
      </c>
      <c r="AD51" s="22" t="s">
        <v>91</v>
      </c>
      <c r="AE51" s="21" t="s">
        <v>92</v>
      </c>
      <c r="AF51" s="13">
        <v>5</v>
      </c>
      <c r="AG51" s="13">
        <v>20</v>
      </c>
      <c r="AH51" s="36">
        <v>46358</v>
      </c>
      <c r="AI51" s="24" t="s">
        <v>94</v>
      </c>
      <c r="AJ51" s="25" t="s">
        <v>95</v>
      </c>
      <c r="AK51" s="26">
        <f t="shared" si="7"/>
        <v>44830</v>
      </c>
      <c r="AL51" s="27">
        <f t="shared" si="8"/>
        <v>46358</v>
      </c>
      <c r="AM51" s="28">
        <f t="shared" si="9"/>
        <v>44830</v>
      </c>
      <c r="AN51" s="28">
        <f t="shared" si="10"/>
        <v>44830</v>
      </c>
      <c r="AO51" s="25" t="s">
        <v>209</v>
      </c>
      <c r="AP51" s="41" t="s">
        <v>213</v>
      </c>
      <c r="AQ51" s="12">
        <v>100</v>
      </c>
      <c r="AR51" s="28">
        <f t="shared" si="11"/>
        <v>44890</v>
      </c>
      <c r="AS51" s="12" t="s">
        <v>74</v>
      </c>
      <c r="AT51" s="29" t="s">
        <v>98</v>
      </c>
      <c r="AU51" s="30">
        <v>9006249560</v>
      </c>
      <c r="AV51" s="28" t="s">
        <v>99</v>
      </c>
      <c r="AW51" s="28" t="s">
        <v>100</v>
      </c>
      <c r="AX51" s="12" t="s">
        <v>74</v>
      </c>
      <c r="AY51" s="29" t="s">
        <v>101</v>
      </c>
      <c r="AZ51" s="30">
        <v>198306169</v>
      </c>
      <c r="BA51" s="28" t="s">
        <v>99</v>
      </c>
      <c r="BB51" s="28" t="s">
        <v>100</v>
      </c>
      <c r="BC51" s="31" t="s">
        <v>102</v>
      </c>
      <c r="BD51" s="18">
        <v>33048</v>
      </c>
      <c r="BE51" s="29" t="s">
        <v>81</v>
      </c>
      <c r="BF51" s="29" t="s">
        <v>103</v>
      </c>
      <c r="BG51" s="29" t="s">
        <v>104</v>
      </c>
      <c r="BH51" s="12" t="s">
        <v>105</v>
      </c>
      <c r="BI51" s="12" t="s">
        <v>106</v>
      </c>
      <c r="BJ51" s="32" t="s">
        <v>107</v>
      </c>
      <c r="BK51" t="s">
        <v>108</v>
      </c>
      <c r="BL51" s="12" t="s">
        <v>109</v>
      </c>
      <c r="BM51" s="12" t="s">
        <v>74</v>
      </c>
      <c r="BN51" s="12" t="s">
        <v>80</v>
      </c>
      <c r="BO51" s="12" t="s">
        <v>80</v>
      </c>
      <c r="BP51" s="12" t="s">
        <v>110</v>
      </c>
      <c r="BQ51" s="12" t="s">
        <v>111</v>
      </c>
      <c r="BR51" s="14" t="s">
        <v>112</v>
      </c>
      <c r="BS51" s="14" t="s">
        <v>113</v>
      </c>
      <c r="BT51" s="23">
        <v>40</v>
      </c>
      <c r="BU51" s="33">
        <v>213111231</v>
      </c>
    </row>
    <row r="52" spans="1:73" ht="14.4" customHeight="1" x14ac:dyDescent="0.35">
      <c r="A52" t="s">
        <v>272</v>
      </c>
      <c r="C52" s="10"/>
      <c r="D52" t="s">
        <v>170</v>
      </c>
      <c r="E52" s="11" t="s">
        <v>205</v>
      </c>
      <c r="F52" s="12" t="s">
        <v>74</v>
      </c>
      <c r="G52" t="s">
        <v>273</v>
      </c>
      <c r="H52" s="13" t="s">
        <v>207</v>
      </c>
      <c r="I52" s="14" t="s">
        <v>77</v>
      </c>
      <c r="J52" s="14" t="s">
        <v>78</v>
      </c>
      <c r="K52" s="14" t="s">
        <v>79</v>
      </c>
      <c r="L52" s="15">
        <f t="shared" si="6"/>
        <v>44892</v>
      </c>
      <c r="M52" s="12" t="s">
        <v>74</v>
      </c>
      <c r="N52" s="12" t="s">
        <v>80</v>
      </c>
      <c r="O52" s="12">
        <v>1</v>
      </c>
      <c r="P52" s="14" t="s">
        <v>81</v>
      </c>
      <c r="Q52" s="14" t="s">
        <v>82</v>
      </c>
      <c r="R52" s="14" t="s">
        <v>81</v>
      </c>
      <c r="S52" s="14" t="s">
        <v>83</v>
      </c>
      <c r="T52" s="14" t="s">
        <v>79</v>
      </c>
      <c r="U52" s="16" t="s">
        <v>84</v>
      </c>
      <c r="V52" s="17" t="s">
        <v>85</v>
      </c>
      <c r="W52" s="14" t="s">
        <v>79</v>
      </c>
      <c r="X52" s="18">
        <v>44892</v>
      </c>
      <c r="Y52" s="14" t="s">
        <v>86</v>
      </c>
      <c r="Z52" s="19" t="s">
        <v>186</v>
      </c>
      <c r="AA52" s="13" t="s">
        <v>88</v>
      </c>
      <c r="AB52" s="20" t="s">
        <v>208</v>
      </c>
      <c r="AC52" s="21" t="s">
        <v>247</v>
      </c>
      <c r="AD52" s="22" t="s">
        <v>91</v>
      </c>
      <c r="AE52" s="21" t="s">
        <v>92</v>
      </c>
      <c r="AF52" s="13">
        <v>5</v>
      </c>
      <c r="AG52" s="13">
        <v>20</v>
      </c>
      <c r="AH52" s="36" t="s">
        <v>93</v>
      </c>
      <c r="AI52" s="24" t="s">
        <v>94</v>
      </c>
      <c r="AJ52" s="25" t="s">
        <v>95</v>
      </c>
      <c r="AK52" s="26">
        <f t="shared" si="7"/>
        <v>44892</v>
      </c>
      <c r="AL52" s="27" t="str">
        <f t="shared" si="8"/>
        <v>N/A</v>
      </c>
      <c r="AM52" s="28">
        <f t="shared" si="9"/>
        <v>44892</v>
      </c>
      <c r="AN52" s="28">
        <f t="shared" si="10"/>
        <v>44892</v>
      </c>
      <c r="AO52" s="25" t="s">
        <v>209</v>
      </c>
      <c r="AP52" s="41" t="s">
        <v>216</v>
      </c>
      <c r="AQ52" s="12">
        <v>100</v>
      </c>
      <c r="AR52" s="28">
        <f t="shared" si="11"/>
        <v>44952</v>
      </c>
      <c r="AS52" s="12" t="s">
        <v>74</v>
      </c>
      <c r="AT52" s="29" t="s">
        <v>98</v>
      </c>
      <c r="AU52" s="30">
        <v>9006247888</v>
      </c>
      <c r="AV52" s="28" t="s">
        <v>99</v>
      </c>
      <c r="AW52" s="28" t="s">
        <v>100</v>
      </c>
      <c r="AX52" s="12" t="s">
        <v>74</v>
      </c>
      <c r="AY52" s="29" t="s">
        <v>101</v>
      </c>
      <c r="AZ52" s="30">
        <v>198306170</v>
      </c>
      <c r="BA52" s="28" t="s">
        <v>99</v>
      </c>
      <c r="BB52" s="28" t="s">
        <v>100</v>
      </c>
      <c r="BC52" s="31" t="s">
        <v>102</v>
      </c>
      <c r="BD52" s="18">
        <v>33048</v>
      </c>
      <c r="BE52" s="29" t="s">
        <v>81</v>
      </c>
      <c r="BF52" s="29" t="s">
        <v>103</v>
      </c>
      <c r="BG52" s="29" t="s">
        <v>104</v>
      </c>
      <c r="BH52" s="12" t="s">
        <v>105</v>
      </c>
      <c r="BI52" s="12" t="s">
        <v>106</v>
      </c>
      <c r="BJ52" s="32" t="s">
        <v>107</v>
      </c>
      <c r="BK52" t="s">
        <v>108</v>
      </c>
      <c r="BL52" s="12" t="s">
        <v>109</v>
      </c>
      <c r="BM52" s="12" t="s">
        <v>74</v>
      </c>
      <c r="BN52" s="12" t="s">
        <v>80</v>
      </c>
      <c r="BO52" s="12" t="s">
        <v>80</v>
      </c>
      <c r="BP52" s="12" t="s">
        <v>110</v>
      </c>
      <c r="BQ52" s="12" t="s">
        <v>111</v>
      </c>
      <c r="BR52" s="14" t="s">
        <v>112</v>
      </c>
      <c r="BS52" s="14" t="s">
        <v>113</v>
      </c>
      <c r="BT52" s="23">
        <v>40</v>
      </c>
      <c r="BU52" s="33">
        <v>213111231</v>
      </c>
    </row>
    <row r="53" spans="1:73" ht="14.4" customHeight="1" x14ac:dyDescent="0.35">
      <c r="A53" t="s">
        <v>274</v>
      </c>
      <c r="C53" s="10"/>
      <c r="D53" t="s">
        <v>170</v>
      </c>
      <c r="E53" s="11" t="s">
        <v>205</v>
      </c>
      <c r="F53" s="12" t="s">
        <v>74</v>
      </c>
      <c r="G53" t="s">
        <v>275</v>
      </c>
      <c r="H53" s="13" t="s">
        <v>207</v>
      </c>
      <c r="I53" s="14" t="s">
        <v>77</v>
      </c>
      <c r="J53" s="14" t="s">
        <v>78</v>
      </c>
      <c r="K53" s="14" t="s">
        <v>79</v>
      </c>
      <c r="L53" s="15">
        <f t="shared" si="6"/>
        <v>45565</v>
      </c>
      <c r="M53" s="12" t="s">
        <v>74</v>
      </c>
      <c r="N53" s="12" t="s">
        <v>80</v>
      </c>
      <c r="O53" s="12">
        <v>1</v>
      </c>
      <c r="P53" s="14" t="s">
        <v>81</v>
      </c>
      <c r="Q53" s="14" t="s">
        <v>82</v>
      </c>
      <c r="R53" s="14" t="s">
        <v>81</v>
      </c>
      <c r="S53" s="14" t="s">
        <v>83</v>
      </c>
      <c r="T53" s="14" t="s">
        <v>79</v>
      </c>
      <c r="U53" s="16" t="s">
        <v>84</v>
      </c>
      <c r="V53" s="17" t="s">
        <v>85</v>
      </c>
      <c r="W53" s="14" t="s">
        <v>79</v>
      </c>
      <c r="X53" s="18">
        <v>45565</v>
      </c>
      <c r="Y53" s="14" t="s">
        <v>86</v>
      </c>
      <c r="Z53" s="19" t="s">
        <v>170</v>
      </c>
      <c r="AA53" s="13" t="s">
        <v>118</v>
      </c>
      <c r="AB53" s="20" t="s">
        <v>208</v>
      </c>
      <c r="AC53" s="21" t="s">
        <v>247</v>
      </c>
      <c r="AD53" s="22" t="s">
        <v>91</v>
      </c>
      <c r="AE53" s="21" t="s">
        <v>92</v>
      </c>
      <c r="AF53" s="13">
        <v>5</v>
      </c>
      <c r="AG53" s="13">
        <v>20</v>
      </c>
      <c r="AH53" s="36">
        <v>46360</v>
      </c>
      <c r="AI53" s="24" t="s">
        <v>94</v>
      </c>
      <c r="AJ53" s="25" t="s">
        <v>95</v>
      </c>
      <c r="AK53" s="26">
        <f t="shared" si="7"/>
        <v>45565</v>
      </c>
      <c r="AL53" s="27">
        <f t="shared" si="8"/>
        <v>46360</v>
      </c>
      <c r="AM53" s="28">
        <f t="shared" si="9"/>
        <v>45565</v>
      </c>
      <c r="AN53" s="28">
        <f t="shared" si="10"/>
        <v>45565</v>
      </c>
      <c r="AO53" s="25" t="s">
        <v>209</v>
      </c>
      <c r="AP53" s="41" t="s">
        <v>226</v>
      </c>
      <c r="AQ53" s="12">
        <v>100</v>
      </c>
      <c r="AR53" s="28">
        <f t="shared" si="11"/>
        <v>45625</v>
      </c>
      <c r="AS53" s="12" t="s">
        <v>74</v>
      </c>
      <c r="AT53" s="29" t="s">
        <v>98</v>
      </c>
      <c r="AU53" s="30" t="s">
        <v>267</v>
      </c>
      <c r="AV53" s="28" t="s">
        <v>99</v>
      </c>
      <c r="AW53" s="28" t="s">
        <v>100</v>
      </c>
      <c r="AX53" s="12" t="s">
        <v>74</v>
      </c>
      <c r="AY53" s="29" t="s">
        <v>101</v>
      </c>
      <c r="AZ53" s="30">
        <v>198306171</v>
      </c>
      <c r="BA53" s="28" t="s">
        <v>99</v>
      </c>
      <c r="BB53" s="28" t="s">
        <v>100</v>
      </c>
      <c r="BC53" s="31" t="s">
        <v>102</v>
      </c>
      <c r="BD53" s="18">
        <v>39763</v>
      </c>
      <c r="BE53" s="29" t="s">
        <v>81</v>
      </c>
      <c r="BF53" s="29" t="s">
        <v>103</v>
      </c>
      <c r="BG53" s="29" t="s">
        <v>104</v>
      </c>
      <c r="BH53" s="12" t="s">
        <v>105</v>
      </c>
      <c r="BI53" s="12" t="s">
        <v>106</v>
      </c>
      <c r="BJ53" s="32" t="s">
        <v>107</v>
      </c>
      <c r="BK53" t="s">
        <v>108</v>
      </c>
      <c r="BL53" s="12" t="s">
        <v>109</v>
      </c>
      <c r="BM53" s="12" t="s">
        <v>74</v>
      </c>
      <c r="BN53" s="12" t="s">
        <v>80</v>
      </c>
      <c r="BO53" s="12" t="s">
        <v>80</v>
      </c>
      <c r="BP53" s="12" t="s">
        <v>110</v>
      </c>
      <c r="BQ53" s="12" t="s">
        <v>111</v>
      </c>
      <c r="BR53" s="14" t="s">
        <v>112</v>
      </c>
      <c r="BS53" s="14" t="s">
        <v>113</v>
      </c>
      <c r="BT53" s="23">
        <v>40</v>
      </c>
      <c r="BU53" s="33">
        <v>213111231</v>
      </c>
    </row>
    <row r="54" spans="1:73" ht="14.4" customHeight="1" x14ac:dyDescent="0.35">
      <c r="A54" t="s">
        <v>276</v>
      </c>
      <c r="C54" s="10"/>
      <c r="D54" t="s">
        <v>170</v>
      </c>
      <c r="E54" s="11" t="s">
        <v>205</v>
      </c>
      <c r="F54" s="12" t="s">
        <v>74</v>
      </c>
      <c r="G54" t="s">
        <v>277</v>
      </c>
      <c r="H54" s="13" t="s">
        <v>207</v>
      </c>
      <c r="I54" s="14" t="s">
        <v>77</v>
      </c>
      <c r="J54" s="14" t="s">
        <v>78</v>
      </c>
      <c r="K54" s="14" t="s">
        <v>79</v>
      </c>
      <c r="L54" s="15">
        <f t="shared" si="6"/>
        <v>45170</v>
      </c>
      <c r="M54" s="12" t="s">
        <v>74</v>
      </c>
      <c r="N54" s="12" t="s">
        <v>80</v>
      </c>
      <c r="O54" s="12">
        <v>1</v>
      </c>
      <c r="P54" s="14" t="s">
        <v>81</v>
      </c>
      <c r="Q54" s="14" t="s">
        <v>82</v>
      </c>
      <c r="R54" s="14" t="s">
        <v>81</v>
      </c>
      <c r="S54" s="14" t="s">
        <v>83</v>
      </c>
      <c r="T54" s="14" t="s">
        <v>79</v>
      </c>
      <c r="U54" s="16" t="s">
        <v>84</v>
      </c>
      <c r="V54" s="17" t="s">
        <v>85</v>
      </c>
      <c r="W54" s="14" t="s">
        <v>79</v>
      </c>
      <c r="X54" s="18">
        <v>45170</v>
      </c>
      <c r="Y54" s="14" t="s">
        <v>86</v>
      </c>
      <c r="Z54" s="19" t="s">
        <v>186</v>
      </c>
      <c r="AA54" s="13" t="s">
        <v>88</v>
      </c>
      <c r="AB54" s="20" t="s">
        <v>208</v>
      </c>
      <c r="AC54" s="21" t="s">
        <v>247</v>
      </c>
      <c r="AD54" s="22" t="s">
        <v>91</v>
      </c>
      <c r="AE54" s="21" t="s">
        <v>92</v>
      </c>
      <c r="AF54" s="13">
        <v>4</v>
      </c>
      <c r="AG54" s="13">
        <v>30</v>
      </c>
      <c r="AH54" s="36" t="s">
        <v>93</v>
      </c>
      <c r="AI54" s="24" t="s">
        <v>94</v>
      </c>
      <c r="AJ54" s="25" t="s">
        <v>95</v>
      </c>
      <c r="AK54" s="26">
        <f t="shared" si="7"/>
        <v>45170</v>
      </c>
      <c r="AL54" s="27" t="str">
        <f t="shared" si="8"/>
        <v>N/A</v>
      </c>
      <c r="AM54" s="28">
        <f t="shared" si="9"/>
        <v>45170</v>
      </c>
      <c r="AN54" s="28">
        <f t="shared" si="10"/>
        <v>45170</v>
      </c>
      <c r="AO54" s="25" t="s">
        <v>209</v>
      </c>
      <c r="AP54" s="41" t="s">
        <v>229</v>
      </c>
      <c r="AQ54" s="12">
        <v>100</v>
      </c>
      <c r="AR54" s="28">
        <f t="shared" si="11"/>
        <v>45230</v>
      </c>
      <c r="AS54" s="12" t="s">
        <v>74</v>
      </c>
      <c r="AT54" s="29" t="s">
        <v>98</v>
      </c>
      <c r="AU54" s="30">
        <v>9006248581</v>
      </c>
      <c r="AV54" s="28" t="s">
        <v>99</v>
      </c>
      <c r="AW54" s="28" t="s">
        <v>100</v>
      </c>
      <c r="AX54" s="12" t="s">
        <v>74</v>
      </c>
      <c r="AY54" s="29" t="s">
        <v>101</v>
      </c>
      <c r="AZ54" s="30">
        <v>198306172</v>
      </c>
      <c r="BA54" s="28" t="s">
        <v>99</v>
      </c>
      <c r="BB54" s="28" t="s">
        <v>100</v>
      </c>
      <c r="BC54" s="31" t="s">
        <v>102</v>
      </c>
      <c r="BD54" s="18">
        <v>33048</v>
      </c>
      <c r="BE54" s="29" t="s">
        <v>81</v>
      </c>
      <c r="BF54" s="29" t="s">
        <v>103</v>
      </c>
      <c r="BG54" s="29" t="s">
        <v>104</v>
      </c>
      <c r="BH54" s="12" t="s">
        <v>105</v>
      </c>
      <c r="BI54" s="12" t="s">
        <v>106</v>
      </c>
      <c r="BJ54" s="32" t="s">
        <v>107</v>
      </c>
      <c r="BK54" t="s">
        <v>108</v>
      </c>
      <c r="BL54" s="12" t="s">
        <v>109</v>
      </c>
      <c r="BM54" s="12" t="s">
        <v>74</v>
      </c>
      <c r="BN54" s="12" t="s">
        <v>80</v>
      </c>
      <c r="BO54" s="12" t="s">
        <v>80</v>
      </c>
      <c r="BP54" s="12" t="s">
        <v>110</v>
      </c>
      <c r="BQ54" s="12" t="s">
        <v>111</v>
      </c>
      <c r="BR54" s="14" t="s">
        <v>112</v>
      </c>
      <c r="BS54" s="14" t="s">
        <v>113</v>
      </c>
      <c r="BT54" s="23">
        <v>40</v>
      </c>
      <c r="BU54" s="33">
        <v>213111231</v>
      </c>
    </row>
    <row r="55" spans="1:73" ht="14.4" customHeight="1" x14ac:dyDescent="0.35">
      <c r="A55" t="s">
        <v>278</v>
      </c>
      <c r="C55" s="10"/>
      <c r="D55" t="s">
        <v>170</v>
      </c>
      <c r="E55" s="11" t="s">
        <v>205</v>
      </c>
      <c r="F55" s="12" t="s">
        <v>74</v>
      </c>
      <c r="G55" t="s">
        <v>279</v>
      </c>
      <c r="H55" s="13" t="s">
        <v>207</v>
      </c>
      <c r="I55" s="14" t="s">
        <v>77</v>
      </c>
      <c r="J55" s="14" t="s">
        <v>78</v>
      </c>
      <c r="K55" s="14" t="s">
        <v>79</v>
      </c>
      <c r="L55" s="15">
        <f t="shared" si="6"/>
        <v>45537</v>
      </c>
      <c r="M55" s="12" t="s">
        <v>74</v>
      </c>
      <c r="N55" s="12" t="s">
        <v>80</v>
      </c>
      <c r="O55" s="12">
        <v>1</v>
      </c>
      <c r="P55" s="14" t="s">
        <v>81</v>
      </c>
      <c r="Q55" s="14" t="s">
        <v>82</v>
      </c>
      <c r="R55" s="14" t="s">
        <v>81</v>
      </c>
      <c r="S55" s="14" t="s">
        <v>83</v>
      </c>
      <c r="T55" s="14" t="s">
        <v>79</v>
      </c>
      <c r="U55" s="16" t="s">
        <v>84</v>
      </c>
      <c r="V55" s="17" t="s">
        <v>85</v>
      </c>
      <c r="W55" s="14" t="s">
        <v>79</v>
      </c>
      <c r="X55" s="18">
        <v>45537</v>
      </c>
      <c r="Y55" s="14" t="s">
        <v>86</v>
      </c>
      <c r="Z55" s="19" t="s">
        <v>170</v>
      </c>
      <c r="AA55" s="13" t="s">
        <v>118</v>
      </c>
      <c r="AB55" s="20" t="s">
        <v>208</v>
      </c>
      <c r="AC55" s="21" t="s">
        <v>247</v>
      </c>
      <c r="AD55" s="22" t="s">
        <v>91</v>
      </c>
      <c r="AE55" s="21" t="s">
        <v>92</v>
      </c>
      <c r="AF55" s="13">
        <v>4</v>
      </c>
      <c r="AG55" s="13">
        <v>30</v>
      </c>
      <c r="AH55" s="36">
        <v>46361</v>
      </c>
      <c r="AI55" s="24" t="s">
        <v>94</v>
      </c>
      <c r="AJ55" s="25" t="s">
        <v>95</v>
      </c>
      <c r="AK55" s="26">
        <f t="shared" si="7"/>
        <v>45537</v>
      </c>
      <c r="AL55" s="27">
        <f t="shared" si="8"/>
        <v>46361</v>
      </c>
      <c r="AM55" s="28">
        <f t="shared" si="9"/>
        <v>45537</v>
      </c>
      <c r="AN55" s="28">
        <f t="shared" si="10"/>
        <v>45537</v>
      </c>
      <c r="AO55" s="25" t="s">
        <v>209</v>
      </c>
      <c r="AP55" s="41" t="s">
        <v>232</v>
      </c>
      <c r="AQ55" s="12">
        <v>100</v>
      </c>
      <c r="AR55" s="28">
        <f t="shared" si="11"/>
        <v>45597</v>
      </c>
      <c r="AS55" s="12" t="s">
        <v>74</v>
      </c>
      <c r="AT55" s="29" t="s">
        <v>98</v>
      </c>
      <c r="AU55" s="30">
        <v>9006249956</v>
      </c>
      <c r="AV55" s="28" t="s">
        <v>99</v>
      </c>
      <c r="AW55" s="28" t="s">
        <v>100</v>
      </c>
      <c r="AX55" s="12" t="s">
        <v>74</v>
      </c>
      <c r="AY55" s="29" t="s">
        <v>101</v>
      </c>
      <c r="AZ55" s="30">
        <v>198306173</v>
      </c>
      <c r="BA55" s="28" t="s">
        <v>99</v>
      </c>
      <c r="BB55" s="28" t="s">
        <v>100</v>
      </c>
      <c r="BC55" s="31" t="s">
        <v>102</v>
      </c>
      <c r="BD55" s="18">
        <v>33048</v>
      </c>
      <c r="BE55" s="29" t="s">
        <v>81</v>
      </c>
      <c r="BF55" s="29" t="s">
        <v>103</v>
      </c>
      <c r="BG55" s="29" t="s">
        <v>104</v>
      </c>
      <c r="BH55" s="12" t="s">
        <v>105</v>
      </c>
      <c r="BI55" s="12" t="s">
        <v>106</v>
      </c>
      <c r="BJ55" s="32" t="s">
        <v>107</v>
      </c>
      <c r="BK55" t="s">
        <v>108</v>
      </c>
      <c r="BL55" s="12" t="s">
        <v>109</v>
      </c>
      <c r="BM55" s="12" t="s">
        <v>74</v>
      </c>
      <c r="BN55" s="12" t="s">
        <v>80</v>
      </c>
      <c r="BO55" s="12" t="s">
        <v>80</v>
      </c>
      <c r="BP55" s="12" t="s">
        <v>110</v>
      </c>
      <c r="BQ55" s="12" t="s">
        <v>111</v>
      </c>
      <c r="BR55" s="14" t="s">
        <v>112</v>
      </c>
      <c r="BS55" s="14" t="s">
        <v>113</v>
      </c>
      <c r="BT55" s="23">
        <v>40</v>
      </c>
      <c r="BU55" s="33">
        <v>213111231</v>
      </c>
    </row>
    <row r="56" spans="1:73" ht="14.4" customHeight="1" x14ac:dyDescent="0.35">
      <c r="A56" t="s">
        <v>280</v>
      </c>
      <c r="C56" s="10"/>
      <c r="D56" t="s">
        <v>170</v>
      </c>
      <c r="E56" s="11" t="s">
        <v>205</v>
      </c>
      <c r="F56" s="12" t="s">
        <v>74</v>
      </c>
      <c r="G56" t="s">
        <v>281</v>
      </c>
      <c r="H56" s="13" t="s">
        <v>207</v>
      </c>
      <c r="I56" s="14" t="s">
        <v>122</v>
      </c>
      <c r="J56" s="14" t="s">
        <v>78</v>
      </c>
      <c r="K56" s="14" t="s">
        <v>79</v>
      </c>
      <c r="L56" s="15">
        <f t="shared" si="6"/>
        <v>44807</v>
      </c>
      <c r="M56" s="12" t="s">
        <v>74</v>
      </c>
      <c r="N56" s="12" t="s">
        <v>80</v>
      </c>
      <c r="O56" s="12">
        <v>1</v>
      </c>
      <c r="P56" s="14" t="s">
        <v>81</v>
      </c>
      <c r="Q56" s="14" t="s">
        <v>82</v>
      </c>
      <c r="R56" s="14" t="s">
        <v>81</v>
      </c>
      <c r="S56" s="14" t="s">
        <v>83</v>
      </c>
      <c r="T56" s="14" t="s">
        <v>79</v>
      </c>
      <c r="U56" s="16" t="s">
        <v>84</v>
      </c>
      <c r="V56" s="17" t="s">
        <v>85</v>
      </c>
      <c r="W56" s="14" t="s">
        <v>79</v>
      </c>
      <c r="X56" s="18">
        <v>44807</v>
      </c>
      <c r="Y56" s="14" t="s">
        <v>86</v>
      </c>
      <c r="Z56" s="19" t="s">
        <v>196</v>
      </c>
      <c r="AA56" s="13" t="s">
        <v>88</v>
      </c>
      <c r="AB56" s="20" t="s">
        <v>208</v>
      </c>
      <c r="AC56" s="21" t="s">
        <v>247</v>
      </c>
      <c r="AD56" s="22" t="s">
        <v>91</v>
      </c>
      <c r="AE56" s="21" t="s">
        <v>92</v>
      </c>
      <c r="AF56" s="13">
        <v>4</v>
      </c>
      <c r="AG56" s="13">
        <v>30</v>
      </c>
      <c r="AH56" s="36" t="s">
        <v>93</v>
      </c>
      <c r="AI56" s="24" t="s">
        <v>94</v>
      </c>
      <c r="AJ56" s="25" t="s">
        <v>95</v>
      </c>
      <c r="AK56" s="26">
        <f t="shared" si="7"/>
        <v>44807</v>
      </c>
      <c r="AL56" s="27" t="str">
        <f t="shared" si="8"/>
        <v>N/A</v>
      </c>
      <c r="AM56" s="28">
        <f t="shared" si="9"/>
        <v>44807</v>
      </c>
      <c r="AN56" s="28">
        <f t="shared" si="10"/>
        <v>44807</v>
      </c>
      <c r="AO56" s="25" t="s">
        <v>209</v>
      </c>
      <c r="AP56" s="41" t="s">
        <v>235</v>
      </c>
      <c r="AQ56" s="12">
        <v>100</v>
      </c>
      <c r="AR56" s="28">
        <f t="shared" si="11"/>
        <v>44867</v>
      </c>
      <c r="AS56" s="12" t="s">
        <v>74</v>
      </c>
      <c r="AT56" s="29" t="s">
        <v>98</v>
      </c>
      <c r="AU56" s="30">
        <v>9006247327</v>
      </c>
      <c r="AV56" s="28" t="s">
        <v>99</v>
      </c>
      <c r="AW56" s="28" t="s">
        <v>100</v>
      </c>
      <c r="AX56" s="12" t="s">
        <v>74</v>
      </c>
      <c r="AY56" s="29" t="s">
        <v>101</v>
      </c>
      <c r="AZ56" s="30">
        <v>198306174</v>
      </c>
      <c r="BA56" s="28" t="s">
        <v>99</v>
      </c>
      <c r="BB56" s="28" t="s">
        <v>100</v>
      </c>
      <c r="BC56" s="31" t="s">
        <v>102</v>
      </c>
      <c r="BD56" s="18">
        <v>33048</v>
      </c>
      <c r="BE56" s="29" t="s">
        <v>81</v>
      </c>
      <c r="BF56" s="29" t="s">
        <v>103</v>
      </c>
      <c r="BG56" s="29" t="s">
        <v>104</v>
      </c>
      <c r="BH56" s="12" t="s">
        <v>105</v>
      </c>
      <c r="BI56" s="12" t="s">
        <v>106</v>
      </c>
      <c r="BJ56" s="32" t="s">
        <v>107</v>
      </c>
      <c r="BK56" t="s">
        <v>108</v>
      </c>
      <c r="BL56" s="12" t="s">
        <v>109</v>
      </c>
      <c r="BM56" s="12" t="s">
        <v>74</v>
      </c>
      <c r="BN56" s="12" t="s">
        <v>80</v>
      </c>
      <c r="BO56" s="12" t="s">
        <v>80</v>
      </c>
      <c r="BP56" s="12" t="s">
        <v>110</v>
      </c>
      <c r="BQ56" s="12" t="s">
        <v>111</v>
      </c>
      <c r="BR56" s="14" t="s">
        <v>112</v>
      </c>
      <c r="BS56" s="14" t="s">
        <v>113</v>
      </c>
      <c r="BT56" s="23">
        <v>40</v>
      </c>
      <c r="BU56" s="33">
        <v>213111231</v>
      </c>
    </row>
    <row r="57" spans="1:73" ht="14.4" customHeight="1" x14ac:dyDescent="0.35">
      <c r="A57" t="s">
        <v>282</v>
      </c>
      <c r="C57" s="10"/>
      <c r="D57" t="s">
        <v>170</v>
      </c>
      <c r="E57" s="11" t="s">
        <v>205</v>
      </c>
      <c r="F57" s="12" t="s">
        <v>74</v>
      </c>
      <c r="G57" t="s">
        <v>283</v>
      </c>
      <c r="H57" s="13" t="s">
        <v>207</v>
      </c>
      <c r="I57" s="14" t="s">
        <v>77</v>
      </c>
      <c r="J57" s="14" t="s">
        <v>78</v>
      </c>
      <c r="K57" s="14" t="s">
        <v>79</v>
      </c>
      <c r="L57" s="15">
        <f t="shared" si="6"/>
        <v>45510</v>
      </c>
      <c r="M57" s="12" t="s">
        <v>74</v>
      </c>
      <c r="N57" s="12" t="s">
        <v>80</v>
      </c>
      <c r="O57" s="12">
        <v>1</v>
      </c>
      <c r="P57" s="14" t="s">
        <v>81</v>
      </c>
      <c r="Q57" s="14" t="s">
        <v>82</v>
      </c>
      <c r="R57" s="14" t="s">
        <v>81</v>
      </c>
      <c r="S57" s="14" t="s">
        <v>83</v>
      </c>
      <c r="T57" s="14" t="s">
        <v>79</v>
      </c>
      <c r="U57" s="16" t="s">
        <v>84</v>
      </c>
      <c r="V57" s="17" t="s">
        <v>85</v>
      </c>
      <c r="W57" s="14" t="s">
        <v>79</v>
      </c>
      <c r="X57" s="18">
        <v>45510</v>
      </c>
      <c r="Y57" s="14" t="s">
        <v>86</v>
      </c>
      <c r="Z57" s="19" t="s">
        <v>186</v>
      </c>
      <c r="AA57" s="13" t="s">
        <v>118</v>
      </c>
      <c r="AB57" s="20" t="s">
        <v>208</v>
      </c>
      <c r="AC57" s="21" t="s">
        <v>247</v>
      </c>
      <c r="AD57" s="22" t="s">
        <v>91</v>
      </c>
      <c r="AE57" s="21" t="s">
        <v>92</v>
      </c>
      <c r="AF57" s="13">
        <v>4</v>
      </c>
      <c r="AG57" s="13">
        <v>30</v>
      </c>
      <c r="AH57" s="36">
        <v>46363</v>
      </c>
      <c r="AI57" s="24" t="s">
        <v>94</v>
      </c>
      <c r="AJ57" s="25" t="s">
        <v>95</v>
      </c>
      <c r="AK57" s="26">
        <f t="shared" si="7"/>
        <v>45510</v>
      </c>
      <c r="AL57" s="27">
        <f t="shared" si="8"/>
        <v>46363</v>
      </c>
      <c r="AM57" s="28">
        <f t="shared" si="9"/>
        <v>45510</v>
      </c>
      <c r="AN57" s="28">
        <f t="shared" si="10"/>
        <v>45510</v>
      </c>
      <c r="AO57" s="25" t="s">
        <v>209</v>
      </c>
      <c r="AP57" s="41" t="s">
        <v>244</v>
      </c>
      <c r="AQ57" s="12">
        <v>100</v>
      </c>
      <c r="AR57" s="28">
        <f t="shared" si="11"/>
        <v>45570</v>
      </c>
      <c r="AS57" s="12" t="s">
        <v>74</v>
      </c>
      <c r="AT57" s="29" t="s">
        <v>98</v>
      </c>
      <c r="AU57" s="30" t="s">
        <v>284</v>
      </c>
      <c r="AV57" s="28" t="s">
        <v>99</v>
      </c>
      <c r="AW57" s="28" t="s">
        <v>100</v>
      </c>
      <c r="AX57" s="12" t="s">
        <v>74</v>
      </c>
      <c r="AY57" s="29" t="s">
        <v>101</v>
      </c>
      <c r="AZ57" s="30">
        <v>198306175</v>
      </c>
      <c r="BA57" s="28" t="s">
        <v>99</v>
      </c>
      <c r="BB57" s="28" t="s">
        <v>100</v>
      </c>
      <c r="BC57" s="31" t="s">
        <v>102</v>
      </c>
      <c r="BD57" s="18">
        <v>39763</v>
      </c>
      <c r="BE57" s="29" t="s">
        <v>81</v>
      </c>
      <c r="BF57" s="29" t="s">
        <v>103</v>
      </c>
      <c r="BG57" s="29" t="s">
        <v>104</v>
      </c>
      <c r="BH57" s="12" t="s">
        <v>105</v>
      </c>
      <c r="BI57" s="12" t="s">
        <v>106</v>
      </c>
      <c r="BJ57" s="32" t="s">
        <v>107</v>
      </c>
      <c r="BK57" t="s">
        <v>108</v>
      </c>
      <c r="BL57" s="12" t="s">
        <v>109</v>
      </c>
      <c r="BM57" s="12" t="s">
        <v>74</v>
      </c>
      <c r="BN57" s="12" t="s">
        <v>80</v>
      </c>
      <c r="BO57" s="12" t="s">
        <v>80</v>
      </c>
      <c r="BP57" s="12" t="s">
        <v>110</v>
      </c>
      <c r="BQ57" s="12" t="s">
        <v>111</v>
      </c>
      <c r="BR57" s="14" t="s">
        <v>112</v>
      </c>
      <c r="BS57" s="14" t="s">
        <v>113</v>
      </c>
      <c r="BT57" s="23">
        <v>40</v>
      </c>
      <c r="BU57" s="33">
        <v>213111231</v>
      </c>
    </row>
    <row r="58" spans="1:73" ht="14.4" customHeight="1" x14ac:dyDescent="0.35">
      <c r="A58" t="s">
        <v>285</v>
      </c>
      <c r="C58" s="10"/>
      <c r="D58" t="s">
        <v>170</v>
      </c>
      <c r="E58" s="11" t="s">
        <v>205</v>
      </c>
      <c r="F58" s="12" t="s">
        <v>74</v>
      </c>
      <c r="G58" t="s">
        <v>286</v>
      </c>
      <c r="H58" s="13" t="s">
        <v>207</v>
      </c>
      <c r="I58" s="14" t="s">
        <v>77</v>
      </c>
      <c r="J58" s="14" t="s">
        <v>78</v>
      </c>
      <c r="K58" s="14" t="s">
        <v>79</v>
      </c>
      <c r="L58" s="15">
        <f t="shared" si="6"/>
        <v>44811</v>
      </c>
      <c r="M58" s="12" t="s">
        <v>74</v>
      </c>
      <c r="N58" s="12" t="s">
        <v>80</v>
      </c>
      <c r="O58" s="12">
        <v>1</v>
      </c>
      <c r="P58" s="14" t="s">
        <v>81</v>
      </c>
      <c r="Q58" s="14" t="s">
        <v>82</v>
      </c>
      <c r="R58" s="14" t="s">
        <v>81</v>
      </c>
      <c r="S58" s="14" t="s">
        <v>83</v>
      </c>
      <c r="T58" s="14" t="s">
        <v>79</v>
      </c>
      <c r="U58" s="16" t="s">
        <v>84</v>
      </c>
      <c r="V58" s="17" t="s">
        <v>85</v>
      </c>
      <c r="W58" s="14" t="s">
        <v>79</v>
      </c>
      <c r="X58" s="18">
        <v>44811</v>
      </c>
      <c r="Y58" s="14" t="s">
        <v>86</v>
      </c>
      <c r="Z58" s="19" t="s">
        <v>170</v>
      </c>
      <c r="AA58" s="13" t="s">
        <v>88</v>
      </c>
      <c r="AB58" s="20" t="s">
        <v>208</v>
      </c>
      <c r="AC58" s="21" t="s">
        <v>247</v>
      </c>
      <c r="AD58" s="22" t="s">
        <v>91</v>
      </c>
      <c r="AE58" s="21" t="s">
        <v>92</v>
      </c>
      <c r="AF58" s="13">
        <v>4</v>
      </c>
      <c r="AG58" s="13">
        <v>24</v>
      </c>
      <c r="AH58" s="36" t="s">
        <v>93</v>
      </c>
      <c r="AI58" s="24" t="s">
        <v>94</v>
      </c>
      <c r="AJ58" s="25" t="s">
        <v>95</v>
      </c>
      <c r="AK58" s="26">
        <f t="shared" si="7"/>
        <v>44811</v>
      </c>
      <c r="AL58" s="27" t="str">
        <f t="shared" si="8"/>
        <v>N/A</v>
      </c>
      <c r="AM58" s="28">
        <f t="shared" si="9"/>
        <v>44811</v>
      </c>
      <c r="AN58" s="28">
        <f t="shared" si="10"/>
        <v>44811</v>
      </c>
      <c r="AO58" s="25" t="s">
        <v>209</v>
      </c>
      <c r="AP58" s="41" t="s">
        <v>248</v>
      </c>
      <c r="AQ58" s="12">
        <v>100</v>
      </c>
      <c r="AR58" s="28">
        <f t="shared" si="11"/>
        <v>44871</v>
      </c>
      <c r="AS58" s="12" t="s">
        <v>74</v>
      </c>
      <c r="AT58" s="29" t="s">
        <v>98</v>
      </c>
      <c r="AU58" s="30">
        <v>9006245325</v>
      </c>
      <c r="AV58" s="28" t="s">
        <v>99</v>
      </c>
      <c r="AW58" s="28" t="s">
        <v>100</v>
      </c>
      <c r="AX58" s="12" t="s">
        <v>74</v>
      </c>
      <c r="AY58" s="29" t="s">
        <v>101</v>
      </c>
      <c r="AZ58" s="30">
        <v>198306176</v>
      </c>
      <c r="BA58" s="28" t="s">
        <v>99</v>
      </c>
      <c r="BB58" s="28" t="s">
        <v>100</v>
      </c>
      <c r="BC58" s="31" t="s">
        <v>102</v>
      </c>
      <c r="BD58" s="18">
        <v>33048</v>
      </c>
      <c r="BE58" s="29" t="s">
        <v>81</v>
      </c>
      <c r="BF58" s="29" t="s">
        <v>103</v>
      </c>
      <c r="BG58" s="29" t="s">
        <v>104</v>
      </c>
      <c r="BH58" s="12" t="s">
        <v>105</v>
      </c>
      <c r="BI58" s="12" t="s">
        <v>106</v>
      </c>
      <c r="BJ58" s="32" t="s">
        <v>107</v>
      </c>
      <c r="BK58" t="s">
        <v>108</v>
      </c>
      <c r="BL58" s="12" t="s">
        <v>109</v>
      </c>
      <c r="BM58" s="12" t="s">
        <v>74</v>
      </c>
      <c r="BN58" s="12" t="s">
        <v>80</v>
      </c>
      <c r="BO58" s="12" t="s">
        <v>80</v>
      </c>
      <c r="BP58" s="12" t="s">
        <v>110</v>
      </c>
      <c r="BQ58" s="12" t="s">
        <v>111</v>
      </c>
      <c r="BR58" s="14" t="s">
        <v>112</v>
      </c>
      <c r="BS58" s="14" t="s">
        <v>113</v>
      </c>
      <c r="BT58" s="23">
        <v>40</v>
      </c>
      <c r="BU58" s="33">
        <v>213111231</v>
      </c>
    </row>
    <row r="59" spans="1:73" ht="14.4" customHeight="1" x14ac:dyDescent="0.35">
      <c r="A59" t="s">
        <v>287</v>
      </c>
      <c r="C59" s="10"/>
      <c r="D59" t="s">
        <v>170</v>
      </c>
      <c r="E59" s="11" t="s">
        <v>205</v>
      </c>
      <c r="F59" s="12" t="s">
        <v>74</v>
      </c>
      <c r="G59" t="s">
        <v>288</v>
      </c>
      <c r="H59" s="13" t="s">
        <v>207</v>
      </c>
      <c r="I59" s="14" t="s">
        <v>77</v>
      </c>
      <c r="J59" s="14" t="s">
        <v>78</v>
      </c>
      <c r="K59" s="14" t="s">
        <v>79</v>
      </c>
      <c r="L59" s="15">
        <f t="shared" si="6"/>
        <v>44812</v>
      </c>
      <c r="M59" s="12" t="s">
        <v>74</v>
      </c>
      <c r="N59" s="12" t="s">
        <v>80</v>
      </c>
      <c r="O59" s="12">
        <v>1</v>
      </c>
      <c r="P59" s="14" t="s">
        <v>81</v>
      </c>
      <c r="Q59" s="14" t="s">
        <v>82</v>
      </c>
      <c r="R59" s="14" t="s">
        <v>81</v>
      </c>
      <c r="S59" s="14" t="s">
        <v>83</v>
      </c>
      <c r="T59" s="14" t="s">
        <v>79</v>
      </c>
      <c r="U59" s="16" t="s">
        <v>84</v>
      </c>
      <c r="V59" s="17" t="s">
        <v>85</v>
      </c>
      <c r="W59" s="14" t="s">
        <v>79</v>
      </c>
      <c r="X59" s="18">
        <v>44812</v>
      </c>
      <c r="Y59" s="14" t="s">
        <v>86</v>
      </c>
      <c r="Z59" s="19" t="s">
        <v>186</v>
      </c>
      <c r="AA59" s="13" t="s">
        <v>118</v>
      </c>
      <c r="AB59" s="20" t="s">
        <v>208</v>
      </c>
      <c r="AC59" s="21" t="s">
        <v>247</v>
      </c>
      <c r="AD59" s="22" t="s">
        <v>91</v>
      </c>
      <c r="AE59" s="21" t="s">
        <v>92</v>
      </c>
      <c r="AF59" s="13">
        <v>4</v>
      </c>
      <c r="AG59" s="13">
        <v>24</v>
      </c>
      <c r="AH59" s="36">
        <v>46364</v>
      </c>
      <c r="AI59" s="24" t="s">
        <v>94</v>
      </c>
      <c r="AJ59" s="25" t="s">
        <v>95</v>
      </c>
      <c r="AK59" s="26">
        <f t="shared" si="7"/>
        <v>44812</v>
      </c>
      <c r="AL59" s="27">
        <f t="shared" si="8"/>
        <v>46364</v>
      </c>
      <c r="AM59" s="28">
        <f t="shared" si="9"/>
        <v>44812</v>
      </c>
      <c r="AN59" s="28">
        <f t="shared" si="10"/>
        <v>44812</v>
      </c>
      <c r="AO59" s="25" t="s">
        <v>209</v>
      </c>
      <c r="AP59" s="41" t="s">
        <v>251</v>
      </c>
      <c r="AQ59" s="12">
        <v>100</v>
      </c>
      <c r="AR59" s="28">
        <f t="shared" si="11"/>
        <v>44872</v>
      </c>
      <c r="AS59" s="12" t="s">
        <v>74</v>
      </c>
      <c r="AT59" s="29" t="s">
        <v>98</v>
      </c>
      <c r="AU59" s="30">
        <v>9006242443</v>
      </c>
      <c r="AV59" s="28" t="s">
        <v>99</v>
      </c>
      <c r="AW59" s="28" t="s">
        <v>100</v>
      </c>
      <c r="AX59" s="12" t="s">
        <v>74</v>
      </c>
      <c r="AY59" s="29" t="s">
        <v>101</v>
      </c>
      <c r="AZ59" s="30">
        <v>198306177</v>
      </c>
      <c r="BA59" s="28" t="s">
        <v>99</v>
      </c>
      <c r="BB59" s="28" t="s">
        <v>100</v>
      </c>
      <c r="BC59" s="31" t="s">
        <v>102</v>
      </c>
      <c r="BD59" s="18">
        <v>33048</v>
      </c>
      <c r="BE59" s="29" t="s">
        <v>81</v>
      </c>
      <c r="BF59" s="29" t="s">
        <v>103</v>
      </c>
      <c r="BG59" s="29" t="s">
        <v>104</v>
      </c>
      <c r="BH59" s="12" t="s">
        <v>105</v>
      </c>
      <c r="BI59" s="12" t="s">
        <v>106</v>
      </c>
      <c r="BJ59" s="32" t="s">
        <v>107</v>
      </c>
      <c r="BK59" t="s">
        <v>108</v>
      </c>
      <c r="BL59" s="12" t="s">
        <v>109</v>
      </c>
      <c r="BM59" s="12" t="s">
        <v>74</v>
      </c>
      <c r="BN59" s="12" t="s">
        <v>80</v>
      </c>
      <c r="BO59" s="12" t="s">
        <v>80</v>
      </c>
      <c r="BP59" s="12" t="s">
        <v>110</v>
      </c>
      <c r="BQ59" s="12" t="s">
        <v>111</v>
      </c>
      <c r="BR59" s="14" t="s">
        <v>112</v>
      </c>
      <c r="BS59" s="14" t="s">
        <v>113</v>
      </c>
      <c r="BT59" s="23">
        <v>40</v>
      </c>
      <c r="BU59" s="33">
        <v>213111231</v>
      </c>
    </row>
    <row r="60" spans="1:73" ht="14.4" customHeight="1" x14ac:dyDescent="0.35">
      <c r="A60" t="s">
        <v>289</v>
      </c>
      <c r="C60" s="10"/>
      <c r="D60" t="s">
        <v>170</v>
      </c>
      <c r="E60" s="11" t="s">
        <v>205</v>
      </c>
      <c r="F60" s="12" t="s">
        <v>74</v>
      </c>
      <c r="G60" t="s">
        <v>290</v>
      </c>
      <c r="H60" s="13" t="s">
        <v>207</v>
      </c>
      <c r="I60" s="14" t="s">
        <v>77</v>
      </c>
      <c r="J60" s="14" t="s">
        <v>78</v>
      </c>
      <c r="K60" s="14" t="s">
        <v>79</v>
      </c>
      <c r="L60" s="15">
        <f t="shared" si="6"/>
        <v>44782</v>
      </c>
      <c r="M60" s="12" t="s">
        <v>74</v>
      </c>
      <c r="N60" s="12" t="s">
        <v>80</v>
      </c>
      <c r="O60" s="12">
        <v>1</v>
      </c>
      <c r="P60" s="14" t="s">
        <v>81</v>
      </c>
      <c r="Q60" s="14" t="s">
        <v>82</v>
      </c>
      <c r="R60" s="14" t="s">
        <v>81</v>
      </c>
      <c r="S60" s="14" t="s">
        <v>83</v>
      </c>
      <c r="T60" s="14" t="s">
        <v>79</v>
      </c>
      <c r="U60" s="16" t="s">
        <v>84</v>
      </c>
      <c r="V60" s="17" t="s">
        <v>85</v>
      </c>
      <c r="W60" s="14" t="s">
        <v>79</v>
      </c>
      <c r="X60" s="18">
        <v>44782</v>
      </c>
      <c r="Y60" s="14" t="s">
        <v>86</v>
      </c>
      <c r="Z60" s="19" t="s">
        <v>170</v>
      </c>
      <c r="AA60" s="13" t="s">
        <v>88</v>
      </c>
      <c r="AB60" s="20" t="s">
        <v>208</v>
      </c>
      <c r="AC60" s="21" t="s">
        <v>247</v>
      </c>
      <c r="AD60" s="22" t="s">
        <v>91</v>
      </c>
      <c r="AE60" s="21" t="s">
        <v>92</v>
      </c>
      <c r="AF60" s="13">
        <v>4</v>
      </c>
      <c r="AG60" s="13">
        <v>24</v>
      </c>
      <c r="AH60" s="36" t="s">
        <v>93</v>
      </c>
      <c r="AI60" s="24" t="s">
        <v>94</v>
      </c>
      <c r="AJ60" s="25" t="s">
        <v>95</v>
      </c>
      <c r="AK60" s="26">
        <f t="shared" si="7"/>
        <v>44782</v>
      </c>
      <c r="AL60" s="27" t="str">
        <f t="shared" si="8"/>
        <v>N/A</v>
      </c>
      <c r="AM60" s="28">
        <f t="shared" si="9"/>
        <v>44782</v>
      </c>
      <c r="AN60" s="28">
        <f t="shared" si="10"/>
        <v>44782</v>
      </c>
      <c r="AO60" s="25" t="s">
        <v>209</v>
      </c>
      <c r="AP60" s="41" t="s">
        <v>254</v>
      </c>
      <c r="AQ60" s="12">
        <v>100</v>
      </c>
      <c r="AR60" s="28">
        <f t="shared" si="11"/>
        <v>44842</v>
      </c>
      <c r="AS60" s="12" t="s">
        <v>74</v>
      </c>
      <c r="AT60" s="29" t="s">
        <v>98</v>
      </c>
      <c r="AU60" s="30">
        <v>9006241222</v>
      </c>
      <c r="AV60" s="28" t="s">
        <v>99</v>
      </c>
      <c r="AW60" s="28" t="s">
        <v>100</v>
      </c>
      <c r="AX60" s="12" t="s">
        <v>74</v>
      </c>
      <c r="AY60" s="29" t="s">
        <v>101</v>
      </c>
      <c r="AZ60" s="30">
        <v>198306178</v>
      </c>
      <c r="BA60" s="28" t="s">
        <v>99</v>
      </c>
      <c r="BB60" s="28" t="s">
        <v>100</v>
      </c>
      <c r="BC60" s="31" t="s">
        <v>102</v>
      </c>
      <c r="BD60" s="18">
        <v>33048</v>
      </c>
      <c r="BE60" s="29" t="s">
        <v>81</v>
      </c>
      <c r="BF60" s="29" t="s">
        <v>103</v>
      </c>
      <c r="BG60" s="29" t="s">
        <v>104</v>
      </c>
      <c r="BH60" s="12" t="s">
        <v>105</v>
      </c>
      <c r="BI60" s="12" t="s">
        <v>106</v>
      </c>
      <c r="BJ60" s="32" t="s">
        <v>107</v>
      </c>
      <c r="BK60" t="s">
        <v>108</v>
      </c>
      <c r="BL60" s="12" t="s">
        <v>109</v>
      </c>
      <c r="BM60" s="12" t="s">
        <v>74</v>
      </c>
      <c r="BN60" s="12" t="s">
        <v>80</v>
      </c>
      <c r="BO60" s="12" t="s">
        <v>80</v>
      </c>
      <c r="BP60" s="12" t="s">
        <v>110</v>
      </c>
      <c r="BQ60" s="12" t="s">
        <v>111</v>
      </c>
      <c r="BR60" s="14" t="s">
        <v>112</v>
      </c>
      <c r="BS60" s="14" t="s">
        <v>113</v>
      </c>
      <c r="BT60" s="23">
        <v>40</v>
      </c>
      <c r="BU60" s="33">
        <v>213111231</v>
      </c>
    </row>
    <row r="61" spans="1:73" ht="14.4" customHeight="1" x14ac:dyDescent="0.35">
      <c r="A61" t="s">
        <v>291</v>
      </c>
      <c r="C61" s="10"/>
      <c r="D61" t="s">
        <v>170</v>
      </c>
      <c r="E61" s="11" t="s">
        <v>205</v>
      </c>
      <c r="F61" s="12" t="s">
        <v>74</v>
      </c>
      <c r="G61" t="s">
        <v>292</v>
      </c>
      <c r="H61" s="13" t="s">
        <v>207</v>
      </c>
      <c r="I61" s="14" t="s">
        <v>122</v>
      </c>
      <c r="J61" s="14" t="s">
        <v>78</v>
      </c>
      <c r="K61" s="14" t="s">
        <v>79</v>
      </c>
      <c r="L61" s="15">
        <f t="shared" si="6"/>
        <v>45334</v>
      </c>
      <c r="M61" s="12" t="s">
        <v>74</v>
      </c>
      <c r="N61" s="12" t="s">
        <v>80</v>
      </c>
      <c r="O61" s="12">
        <v>1</v>
      </c>
      <c r="P61" s="14" t="s">
        <v>81</v>
      </c>
      <c r="Q61" s="14" t="s">
        <v>82</v>
      </c>
      <c r="R61" s="14" t="s">
        <v>81</v>
      </c>
      <c r="S61" s="14" t="s">
        <v>83</v>
      </c>
      <c r="T61" s="14" t="s">
        <v>79</v>
      </c>
      <c r="U61" s="16" t="s">
        <v>84</v>
      </c>
      <c r="V61" s="17" t="s">
        <v>85</v>
      </c>
      <c r="W61" s="14" t="s">
        <v>79</v>
      </c>
      <c r="X61" s="18">
        <v>45334</v>
      </c>
      <c r="Y61" s="14" t="s">
        <v>86</v>
      </c>
      <c r="Z61" s="19" t="s">
        <v>196</v>
      </c>
      <c r="AA61" s="13" t="s">
        <v>118</v>
      </c>
      <c r="AB61" s="20" t="s">
        <v>208</v>
      </c>
      <c r="AC61" s="21" t="s">
        <v>247</v>
      </c>
      <c r="AD61" s="22" t="s">
        <v>91</v>
      </c>
      <c r="AE61" s="21" t="s">
        <v>92</v>
      </c>
      <c r="AF61" s="13">
        <v>4</v>
      </c>
      <c r="AG61" s="13">
        <v>24</v>
      </c>
      <c r="AH61" s="36">
        <v>46366</v>
      </c>
      <c r="AI61" s="24" t="s">
        <v>94</v>
      </c>
      <c r="AJ61" s="25" t="s">
        <v>95</v>
      </c>
      <c r="AK61" s="26">
        <f t="shared" si="7"/>
        <v>45334</v>
      </c>
      <c r="AL61" s="27">
        <f t="shared" si="8"/>
        <v>46366</v>
      </c>
      <c r="AM61" s="28">
        <f t="shared" si="9"/>
        <v>45334</v>
      </c>
      <c r="AN61" s="28">
        <f t="shared" si="10"/>
        <v>45334</v>
      </c>
      <c r="AO61" s="25" t="s">
        <v>209</v>
      </c>
      <c r="AP61" s="41" t="s">
        <v>257</v>
      </c>
      <c r="AQ61" s="12">
        <v>100</v>
      </c>
      <c r="AR61" s="28">
        <f t="shared" si="11"/>
        <v>45394</v>
      </c>
      <c r="AS61" s="12" t="s">
        <v>74</v>
      </c>
      <c r="AT61" s="29" t="s">
        <v>98</v>
      </c>
      <c r="AU61" s="30" t="s">
        <v>293</v>
      </c>
      <c r="AV61" s="28" t="s">
        <v>99</v>
      </c>
      <c r="AW61" s="28" t="s">
        <v>100</v>
      </c>
      <c r="AX61" s="12" t="s">
        <v>74</v>
      </c>
      <c r="AY61" s="29" t="s">
        <v>101</v>
      </c>
      <c r="AZ61" s="30">
        <v>198306179</v>
      </c>
      <c r="BA61" s="28" t="s">
        <v>99</v>
      </c>
      <c r="BB61" s="28" t="s">
        <v>100</v>
      </c>
      <c r="BC61" s="31" t="s">
        <v>102</v>
      </c>
      <c r="BD61" s="18">
        <v>39763</v>
      </c>
      <c r="BE61" s="29" t="s">
        <v>81</v>
      </c>
      <c r="BF61" s="29" t="s">
        <v>103</v>
      </c>
      <c r="BG61" s="29" t="s">
        <v>104</v>
      </c>
      <c r="BH61" s="12" t="s">
        <v>105</v>
      </c>
      <c r="BI61" s="12" t="s">
        <v>106</v>
      </c>
      <c r="BJ61" s="32" t="s">
        <v>107</v>
      </c>
      <c r="BK61" t="s">
        <v>108</v>
      </c>
      <c r="BL61" s="12" t="s">
        <v>109</v>
      </c>
      <c r="BM61" s="12" t="s">
        <v>74</v>
      </c>
      <c r="BN61" s="12" t="s">
        <v>80</v>
      </c>
      <c r="BO61" s="12" t="s">
        <v>80</v>
      </c>
      <c r="BP61" s="12" t="s">
        <v>110</v>
      </c>
      <c r="BQ61" s="12" t="s">
        <v>111</v>
      </c>
      <c r="BR61" s="14" t="s">
        <v>112</v>
      </c>
      <c r="BS61" s="14" t="s">
        <v>113</v>
      </c>
      <c r="BT61" s="23">
        <v>40</v>
      </c>
      <c r="BU61" s="33">
        <v>213111231</v>
      </c>
    </row>
    <row r="62" spans="1:73" ht="14.4" customHeight="1" x14ac:dyDescent="0.35">
      <c r="A62" t="s">
        <v>294</v>
      </c>
      <c r="C62" s="10"/>
      <c r="D62" t="s">
        <v>170</v>
      </c>
      <c r="E62" s="11" t="s">
        <v>205</v>
      </c>
      <c r="F62" s="12" t="s">
        <v>74</v>
      </c>
      <c r="G62" t="s">
        <v>295</v>
      </c>
      <c r="H62" s="13" t="s">
        <v>207</v>
      </c>
      <c r="I62" s="14" t="s">
        <v>77</v>
      </c>
      <c r="J62" s="14" t="s">
        <v>78</v>
      </c>
      <c r="K62" s="14" t="s">
        <v>79</v>
      </c>
      <c r="L62" s="15">
        <f t="shared" si="6"/>
        <v>44817</v>
      </c>
      <c r="M62" s="12" t="s">
        <v>74</v>
      </c>
      <c r="N62" s="12" t="s">
        <v>80</v>
      </c>
      <c r="O62" s="12">
        <v>1</v>
      </c>
      <c r="P62" s="14" t="s">
        <v>81</v>
      </c>
      <c r="Q62" s="14" t="s">
        <v>82</v>
      </c>
      <c r="R62" s="14" t="s">
        <v>81</v>
      </c>
      <c r="S62" s="14" t="s">
        <v>83</v>
      </c>
      <c r="T62" s="14" t="s">
        <v>79</v>
      </c>
      <c r="U62" s="16" t="s">
        <v>84</v>
      </c>
      <c r="V62" s="17" t="s">
        <v>85</v>
      </c>
      <c r="W62" s="14" t="s">
        <v>79</v>
      </c>
      <c r="X62" s="18">
        <v>44817</v>
      </c>
      <c r="Y62" s="14" t="s">
        <v>86</v>
      </c>
      <c r="Z62" s="19" t="s">
        <v>186</v>
      </c>
      <c r="AA62" s="13" t="s">
        <v>88</v>
      </c>
      <c r="AB62" s="20" t="s">
        <v>208</v>
      </c>
      <c r="AC62" s="21" t="s">
        <v>247</v>
      </c>
      <c r="AD62" s="22" t="s">
        <v>91</v>
      </c>
      <c r="AE62" s="21" t="s">
        <v>92</v>
      </c>
      <c r="AF62" s="13">
        <v>4</v>
      </c>
      <c r="AG62" s="13">
        <v>20</v>
      </c>
      <c r="AH62" s="36" t="s">
        <v>93</v>
      </c>
      <c r="AI62" s="24" t="s">
        <v>94</v>
      </c>
      <c r="AJ62" s="25" t="s">
        <v>95</v>
      </c>
      <c r="AK62" s="26">
        <f t="shared" si="7"/>
        <v>44817</v>
      </c>
      <c r="AL62" s="27" t="str">
        <f t="shared" si="8"/>
        <v>N/A</v>
      </c>
      <c r="AM62" s="28">
        <f t="shared" si="9"/>
        <v>44817</v>
      </c>
      <c r="AN62" s="28">
        <f t="shared" si="10"/>
        <v>44817</v>
      </c>
      <c r="AO62" s="25" t="s">
        <v>209</v>
      </c>
      <c r="AP62" s="41" t="s">
        <v>296</v>
      </c>
      <c r="AQ62" s="12">
        <v>100</v>
      </c>
      <c r="AR62" s="28">
        <f t="shared" si="11"/>
        <v>44877</v>
      </c>
      <c r="AS62" s="12" t="s">
        <v>74</v>
      </c>
      <c r="AT62" s="29" t="s">
        <v>98</v>
      </c>
      <c r="AU62" s="30">
        <v>9206246819</v>
      </c>
      <c r="AV62" s="28" t="s">
        <v>99</v>
      </c>
      <c r="AW62" s="28" t="s">
        <v>100</v>
      </c>
      <c r="AX62" s="12" t="s">
        <v>74</v>
      </c>
      <c r="AY62" s="29" t="s">
        <v>101</v>
      </c>
      <c r="AZ62" s="30">
        <v>198306180</v>
      </c>
      <c r="BA62" s="28" t="s">
        <v>99</v>
      </c>
      <c r="BB62" s="28" t="s">
        <v>100</v>
      </c>
      <c r="BC62" s="31" t="s">
        <v>102</v>
      </c>
      <c r="BD62" s="18">
        <v>33779</v>
      </c>
      <c r="BE62" s="29" t="s">
        <v>81</v>
      </c>
      <c r="BF62" s="29" t="s">
        <v>103</v>
      </c>
      <c r="BG62" s="29" t="s">
        <v>104</v>
      </c>
      <c r="BH62" s="12" t="s">
        <v>105</v>
      </c>
      <c r="BI62" s="12" t="s">
        <v>106</v>
      </c>
      <c r="BJ62" s="32" t="s">
        <v>107</v>
      </c>
      <c r="BK62" t="s">
        <v>108</v>
      </c>
      <c r="BL62" s="12" t="s">
        <v>109</v>
      </c>
      <c r="BM62" s="12" t="s">
        <v>74</v>
      </c>
      <c r="BN62" s="12" t="s">
        <v>80</v>
      </c>
      <c r="BO62" s="12" t="s">
        <v>80</v>
      </c>
      <c r="BP62" s="12" t="s">
        <v>110</v>
      </c>
      <c r="BQ62" s="12" t="s">
        <v>111</v>
      </c>
      <c r="BR62" s="14" t="s">
        <v>112</v>
      </c>
      <c r="BS62" s="14" t="s">
        <v>113</v>
      </c>
      <c r="BT62" s="23">
        <v>40</v>
      </c>
      <c r="BU62" s="33">
        <v>213111231</v>
      </c>
    </row>
    <row r="63" spans="1:73" ht="14.4" customHeight="1" x14ac:dyDescent="0.35">
      <c r="A63" t="s">
        <v>297</v>
      </c>
      <c r="C63" s="10"/>
      <c r="D63" t="s">
        <v>170</v>
      </c>
      <c r="E63" s="11" t="s">
        <v>205</v>
      </c>
      <c r="F63" s="12" t="s">
        <v>74</v>
      </c>
      <c r="G63" t="s">
        <v>298</v>
      </c>
      <c r="H63" s="13" t="s">
        <v>207</v>
      </c>
      <c r="I63" s="14" t="s">
        <v>77</v>
      </c>
      <c r="J63" s="14" t="s">
        <v>78</v>
      </c>
      <c r="K63" s="14" t="s">
        <v>79</v>
      </c>
      <c r="L63" s="15">
        <f t="shared" si="6"/>
        <v>44818</v>
      </c>
      <c r="M63" s="12" t="s">
        <v>74</v>
      </c>
      <c r="N63" s="12" t="s">
        <v>80</v>
      </c>
      <c r="O63" s="12">
        <v>1</v>
      </c>
      <c r="P63" s="14" t="s">
        <v>81</v>
      </c>
      <c r="Q63" s="14" t="s">
        <v>82</v>
      </c>
      <c r="R63" s="14" t="s">
        <v>81</v>
      </c>
      <c r="S63" s="14" t="s">
        <v>83</v>
      </c>
      <c r="T63" s="14" t="s">
        <v>79</v>
      </c>
      <c r="U63" s="16" t="s">
        <v>84</v>
      </c>
      <c r="V63" s="17" t="s">
        <v>85</v>
      </c>
      <c r="W63" s="14" t="s">
        <v>79</v>
      </c>
      <c r="X63" s="18">
        <v>44818</v>
      </c>
      <c r="Y63" s="14" t="s">
        <v>86</v>
      </c>
      <c r="Z63" s="19" t="s">
        <v>170</v>
      </c>
      <c r="AA63" s="13" t="s">
        <v>118</v>
      </c>
      <c r="AB63" s="20" t="s">
        <v>208</v>
      </c>
      <c r="AC63" s="21" t="s">
        <v>247</v>
      </c>
      <c r="AD63" s="22" t="s">
        <v>91</v>
      </c>
      <c r="AE63" s="21" t="s">
        <v>92</v>
      </c>
      <c r="AF63" s="13">
        <v>4</v>
      </c>
      <c r="AG63" s="13">
        <v>20</v>
      </c>
      <c r="AH63" s="36">
        <v>46367</v>
      </c>
      <c r="AI63" s="24" t="s">
        <v>94</v>
      </c>
      <c r="AJ63" s="25" t="s">
        <v>95</v>
      </c>
      <c r="AK63" s="26">
        <f t="shared" si="7"/>
        <v>44818</v>
      </c>
      <c r="AL63" s="27">
        <f t="shared" si="8"/>
        <v>46367</v>
      </c>
      <c r="AM63" s="28">
        <f t="shared" si="9"/>
        <v>44818</v>
      </c>
      <c r="AN63" s="28">
        <f t="shared" si="10"/>
        <v>44818</v>
      </c>
      <c r="AO63" s="25" t="s">
        <v>209</v>
      </c>
      <c r="AP63" s="41" t="s">
        <v>299</v>
      </c>
      <c r="AQ63" s="12">
        <v>100</v>
      </c>
      <c r="AR63" s="28">
        <f t="shared" si="11"/>
        <v>44878</v>
      </c>
      <c r="AS63" s="12" t="s">
        <v>74</v>
      </c>
      <c r="AT63" s="29" t="s">
        <v>98</v>
      </c>
      <c r="AU63" s="30">
        <v>9206247545</v>
      </c>
      <c r="AV63" s="28" t="s">
        <v>99</v>
      </c>
      <c r="AW63" s="28" t="s">
        <v>100</v>
      </c>
      <c r="AX63" s="12" t="s">
        <v>74</v>
      </c>
      <c r="AY63" s="29" t="s">
        <v>101</v>
      </c>
      <c r="AZ63" s="30">
        <v>198306181</v>
      </c>
      <c r="BA63" s="28" t="s">
        <v>99</v>
      </c>
      <c r="BB63" s="28" t="s">
        <v>100</v>
      </c>
      <c r="BC63" s="31" t="s">
        <v>102</v>
      </c>
      <c r="BD63" s="18">
        <v>33779</v>
      </c>
      <c r="BE63" s="29" t="s">
        <v>81</v>
      </c>
      <c r="BF63" s="29" t="s">
        <v>103</v>
      </c>
      <c r="BG63" s="29" t="s">
        <v>104</v>
      </c>
      <c r="BH63" s="12" t="s">
        <v>105</v>
      </c>
      <c r="BI63" s="12" t="s">
        <v>106</v>
      </c>
      <c r="BJ63" s="32" t="s">
        <v>107</v>
      </c>
      <c r="BK63" t="s">
        <v>108</v>
      </c>
      <c r="BL63" s="12" t="s">
        <v>109</v>
      </c>
      <c r="BM63" s="12" t="s">
        <v>74</v>
      </c>
      <c r="BN63" s="12" t="s">
        <v>80</v>
      </c>
      <c r="BO63" s="12" t="s">
        <v>80</v>
      </c>
      <c r="BP63" s="12" t="s">
        <v>110</v>
      </c>
      <c r="BQ63" s="12" t="s">
        <v>111</v>
      </c>
      <c r="BR63" s="14" t="s">
        <v>112</v>
      </c>
      <c r="BS63" s="14" t="s">
        <v>113</v>
      </c>
      <c r="BT63" s="23">
        <v>40</v>
      </c>
      <c r="BU63" s="33">
        <v>213111231</v>
      </c>
    </row>
    <row r="64" spans="1:73" ht="14.4" customHeight="1" x14ac:dyDescent="0.35">
      <c r="A64" t="s">
        <v>300</v>
      </c>
      <c r="C64" s="10"/>
      <c r="D64" t="s">
        <v>170</v>
      </c>
      <c r="E64" s="11" t="s">
        <v>205</v>
      </c>
      <c r="F64" s="12" t="s">
        <v>74</v>
      </c>
      <c r="G64" t="s">
        <v>301</v>
      </c>
      <c r="H64" s="13" t="s">
        <v>207</v>
      </c>
      <c r="I64" s="14" t="s">
        <v>77</v>
      </c>
      <c r="J64" s="14" t="s">
        <v>78</v>
      </c>
      <c r="K64" s="14" t="s">
        <v>79</v>
      </c>
      <c r="L64" s="15">
        <f t="shared" si="6"/>
        <v>44808</v>
      </c>
      <c r="M64" s="12" t="s">
        <v>74</v>
      </c>
      <c r="N64" s="12" t="s">
        <v>80</v>
      </c>
      <c r="O64" s="12">
        <v>1</v>
      </c>
      <c r="P64" s="14" t="s">
        <v>81</v>
      </c>
      <c r="Q64" s="14" t="s">
        <v>82</v>
      </c>
      <c r="R64" s="14" t="s">
        <v>81</v>
      </c>
      <c r="S64" s="14" t="s">
        <v>83</v>
      </c>
      <c r="T64" s="14" t="s">
        <v>79</v>
      </c>
      <c r="U64" s="16" t="s">
        <v>84</v>
      </c>
      <c r="V64" s="17" t="s">
        <v>85</v>
      </c>
      <c r="W64" s="14" t="s">
        <v>79</v>
      </c>
      <c r="X64" s="18">
        <v>44808</v>
      </c>
      <c r="Y64" s="14" t="s">
        <v>86</v>
      </c>
      <c r="Z64" s="19" t="s">
        <v>186</v>
      </c>
      <c r="AA64" s="13" t="s">
        <v>88</v>
      </c>
      <c r="AB64" s="20" t="s">
        <v>208</v>
      </c>
      <c r="AC64" s="21" t="s">
        <v>247</v>
      </c>
      <c r="AD64" s="22" t="s">
        <v>91</v>
      </c>
      <c r="AE64" s="21" t="s">
        <v>92</v>
      </c>
      <c r="AF64" s="13">
        <v>4</v>
      </c>
      <c r="AG64" s="13">
        <v>20</v>
      </c>
      <c r="AH64" s="36" t="s">
        <v>93</v>
      </c>
      <c r="AI64" s="24" t="s">
        <v>94</v>
      </c>
      <c r="AJ64" s="25" t="s">
        <v>95</v>
      </c>
      <c r="AK64" s="26">
        <f t="shared" si="7"/>
        <v>44808</v>
      </c>
      <c r="AL64" s="27" t="str">
        <f t="shared" si="8"/>
        <v>N/A</v>
      </c>
      <c r="AM64" s="28">
        <f t="shared" si="9"/>
        <v>44808</v>
      </c>
      <c r="AN64" s="28">
        <f t="shared" si="10"/>
        <v>44808</v>
      </c>
      <c r="AO64" s="25" t="s">
        <v>209</v>
      </c>
      <c r="AP64" s="41" t="s">
        <v>210</v>
      </c>
      <c r="AQ64" s="12">
        <v>100</v>
      </c>
      <c r="AR64" s="28">
        <f t="shared" si="11"/>
        <v>44868</v>
      </c>
      <c r="AS64" s="12" t="s">
        <v>74</v>
      </c>
      <c r="AT64" s="29" t="s">
        <v>98</v>
      </c>
      <c r="AU64" s="30">
        <v>9206242606</v>
      </c>
      <c r="AV64" s="28" t="s">
        <v>99</v>
      </c>
      <c r="AW64" s="28" t="s">
        <v>100</v>
      </c>
      <c r="AX64" s="12" t="s">
        <v>74</v>
      </c>
      <c r="AY64" s="29" t="s">
        <v>101</v>
      </c>
      <c r="AZ64" s="30">
        <v>198306182</v>
      </c>
      <c r="BA64" s="28" t="s">
        <v>99</v>
      </c>
      <c r="BB64" s="28" t="s">
        <v>100</v>
      </c>
      <c r="BC64" s="31" t="s">
        <v>102</v>
      </c>
      <c r="BD64" s="18">
        <v>33779</v>
      </c>
      <c r="BE64" s="29" t="s">
        <v>81</v>
      </c>
      <c r="BF64" s="29" t="s">
        <v>103</v>
      </c>
      <c r="BG64" s="29" t="s">
        <v>104</v>
      </c>
      <c r="BH64" s="12" t="s">
        <v>105</v>
      </c>
      <c r="BI64" s="12" t="s">
        <v>106</v>
      </c>
      <c r="BJ64" s="32" t="s">
        <v>107</v>
      </c>
      <c r="BK64" t="s">
        <v>108</v>
      </c>
      <c r="BL64" s="12" t="s">
        <v>109</v>
      </c>
      <c r="BM64" s="12" t="s">
        <v>74</v>
      </c>
      <c r="BN64" s="12" t="s">
        <v>80</v>
      </c>
      <c r="BO64" s="12" t="s">
        <v>80</v>
      </c>
      <c r="BP64" s="12" t="s">
        <v>110</v>
      </c>
      <c r="BQ64" s="12" t="s">
        <v>111</v>
      </c>
      <c r="BR64" s="14" t="s">
        <v>112</v>
      </c>
      <c r="BS64" s="14" t="s">
        <v>113</v>
      </c>
      <c r="BT64" s="23">
        <v>40</v>
      </c>
      <c r="BU64" s="33">
        <v>213111231</v>
      </c>
    </row>
    <row r="65" spans="1:73" ht="14.4" customHeight="1" x14ac:dyDescent="0.35">
      <c r="A65" t="s">
        <v>302</v>
      </c>
      <c r="C65" s="10"/>
      <c r="D65" t="s">
        <v>170</v>
      </c>
      <c r="E65" s="11" t="s">
        <v>205</v>
      </c>
      <c r="F65" s="12" t="s">
        <v>74</v>
      </c>
      <c r="G65" t="s">
        <v>303</v>
      </c>
      <c r="H65" s="13" t="s">
        <v>207</v>
      </c>
      <c r="I65" s="14" t="s">
        <v>77</v>
      </c>
      <c r="J65" s="14" t="s">
        <v>78</v>
      </c>
      <c r="K65" s="14" t="s">
        <v>79</v>
      </c>
      <c r="L65" s="15">
        <f t="shared" si="6"/>
        <v>45542</v>
      </c>
      <c r="M65" s="12" t="s">
        <v>74</v>
      </c>
      <c r="N65" s="12" t="s">
        <v>80</v>
      </c>
      <c r="O65" s="12">
        <v>1</v>
      </c>
      <c r="P65" s="14" t="s">
        <v>81</v>
      </c>
      <c r="Q65" s="14" t="s">
        <v>82</v>
      </c>
      <c r="R65" s="14" t="s">
        <v>81</v>
      </c>
      <c r="S65" s="14" t="s">
        <v>83</v>
      </c>
      <c r="T65" s="14" t="s">
        <v>79</v>
      </c>
      <c r="U65" s="16" t="s">
        <v>84</v>
      </c>
      <c r="V65" s="17" t="s">
        <v>85</v>
      </c>
      <c r="W65" s="14" t="s">
        <v>79</v>
      </c>
      <c r="X65" s="18">
        <v>45542</v>
      </c>
      <c r="Y65" s="14" t="s">
        <v>86</v>
      </c>
      <c r="Z65" s="19" t="s">
        <v>170</v>
      </c>
      <c r="AA65" s="13" t="s">
        <v>118</v>
      </c>
      <c r="AB65" s="20" t="s">
        <v>208</v>
      </c>
      <c r="AC65" s="21" t="s">
        <v>247</v>
      </c>
      <c r="AD65" s="22" t="s">
        <v>91</v>
      </c>
      <c r="AE65" s="21" t="s">
        <v>92</v>
      </c>
      <c r="AF65" s="13">
        <v>4</v>
      </c>
      <c r="AG65" s="13">
        <v>20</v>
      </c>
      <c r="AH65" s="36">
        <v>46369</v>
      </c>
      <c r="AI65" s="24" t="s">
        <v>94</v>
      </c>
      <c r="AJ65" s="25" t="s">
        <v>95</v>
      </c>
      <c r="AK65" s="26">
        <f t="shared" si="7"/>
        <v>45542</v>
      </c>
      <c r="AL65" s="27">
        <f t="shared" si="8"/>
        <v>46369</v>
      </c>
      <c r="AM65" s="28">
        <f t="shared" si="9"/>
        <v>45542</v>
      </c>
      <c r="AN65" s="28">
        <f t="shared" si="10"/>
        <v>45542</v>
      </c>
      <c r="AO65" s="25" t="s">
        <v>209</v>
      </c>
      <c r="AP65" s="41" t="s">
        <v>223</v>
      </c>
      <c r="AQ65" s="12">
        <v>100</v>
      </c>
      <c r="AR65" s="28">
        <f t="shared" si="11"/>
        <v>45602</v>
      </c>
      <c r="AS65" s="12" t="s">
        <v>74</v>
      </c>
      <c r="AT65" s="29" t="s">
        <v>98</v>
      </c>
      <c r="AU65" s="30" t="s">
        <v>304</v>
      </c>
      <c r="AV65" s="28" t="s">
        <v>99</v>
      </c>
      <c r="AW65" s="28" t="s">
        <v>100</v>
      </c>
      <c r="AX65" s="12" t="s">
        <v>74</v>
      </c>
      <c r="AY65" s="29" t="s">
        <v>101</v>
      </c>
      <c r="AZ65" s="30">
        <v>198306183</v>
      </c>
      <c r="BA65" s="28" t="s">
        <v>99</v>
      </c>
      <c r="BB65" s="28" t="s">
        <v>100</v>
      </c>
      <c r="BC65" s="31" t="s">
        <v>102</v>
      </c>
      <c r="BD65" s="18">
        <v>39763</v>
      </c>
      <c r="BE65" s="29" t="s">
        <v>81</v>
      </c>
      <c r="BF65" s="29" t="s">
        <v>103</v>
      </c>
      <c r="BG65" s="29" t="s">
        <v>104</v>
      </c>
      <c r="BH65" s="12" t="s">
        <v>105</v>
      </c>
      <c r="BI65" s="12" t="s">
        <v>106</v>
      </c>
      <c r="BJ65" s="32" t="s">
        <v>107</v>
      </c>
      <c r="BK65" t="s">
        <v>108</v>
      </c>
      <c r="BL65" s="12" t="s">
        <v>109</v>
      </c>
      <c r="BM65" s="12" t="s">
        <v>74</v>
      </c>
      <c r="BN65" s="12" t="s">
        <v>80</v>
      </c>
      <c r="BO65" s="12" t="s">
        <v>80</v>
      </c>
      <c r="BP65" s="12" t="s">
        <v>110</v>
      </c>
      <c r="BQ65" s="12" t="s">
        <v>111</v>
      </c>
      <c r="BR65" s="14" t="s">
        <v>112</v>
      </c>
      <c r="BS65" s="14" t="s">
        <v>113</v>
      </c>
      <c r="BT65" s="23">
        <v>40</v>
      </c>
      <c r="BU65" s="33">
        <v>213111231</v>
      </c>
    </row>
    <row r="66" spans="1:73" ht="14.4" customHeight="1" x14ac:dyDescent="0.35">
      <c r="A66" t="s">
        <v>305</v>
      </c>
      <c r="C66" s="10"/>
      <c r="D66" t="s">
        <v>170</v>
      </c>
      <c r="E66" s="11" t="s">
        <v>205</v>
      </c>
      <c r="F66" s="12" t="s">
        <v>74</v>
      </c>
      <c r="G66" t="s">
        <v>306</v>
      </c>
      <c r="H66" s="13" t="s">
        <v>207</v>
      </c>
      <c r="I66" s="14" t="s">
        <v>122</v>
      </c>
      <c r="J66" s="14" t="s">
        <v>78</v>
      </c>
      <c r="K66" s="14" t="s">
        <v>79</v>
      </c>
      <c r="L66" s="15">
        <f t="shared" ref="L66:L101" si="12">X66</f>
        <v>44812</v>
      </c>
      <c r="M66" s="12" t="s">
        <v>74</v>
      </c>
      <c r="N66" s="12" t="s">
        <v>80</v>
      </c>
      <c r="O66" s="12">
        <v>1</v>
      </c>
      <c r="P66" s="14" t="s">
        <v>81</v>
      </c>
      <c r="Q66" s="14" t="s">
        <v>82</v>
      </c>
      <c r="R66" s="14" t="s">
        <v>81</v>
      </c>
      <c r="S66" s="14" t="s">
        <v>83</v>
      </c>
      <c r="T66" s="14" t="s">
        <v>79</v>
      </c>
      <c r="U66" s="16" t="s">
        <v>84</v>
      </c>
      <c r="V66" s="17" t="s">
        <v>85</v>
      </c>
      <c r="W66" s="14" t="s">
        <v>79</v>
      </c>
      <c r="X66" s="18">
        <v>44812</v>
      </c>
      <c r="Y66" s="14" t="s">
        <v>86</v>
      </c>
      <c r="Z66" s="19" t="s">
        <v>196</v>
      </c>
      <c r="AA66" s="13" t="s">
        <v>88</v>
      </c>
      <c r="AB66" s="20" t="s">
        <v>208</v>
      </c>
      <c r="AC66" s="21" t="s">
        <v>247</v>
      </c>
      <c r="AD66" s="22" t="s">
        <v>91</v>
      </c>
      <c r="AE66" s="21" t="s">
        <v>92</v>
      </c>
      <c r="AF66" s="13">
        <v>3</v>
      </c>
      <c r="AG66" s="13">
        <v>24</v>
      </c>
      <c r="AH66" s="36" t="s">
        <v>93</v>
      </c>
      <c r="AI66" s="24" t="s">
        <v>94</v>
      </c>
      <c r="AJ66" s="25" t="s">
        <v>95</v>
      </c>
      <c r="AK66" s="26">
        <f t="shared" ref="AK66:AK101" si="13">L66</f>
        <v>44812</v>
      </c>
      <c r="AL66" s="27" t="str">
        <f t="shared" ref="AL66:AL101" si="14">AH66</f>
        <v>N/A</v>
      </c>
      <c r="AM66" s="28">
        <f t="shared" ref="AM66:AM101" si="15">L66</f>
        <v>44812</v>
      </c>
      <c r="AN66" s="28">
        <f t="shared" ref="AN66:AN101" si="16">L66</f>
        <v>44812</v>
      </c>
      <c r="AO66" s="25" t="s">
        <v>209</v>
      </c>
      <c r="AP66" s="41" t="s">
        <v>229</v>
      </c>
      <c r="AQ66" s="12">
        <v>100</v>
      </c>
      <c r="AR66" s="28">
        <f t="shared" ref="AR66:AR101" si="17">X66+60</f>
        <v>44872</v>
      </c>
      <c r="AS66" s="12" t="s">
        <v>74</v>
      </c>
      <c r="AT66" s="29" t="s">
        <v>98</v>
      </c>
      <c r="AU66" s="30">
        <v>9206245928</v>
      </c>
      <c r="AV66" s="28" t="s">
        <v>99</v>
      </c>
      <c r="AW66" s="28" t="s">
        <v>100</v>
      </c>
      <c r="AX66" s="12" t="s">
        <v>74</v>
      </c>
      <c r="AY66" s="29" t="s">
        <v>101</v>
      </c>
      <c r="AZ66" s="30">
        <v>198306184</v>
      </c>
      <c r="BA66" s="28" t="s">
        <v>99</v>
      </c>
      <c r="BB66" s="28" t="s">
        <v>100</v>
      </c>
      <c r="BC66" s="31" t="s">
        <v>102</v>
      </c>
      <c r="BD66" s="18">
        <v>33779</v>
      </c>
      <c r="BE66" s="29" t="s">
        <v>81</v>
      </c>
      <c r="BF66" s="29" t="s">
        <v>103</v>
      </c>
      <c r="BG66" s="29" t="s">
        <v>104</v>
      </c>
      <c r="BH66" s="12" t="s">
        <v>105</v>
      </c>
      <c r="BI66" s="12" t="s">
        <v>106</v>
      </c>
      <c r="BJ66" s="32" t="s">
        <v>107</v>
      </c>
      <c r="BK66" t="s">
        <v>108</v>
      </c>
      <c r="BL66" s="12" t="s">
        <v>109</v>
      </c>
      <c r="BM66" s="12" t="s">
        <v>74</v>
      </c>
      <c r="BN66" s="12" t="s">
        <v>80</v>
      </c>
      <c r="BO66" s="12" t="s">
        <v>80</v>
      </c>
      <c r="BP66" s="12" t="s">
        <v>110</v>
      </c>
      <c r="BQ66" s="12" t="s">
        <v>111</v>
      </c>
      <c r="BR66" s="14" t="s">
        <v>112</v>
      </c>
      <c r="BS66" s="14" t="s">
        <v>113</v>
      </c>
      <c r="BT66" s="23">
        <v>40</v>
      </c>
      <c r="BU66" s="33">
        <v>213111231</v>
      </c>
    </row>
    <row r="67" spans="1:73" ht="14.4" customHeight="1" x14ac:dyDescent="0.35">
      <c r="A67" t="s">
        <v>307</v>
      </c>
      <c r="C67" s="10"/>
      <c r="D67" t="s">
        <v>170</v>
      </c>
      <c r="E67" s="11" t="s">
        <v>205</v>
      </c>
      <c r="F67" s="12" t="s">
        <v>74</v>
      </c>
      <c r="G67" t="s">
        <v>308</v>
      </c>
      <c r="H67" s="13" t="s">
        <v>207</v>
      </c>
      <c r="I67" s="14" t="s">
        <v>77</v>
      </c>
      <c r="J67" s="14" t="s">
        <v>78</v>
      </c>
      <c r="K67" s="14" t="s">
        <v>79</v>
      </c>
      <c r="L67" s="15">
        <f t="shared" si="12"/>
        <v>45719</v>
      </c>
      <c r="M67" s="12" t="s">
        <v>74</v>
      </c>
      <c r="N67" s="12" t="s">
        <v>80</v>
      </c>
      <c r="O67" s="12">
        <v>1</v>
      </c>
      <c r="P67" s="14" t="s">
        <v>81</v>
      </c>
      <c r="Q67" s="14" t="s">
        <v>82</v>
      </c>
      <c r="R67" s="14" t="s">
        <v>81</v>
      </c>
      <c r="S67" s="14" t="s">
        <v>83</v>
      </c>
      <c r="T67" s="14" t="s">
        <v>79</v>
      </c>
      <c r="U67" s="16" t="s">
        <v>84</v>
      </c>
      <c r="V67" s="17" t="s">
        <v>85</v>
      </c>
      <c r="W67" s="14" t="s">
        <v>79</v>
      </c>
      <c r="X67" s="18">
        <v>45719</v>
      </c>
      <c r="Y67" s="14" t="s">
        <v>86</v>
      </c>
      <c r="Z67" s="19" t="s">
        <v>186</v>
      </c>
      <c r="AA67" s="13" t="s">
        <v>118</v>
      </c>
      <c r="AB67" s="20" t="s">
        <v>208</v>
      </c>
      <c r="AC67" s="21" t="s">
        <v>247</v>
      </c>
      <c r="AD67" s="22" t="s">
        <v>91</v>
      </c>
      <c r="AE67" s="21" t="s">
        <v>92</v>
      </c>
      <c r="AF67" s="13">
        <v>3</v>
      </c>
      <c r="AG67" s="13">
        <v>24</v>
      </c>
      <c r="AH67" s="36">
        <v>46370</v>
      </c>
      <c r="AI67" s="24" t="s">
        <v>94</v>
      </c>
      <c r="AJ67" s="25" t="s">
        <v>95</v>
      </c>
      <c r="AK67" s="26">
        <f t="shared" si="13"/>
        <v>45719</v>
      </c>
      <c r="AL67" s="27">
        <f t="shared" si="14"/>
        <v>46370</v>
      </c>
      <c r="AM67" s="28">
        <f t="shared" si="15"/>
        <v>45719</v>
      </c>
      <c r="AN67" s="28">
        <f t="shared" si="16"/>
        <v>45719</v>
      </c>
      <c r="AO67" s="25" t="s">
        <v>209</v>
      </c>
      <c r="AP67" s="41" t="s">
        <v>232</v>
      </c>
      <c r="AQ67" s="12">
        <v>100</v>
      </c>
      <c r="AR67" s="28">
        <f t="shared" si="17"/>
        <v>45779</v>
      </c>
      <c r="AS67" s="12" t="s">
        <v>74</v>
      </c>
      <c r="AT67" s="29" t="s">
        <v>98</v>
      </c>
      <c r="AU67" s="30">
        <v>9206247853</v>
      </c>
      <c r="AV67" s="28" t="s">
        <v>99</v>
      </c>
      <c r="AW67" s="28" t="s">
        <v>100</v>
      </c>
      <c r="AX67" s="12" t="s">
        <v>74</v>
      </c>
      <c r="AY67" s="29" t="s">
        <v>101</v>
      </c>
      <c r="AZ67" s="30">
        <v>198306185</v>
      </c>
      <c r="BA67" s="28" t="s">
        <v>99</v>
      </c>
      <c r="BB67" s="28" t="s">
        <v>100</v>
      </c>
      <c r="BC67" s="31" t="s">
        <v>102</v>
      </c>
      <c r="BD67" s="18">
        <v>33779</v>
      </c>
      <c r="BE67" s="29" t="s">
        <v>81</v>
      </c>
      <c r="BF67" s="29" t="s">
        <v>103</v>
      </c>
      <c r="BG67" s="29" t="s">
        <v>104</v>
      </c>
      <c r="BH67" s="12" t="s">
        <v>105</v>
      </c>
      <c r="BI67" s="12" t="s">
        <v>106</v>
      </c>
      <c r="BJ67" s="32" t="s">
        <v>107</v>
      </c>
      <c r="BK67" t="s">
        <v>108</v>
      </c>
      <c r="BL67" s="12" t="s">
        <v>109</v>
      </c>
      <c r="BM67" s="12" t="s">
        <v>74</v>
      </c>
      <c r="BN67" s="12" t="s">
        <v>80</v>
      </c>
      <c r="BO67" s="12" t="s">
        <v>80</v>
      </c>
      <c r="BP67" s="12" t="s">
        <v>110</v>
      </c>
      <c r="BQ67" s="12" t="s">
        <v>111</v>
      </c>
      <c r="BR67" s="14" t="s">
        <v>112</v>
      </c>
      <c r="BS67" s="14" t="s">
        <v>113</v>
      </c>
      <c r="BT67" s="23">
        <v>40</v>
      </c>
      <c r="BU67" s="33">
        <v>213111231</v>
      </c>
    </row>
    <row r="68" spans="1:73" ht="14.4" customHeight="1" x14ac:dyDescent="0.35">
      <c r="A68" t="s">
        <v>309</v>
      </c>
      <c r="C68" s="10"/>
      <c r="D68" t="s">
        <v>170</v>
      </c>
      <c r="E68" s="11" t="s">
        <v>205</v>
      </c>
      <c r="F68" s="12" t="s">
        <v>74</v>
      </c>
      <c r="G68" t="s">
        <v>310</v>
      </c>
      <c r="H68" s="13" t="s">
        <v>207</v>
      </c>
      <c r="I68" s="14" t="s">
        <v>77</v>
      </c>
      <c r="J68" s="14" t="s">
        <v>78</v>
      </c>
      <c r="K68" s="14" t="s">
        <v>79</v>
      </c>
      <c r="L68" s="15">
        <f t="shared" si="12"/>
        <v>44814</v>
      </c>
      <c r="M68" s="12" t="s">
        <v>74</v>
      </c>
      <c r="N68" s="12" t="s">
        <v>80</v>
      </c>
      <c r="O68" s="12">
        <v>1</v>
      </c>
      <c r="P68" s="14" t="s">
        <v>81</v>
      </c>
      <c r="Q68" s="14" t="s">
        <v>82</v>
      </c>
      <c r="R68" s="14" t="s">
        <v>81</v>
      </c>
      <c r="S68" s="14" t="s">
        <v>83</v>
      </c>
      <c r="T68" s="14" t="s">
        <v>79</v>
      </c>
      <c r="U68" s="16" t="s">
        <v>84</v>
      </c>
      <c r="V68" s="17" t="s">
        <v>85</v>
      </c>
      <c r="W68" s="14" t="s">
        <v>79</v>
      </c>
      <c r="X68" s="18">
        <v>44814</v>
      </c>
      <c r="Y68" s="14" t="s">
        <v>86</v>
      </c>
      <c r="Z68" s="19" t="s">
        <v>170</v>
      </c>
      <c r="AA68" s="13" t="s">
        <v>88</v>
      </c>
      <c r="AB68" s="20" t="s">
        <v>208</v>
      </c>
      <c r="AC68" s="21" t="s">
        <v>247</v>
      </c>
      <c r="AD68" s="22" t="s">
        <v>91</v>
      </c>
      <c r="AE68" s="21" t="s">
        <v>92</v>
      </c>
      <c r="AF68" s="13">
        <v>3</v>
      </c>
      <c r="AG68" s="13">
        <v>24</v>
      </c>
      <c r="AH68" s="36" t="s">
        <v>93</v>
      </c>
      <c r="AI68" s="24" t="s">
        <v>94</v>
      </c>
      <c r="AJ68" s="25" t="s">
        <v>95</v>
      </c>
      <c r="AK68" s="26">
        <f t="shared" si="13"/>
        <v>44814</v>
      </c>
      <c r="AL68" s="27" t="str">
        <f t="shared" si="14"/>
        <v>N/A</v>
      </c>
      <c r="AM68" s="28">
        <f t="shared" si="15"/>
        <v>44814</v>
      </c>
      <c r="AN68" s="28">
        <f t="shared" si="16"/>
        <v>44814</v>
      </c>
      <c r="AO68" s="25" t="s">
        <v>209</v>
      </c>
      <c r="AP68" s="41" t="s">
        <v>238</v>
      </c>
      <c r="AQ68" s="12">
        <v>100</v>
      </c>
      <c r="AR68" s="28">
        <f t="shared" si="17"/>
        <v>44874</v>
      </c>
      <c r="AS68" s="12" t="s">
        <v>74</v>
      </c>
      <c r="AT68" s="29" t="s">
        <v>98</v>
      </c>
      <c r="AU68" s="30">
        <v>9206249327</v>
      </c>
      <c r="AV68" s="28" t="s">
        <v>99</v>
      </c>
      <c r="AW68" s="28" t="s">
        <v>100</v>
      </c>
      <c r="AX68" s="12" t="s">
        <v>74</v>
      </c>
      <c r="AY68" s="29" t="s">
        <v>101</v>
      </c>
      <c r="AZ68" s="30">
        <v>198306186</v>
      </c>
      <c r="BA68" s="28" t="s">
        <v>99</v>
      </c>
      <c r="BB68" s="28" t="s">
        <v>100</v>
      </c>
      <c r="BC68" s="31" t="s">
        <v>102</v>
      </c>
      <c r="BD68" s="18">
        <v>33779</v>
      </c>
      <c r="BE68" s="29" t="s">
        <v>81</v>
      </c>
      <c r="BF68" s="29" t="s">
        <v>103</v>
      </c>
      <c r="BG68" s="29" t="s">
        <v>104</v>
      </c>
      <c r="BH68" s="12" t="s">
        <v>105</v>
      </c>
      <c r="BI68" s="12" t="s">
        <v>106</v>
      </c>
      <c r="BJ68" s="32" t="s">
        <v>107</v>
      </c>
      <c r="BK68" t="s">
        <v>108</v>
      </c>
      <c r="BL68" s="12" t="s">
        <v>109</v>
      </c>
      <c r="BM68" s="12" t="s">
        <v>74</v>
      </c>
      <c r="BN68" s="12" t="s">
        <v>80</v>
      </c>
      <c r="BO68" s="12" t="s">
        <v>80</v>
      </c>
      <c r="BP68" s="12" t="s">
        <v>110</v>
      </c>
      <c r="BQ68" s="12" t="s">
        <v>111</v>
      </c>
      <c r="BR68" s="14" t="s">
        <v>112</v>
      </c>
      <c r="BS68" s="14" t="s">
        <v>113</v>
      </c>
      <c r="BT68" s="23">
        <v>40</v>
      </c>
      <c r="BU68" s="33">
        <v>213111231</v>
      </c>
    </row>
    <row r="69" spans="1:73" s="40" customFormat="1" ht="14.4" customHeight="1" x14ac:dyDescent="0.35">
      <c r="A69" t="s">
        <v>311</v>
      </c>
      <c r="C69" s="10"/>
      <c r="D69" t="s">
        <v>170</v>
      </c>
      <c r="E69" s="11" t="s">
        <v>205</v>
      </c>
      <c r="F69" s="12" t="s">
        <v>74</v>
      </c>
      <c r="G69" t="s">
        <v>312</v>
      </c>
      <c r="H69" s="13" t="s">
        <v>207</v>
      </c>
      <c r="I69" s="14" t="s">
        <v>77</v>
      </c>
      <c r="J69" s="14" t="s">
        <v>78</v>
      </c>
      <c r="K69" s="14" t="s">
        <v>79</v>
      </c>
      <c r="L69" s="15">
        <f t="shared" si="12"/>
        <v>45548</v>
      </c>
      <c r="M69" s="12" t="s">
        <v>74</v>
      </c>
      <c r="N69" s="12" t="s">
        <v>80</v>
      </c>
      <c r="O69" s="12">
        <v>1</v>
      </c>
      <c r="P69" s="14" t="s">
        <v>81</v>
      </c>
      <c r="Q69" s="14" t="s">
        <v>82</v>
      </c>
      <c r="R69" s="14" t="s">
        <v>81</v>
      </c>
      <c r="S69" s="14" t="s">
        <v>83</v>
      </c>
      <c r="T69" s="14" t="s">
        <v>79</v>
      </c>
      <c r="U69" s="16" t="s">
        <v>84</v>
      </c>
      <c r="V69" s="17" t="s">
        <v>85</v>
      </c>
      <c r="W69" s="14" t="s">
        <v>79</v>
      </c>
      <c r="X69" s="18">
        <v>45548</v>
      </c>
      <c r="Y69" s="14" t="s">
        <v>86</v>
      </c>
      <c r="Z69" s="19" t="s">
        <v>186</v>
      </c>
      <c r="AA69" s="13" t="s">
        <v>118</v>
      </c>
      <c r="AB69" s="20" t="s">
        <v>208</v>
      </c>
      <c r="AC69" s="21" t="s">
        <v>247</v>
      </c>
      <c r="AD69" s="22" t="s">
        <v>91</v>
      </c>
      <c r="AE69" s="21" t="s">
        <v>92</v>
      </c>
      <c r="AF69" s="13">
        <v>3</v>
      </c>
      <c r="AG69" s="13">
        <v>24</v>
      </c>
      <c r="AH69" s="36">
        <v>46372</v>
      </c>
      <c r="AI69" s="24" t="s">
        <v>94</v>
      </c>
      <c r="AJ69" s="25" t="s">
        <v>95</v>
      </c>
      <c r="AK69" s="26">
        <f t="shared" si="13"/>
        <v>45548</v>
      </c>
      <c r="AL69" s="27">
        <f t="shared" si="14"/>
        <v>46372</v>
      </c>
      <c r="AM69" s="28">
        <f t="shared" si="15"/>
        <v>45548</v>
      </c>
      <c r="AN69" s="28">
        <f t="shared" si="16"/>
        <v>45548</v>
      </c>
      <c r="AO69" s="25" t="s">
        <v>209</v>
      </c>
      <c r="AP69" s="41" t="s">
        <v>251</v>
      </c>
      <c r="AQ69" s="12">
        <v>100</v>
      </c>
      <c r="AR69" s="28">
        <f t="shared" si="17"/>
        <v>45608</v>
      </c>
      <c r="AS69" s="12" t="s">
        <v>74</v>
      </c>
      <c r="AT69" s="29" t="s">
        <v>98</v>
      </c>
      <c r="AU69" s="30" t="s">
        <v>313</v>
      </c>
      <c r="AV69" s="28" t="s">
        <v>99</v>
      </c>
      <c r="AW69" s="28" t="s">
        <v>100</v>
      </c>
      <c r="AX69" s="12" t="s">
        <v>74</v>
      </c>
      <c r="AY69" s="29" t="s">
        <v>101</v>
      </c>
      <c r="AZ69" s="30">
        <v>198306187</v>
      </c>
      <c r="BA69" s="28" t="s">
        <v>99</v>
      </c>
      <c r="BB69" s="28" t="s">
        <v>100</v>
      </c>
      <c r="BC69" s="31" t="s">
        <v>102</v>
      </c>
      <c r="BD69" s="18">
        <v>39763</v>
      </c>
      <c r="BE69" s="29" t="s">
        <v>81</v>
      </c>
      <c r="BF69" s="29" t="s">
        <v>103</v>
      </c>
      <c r="BG69" s="29" t="s">
        <v>104</v>
      </c>
      <c r="BH69" s="12" t="s">
        <v>105</v>
      </c>
      <c r="BI69" s="12" t="s">
        <v>106</v>
      </c>
      <c r="BJ69" s="32" t="s">
        <v>107</v>
      </c>
      <c r="BK69" t="s">
        <v>108</v>
      </c>
      <c r="BL69" s="12" t="s">
        <v>109</v>
      </c>
      <c r="BM69" s="12" t="s">
        <v>74</v>
      </c>
      <c r="BN69" s="12" t="s">
        <v>80</v>
      </c>
      <c r="BO69" s="12" t="s">
        <v>80</v>
      </c>
      <c r="BP69" s="12" t="s">
        <v>110</v>
      </c>
      <c r="BQ69" s="12" t="s">
        <v>111</v>
      </c>
      <c r="BR69" s="14" t="s">
        <v>112</v>
      </c>
      <c r="BS69" s="14" t="s">
        <v>113</v>
      </c>
      <c r="BT69" s="23">
        <v>40</v>
      </c>
      <c r="BU69" s="33">
        <v>213111231</v>
      </c>
    </row>
    <row r="70" spans="1:73" ht="14.4" customHeight="1" x14ac:dyDescent="0.35">
      <c r="A70" t="s">
        <v>314</v>
      </c>
      <c r="C70" s="10"/>
      <c r="D70" t="s">
        <v>170</v>
      </c>
      <c r="E70" s="11" t="s">
        <v>205</v>
      </c>
      <c r="F70" s="12" t="s">
        <v>74</v>
      </c>
      <c r="G70" t="s">
        <v>315</v>
      </c>
      <c r="H70" s="13" t="s">
        <v>207</v>
      </c>
      <c r="I70" s="14" t="s">
        <v>77</v>
      </c>
      <c r="J70" s="14" t="s">
        <v>78</v>
      </c>
      <c r="K70" s="14" t="s">
        <v>79</v>
      </c>
      <c r="L70" s="15">
        <f t="shared" si="12"/>
        <v>44818</v>
      </c>
      <c r="M70" s="12" t="s">
        <v>74</v>
      </c>
      <c r="N70" s="12" t="s">
        <v>80</v>
      </c>
      <c r="O70" s="12">
        <v>1</v>
      </c>
      <c r="P70" s="14" t="s">
        <v>81</v>
      </c>
      <c r="Q70" s="14" t="s">
        <v>82</v>
      </c>
      <c r="R70" s="14" t="s">
        <v>81</v>
      </c>
      <c r="S70" s="14" t="s">
        <v>83</v>
      </c>
      <c r="T70" s="14" t="s">
        <v>79</v>
      </c>
      <c r="U70" s="16" t="s">
        <v>84</v>
      </c>
      <c r="V70" s="17" t="s">
        <v>85</v>
      </c>
      <c r="W70" s="14" t="s">
        <v>79</v>
      </c>
      <c r="X70" s="18">
        <v>44818</v>
      </c>
      <c r="Y70" s="14" t="s">
        <v>86</v>
      </c>
      <c r="Z70" s="19" t="s">
        <v>170</v>
      </c>
      <c r="AA70" s="13" t="s">
        <v>88</v>
      </c>
      <c r="AB70" s="20" t="s">
        <v>208</v>
      </c>
      <c r="AC70" s="21" t="s">
        <v>247</v>
      </c>
      <c r="AD70" s="22" t="s">
        <v>91</v>
      </c>
      <c r="AE70" s="21" t="s">
        <v>92</v>
      </c>
      <c r="AF70" s="13">
        <v>3</v>
      </c>
      <c r="AG70" s="13">
        <v>20</v>
      </c>
      <c r="AH70" s="36" t="s">
        <v>93</v>
      </c>
      <c r="AI70" s="24" t="s">
        <v>94</v>
      </c>
      <c r="AJ70" s="25" t="s">
        <v>95</v>
      </c>
      <c r="AK70" s="26">
        <f t="shared" si="13"/>
        <v>44818</v>
      </c>
      <c r="AL70" s="27" t="str">
        <f t="shared" si="14"/>
        <v>N/A</v>
      </c>
      <c r="AM70" s="28">
        <f t="shared" si="15"/>
        <v>44818</v>
      </c>
      <c r="AN70" s="28">
        <f t="shared" si="16"/>
        <v>44818</v>
      </c>
      <c r="AO70" s="25" t="s">
        <v>209</v>
      </c>
      <c r="AP70" s="41" t="s">
        <v>296</v>
      </c>
      <c r="AQ70" s="12">
        <v>100</v>
      </c>
      <c r="AR70" s="28">
        <f t="shared" si="17"/>
        <v>44878</v>
      </c>
      <c r="AS70" s="12" t="s">
        <v>74</v>
      </c>
      <c r="AT70" s="29" t="s">
        <v>98</v>
      </c>
      <c r="AU70" s="30">
        <v>9206240758</v>
      </c>
      <c r="AV70" s="28" t="s">
        <v>99</v>
      </c>
      <c r="AW70" s="28" t="s">
        <v>100</v>
      </c>
      <c r="AX70" s="12" t="s">
        <v>74</v>
      </c>
      <c r="AY70" s="29" t="s">
        <v>101</v>
      </c>
      <c r="AZ70" s="30">
        <v>198306188</v>
      </c>
      <c r="BA70" s="28" t="s">
        <v>99</v>
      </c>
      <c r="BB70" s="28" t="s">
        <v>100</v>
      </c>
      <c r="BC70" s="31" t="s">
        <v>102</v>
      </c>
      <c r="BD70" s="18">
        <v>33779</v>
      </c>
      <c r="BE70" s="29" t="s">
        <v>81</v>
      </c>
      <c r="BF70" s="29" t="s">
        <v>103</v>
      </c>
      <c r="BG70" s="29" t="s">
        <v>104</v>
      </c>
      <c r="BH70" s="12" t="s">
        <v>105</v>
      </c>
      <c r="BI70" s="12" t="s">
        <v>106</v>
      </c>
      <c r="BJ70" s="32" t="s">
        <v>107</v>
      </c>
      <c r="BK70" t="s">
        <v>108</v>
      </c>
      <c r="BL70" s="12" t="s">
        <v>109</v>
      </c>
      <c r="BM70" s="12" t="s">
        <v>74</v>
      </c>
      <c r="BN70" s="12" t="s">
        <v>80</v>
      </c>
      <c r="BO70" s="12" t="s">
        <v>80</v>
      </c>
      <c r="BP70" s="12" t="s">
        <v>110</v>
      </c>
      <c r="BQ70" s="12" t="s">
        <v>111</v>
      </c>
      <c r="BR70" s="14" t="s">
        <v>112</v>
      </c>
      <c r="BS70" s="14" t="s">
        <v>113</v>
      </c>
      <c r="BT70" s="23">
        <v>40</v>
      </c>
      <c r="BU70" s="33">
        <v>213111231</v>
      </c>
    </row>
    <row r="71" spans="1:73" ht="14.4" customHeight="1" x14ac:dyDescent="0.35">
      <c r="A71" t="s">
        <v>316</v>
      </c>
      <c r="C71" s="10"/>
      <c r="D71" t="s">
        <v>170</v>
      </c>
      <c r="E71" s="11" t="s">
        <v>205</v>
      </c>
      <c r="F71" s="12" t="s">
        <v>74</v>
      </c>
      <c r="G71" t="s">
        <v>317</v>
      </c>
      <c r="H71" s="13" t="s">
        <v>207</v>
      </c>
      <c r="I71" s="14" t="s">
        <v>122</v>
      </c>
      <c r="J71" s="14" t="s">
        <v>78</v>
      </c>
      <c r="K71" s="14" t="s">
        <v>79</v>
      </c>
      <c r="L71" s="15">
        <f t="shared" si="12"/>
        <v>45458</v>
      </c>
      <c r="M71" s="12" t="s">
        <v>74</v>
      </c>
      <c r="N71" s="12" t="s">
        <v>80</v>
      </c>
      <c r="O71" s="12">
        <v>1</v>
      </c>
      <c r="P71" s="14" t="s">
        <v>81</v>
      </c>
      <c r="Q71" s="14" t="s">
        <v>82</v>
      </c>
      <c r="R71" s="14" t="s">
        <v>81</v>
      </c>
      <c r="S71" s="14" t="s">
        <v>83</v>
      </c>
      <c r="T71" s="14" t="s">
        <v>79</v>
      </c>
      <c r="U71" s="16" t="s">
        <v>84</v>
      </c>
      <c r="V71" s="17" t="s">
        <v>85</v>
      </c>
      <c r="W71" s="14" t="s">
        <v>79</v>
      </c>
      <c r="X71" s="18">
        <v>45458</v>
      </c>
      <c r="Y71" s="14" t="s">
        <v>86</v>
      </c>
      <c r="Z71" s="19" t="s">
        <v>196</v>
      </c>
      <c r="AA71" s="13" t="s">
        <v>118</v>
      </c>
      <c r="AB71" s="20" t="s">
        <v>208</v>
      </c>
      <c r="AC71" s="21" t="s">
        <v>247</v>
      </c>
      <c r="AD71" s="22" t="s">
        <v>91</v>
      </c>
      <c r="AE71" s="21" t="s">
        <v>92</v>
      </c>
      <c r="AF71" s="13">
        <v>3</v>
      </c>
      <c r="AG71" s="13">
        <v>20</v>
      </c>
      <c r="AH71" s="36">
        <v>46373</v>
      </c>
      <c r="AI71" s="24" t="s">
        <v>94</v>
      </c>
      <c r="AJ71" s="25" t="s">
        <v>95</v>
      </c>
      <c r="AK71" s="26">
        <f t="shared" si="13"/>
        <v>45458</v>
      </c>
      <c r="AL71" s="27">
        <f t="shared" si="14"/>
        <v>46373</v>
      </c>
      <c r="AM71" s="28">
        <f t="shared" si="15"/>
        <v>45458</v>
      </c>
      <c r="AN71" s="28">
        <f t="shared" si="16"/>
        <v>45458</v>
      </c>
      <c r="AO71" s="25" t="s">
        <v>209</v>
      </c>
      <c r="AP71" s="41" t="s">
        <v>299</v>
      </c>
      <c r="AQ71" s="12">
        <v>100</v>
      </c>
      <c r="AR71" s="28">
        <f t="shared" si="17"/>
        <v>45518</v>
      </c>
      <c r="AS71" s="12" t="s">
        <v>74</v>
      </c>
      <c r="AT71" s="29" t="s">
        <v>98</v>
      </c>
      <c r="AU71" s="30">
        <v>9206243860</v>
      </c>
      <c r="AV71" s="28" t="s">
        <v>99</v>
      </c>
      <c r="AW71" s="28" t="s">
        <v>100</v>
      </c>
      <c r="AX71" s="12" t="s">
        <v>74</v>
      </c>
      <c r="AY71" s="29" t="s">
        <v>101</v>
      </c>
      <c r="AZ71" s="30">
        <v>198306189</v>
      </c>
      <c r="BA71" s="28" t="s">
        <v>99</v>
      </c>
      <c r="BB71" s="28" t="s">
        <v>100</v>
      </c>
      <c r="BC71" s="31" t="s">
        <v>102</v>
      </c>
      <c r="BD71" s="18">
        <v>33779</v>
      </c>
      <c r="BE71" s="29" t="s">
        <v>81</v>
      </c>
      <c r="BF71" s="29" t="s">
        <v>103</v>
      </c>
      <c r="BG71" s="29" t="s">
        <v>104</v>
      </c>
      <c r="BH71" s="12" t="s">
        <v>105</v>
      </c>
      <c r="BI71" s="12" t="s">
        <v>106</v>
      </c>
      <c r="BJ71" s="32" t="s">
        <v>107</v>
      </c>
      <c r="BK71" t="s">
        <v>108</v>
      </c>
      <c r="BL71" s="12" t="s">
        <v>109</v>
      </c>
      <c r="BM71" s="12" t="s">
        <v>74</v>
      </c>
      <c r="BN71" s="12" t="s">
        <v>80</v>
      </c>
      <c r="BO71" s="12" t="s">
        <v>80</v>
      </c>
      <c r="BP71" s="12" t="s">
        <v>110</v>
      </c>
      <c r="BQ71" s="12" t="s">
        <v>111</v>
      </c>
      <c r="BR71" s="14" t="s">
        <v>112</v>
      </c>
      <c r="BS71" s="14" t="s">
        <v>113</v>
      </c>
      <c r="BT71" s="23">
        <v>40</v>
      </c>
      <c r="BU71" s="33">
        <v>213111231</v>
      </c>
    </row>
    <row r="72" spans="1:73" ht="14.4" customHeight="1" x14ac:dyDescent="0.35">
      <c r="A72" t="s">
        <v>318</v>
      </c>
      <c r="C72" s="10"/>
      <c r="D72" t="s">
        <v>170</v>
      </c>
      <c r="E72" s="11" t="s">
        <v>205</v>
      </c>
      <c r="F72" s="12" t="s">
        <v>74</v>
      </c>
      <c r="G72" t="s">
        <v>319</v>
      </c>
      <c r="H72" s="13" t="s">
        <v>207</v>
      </c>
      <c r="I72" s="14" t="s">
        <v>77</v>
      </c>
      <c r="J72" s="14" t="s">
        <v>78</v>
      </c>
      <c r="K72" s="14" t="s">
        <v>79</v>
      </c>
      <c r="L72" s="15">
        <f t="shared" si="12"/>
        <v>45246</v>
      </c>
      <c r="M72" s="12" t="s">
        <v>74</v>
      </c>
      <c r="N72" s="12" t="s">
        <v>80</v>
      </c>
      <c r="O72" s="12">
        <v>1</v>
      </c>
      <c r="P72" s="14" t="s">
        <v>81</v>
      </c>
      <c r="Q72" s="14" t="s">
        <v>82</v>
      </c>
      <c r="R72" s="14" t="s">
        <v>81</v>
      </c>
      <c r="S72" s="14" t="s">
        <v>83</v>
      </c>
      <c r="T72" s="14" t="s">
        <v>79</v>
      </c>
      <c r="U72" s="16" t="s">
        <v>84</v>
      </c>
      <c r="V72" s="17" t="s">
        <v>85</v>
      </c>
      <c r="W72" s="14" t="s">
        <v>79</v>
      </c>
      <c r="X72" s="18">
        <v>45246</v>
      </c>
      <c r="Y72" s="14" t="s">
        <v>86</v>
      </c>
      <c r="Z72" s="19" t="s">
        <v>186</v>
      </c>
      <c r="AA72" s="13" t="s">
        <v>88</v>
      </c>
      <c r="AB72" s="20" t="s">
        <v>320</v>
      </c>
      <c r="AC72" s="21" t="s">
        <v>247</v>
      </c>
      <c r="AD72" s="22" t="s">
        <v>91</v>
      </c>
      <c r="AE72" s="21" t="s">
        <v>92</v>
      </c>
      <c r="AF72" s="13">
        <v>3</v>
      </c>
      <c r="AG72" s="13">
        <v>20</v>
      </c>
      <c r="AH72" s="36" t="s">
        <v>93</v>
      </c>
      <c r="AI72" s="24" t="s">
        <v>94</v>
      </c>
      <c r="AJ72" s="25" t="s">
        <v>95</v>
      </c>
      <c r="AK72" s="26">
        <f t="shared" si="13"/>
        <v>45246</v>
      </c>
      <c r="AL72" s="27" t="str">
        <f t="shared" si="14"/>
        <v>N/A</v>
      </c>
      <c r="AM72" s="28">
        <f t="shared" si="15"/>
        <v>45246</v>
      </c>
      <c r="AN72" s="28">
        <f t="shared" si="16"/>
        <v>45246</v>
      </c>
      <c r="AO72" s="25" t="s">
        <v>209</v>
      </c>
      <c r="AP72" s="41" t="s">
        <v>251</v>
      </c>
      <c r="AQ72" s="12">
        <v>100</v>
      </c>
      <c r="AR72" s="28">
        <f t="shared" si="17"/>
        <v>45306</v>
      </c>
      <c r="AS72" s="12" t="s">
        <v>74</v>
      </c>
      <c r="AT72" s="29" t="s">
        <v>98</v>
      </c>
      <c r="AU72" s="30">
        <v>9206243640</v>
      </c>
      <c r="AV72" s="28" t="s">
        <v>99</v>
      </c>
      <c r="AW72" s="28" t="s">
        <v>100</v>
      </c>
      <c r="AX72" s="12" t="s">
        <v>74</v>
      </c>
      <c r="AY72" s="29" t="s">
        <v>101</v>
      </c>
      <c r="AZ72" s="30">
        <v>198306190</v>
      </c>
      <c r="BA72" s="28" t="s">
        <v>99</v>
      </c>
      <c r="BB72" s="28" t="s">
        <v>100</v>
      </c>
      <c r="BC72" s="31" t="s">
        <v>102</v>
      </c>
      <c r="BD72" s="18">
        <v>33779</v>
      </c>
      <c r="BE72" s="29" t="s">
        <v>81</v>
      </c>
      <c r="BF72" s="29" t="s">
        <v>103</v>
      </c>
      <c r="BG72" s="29" t="s">
        <v>104</v>
      </c>
      <c r="BH72" s="12" t="s">
        <v>105</v>
      </c>
      <c r="BI72" s="12" t="s">
        <v>106</v>
      </c>
      <c r="BJ72" s="32" t="s">
        <v>107</v>
      </c>
      <c r="BK72" t="s">
        <v>108</v>
      </c>
      <c r="BL72" s="12" t="s">
        <v>109</v>
      </c>
      <c r="BM72" s="12" t="s">
        <v>74</v>
      </c>
      <c r="BN72" s="12" t="s">
        <v>80</v>
      </c>
      <c r="BO72" s="12" t="s">
        <v>80</v>
      </c>
      <c r="BP72" s="12" t="s">
        <v>110</v>
      </c>
      <c r="BQ72" s="12" t="s">
        <v>111</v>
      </c>
      <c r="BR72" s="14" t="s">
        <v>112</v>
      </c>
      <c r="BS72" s="14" t="s">
        <v>113</v>
      </c>
      <c r="BT72" s="23">
        <v>40</v>
      </c>
      <c r="BU72" s="33">
        <v>213111231</v>
      </c>
    </row>
    <row r="73" spans="1:73" ht="14.4" customHeight="1" x14ac:dyDescent="0.35">
      <c r="A73" t="s">
        <v>321</v>
      </c>
      <c r="C73" s="10"/>
      <c r="D73" t="s">
        <v>170</v>
      </c>
      <c r="E73" s="11" t="s">
        <v>205</v>
      </c>
      <c r="F73" s="12" t="s">
        <v>74</v>
      </c>
      <c r="G73" t="s">
        <v>322</v>
      </c>
      <c r="H73" s="13" t="s">
        <v>207</v>
      </c>
      <c r="I73" s="14" t="s">
        <v>77</v>
      </c>
      <c r="J73" s="14" t="s">
        <v>78</v>
      </c>
      <c r="K73" s="14" t="s">
        <v>79</v>
      </c>
      <c r="L73" s="15">
        <f t="shared" si="12"/>
        <v>45554</v>
      </c>
      <c r="M73" s="12" t="s">
        <v>74</v>
      </c>
      <c r="N73" s="12" t="s">
        <v>80</v>
      </c>
      <c r="O73" s="12">
        <v>1</v>
      </c>
      <c r="P73" s="14" t="s">
        <v>81</v>
      </c>
      <c r="Q73" s="14" t="s">
        <v>82</v>
      </c>
      <c r="R73" s="14" t="s">
        <v>81</v>
      </c>
      <c r="S73" s="14" t="s">
        <v>83</v>
      </c>
      <c r="T73" s="14" t="s">
        <v>79</v>
      </c>
      <c r="U73" s="16" t="s">
        <v>84</v>
      </c>
      <c r="V73" s="17" t="s">
        <v>85</v>
      </c>
      <c r="W73" s="14" t="s">
        <v>79</v>
      </c>
      <c r="X73" s="18">
        <v>45554</v>
      </c>
      <c r="Y73" s="14" t="s">
        <v>86</v>
      </c>
      <c r="Z73" s="19" t="s">
        <v>170</v>
      </c>
      <c r="AA73" s="13" t="s">
        <v>118</v>
      </c>
      <c r="AB73" s="20" t="s">
        <v>320</v>
      </c>
      <c r="AC73" s="21" t="s">
        <v>247</v>
      </c>
      <c r="AD73" s="22" t="s">
        <v>91</v>
      </c>
      <c r="AE73" s="21" t="s">
        <v>92</v>
      </c>
      <c r="AF73" s="13">
        <v>3</v>
      </c>
      <c r="AG73" s="13">
        <v>20</v>
      </c>
      <c r="AH73" s="36">
        <v>46375</v>
      </c>
      <c r="AI73" s="24" t="s">
        <v>94</v>
      </c>
      <c r="AJ73" s="25" t="s">
        <v>95</v>
      </c>
      <c r="AK73" s="26">
        <f t="shared" si="13"/>
        <v>45554</v>
      </c>
      <c r="AL73" s="27">
        <f t="shared" si="14"/>
        <v>46375</v>
      </c>
      <c r="AM73" s="28">
        <f t="shared" si="15"/>
        <v>45554</v>
      </c>
      <c r="AN73" s="28">
        <f t="shared" si="16"/>
        <v>45554</v>
      </c>
      <c r="AO73" s="25" t="s">
        <v>209</v>
      </c>
      <c r="AP73" s="41" t="s">
        <v>251</v>
      </c>
      <c r="AQ73" s="12">
        <v>100</v>
      </c>
      <c r="AR73" s="28">
        <f t="shared" si="17"/>
        <v>45614</v>
      </c>
      <c r="AS73" s="12" t="s">
        <v>74</v>
      </c>
      <c r="AT73" s="29" t="s">
        <v>98</v>
      </c>
      <c r="AU73" s="30" t="s">
        <v>323</v>
      </c>
      <c r="AV73" s="28" t="s">
        <v>99</v>
      </c>
      <c r="AW73" s="28" t="s">
        <v>100</v>
      </c>
      <c r="AX73" s="12" t="s">
        <v>74</v>
      </c>
      <c r="AY73" s="29" t="s">
        <v>101</v>
      </c>
      <c r="AZ73" s="30">
        <v>198306191</v>
      </c>
      <c r="BA73" s="28" t="s">
        <v>99</v>
      </c>
      <c r="BB73" s="28" t="s">
        <v>100</v>
      </c>
      <c r="BC73" s="31" t="s">
        <v>102</v>
      </c>
      <c r="BD73" s="18">
        <v>39763</v>
      </c>
      <c r="BE73" s="29" t="s">
        <v>81</v>
      </c>
      <c r="BF73" s="29" t="s">
        <v>103</v>
      </c>
      <c r="BG73" s="29" t="s">
        <v>104</v>
      </c>
      <c r="BH73" s="12" t="s">
        <v>105</v>
      </c>
      <c r="BI73" s="12" t="s">
        <v>106</v>
      </c>
      <c r="BJ73" s="32" t="s">
        <v>107</v>
      </c>
      <c r="BK73" t="s">
        <v>108</v>
      </c>
      <c r="BL73" s="12" t="s">
        <v>109</v>
      </c>
      <c r="BM73" s="12" t="s">
        <v>74</v>
      </c>
      <c r="BN73" s="12" t="s">
        <v>80</v>
      </c>
      <c r="BO73" s="12" t="s">
        <v>80</v>
      </c>
      <c r="BP73" s="12" t="s">
        <v>110</v>
      </c>
      <c r="BQ73" s="12" t="s">
        <v>111</v>
      </c>
      <c r="BR73" s="14" t="s">
        <v>112</v>
      </c>
      <c r="BS73" s="14" t="s">
        <v>113</v>
      </c>
      <c r="BT73" s="23">
        <v>40</v>
      </c>
      <c r="BU73" s="33">
        <v>213111231</v>
      </c>
    </row>
    <row r="74" spans="1:73" ht="14.4" customHeight="1" x14ac:dyDescent="0.35">
      <c r="A74" t="s">
        <v>324</v>
      </c>
      <c r="C74" s="10"/>
      <c r="D74" t="s">
        <v>170</v>
      </c>
      <c r="E74" s="11" t="s">
        <v>205</v>
      </c>
      <c r="F74" s="12" t="s">
        <v>74</v>
      </c>
      <c r="G74" t="s">
        <v>325</v>
      </c>
      <c r="H74" s="13" t="s">
        <v>207</v>
      </c>
      <c r="I74" s="14" t="s">
        <v>77</v>
      </c>
      <c r="J74" s="14" t="s">
        <v>78</v>
      </c>
      <c r="K74" s="14" t="s">
        <v>79</v>
      </c>
      <c r="L74" s="15">
        <f t="shared" si="12"/>
        <v>44824</v>
      </c>
      <c r="M74" s="12" t="s">
        <v>74</v>
      </c>
      <c r="N74" s="12" t="s">
        <v>80</v>
      </c>
      <c r="O74" s="12">
        <v>1</v>
      </c>
      <c r="P74" s="14" t="s">
        <v>81</v>
      </c>
      <c r="Q74" s="14" t="s">
        <v>82</v>
      </c>
      <c r="R74" s="14" t="s">
        <v>81</v>
      </c>
      <c r="S74" s="14" t="s">
        <v>83</v>
      </c>
      <c r="T74" s="14" t="s">
        <v>79</v>
      </c>
      <c r="U74" s="16" t="s">
        <v>84</v>
      </c>
      <c r="V74" s="17" t="s">
        <v>85</v>
      </c>
      <c r="W74" s="14" t="s">
        <v>79</v>
      </c>
      <c r="X74" s="18">
        <v>44824</v>
      </c>
      <c r="Y74" s="14" t="s">
        <v>86</v>
      </c>
      <c r="Z74" s="19" t="s">
        <v>186</v>
      </c>
      <c r="AA74" s="13" t="s">
        <v>88</v>
      </c>
      <c r="AB74" s="20" t="s">
        <v>326</v>
      </c>
      <c r="AC74" s="21" t="s">
        <v>247</v>
      </c>
      <c r="AD74" s="22" t="s">
        <v>91</v>
      </c>
      <c r="AE74" s="21" t="s">
        <v>92</v>
      </c>
      <c r="AF74" s="13">
        <v>2</v>
      </c>
      <c r="AG74" s="13">
        <v>10</v>
      </c>
      <c r="AH74" s="36" t="s">
        <v>93</v>
      </c>
      <c r="AI74" s="24" t="s">
        <v>94</v>
      </c>
      <c r="AJ74" s="25" t="s">
        <v>95</v>
      </c>
      <c r="AK74" s="26">
        <f t="shared" si="13"/>
        <v>44824</v>
      </c>
      <c r="AL74" s="27" t="str">
        <f t="shared" si="14"/>
        <v>N/A</v>
      </c>
      <c r="AM74" s="28">
        <f t="shared" si="15"/>
        <v>44824</v>
      </c>
      <c r="AN74" s="28">
        <f t="shared" si="16"/>
        <v>44824</v>
      </c>
      <c r="AO74" s="25" t="s">
        <v>209</v>
      </c>
      <c r="AP74" s="41" t="s">
        <v>216</v>
      </c>
      <c r="AQ74" s="12">
        <v>100</v>
      </c>
      <c r="AR74" s="28">
        <f t="shared" si="17"/>
        <v>44884</v>
      </c>
      <c r="AS74" s="12" t="s">
        <v>74</v>
      </c>
      <c r="AT74" s="29" t="s">
        <v>98</v>
      </c>
      <c r="AU74" s="30">
        <v>8405263878</v>
      </c>
      <c r="AV74" s="28" t="s">
        <v>99</v>
      </c>
      <c r="AW74" s="28" t="s">
        <v>100</v>
      </c>
      <c r="AX74" s="12" t="s">
        <v>74</v>
      </c>
      <c r="AY74" s="29" t="s">
        <v>101</v>
      </c>
      <c r="AZ74" s="30">
        <v>198306192</v>
      </c>
      <c r="BA74" s="28" t="s">
        <v>99</v>
      </c>
      <c r="BB74" s="28" t="s">
        <v>100</v>
      </c>
      <c r="BC74" s="31" t="s">
        <v>102</v>
      </c>
      <c r="BD74" s="18">
        <v>30828</v>
      </c>
      <c r="BE74" s="29" t="s">
        <v>81</v>
      </c>
      <c r="BF74" s="29" t="s">
        <v>103</v>
      </c>
      <c r="BG74" s="29" t="s">
        <v>104</v>
      </c>
      <c r="BH74" s="12" t="s">
        <v>105</v>
      </c>
      <c r="BI74" s="12" t="s">
        <v>106</v>
      </c>
      <c r="BJ74" s="32" t="s">
        <v>107</v>
      </c>
      <c r="BK74" t="s">
        <v>108</v>
      </c>
      <c r="BL74" s="12" t="s">
        <v>109</v>
      </c>
      <c r="BM74" s="12" t="s">
        <v>74</v>
      </c>
      <c r="BN74" s="12" t="s">
        <v>80</v>
      </c>
      <c r="BO74" s="12" t="s">
        <v>80</v>
      </c>
      <c r="BP74" s="12" t="s">
        <v>110</v>
      </c>
      <c r="BQ74" s="12" t="s">
        <v>111</v>
      </c>
      <c r="BR74" s="14" t="s">
        <v>112</v>
      </c>
      <c r="BS74" s="14" t="s">
        <v>113</v>
      </c>
      <c r="BT74" s="23">
        <v>40</v>
      </c>
      <c r="BU74" s="33">
        <v>213111231</v>
      </c>
    </row>
    <row r="75" spans="1:73" ht="14.4" customHeight="1" x14ac:dyDescent="0.35">
      <c r="A75" t="s">
        <v>327</v>
      </c>
      <c r="C75" s="10"/>
      <c r="D75" t="s">
        <v>170</v>
      </c>
      <c r="E75" s="11" t="s">
        <v>205</v>
      </c>
      <c r="F75" s="12" t="s">
        <v>74</v>
      </c>
      <c r="G75" t="s">
        <v>328</v>
      </c>
      <c r="H75" s="13" t="s">
        <v>207</v>
      </c>
      <c r="I75" s="14" t="s">
        <v>77</v>
      </c>
      <c r="J75" s="14" t="s">
        <v>78</v>
      </c>
      <c r="K75" s="14" t="s">
        <v>79</v>
      </c>
      <c r="L75" s="15">
        <f t="shared" si="12"/>
        <v>44763</v>
      </c>
      <c r="M75" s="12" t="s">
        <v>74</v>
      </c>
      <c r="N75" s="12" t="s">
        <v>80</v>
      </c>
      <c r="O75" s="12">
        <v>1</v>
      </c>
      <c r="P75" s="14" t="s">
        <v>81</v>
      </c>
      <c r="Q75" s="14" t="s">
        <v>82</v>
      </c>
      <c r="R75" s="14" t="s">
        <v>81</v>
      </c>
      <c r="S75" s="14" t="s">
        <v>83</v>
      </c>
      <c r="T75" s="14" t="s">
        <v>79</v>
      </c>
      <c r="U75" s="16" t="s">
        <v>84</v>
      </c>
      <c r="V75" s="17" t="s">
        <v>85</v>
      </c>
      <c r="W75" s="14" t="s">
        <v>79</v>
      </c>
      <c r="X75" s="18">
        <v>44763</v>
      </c>
      <c r="Y75" s="14" t="s">
        <v>86</v>
      </c>
      <c r="Z75" s="19" t="s">
        <v>170</v>
      </c>
      <c r="AA75" s="13" t="s">
        <v>118</v>
      </c>
      <c r="AB75" s="20" t="s">
        <v>326</v>
      </c>
      <c r="AC75" s="21" t="s">
        <v>247</v>
      </c>
      <c r="AD75" s="22" t="s">
        <v>91</v>
      </c>
      <c r="AE75" s="21" t="s">
        <v>92</v>
      </c>
      <c r="AF75" s="13">
        <v>2</v>
      </c>
      <c r="AG75" s="13">
        <v>10</v>
      </c>
      <c r="AH75" s="36">
        <v>46376</v>
      </c>
      <c r="AI75" s="24" t="s">
        <v>94</v>
      </c>
      <c r="AJ75" s="25" t="s">
        <v>95</v>
      </c>
      <c r="AK75" s="26">
        <f t="shared" si="13"/>
        <v>44763</v>
      </c>
      <c r="AL75" s="27">
        <f t="shared" si="14"/>
        <v>46376</v>
      </c>
      <c r="AM75" s="28">
        <f t="shared" si="15"/>
        <v>44763</v>
      </c>
      <c r="AN75" s="28">
        <f t="shared" si="16"/>
        <v>44763</v>
      </c>
      <c r="AO75" s="25" t="s">
        <v>209</v>
      </c>
      <c r="AP75" s="41" t="s">
        <v>235</v>
      </c>
      <c r="AQ75" s="12">
        <v>100</v>
      </c>
      <c r="AR75" s="28">
        <f t="shared" si="17"/>
        <v>44823</v>
      </c>
      <c r="AS75" s="12" t="s">
        <v>74</v>
      </c>
      <c r="AT75" s="29" t="s">
        <v>98</v>
      </c>
      <c r="AU75" s="30">
        <v>8405265539</v>
      </c>
      <c r="AV75" s="28" t="s">
        <v>99</v>
      </c>
      <c r="AW75" s="28" t="s">
        <v>100</v>
      </c>
      <c r="AX75" s="12" t="s">
        <v>74</v>
      </c>
      <c r="AY75" s="29" t="s">
        <v>101</v>
      </c>
      <c r="AZ75" s="30">
        <v>198306193</v>
      </c>
      <c r="BA75" s="28" t="s">
        <v>99</v>
      </c>
      <c r="BB75" s="28" t="s">
        <v>100</v>
      </c>
      <c r="BC75" s="31" t="s">
        <v>102</v>
      </c>
      <c r="BD75" s="18">
        <v>30828</v>
      </c>
      <c r="BE75" s="29" t="s">
        <v>81</v>
      </c>
      <c r="BF75" s="29" t="s">
        <v>103</v>
      </c>
      <c r="BG75" s="29" t="s">
        <v>104</v>
      </c>
      <c r="BH75" s="12" t="s">
        <v>105</v>
      </c>
      <c r="BI75" s="12" t="s">
        <v>106</v>
      </c>
      <c r="BJ75" s="32" t="s">
        <v>107</v>
      </c>
      <c r="BK75" t="s">
        <v>108</v>
      </c>
      <c r="BL75" s="12" t="s">
        <v>109</v>
      </c>
      <c r="BM75" s="12" t="s">
        <v>74</v>
      </c>
      <c r="BN75" s="12" t="s">
        <v>80</v>
      </c>
      <c r="BO75" s="12" t="s">
        <v>80</v>
      </c>
      <c r="BP75" s="12" t="s">
        <v>110</v>
      </c>
      <c r="BQ75" s="12" t="s">
        <v>111</v>
      </c>
      <c r="BR75" s="14" t="s">
        <v>112</v>
      </c>
      <c r="BS75" s="14" t="s">
        <v>113</v>
      </c>
      <c r="BT75" s="23">
        <v>40</v>
      </c>
      <c r="BU75" s="33">
        <v>213111231</v>
      </c>
    </row>
    <row r="76" spans="1:73" ht="14.4" customHeight="1" x14ac:dyDescent="0.35">
      <c r="A76" t="s">
        <v>329</v>
      </c>
      <c r="C76" s="10"/>
      <c r="D76" t="s">
        <v>170</v>
      </c>
      <c r="E76" s="11" t="s">
        <v>205</v>
      </c>
      <c r="F76" s="12" t="s">
        <v>74</v>
      </c>
      <c r="G76" t="s">
        <v>330</v>
      </c>
      <c r="H76" s="13" t="s">
        <v>207</v>
      </c>
      <c r="I76" s="14" t="s">
        <v>122</v>
      </c>
      <c r="J76" s="14" t="s">
        <v>78</v>
      </c>
      <c r="K76" s="14" t="s">
        <v>79</v>
      </c>
      <c r="L76" s="15">
        <f t="shared" si="12"/>
        <v>44826</v>
      </c>
      <c r="M76" s="12" t="s">
        <v>74</v>
      </c>
      <c r="N76" s="12" t="s">
        <v>80</v>
      </c>
      <c r="O76" s="12">
        <v>1</v>
      </c>
      <c r="P76" s="14" t="s">
        <v>81</v>
      </c>
      <c r="Q76" s="14" t="s">
        <v>82</v>
      </c>
      <c r="R76" s="14" t="s">
        <v>81</v>
      </c>
      <c r="S76" s="14" t="s">
        <v>83</v>
      </c>
      <c r="T76" s="14" t="s">
        <v>79</v>
      </c>
      <c r="U76" s="16" t="s">
        <v>84</v>
      </c>
      <c r="V76" s="17" t="s">
        <v>85</v>
      </c>
      <c r="W76" s="14" t="s">
        <v>79</v>
      </c>
      <c r="X76" s="18">
        <v>44826</v>
      </c>
      <c r="Y76" s="14" t="s">
        <v>86</v>
      </c>
      <c r="Z76" s="19" t="s">
        <v>196</v>
      </c>
      <c r="AA76" s="13" t="s">
        <v>88</v>
      </c>
      <c r="AB76" s="20" t="s">
        <v>326</v>
      </c>
      <c r="AC76" s="21" t="s">
        <v>247</v>
      </c>
      <c r="AD76" s="22" t="s">
        <v>91</v>
      </c>
      <c r="AE76" s="21" t="s">
        <v>92</v>
      </c>
      <c r="AF76" s="13">
        <v>2</v>
      </c>
      <c r="AG76" s="13">
        <v>10</v>
      </c>
      <c r="AH76" s="36" t="s">
        <v>93</v>
      </c>
      <c r="AI76" s="24" t="s">
        <v>94</v>
      </c>
      <c r="AJ76" s="25" t="s">
        <v>95</v>
      </c>
      <c r="AK76" s="26">
        <f t="shared" si="13"/>
        <v>44826</v>
      </c>
      <c r="AL76" s="27" t="str">
        <f t="shared" si="14"/>
        <v>N/A</v>
      </c>
      <c r="AM76" s="28">
        <f t="shared" si="15"/>
        <v>44826</v>
      </c>
      <c r="AN76" s="28">
        <f t="shared" si="16"/>
        <v>44826</v>
      </c>
      <c r="AO76" s="25" t="s">
        <v>209</v>
      </c>
      <c r="AP76" s="41" t="s">
        <v>254</v>
      </c>
      <c r="AQ76" s="12">
        <v>100</v>
      </c>
      <c r="AR76" s="28">
        <f t="shared" si="17"/>
        <v>44886</v>
      </c>
      <c r="AS76" s="12" t="s">
        <v>74</v>
      </c>
      <c r="AT76" s="29" t="s">
        <v>98</v>
      </c>
      <c r="AU76" s="30">
        <v>8405265561</v>
      </c>
      <c r="AV76" s="28" t="s">
        <v>99</v>
      </c>
      <c r="AW76" s="28" t="s">
        <v>100</v>
      </c>
      <c r="AX76" s="12" t="s">
        <v>74</v>
      </c>
      <c r="AY76" s="29" t="s">
        <v>101</v>
      </c>
      <c r="AZ76" s="30">
        <v>198306194</v>
      </c>
      <c r="BA76" s="28" t="s">
        <v>99</v>
      </c>
      <c r="BB76" s="28" t="s">
        <v>100</v>
      </c>
      <c r="BC76" s="31" t="s">
        <v>102</v>
      </c>
      <c r="BD76" s="18">
        <v>30828</v>
      </c>
      <c r="BE76" s="29" t="s">
        <v>81</v>
      </c>
      <c r="BF76" s="29" t="s">
        <v>103</v>
      </c>
      <c r="BG76" s="29" t="s">
        <v>104</v>
      </c>
      <c r="BH76" s="12" t="s">
        <v>105</v>
      </c>
      <c r="BI76" s="12" t="s">
        <v>106</v>
      </c>
      <c r="BJ76" s="32" t="s">
        <v>107</v>
      </c>
      <c r="BK76" t="s">
        <v>108</v>
      </c>
      <c r="BL76" s="12" t="s">
        <v>109</v>
      </c>
      <c r="BM76" s="12" t="s">
        <v>74</v>
      </c>
      <c r="BN76" s="12" t="s">
        <v>80</v>
      </c>
      <c r="BO76" s="12" t="s">
        <v>80</v>
      </c>
      <c r="BP76" s="12" t="s">
        <v>110</v>
      </c>
      <c r="BQ76" s="12" t="s">
        <v>111</v>
      </c>
      <c r="BR76" s="14" t="s">
        <v>112</v>
      </c>
      <c r="BS76" s="14" t="s">
        <v>113</v>
      </c>
      <c r="BT76" s="23">
        <v>40</v>
      </c>
      <c r="BU76" s="33">
        <v>213111231</v>
      </c>
    </row>
    <row r="77" spans="1:73" ht="14.4" customHeight="1" x14ac:dyDescent="0.35">
      <c r="A77" t="s">
        <v>331</v>
      </c>
      <c r="C77" s="10"/>
      <c r="D77" t="s">
        <v>170</v>
      </c>
      <c r="E77" s="11" t="s">
        <v>332</v>
      </c>
      <c r="F77" s="12" t="s">
        <v>74</v>
      </c>
      <c r="G77" t="s">
        <v>333</v>
      </c>
      <c r="H77" s="13" t="s">
        <v>207</v>
      </c>
      <c r="I77" s="14" t="s">
        <v>77</v>
      </c>
      <c r="J77" s="14" t="s">
        <v>78</v>
      </c>
      <c r="K77" s="14" t="s">
        <v>79</v>
      </c>
      <c r="L77" s="15">
        <f t="shared" si="12"/>
        <v>45101</v>
      </c>
      <c r="M77" s="12" t="s">
        <v>74</v>
      </c>
      <c r="N77" s="12" t="s">
        <v>80</v>
      </c>
      <c r="O77" s="12">
        <v>1</v>
      </c>
      <c r="P77" s="14" t="s">
        <v>81</v>
      </c>
      <c r="Q77" s="14" t="s">
        <v>82</v>
      </c>
      <c r="R77" s="14" t="s">
        <v>81</v>
      </c>
      <c r="S77" s="14" t="s">
        <v>334</v>
      </c>
      <c r="T77" s="14" t="s">
        <v>79</v>
      </c>
      <c r="U77" s="16" t="s">
        <v>84</v>
      </c>
      <c r="V77" s="17" t="s">
        <v>85</v>
      </c>
      <c r="W77" s="14" t="s">
        <v>79</v>
      </c>
      <c r="X77" s="18">
        <v>45101</v>
      </c>
      <c r="Y77" s="14" t="s">
        <v>86</v>
      </c>
      <c r="Z77" s="19" t="s">
        <v>170</v>
      </c>
      <c r="AA77" s="13" t="s">
        <v>118</v>
      </c>
      <c r="AB77" s="20" t="s">
        <v>335</v>
      </c>
      <c r="AC77" s="21" t="s">
        <v>247</v>
      </c>
      <c r="AD77" s="22" t="s">
        <v>91</v>
      </c>
      <c r="AE77" s="21" t="s">
        <v>336</v>
      </c>
      <c r="AF77" s="42" t="s">
        <v>337</v>
      </c>
      <c r="AG77" s="13">
        <v>20</v>
      </c>
      <c r="AH77" s="36">
        <v>46376</v>
      </c>
      <c r="AI77" s="24" t="s">
        <v>338</v>
      </c>
      <c r="AJ77" s="25" t="s">
        <v>95</v>
      </c>
      <c r="AK77" s="26">
        <f t="shared" si="13"/>
        <v>45101</v>
      </c>
      <c r="AL77" s="27">
        <f t="shared" si="14"/>
        <v>46376</v>
      </c>
      <c r="AM77" s="28">
        <f t="shared" si="15"/>
        <v>45101</v>
      </c>
      <c r="AN77" s="28">
        <f t="shared" si="16"/>
        <v>45101</v>
      </c>
      <c r="AO77" s="25" t="s">
        <v>209</v>
      </c>
      <c r="AP77" s="41" t="s">
        <v>213</v>
      </c>
      <c r="AQ77" s="12">
        <v>100</v>
      </c>
      <c r="AR77" s="28">
        <f t="shared" si="17"/>
        <v>45161</v>
      </c>
      <c r="AS77" s="12" t="s">
        <v>74</v>
      </c>
      <c r="AT77" s="29" t="s">
        <v>98</v>
      </c>
      <c r="AU77" s="30" t="s">
        <v>339</v>
      </c>
      <c r="AV77" s="28" t="s">
        <v>99</v>
      </c>
      <c r="AW77" s="28" t="s">
        <v>100</v>
      </c>
      <c r="AX77" s="12" t="s">
        <v>74</v>
      </c>
      <c r="AY77" s="29" t="s">
        <v>101</v>
      </c>
      <c r="AZ77" s="30">
        <v>198306195</v>
      </c>
      <c r="BA77" s="28" t="s">
        <v>99</v>
      </c>
      <c r="BB77" s="28" t="s">
        <v>100</v>
      </c>
      <c r="BC77" s="31" t="s">
        <v>102</v>
      </c>
      <c r="BD77" s="18">
        <v>39763</v>
      </c>
      <c r="BE77" s="29" t="s">
        <v>81</v>
      </c>
      <c r="BF77" s="29" t="s">
        <v>103</v>
      </c>
      <c r="BG77" s="29" t="s">
        <v>104</v>
      </c>
      <c r="BH77" s="12" t="s">
        <v>105</v>
      </c>
      <c r="BI77" s="12" t="s">
        <v>106</v>
      </c>
      <c r="BJ77" s="32" t="s">
        <v>107</v>
      </c>
      <c r="BK77" t="s">
        <v>108</v>
      </c>
      <c r="BL77" s="12" t="s">
        <v>109</v>
      </c>
      <c r="BM77" s="12" t="s">
        <v>74</v>
      </c>
      <c r="BN77" s="12" t="s">
        <v>80</v>
      </c>
      <c r="BO77" s="12" t="s">
        <v>80</v>
      </c>
      <c r="BP77" s="12" t="s">
        <v>110</v>
      </c>
      <c r="BQ77" s="12" t="s">
        <v>111</v>
      </c>
      <c r="BR77" s="14" t="s">
        <v>112</v>
      </c>
      <c r="BS77" s="14" t="s">
        <v>113</v>
      </c>
      <c r="BT77" s="23">
        <v>40</v>
      </c>
      <c r="BU77" s="33">
        <v>213111231</v>
      </c>
    </row>
    <row r="78" spans="1:73" ht="14.4" customHeight="1" x14ac:dyDescent="0.35">
      <c r="A78" t="s">
        <v>340</v>
      </c>
      <c r="C78" s="10"/>
      <c r="D78" t="s">
        <v>170</v>
      </c>
      <c r="E78" s="11" t="s">
        <v>332</v>
      </c>
      <c r="F78" s="12" t="s">
        <v>74</v>
      </c>
      <c r="G78" t="s">
        <v>341</v>
      </c>
      <c r="H78" s="13" t="s">
        <v>207</v>
      </c>
      <c r="I78" s="14" t="s">
        <v>77</v>
      </c>
      <c r="J78" s="14" t="s">
        <v>78</v>
      </c>
      <c r="K78" s="14" t="s">
        <v>79</v>
      </c>
      <c r="L78" s="15">
        <f t="shared" si="12"/>
        <v>45468</v>
      </c>
      <c r="M78" s="12" t="s">
        <v>74</v>
      </c>
      <c r="N78" s="12" t="s">
        <v>80</v>
      </c>
      <c r="O78" s="12">
        <v>1</v>
      </c>
      <c r="P78" s="14" t="s">
        <v>81</v>
      </c>
      <c r="Q78" s="14" t="s">
        <v>82</v>
      </c>
      <c r="R78" s="14" t="s">
        <v>81</v>
      </c>
      <c r="S78" s="14" t="s">
        <v>83</v>
      </c>
      <c r="T78" s="14" t="s">
        <v>79</v>
      </c>
      <c r="U78" s="16" t="s">
        <v>84</v>
      </c>
      <c r="V78" s="17" t="s">
        <v>85</v>
      </c>
      <c r="W78" s="14" t="s">
        <v>79</v>
      </c>
      <c r="X78" s="18">
        <v>45468</v>
      </c>
      <c r="Y78" s="14" t="s">
        <v>86</v>
      </c>
      <c r="Z78" s="19" t="s">
        <v>170</v>
      </c>
      <c r="AA78" s="13" t="s">
        <v>118</v>
      </c>
      <c r="AB78" s="20" t="s">
        <v>335</v>
      </c>
      <c r="AC78" s="21" t="s">
        <v>247</v>
      </c>
      <c r="AD78" s="22" t="s">
        <v>91</v>
      </c>
      <c r="AE78" s="21" t="s">
        <v>336</v>
      </c>
      <c r="AF78" s="42" t="s">
        <v>337</v>
      </c>
      <c r="AG78" s="13">
        <v>20</v>
      </c>
      <c r="AH78" s="36">
        <v>46376</v>
      </c>
      <c r="AI78" s="24" t="s">
        <v>338</v>
      </c>
      <c r="AJ78" s="25" t="s">
        <v>95</v>
      </c>
      <c r="AK78" s="26">
        <f t="shared" si="13"/>
        <v>45468</v>
      </c>
      <c r="AL78" s="27">
        <f t="shared" si="14"/>
        <v>46376</v>
      </c>
      <c r="AM78" s="28">
        <f t="shared" si="15"/>
        <v>45468</v>
      </c>
      <c r="AN78" s="28">
        <f t="shared" si="16"/>
        <v>45468</v>
      </c>
      <c r="AO78" s="25" t="s">
        <v>209</v>
      </c>
      <c r="AP78" s="41" t="s">
        <v>220</v>
      </c>
      <c r="AQ78" s="12">
        <v>100</v>
      </c>
      <c r="AR78" s="28">
        <f t="shared" si="17"/>
        <v>45528</v>
      </c>
      <c r="AS78" s="12" t="s">
        <v>74</v>
      </c>
      <c r="AT78" s="29" t="s">
        <v>98</v>
      </c>
      <c r="AU78" s="30" t="s">
        <v>342</v>
      </c>
      <c r="AV78" s="28" t="s">
        <v>99</v>
      </c>
      <c r="AW78" s="28" t="s">
        <v>100</v>
      </c>
      <c r="AX78" s="12" t="s">
        <v>74</v>
      </c>
      <c r="AY78" s="29" t="s">
        <v>101</v>
      </c>
      <c r="AZ78" s="30">
        <v>198306196</v>
      </c>
      <c r="BA78" s="28" t="s">
        <v>99</v>
      </c>
      <c r="BB78" s="28" t="s">
        <v>100</v>
      </c>
      <c r="BC78" s="31" t="s">
        <v>102</v>
      </c>
      <c r="BD78" s="18">
        <v>39763</v>
      </c>
      <c r="BE78" s="29" t="s">
        <v>81</v>
      </c>
      <c r="BF78" s="29" t="s">
        <v>103</v>
      </c>
      <c r="BG78" s="29" t="s">
        <v>104</v>
      </c>
      <c r="BH78" s="12" t="s">
        <v>105</v>
      </c>
      <c r="BI78" s="12" t="s">
        <v>106</v>
      </c>
      <c r="BJ78" s="32" t="s">
        <v>107</v>
      </c>
      <c r="BK78" t="s">
        <v>108</v>
      </c>
      <c r="BL78" s="12" t="s">
        <v>109</v>
      </c>
      <c r="BM78" s="12" t="s">
        <v>74</v>
      </c>
      <c r="BN78" s="12" t="s">
        <v>80</v>
      </c>
      <c r="BO78" s="12" t="s">
        <v>80</v>
      </c>
      <c r="BP78" s="12" t="s">
        <v>110</v>
      </c>
      <c r="BQ78" s="12" t="s">
        <v>111</v>
      </c>
      <c r="BR78" s="14" t="s">
        <v>112</v>
      </c>
      <c r="BS78" s="14" t="s">
        <v>113</v>
      </c>
      <c r="BT78" s="23">
        <v>40</v>
      </c>
      <c r="BU78" s="33">
        <v>213111231</v>
      </c>
    </row>
    <row r="79" spans="1:73" s="40" customFormat="1" ht="14.4" customHeight="1" x14ac:dyDescent="0.35">
      <c r="A79" t="s">
        <v>343</v>
      </c>
      <c r="C79" s="10"/>
      <c r="D79" t="s">
        <v>170</v>
      </c>
      <c r="E79" s="11" t="s">
        <v>332</v>
      </c>
      <c r="F79" s="12" t="s">
        <v>74</v>
      </c>
      <c r="G79" t="s">
        <v>344</v>
      </c>
      <c r="H79" s="13" t="s">
        <v>207</v>
      </c>
      <c r="I79" s="14" t="s">
        <v>77</v>
      </c>
      <c r="J79" s="14" t="s">
        <v>78</v>
      </c>
      <c r="K79" s="14" t="s">
        <v>79</v>
      </c>
      <c r="L79" s="15">
        <f t="shared" si="12"/>
        <v>44830</v>
      </c>
      <c r="M79" s="12" t="s">
        <v>74</v>
      </c>
      <c r="N79" s="12" t="s">
        <v>80</v>
      </c>
      <c r="O79" s="12">
        <v>1</v>
      </c>
      <c r="P79" s="14" t="s">
        <v>81</v>
      </c>
      <c r="Q79" s="14" t="s">
        <v>82</v>
      </c>
      <c r="R79" s="14" t="s">
        <v>81</v>
      </c>
      <c r="S79" s="14" t="s">
        <v>334</v>
      </c>
      <c r="T79" s="14" t="s">
        <v>79</v>
      </c>
      <c r="U79" s="16" t="s">
        <v>84</v>
      </c>
      <c r="V79" s="17" t="s">
        <v>85</v>
      </c>
      <c r="W79" s="14" t="s">
        <v>79</v>
      </c>
      <c r="X79" s="18">
        <v>44830</v>
      </c>
      <c r="Y79" s="14" t="s">
        <v>86</v>
      </c>
      <c r="Z79" s="19" t="s">
        <v>170</v>
      </c>
      <c r="AA79" s="13" t="s">
        <v>118</v>
      </c>
      <c r="AB79" s="20" t="s">
        <v>335</v>
      </c>
      <c r="AC79" s="21" t="s">
        <v>247</v>
      </c>
      <c r="AD79" s="22" t="s">
        <v>91</v>
      </c>
      <c r="AE79" s="21" t="s">
        <v>336</v>
      </c>
      <c r="AF79" s="42" t="s">
        <v>337</v>
      </c>
      <c r="AG79" s="13">
        <v>20</v>
      </c>
      <c r="AH79" s="36">
        <v>46376</v>
      </c>
      <c r="AI79" s="24" t="s">
        <v>338</v>
      </c>
      <c r="AJ79" s="25" t="s">
        <v>95</v>
      </c>
      <c r="AK79" s="26">
        <f t="shared" si="13"/>
        <v>44830</v>
      </c>
      <c r="AL79" s="27">
        <f t="shared" si="14"/>
        <v>46376</v>
      </c>
      <c r="AM79" s="28">
        <f t="shared" si="15"/>
        <v>44830</v>
      </c>
      <c r="AN79" s="28">
        <f t="shared" si="16"/>
        <v>44830</v>
      </c>
      <c r="AO79" s="25" t="s">
        <v>209</v>
      </c>
      <c r="AP79" s="41" t="s">
        <v>223</v>
      </c>
      <c r="AQ79" s="12">
        <v>100</v>
      </c>
      <c r="AR79" s="28">
        <f t="shared" si="17"/>
        <v>44890</v>
      </c>
      <c r="AS79" s="12" t="s">
        <v>74</v>
      </c>
      <c r="AT79" s="29" t="s">
        <v>98</v>
      </c>
      <c r="AU79" s="30">
        <v>8405262107</v>
      </c>
      <c r="AV79" s="28" t="s">
        <v>99</v>
      </c>
      <c r="AW79" s="28" t="s">
        <v>100</v>
      </c>
      <c r="AX79" s="12" t="s">
        <v>74</v>
      </c>
      <c r="AY79" s="29" t="s">
        <v>101</v>
      </c>
      <c r="AZ79" s="30">
        <v>198306197</v>
      </c>
      <c r="BA79" s="28" t="s">
        <v>99</v>
      </c>
      <c r="BB79" s="28" t="s">
        <v>100</v>
      </c>
      <c r="BC79" s="31" t="s">
        <v>102</v>
      </c>
      <c r="BD79" s="18">
        <v>30828</v>
      </c>
      <c r="BE79" s="29" t="s">
        <v>81</v>
      </c>
      <c r="BF79" s="29" t="s">
        <v>103</v>
      </c>
      <c r="BG79" s="29" t="s">
        <v>104</v>
      </c>
      <c r="BH79" s="12" t="s">
        <v>105</v>
      </c>
      <c r="BI79" s="12" t="s">
        <v>106</v>
      </c>
      <c r="BJ79" s="32" t="s">
        <v>107</v>
      </c>
      <c r="BK79" t="s">
        <v>108</v>
      </c>
      <c r="BL79" s="12" t="s">
        <v>109</v>
      </c>
      <c r="BM79" s="12" t="s">
        <v>74</v>
      </c>
      <c r="BN79" s="12" t="s">
        <v>80</v>
      </c>
      <c r="BO79" s="12" t="s">
        <v>80</v>
      </c>
      <c r="BP79" s="12" t="s">
        <v>110</v>
      </c>
      <c r="BQ79" s="12" t="s">
        <v>111</v>
      </c>
      <c r="BR79" s="14" t="s">
        <v>112</v>
      </c>
      <c r="BS79" s="14" t="s">
        <v>113</v>
      </c>
      <c r="BT79" s="23">
        <v>40</v>
      </c>
      <c r="BU79" s="33">
        <v>213111231</v>
      </c>
    </row>
    <row r="80" spans="1:73" ht="14.4" customHeight="1" x14ac:dyDescent="0.35">
      <c r="A80" t="s">
        <v>345</v>
      </c>
      <c r="C80" s="10"/>
      <c r="D80" t="s">
        <v>170</v>
      </c>
      <c r="E80" s="11" t="s">
        <v>332</v>
      </c>
      <c r="F80" s="12" t="s">
        <v>74</v>
      </c>
      <c r="G80" t="s">
        <v>346</v>
      </c>
      <c r="H80" s="13" t="s">
        <v>207</v>
      </c>
      <c r="I80" s="14" t="s">
        <v>77</v>
      </c>
      <c r="J80" s="14" t="s">
        <v>78</v>
      </c>
      <c r="K80" s="14" t="s">
        <v>79</v>
      </c>
      <c r="L80" s="15">
        <f t="shared" si="12"/>
        <v>44831</v>
      </c>
      <c r="M80" s="12" t="s">
        <v>74</v>
      </c>
      <c r="N80" s="12" t="s">
        <v>80</v>
      </c>
      <c r="O80" s="12">
        <v>1</v>
      </c>
      <c r="P80" s="14" t="s">
        <v>81</v>
      </c>
      <c r="Q80" s="14" t="s">
        <v>82</v>
      </c>
      <c r="R80" s="14" t="s">
        <v>81</v>
      </c>
      <c r="S80" s="14" t="s">
        <v>83</v>
      </c>
      <c r="T80" s="14" t="s">
        <v>79</v>
      </c>
      <c r="U80" s="16" t="s">
        <v>84</v>
      </c>
      <c r="V80" s="17" t="s">
        <v>85</v>
      </c>
      <c r="W80" s="14" t="s">
        <v>79</v>
      </c>
      <c r="X80" s="18">
        <v>44831</v>
      </c>
      <c r="Y80" s="14" t="s">
        <v>86</v>
      </c>
      <c r="Z80" s="19" t="s">
        <v>170</v>
      </c>
      <c r="AA80" s="13" t="s">
        <v>118</v>
      </c>
      <c r="AB80" s="20" t="s">
        <v>335</v>
      </c>
      <c r="AC80" s="21" t="s">
        <v>247</v>
      </c>
      <c r="AD80" s="22" t="s">
        <v>91</v>
      </c>
      <c r="AE80" s="21" t="s">
        <v>336</v>
      </c>
      <c r="AF80" s="42" t="s">
        <v>337</v>
      </c>
      <c r="AG80" s="13">
        <v>20</v>
      </c>
      <c r="AH80" s="36">
        <v>46376</v>
      </c>
      <c r="AI80" s="24" t="s">
        <v>338</v>
      </c>
      <c r="AJ80" s="25" t="s">
        <v>95</v>
      </c>
      <c r="AK80" s="26">
        <f t="shared" si="13"/>
        <v>44831</v>
      </c>
      <c r="AL80" s="27">
        <f t="shared" si="14"/>
        <v>46376</v>
      </c>
      <c r="AM80" s="28">
        <f t="shared" si="15"/>
        <v>44831</v>
      </c>
      <c r="AN80" s="28">
        <f t="shared" si="16"/>
        <v>44831</v>
      </c>
      <c r="AO80" s="25" t="s">
        <v>209</v>
      </c>
      <c r="AP80" s="41" t="s">
        <v>229</v>
      </c>
      <c r="AQ80" s="12">
        <v>100</v>
      </c>
      <c r="AR80" s="28">
        <f t="shared" si="17"/>
        <v>44891</v>
      </c>
      <c r="AS80" s="12" t="s">
        <v>74</v>
      </c>
      <c r="AT80" s="29" t="s">
        <v>98</v>
      </c>
      <c r="AU80" s="30">
        <v>8405267717</v>
      </c>
      <c r="AV80" s="28" t="s">
        <v>99</v>
      </c>
      <c r="AW80" s="28" t="s">
        <v>100</v>
      </c>
      <c r="AX80" s="12" t="s">
        <v>74</v>
      </c>
      <c r="AY80" s="29" t="s">
        <v>101</v>
      </c>
      <c r="AZ80" s="30">
        <v>198306198</v>
      </c>
      <c r="BA80" s="28" t="s">
        <v>99</v>
      </c>
      <c r="BB80" s="28" t="s">
        <v>100</v>
      </c>
      <c r="BC80" s="31" t="s">
        <v>102</v>
      </c>
      <c r="BD80" s="18">
        <v>30828</v>
      </c>
      <c r="BE80" s="29" t="s">
        <v>81</v>
      </c>
      <c r="BF80" s="29" t="s">
        <v>103</v>
      </c>
      <c r="BG80" s="29" t="s">
        <v>104</v>
      </c>
      <c r="BH80" s="12" t="s">
        <v>105</v>
      </c>
      <c r="BI80" s="12" t="s">
        <v>106</v>
      </c>
      <c r="BJ80" s="32" t="s">
        <v>107</v>
      </c>
      <c r="BK80" t="s">
        <v>108</v>
      </c>
      <c r="BL80" s="12" t="s">
        <v>109</v>
      </c>
      <c r="BM80" s="12" t="s">
        <v>74</v>
      </c>
      <c r="BN80" s="12" t="s">
        <v>80</v>
      </c>
      <c r="BO80" s="12" t="s">
        <v>80</v>
      </c>
      <c r="BP80" s="12" t="s">
        <v>110</v>
      </c>
      <c r="BQ80" s="12" t="s">
        <v>111</v>
      </c>
      <c r="BR80" s="14" t="s">
        <v>112</v>
      </c>
      <c r="BS80" s="14" t="s">
        <v>113</v>
      </c>
      <c r="BT80" s="23">
        <v>40</v>
      </c>
      <c r="BU80" s="33">
        <v>213111231</v>
      </c>
    </row>
    <row r="81" spans="1:73" ht="14.4" customHeight="1" x14ac:dyDescent="0.35">
      <c r="A81" t="s">
        <v>347</v>
      </c>
      <c r="C81" s="10"/>
      <c r="D81" t="s">
        <v>170</v>
      </c>
      <c r="E81" s="11" t="s">
        <v>332</v>
      </c>
      <c r="F81" s="12" t="s">
        <v>74</v>
      </c>
      <c r="G81" t="s">
        <v>348</v>
      </c>
      <c r="H81" s="13" t="s">
        <v>207</v>
      </c>
      <c r="I81" s="14" t="s">
        <v>122</v>
      </c>
      <c r="J81" s="14" t="s">
        <v>78</v>
      </c>
      <c r="K81" s="14" t="s">
        <v>79</v>
      </c>
      <c r="L81" s="15">
        <f t="shared" si="12"/>
        <v>44589</v>
      </c>
      <c r="M81" s="12" t="s">
        <v>74</v>
      </c>
      <c r="N81" s="12" t="s">
        <v>80</v>
      </c>
      <c r="O81" s="12">
        <v>1</v>
      </c>
      <c r="P81" s="14" t="s">
        <v>81</v>
      </c>
      <c r="Q81" s="14" t="s">
        <v>82</v>
      </c>
      <c r="R81" s="14" t="s">
        <v>81</v>
      </c>
      <c r="S81" s="14" t="s">
        <v>83</v>
      </c>
      <c r="T81" s="14" t="s">
        <v>79</v>
      </c>
      <c r="U81" s="16" t="s">
        <v>84</v>
      </c>
      <c r="V81" s="17" t="s">
        <v>85</v>
      </c>
      <c r="W81" s="14" t="s">
        <v>79</v>
      </c>
      <c r="X81" s="18">
        <v>44589</v>
      </c>
      <c r="Y81" s="14" t="s">
        <v>86</v>
      </c>
      <c r="Z81" s="19" t="s">
        <v>170</v>
      </c>
      <c r="AA81" s="13" t="s">
        <v>118</v>
      </c>
      <c r="AB81" s="20" t="s">
        <v>335</v>
      </c>
      <c r="AC81" s="21" t="s">
        <v>247</v>
      </c>
      <c r="AD81" s="22" t="s">
        <v>91</v>
      </c>
      <c r="AE81" s="21" t="s">
        <v>336</v>
      </c>
      <c r="AF81" s="42" t="s">
        <v>337</v>
      </c>
      <c r="AG81" s="13">
        <v>20</v>
      </c>
      <c r="AH81" s="36">
        <v>46376</v>
      </c>
      <c r="AI81" s="24" t="s">
        <v>338</v>
      </c>
      <c r="AJ81" s="25" t="s">
        <v>95</v>
      </c>
      <c r="AK81" s="26">
        <f t="shared" si="13"/>
        <v>44589</v>
      </c>
      <c r="AL81" s="27">
        <f t="shared" si="14"/>
        <v>46376</v>
      </c>
      <c r="AM81" s="28">
        <f t="shared" si="15"/>
        <v>44589</v>
      </c>
      <c r="AN81" s="28">
        <f t="shared" si="16"/>
        <v>44589</v>
      </c>
      <c r="AO81" s="25" t="s">
        <v>209</v>
      </c>
      <c r="AP81" s="41" t="s">
        <v>232</v>
      </c>
      <c r="AQ81" s="12">
        <v>100</v>
      </c>
      <c r="AR81" s="28">
        <f t="shared" si="17"/>
        <v>44649</v>
      </c>
      <c r="AS81" s="12" t="s">
        <v>74</v>
      </c>
      <c r="AT81" s="29" t="s">
        <v>98</v>
      </c>
      <c r="AU81" s="30">
        <v>8405264384</v>
      </c>
      <c r="AV81" s="28" t="s">
        <v>99</v>
      </c>
      <c r="AW81" s="28" t="s">
        <v>100</v>
      </c>
      <c r="AX81" s="12" t="s">
        <v>74</v>
      </c>
      <c r="AY81" s="29" t="s">
        <v>101</v>
      </c>
      <c r="AZ81" s="30">
        <v>198306199</v>
      </c>
      <c r="BA81" s="28" t="s">
        <v>99</v>
      </c>
      <c r="BB81" s="28" t="s">
        <v>100</v>
      </c>
      <c r="BC81" s="31" t="s">
        <v>102</v>
      </c>
      <c r="BD81" s="18">
        <v>30828</v>
      </c>
      <c r="BE81" s="29" t="s">
        <v>81</v>
      </c>
      <c r="BF81" s="29" t="s">
        <v>103</v>
      </c>
      <c r="BG81" s="29" t="s">
        <v>104</v>
      </c>
      <c r="BH81" s="12" t="s">
        <v>105</v>
      </c>
      <c r="BI81" s="12" t="s">
        <v>106</v>
      </c>
      <c r="BJ81" s="32" t="s">
        <v>107</v>
      </c>
      <c r="BK81" t="s">
        <v>108</v>
      </c>
      <c r="BL81" s="12" t="s">
        <v>109</v>
      </c>
      <c r="BM81" s="12" t="s">
        <v>74</v>
      </c>
      <c r="BN81" s="12" t="s">
        <v>80</v>
      </c>
      <c r="BO81" s="12" t="s">
        <v>80</v>
      </c>
      <c r="BP81" s="12" t="s">
        <v>110</v>
      </c>
      <c r="BQ81" s="12" t="s">
        <v>111</v>
      </c>
      <c r="BR81" s="14" t="s">
        <v>112</v>
      </c>
      <c r="BS81" s="14" t="s">
        <v>113</v>
      </c>
      <c r="BT81" s="23">
        <v>40</v>
      </c>
      <c r="BU81" s="33">
        <v>213111231</v>
      </c>
    </row>
    <row r="82" spans="1:73" ht="14.4" customHeight="1" x14ac:dyDescent="0.35">
      <c r="A82" t="s">
        <v>349</v>
      </c>
      <c r="C82" s="10"/>
      <c r="D82" t="s">
        <v>170</v>
      </c>
      <c r="E82" s="11" t="s">
        <v>332</v>
      </c>
      <c r="F82" s="12" t="s">
        <v>74</v>
      </c>
      <c r="G82" t="s">
        <v>350</v>
      </c>
      <c r="H82" s="13" t="s">
        <v>207</v>
      </c>
      <c r="I82" s="14" t="s">
        <v>77</v>
      </c>
      <c r="J82" s="14" t="s">
        <v>78</v>
      </c>
      <c r="K82" s="14" t="s">
        <v>79</v>
      </c>
      <c r="L82" s="15">
        <f t="shared" si="12"/>
        <v>45411</v>
      </c>
      <c r="M82" s="12" t="s">
        <v>74</v>
      </c>
      <c r="N82" s="12" t="s">
        <v>80</v>
      </c>
      <c r="O82" s="12">
        <v>1</v>
      </c>
      <c r="P82" s="14" t="s">
        <v>81</v>
      </c>
      <c r="Q82" s="14" t="s">
        <v>82</v>
      </c>
      <c r="R82" s="14" t="s">
        <v>81</v>
      </c>
      <c r="S82" s="14" t="s">
        <v>83</v>
      </c>
      <c r="T82" s="14" t="s">
        <v>79</v>
      </c>
      <c r="U82" s="16" t="s">
        <v>84</v>
      </c>
      <c r="V82" s="17" t="s">
        <v>85</v>
      </c>
      <c r="W82" s="14" t="s">
        <v>79</v>
      </c>
      <c r="X82" s="18">
        <v>45411</v>
      </c>
      <c r="Y82" s="14" t="s">
        <v>86</v>
      </c>
      <c r="Z82" s="19" t="s">
        <v>170</v>
      </c>
      <c r="AA82" s="13" t="s">
        <v>118</v>
      </c>
      <c r="AB82" s="20" t="s">
        <v>335</v>
      </c>
      <c r="AC82" s="21" t="s">
        <v>247</v>
      </c>
      <c r="AD82" s="22" t="s">
        <v>91</v>
      </c>
      <c r="AE82" s="21" t="s">
        <v>336</v>
      </c>
      <c r="AF82" s="42" t="s">
        <v>337</v>
      </c>
      <c r="AG82" s="13">
        <v>20</v>
      </c>
      <c r="AH82" s="36">
        <v>46376</v>
      </c>
      <c r="AI82" s="24" t="s">
        <v>351</v>
      </c>
      <c r="AJ82" s="25" t="s">
        <v>95</v>
      </c>
      <c r="AK82" s="26">
        <f t="shared" si="13"/>
        <v>45411</v>
      </c>
      <c r="AL82" s="27">
        <f t="shared" si="14"/>
        <v>46376</v>
      </c>
      <c r="AM82" s="28">
        <f t="shared" si="15"/>
        <v>45411</v>
      </c>
      <c r="AN82" s="28">
        <f t="shared" si="16"/>
        <v>45411</v>
      </c>
      <c r="AO82" s="25" t="s">
        <v>209</v>
      </c>
      <c r="AP82" s="41" t="s">
        <v>238</v>
      </c>
      <c r="AQ82" s="12">
        <v>100</v>
      </c>
      <c r="AR82" s="28">
        <f t="shared" si="17"/>
        <v>45471</v>
      </c>
      <c r="AS82" s="12" t="s">
        <v>74</v>
      </c>
      <c r="AT82" s="29" t="s">
        <v>98</v>
      </c>
      <c r="AU82" s="30" t="s">
        <v>352</v>
      </c>
      <c r="AV82" s="28" t="s">
        <v>99</v>
      </c>
      <c r="AW82" s="28" t="s">
        <v>100</v>
      </c>
      <c r="AX82" s="12" t="s">
        <v>74</v>
      </c>
      <c r="AY82" s="29" t="s">
        <v>101</v>
      </c>
      <c r="AZ82" s="30">
        <v>198306200</v>
      </c>
      <c r="BA82" s="28" t="s">
        <v>99</v>
      </c>
      <c r="BB82" s="28" t="s">
        <v>100</v>
      </c>
      <c r="BC82" s="31" t="s">
        <v>102</v>
      </c>
      <c r="BD82" s="18">
        <v>39763</v>
      </c>
      <c r="BE82" s="29" t="s">
        <v>81</v>
      </c>
      <c r="BF82" s="29" t="s">
        <v>103</v>
      </c>
      <c r="BG82" s="29" t="s">
        <v>104</v>
      </c>
      <c r="BH82" s="12" t="s">
        <v>105</v>
      </c>
      <c r="BI82" s="12" t="s">
        <v>106</v>
      </c>
      <c r="BJ82" s="32" t="s">
        <v>107</v>
      </c>
      <c r="BK82" t="s">
        <v>108</v>
      </c>
      <c r="BL82" s="12" t="s">
        <v>109</v>
      </c>
      <c r="BM82" s="12" t="s">
        <v>74</v>
      </c>
      <c r="BN82" s="12" t="s">
        <v>80</v>
      </c>
      <c r="BO82" s="12" t="s">
        <v>80</v>
      </c>
      <c r="BP82" s="12" t="s">
        <v>110</v>
      </c>
      <c r="BQ82" s="12" t="s">
        <v>111</v>
      </c>
      <c r="BR82" s="14" t="s">
        <v>112</v>
      </c>
      <c r="BS82" s="14" t="s">
        <v>113</v>
      </c>
      <c r="BT82" s="23">
        <v>40</v>
      </c>
      <c r="BU82" s="33">
        <v>213111231</v>
      </c>
    </row>
    <row r="83" spans="1:73" ht="14.4" customHeight="1" x14ac:dyDescent="0.35">
      <c r="A83" t="s">
        <v>353</v>
      </c>
      <c r="C83" s="10"/>
      <c r="D83" t="s">
        <v>170</v>
      </c>
      <c r="E83" s="11" t="s">
        <v>332</v>
      </c>
      <c r="F83" s="12" t="s">
        <v>74</v>
      </c>
      <c r="G83" t="s">
        <v>354</v>
      </c>
      <c r="H83" s="13" t="s">
        <v>207</v>
      </c>
      <c r="I83" s="14" t="s">
        <v>77</v>
      </c>
      <c r="J83" s="14" t="s">
        <v>78</v>
      </c>
      <c r="K83" s="14" t="s">
        <v>79</v>
      </c>
      <c r="L83" s="15">
        <f t="shared" si="12"/>
        <v>45170</v>
      </c>
      <c r="M83" s="12" t="s">
        <v>74</v>
      </c>
      <c r="N83" s="12" t="s">
        <v>80</v>
      </c>
      <c r="O83" s="12">
        <v>1</v>
      </c>
      <c r="P83" s="14" t="s">
        <v>81</v>
      </c>
      <c r="Q83" s="14" t="s">
        <v>82</v>
      </c>
      <c r="R83" s="14" t="s">
        <v>81</v>
      </c>
      <c r="S83" s="14" t="s">
        <v>83</v>
      </c>
      <c r="T83" s="14" t="s">
        <v>79</v>
      </c>
      <c r="U83" s="16" t="s">
        <v>84</v>
      </c>
      <c r="V83" s="17" t="s">
        <v>85</v>
      </c>
      <c r="W83" s="14" t="s">
        <v>79</v>
      </c>
      <c r="X83" s="18">
        <v>45170</v>
      </c>
      <c r="Y83" s="14" t="s">
        <v>86</v>
      </c>
      <c r="Z83" s="19" t="s">
        <v>170</v>
      </c>
      <c r="AA83" s="13" t="s">
        <v>118</v>
      </c>
      <c r="AB83" s="20" t="s">
        <v>335</v>
      </c>
      <c r="AC83" s="21" t="s">
        <v>247</v>
      </c>
      <c r="AD83" s="22" t="s">
        <v>91</v>
      </c>
      <c r="AE83" s="21" t="s">
        <v>336</v>
      </c>
      <c r="AF83" s="42" t="s">
        <v>337</v>
      </c>
      <c r="AG83" s="13">
        <v>20</v>
      </c>
      <c r="AH83" s="36">
        <v>46376</v>
      </c>
      <c r="AI83" s="24" t="s">
        <v>351</v>
      </c>
      <c r="AJ83" s="25" t="s">
        <v>95</v>
      </c>
      <c r="AK83" s="26">
        <f t="shared" si="13"/>
        <v>45170</v>
      </c>
      <c r="AL83" s="27">
        <f t="shared" si="14"/>
        <v>46376</v>
      </c>
      <c r="AM83" s="28">
        <f t="shared" si="15"/>
        <v>45170</v>
      </c>
      <c r="AN83" s="28">
        <f t="shared" si="16"/>
        <v>45170</v>
      </c>
      <c r="AO83" s="25" t="s">
        <v>209</v>
      </c>
      <c r="AP83" s="41" t="s">
        <v>248</v>
      </c>
      <c r="AQ83" s="12">
        <v>100</v>
      </c>
      <c r="AR83" s="28">
        <f t="shared" si="17"/>
        <v>45230</v>
      </c>
      <c r="AS83" s="12" t="s">
        <v>74</v>
      </c>
      <c r="AT83" s="29" t="s">
        <v>98</v>
      </c>
      <c r="AU83" s="30" t="s">
        <v>355</v>
      </c>
      <c r="AV83" s="28" t="s">
        <v>99</v>
      </c>
      <c r="AW83" s="28" t="s">
        <v>100</v>
      </c>
      <c r="AX83" s="12" t="s">
        <v>74</v>
      </c>
      <c r="AY83" s="29" t="s">
        <v>101</v>
      </c>
      <c r="AZ83" s="30">
        <v>198306201</v>
      </c>
      <c r="BA83" s="28" t="s">
        <v>99</v>
      </c>
      <c r="BB83" s="28" t="s">
        <v>100</v>
      </c>
      <c r="BC83" s="31" t="s">
        <v>102</v>
      </c>
      <c r="BD83" s="18">
        <v>39763</v>
      </c>
      <c r="BE83" s="29" t="s">
        <v>81</v>
      </c>
      <c r="BF83" s="29" t="s">
        <v>103</v>
      </c>
      <c r="BG83" s="29" t="s">
        <v>104</v>
      </c>
      <c r="BH83" s="12" t="s">
        <v>105</v>
      </c>
      <c r="BI83" s="12" t="s">
        <v>106</v>
      </c>
      <c r="BJ83" s="32" t="s">
        <v>107</v>
      </c>
      <c r="BK83" t="s">
        <v>108</v>
      </c>
      <c r="BL83" s="12" t="s">
        <v>109</v>
      </c>
      <c r="BM83" s="12" t="s">
        <v>74</v>
      </c>
      <c r="BN83" s="12" t="s">
        <v>80</v>
      </c>
      <c r="BO83" s="12" t="s">
        <v>80</v>
      </c>
      <c r="BP83" s="12" t="s">
        <v>110</v>
      </c>
      <c r="BQ83" s="12" t="s">
        <v>111</v>
      </c>
      <c r="BR83" s="14" t="s">
        <v>112</v>
      </c>
      <c r="BS83" s="14" t="s">
        <v>113</v>
      </c>
      <c r="BT83" s="23">
        <v>40</v>
      </c>
      <c r="BU83" s="33">
        <v>213111231</v>
      </c>
    </row>
    <row r="84" spans="1:73" ht="14.4" customHeight="1" x14ac:dyDescent="0.35">
      <c r="A84" t="s">
        <v>356</v>
      </c>
      <c r="C84" s="10"/>
      <c r="D84" t="s">
        <v>170</v>
      </c>
      <c r="E84" s="11" t="s">
        <v>332</v>
      </c>
      <c r="F84" s="12" t="s">
        <v>74</v>
      </c>
      <c r="G84" t="s">
        <v>357</v>
      </c>
      <c r="H84" s="13" t="s">
        <v>207</v>
      </c>
      <c r="I84" s="14" t="s">
        <v>77</v>
      </c>
      <c r="J84" s="14" t="s">
        <v>78</v>
      </c>
      <c r="K84" s="14" t="s">
        <v>79</v>
      </c>
      <c r="L84" s="15">
        <f t="shared" si="12"/>
        <v>44836</v>
      </c>
      <c r="M84" s="12" t="s">
        <v>74</v>
      </c>
      <c r="N84" s="12" t="s">
        <v>80</v>
      </c>
      <c r="O84" s="12">
        <v>1</v>
      </c>
      <c r="P84" s="14" t="s">
        <v>81</v>
      </c>
      <c r="Q84" s="14" t="s">
        <v>82</v>
      </c>
      <c r="R84" s="14" t="s">
        <v>81</v>
      </c>
      <c r="S84" s="14" t="s">
        <v>83</v>
      </c>
      <c r="T84" s="14" t="s">
        <v>79</v>
      </c>
      <c r="U84" s="16" t="s">
        <v>84</v>
      </c>
      <c r="V84" s="17" t="s">
        <v>85</v>
      </c>
      <c r="W84" s="14" t="s">
        <v>79</v>
      </c>
      <c r="X84" s="18">
        <v>44836</v>
      </c>
      <c r="Y84" s="14" t="s">
        <v>86</v>
      </c>
      <c r="Z84" s="19" t="s">
        <v>170</v>
      </c>
      <c r="AA84" s="13" t="s">
        <v>118</v>
      </c>
      <c r="AB84" s="20" t="s">
        <v>335</v>
      </c>
      <c r="AC84" s="21" t="s">
        <v>247</v>
      </c>
      <c r="AD84" s="22" t="s">
        <v>91</v>
      </c>
      <c r="AE84" s="21" t="s">
        <v>336</v>
      </c>
      <c r="AF84" s="42" t="s">
        <v>337</v>
      </c>
      <c r="AG84" s="13">
        <v>20</v>
      </c>
      <c r="AH84" s="36">
        <v>46376</v>
      </c>
      <c r="AI84" s="24" t="s">
        <v>351</v>
      </c>
      <c r="AJ84" s="25" t="s">
        <v>95</v>
      </c>
      <c r="AK84" s="26">
        <f t="shared" si="13"/>
        <v>44836</v>
      </c>
      <c r="AL84" s="27">
        <f t="shared" si="14"/>
        <v>46376</v>
      </c>
      <c r="AM84" s="28">
        <f t="shared" si="15"/>
        <v>44836</v>
      </c>
      <c r="AN84" s="28">
        <f t="shared" si="16"/>
        <v>44836</v>
      </c>
      <c r="AO84" s="25" t="s">
        <v>209</v>
      </c>
      <c r="AP84" s="41" t="s">
        <v>251</v>
      </c>
      <c r="AQ84" s="12">
        <v>100</v>
      </c>
      <c r="AR84" s="28">
        <f t="shared" si="17"/>
        <v>44896</v>
      </c>
      <c r="AS84" s="12" t="s">
        <v>74</v>
      </c>
      <c r="AT84" s="29" t="s">
        <v>98</v>
      </c>
      <c r="AU84" s="30">
        <v>8405264120</v>
      </c>
      <c r="AV84" s="28" t="s">
        <v>99</v>
      </c>
      <c r="AW84" s="28" t="s">
        <v>100</v>
      </c>
      <c r="AX84" s="12" t="s">
        <v>74</v>
      </c>
      <c r="AY84" s="29" t="s">
        <v>101</v>
      </c>
      <c r="AZ84" s="30">
        <v>198306202</v>
      </c>
      <c r="BA84" s="28" t="s">
        <v>99</v>
      </c>
      <c r="BB84" s="28" t="s">
        <v>100</v>
      </c>
      <c r="BC84" s="31" t="s">
        <v>102</v>
      </c>
      <c r="BD84" s="18">
        <v>30828</v>
      </c>
      <c r="BE84" s="29" t="s">
        <v>81</v>
      </c>
      <c r="BF84" s="29" t="s">
        <v>103</v>
      </c>
      <c r="BG84" s="29" t="s">
        <v>104</v>
      </c>
      <c r="BH84" s="12" t="s">
        <v>105</v>
      </c>
      <c r="BI84" s="12" t="s">
        <v>106</v>
      </c>
      <c r="BJ84" s="32" t="s">
        <v>107</v>
      </c>
      <c r="BK84" t="s">
        <v>108</v>
      </c>
      <c r="BL84" s="12" t="s">
        <v>109</v>
      </c>
      <c r="BM84" s="12" t="s">
        <v>74</v>
      </c>
      <c r="BN84" s="12" t="s">
        <v>80</v>
      </c>
      <c r="BO84" s="12" t="s">
        <v>80</v>
      </c>
      <c r="BP84" s="12" t="s">
        <v>110</v>
      </c>
      <c r="BQ84" s="12" t="s">
        <v>111</v>
      </c>
      <c r="BR84" s="14" t="s">
        <v>112</v>
      </c>
      <c r="BS84" s="14" t="s">
        <v>113</v>
      </c>
      <c r="BT84" s="23">
        <v>40</v>
      </c>
      <c r="BU84" s="33">
        <v>213111231</v>
      </c>
    </row>
    <row r="85" spans="1:73" ht="14.4" customHeight="1" x14ac:dyDescent="0.35">
      <c r="A85" t="s">
        <v>358</v>
      </c>
      <c r="C85" s="10"/>
      <c r="D85" t="s">
        <v>170</v>
      </c>
      <c r="E85" s="11" t="s">
        <v>332</v>
      </c>
      <c r="F85" s="12" t="s">
        <v>74</v>
      </c>
      <c r="G85" t="s">
        <v>359</v>
      </c>
      <c r="H85" s="13" t="s">
        <v>207</v>
      </c>
      <c r="I85" s="14" t="s">
        <v>77</v>
      </c>
      <c r="J85" s="14" t="s">
        <v>78</v>
      </c>
      <c r="K85" s="14" t="s">
        <v>79</v>
      </c>
      <c r="L85" s="15">
        <f t="shared" si="12"/>
        <v>44807</v>
      </c>
      <c r="M85" s="12" t="s">
        <v>74</v>
      </c>
      <c r="N85" s="12" t="s">
        <v>80</v>
      </c>
      <c r="O85" s="12">
        <v>1</v>
      </c>
      <c r="P85" s="14" t="s">
        <v>81</v>
      </c>
      <c r="Q85" s="14" t="s">
        <v>82</v>
      </c>
      <c r="R85" s="14" t="s">
        <v>81</v>
      </c>
      <c r="S85" s="14" t="s">
        <v>83</v>
      </c>
      <c r="T85" s="14" t="s">
        <v>79</v>
      </c>
      <c r="U85" s="16" t="s">
        <v>84</v>
      </c>
      <c r="V85" s="17" t="s">
        <v>85</v>
      </c>
      <c r="W85" s="14" t="s">
        <v>79</v>
      </c>
      <c r="X85" s="18">
        <v>44807</v>
      </c>
      <c r="Y85" s="14" t="s">
        <v>86</v>
      </c>
      <c r="Z85" s="19" t="s">
        <v>170</v>
      </c>
      <c r="AA85" s="13" t="s">
        <v>118</v>
      </c>
      <c r="AB85" s="20" t="s">
        <v>335</v>
      </c>
      <c r="AC85" s="21" t="s">
        <v>247</v>
      </c>
      <c r="AD85" s="22" t="s">
        <v>91</v>
      </c>
      <c r="AE85" s="21" t="s">
        <v>336</v>
      </c>
      <c r="AF85" s="42" t="s">
        <v>337</v>
      </c>
      <c r="AG85" s="13">
        <v>20</v>
      </c>
      <c r="AH85" s="36">
        <v>46376</v>
      </c>
      <c r="AI85" s="24" t="s">
        <v>351</v>
      </c>
      <c r="AJ85" s="25" t="s">
        <v>95</v>
      </c>
      <c r="AK85" s="26">
        <f t="shared" si="13"/>
        <v>44807</v>
      </c>
      <c r="AL85" s="27">
        <f t="shared" si="14"/>
        <v>46376</v>
      </c>
      <c r="AM85" s="28">
        <f t="shared" si="15"/>
        <v>44807</v>
      </c>
      <c r="AN85" s="28">
        <f t="shared" si="16"/>
        <v>44807</v>
      </c>
      <c r="AO85" s="25" t="s">
        <v>209</v>
      </c>
      <c r="AP85" s="41" t="s">
        <v>296</v>
      </c>
      <c r="AQ85" s="12">
        <v>100</v>
      </c>
      <c r="AR85" s="28">
        <f t="shared" si="17"/>
        <v>44867</v>
      </c>
      <c r="AS85" s="12" t="s">
        <v>74</v>
      </c>
      <c r="AT85" s="29" t="s">
        <v>98</v>
      </c>
      <c r="AU85" s="30">
        <v>8405261117</v>
      </c>
      <c r="AV85" s="28" t="s">
        <v>99</v>
      </c>
      <c r="AW85" s="28" t="s">
        <v>100</v>
      </c>
      <c r="AX85" s="12" t="s">
        <v>74</v>
      </c>
      <c r="AY85" s="29" t="s">
        <v>101</v>
      </c>
      <c r="AZ85" s="30">
        <v>198306203</v>
      </c>
      <c r="BA85" s="28" t="s">
        <v>99</v>
      </c>
      <c r="BB85" s="28" t="s">
        <v>100</v>
      </c>
      <c r="BC85" s="31" t="s">
        <v>102</v>
      </c>
      <c r="BD85" s="18">
        <v>30828</v>
      </c>
      <c r="BE85" s="29" t="s">
        <v>81</v>
      </c>
      <c r="BF85" s="29" t="s">
        <v>103</v>
      </c>
      <c r="BG85" s="29" t="s">
        <v>104</v>
      </c>
      <c r="BH85" s="12" t="s">
        <v>105</v>
      </c>
      <c r="BI85" s="12" t="s">
        <v>106</v>
      </c>
      <c r="BJ85" s="32" t="s">
        <v>107</v>
      </c>
      <c r="BK85" t="s">
        <v>108</v>
      </c>
      <c r="BL85" s="12" t="s">
        <v>109</v>
      </c>
      <c r="BM85" s="12" t="s">
        <v>74</v>
      </c>
      <c r="BN85" s="12" t="s">
        <v>80</v>
      </c>
      <c r="BO85" s="12" t="s">
        <v>80</v>
      </c>
      <c r="BP85" s="12" t="s">
        <v>110</v>
      </c>
      <c r="BQ85" s="12" t="s">
        <v>111</v>
      </c>
      <c r="BR85" s="14" t="s">
        <v>112</v>
      </c>
      <c r="BS85" s="14" t="s">
        <v>113</v>
      </c>
      <c r="BT85" s="23">
        <v>40</v>
      </c>
      <c r="BU85" s="33">
        <v>213111231</v>
      </c>
    </row>
    <row r="86" spans="1:73" ht="14.4" customHeight="1" x14ac:dyDescent="0.35">
      <c r="A86" t="s">
        <v>360</v>
      </c>
      <c r="C86" s="10"/>
      <c r="D86" t="s">
        <v>170</v>
      </c>
      <c r="E86" s="11" t="s">
        <v>332</v>
      </c>
      <c r="F86" s="12" t="s">
        <v>74</v>
      </c>
      <c r="G86" t="s">
        <v>361</v>
      </c>
      <c r="H86" s="13" t="s">
        <v>207</v>
      </c>
      <c r="I86" s="14" t="s">
        <v>122</v>
      </c>
      <c r="J86" s="14" t="s">
        <v>78</v>
      </c>
      <c r="K86" s="14" t="s">
        <v>79</v>
      </c>
      <c r="L86" s="15">
        <f t="shared" si="12"/>
        <v>44624</v>
      </c>
      <c r="M86" s="12" t="s">
        <v>74</v>
      </c>
      <c r="N86" s="12" t="s">
        <v>80</v>
      </c>
      <c r="O86" s="12">
        <v>1</v>
      </c>
      <c r="P86" s="14" t="s">
        <v>81</v>
      </c>
      <c r="Q86" s="14" t="s">
        <v>82</v>
      </c>
      <c r="R86" s="14" t="s">
        <v>81</v>
      </c>
      <c r="S86" s="14" t="s">
        <v>83</v>
      </c>
      <c r="T86" s="14" t="s">
        <v>79</v>
      </c>
      <c r="U86" s="16" t="s">
        <v>84</v>
      </c>
      <c r="V86" s="17" t="s">
        <v>85</v>
      </c>
      <c r="W86" s="14" t="s">
        <v>79</v>
      </c>
      <c r="X86" s="18">
        <v>44624</v>
      </c>
      <c r="Y86" s="14" t="s">
        <v>86</v>
      </c>
      <c r="Z86" s="19" t="s">
        <v>170</v>
      </c>
      <c r="AA86" s="13" t="s">
        <v>118</v>
      </c>
      <c r="AB86" s="20" t="s">
        <v>335</v>
      </c>
      <c r="AC86" s="21" t="s">
        <v>247</v>
      </c>
      <c r="AD86" s="22" t="s">
        <v>91</v>
      </c>
      <c r="AE86" s="21" t="s">
        <v>336</v>
      </c>
      <c r="AF86" s="42" t="s">
        <v>337</v>
      </c>
      <c r="AG86" s="13">
        <v>20</v>
      </c>
      <c r="AH86" s="36">
        <v>46376</v>
      </c>
      <c r="AI86" s="24" t="s">
        <v>351</v>
      </c>
      <c r="AJ86" s="25" t="s">
        <v>95</v>
      </c>
      <c r="AK86" s="26">
        <f t="shared" si="13"/>
        <v>44624</v>
      </c>
      <c r="AL86" s="27">
        <f t="shared" si="14"/>
        <v>46376</v>
      </c>
      <c r="AM86" s="28">
        <f t="shared" si="15"/>
        <v>44624</v>
      </c>
      <c r="AN86" s="28">
        <f t="shared" si="16"/>
        <v>44624</v>
      </c>
      <c r="AO86" s="25" t="s">
        <v>209</v>
      </c>
      <c r="AP86" s="41" t="s">
        <v>299</v>
      </c>
      <c r="AQ86" s="12">
        <v>100</v>
      </c>
      <c r="AR86" s="28">
        <f t="shared" si="17"/>
        <v>44684</v>
      </c>
      <c r="AS86" s="12" t="s">
        <v>74</v>
      </c>
      <c r="AT86" s="29" t="s">
        <v>98</v>
      </c>
      <c r="AU86" s="30">
        <v>8405263812</v>
      </c>
      <c r="AV86" s="28" t="s">
        <v>99</v>
      </c>
      <c r="AW86" s="28" t="s">
        <v>100</v>
      </c>
      <c r="AX86" s="12" t="s">
        <v>74</v>
      </c>
      <c r="AY86" s="29" t="s">
        <v>101</v>
      </c>
      <c r="AZ86" s="30">
        <v>198306204</v>
      </c>
      <c r="BA86" s="28" t="s">
        <v>99</v>
      </c>
      <c r="BB86" s="28" t="s">
        <v>100</v>
      </c>
      <c r="BC86" s="31" t="s">
        <v>102</v>
      </c>
      <c r="BD86" s="18">
        <v>30828</v>
      </c>
      <c r="BE86" s="29" t="s">
        <v>81</v>
      </c>
      <c r="BF86" s="29" t="s">
        <v>103</v>
      </c>
      <c r="BG86" s="29" t="s">
        <v>104</v>
      </c>
      <c r="BH86" s="12" t="s">
        <v>105</v>
      </c>
      <c r="BI86" s="12" t="s">
        <v>106</v>
      </c>
      <c r="BJ86" s="32" t="s">
        <v>107</v>
      </c>
      <c r="BK86" t="s">
        <v>108</v>
      </c>
      <c r="BL86" s="12" t="s">
        <v>109</v>
      </c>
      <c r="BM86" s="12" t="s">
        <v>74</v>
      </c>
      <c r="BN86" s="12" t="s">
        <v>80</v>
      </c>
      <c r="BO86" s="12" t="s">
        <v>80</v>
      </c>
      <c r="BP86" s="12" t="s">
        <v>110</v>
      </c>
      <c r="BQ86" s="12" t="s">
        <v>111</v>
      </c>
      <c r="BR86" s="14" t="s">
        <v>112</v>
      </c>
      <c r="BS86" s="14" t="s">
        <v>113</v>
      </c>
      <c r="BT86" s="23">
        <v>40</v>
      </c>
      <c r="BU86" s="33">
        <v>213111231</v>
      </c>
    </row>
    <row r="87" spans="1:73" ht="14.4" customHeight="1" x14ac:dyDescent="0.35">
      <c r="A87" t="s">
        <v>362</v>
      </c>
      <c r="C87" s="10"/>
      <c r="D87" t="s">
        <v>170</v>
      </c>
      <c r="E87" s="11" t="s">
        <v>205</v>
      </c>
      <c r="F87" s="12" t="s">
        <v>74</v>
      </c>
      <c r="G87" t="s">
        <v>363</v>
      </c>
      <c r="H87" s="13" t="s">
        <v>207</v>
      </c>
      <c r="I87" s="14" t="s">
        <v>77</v>
      </c>
      <c r="J87" s="14" t="s">
        <v>78</v>
      </c>
      <c r="K87" s="14" t="s">
        <v>79</v>
      </c>
      <c r="L87" s="15">
        <f t="shared" si="12"/>
        <v>44816</v>
      </c>
      <c r="M87" s="12" t="s">
        <v>74</v>
      </c>
      <c r="N87" s="12" t="s">
        <v>80</v>
      </c>
      <c r="O87" s="12">
        <v>1</v>
      </c>
      <c r="P87" s="14" t="s">
        <v>81</v>
      </c>
      <c r="Q87" s="14" t="s">
        <v>82</v>
      </c>
      <c r="R87" s="14" t="s">
        <v>81</v>
      </c>
      <c r="S87" s="14" t="s">
        <v>83</v>
      </c>
      <c r="T87" s="14" t="s">
        <v>79</v>
      </c>
      <c r="U87" s="16" t="s">
        <v>84</v>
      </c>
      <c r="V87" s="17" t="s">
        <v>85</v>
      </c>
      <c r="W87" s="14" t="s">
        <v>79</v>
      </c>
      <c r="X87" s="18">
        <v>44816</v>
      </c>
      <c r="Y87" s="14" t="s">
        <v>86</v>
      </c>
      <c r="Z87" s="19" t="s">
        <v>170</v>
      </c>
      <c r="AA87" s="13" t="s">
        <v>88</v>
      </c>
      <c r="AB87" s="20" t="s">
        <v>187</v>
      </c>
      <c r="AC87" s="21" t="s">
        <v>90</v>
      </c>
      <c r="AD87" s="22" t="s">
        <v>91</v>
      </c>
      <c r="AE87" s="21" t="s">
        <v>92</v>
      </c>
      <c r="AF87" s="13">
        <v>5</v>
      </c>
      <c r="AG87" s="13">
        <v>37.5</v>
      </c>
      <c r="AH87" s="36" t="s">
        <v>93</v>
      </c>
      <c r="AI87" s="24" t="s">
        <v>94</v>
      </c>
      <c r="AJ87" s="25" t="s">
        <v>95</v>
      </c>
      <c r="AK87" s="26">
        <f t="shared" si="13"/>
        <v>44816</v>
      </c>
      <c r="AL87" s="27" t="str">
        <f t="shared" si="14"/>
        <v>N/A</v>
      </c>
      <c r="AM87" s="28">
        <f t="shared" si="15"/>
        <v>44816</v>
      </c>
      <c r="AN87" s="28">
        <f t="shared" si="16"/>
        <v>44816</v>
      </c>
      <c r="AO87" s="25" t="s">
        <v>209</v>
      </c>
      <c r="AP87" s="41" t="s">
        <v>364</v>
      </c>
      <c r="AQ87" s="12">
        <v>100</v>
      </c>
      <c r="AR87" s="28">
        <f t="shared" si="17"/>
        <v>44876</v>
      </c>
      <c r="AS87" s="12" t="s">
        <v>74</v>
      </c>
      <c r="AT87" s="29" t="s">
        <v>98</v>
      </c>
      <c r="AU87" s="30">
        <v>8405275637</v>
      </c>
      <c r="AV87" s="28" t="s">
        <v>99</v>
      </c>
      <c r="AW87" s="28" t="s">
        <v>100</v>
      </c>
      <c r="AX87" s="12" t="s">
        <v>74</v>
      </c>
      <c r="AY87" s="29" t="s">
        <v>101</v>
      </c>
      <c r="AZ87" s="30">
        <v>198306205</v>
      </c>
      <c r="BA87" s="28" t="s">
        <v>99</v>
      </c>
      <c r="BB87" s="28" t="s">
        <v>100</v>
      </c>
      <c r="BC87" s="31" t="s">
        <v>102</v>
      </c>
      <c r="BD87" s="18">
        <v>30829</v>
      </c>
      <c r="BE87" s="29" t="s">
        <v>81</v>
      </c>
      <c r="BF87" s="29" t="s">
        <v>103</v>
      </c>
      <c r="BG87" s="29" t="s">
        <v>104</v>
      </c>
      <c r="BH87" s="12" t="s">
        <v>105</v>
      </c>
      <c r="BI87" s="12" t="s">
        <v>106</v>
      </c>
      <c r="BJ87" s="32" t="s">
        <v>107</v>
      </c>
      <c r="BK87" t="s">
        <v>108</v>
      </c>
      <c r="BL87" s="12" t="s">
        <v>109</v>
      </c>
      <c r="BM87" s="12" t="s">
        <v>74</v>
      </c>
      <c r="BN87" s="12" t="s">
        <v>80</v>
      </c>
      <c r="BO87" s="12" t="s">
        <v>80</v>
      </c>
      <c r="BP87" s="12" t="s">
        <v>110</v>
      </c>
      <c r="BQ87" s="12" t="s">
        <v>111</v>
      </c>
      <c r="BR87" s="14" t="s">
        <v>112</v>
      </c>
      <c r="BS87" s="14" t="s">
        <v>113</v>
      </c>
      <c r="BT87" s="23">
        <v>37.5</v>
      </c>
      <c r="BU87" s="33">
        <v>213111231</v>
      </c>
    </row>
    <row r="88" spans="1:73" ht="14.4" customHeight="1" x14ac:dyDescent="0.35">
      <c r="A88" t="s">
        <v>365</v>
      </c>
      <c r="C88" s="10"/>
      <c r="D88" t="s">
        <v>170</v>
      </c>
      <c r="E88" s="11" t="s">
        <v>205</v>
      </c>
      <c r="F88" s="12" t="s">
        <v>74</v>
      </c>
      <c r="G88" t="s">
        <v>366</v>
      </c>
      <c r="H88" s="13" t="s">
        <v>207</v>
      </c>
      <c r="I88" s="14" t="s">
        <v>77</v>
      </c>
      <c r="J88" s="14" t="s">
        <v>78</v>
      </c>
      <c r="K88" s="14" t="s">
        <v>79</v>
      </c>
      <c r="L88" s="15">
        <f t="shared" si="12"/>
        <v>44817</v>
      </c>
      <c r="M88" s="12" t="s">
        <v>74</v>
      </c>
      <c r="N88" s="12" t="s">
        <v>80</v>
      </c>
      <c r="O88" s="12">
        <v>1</v>
      </c>
      <c r="P88" s="14" t="s">
        <v>81</v>
      </c>
      <c r="Q88" s="14" t="s">
        <v>82</v>
      </c>
      <c r="R88" s="14" t="s">
        <v>81</v>
      </c>
      <c r="S88" s="14" t="s">
        <v>83</v>
      </c>
      <c r="T88" s="14" t="s">
        <v>79</v>
      </c>
      <c r="U88" s="16" t="s">
        <v>84</v>
      </c>
      <c r="V88" s="17" t="s">
        <v>85</v>
      </c>
      <c r="W88" s="14" t="s">
        <v>79</v>
      </c>
      <c r="X88" s="18">
        <v>44817</v>
      </c>
      <c r="Y88" s="14" t="s">
        <v>86</v>
      </c>
      <c r="Z88" s="19" t="s">
        <v>170</v>
      </c>
      <c r="AA88" s="13" t="s">
        <v>118</v>
      </c>
      <c r="AB88" s="20" t="s">
        <v>187</v>
      </c>
      <c r="AC88" s="21" t="s">
        <v>90</v>
      </c>
      <c r="AD88" s="22" t="s">
        <v>91</v>
      </c>
      <c r="AE88" s="21" t="s">
        <v>92</v>
      </c>
      <c r="AF88" s="13">
        <v>5</v>
      </c>
      <c r="AG88" s="13">
        <v>37.5</v>
      </c>
      <c r="AH88" s="36">
        <v>46357</v>
      </c>
      <c r="AI88" s="24" t="s">
        <v>94</v>
      </c>
      <c r="AJ88" s="25" t="s">
        <v>95</v>
      </c>
      <c r="AK88" s="26">
        <f t="shared" si="13"/>
        <v>44817</v>
      </c>
      <c r="AL88" s="27">
        <f t="shared" si="14"/>
        <v>46357</v>
      </c>
      <c r="AM88" s="28">
        <f t="shared" si="15"/>
        <v>44817</v>
      </c>
      <c r="AN88" s="28">
        <f t="shared" si="16"/>
        <v>44817</v>
      </c>
      <c r="AO88" s="25" t="s">
        <v>209</v>
      </c>
      <c r="AP88" s="41" t="s">
        <v>364</v>
      </c>
      <c r="AQ88" s="12">
        <v>100</v>
      </c>
      <c r="AR88" s="28">
        <f t="shared" si="17"/>
        <v>44877</v>
      </c>
      <c r="AS88" s="12" t="s">
        <v>74</v>
      </c>
      <c r="AT88" s="29" t="s">
        <v>98</v>
      </c>
      <c r="AU88" s="30">
        <v>8405282897</v>
      </c>
      <c r="AV88" s="28" t="s">
        <v>99</v>
      </c>
      <c r="AW88" s="28" t="s">
        <v>100</v>
      </c>
      <c r="AX88" s="12" t="s">
        <v>74</v>
      </c>
      <c r="AY88" s="29" t="s">
        <v>101</v>
      </c>
      <c r="AZ88" s="30">
        <v>198306206</v>
      </c>
      <c r="BA88" s="28" t="s">
        <v>99</v>
      </c>
      <c r="BB88" s="28" t="s">
        <v>100</v>
      </c>
      <c r="BC88" s="31" t="s">
        <v>102</v>
      </c>
      <c r="BD88" s="18">
        <v>30830</v>
      </c>
      <c r="BE88" s="29" t="s">
        <v>81</v>
      </c>
      <c r="BF88" s="29" t="s">
        <v>103</v>
      </c>
      <c r="BG88" s="29" t="s">
        <v>104</v>
      </c>
      <c r="BH88" s="12" t="s">
        <v>105</v>
      </c>
      <c r="BI88" s="12" t="s">
        <v>106</v>
      </c>
      <c r="BJ88" s="32" t="s">
        <v>107</v>
      </c>
      <c r="BK88" t="s">
        <v>108</v>
      </c>
      <c r="BL88" s="12" t="s">
        <v>109</v>
      </c>
      <c r="BM88" s="12" t="s">
        <v>74</v>
      </c>
      <c r="BN88" s="12" t="s">
        <v>80</v>
      </c>
      <c r="BO88" s="12" t="s">
        <v>80</v>
      </c>
      <c r="BP88" s="12" t="s">
        <v>110</v>
      </c>
      <c r="BQ88" s="12" t="s">
        <v>111</v>
      </c>
      <c r="BR88" s="14" t="s">
        <v>112</v>
      </c>
      <c r="BS88" s="14" t="s">
        <v>113</v>
      </c>
      <c r="BT88" s="23">
        <v>37.5</v>
      </c>
      <c r="BU88" s="33">
        <v>213111231</v>
      </c>
    </row>
    <row r="89" spans="1:73" ht="14.4" customHeight="1" x14ac:dyDescent="0.35">
      <c r="A89" t="s">
        <v>367</v>
      </c>
      <c r="C89" s="10"/>
      <c r="D89" t="s">
        <v>170</v>
      </c>
      <c r="E89" s="11" t="s">
        <v>205</v>
      </c>
      <c r="F89" s="12" t="s">
        <v>74</v>
      </c>
      <c r="G89" t="s">
        <v>368</v>
      </c>
      <c r="H89" s="13" t="s">
        <v>207</v>
      </c>
      <c r="I89" s="14" t="s">
        <v>77</v>
      </c>
      <c r="J89" s="14" t="s">
        <v>78</v>
      </c>
      <c r="K89" s="14" t="s">
        <v>79</v>
      </c>
      <c r="L89" s="15">
        <f t="shared" si="12"/>
        <v>44848</v>
      </c>
      <c r="M89" s="12" t="s">
        <v>74</v>
      </c>
      <c r="N89" s="12" t="s">
        <v>80</v>
      </c>
      <c r="O89" s="12">
        <v>1</v>
      </c>
      <c r="P89" s="14" t="s">
        <v>81</v>
      </c>
      <c r="Q89" s="14" t="s">
        <v>82</v>
      </c>
      <c r="R89" s="14" t="s">
        <v>81</v>
      </c>
      <c r="S89" s="14" t="s">
        <v>83</v>
      </c>
      <c r="T89" s="14" t="s">
        <v>79</v>
      </c>
      <c r="U89" s="16" t="s">
        <v>84</v>
      </c>
      <c r="V89" s="17" t="s">
        <v>85</v>
      </c>
      <c r="W89" s="14" t="s">
        <v>79</v>
      </c>
      <c r="X89" s="18">
        <v>44848</v>
      </c>
      <c r="Y89" s="14" t="s">
        <v>86</v>
      </c>
      <c r="Z89" s="19" t="s">
        <v>186</v>
      </c>
      <c r="AA89" s="13" t="s">
        <v>118</v>
      </c>
      <c r="AB89" s="20" t="s">
        <v>187</v>
      </c>
      <c r="AC89" s="21" t="s">
        <v>90</v>
      </c>
      <c r="AD89" s="22" t="s">
        <v>91</v>
      </c>
      <c r="AE89" s="21" t="s">
        <v>92</v>
      </c>
      <c r="AF89" s="13">
        <v>5</v>
      </c>
      <c r="AG89" s="13">
        <v>37.5</v>
      </c>
      <c r="AH89" s="36">
        <v>46357</v>
      </c>
      <c r="AI89" s="24" t="s">
        <v>94</v>
      </c>
      <c r="AJ89" s="25" t="s">
        <v>95</v>
      </c>
      <c r="AK89" s="26">
        <f t="shared" si="13"/>
        <v>44848</v>
      </c>
      <c r="AL89" s="27">
        <f t="shared" si="14"/>
        <v>46357</v>
      </c>
      <c r="AM89" s="28">
        <f t="shared" si="15"/>
        <v>44848</v>
      </c>
      <c r="AN89" s="28">
        <f t="shared" si="16"/>
        <v>44848</v>
      </c>
      <c r="AO89" s="25" t="s">
        <v>209</v>
      </c>
      <c r="AP89" s="41" t="s">
        <v>364</v>
      </c>
      <c r="AQ89" s="12">
        <v>100</v>
      </c>
      <c r="AR89" s="28">
        <f t="shared" si="17"/>
        <v>44908</v>
      </c>
      <c r="AS89" s="12" t="s">
        <v>74</v>
      </c>
      <c r="AT89" s="29" t="s">
        <v>98</v>
      </c>
      <c r="AU89" s="30">
        <v>8405296581</v>
      </c>
      <c r="AV89" s="28" t="s">
        <v>99</v>
      </c>
      <c r="AW89" s="28" t="s">
        <v>100</v>
      </c>
      <c r="AX89" s="12" t="s">
        <v>74</v>
      </c>
      <c r="AY89" s="29" t="s">
        <v>101</v>
      </c>
      <c r="AZ89" s="30">
        <v>198306207</v>
      </c>
      <c r="BA89" s="28" t="s">
        <v>99</v>
      </c>
      <c r="BB89" s="28" t="s">
        <v>100</v>
      </c>
      <c r="BC89" s="31" t="s">
        <v>102</v>
      </c>
      <c r="BD89" s="18">
        <v>30831</v>
      </c>
      <c r="BE89" s="29" t="s">
        <v>81</v>
      </c>
      <c r="BF89" s="29" t="s">
        <v>103</v>
      </c>
      <c r="BG89" s="29" t="s">
        <v>104</v>
      </c>
      <c r="BH89" s="12" t="s">
        <v>105</v>
      </c>
      <c r="BI89" s="12" t="s">
        <v>106</v>
      </c>
      <c r="BJ89" s="32" t="s">
        <v>107</v>
      </c>
      <c r="BK89" t="s">
        <v>108</v>
      </c>
      <c r="BL89" s="12" t="s">
        <v>109</v>
      </c>
      <c r="BM89" s="12" t="s">
        <v>74</v>
      </c>
      <c r="BN89" s="12" t="s">
        <v>80</v>
      </c>
      <c r="BO89" s="12" t="s">
        <v>80</v>
      </c>
      <c r="BP89" s="12" t="s">
        <v>110</v>
      </c>
      <c r="BQ89" s="12" t="s">
        <v>111</v>
      </c>
      <c r="BR89" s="14" t="s">
        <v>112</v>
      </c>
      <c r="BS89" s="14" t="s">
        <v>113</v>
      </c>
      <c r="BT89" s="23">
        <v>37.5</v>
      </c>
      <c r="BU89" s="33">
        <v>213111231</v>
      </c>
    </row>
    <row r="90" spans="1:73" ht="14.4" customHeight="1" x14ac:dyDescent="0.35">
      <c r="A90" t="s">
        <v>369</v>
      </c>
      <c r="C90" s="10"/>
      <c r="D90" t="s">
        <v>170</v>
      </c>
      <c r="E90" s="11" t="s">
        <v>205</v>
      </c>
      <c r="F90" s="12" t="s">
        <v>74</v>
      </c>
      <c r="G90" t="s">
        <v>370</v>
      </c>
      <c r="H90" s="13" t="s">
        <v>207</v>
      </c>
      <c r="I90" s="14" t="s">
        <v>77</v>
      </c>
      <c r="J90" s="14" t="s">
        <v>78</v>
      </c>
      <c r="K90" s="14" t="s">
        <v>79</v>
      </c>
      <c r="L90" s="15">
        <f t="shared" si="12"/>
        <v>45158</v>
      </c>
      <c r="M90" s="12" t="s">
        <v>74</v>
      </c>
      <c r="N90" s="12" t="s">
        <v>80</v>
      </c>
      <c r="O90" s="12">
        <v>1</v>
      </c>
      <c r="P90" s="14" t="s">
        <v>81</v>
      </c>
      <c r="Q90" s="14" t="s">
        <v>82</v>
      </c>
      <c r="R90" s="14" t="s">
        <v>81</v>
      </c>
      <c r="S90" s="14" t="s">
        <v>83</v>
      </c>
      <c r="T90" s="14" t="s">
        <v>79</v>
      </c>
      <c r="U90" s="16" t="s">
        <v>84</v>
      </c>
      <c r="V90" s="17" t="s">
        <v>85</v>
      </c>
      <c r="W90" s="14" t="s">
        <v>79</v>
      </c>
      <c r="X90" s="18">
        <v>45158</v>
      </c>
      <c r="Y90" s="14" t="s">
        <v>86</v>
      </c>
      <c r="Z90" s="19" t="s">
        <v>170</v>
      </c>
      <c r="AA90" s="13" t="s">
        <v>88</v>
      </c>
      <c r="AB90" s="20" t="s">
        <v>371</v>
      </c>
      <c r="AC90" s="21" t="s">
        <v>90</v>
      </c>
      <c r="AD90" s="22" t="s">
        <v>91</v>
      </c>
      <c r="AE90" s="21" t="s">
        <v>92</v>
      </c>
      <c r="AF90" s="13">
        <v>5</v>
      </c>
      <c r="AG90" s="13">
        <v>37.5</v>
      </c>
      <c r="AH90" s="36" t="s">
        <v>93</v>
      </c>
      <c r="AI90" s="24" t="s">
        <v>94</v>
      </c>
      <c r="AJ90" s="25" t="s">
        <v>95</v>
      </c>
      <c r="AK90" s="26">
        <f t="shared" si="13"/>
        <v>45158</v>
      </c>
      <c r="AL90" s="27" t="str">
        <f t="shared" si="14"/>
        <v>N/A</v>
      </c>
      <c r="AM90" s="28">
        <f t="shared" si="15"/>
        <v>45158</v>
      </c>
      <c r="AN90" s="28">
        <f t="shared" si="16"/>
        <v>45158</v>
      </c>
      <c r="AO90" s="25" t="s">
        <v>209</v>
      </c>
      <c r="AP90" s="41" t="s">
        <v>372</v>
      </c>
      <c r="AQ90" s="12">
        <v>100</v>
      </c>
      <c r="AR90" s="28">
        <f t="shared" si="17"/>
        <v>45218</v>
      </c>
      <c r="AS90" s="12" t="s">
        <v>74</v>
      </c>
      <c r="AT90" s="29" t="s">
        <v>98</v>
      </c>
      <c r="AU90" s="30">
        <v>840530678</v>
      </c>
      <c r="AV90" s="28" t="s">
        <v>99</v>
      </c>
      <c r="AW90" s="28" t="s">
        <v>100</v>
      </c>
      <c r="AX90" s="12" t="s">
        <v>74</v>
      </c>
      <c r="AY90" s="29" t="s">
        <v>101</v>
      </c>
      <c r="AZ90" s="30">
        <v>198306208</v>
      </c>
      <c r="BA90" s="28" t="s">
        <v>99</v>
      </c>
      <c r="BB90" s="28" t="s">
        <v>100</v>
      </c>
      <c r="BC90" s="31" t="s">
        <v>102</v>
      </c>
      <c r="BD90" s="18">
        <v>30832</v>
      </c>
      <c r="BE90" s="29" t="s">
        <v>81</v>
      </c>
      <c r="BF90" s="29" t="s">
        <v>103</v>
      </c>
      <c r="BG90" s="29" t="s">
        <v>104</v>
      </c>
      <c r="BH90" s="12" t="s">
        <v>105</v>
      </c>
      <c r="BI90" s="12" t="s">
        <v>106</v>
      </c>
      <c r="BJ90" s="32" t="s">
        <v>107</v>
      </c>
      <c r="BK90" t="s">
        <v>108</v>
      </c>
      <c r="BL90" s="12" t="s">
        <v>109</v>
      </c>
      <c r="BM90" s="12" t="s">
        <v>74</v>
      </c>
      <c r="BN90" s="12" t="s">
        <v>80</v>
      </c>
      <c r="BO90" s="12" t="s">
        <v>80</v>
      </c>
      <c r="BP90" s="12" t="s">
        <v>110</v>
      </c>
      <c r="BQ90" s="12" t="s">
        <v>111</v>
      </c>
      <c r="BR90" s="14" t="s">
        <v>112</v>
      </c>
      <c r="BS90" s="14" t="s">
        <v>113</v>
      </c>
      <c r="BT90" s="23">
        <v>37.5</v>
      </c>
      <c r="BU90" s="33">
        <v>213111231</v>
      </c>
    </row>
    <row r="91" spans="1:73" ht="14.4" customHeight="1" x14ac:dyDescent="0.35">
      <c r="A91" t="s">
        <v>373</v>
      </c>
      <c r="C91" s="10"/>
      <c r="D91" t="s">
        <v>170</v>
      </c>
      <c r="E91" s="11" t="s">
        <v>205</v>
      </c>
      <c r="F91" s="12" t="s">
        <v>74</v>
      </c>
      <c r="G91" t="s">
        <v>374</v>
      </c>
      <c r="H91" s="13" t="s">
        <v>207</v>
      </c>
      <c r="I91" s="14" t="s">
        <v>122</v>
      </c>
      <c r="J91" s="14" t="s">
        <v>78</v>
      </c>
      <c r="K91" s="14" t="s">
        <v>79</v>
      </c>
      <c r="L91" s="15">
        <f t="shared" si="12"/>
        <v>44825</v>
      </c>
      <c r="M91" s="12" t="s">
        <v>74</v>
      </c>
      <c r="N91" s="12" t="s">
        <v>80</v>
      </c>
      <c r="O91" s="12">
        <v>1</v>
      </c>
      <c r="P91" s="14" t="s">
        <v>81</v>
      </c>
      <c r="Q91" s="14" t="s">
        <v>82</v>
      </c>
      <c r="R91" s="14" t="s">
        <v>81</v>
      </c>
      <c r="S91" s="14" t="s">
        <v>83</v>
      </c>
      <c r="T91" s="14" t="s">
        <v>79</v>
      </c>
      <c r="U91" s="16" t="s">
        <v>84</v>
      </c>
      <c r="V91" s="17" t="s">
        <v>85</v>
      </c>
      <c r="W91" s="14" t="s">
        <v>79</v>
      </c>
      <c r="X91" s="18">
        <v>44825</v>
      </c>
      <c r="Y91" s="14" t="s">
        <v>86</v>
      </c>
      <c r="Z91" s="19" t="s">
        <v>196</v>
      </c>
      <c r="AA91" s="13" t="s">
        <v>118</v>
      </c>
      <c r="AB91" s="20" t="s">
        <v>371</v>
      </c>
      <c r="AC91" s="21" t="s">
        <v>90</v>
      </c>
      <c r="AD91" s="22" t="s">
        <v>91</v>
      </c>
      <c r="AE91" s="21" t="s">
        <v>92</v>
      </c>
      <c r="AF91" s="13">
        <v>5</v>
      </c>
      <c r="AG91" s="13">
        <v>37.5</v>
      </c>
      <c r="AH91" s="36">
        <v>46359</v>
      </c>
      <c r="AI91" s="24" t="s">
        <v>94</v>
      </c>
      <c r="AJ91" s="25" t="s">
        <v>95</v>
      </c>
      <c r="AK91" s="26">
        <f t="shared" si="13"/>
        <v>44825</v>
      </c>
      <c r="AL91" s="27">
        <f t="shared" si="14"/>
        <v>46359</v>
      </c>
      <c r="AM91" s="28">
        <f t="shared" si="15"/>
        <v>44825</v>
      </c>
      <c r="AN91" s="28">
        <f t="shared" si="16"/>
        <v>44825</v>
      </c>
      <c r="AO91" s="25" t="s">
        <v>209</v>
      </c>
      <c r="AP91" s="41" t="s">
        <v>372</v>
      </c>
      <c r="AQ91" s="12">
        <v>100</v>
      </c>
      <c r="AR91" s="28">
        <f t="shared" si="17"/>
        <v>44885</v>
      </c>
      <c r="AS91" s="12" t="s">
        <v>74</v>
      </c>
      <c r="AT91" s="29" t="s">
        <v>98</v>
      </c>
      <c r="AU91" s="30">
        <v>8405312949</v>
      </c>
      <c r="AV91" s="28" t="s">
        <v>99</v>
      </c>
      <c r="AW91" s="28" t="s">
        <v>100</v>
      </c>
      <c r="AX91" s="12" t="s">
        <v>74</v>
      </c>
      <c r="AY91" s="29" t="s">
        <v>101</v>
      </c>
      <c r="AZ91" s="30">
        <v>198306209</v>
      </c>
      <c r="BA91" s="28" t="s">
        <v>99</v>
      </c>
      <c r="BB91" s="28" t="s">
        <v>100</v>
      </c>
      <c r="BC91" s="31" t="s">
        <v>102</v>
      </c>
      <c r="BD91" s="18">
        <v>30833</v>
      </c>
      <c r="BE91" s="29" t="s">
        <v>81</v>
      </c>
      <c r="BF91" s="29" t="s">
        <v>103</v>
      </c>
      <c r="BG91" s="29" t="s">
        <v>104</v>
      </c>
      <c r="BH91" s="12" t="s">
        <v>105</v>
      </c>
      <c r="BI91" s="12" t="s">
        <v>106</v>
      </c>
      <c r="BJ91" s="32" t="s">
        <v>107</v>
      </c>
      <c r="BK91" t="s">
        <v>108</v>
      </c>
      <c r="BL91" s="12" t="s">
        <v>109</v>
      </c>
      <c r="BM91" s="12" t="s">
        <v>74</v>
      </c>
      <c r="BN91" s="12" t="s">
        <v>80</v>
      </c>
      <c r="BO91" s="12" t="s">
        <v>80</v>
      </c>
      <c r="BP91" s="12" t="s">
        <v>110</v>
      </c>
      <c r="BQ91" s="12" t="s">
        <v>111</v>
      </c>
      <c r="BR91" s="14" t="s">
        <v>112</v>
      </c>
      <c r="BS91" s="14" t="s">
        <v>113</v>
      </c>
      <c r="BT91" s="23">
        <v>37.5</v>
      </c>
      <c r="BU91" s="33">
        <v>213111231</v>
      </c>
    </row>
    <row r="92" spans="1:73" ht="14.4" customHeight="1" x14ac:dyDescent="0.35">
      <c r="A92" t="s">
        <v>375</v>
      </c>
      <c r="C92" s="10"/>
      <c r="D92" t="s">
        <v>170</v>
      </c>
      <c r="E92" s="11" t="s">
        <v>205</v>
      </c>
      <c r="F92" s="12" t="s">
        <v>74</v>
      </c>
      <c r="G92" t="s">
        <v>376</v>
      </c>
      <c r="H92" s="13" t="s">
        <v>207</v>
      </c>
      <c r="I92" s="14" t="s">
        <v>77</v>
      </c>
      <c r="J92" s="14" t="s">
        <v>78</v>
      </c>
      <c r="K92" s="14" t="s">
        <v>79</v>
      </c>
      <c r="L92" s="15">
        <f t="shared" si="12"/>
        <v>45719</v>
      </c>
      <c r="M92" s="12" t="s">
        <v>74</v>
      </c>
      <c r="N92" s="12" t="s">
        <v>80</v>
      </c>
      <c r="O92" s="12">
        <v>1</v>
      </c>
      <c r="P92" s="14" t="s">
        <v>81</v>
      </c>
      <c r="Q92" s="14" t="s">
        <v>82</v>
      </c>
      <c r="R92" s="14" t="s">
        <v>81</v>
      </c>
      <c r="S92" s="14" t="s">
        <v>83</v>
      </c>
      <c r="T92" s="14" t="s">
        <v>79</v>
      </c>
      <c r="U92" s="16" t="s">
        <v>84</v>
      </c>
      <c r="V92" s="17" t="s">
        <v>85</v>
      </c>
      <c r="W92" s="14" t="s">
        <v>79</v>
      </c>
      <c r="X92" s="18">
        <v>45719</v>
      </c>
      <c r="Y92" s="14" t="s">
        <v>86</v>
      </c>
      <c r="Z92" s="19" t="s">
        <v>186</v>
      </c>
      <c r="AA92" s="13" t="s">
        <v>118</v>
      </c>
      <c r="AB92" s="20" t="s">
        <v>371</v>
      </c>
      <c r="AC92" s="21" t="s">
        <v>90</v>
      </c>
      <c r="AD92" s="22" t="s">
        <v>91</v>
      </c>
      <c r="AE92" s="21" t="s">
        <v>92</v>
      </c>
      <c r="AF92" s="13">
        <v>5</v>
      </c>
      <c r="AG92" s="13">
        <v>37.5</v>
      </c>
      <c r="AH92" s="36">
        <v>46360</v>
      </c>
      <c r="AI92" s="24" t="s">
        <v>94</v>
      </c>
      <c r="AJ92" s="25" t="s">
        <v>95</v>
      </c>
      <c r="AK92" s="26">
        <f t="shared" si="13"/>
        <v>45719</v>
      </c>
      <c r="AL92" s="27">
        <f t="shared" si="14"/>
        <v>46360</v>
      </c>
      <c r="AM92" s="28">
        <f t="shared" si="15"/>
        <v>45719</v>
      </c>
      <c r="AN92" s="28">
        <f t="shared" si="16"/>
        <v>45719</v>
      </c>
      <c r="AO92" s="25" t="s">
        <v>209</v>
      </c>
      <c r="AP92" s="41" t="s">
        <v>372</v>
      </c>
      <c r="AQ92" s="12">
        <v>100</v>
      </c>
      <c r="AR92" s="28">
        <f t="shared" si="17"/>
        <v>45779</v>
      </c>
      <c r="AS92" s="12" t="s">
        <v>74</v>
      </c>
      <c r="AT92" s="29" t="s">
        <v>98</v>
      </c>
      <c r="AU92" s="30">
        <v>8406013946</v>
      </c>
      <c r="AV92" s="28" t="s">
        <v>99</v>
      </c>
      <c r="AW92" s="28" t="s">
        <v>100</v>
      </c>
      <c r="AX92" s="12" t="s">
        <v>74</v>
      </c>
      <c r="AY92" s="29" t="s">
        <v>101</v>
      </c>
      <c r="AZ92" s="30">
        <v>198306210</v>
      </c>
      <c r="BA92" s="28" t="s">
        <v>99</v>
      </c>
      <c r="BB92" s="28" t="s">
        <v>100</v>
      </c>
      <c r="BC92" s="31" t="s">
        <v>102</v>
      </c>
      <c r="BD92" s="18">
        <v>30834</v>
      </c>
      <c r="BE92" s="29" t="s">
        <v>81</v>
      </c>
      <c r="BF92" s="29" t="s">
        <v>103</v>
      </c>
      <c r="BG92" s="29" t="s">
        <v>104</v>
      </c>
      <c r="BH92" s="12" t="s">
        <v>105</v>
      </c>
      <c r="BI92" s="12" t="s">
        <v>106</v>
      </c>
      <c r="BJ92" s="32" t="s">
        <v>107</v>
      </c>
      <c r="BK92" t="s">
        <v>108</v>
      </c>
      <c r="BL92" s="12" t="s">
        <v>109</v>
      </c>
      <c r="BM92" s="12" t="s">
        <v>74</v>
      </c>
      <c r="BN92" s="12" t="s">
        <v>80</v>
      </c>
      <c r="BO92" s="12" t="s">
        <v>80</v>
      </c>
      <c r="BP92" s="12" t="s">
        <v>110</v>
      </c>
      <c r="BQ92" s="12" t="s">
        <v>111</v>
      </c>
      <c r="BR92" s="14" t="s">
        <v>112</v>
      </c>
      <c r="BS92" s="14" t="s">
        <v>113</v>
      </c>
      <c r="BT92" s="23">
        <v>37.5</v>
      </c>
      <c r="BU92" s="33">
        <v>213111231</v>
      </c>
    </row>
    <row r="93" spans="1:73" ht="14.4" customHeight="1" x14ac:dyDescent="0.35">
      <c r="A93" t="s">
        <v>377</v>
      </c>
      <c r="C93" s="10"/>
      <c r="D93" t="s">
        <v>170</v>
      </c>
      <c r="E93" s="11" t="s">
        <v>205</v>
      </c>
      <c r="F93" s="12" t="s">
        <v>74</v>
      </c>
      <c r="G93" t="s">
        <v>378</v>
      </c>
      <c r="H93" s="13" t="s">
        <v>207</v>
      </c>
      <c r="I93" s="14" t="s">
        <v>77</v>
      </c>
      <c r="J93" s="14" t="s">
        <v>78</v>
      </c>
      <c r="K93" s="14" t="s">
        <v>79</v>
      </c>
      <c r="L93" s="15">
        <f t="shared" si="12"/>
        <v>44690</v>
      </c>
      <c r="M93" s="12" t="s">
        <v>74</v>
      </c>
      <c r="N93" s="12" t="s">
        <v>80</v>
      </c>
      <c r="O93" s="12">
        <v>1</v>
      </c>
      <c r="P93" s="14" t="s">
        <v>81</v>
      </c>
      <c r="Q93" s="14" t="s">
        <v>82</v>
      </c>
      <c r="R93" s="14" t="s">
        <v>81</v>
      </c>
      <c r="S93" s="14" t="s">
        <v>83</v>
      </c>
      <c r="T93" s="14" t="s">
        <v>79</v>
      </c>
      <c r="U93" s="16" t="s">
        <v>84</v>
      </c>
      <c r="V93" s="17" t="s">
        <v>85</v>
      </c>
      <c r="W93" s="14" t="s">
        <v>79</v>
      </c>
      <c r="X93" s="18">
        <v>44690</v>
      </c>
      <c r="Y93" s="14" t="s">
        <v>86</v>
      </c>
      <c r="Z93" s="19" t="s">
        <v>170</v>
      </c>
      <c r="AA93" s="13" t="s">
        <v>88</v>
      </c>
      <c r="AB93" s="20" t="s">
        <v>379</v>
      </c>
      <c r="AC93" s="21" t="s">
        <v>90</v>
      </c>
      <c r="AD93" s="22" t="s">
        <v>91</v>
      </c>
      <c r="AE93" s="21" t="s">
        <v>92</v>
      </c>
      <c r="AF93" s="13">
        <v>5</v>
      </c>
      <c r="AG93" s="13">
        <v>37.5</v>
      </c>
      <c r="AH93" s="36">
        <v>46361</v>
      </c>
      <c r="AI93" s="24" t="s">
        <v>94</v>
      </c>
      <c r="AJ93" s="25" t="s">
        <v>95</v>
      </c>
      <c r="AK93" s="26">
        <f t="shared" si="13"/>
        <v>44690</v>
      </c>
      <c r="AL93" s="27">
        <f t="shared" si="14"/>
        <v>46361</v>
      </c>
      <c r="AM93" s="28">
        <f t="shared" si="15"/>
        <v>44690</v>
      </c>
      <c r="AN93" s="28">
        <f t="shared" si="16"/>
        <v>44690</v>
      </c>
      <c r="AO93" s="25" t="s">
        <v>209</v>
      </c>
      <c r="AP93" s="41" t="s">
        <v>210</v>
      </c>
      <c r="AQ93" s="12">
        <v>100</v>
      </c>
      <c r="AR93" s="28">
        <f t="shared" si="17"/>
        <v>44750</v>
      </c>
      <c r="AS93" s="12" t="s">
        <v>74</v>
      </c>
      <c r="AT93" s="29" t="s">
        <v>98</v>
      </c>
      <c r="AU93" s="30">
        <v>8406015772</v>
      </c>
      <c r="AV93" s="28" t="s">
        <v>99</v>
      </c>
      <c r="AW93" s="28" t="s">
        <v>100</v>
      </c>
      <c r="AX93" s="12" t="s">
        <v>74</v>
      </c>
      <c r="AY93" s="29" t="s">
        <v>101</v>
      </c>
      <c r="AZ93" s="30">
        <v>198306211</v>
      </c>
      <c r="BA93" s="28" t="s">
        <v>99</v>
      </c>
      <c r="BB93" s="28" t="s">
        <v>100</v>
      </c>
      <c r="BC93" s="31" t="s">
        <v>102</v>
      </c>
      <c r="BD93" s="18">
        <v>30834</v>
      </c>
      <c r="BE93" s="29" t="s">
        <v>81</v>
      </c>
      <c r="BF93" s="29" t="s">
        <v>103</v>
      </c>
      <c r="BG93" s="29" t="s">
        <v>104</v>
      </c>
      <c r="BH93" s="12" t="s">
        <v>105</v>
      </c>
      <c r="BI93" s="12" t="s">
        <v>106</v>
      </c>
      <c r="BJ93" s="32" t="s">
        <v>107</v>
      </c>
      <c r="BK93" t="s">
        <v>108</v>
      </c>
      <c r="BL93" s="12" t="s">
        <v>109</v>
      </c>
      <c r="BM93" s="12" t="s">
        <v>74</v>
      </c>
      <c r="BN93" s="12" t="s">
        <v>80</v>
      </c>
      <c r="BO93" s="12" t="s">
        <v>80</v>
      </c>
      <c r="BP93" s="12" t="s">
        <v>110</v>
      </c>
      <c r="BQ93" s="12" t="s">
        <v>111</v>
      </c>
      <c r="BR93" s="14" t="s">
        <v>112</v>
      </c>
      <c r="BS93" s="14" t="s">
        <v>113</v>
      </c>
      <c r="BT93" s="23">
        <v>37.5</v>
      </c>
      <c r="BU93" s="33">
        <v>213111231</v>
      </c>
    </row>
    <row r="94" spans="1:73" ht="14.4" customHeight="1" x14ac:dyDescent="0.35">
      <c r="A94" t="s">
        <v>380</v>
      </c>
      <c r="C94" s="10"/>
      <c r="D94" t="s">
        <v>170</v>
      </c>
      <c r="E94" s="11" t="s">
        <v>205</v>
      </c>
      <c r="F94" s="12" t="s">
        <v>74</v>
      </c>
      <c r="G94" t="s">
        <v>381</v>
      </c>
      <c r="H94" s="13" t="s">
        <v>207</v>
      </c>
      <c r="I94" s="14" t="s">
        <v>77</v>
      </c>
      <c r="J94" s="14" t="s">
        <v>78</v>
      </c>
      <c r="K94" s="14" t="s">
        <v>79</v>
      </c>
      <c r="L94" s="15">
        <f t="shared" si="12"/>
        <v>44814</v>
      </c>
      <c r="M94" s="12" t="s">
        <v>74</v>
      </c>
      <c r="N94" s="12" t="s">
        <v>80</v>
      </c>
      <c r="O94" s="12">
        <v>1</v>
      </c>
      <c r="P94" s="14" t="s">
        <v>81</v>
      </c>
      <c r="Q94" s="14" t="s">
        <v>82</v>
      </c>
      <c r="R94" s="14" t="s">
        <v>81</v>
      </c>
      <c r="S94" s="14" t="s">
        <v>83</v>
      </c>
      <c r="T94" s="14" t="s">
        <v>79</v>
      </c>
      <c r="U94" s="16" t="s">
        <v>84</v>
      </c>
      <c r="V94" s="17" t="s">
        <v>85</v>
      </c>
      <c r="W94" s="14" t="s">
        <v>79</v>
      </c>
      <c r="X94" s="18">
        <v>44814</v>
      </c>
      <c r="Y94" s="14" t="s">
        <v>86</v>
      </c>
      <c r="Z94" s="19" t="s">
        <v>186</v>
      </c>
      <c r="AA94" s="13" t="s">
        <v>118</v>
      </c>
      <c r="AB94" s="20" t="s">
        <v>379</v>
      </c>
      <c r="AC94" s="21" t="s">
        <v>90</v>
      </c>
      <c r="AD94" s="22" t="s">
        <v>91</v>
      </c>
      <c r="AE94" s="21" t="s">
        <v>92</v>
      </c>
      <c r="AF94" s="13">
        <v>5</v>
      </c>
      <c r="AG94" s="13">
        <v>37.5</v>
      </c>
      <c r="AH94" s="36">
        <v>46362</v>
      </c>
      <c r="AI94" s="24" t="s">
        <v>94</v>
      </c>
      <c r="AJ94" s="25" t="s">
        <v>95</v>
      </c>
      <c r="AK94" s="26">
        <f t="shared" si="13"/>
        <v>44814</v>
      </c>
      <c r="AL94" s="27">
        <f t="shared" si="14"/>
        <v>46362</v>
      </c>
      <c r="AM94" s="28">
        <f t="shared" si="15"/>
        <v>44814</v>
      </c>
      <c r="AN94" s="28">
        <f t="shared" si="16"/>
        <v>44814</v>
      </c>
      <c r="AO94" s="25" t="s">
        <v>209</v>
      </c>
      <c r="AP94" s="41" t="s">
        <v>213</v>
      </c>
      <c r="AQ94" s="12">
        <v>100</v>
      </c>
      <c r="AR94" s="28">
        <f t="shared" si="17"/>
        <v>44874</v>
      </c>
      <c r="AS94" s="12" t="s">
        <v>74</v>
      </c>
      <c r="AT94" s="29" t="s">
        <v>98</v>
      </c>
      <c r="AU94" s="30">
        <v>8406014958</v>
      </c>
      <c r="AV94" s="28" t="s">
        <v>99</v>
      </c>
      <c r="AW94" s="28" t="s">
        <v>100</v>
      </c>
      <c r="AX94" s="12" t="s">
        <v>74</v>
      </c>
      <c r="AY94" s="29" t="s">
        <v>101</v>
      </c>
      <c r="AZ94" s="30">
        <v>198306212</v>
      </c>
      <c r="BA94" s="28" t="s">
        <v>99</v>
      </c>
      <c r="BB94" s="28" t="s">
        <v>100</v>
      </c>
      <c r="BC94" s="31" t="s">
        <v>102</v>
      </c>
      <c r="BD94" s="18">
        <v>30834</v>
      </c>
      <c r="BE94" s="29" t="s">
        <v>81</v>
      </c>
      <c r="BF94" s="29" t="s">
        <v>103</v>
      </c>
      <c r="BG94" s="29" t="s">
        <v>104</v>
      </c>
      <c r="BH94" s="12" t="s">
        <v>105</v>
      </c>
      <c r="BI94" s="12" t="s">
        <v>106</v>
      </c>
      <c r="BJ94" s="32" t="s">
        <v>107</v>
      </c>
      <c r="BK94" t="s">
        <v>108</v>
      </c>
      <c r="BL94" s="12" t="s">
        <v>109</v>
      </c>
      <c r="BM94" s="12" t="s">
        <v>74</v>
      </c>
      <c r="BN94" s="12" t="s">
        <v>80</v>
      </c>
      <c r="BO94" s="12" t="s">
        <v>80</v>
      </c>
      <c r="BP94" s="12" t="s">
        <v>110</v>
      </c>
      <c r="BQ94" s="12" t="s">
        <v>111</v>
      </c>
      <c r="BR94" s="14" t="s">
        <v>112</v>
      </c>
      <c r="BS94" s="14" t="s">
        <v>113</v>
      </c>
      <c r="BT94" s="23">
        <v>37.5</v>
      </c>
      <c r="BU94" s="33">
        <v>213111231</v>
      </c>
    </row>
    <row r="95" spans="1:73" ht="14.4" customHeight="1" x14ac:dyDescent="0.35">
      <c r="A95" t="s">
        <v>382</v>
      </c>
      <c r="C95" s="10"/>
      <c r="D95" t="s">
        <v>170</v>
      </c>
      <c r="E95" s="11" t="s">
        <v>205</v>
      </c>
      <c r="F95" s="12" t="s">
        <v>74</v>
      </c>
      <c r="G95" t="s">
        <v>383</v>
      </c>
      <c r="H95" s="13" t="s">
        <v>207</v>
      </c>
      <c r="I95" s="14" t="s">
        <v>77</v>
      </c>
      <c r="J95" s="14" t="s">
        <v>78</v>
      </c>
      <c r="K95" s="14" t="s">
        <v>79</v>
      </c>
      <c r="L95" s="15">
        <f t="shared" si="12"/>
        <v>45515</v>
      </c>
      <c r="M95" s="12" t="s">
        <v>74</v>
      </c>
      <c r="N95" s="12" t="s">
        <v>80</v>
      </c>
      <c r="O95" s="12">
        <v>1</v>
      </c>
      <c r="P95" s="14" t="s">
        <v>81</v>
      </c>
      <c r="Q95" s="14" t="s">
        <v>82</v>
      </c>
      <c r="R95" s="14" t="s">
        <v>81</v>
      </c>
      <c r="S95" s="14" t="s">
        <v>83</v>
      </c>
      <c r="T95" s="14" t="s">
        <v>79</v>
      </c>
      <c r="U95" s="16" t="s">
        <v>84</v>
      </c>
      <c r="V95" s="17" t="s">
        <v>85</v>
      </c>
      <c r="W95" s="14" t="s">
        <v>79</v>
      </c>
      <c r="X95" s="18">
        <v>45515</v>
      </c>
      <c r="Y95" s="14" t="s">
        <v>86</v>
      </c>
      <c r="Z95" s="19" t="s">
        <v>170</v>
      </c>
      <c r="AA95" s="13" t="s">
        <v>88</v>
      </c>
      <c r="AB95" s="20" t="s">
        <v>379</v>
      </c>
      <c r="AC95" s="21" t="s">
        <v>90</v>
      </c>
      <c r="AD95" s="22" t="s">
        <v>91</v>
      </c>
      <c r="AE95" s="21" t="s">
        <v>92</v>
      </c>
      <c r="AF95" s="13">
        <v>5</v>
      </c>
      <c r="AG95" s="13">
        <v>37.5</v>
      </c>
      <c r="AH95" s="36">
        <v>46363</v>
      </c>
      <c r="AI95" s="24" t="s">
        <v>94</v>
      </c>
      <c r="AJ95" s="25" t="s">
        <v>95</v>
      </c>
      <c r="AK95" s="26">
        <f t="shared" si="13"/>
        <v>45515</v>
      </c>
      <c r="AL95" s="27">
        <f t="shared" si="14"/>
        <v>46363</v>
      </c>
      <c r="AM95" s="28">
        <f t="shared" si="15"/>
        <v>45515</v>
      </c>
      <c r="AN95" s="28">
        <f t="shared" si="16"/>
        <v>45515</v>
      </c>
      <c r="AO95" s="25" t="s">
        <v>209</v>
      </c>
      <c r="AP95" s="41" t="s">
        <v>223</v>
      </c>
      <c r="AQ95" s="12">
        <v>100</v>
      </c>
      <c r="AR95" s="28">
        <f t="shared" si="17"/>
        <v>45575</v>
      </c>
      <c r="AS95" s="12" t="s">
        <v>74</v>
      </c>
      <c r="AT95" s="29" t="s">
        <v>98</v>
      </c>
      <c r="AU95" s="30">
        <v>8406011845</v>
      </c>
      <c r="AV95" s="28" t="s">
        <v>99</v>
      </c>
      <c r="AW95" s="28" t="s">
        <v>100</v>
      </c>
      <c r="AX95" s="12" t="s">
        <v>74</v>
      </c>
      <c r="AY95" s="29" t="s">
        <v>101</v>
      </c>
      <c r="AZ95" s="30">
        <v>198306213</v>
      </c>
      <c r="BA95" s="28" t="s">
        <v>99</v>
      </c>
      <c r="BB95" s="28" t="s">
        <v>100</v>
      </c>
      <c r="BC95" s="31" t="s">
        <v>102</v>
      </c>
      <c r="BD95" s="18">
        <v>30834</v>
      </c>
      <c r="BE95" s="29" t="s">
        <v>81</v>
      </c>
      <c r="BF95" s="29" t="s">
        <v>103</v>
      </c>
      <c r="BG95" s="29" t="s">
        <v>104</v>
      </c>
      <c r="BH95" s="12" t="s">
        <v>105</v>
      </c>
      <c r="BI95" s="12" t="s">
        <v>106</v>
      </c>
      <c r="BJ95" s="32" t="s">
        <v>107</v>
      </c>
      <c r="BK95" t="s">
        <v>108</v>
      </c>
      <c r="BL95" s="12" t="s">
        <v>109</v>
      </c>
      <c r="BM95" s="12" t="s">
        <v>74</v>
      </c>
      <c r="BN95" s="12" t="s">
        <v>80</v>
      </c>
      <c r="BO95" s="12" t="s">
        <v>80</v>
      </c>
      <c r="BP95" s="12" t="s">
        <v>110</v>
      </c>
      <c r="BQ95" s="12" t="s">
        <v>111</v>
      </c>
      <c r="BR95" s="14" t="s">
        <v>112</v>
      </c>
      <c r="BS95" s="14" t="s">
        <v>113</v>
      </c>
      <c r="BT95" s="23">
        <v>37.5</v>
      </c>
      <c r="BU95" s="33">
        <v>213111231</v>
      </c>
    </row>
    <row r="96" spans="1:73" ht="14.4" customHeight="1" x14ac:dyDescent="0.35">
      <c r="A96" t="s">
        <v>384</v>
      </c>
      <c r="C96" s="10"/>
      <c r="D96" t="s">
        <v>170</v>
      </c>
      <c r="E96" s="11" t="s">
        <v>205</v>
      </c>
      <c r="F96" s="12" t="s">
        <v>74</v>
      </c>
      <c r="G96" t="s">
        <v>385</v>
      </c>
      <c r="H96" s="13" t="s">
        <v>207</v>
      </c>
      <c r="I96" s="14" t="s">
        <v>122</v>
      </c>
      <c r="J96" s="14" t="s">
        <v>78</v>
      </c>
      <c r="K96" s="14" t="s">
        <v>79</v>
      </c>
      <c r="L96" s="15">
        <f t="shared" si="12"/>
        <v>45272</v>
      </c>
      <c r="M96" s="12" t="s">
        <v>74</v>
      </c>
      <c r="N96" s="12" t="s">
        <v>80</v>
      </c>
      <c r="O96" s="12">
        <v>1</v>
      </c>
      <c r="P96" s="14" t="s">
        <v>81</v>
      </c>
      <c r="Q96" s="14" t="s">
        <v>82</v>
      </c>
      <c r="R96" s="14" t="s">
        <v>81</v>
      </c>
      <c r="S96" s="14" t="s">
        <v>83</v>
      </c>
      <c r="T96" s="14" t="s">
        <v>79</v>
      </c>
      <c r="U96" s="16" t="s">
        <v>84</v>
      </c>
      <c r="V96" s="17" t="s">
        <v>85</v>
      </c>
      <c r="W96" s="14" t="s">
        <v>79</v>
      </c>
      <c r="X96" s="18">
        <v>45272</v>
      </c>
      <c r="Y96" s="14" t="s">
        <v>86</v>
      </c>
      <c r="Z96" s="19" t="s">
        <v>196</v>
      </c>
      <c r="AA96" s="13" t="s">
        <v>118</v>
      </c>
      <c r="AB96" s="20" t="s">
        <v>379</v>
      </c>
      <c r="AC96" s="21" t="s">
        <v>247</v>
      </c>
      <c r="AD96" s="22" t="s">
        <v>91</v>
      </c>
      <c r="AE96" s="21" t="s">
        <v>92</v>
      </c>
      <c r="AF96" s="13">
        <v>5</v>
      </c>
      <c r="AG96" s="13">
        <v>30</v>
      </c>
      <c r="AH96" s="36">
        <v>46364</v>
      </c>
      <c r="AI96" s="24" t="s">
        <v>94</v>
      </c>
      <c r="AJ96" s="25" t="s">
        <v>95</v>
      </c>
      <c r="AK96" s="26">
        <f t="shared" si="13"/>
        <v>45272</v>
      </c>
      <c r="AL96" s="27">
        <f t="shared" si="14"/>
        <v>46364</v>
      </c>
      <c r="AM96" s="28">
        <f t="shared" si="15"/>
        <v>45272</v>
      </c>
      <c r="AN96" s="28">
        <f t="shared" si="16"/>
        <v>45272</v>
      </c>
      <c r="AO96" s="25" t="s">
        <v>209</v>
      </c>
      <c r="AP96" s="41" t="s">
        <v>232</v>
      </c>
      <c r="AQ96" s="12">
        <v>100</v>
      </c>
      <c r="AR96" s="28">
        <f t="shared" si="17"/>
        <v>45332</v>
      </c>
      <c r="AS96" s="12" t="s">
        <v>74</v>
      </c>
      <c r="AT96" s="29" t="s">
        <v>98</v>
      </c>
      <c r="AU96" s="30">
        <v>8406016091</v>
      </c>
      <c r="AV96" s="28" t="s">
        <v>99</v>
      </c>
      <c r="AW96" s="28" t="s">
        <v>100</v>
      </c>
      <c r="AX96" s="12" t="s">
        <v>74</v>
      </c>
      <c r="AY96" s="29" t="s">
        <v>101</v>
      </c>
      <c r="AZ96" s="30">
        <v>198306214</v>
      </c>
      <c r="BA96" s="28" t="s">
        <v>99</v>
      </c>
      <c r="BB96" s="28" t="s">
        <v>100</v>
      </c>
      <c r="BC96" s="31" t="s">
        <v>102</v>
      </c>
      <c r="BD96" s="18">
        <v>30834</v>
      </c>
      <c r="BE96" s="29" t="s">
        <v>81</v>
      </c>
      <c r="BF96" s="29" t="s">
        <v>103</v>
      </c>
      <c r="BG96" s="29" t="s">
        <v>104</v>
      </c>
      <c r="BH96" s="12" t="s">
        <v>105</v>
      </c>
      <c r="BI96" s="12" t="s">
        <v>106</v>
      </c>
      <c r="BJ96" s="32" t="s">
        <v>107</v>
      </c>
      <c r="BK96" t="s">
        <v>108</v>
      </c>
      <c r="BL96" s="12" t="s">
        <v>109</v>
      </c>
      <c r="BM96" s="12" t="s">
        <v>74</v>
      </c>
      <c r="BN96" s="12" t="s">
        <v>80</v>
      </c>
      <c r="BO96" s="12" t="s">
        <v>80</v>
      </c>
      <c r="BP96" s="12" t="s">
        <v>110</v>
      </c>
      <c r="BQ96" s="12" t="s">
        <v>111</v>
      </c>
      <c r="BR96" s="14" t="s">
        <v>112</v>
      </c>
      <c r="BS96" s="14" t="s">
        <v>113</v>
      </c>
      <c r="BT96" s="23">
        <v>40</v>
      </c>
      <c r="BU96" s="33">
        <v>213111231</v>
      </c>
    </row>
    <row r="97" spans="1:73" ht="14.4" customHeight="1" x14ac:dyDescent="0.35">
      <c r="A97" t="s">
        <v>386</v>
      </c>
      <c r="C97" s="10"/>
      <c r="D97" t="s">
        <v>170</v>
      </c>
      <c r="E97" s="11" t="s">
        <v>205</v>
      </c>
      <c r="F97" s="12" t="s">
        <v>74</v>
      </c>
      <c r="G97" t="s">
        <v>387</v>
      </c>
      <c r="H97" s="13" t="s">
        <v>207</v>
      </c>
      <c r="I97" s="14" t="s">
        <v>77</v>
      </c>
      <c r="J97" s="14" t="s">
        <v>78</v>
      </c>
      <c r="K97" s="14" t="s">
        <v>79</v>
      </c>
      <c r="L97" s="15">
        <f t="shared" si="12"/>
        <v>44895</v>
      </c>
      <c r="M97" s="12" t="s">
        <v>74</v>
      </c>
      <c r="N97" s="12" t="s">
        <v>80</v>
      </c>
      <c r="O97" s="12">
        <v>1</v>
      </c>
      <c r="P97" s="14" t="s">
        <v>81</v>
      </c>
      <c r="Q97" s="14" t="s">
        <v>82</v>
      </c>
      <c r="R97" s="14" t="s">
        <v>81</v>
      </c>
      <c r="S97" s="14" t="s">
        <v>83</v>
      </c>
      <c r="T97" s="14" t="s">
        <v>79</v>
      </c>
      <c r="U97" s="16" t="s">
        <v>84</v>
      </c>
      <c r="V97" s="17" t="s">
        <v>85</v>
      </c>
      <c r="W97" s="14" t="s">
        <v>79</v>
      </c>
      <c r="X97" s="18">
        <v>44895</v>
      </c>
      <c r="Y97" s="14" t="s">
        <v>86</v>
      </c>
      <c r="Z97" s="19" t="s">
        <v>186</v>
      </c>
      <c r="AA97" s="13" t="s">
        <v>118</v>
      </c>
      <c r="AB97" s="20" t="s">
        <v>379</v>
      </c>
      <c r="AC97" s="21" t="s">
        <v>247</v>
      </c>
      <c r="AD97" s="22" t="s">
        <v>91</v>
      </c>
      <c r="AE97" s="21" t="s">
        <v>92</v>
      </c>
      <c r="AF97" s="13">
        <v>5</v>
      </c>
      <c r="AG97" s="13">
        <v>25</v>
      </c>
      <c r="AH97" s="36">
        <v>46365</v>
      </c>
      <c r="AI97" s="24" t="s">
        <v>94</v>
      </c>
      <c r="AJ97" s="25" t="s">
        <v>95</v>
      </c>
      <c r="AK97" s="26">
        <f t="shared" si="13"/>
        <v>44895</v>
      </c>
      <c r="AL97" s="27">
        <f t="shared" si="14"/>
        <v>46365</v>
      </c>
      <c r="AM97" s="28">
        <f t="shared" si="15"/>
        <v>44895</v>
      </c>
      <c r="AN97" s="28">
        <f t="shared" si="16"/>
        <v>44895</v>
      </c>
      <c r="AO97" s="25" t="s">
        <v>209</v>
      </c>
      <c r="AP97" s="41" t="s">
        <v>238</v>
      </c>
      <c r="AQ97" s="12">
        <v>100</v>
      </c>
      <c r="AR97" s="28">
        <f t="shared" si="17"/>
        <v>44955</v>
      </c>
      <c r="AS97" s="12" t="s">
        <v>74</v>
      </c>
      <c r="AT97" s="29" t="s">
        <v>98</v>
      </c>
      <c r="AU97" s="30">
        <v>8406012527</v>
      </c>
      <c r="AV97" s="28" t="s">
        <v>99</v>
      </c>
      <c r="AW97" s="28" t="s">
        <v>100</v>
      </c>
      <c r="AX97" s="12" t="s">
        <v>74</v>
      </c>
      <c r="AY97" s="29" t="s">
        <v>101</v>
      </c>
      <c r="AZ97" s="30">
        <v>198306215</v>
      </c>
      <c r="BA97" s="28" t="s">
        <v>99</v>
      </c>
      <c r="BB97" s="28" t="s">
        <v>100</v>
      </c>
      <c r="BC97" s="31" t="s">
        <v>102</v>
      </c>
      <c r="BD97" s="18">
        <v>30834</v>
      </c>
      <c r="BE97" s="29" t="s">
        <v>81</v>
      </c>
      <c r="BF97" s="29" t="s">
        <v>103</v>
      </c>
      <c r="BG97" s="29" t="s">
        <v>104</v>
      </c>
      <c r="BH97" s="12" t="s">
        <v>105</v>
      </c>
      <c r="BI97" s="12" t="s">
        <v>106</v>
      </c>
      <c r="BJ97" s="32" t="s">
        <v>107</v>
      </c>
      <c r="BK97" t="s">
        <v>108</v>
      </c>
      <c r="BL97" s="12" t="s">
        <v>109</v>
      </c>
      <c r="BM97" s="12" t="s">
        <v>74</v>
      </c>
      <c r="BN97" s="12" t="s">
        <v>80</v>
      </c>
      <c r="BO97" s="12" t="s">
        <v>80</v>
      </c>
      <c r="BP97" s="12" t="s">
        <v>110</v>
      </c>
      <c r="BQ97" s="12" t="s">
        <v>111</v>
      </c>
      <c r="BR97" s="14" t="s">
        <v>112</v>
      </c>
      <c r="BS97" s="14" t="s">
        <v>113</v>
      </c>
      <c r="BT97" s="23">
        <v>40</v>
      </c>
      <c r="BU97" s="33">
        <v>213111231</v>
      </c>
    </row>
    <row r="98" spans="1:73" ht="14.4" customHeight="1" x14ac:dyDescent="0.35">
      <c r="A98" t="s">
        <v>388</v>
      </c>
      <c r="C98" s="10"/>
      <c r="D98" t="s">
        <v>170</v>
      </c>
      <c r="E98" s="11" t="s">
        <v>205</v>
      </c>
      <c r="F98" s="12" t="s">
        <v>74</v>
      </c>
      <c r="G98" t="s">
        <v>389</v>
      </c>
      <c r="H98" s="13" t="s">
        <v>207</v>
      </c>
      <c r="I98" s="14" t="s">
        <v>77</v>
      </c>
      <c r="J98" s="14" t="s">
        <v>78</v>
      </c>
      <c r="K98" s="14" t="s">
        <v>79</v>
      </c>
      <c r="L98" s="15">
        <f t="shared" si="12"/>
        <v>44805</v>
      </c>
      <c r="M98" s="12" t="s">
        <v>74</v>
      </c>
      <c r="N98" s="12" t="s">
        <v>80</v>
      </c>
      <c r="O98" s="12">
        <v>1</v>
      </c>
      <c r="P98" s="14" t="s">
        <v>81</v>
      </c>
      <c r="Q98" s="14" t="s">
        <v>82</v>
      </c>
      <c r="R98" s="14" t="s">
        <v>81</v>
      </c>
      <c r="S98" s="14" t="s">
        <v>83</v>
      </c>
      <c r="T98" s="14" t="s">
        <v>79</v>
      </c>
      <c r="U98" s="16" t="s">
        <v>84</v>
      </c>
      <c r="V98" s="17" t="s">
        <v>85</v>
      </c>
      <c r="W98" s="14" t="s">
        <v>79</v>
      </c>
      <c r="X98" s="18">
        <v>44805</v>
      </c>
      <c r="Y98" s="14" t="s">
        <v>86</v>
      </c>
      <c r="Z98" s="19" t="s">
        <v>170</v>
      </c>
      <c r="AA98" s="13" t="s">
        <v>88</v>
      </c>
      <c r="AB98" s="20" t="s">
        <v>390</v>
      </c>
      <c r="AC98" s="21" t="s">
        <v>90</v>
      </c>
      <c r="AD98" s="22" t="s">
        <v>91</v>
      </c>
      <c r="AE98" s="21" t="s">
        <v>92</v>
      </c>
      <c r="AF98" s="13">
        <v>5</v>
      </c>
      <c r="AG98" s="13">
        <v>37.5</v>
      </c>
      <c r="AH98" s="36" t="s">
        <v>93</v>
      </c>
      <c r="AI98" s="24" t="s">
        <v>94</v>
      </c>
      <c r="AJ98" s="25" t="s">
        <v>95</v>
      </c>
      <c r="AK98" s="26">
        <f t="shared" si="13"/>
        <v>44805</v>
      </c>
      <c r="AL98" s="27" t="str">
        <f t="shared" si="14"/>
        <v>N/A</v>
      </c>
      <c r="AM98" s="28">
        <f t="shared" si="15"/>
        <v>44805</v>
      </c>
      <c r="AN98" s="28">
        <f t="shared" si="16"/>
        <v>44805</v>
      </c>
      <c r="AO98" s="25" t="s">
        <v>209</v>
      </c>
      <c r="AP98" s="41" t="s">
        <v>364</v>
      </c>
      <c r="AQ98" s="12">
        <v>100</v>
      </c>
      <c r="AR98" s="28">
        <f t="shared" si="17"/>
        <v>44865</v>
      </c>
      <c r="AS98" s="12" t="s">
        <v>74</v>
      </c>
      <c r="AT98" s="29" t="s">
        <v>98</v>
      </c>
      <c r="AU98" s="30">
        <v>8406015420</v>
      </c>
      <c r="AV98" s="28" t="s">
        <v>99</v>
      </c>
      <c r="AW98" s="28" t="s">
        <v>100</v>
      </c>
      <c r="AX98" s="12" t="s">
        <v>74</v>
      </c>
      <c r="AY98" s="29" t="s">
        <v>101</v>
      </c>
      <c r="AZ98" s="30">
        <v>198306216</v>
      </c>
      <c r="BA98" s="28" t="s">
        <v>99</v>
      </c>
      <c r="BB98" s="28" t="s">
        <v>100</v>
      </c>
      <c r="BC98" s="31" t="s">
        <v>102</v>
      </c>
      <c r="BD98" s="18">
        <v>30834</v>
      </c>
      <c r="BE98" s="29" t="s">
        <v>81</v>
      </c>
      <c r="BF98" s="29" t="s">
        <v>103</v>
      </c>
      <c r="BG98" s="29" t="s">
        <v>104</v>
      </c>
      <c r="BH98" s="12" t="s">
        <v>105</v>
      </c>
      <c r="BI98" s="12" t="s">
        <v>106</v>
      </c>
      <c r="BJ98" s="32" t="s">
        <v>107</v>
      </c>
      <c r="BK98" t="s">
        <v>108</v>
      </c>
      <c r="BL98" s="12" t="s">
        <v>109</v>
      </c>
      <c r="BM98" s="12" t="s">
        <v>74</v>
      </c>
      <c r="BN98" s="12" t="s">
        <v>80</v>
      </c>
      <c r="BO98" s="12" t="s">
        <v>80</v>
      </c>
      <c r="BP98" s="12" t="s">
        <v>110</v>
      </c>
      <c r="BQ98" s="12" t="s">
        <v>111</v>
      </c>
      <c r="BR98" s="14" t="s">
        <v>112</v>
      </c>
      <c r="BS98" s="14" t="s">
        <v>113</v>
      </c>
      <c r="BT98" s="23">
        <v>37.5</v>
      </c>
      <c r="BU98" s="33">
        <v>213111231</v>
      </c>
    </row>
    <row r="99" spans="1:73" ht="14.4" customHeight="1" x14ac:dyDescent="0.35">
      <c r="A99" t="s">
        <v>391</v>
      </c>
      <c r="B99" s="43"/>
      <c r="C99" s="10"/>
      <c r="D99" t="s">
        <v>170</v>
      </c>
      <c r="E99" s="11" t="s">
        <v>205</v>
      </c>
      <c r="F99" s="12" t="s">
        <v>74</v>
      </c>
      <c r="G99" t="s">
        <v>392</v>
      </c>
      <c r="H99" s="13" t="s">
        <v>207</v>
      </c>
      <c r="I99" s="14" t="s">
        <v>77</v>
      </c>
      <c r="J99" s="14" t="s">
        <v>78</v>
      </c>
      <c r="K99" s="14" t="s">
        <v>79</v>
      </c>
      <c r="L99" s="15">
        <f t="shared" si="12"/>
        <v>44897</v>
      </c>
      <c r="M99" s="12" t="s">
        <v>74</v>
      </c>
      <c r="N99" s="12" t="s">
        <v>80</v>
      </c>
      <c r="O99" s="12">
        <v>1</v>
      </c>
      <c r="P99" s="14" t="s">
        <v>81</v>
      </c>
      <c r="Q99" s="14" t="s">
        <v>82</v>
      </c>
      <c r="R99" s="14" t="s">
        <v>81</v>
      </c>
      <c r="S99" s="14" t="s">
        <v>83</v>
      </c>
      <c r="T99" s="14" t="s">
        <v>79</v>
      </c>
      <c r="U99" s="16" t="s">
        <v>84</v>
      </c>
      <c r="V99" s="17" t="s">
        <v>85</v>
      </c>
      <c r="W99" s="14" t="s">
        <v>79</v>
      </c>
      <c r="X99" s="18">
        <v>44897</v>
      </c>
      <c r="Y99" s="14" t="s">
        <v>86</v>
      </c>
      <c r="Z99" s="19" t="s">
        <v>186</v>
      </c>
      <c r="AA99" s="13" t="s">
        <v>118</v>
      </c>
      <c r="AB99" s="20" t="s">
        <v>390</v>
      </c>
      <c r="AC99" s="21" t="s">
        <v>90</v>
      </c>
      <c r="AD99" s="22" t="s">
        <v>91</v>
      </c>
      <c r="AE99" s="21" t="s">
        <v>92</v>
      </c>
      <c r="AF99" s="13">
        <v>5</v>
      </c>
      <c r="AG99" s="13">
        <v>37.5</v>
      </c>
      <c r="AH99" s="36">
        <v>46367</v>
      </c>
      <c r="AI99" s="24" t="s">
        <v>94</v>
      </c>
      <c r="AJ99" s="25" t="s">
        <v>95</v>
      </c>
      <c r="AK99" s="26">
        <f t="shared" si="13"/>
        <v>44897</v>
      </c>
      <c r="AL99" s="27">
        <f t="shared" si="14"/>
        <v>46367</v>
      </c>
      <c r="AM99" s="28">
        <f t="shared" si="15"/>
        <v>44897</v>
      </c>
      <c r="AN99" s="28">
        <f t="shared" si="16"/>
        <v>44897</v>
      </c>
      <c r="AO99" s="25" t="s">
        <v>209</v>
      </c>
      <c r="AP99" s="41" t="s">
        <v>364</v>
      </c>
      <c r="AQ99" s="12">
        <v>100</v>
      </c>
      <c r="AR99" s="28">
        <f t="shared" si="17"/>
        <v>44957</v>
      </c>
      <c r="AS99" s="12" t="s">
        <v>74</v>
      </c>
      <c r="AT99" s="29" t="s">
        <v>98</v>
      </c>
      <c r="AU99" s="30">
        <v>8406015585</v>
      </c>
      <c r="AV99" s="28" t="s">
        <v>99</v>
      </c>
      <c r="AW99" s="28" t="s">
        <v>100</v>
      </c>
      <c r="AX99" s="12" t="s">
        <v>74</v>
      </c>
      <c r="AY99" s="29" t="s">
        <v>101</v>
      </c>
      <c r="AZ99" s="30">
        <v>198306217</v>
      </c>
      <c r="BA99" s="28" t="s">
        <v>99</v>
      </c>
      <c r="BB99" s="28" t="s">
        <v>100</v>
      </c>
      <c r="BC99" s="31" t="s">
        <v>102</v>
      </c>
      <c r="BD99" s="18">
        <v>30834</v>
      </c>
      <c r="BE99" s="29" t="s">
        <v>81</v>
      </c>
      <c r="BF99" s="29" t="s">
        <v>103</v>
      </c>
      <c r="BG99" s="29" t="s">
        <v>104</v>
      </c>
      <c r="BH99" s="12" t="s">
        <v>105</v>
      </c>
      <c r="BI99" s="12" t="s">
        <v>106</v>
      </c>
      <c r="BJ99" s="32" t="s">
        <v>107</v>
      </c>
      <c r="BK99" t="s">
        <v>108</v>
      </c>
      <c r="BL99" s="12" t="s">
        <v>109</v>
      </c>
      <c r="BM99" s="12" t="s">
        <v>74</v>
      </c>
      <c r="BN99" s="12" t="s">
        <v>80</v>
      </c>
      <c r="BO99" s="12" t="s">
        <v>80</v>
      </c>
      <c r="BP99" s="12" t="s">
        <v>110</v>
      </c>
      <c r="BQ99" s="12" t="s">
        <v>111</v>
      </c>
      <c r="BR99" s="14" t="s">
        <v>112</v>
      </c>
      <c r="BS99" s="14" t="s">
        <v>113</v>
      </c>
      <c r="BT99" s="23">
        <v>37.5</v>
      </c>
      <c r="BU99" s="33">
        <v>213111231</v>
      </c>
    </row>
    <row r="100" spans="1:73" ht="14.4" customHeight="1" x14ac:dyDescent="0.35">
      <c r="A100" t="s">
        <v>393</v>
      </c>
      <c r="B100" t="s">
        <v>394</v>
      </c>
      <c r="C100" s="10" t="s">
        <v>71</v>
      </c>
      <c r="D100" t="s">
        <v>170</v>
      </c>
      <c r="E100" s="11" t="s">
        <v>205</v>
      </c>
      <c r="F100" s="12" t="s">
        <v>74</v>
      </c>
      <c r="G100" t="s">
        <v>395</v>
      </c>
      <c r="H100" s="13" t="s">
        <v>207</v>
      </c>
      <c r="I100" s="14" t="s">
        <v>77</v>
      </c>
      <c r="J100" s="14" t="s">
        <v>78</v>
      </c>
      <c r="K100" s="14" t="s">
        <v>79</v>
      </c>
      <c r="L100" s="15">
        <f t="shared" si="12"/>
        <v>44807</v>
      </c>
      <c r="M100" s="12" t="s">
        <v>74</v>
      </c>
      <c r="N100" s="12" t="s">
        <v>80</v>
      </c>
      <c r="O100" s="12">
        <v>1</v>
      </c>
      <c r="P100" s="14" t="s">
        <v>81</v>
      </c>
      <c r="Q100" s="14" t="s">
        <v>82</v>
      </c>
      <c r="R100" s="14" t="s">
        <v>81</v>
      </c>
      <c r="S100" s="14" t="s">
        <v>83</v>
      </c>
      <c r="T100" s="14" t="s">
        <v>79</v>
      </c>
      <c r="U100" s="16" t="s">
        <v>84</v>
      </c>
      <c r="V100" s="17" t="s">
        <v>85</v>
      </c>
      <c r="W100" s="14" t="s">
        <v>79</v>
      </c>
      <c r="X100" s="18">
        <v>44807</v>
      </c>
      <c r="Y100" s="14" t="s">
        <v>86</v>
      </c>
      <c r="Z100" s="19" t="s">
        <v>170</v>
      </c>
      <c r="AA100" s="13" t="s">
        <v>118</v>
      </c>
      <c r="AB100" s="20" t="s">
        <v>390</v>
      </c>
      <c r="AC100" s="21" t="s">
        <v>247</v>
      </c>
      <c r="AD100" s="22" t="s">
        <v>91</v>
      </c>
      <c r="AE100" s="21" t="s">
        <v>92</v>
      </c>
      <c r="AF100" s="13">
        <v>5</v>
      </c>
      <c r="AG100" s="13">
        <v>30</v>
      </c>
      <c r="AH100" s="36">
        <v>46368</v>
      </c>
      <c r="AI100" s="24" t="s">
        <v>94</v>
      </c>
      <c r="AJ100" s="25" t="s">
        <v>95</v>
      </c>
      <c r="AK100" s="26">
        <f t="shared" si="13"/>
        <v>44807</v>
      </c>
      <c r="AL100" s="27">
        <f t="shared" si="14"/>
        <v>46368</v>
      </c>
      <c r="AM100" s="28">
        <f t="shared" si="15"/>
        <v>44807</v>
      </c>
      <c r="AN100" s="28">
        <f t="shared" si="16"/>
        <v>44807</v>
      </c>
      <c r="AO100" s="25" t="s">
        <v>209</v>
      </c>
      <c r="AP100" s="41" t="s">
        <v>364</v>
      </c>
      <c r="AQ100" s="12">
        <v>100</v>
      </c>
      <c r="AR100" s="28">
        <f t="shared" si="17"/>
        <v>44867</v>
      </c>
      <c r="AS100" s="12" t="s">
        <v>74</v>
      </c>
      <c r="AT100" s="29" t="s">
        <v>98</v>
      </c>
      <c r="AU100" s="30">
        <v>8406016817</v>
      </c>
      <c r="AV100" s="28" t="s">
        <v>99</v>
      </c>
      <c r="AW100" s="28" t="s">
        <v>100</v>
      </c>
      <c r="AX100" s="12" t="s">
        <v>74</v>
      </c>
      <c r="AY100" s="29" t="s">
        <v>101</v>
      </c>
      <c r="AZ100" s="30">
        <v>198306218</v>
      </c>
      <c r="BA100" s="28" t="s">
        <v>99</v>
      </c>
      <c r="BB100" s="28" t="s">
        <v>100</v>
      </c>
      <c r="BC100" s="31" t="s">
        <v>102</v>
      </c>
      <c r="BD100" s="18">
        <v>30834</v>
      </c>
      <c r="BE100" s="29" t="s">
        <v>81</v>
      </c>
      <c r="BF100" s="29" t="s">
        <v>103</v>
      </c>
      <c r="BG100" s="29" t="s">
        <v>104</v>
      </c>
      <c r="BH100" s="12" t="s">
        <v>105</v>
      </c>
      <c r="BI100" s="12" t="s">
        <v>106</v>
      </c>
      <c r="BJ100" s="32" t="s">
        <v>107</v>
      </c>
      <c r="BK100" t="s">
        <v>108</v>
      </c>
      <c r="BL100" s="12" t="s">
        <v>109</v>
      </c>
      <c r="BM100" s="12" t="s">
        <v>74</v>
      </c>
      <c r="BN100" s="12" t="s">
        <v>80</v>
      </c>
      <c r="BO100" s="12" t="s">
        <v>80</v>
      </c>
      <c r="BP100" s="12" t="s">
        <v>110</v>
      </c>
      <c r="BQ100" s="12" t="s">
        <v>111</v>
      </c>
      <c r="BR100" s="14" t="s">
        <v>112</v>
      </c>
      <c r="BS100" s="14" t="s">
        <v>113</v>
      </c>
      <c r="BT100" s="23">
        <v>40</v>
      </c>
      <c r="BU100" s="33">
        <v>213111231</v>
      </c>
    </row>
    <row r="101" spans="1:73" ht="14.4" customHeight="1" x14ac:dyDescent="0.35">
      <c r="A101" t="s">
        <v>396</v>
      </c>
      <c r="B101" t="s">
        <v>397</v>
      </c>
      <c r="C101" s="10" t="s">
        <v>71</v>
      </c>
      <c r="D101" t="s">
        <v>170</v>
      </c>
      <c r="E101" s="11" t="s">
        <v>205</v>
      </c>
      <c r="F101" s="12" t="s">
        <v>74</v>
      </c>
      <c r="G101" t="s">
        <v>398</v>
      </c>
      <c r="H101" s="13" t="s">
        <v>207</v>
      </c>
      <c r="I101" s="14" t="s">
        <v>122</v>
      </c>
      <c r="J101" s="14" t="s">
        <v>78</v>
      </c>
      <c r="K101" s="14" t="s">
        <v>79</v>
      </c>
      <c r="L101" s="15">
        <f t="shared" si="12"/>
        <v>45720</v>
      </c>
      <c r="M101" s="12" t="s">
        <v>74</v>
      </c>
      <c r="N101" s="12" t="s">
        <v>80</v>
      </c>
      <c r="O101" s="12">
        <v>1</v>
      </c>
      <c r="P101" s="14" t="s">
        <v>81</v>
      </c>
      <c r="Q101" s="14" t="s">
        <v>82</v>
      </c>
      <c r="R101" s="14" t="s">
        <v>81</v>
      </c>
      <c r="S101" s="14" t="s">
        <v>83</v>
      </c>
      <c r="T101" s="14" t="s">
        <v>79</v>
      </c>
      <c r="U101" s="16" t="s">
        <v>84</v>
      </c>
      <c r="V101" s="17" t="s">
        <v>85</v>
      </c>
      <c r="W101" s="14" t="s">
        <v>79</v>
      </c>
      <c r="X101" s="18">
        <v>45720</v>
      </c>
      <c r="Y101" s="14" t="s">
        <v>86</v>
      </c>
      <c r="Z101" s="19" t="s">
        <v>196</v>
      </c>
      <c r="AA101" s="13" t="s">
        <v>88</v>
      </c>
      <c r="AB101" s="20" t="s">
        <v>390</v>
      </c>
      <c r="AC101" s="21" t="s">
        <v>247</v>
      </c>
      <c r="AD101" s="22" t="s">
        <v>91</v>
      </c>
      <c r="AE101" s="21" t="s">
        <v>92</v>
      </c>
      <c r="AF101" s="13">
        <v>4</v>
      </c>
      <c r="AG101" s="13">
        <v>24</v>
      </c>
      <c r="AH101" s="36" t="s">
        <v>93</v>
      </c>
      <c r="AI101" s="24" t="s">
        <v>94</v>
      </c>
      <c r="AJ101" s="25" t="s">
        <v>95</v>
      </c>
      <c r="AK101" s="26">
        <f t="shared" si="13"/>
        <v>45720</v>
      </c>
      <c r="AL101" s="27" t="str">
        <f t="shared" si="14"/>
        <v>N/A</v>
      </c>
      <c r="AM101" s="28">
        <f t="shared" si="15"/>
        <v>45720</v>
      </c>
      <c r="AN101" s="28">
        <f t="shared" si="16"/>
        <v>45720</v>
      </c>
      <c r="AO101" s="25" t="s">
        <v>209</v>
      </c>
      <c r="AP101" s="41" t="s">
        <v>364</v>
      </c>
      <c r="AQ101" s="12">
        <v>100</v>
      </c>
      <c r="AR101" s="28">
        <f t="shared" si="17"/>
        <v>45780</v>
      </c>
      <c r="AS101" s="12" t="s">
        <v>74</v>
      </c>
      <c r="AT101" s="29" t="s">
        <v>98</v>
      </c>
      <c r="AU101" s="30">
        <v>8406012571</v>
      </c>
      <c r="AV101" s="28" t="s">
        <v>99</v>
      </c>
      <c r="AW101" s="28" t="s">
        <v>100</v>
      </c>
      <c r="AX101" s="12" t="s">
        <v>74</v>
      </c>
      <c r="AY101" s="29" t="s">
        <v>101</v>
      </c>
      <c r="AZ101" s="30">
        <v>198306219</v>
      </c>
      <c r="BA101" s="28" t="s">
        <v>99</v>
      </c>
      <c r="BB101" s="28" t="s">
        <v>100</v>
      </c>
      <c r="BC101" s="31" t="s">
        <v>102</v>
      </c>
      <c r="BD101" s="18">
        <v>30834</v>
      </c>
      <c r="BE101" s="29" t="s">
        <v>81</v>
      </c>
      <c r="BF101" s="29" t="s">
        <v>103</v>
      </c>
      <c r="BG101" s="29" t="s">
        <v>104</v>
      </c>
      <c r="BH101" s="12" t="s">
        <v>105</v>
      </c>
      <c r="BI101" s="12" t="s">
        <v>106</v>
      </c>
      <c r="BJ101" s="32" t="s">
        <v>107</v>
      </c>
      <c r="BK101" t="s">
        <v>108</v>
      </c>
      <c r="BL101" s="12" t="s">
        <v>109</v>
      </c>
      <c r="BM101" s="12" t="s">
        <v>74</v>
      </c>
      <c r="BN101" s="12" t="s">
        <v>80</v>
      </c>
      <c r="BO101" s="12" t="s">
        <v>80</v>
      </c>
      <c r="BP101" s="12" t="s">
        <v>110</v>
      </c>
      <c r="BQ101" s="12" t="s">
        <v>111</v>
      </c>
      <c r="BR101" s="14" t="s">
        <v>112</v>
      </c>
      <c r="BS101" s="14" t="s">
        <v>113</v>
      </c>
      <c r="BT101" s="23">
        <v>40</v>
      </c>
      <c r="BU101" s="33">
        <v>213111231</v>
      </c>
    </row>
  </sheetData>
  <dataValidations count="2">
    <dataValidation type="list" allowBlank="1" showInputMessage="1" showErrorMessage="1" sqref="AJ10:AJ101 Y10:Y101 W10:W101 T10:T101 K10:K101 BI10:BI101" xr:uid="{00000000-0002-0000-0000-000000000000}">
      <formula1>INDIRECT($E2)</formula1>
    </dataValidation>
    <dataValidation type="list" allowBlank="1" showInputMessage="1" showErrorMessage="1" sqref="AJ2:AJ101 Y2:Y101 W2:W101 T2:T101 K2:K101 BI2:BI101" xr:uid="{00000000-0002-0000-0000-000001000000}">
      <formula1>INDIRECT($E2)</formula1>
    </dataValidation>
  </dataValidations>
  <hyperlinks>
    <hyperlink ref="V7" r:id="rId1" xr:uid="{00000000-0004-0000-0000-000000000000}"/>
    <hyperlink ref="V11" r:id="rId2" xr:uid="{00000000-0004-0000-0000-000001000000}"/>
    <hyperlink ref="V21" r:id="rId3" xr:uid="{00000000-0004-0000-0000-000002000000}"/>
    <hyperlink ref="V23" r:id="rId4" xr:uid="{00000000-0004-0000-0000-000003000000}"/>
    <hyperlink ref="V25" r:id="rId5" xr:uid="{00000000-0004-0000-0000-000004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2025-02-21T16:33:33Z</dcterms:modified>
</cp:coreProperties>
</file>