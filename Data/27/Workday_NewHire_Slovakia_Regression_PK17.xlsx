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420"/>
  </bookViews>
  <sheets>
    <sheet sheetId="1" name="Sheet2" state="visible" r:id="rId4"/>
  </sheets>
  <calcPr calcId="171027"/>
</workbook>
</file>

<file path=xl/sharedStrings.xml><?xml version="1.0" encoding="utf-8"?>
<sst xmlns="http://schemas.openxmlformats.org/spreadsheetml/2006/main" count="202" uniqueCount="136">
  <si>
    <t>TestCaseIDs</t>
  </si>
  <si>
    <t>EmployeeID</t>
  </si>
  <si>
    <t>TestStatus</t>
  </si>
  <si>
    <t>SupervisoryOrganisation</t>
  </si>
  <si>
    <t>Country</t>
  </si>
  <si>
    <t>GivenName</t>
  </si>
  <si>
    <t>FamilyName</t>
  </si>
  <si>
    <t>PhoneNumber</t>
  </si>
  <si>
    <t>PhoneDevice</t>
  </si>
  <si>
    <t>Type</t>
  </si>
  <si>
    <t>EffectiveDate</t>
  </si>
  <si>
    <t>Street</t>
  </si>
  <si>
    <t>BuildingNumber</t>
  </si>
  <si>
    <t>StreetNumber</t>
  </si>
  <si>
    <t>PostalCode</t>
  </si>
  <si>
    <t>City</t>
  </si>
  <si>
    <t>County</t>
  </si>
  <si>
    <t>UseFor</t>
  </si>
  <si>
    <t>EmailAddress</t>
  </si>
  <si>
    <t>HireDate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</si>
  <si>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</si>
  <si>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</si>
  <si>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</si>
  <si>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</si>
  <si>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</si>
  <si>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</si>
  <si>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</si>
  <si>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</si>
  <si>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DefaultWeeklyHours</t>
  </si>
  <si>
    <t>AdditionalJobClassifications</t>
  </si>
  <si>
    <t>WorkShift</t>
  </si>
  <si>
    <t>EndEmploymentDate</t>
  </si>
  <si>
    <t>Comments</t>
  </si>
  <si>
    <t>CostCenter</t>
  </si>
  <si>
    <t>DepartmentSection1</t>
  </si>
  <si>
    <t>ProposedPayGroupInitial</t>
  </si>
  <si>
    <t>ProposedPayGroupFinal</t>
  </si>
  <si>
    <t>MealVoucher</t>
  </si>
  <si>
    <t>HealthInsuranceType</t>
  </si>
  <si>
    <t>YoungParent</t>
  </si>
  <si>
    <t>YoungParentEffectiveDate</t>
  </si>
  <si>
    <t>TaxFreeAmount</t>
  </si>
  <si>
    <t>TaxFreeAmountEffectiveDate</t>
  </si>
  <si>
    <t>PensioneffectiveDate</t>
  </si>
  <si>
    <t>Child</t>
  </si>
  <si>
    <t>DependentName</t>
  </si>
  <si>
    <t>DependentChildBirthNumber</t>
  </si>
  <si>
    <t>TaxBonus</t>
  </si>
  <si>
    <t>TaxBonusEffectiveDate</t>
  </si>
  <si>
    <t>ProbationReviewDate</t>
  </si>
  <si>
    <t>ContractReason</t>
  </si>
  <si>
    <t>ContractID</t>
  </si>
  <si>
    <t>ContractType</t>
  </si>
  <si>
    <t>Status</t>
  </si>
  <si>
    <t>DateEmployeeSigned</t>
  </si>
  <si>
    <t>DateEmployerSigned</t>
  </si>
  <si>
    <t>ContractEndDate</t>
  </si>
  <si>
    <t>Country1</t>
  </si>
  <si>
    <t>NationalIDType1</t>
  </si>
  <si>
    <t>DepartmentSection</t>
  </si>
  <si>
    <t>Gender</t>
  </si>
  <si>
    <t>DateOfBirth</t>
  </si>
  <si>
    <t>CityOfBirth</t>
  </si>
  <si>
    <t>MaritalStatus</t>
  </si>
  <si>
    <t>MaritalStatusDate</t>
  </si>
  <si>
    <t>CitizenshipStatus</t>
  </si>
  <si>
    <t>PrimaryNationality</t>
  </si>
  <si>
    <t>BankName</t>
  </si>
  <si>
    <t>BankCode</t>
  </si>
  <si>
    <t>AccountType</t>
  </si>
  <si>
    <t>AccountNumber</t>
  </si>
  <si>
    <t>IBAN</t>
  </si>
  <si>
    <t>Test1</t>
  </si>
  <si>
    <t>10699401</t>
  </si>
  <si>
    <t>Passed</t>
  </si>
  <si>
    <t>870 Recruitment (Wazup Zudimi (9581610))</t>
  </si>
  <si>
    <t>Slovakia</t>
  </si>
  <si>
    <t>Keegan</t>
  </si>
  <si>
    <t>Hane</t>
  </si>
  <si>
    <t>041/562 66 84</t>
  </si>
  <si>
    <t>Mobile</t>
  </si>
  <si>
    <t>Home</t>
  </si>
  <si>
    <t>N/A</t>
  </si>
  <si>
    <t xml:space="preserve">Vysoká </t>
  </si>
  <si>
    <t>Holíč</t>
  </si>
  <si>
    <t>Street Address</t>
  </si>
  <si>
    <t>department@retailassistant.com</t>
  </si>
  <si>
    <t>New Hire</t>
  </si>
  <si>
    <t>No</t>
  </si>
  <si>
    <t>Fixed Term (Fixed Term)</t>
  </si>
  <si>
    <t>Retail Assistant_NEW</t>
  </si>
  <si>
    <t>Full Time</t>
  </si>
  <si>
    <t>Salary</t>
  </si>
  <si>
    <t>38.75</t>
  </si>
  <si>
    <t>2 - 2 (Slovakia Degree of Labour Difficulty-Slovakia)@5223001</t>
  </si>
  <si>
    <t>5 Days</t>
  </si>
  <si>
    <t>Automation Comments here….</t>
  </si>
  <si>
    <t>94 Retail Operatives</t>
  </si>
  <si>
    <t>01 Accessories</t>
  </si>
  <si>
    <t>Please select a Slovakia Pay Group</t>
  </si>
  <si>
    <t>SK Monthly</t>
  </si>
  <si>
    <t xml:space="preserve">Meal Voucher Card </t>
  </si>
  <si>
    <t>Všeobecná zdrav. Poisť.</t>
  </si>
  <si>
    <t>Yes</t>
  </si>
  <si>
    <t>ChildOne</t>
  </si>
  <si>
    <t>02/04/2024</t>
  </si>
  <si>
    <t>Main</t>
  </si>
  <si>
    <t xml:space="preserve">Defaulted
</t>
  </si>
  <si>
    <t>Definite</t>
  </si>
  <si>
    <t>Active</t>
  </si>
  <si>
    <t>Personal ID Number (RC)</t>
  </si>
  <si>
    <t>Male</t>
  </si>
  <si>
    <t>10/02/1990</t>
  </si>
  <si>
    <t>Bratislava</t>
  </si>
  <si>
    <t>Single (Slovakia)</t>
  </si>
  <si>
    <t>Citizen (Slovakia)</t>
  </si>
  <si>
    <t>Nation Bank of Slovakia</t>
  </si>
  <si>
    <t>KODBSKBXXXX</t>
  </si>
  <si>
    <t>Checking</t>
  </si>
  <si>
    <t>0012345678</t>
  </si>
  <si>
    <t>SK8975000000000012345671</t>
  </si>
  <si>
    <t>Test2</t>
  </si>
  <si>
    <t>10699402</t>
  </si>
  <si>
    <t>870 Store Management (Wazup Zudimi (9581610))</t>
  </si>
  <si>
    <t>Lew</t>
  </si>
  <si>
    <t>Kovacek</t>
  </si>
  <si>
    <t>Auto 44118661</t>
  </si>
  <si>
    <t>Permanent</t>
  </si>
  <si>
    <t>Store Manager_NEW</t>
  </si>
  <si>
    <t>870 Bratislava Eurovea II</t>
  </si>
  <si>
    <t>92 Retail Management</t>
  </si>
  <si>
    <t>251 Management Retail</t>
  </si>
  <si>
    <t>Financial Contribution</t>
  </si>
  <si>
    <t>Union</t>
  </si>
  <si>
    <t>Indefinite</t>
  </si>
  <si>
    <t>Female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</si>
</sst>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mm/dd/yyyy"/>
  </numFmts>
  <fonts count="5" x14ac:knownFonts="1">
    <font>
      <color theme="1"/>
      <family val="2"/>
      <scheme val="minor"/>
      <sz val="11"/>
      <name val="Calibri"/>
    </font>
    <font>
      <color rgb="FFFF0000"/>
      <family val="2"/>
      <scheme val="minor"/>
      <sz val="11"/>
      <name val="Calibri"/>
    </font>
    <font>
      <family val="2"/>
      <scheme val="minor"/>
      <sz val="11"/>
      <name val="Calibri"/>
    </font>
    <font>
      <color theme="1"/>
      <family val="2"/>
      <sz val="14"/>
      <name val="Arial"/>
    </font>
    <font>
      <u/>
      <family val="2"/>
      <scheme val="minor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00FF00"/>
      </patternFill>
    </fill>
    <fill>
      <patternFill patternType="solid">
        <fgColor theme="5" tint="0.7999816888943144"/>
        <bgColor indexed="64"/>
      </patternFill>
    </fill>
  </fills>
  <borders count="1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/>
      <bottom style="thin"/>
      <diagonal/>
    </border>
    <border>
      <left style="medium">
        <color indexed="64"/>
      </left>
      <right style="thin"/>
      <top style="thin"/>
      <bottom style="thin"/>
      <diagonal/>
    </border>
    <border>
      <left style="medium">
        <color indexed="64"/>
      </left>
      <right style="medium">
        <color indexed="64"/>
      </right>
      <top style="thin"/>
      <bottom/>
      <diagonal/>
    </border>
    <border>
      <left style="thin"/>
      <right style="thin"/>
      <top style="thin"/>
      <bottom style="thin"/>
      <diagonal/>
    </border>
    <border>
      <left style="medium">
        <color indexed="64"/>
      </left>
      <right style="medium">
        <color indexed="64"/>
      </right>
      <top/>
      <bottom style="thin"/>
      <diagonal/>
    </border>
    <border>
      <left style="medium">
        <color indexed="64"/>
      </left>
      <right style="medium">
        <color indexed="64"/>
      </right>
      <top style="thin"/>
      <bottom style="medium">
        <color indexed="64"/>
      </bottom>
      <diagonal/>
    </border>
    <border>
      <left style="thin"/>
      <right style="thin"/>
      <top style="thin"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</borders>
  <cellStyleXfs count="1">
    <xf numFmtId="0" fontId="0" fillId="0" borderId="0"/>
  </cellStyleXfs>
  <cellXfs count="36">
    <xf numFmtId="0" fontId="0" fillId="0" borderId="0" xfId="0"/>
    <xf numFmtId="0" fontId="0" fillId="0" borderId="0" xfId="0" applyAlignment="1">
      <alignment horizontal="left"/>
    </xf>
    <xf numFmtId="49" fontId="0" fillId="0" borderId="0" xfId="0" applyNumberFormat="1" applyAlignment="1">
      <alignment horizontal="left"/>
    </xf>
    <xf numFmtId="49" fontId="0" fillId="2" borderId="0" xfId="0" applyNumberFormat="1" applyFill="1"/>
    <xf numFmtId="0" fontId="1" fillId="2" borderId="1" xfId="0" applyFont="1" applyFill="1" applyBorder="1" applyAlignment="1">
      <alignment horizontal="left"/>
    </xf>
    <xf numFmtId="0" fontId="0" fillId="2" borderId="1" xfId="0" applyFill="1" applyBorder="1" applyAlignment="1">
      <alignment horizontal="left"/>
    </xf>
    <xf numFmtId="0" fontId="0" fillId="2" borderId="2" xfId="0" applyFill="1" applyBorder="1" applyAlignment="1">
      <alignment horizontal="left"/>
    </xf>
    <xf numFmtId="0" fontId="1" fillId="2" borderId="2" xfId="0" applyFont="1" applyFill="1" applyBorder="1" applyAlignment="1">
      <alignment horizontal="left"/>
    </xf>
    <xf numFmtId="0" fontId="0" fillId="2" borderId="3" xfId="0" applyFill="1" applyBorder="1" applyAlignment="1">
      <alignment horizontal="left"/>
    </xf>
    <xf numFmtId="0" fontId="0" fillId="2" borderId="4" xfId="0" applyFill="1" applyBorder="1" applyAlignment="1">
      <alignment horizontal="left"/>
    </xf>
    <xf numFmtId="0" fontId="0" fillId="2" borderId="5" xfId="0" applyFill="1" applyBorder="1" applyAlignment="1">
      <alignment horizontal="left"/>
    </xf>
    <xf numFmtId="49" fontId="2" fillId="2" borderId="1" xfId="0" applyNumberFormat="1" applyFont="1" applyFill="1" applyBorder="1" applyAlignment="1">
      <alignment horizontal="left" wrapText="1"/>
    </xf>
    <xf numFmtId="49" fontId="2" fillId="2" borderId="6" xfId="0" applyNumberFormat="1" applyFont="1" applyFill="1" applyBorder="1" applyAlignment="1">
      <alignment horizontal="left" wrapText="1"/>
    </xf>
    <xf numFmtId="0" fontId="0" fillId="3" borderId="0" xfId="0" applyFill="1" applyAlignment="1">
      <alignment horizontal="left"/>
    </xf>
    <xf numFmtId="0" fontId="1" fillId="0" borderId="4" xfId="0" applyFont="1" applyBorder="1"/>
    <xf numFmtId="0" fontId="2" fillId="0" borderId="4" xfId="0" applyFont="1" applyBorder="1" applyAlignment="1">
      <alignment horizontal="left"/>
    </xf>
    <xf numFmtId="0" fontId="2" fillId="4" borderId="4" xfId="0" applyFont="1" applyFill="1" applyBorder="1" applyAlignment="1">
      <alignment horizontal="left"/>
    </xf>
    <xf numFmtId="0" fontId="3" fillId="4" borderId="4" xfId="0" applyFont="1" applyFill="1" applyBorder="1"/>
    <xf numFmtId="0" fontId="2" fillId="0" borderId="4" xfId="0" applyFont="1" applyBorder="1" applyAlignment="1" applyProtection="1">
      <alignment horizontal="left"/>
      <protection locked="0"/>
    </xf>
    <xf numFmtId="14" fontId="2" fillId="0" borderId="4" xfId="0" applyNumberFormat="1" applyFont="1" applyBorder="1" applyAlignment="1">
      <alignment horizontal="left"/>
    </xf>
    <xf numFmtId="0" fontId="4" fillId="0" borderId="4" xfId="0" applyFont="1" applyBorder="1" applyAlignment="1" applyProtection="1">
      <alignment horizontal="left"/>
      <protection locked="0"/>
    </xf>
    <xf numFmtId="14" fontId="1" fillId="0" borderId="4" xfId="0" applyNumberFormat="1" applyFont="1" applyBorder="1" applyAlignment="1">
      <alignment horizontal="left"/>
    </xf>
    <xf numFmtId="14" fontId="2" fillId="4" borderId="4" xfId="0" applyNumberFormat="1" applyFont="1" applyFill="1" applyBorder="1" applyAlignment="1">
      <alignment horizontal="left"/>
    </xf>
    <xf numFmtId="49" fontId="2" fillId="0" borderId="4" xfId="0" applyNumberFormat="1" applyFont="1" applyBorder="1" applyAlignment="1">
      <alignment horizontal="left"/>
    </xf>
    <xf numFmtId="0" fontId="2" fillId="0" borderId="4" xfId="0" applyFont="1" applyBorder="1" applyAlignment="1">
      <alignment horizontal="left" vertical="center" wrapText="1"/>
    </xf>
    <xf numFmtId="0" fontId="2" fillId="0" borderId="4" xfId="0" applyFont="1" applyBorder="1" applyAlignment="1">
      <alignment horizontal="left" vertical="center"/>
    </xf>
    <xf numFmtId="14" fontId="2" fillId="0" borderId="4" xfId="0" applyNumberFormat="1" applyFont="1" applyBorder="1" applyAlignment="1" applyProtection="1">
      <alignment horizontal="left" wrapText="1"/>
      <protection locked="0"/>
    </xf>
    <xf numFmtId="0" fontId="2" fillId="0" borderId="4" xfId="0" applyFont="1" applyBorder="1" applyAlignment="1" applyProtection="1">
      <alignment horizontal="left" wrapText="1"/>
      <protection locked="0"/>
    </xf>
    <xf numFmtId="164" fontId="2" fillId="0" borderId="4" xfId="0" applyNumberFormat="1" applyFont="1" applyBorder="1" applyAlignment="1" applyProtection="1">
      <alignment horizontal="left"/>
      <protection locked="0"/>
    </xf>
    <xf numFmtId="164" fontId="2" fillId="0" borderId="7" xfId="0" applyNumberFormat="1" applyFont="1" applyBorder="1" applyAlignment="1" applyProtection="1">
      <alignment horizontal="left"/>
      <protection locked="0"/>
    </xf>
    <xf numFmtId="1" fontId="2" fillId="0" borderId="8" xfId="0" applyNumberFormat="1" applyFont="1" applyBorder="1" applyAlignment="1" applyProtection="1">
      <alignment horizontal="left"/>
      <protection locked="0"/>
    </xf>
    <xf numFmtId="0" fontId="2" fillId="0" borderId="9" xfId="0" applyFont="1" applyBorder="1" applyAlignment="1">
      <alignment horizontal="left"/>
    </xf>
    <xf numFmtId="15" fontId="2" fillId="0" borderId="4" xfId="0" applyNumberFormat="1" applyFont="1" applyBorder="1" applyAlignment="1">
      <alignment horizontal="left"/>
    </xf>
    <xf numFmtId="49" fontId="2" fillId="0" borderId="4" xfId="0" applyNumberFormat="1" applyFont="1" applyBorder="1" applyAlignment="1" applyProtection="1">
      <alignment horizontal="left" wrapText="1"/>
      <protection locked="0"/>
    </xf>
    <xf numFmtId="49" fontId="2" fillId="0" borderId="4" xfId="0" applyNumberFormat="1" applyFont="1" applyBorder="1" applyAlignment="1">
      <alignment wrapText="1"/>
    </xf>
    <xf numFmtId="0" fontId="0" fillId="0" borderId="0" xfId="0" applyAlignment="1">
      <alignment horizontal="left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mailto:department@storemanager.com" TargetMode="External"/><Relationship Id="rId2" Type="http://schemas.openxmlformats.org/officeDocument/2006/relationships/hyperlink" Target="mailto:department@storemanager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H3"/>
  <sheetViews>
    <sheetView workbookViewId="0" zoomScale="100" zoomScaleNormal="100">
      <selection activeCell="BK8" sqref="BK8"/>
    </sheetView>
  </sheetViews>
  <sheetFormatPr defaultRowHeight="15.65" outlineLevelRow="1" outlineLevelCol="0" x14ac:dyDescent="0.35" customHeight="1"/>
  <cols>
    <col min="1" max="1" width="10.81640625" style="1" customWidth="1"/>
    <col min="2" max="2" width="58.36328125" style="1" customWidth="1"/>
    <col min="3" max="3" width="9.36328125" style="1" customWidth="1"/>
    <col min="4" max="4" width="21.453125" style="1" customWidth="1"/>
    <col min="5" max="5" width="7.54296875" style="1" customWidth="1"/>
    <col min="6" max="6" width="10.453125" style="1" customWidth="1"/>
    <col min="7" max="7" width="11.08984375" style="1" customWidth="1"/>
    <col min="8" max="8" width="13" style="1" customWidth="1"/>
    <col min="9" max="9" width="11.54296875" style="1" customWidth="1"/>
    <col min="10" max="10" width="5.81640625" style="1" customWidth="1"/>
    <col min="11" max="11" width="11.81640625" style="1" customWidth="1"/>
    <col min="12" max="12" width="7.54296875" style="1" customWidth="1"/>
    <col min="13" max="13" width="7.08984375" style="1" customWidth="1"/>
    <col min="14" max="14" width="14.36328125" style="2" customWidth="1"/>
    <col min="15" max="15" width="12.54296875" style="1" customWidth="1"/>
    <col min="16" max="16" width="10.08984375" style="1" customWidth="1"/>
    <col min="17" max="17" width="4.90625" style="1" customWidth="1"/>
    <col min="18" max="18" width="7.54296875" style="1" customWidth="1"/>
    <col min="19" max="19" width="5.81640625" style="1" customWidth="1"/>
    <col min="20" max="20" width="13" style="1" customWidth="1"/>
    <col min="21" max="21" width="28.54296875" style="1" customWidth="1"/>
    <col min="22" max="22" width="5.81640625" style="1" customWidth="1"/>
    <col min="23" max="23" width="10.453125" style="1" customWidth="1"/>
    <col min="24" max="24" width="8.453125" style="1" customWidth="1"/>
    <col min="25" max="25" width="19.90625" style="1" customWidth="1"/>
    <col min="26" max="26" width="13.08984375" style="2" customWidth="1"/>
    <col min="27" max="27" width="33.54296875" style="1" customWidth="1"/>
    <col min="28" max="28" width="8.90625" style="1" customWidth="1"/>
    <col min="29" max="29" width="21.453125" style="1" customWidth="1"/>
    <col min="30" max="30" width="11.453125" style="1" customWidth="1"/>
    <col min="31" max="31" width="20.6328125" style="1" customWidth="1"/>
    <col min="32" max="32" width="18.1796875" style="1" customWidth="1"/>
    <col min="33" max="33" width="52.54296875" style="1" customWidth="1"/>
    <col min="34" max="34" width="14.81640625" style="1" customWidth="1"/>
    <col min="35" max="35" width="18.6328125" style="1" customWidth="1"/>
    <col min="36" max="36" width="26.7265625" style="1" customWidth="1"/>
    <col min="37" max="37" width="19.6328125" style="1" customWidth="1"/>
    <col min="38" max="38" width="24.6328125" style="1" customWidth="1"/>
    <col min="39" max="39" width="29.453125" style="1" customWidth="1"/>
    <col min="40" max="40" width="21.08984375" style="1" customWidth="1"/>
    <col min="41" max="41" width="19.26953125" style="1" customWidth="1"/>
    <col min="42" max="42" width="20.6328125" style="1" customWidth="1"/>
    <col min="43" max="43" width="11.453125" style="1" customWidth="1"/>
    <col min="44" max="44" width="24.453125" style="1" customWidth="1"/>
    <col min="45" max="45" width="14.1796875" style="1" customWidth="1"/>
    <col min="46" max="46" width="25.453125" style="1" customWidth="1"/>
    <col min="47" max="47" width="18.54296875" style="1" customWidth="1"/>
    <col min="48" max="48" width="5" style="1" customWidth="1"/>
    <col min="49" max="49" width="15.08984375" style="1" customWidth="1"/>
    <col min="50" max="50" width="25.453125" style="1" customWidth="1"/>
    <col min="51" max="51" width="8.90625" style="1" customWidth="1"/>
    <col min="52" max="52" width="20.08984375" style="1" customWidth="1"/>
    <col min="53" max="53" width="19" style="1" customWidth="1"/>
    <col min="54" max="54" width="31" style="1" customWidth="1"/>
    <col min="55" max="55" width="10" style="2" customWidth="1"/>
    <col min="56" max="56" width="11.90625" style="2" customWidth="1"/>
    <col min="57" max="57" width="5.90625" style="2" customWidth="1"/>
    <col min="58" max="58" width="18.54296875" style="1" customWidth="1"/>
    <col min="59" max="59" width="18.26953125" style="1" customWidth="1"/>
    <col min="60" max="60" width="15.08984375" style="1" customWidth="1"/>
    <col min="61" max="61" width="8.453125" style="1" customWidth="1"/>
    <col min="62" max="62" width="50.54296875" style="1" customWidth="1"/>
    <col min="63" max="63" width="26.36328125" style="1" customWidth="1"/>
    <col min="64" max="64" width="7" style="1" customWidth="1"/>
    <col min="65" max="65" width="10.7265625" style="1" customWidth="1"/>
    <col min="66" max="66" width="9.90625" style="1" customWidth="1"/>
    <col min="67" max="67" width="16.08984375" style="1" customWidth="1"/>
    <col min="68" max="68" width="15.90625" style="1" customWidth="1"/>
    <col min="69" max="69" width="15" style="1" customWidth="1"/>
    <col min="70" max="70" width="16.36328125" style="1" customWidth="1"/>
    <col min="71" max="71" width="20.453125" style="1" customWidth="1"/>
    <col min="72" max="72" width="12.54296875" style="1" customWidth="1"/>
    <col min="73" max="73" width="11.54296875" style="1" customWidth="1"/>
    <col min="74" max="74" width="14.453125" style="1" customWidth="1"/>
    <col min="75" max="75" width="25" style="1" customWidth="1"/>
    <col min="76" max="76" width="15" style="1" customWidth="1"/>
    <col min="77" max="77" width="16.36328125" style="1" customWidth="1"/>
    <col min="78" max="78" width="9.81640625" style="1" customWidth="1"/>
    <col min="79" max="79" width="9.1796875" style="1" customWidth="1"/>
    <col min="80" max="80" width="11.54296875" style="1" customWidth="1"/>
    <col min="81" max="81" width="14.453125" style="1" customWidth="1"/>
    <col min="82" max="82" width="4.90625" style="1" customWidth="1"/>
    <col min="83" max="83" width="9.7265625" style="1" customWidth="1"/>
    <col min="84" max="84" width="7.453125" style="1" customWidth="1"/>
    <col min="85" max="85" width="11.453125" style="1" customWidth="1"/>
    <col min="86" max="86" width="12.08984375" style="1" customWidth="1"/>
    <col min="87" max="87" width="8.7265625" customWidth="1"/>
  </cols>
  <sheetData>
    <row r="1" ht="14.5" customHeight="1" spans="1:86" s="3" customFormat="1" x14ac:dyDescent="0.25" outlineLevel="1" collapsed="1">
      <c r="A1" s="2" t="s">
        <v>0</v>
      </c>
      <c r="B1" s="2" t="s">
        <v>1</v>
      </c>
      <c r="C1" s="2" t="s">
        <v>2</v>
      </c>
      <c r="D1" s="4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4</v>
      </c>
      <c r="M1" s="5" t="s">
        <v>11</v>
      </c>
      <c r="N1" s="5" t="s">
        <v>12</v>
      </c>
      <c r="O1" s="5" t="s">
        <v>13</v>
      </c>
      <c r="P1" s="5" t="s">
        <v>14</v>
      </c>
      <c r="Q1" s="5" t="s">
        <v>15</v>
      </c>
      <c r="R1" s="5" t="s">
        <v>16</v>
      </c>
      <c r="S1" s="5" t="s">
        <v>9</v>
      </c>
      <c r="T1" s="5" t="s">
        <v>17</v>
      </c>
      <c r="U1" s="5" t="s">
        <v>18</v>
      </c>
      <c r="V1" s="5" t="s">
        <v>9</v>
      </c>
      <c r="W1" s="4" t="s">
        <v>19</v>
      </c>
      <c r="X1" s="5" t="s">
        <v>20</v>
      </c>
      <c r="Y1" s="5" t="s">
        <v>21</v>
      </c>
      <c r="Z1" s="5" t="s">
        <v>22</v>
      </c>
      <c r="AA1" s="5" t="s">
        <v>23</v>
      </c>
      <c r="AB1" s="5" t="s">
        <v>24</v>
      </c>
      <c r="AC1" s="5" t="s">
        <v>25</v>
      </c>
      <c r="AD1" s="5" t="s">
        <v>26</v>
      </c>
      <c r="AE1" s="5" t="s">
        <v>27</v>
      </c>
      <c r="AF1" s="5" t="s">
        <v>28</v>
      </c>
      <c r="AG1" s="5" t="s">
        <v>29</v>
      </c>
      <c r="AH1" s="5" t="s">
        <v>30</v>
      </c>
      <c r="AI1" s="4" t="s">
        <v>31</v>
      </c>
      <c r="AJ1" s="5" t="s">
        <v>32</v>
      </c>
      <c r="AK1" s="5" t="s">
        <v>33</v>
      </c>
      <c r="AL1" s="5" t="s">
        <v>34</v>
      </c>
      <c r="AM1" s="5" t="s">
        <v>35</v>
      </c>
      <c r="AN1" s="5" t="s">
        <v>36</v>
      </c>
      <c r="AO1" s="5" t="s">
        <v>37</v>
      </c>
      <c r="AP1" s="6" t="s">
        <v>38</v>
      </c>
      <c r="AQ1" s="5" t="s">
        <v>39</v>
      </c>
      <c r="AR1" s="5" t="s">
        <v>40</v>
      </c>
      <c r="AS1" s="5" t="s">
        <v>41</v>
      </c>
      <c r="AT1" s="5" t="s">
        <v>42</v>
      </c>
      <c r="AU1" s="5" t="s">
        <v>43</v>
      </c>
      <c r="AV1" s="6" t="s">
        <v>44</v>
      </c>
      <c r="AW1" s="6" t="s">
        <v>45</v>
      </c>
      <c r="AX1" s="6" t="s">
        <v>46</v>
      </c>
      <c r="AY1" s="6" t="s">
        <v>47</v>
      </c>
      <c r="AZ1" s="7" t="s">
        <v>48</v>
      </c>
      <c r="BA1" s="6" t="s">
        <v>49</v>
      </c>
      <c r="BB1" s="5" t="s">
        <v>50</v>
      </c>
      <c r="BC1" s="5" t="s">
        <v>51</v>
      </c>
      <c r="BD1" s="5" t="s">
        <v>52</v>
      </c>
      <c r="BE1" s="5" t="s">
        <v>53</v>
      </c>
      <c r="BF1" s="5" t="s">
        <v>54</v>
      </c>
      <c r="BG1" s="5" t="s">
        <v>55</v>
      </c>
      <c r="BH1" s="4" t="s">
        <v>56</v>
      </c>
      <c r="BI1" s="5" t="s">
        <v>57</v>
      </c>
      <c r="BJ1" s="8" t="s">
        <v>58</v>
      </c>
      <c r="BK1" s="9" t="s">
        <v>59</v>
      </c>
      <c r="BL1" s="10" t="s">
        <v>60</v>
      </c>
      <c r="BM1" s="5" t="s">
        <v>61</v>
      </c>
      <c r="BN1" s="5" t="s">
        <v>62</v>
      </c>
      <c r="BO1" s="5" t="s">
        <v>63</v>
      </c>
      <c r="BP1" s="5" t="s">
        <v>64</v>
      </c>
      <c r="BQ1" s="5" t="s">
        <v>65</v>
      </c>
      <c r="BR1" s="5" t="s">
        <v>66</v>
      </c>
      <c r="BS1" s="5" t="s">
        <v>67</v>
      </c>
      <c r="BT1" s="5" t="s">
        <v>68</v>
      </c>
      <c r="BU1" s="5" t="s">
        <v>69</v>
      </c>
      <c r="BV1" s="5" t="s">
        <v>70</v>
      </c>
      <c r="BW1" s="5" t="s">
        <v>71</v>
      </c>
      <c r="BX1" s="11"/>
      <c r="BY1" s="11"/>
      <c r="BZ1" s="11"/>
      <c r="CA1" s="11"/>
      <c r="CB1" s="11"/>
      <c r="CC1" s="11"/>
      <c r="CD1" s="11"/>
      <c r="CE1" s="11"/>
      <c r="CF1" s="11"/>
      <c r="CG1" s="11"/>
      <c r="CH1" s="12"/>
    </row>
    <row r="2" ht="15.65" customHeight="1" spans="1:86" x14ac:dyDescent="0.25">
      <c r="A2" s="1" t="s">
        <v>72</v>
      </c>
      <c r="B2" s="1" t="s">
        <v>73</v>
      </c>
      <c r="C2" s="13" t="s">
        <v>74</v>
      </c>
      <c r="D2" s="14" t="s">
        <v>75</v>
      </c>
      <c r="E2" s="15" t="s">
        <v>76</v>
      </c>
      <c r="F2" s="16" t="s">
        <v>77</v>
      </c>
      <c r="G2" s="17" t="s">
        <v>78</v>
      </c>
      <c r="H2" s="15" t="s">
        <v>79</v>
      </c>
      <c r="I2" s="18" t="s">
        <v>80</v>
      </c>
      <c r="J2" s="18" t="s">
        <v>81</v>
      </c>
      <c r="K2" s="19" t="s">
        <v>82</v>
      </c>
      <c r="L2" s="15" t="s">
        <v>76</v>
      </c>
      <c r="M2" s="18" t="s">
        <v>83</v>
      </c>
      <c r="N2" s="18">
        <v>1</v>
      </c>
      <c r="O2" s="18">
        <v>1612</v>
      </c>
      <c r="P2" s="18">
        <v>90851</v>
      </c>
      <c r="Q2" s="18" t="s">
        <v>84</v>
      </c>
      <c r="R2" s="18" t="s">
        <v>76</v>
      </c>
      <c r="S2" s="18" t="s">
        <v>81</v>
      </c>
      <c r="T2" s="19" t="s">
        <v>85</v>
      </c>
      <c r="U2" s="20" t="s">
        <v>86</v>
      </c>
      <c r="V2" s="18" t="s">
        <v>81</v>
      </c>
      <c r="W2" s="21">
        <f t="shared" ref="W2:W3" si="0">TODAY()-31</f>
        <v>45773</v>
      </c>
      <c r="X2" s="18" t="s">
        <v>87</v>
      </c>
      <c r="Y2" s="22" t="s">
        <v>88</v>
      </c>
      <c r="Z2" s="23" t="s">
        <v>89</v>
      </c>
      <c r="AA2" s="24" t="s">
        <v>90</v>
      </c>
      <c r="AB2" s="19" t="s">
        <v>91</v>
      </c>
      <c r="AC2" s="15">
        <v>870</v>
      </c>
      <c r="AD2" s="15" t="s">
        <v>92</v>
      </c>
      <c r="AE2" s="15" t="s">
        <v>93</v>
      </c>
      <c r="AF2" s="23" t="s">
        <v>82</v>
      </c>
      <c r="AG2" s="15" t="s">
        <v>94</v>
      </c>
      <c r="AH2" s="15" t="s">
        <v>95</v>
      </c>
      <c r="AI2" s="21">
        <f>TODAY()+365</f>
        <v>46169</v>
      </c>
      <c r="AJ2" s="18" t="s">
        <v>96</v>
      </c>
      <c r="AK2" s="25" t="s">
        <v>97</v>
      </c>
      <c r="AL2" s="25" t="s">
        <v>98</v>
      </c>
      <c r="AM2" s="18" t="s">
        <v>99</v>
      </c>
      <c r="AN2" s="18" t="s">
        <v>100</v>
      </c>
      <c r="AO2" s="24" t="s">
        <v>101</v>
      </c>
      <c r="AP2" s="26" t="s">
        <v>102</v>
      </c>
      <c r="AQ2" s="15" t="s">
        <v>88</v>
      </c>
      <c r="AR2" s="19" t="s">
        <v>82</v>
      </c>
      <c r="AS2" s="15" t="s">
        <v>88</v>
      </c>
      <c r="AT2" s="19" t="s">
        <v>82</v>
      </c>
      <c r="AU2" s="19" t="s">
        <v>82</v>
      </c>
      <c r="AV2" s="26" t="s">
        <v>103</v>
      </c>
      <c r="AW2" s="26" t="s">
        <v>104</v>
      </c>
      <c r="AX2" s="27">
        <v>1234567891</v>
      </c>
      <c r="AY2" s="15" t="s">
        <v>88</v>
      </c>
      <c r="AZ2" s="21" t="s">
        <v>105</v>
      </c>
      <c r="BA2" s="19">
        <f t="shared" ref="BA2:BA3" si="1">TODAY()+90</f>
        <v>45894</v>
      </c>
      <c r="BB2" s="15" t="s">
        <v>106</v>
      </c>
      <c r="BC2" s="18" t="s">
        <v>107</v>
      </c>
      <c r="BD2" s="15" t="s">
        <v>108</v>
      </c>
      <c r="BE2" s="18" t="s">
        <v>109</v>
      </c>
      <c r="BF2" s="19">
        <f t="shared" ref="BF2:BF3" si="2">W2</f>
        <v>45773</v>
      </c>
      <c r="BG2" s="19">
        <f t="shared" ref="BG2:BG3" si="3">W2</f>
        <v>45773</v>
      </c>
      <c r="BH2" s="21">
        <f t="shared" ref="BH2:BH3" si="4">AI2</f>
        <v>46169</v>
      </c>
      <c r="BI2" s="28" t="s">
        <v>76</v>
      </c>
      <c r="BJ2" s="29" t="s">
        <v>110</v>
      </c>
      <c r="BK2" s="30">
        <f t="array" ref="BK2:BK3">_xlfn.RANDARRAY(2,1,123456789,999999999,TRUE)</f>
        <v>473514290</v>
      </c>
      <c r="BL2" s="31" t="s">
        <v>111</v>
      </c>
      <c r="BM2" s="19" t="s">
        <v>112</v>
      </c>
      <c r="BN2" s="28" t="s">
        <v>113</v>
      </c>
      <c r="BO2" s="28" t="s">
        <v>114</v>
      </c>
      <c r="BP2" s="32" t="s">
        <v>82</v>
      </c>
      <c r="BQ2" s="28" t="s">
        <v>115</v>
      </c>
      <c r="BR2" s="28" t="s">
        <v>76</v>
      </c>
      <c r="BS2" s="15" t="s">
        <v>116</v>
      </c>
      <c r="BT2" s="15" t="s">
        <v>117</v>
      </c>
      <c r="BU2" s="28" t="s">
        <v>118</v>
      </c>
      <c r="BV2" s="28" t="s">
        <v>119</v>
      </c>
      <c r="BW2" s="28" t="s">
        <v>120</v>
      </c>
      <c r="BX2" s="33"/>
      <c r="BY2" s="33"/>
      <c r="BZ2" s="34"/>
      <c r="CA2" s="34"/>
      <c r="CB2" s="33"/>
      <c r="CC2" s="33"/>
      <c r="CD2" s="33"/>
      <c r="CE2" s="33"/>
      <c r="CF2" s="33"/>
      <c r="CG2" s="33"/>
      <c r="CH2" s="33"/>
    </row>
    <row r="3" ht="15.65" customHeight="1" spans="1:86" x14ac:dyDescent="0.25">
      <c r="A3" s="1" t="s">
        <v>121</v>
      </c>
      <c r="B3" s="35" t="s">
        <v>122</v>
      </c>
      <c r="C3" s="13" t="s">
        <v>74</v>
      </c>
      <c r="D3" s="14" t="s">
        <v>123</v>
      </c>
      <c r="E3" s="15" t="s">
        <v>76</v>
      </c>
      <c r="F3" s="16" t="s">
        <v>124</v>
      </c>
      <c r="G3" s="17" t="s">
        <v>125</v>
      </c>
      <c r="H3" s="15" t="s">
        <v>79</v>
      </c>
      <c r="I3" s="18" t="s">
        <v>80</v>
      </c>
      <c r="J3" s="18" t="s">
        <v>81</v>
      </c>
      <c r="K3" s="19" t="s">
        <v>82</v>
      </c>
      <c r="L3" s="15" t="s">
        <v>76</v>
      </c>
      <c r="M3" s="18" t="s">
        <v>83</v>
      </c>
      <c r="N3" s="18">
        <v>1</v>
      </c>
      <c r="O3" s="18">
        <v>1612</v>
      </c>
      <c r="P3" s="18">
        <v>90851</v>
      </c>
      <c r="Q3" s="18" t="s">
        <v>84</v>
      </c>
      <c r="R3" s="18" t="s">
        <v>76</v>
      </c>
      <c r="S3" s="18" t="s">
        <v>81</v>
      </c>
      <c r="T3" s="19" t="s">
        <v>85</v>
      </c>
      <c r="U3" s="20" t="s">
        <v>86</v>
      </c>
      <c r="V3" s="18" t="s">
        <v>81</v>
      </c>
      <c r="W3" s="21">
        <f t="shared" si="0"/>
        <v>45773</v>
      </c>
      <c r="X3" s="18" t="s">
        <v>87</v>
      </c>
      <c r="Y3" s="22" t="s">
        <v>126</v>
      </c>
      <c r="Z3" s="15" t="s">
        <v>127</v>
      </c>
      <c r="AA3" s="24" t="s">
        <v>128</v>
      </c>
      <c r="AB3" s="19" t="s">
        <v>91</v>
      </c>
      <c r="AC3" s="15" t="s">
        <v>129</v>
      </c>
      <c r="AD3" s="15" t="s">
        <v>92</v>
      </c>
      <c r="AE3" s="15">
        <v>40</v>
      </c>
      <c r="AF3" s="23">
        <v>40</v>
      </c>
      <c r="AG3" s="15" t="s">
        <v>94</v>
      </c>
      <c r="AH3" s="15" t="s">
        <v>95</v>
      </c>
      <c r="AI3" s="21" t="s">
        <v>82</v>
      </c>
      <c r="AJ3" s="18" t="s">
        <v>96</v>
      </c>
      <c r="AK3" s="25" t="s">
        <v>130</v>
      </c>
      <c r="AL3" s="25" t="s">
        <v>131</v>
      </c>
      <c r="AM3" s="18" t="s">
        <v>99</v>
      </c>
      <c r="AN3" s="18" t="s">
        <v>100</v>
      </c>
      <c r="AO3" s="24" t="s">
        <v>132</v>
      </c>
      <c r="AP3" s="26" t="s">
        <v>133</v>
      </c>
      <c r="AQ3" s="15" t="s">
        <v>88</v>
      </c>
      <c r="AR3" s="19" t="s">
        <v>82</v>
      </c>
      <c r="AS3" s="15" t="s">
        <v>88</v>
      </c>
      <c r="AT3" s="19" t="s">
        <v>82</v>
      </c>
      <c r="AU3" s="19" t="s">
        <v>82</v>
      </c>
      <c r="AV3" s="26" t="s">
        <v>82</v>
      </c>
      <c r="AW3" s="26" t="s">
        <v>82</v>
      </c>
      <c r="AX3" s="26" t="s">
        <v>82</v>
      </c>
      <c r="AY3" s="15" t="s">
        <v>88</v>
      </c>
      <c r="AZ3" s="21" t="s">
        <v>82</v>
      </c>
      <c r="BA3" s="19">
        <f t="shared" si="1"/>
        <v>45894</v>
      </c>
      <c r="BB3" s="15" t="s">
        <v>106</v>
      </c>
      <c r="BC3" s="18" t="s">
        <v>107</v>
      </c>
      <c r="BD3" s="15" t="s">
        <v>134</v>
      </c>
      <c r="BE3" s="18" t="s">
        <v>109</v>
      </c>
      <c r="BF3" s="19">
        <f t="shared" si="2"/>
        <v>45773</v>
      </c>
      <c r="BG3" s="19">
        <f t="shared" si="3"/>
        <v>45773</v>
      </c>
      <c r="BH3" s="21">
        <f t="shared" si="4"/>
        <v>NaN</v>
      </c>
      <c r="BI3" s="28" t="s">
        <v>76</v>
      </c>
      <c r="BJ3" s="29" t="s">
        <v>110</v>
      </c>
      <c r="BK3" s="30">
        <v>701854064</v>
      </c>
      <c r="BL3" s="31" t="s">
        <v>135</v>
      </c>
      <c r="BM3" s="19" t="s">
        <v>112</v>
      </c>
      <c r="BN3" s="28" t="s">
        <v>113</v>
      </c>
      <c r="BO3" s="28" t="s">
        <v>114</v>
      </c>
      <c r="BP3" s="32" t="s">
        <v>82</v>
      </c>
      <c r="BQ3" s="28" t="s">
        <v>115</v>
      </c>
      <c r="BR3" s="28" t="s">
        <v>76</v>
      </c>
      <c r="BS3" s="15" t="s">
        <v>116</v>
      </c>
      <c r="BT3" s="15" t="s">
        <v>117</v>
      </c>
      <c r="BU3" s="28" t="s">
        <v>118</v>
      </c>
      <c r="BV3" s="28" t="s">
        <v>119</v>
      </c>
      <c r="BW3" s="28" t="s">
        <v>120</v>
      </c>
      <c r="BX3" s="33"/>
      <c r="BY3" s="33"/>
      <c r="BZ3" s="34"/>
      <c r="CA3" s="34"/>
      <c r="CB3" s="33"/>
      <c r="CC3" s="33"/>
      <c r="CD3" s="33"/>
      <c r="CE3" s="33"/>
      <c r="CF3" s="33"/>
      <c r="CG3" s="33"/>
      <c r="CH3" s="33"/>
    </row>
  </sheetData>
  <dataValidations count="7">
    <dataValidation type="list" allowBlank="1" showInputMessage="1" showErrorMessage="1" sqref="BE2:BE3">
      <formula1>INDIRECT($H2)</formula1>
    </dataValidation>
    <dataValidation type="list" allowBlank="1" showInputMessage="1" showErrorMessage="1" sqref="BU2:BU3">
      <formula1>INDIRECT($H2)</formula1>
    </dataValidation>
    <dataValidation type="list" allowBlank="1" showInputMessage="1" showErrorMessage="1" sqref="CB2:CB3">
      <formula1>INDIRECT($H2)</formula1>
    </dataValidation>
    <dataValidation type="list" allowBlank="1" showInputMessage="1" showErrorMessage="1" sqref="J2:J3">
      <formula1>INDIRECT($H2)</formula1>
    </dataValidation>
    <dataValidation type="list" allowBlank="1" showInputMessage="1" showErrorMessage="1" sqref="S2:S3">
      <formula1>INDIRECT($H2)</formula1>
    </dataValidation>
    <dataValidation type="list" allowBlank="1" showInputMessage="1" showErrorMessage="1" sqref="V2:V3">
      <formula1>INDIRECT($H2)</formula1>
    </dataValidation>
    <dataValidation type="list" allowBlank="1" showInputMessage="1" showErrorMessage="1" sqref="X2:X3">
      <formula1>INDIRECT($H2)</formula1>
    </dataValidation>
  </dataValidations>
  <hyperlinks>
    <hyperlink ref="U2" r:id="rId1"/>
    <hyperlink ref="U3" r:id="rId2"/>
  </hyperlink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headerFooter>
    <oddFooter>&amp;L_x000D_&amp;1#&amp;"Calibri"&amp;10&amp;K000000 EXPLEO Internal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2025-05-27T07:35:35Z</dcterms:modified>
</cp:coreProperties>
</file>