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E4D88DBF-ECF8-49DE-8546-1A6E0247D82C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definedNames>
    <definedName name="_xlnm._FilterDatabase">Sheet1!$A$1:$BY$3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3" i="1" l="1"/>
  <c r="K3" i="1"/>
  <c r="X3" i="1" s="1"/>
</calcChain>
</file>

<file path=xl/sharedStrings.xml><?xml version="1.0" encoding="utf-8"?>
<sst xmlns="http://schemas.openxmlformats.org/spreadsheetml/2006/main" count="206" uniqueCount="138">
  <si>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</si>
  <si>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</si>
  <si>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</si>
  <si>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</si>
  <si>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</si>
  <si>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</si>
  <si>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</si>
  <si>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</si>
  <si>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</si>
  <si>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</si>
  <si>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</si>
  <si>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</si>
  <si>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Province</t>
  </si>
  <si>
    <t>PostalCode</t>
  </si>
  <si>
    <t>City</t>
  </si>
  <si>
    <t>houseNumber</t>
  </si>
  <si>
    <t>Municipality</t>
  </si>
  <si>
    <t>District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</si>
  <si>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</si>
  <si>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</si>
  <si>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</si>
  <si>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</si>
  <si>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</si>
  <si>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</si>
  <si>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</si>
  <si>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</si>
  <si>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</si>
  <si>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</si>
  <si>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</si>
  <si>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SchoolName</t>
  </si>
  <si>
    <t>SchoolType</t>
  </si>
  <si>
    <t>SchoolStartDate</t>
  </si>
  <si>
    <t>SchoolEndDate</t>
  </si>
  <si>
    <t>AdditionalJobClassifications</t>
  </si>
  <si>
    <t>WorkShift</t>
  </si>
  <si>
    <t>EndEmploymentDate</t>
  </si>
  <si>
    <t>AllowanceAmount</t>
  </si>
  <si>
    <t>Comments</t>
  </si>
  <si>
    <t>ContractType</t>
  </si>
  <si>
    <t>Status</t>
  </si>
  <si>
    <t>DateEmployeeSigned</t>
  </si>
  <si>
    <t>DateEmployerSigned</t>
  </si>
  <si>
    <t>ContractEndDate</t>
  </si>
  <si>
    <t>CostCenter</t>
  </si>
  <si>
    <t>DepartmentSection</t>
  </si>
  <si>
    <t>UrządSkarbowy</t>
  </si>
  <si>
    <t>Ulgapodatkowa</t>
  </si>
  <si>
    <t>Częśćulgi</t>
  </si>
  <si>
    <t>Typopodatkowania</t>
  </si>
  <si>
    <t>Identyfikatorpodatkowy</t>
  </si>
  <si>
    <t>FirstEverJobDetails</t>
  </si>
  <si>
    <r>
      <t>FirstJobExpiryDate</t>
    </r>
    <r>
      <rPr>
        <sz val="11"/>
        <color theme="1"/>
        <rFont val="Calibri"/>
        <family val="2"/>
        <scheme val="minor"/>
      </rPr>
      <t xml:space="preserve"> </t>
    </r>
  </si>
  <si>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</si>
  <si>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</si>
  <si>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</si>
  <si>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</si>
  <si>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</si>
  <si>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</si>
  <si>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</si>
  <si>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</si>
  <si>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</si>
  <si>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Gender</t>
  </si>
  <si>
    <t>DateOfBirth</t>
  </si>
  <si>
    <t>MaritalStatus</t>
  </si>
  <si>
    <t>MaritalStatusDate</t>
  </si>
  <si>
    <t>CitizenshipStatus</t>
  </si>
  <si>
    <t>BankName</t>
  </si>
  <si>
    <t>BankIdentificationCode</t>
  </si>
  <si>
    <t>AccountType</t>
  </si>
  <si>
    <t>AccountNumber</t>
  </si>
  <si>
    <t>IBAN</t>
  </si>
  <si>
    <t>Salary</t>
  </si>
  <si>
    <t>ProposedPayGroupInitial</t>
  </si>
  <si>
    <t>ProposedPayGroupFinal</t>
  </si>
  <si>
    <t>defaultHours</t>
  </si>
  <si>
    <t>Test_1</t>
  </si>
  <si>
    <t>10699770</t>
  </si>
  <si>
    <t>Passed</t>
  </si>
  <si>
    <t>765 Recruitment  (Fihyp Kohawu (10580286))</t>
  </si>
  <si>
    <t>Poland</t>
  </si>
  <si>
    <t>Bo</t>
  </si>
  <si>
    <t>Towne</t>
  </si>
  <si>
    <t xml:space="preserve">698 980 460 </t>
  </si>
  <si>
    <t>Landline</t>
  </si>
  <si>
    <t>Home</t>
  </si>
  <si>
    <t>Automation Street Name</t>
  </si>
  <si>
    <t>Greater Poland</t>
  </si>
  <si>
    <t>00001</t>
  </si>
  <si>
    <t xml:space="preserve">Warsaw  </t>
  </si>
  <si>
    <t>Test</t>
  </si>
  <si>
    <t>Street Address</t>
  </si>
  <si>
    <t>Test001@gmail.com</t>
  </si>
  <si>
    <t>New Hire</t>
  </si>
  <si>
    <t>No</t>
  </si>
  <si>
    <t>Permanent</t>
  </si>
  <si>
    <t>Retail Assistant_NEW</t>
  </si>
  <si>
    <t>Part time</t>
  </si>
  <si>
    <t>Za</t>
  </si>
  <si>
    <t xml:space="preserve">RE029_NEW2 </t>
  </si>
  <si>
    <t>5 Days</t>
  </si>
  <si>
    <t>N/A</t>
  </si>
  <si>
    <t>Automation Comments here….</t>
  </si>
  <si>
    <t>Open-ended</t>
  </si>
  <si>
    <t>Active</t>
  </si>
  <si>
    <t>94 Retail Operative</t>
  </si>
  <si>
    <t>01 Accessories</t>
  </si>
  <si>
    <t>0201-Izha</t>
  </si>
  <si>
    <t>Ulga podatkowa obowiązuje</t>
  </si>
  <si>
    <t>1/12 kwoty zmniejszającej podatek</t>
  </si>
  <si>
    <t>Standardowy</t>
  </si>
  <si>
    <t>PESEL</t>
  </si>
  <si>
    <t>Tax ID Number (NIP)</t>
  </si>
  <si>
    <t>Personal Identity (PESEL) Number</t>
  </si>
  <si>
    <t>ID Card</t>
  </si>
  <si>
    <t>SSK456211</t>
  </si>
  <si>
    <t>Male</t>
  </si>
  <si>
    <t>Married (Poland)</t>
  </si>
  <si>
    <t>01/01/2019</t>
  </si>
  <si>
    <t>Citizen (Poland)</t>
  </si>
  <si>
    <t>Bank of Poland</t>
  </si>
  <si>
    <t>NBPLPLPW</t>
  </si>
  <si>
    <t>Checking</t>
  </si>
  <si>
    <t>11111111111111111111111101</t>
  </si>
  <si>
    <t>PL09109024023899695521479863</t>
  </si>
  <si>
    <t>Defaulted</t>
  </si>
  <si>
    <t>Please select a Poland Pay Group</t>
  </si>
  <si>
    <t>PL Monthly</t>
  </si>
  <si>
    <t>Test_2</t>
  </si>
  <si>
    <t>765 Store Management (Kires Pivyba (10226524))</t>
  </si>
  <si>
    <t>Madie</t>
  </si>
  <si>
    <t>Aufderhar</t>
  </si>
  <si>
    <t>Auto 30093495</t>
  </si>
  <si>
    <t>Store Manager_NEW</t>
  </si>
  <si>
    <t>Full time</t>
  </si>
  <si>
    <t>RE024_NEW</t>
  </si>
  <si>
    <t xml:space="preserve">92 Retail Management </t>
  </si>
  <si>
    <t xml:space="preserve">251 Management Retail </t>
  </si>
  <si>
    <t>SSK456212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</si>
</sst>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6" x14ac:knownFonts="1">
    <font>
      <sz val="11"/>
      <color theme="1"/>
      <name val="Calibri"/>
      <family val="2"/>
      <scheme val="minor"/>
    </font>
    <font>
      <sz val="10"/>
      <color rgb="FFFF0000"/>
      <name val="Arial"/>
      <family val="2"/>
    </font>
    <font>
      <sz val="10"/>
      <color indexed="8"/>
      <name val="Arial"/>
      <family val="2"/>
    </font>
    <font>
      <sz val="10"/>
      <color theme="1"/>
      <name val="Calibri"/>
      <family val="2"/>
      <scheme val="minor"/>
    </font>
    <font>
      <b/>
      <sz val="10"/>
      <color indexed="8"/>
      <name val="Calibri"/>
      <family val="2"/>
    </font>
    <font>
      <b/>
      <sz val="10"/>
      <color indexed="63"/>
      <name val="Arial"/>
      <family val="2"/>
    </font>
    <font>
      <u/>
      <sz val="10"/>
      <color indexed="12"/>
      <name val="Calibri"/>
      <family val="2"/>
    </font>
    <font>
      <sz val="14"/>
      <color indexed="8"/>
      <name val="Arial"/>
      <family val="2"/>
    </font>
    <font>
      <sz val="14"/>
      <color indexed="10"/>
      <name val="Arial"/>
      <family val="2"/>
    </font>
    <font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  <font>
      <b/>
      <sz val="11"/>
      <name val="Calibri"/>
      <family val="2"/>
    </font>
    <font>
      <sz val="10"/>
      <name val="Calibri"/>
      <family val="2"/>
    </font>
    <font>
      <sz val="10"/>
      <color indexed="63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2" borderId="0" xfId="0" applyFill="1"/>
    <xf numFmtId="0" fontId="0" fillId="3" borderId="0" xfId="0" applyFill="1"/>
    <xf numFmtId="0" fontId="0" fillId="3" borderId="0" xfId="0" applyFill="1" applyAlignment="1">
      <alignment horizontal="left"/>
    </xf>
    <xf numFmtId="0" fontId="1" fillId="3" borderId="0" xfId="0" applyFont="1" applyFill="1" applyAlignment="1">
      <alignment vertical="center" wrapText="1"/>
    </xf>
    <xf numFmtId="0" fontId="2" fillId="3" borderId="1" xfId="0" applyFont="1" applyFill="1" applyBorder="1" applyAlignment="1">
      <alignment horizontal="left" wrapText="1"/>
    </xf>
    <xf numFmtId="0" fontId="2" fillId="3" borderId="1" xfId="0" applyFont="1" applyFill="1" applyBorder="1" applyAlignment="1" applyProtection="1">
      <alignment horizontal="left" wrapText="1"/>
      <protection locked="0"/>
    </xf>
    <xf numFmtId="0" fontId="3" fillId="3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14" fontId="2" fillId="3" borderId="0" xfId="0" applyNumberFormat="1" applyFont="1" applyFill="1" applyAlignment="1">
      <alignment horizontal="left" wrapText="1"/>
    </xf>
    <xf numFmtId="0" fontId="5" fillId="3" borderId="0" xfId="0" applyFont="1" applyFill="1" applyAlignment="1">
      <alignment wrapText="1"/>
    </xf>
    <xf numFmtId="14" fontId="2" fillId="3" borderId="1" xfId="0" applyNumberFormat="1" applyFont="1" applyFill="1" applyBorder="1" applyAlignment="1">
      <alignment horizontal="left" wrapText="1"/>
    </xf>
    <xf numFmtId="0" fontId="6" fillId="3" borderId="1" xfId="0" applyFont="1" applyFill="1" applyBorder="1" applyAlignment="1" applyProtection="1">
      <alignment wrapText="1"/>
      <protection locked="0"/>
    </xf>
    <xf numFmtId="14" fontId="1" fillId="3" borderId="0" xfId="0" applyNumberFormat="1" applyFont="1" applyFill="1" applyAlignment="1">
      <alignment horizontal="left" wrapText="1"/>
    </xf>
    <xf numFmtId="0" fontId="7" fillId="3" borderId="0" xfId="0" applyFont="1" applyFill="1"/>
    <xf numFmtId="0" fontId="2" fillId="3" borderId="0" xfId="0" applyFont="1" applyFill="1" applyAlignment="1">
      <alignment horizontal="left" wrapText="1"/>
    </xf>
    <xf numFmtId="0" fontId="7" fillId="3" borderId="1" xfId="0" applyFont="1" applyFill="1" applyBorder="1" applyAlignment="1" applyProtection="1">
      <alignment horizontal="left" wrapText="1"/>
      <protection locked="0"/>
    </xf>
    <xf numFmtId="0" fontId="2" fillId="3" borderId="0" xfId="0" applyFont="1" applyFill="1" applyAlignment="1">
      <alignment wrapText="1"/>
    </xf>
    <xf numFmtId="14" fontId="8" fillId="3" borderId="0" xfId="0" applyNumberFormat="1" applyFont="1" applyFill="1" applyAlignment="1">
      <alignment horizontal="left"/>
    </xf>
    <xf numFmtId="14" fontId="9" fillId="3" borderId="1" xfId="0" applyNumberFormat="1" applyFont="1" applyFill="1" applyBorder="1" applyAlignment="1">
      <alignment horizontal="left" wrapText="1"/>
    </xf>
    <xf numFmtId="14" fontId="10" fillId="3" borderId="1" xfId="0" applyNumberFormat="1" applyFont="1" applyFill="1" applyBorder="1" applyAlignment="1">
      <alignment horizontal="left"/>
    </xf>
    <xf numFmtId="0" fontId="11" fillId="4" borderId="0" xfId="0" applyFont="1" applyFill="1"/>
    <xf numFmtId="0" fontId="0" fillId="5" borderId="0" xfId="0" applyFill="1"/>
    <xf numFmtId="164" fontId="2" fillId="0" borderId="1" xfId="0" applyNumberFormat="1" applyFont="1" applyBorder="1" applyAlignment="1" applyProtection="1">
      <alignment horizontal="left" wrapText="1"/>
      <protection locked="0"/>
    </xf>
    <xf numFmtId="164" fontId="2" fillId="3" borderId="1" xfId="0" applyNumberFormat="1" applyFont="1" applyFill="1" applyBorder="1" applyAlignment="1" applyProtection="1">
      <alignment horizontal="left" wrapText="1"/>
      <protection locked="0"/>
    </xf>
    <xf numFmtId="164" fontId="2" fillId="3" borderId="2" xfId="0" applyNumberFormat="1" applyFont="1" applyFill="1" applyBorder="1" applyAlignment="1" applyProtection="1">
      <alignment horizontal="left" wrapText="1"/>
      <protection locked="0"/>
    </xf>
    <xf numFmtId="164" fontId="12" fillId="3" borderId="1" xfId="0" applyNumberFormat="1" applyFont="1" applyFill="1" applyBorder="1" applyAlignment="1" applyProtection="1">
      <alignment horizontal="left" wrapText="1"/>
      <protection locked="0"/>
    </xf>
    <xf numFmtId="15" fontId="13" fillId="3" borderId="1" xfId="0" applyNumberFormat="1" applyFont="1" applyFill="1" applyBorder="1" applyAlignment="1">
      <alignment horizontal="left"/>
    </xf>
    <xf numFmtId="164" fontId="14" fillId="3" borderId="1" xfId="0" applyNumberFormat="1" applyFont="1" applyFill="1" applyBorder="1" applyAlignment="1" applyProtection="1">
      <alignment horizontal="left" wrapText="1"/>
      <protection locked="0"/>
    </xf>
    <xf numFmtId="0" fontId="14" fillId="3" borderId="1" xfId="0" applyFont="1" applyFill="1" applyBorder="1" applyAlignment="1">
      <alignment horizontal="left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0" borderId="1" xfId="0" applyFont="1" applyBorder="1" applyAlignment="1">
      <alignment horizontal="left" wrapText="1"/>
    </xf>
    <xf numFmtId="0" fontId="2" fillId="6" borderId="1" xfId="0" applyFont="1" applyFill="1" applyBorder="1" applyAlignment="1" applyProtection="1">
      <alignment horizontal="left" wrapText="1"/>
      <protection locked="0"/>
    </xf>
    <xf numFmtId="0" fontId="3" fillId="6" borderId="0" xfId="0" applyFont="1" applyFill="1" applyAlignment="1">
      <alignment wrapText="1"/>
    </xf>
    <xf numFmtId="0" fontId="4" fillId="0" borderId="0" xfId="0" applyFont="1" applyAlignment="1">
      <alignment wrapText="1"/>
    </xf>
    <xf numFmtId="14" fontId="2" fillId="0" borderId="0" xfId="0" applyNumberFormat="1" applyFont="1" applyAlignment="1">
      <alignment horizontal="left" wrapText="1"/>
    </xf>
    <xf numFmtId="14" fontId="1" fillId="0" borderId="0" xfId="0" applyNumberFormat="1" applyFont="1" applyAlignment="1">
      <alignment horizontal="left" wrapText="1"/>
    </xf>
    <xf numFmtId="0" fontId="4" fillId="0" borderId="0" xfId="0" applyFont="1" applyAlignment="1">
      <alignment horizontal="left" wrapText="1"/>
    </xf>
    <xf numFmtId="0" fontId="2" fillId="0" borderId="1" xfId="0" applyFont="1" applyBorder="1" applyAlignment="1" applyProtection="1">
      <alignment horizontal="left" wrapText="1"/>
      <protection locked="0"/>
    </xf>
    <xf numFmtId="14" fontId="9" fillId="0" borderId="1" xfId="0" applyNumberFormat="1" applyFont="1" applyBorder="1" applyAlignment="1">
      <alignment horizontal="left" wrapText="1"/>
    </xf>
    <xf numFmtId="164" fontId="2" fillId="0" borderId="2" xfId="0" applyNumberFormat="1" applyFont="1" applyBorder="1" applyAlignment="1" applyProtection="1">
      <alignment horizontal="left" wrapText="1"/>
      <protection locked="0"/>
    </xf>
    <xf numFmtId="0" fontId="14" fillId="0" borderId="1" xfId="0" applyFont="1" applyBorder="1" applyAlignment="1">
      <alignment horizontal="left" wrapText="1"/>
    </xf>
    <xf numFmtId="164" fontId="14" fillId="0" borderId="1" xfId="0" applyNumberFormat="1" applyFont="1" applyBorder="1" applyAlignment="1" applyProtection="1">
      <alignment horizontal="left" wrapText="1"/>
      <protection locked="0"/>
    </xf>
    <xf numFmtId="0" fontId="5" fillId="0" borderId="0" xfId="0" applyFont="1" applyAlignment="1">
      <alignment wrapText="1"/>
    </xf>
    <xf numFmtId="14" fontId="2" fillId="0" borderId="1" xfId="0" applyNumberFormat="1" applyFont="1" applyBorder="1" applyAlignment="1">
      <alignment horizontal="left" wrapText="1"/>
    </xf>
    <xf numFmtId="0" fontId="6" fillId="0" borderId="1" xfId="0" applyFont="1" applyBorder="1" applyAlignment="1" applyProtection="1">
      <alignment wrapText="1"/>
      <protection locked="0"/>
    </xf>
    <xf numFmtId="0" fontId="2" fillId="0" borderId="0" xfId="0" applyFont="1" applyAlignment="1">
      <alignment wrapText="1"/>
    </xf>
    <xf numFmtId="0" fontId="15" fillId="3" borderId="0" xfId="0" applyFont="1" applyFill="1" applyAlignment="1">
      <alignment wrapText="1"/>
    </xf>
    <xf numFmtId="0" fontId="2" fillId="0" borderId="0" xfId="0" applyFont="1" applyAlignment="1">
      <alignment horizontal="left" wrapText="1"/>
    </xf>
    <xf numFmtId="0" fontId="7" fillId="3" borderId="1" xfId="0" applyFont="1" applyFill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Z5"/>
  <sheetViews>
    <sheetView tabSelected="1" topLeftCell="C1" zoomScale="89" zoomScaleNormal="100" workbookViewId="0">
      <selection activeCell="C3" sqref="C3"/>
    </sheetView>
  </sheetViews>
  <sheetFormatPr defaultRowHeight="14.5" customHeight="1" x14ac:dyDescent="0.35"/>
  <cols>
    <col min="1" max="1" width="10.81640625" customWidth="1"/>
    <col min="2" max="2" width="156.54296875" customWidth="1"/>
    <col min="3" max="3" width="25.81640625" customWidth="1"/>
    <col min="4" max="4" width="20.453125" customWidth="1"/>
    <col min="5" max="5" width="7" customWidth="1"/>
    <col min="6" max="6" width="10" customWidth="1"/>
    <col min="7" max="7" width="10.1796875" customWidth="1"/>
    <col min="8" max="8" width="11.81640625" customWidth="1"/>
    <col min="9" max="9" width="11.1796875" customWidth="1"/>
    <col min="10" max="10" width="18" customWidth="1"/>
    <col min="11" max="11" width="27.81640625" customWidth="1"/>
    <col min="12" max="12" width="7" customWidth="1"/>
    <col min="13" max="13" width="10.453125" customWidth="1"/>
    <col min="14" max="14" width="7.54296875" customWidth="1"/>
    <col min="15" max="15" width="27.1796875" customWidth="1"/>
    <col min="16" max="16" width="17.81640625" customWidth="1"/>
    <col min="17" max="17" width="11.81640625" customWidth="1"/>
    <col min="18" max="18" width="10" customWidth="1"/>
    <col min="19" max="19" width="6.453125" customWidth="1"/>
    <col min="20" max="20" width="4.81640625" customWidth="1"/>
    <col min="21" max="21" width="32.36328125" customWidth="1"/>
    <col min="22" max="22" width="11.1796875" customWidth="1"/>
    <col min="23" max="23" width="20.54296875" customWidth="1"/>
    <col min="24" max="24" width="29.1796875" customWidth="1"/>
    <col min="25" max="25" width="32.453125" customWidth="1"/>
    <col min="26" max="26" width="7.1796875" customWidth="1"/>
    <col min="27" max="27" width="36.453125" style="1" customWidth="1"/>
    <col min="28" max="28" width="52.90625" customWidth="1"/>
    <col min="29" max="29" width="12" style="1" customWidth="1"/>
    <col min="30" max="30" width="7.54296875" customWidth="1"/>
    <col min="31" max="31" width="11.81640625" customWidth="1"/>
    <col min="32" max="32" width="25.453125" customWidth="1"/>
    <col min="33" max="33" width="12.81640625" customWidth="1"/>
    <col min="34" max="34" width="10.81640625" customWidth="1"/>
    <col min="35" max="35" width="16.1796875" customWidth="1"/>
    <col min="36" max="36" width="17" customWidth="1"/>
    <col min="37" max="37" width="23.1796875" customWidth="1"/>
    <col min="38" max="38" width="21.1796875" style="1" customWidth="1"/>
    <col min="39" max="40" width="25.453125" customWidth="1"/>
    <col min="41" max="41" width="9.453125" customWidth="1"/>
    <col min="42" max="42" width="41" customWidth="1"/>
    <col min="43" max="43" width="5.81640625" customWidth="1"/>
    <col min="44" max="44" width="17" customWidth="1"/>
    <col min="45" max="45" width="16.54296875" customWidth="1"/>
    <col min="46" max="46" width="15.1796875" customWidth="1"/>
    <col min="47" max="47" width="27.453125" customWidth="1"/>
    <col min="48" max="53" width="27.1796875" customWidth="1"/>
    <col min="54" max="54" width="27.1796875" style="2" customWidth="1"/>
    <col min="55" max="56" width="27.1796875" customWidth="1"/>
    <col min="57" max="57" width="35.1796875" customWidth="1"/>
    <col min="58" max="58" width="24.1796875" customWidth="1"/>
    <col min="59" max="59" width="27.81640625" customWidth="1"/>
    <col min="60" max="60" width="23.81640625" customWidth="1"/>
    <col min="61" max="61" width="25.81640625" customWidth="1"/>
    <col min="62" max="62" width="14" customWidth="1"/>
    <col min="63" max="63" width="30.54296875" customWidth="1"/>
    <col min="64" max="64" width="18.81640625" style="2" customWidth="1"/>
    <col min="65" max="65" width="11.1796875" customWidth="1"/>
    <col min="66" max="66" width="31.54296875" customWidth="1"/>
    <col min="67" max="67" width="18.81640625" customWidth="1"/>
    <col min="68" max="68" width="25.1796875" customWidth="1"/>
    <col min="69" max="69" width="20.81640625" customWidth="1"/>
    <col min="70" max="70" width="20.54296875" customWidth="1"/>
    <col min="71" max="71" width="31.81640625" customWidth="1"/>
    <col min="75" max="75" width="20.54296875" customWidth="1"/>
    <col min="76" max="76" width="21.1796875" customWidth="1"/>
    <col min="77" max="77" width="26.453125" customWidth="1"/>
    <col min="78" max="78" width="30.1796875" customWidth="1"/>
  </cols>
  <sheetData>
    <row r="1" spans="1:78" s="2" customFormat="1" ht="35" customHeight="1" x14ac:dyDescent="0.35">
      <c r="A1" s="3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6" t="s">
        <v>8</v>
      </c>
      <c r="J1" s="6" t="s">
        <v>9</v>
      </c>
      <c r="K1" s="9" t="s">
        <v>10</v>
      </c>
      <c r="L1" s="5" t="s">
        <v>4</v>
      </c>
      <c r="M1" s="5" t="s">
        <v>11</v>
      </c>
      <c r="N1" s="6" t="s">
        <v>12</v>
      </c>
      <c r="O1" s="10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9</v>
      </c>
      <c r="U1" s="11" t="s">
        <v>18</v>
      </c>
      <c r="V1" s="12" t="s">
        <v>19</v>
      </c>
      <c r="W1" s="6" t="s">
        <v>9</v>
      </c>
      <c r="X1" s="13" t="s">
        <v>20</v>
      </c>
      <c r="Y1" s="6" t="s">
        <v>21</v>
      </c>
      <c r="Z1" s="6" t="s">
        <v>22</v>
      </c>
      <c r="AA1" s="6" t="s">
        <v>23</v>
      </c>
      <c r="AB1" s="6" t="s">
        <v>24</v>
      </c>
      <c r="AC1" s="14" t="s">
        <v>25</v>
      </c>
      <c r="AD1" s="15" t="s">
        <v>26</v>
      </c>
      <c r="AE1" s="15" t="s">
        <v>27</v>
      </c>
      <c r="AF1" s="16" t="s">
        <v>28</v>
      </c>
      <c r="AG1" s="17" t="s">
        <v>29</v>
      </c>
      <c r="AH1" s="17" t="s">
        <v>30</v>
      </c>
      <c r="AI1" s="17" t="s">
        <v>31</v>
      </c>
      <c r="AJ1" s="17" t="s">
        <v>32</v>
      </c>
      <c r="AK1" s="17" t="s">
        <v>33</v>
      </c>
      <c r="AL1" s="17" t="s">
        <v>34</v>
      </c>
      <c r="AM1" s="18" t="s">
        <v>35</v>
      </c>
      <c r="AN1" s="6" t="s">
        <v>36</v>
      </c>
      <c r="AO1" s="6" t="s">
        <v>37</v>
      </c>
      <c r="AP1" s="14" t="s">
        <v>38</v>
      </c>
      <c r="AQ1" s="6" t="s">
        <v>39</v>
      </c>
      <c r="AR1" s="19" t="s">
        <v>40</v>
      </c>
      <c r="AS1" s="19" t="s">
        <v>41</v>
      </c>
      <c r="AT1" s="20" t="s">
        <v>42</v>
      </c>
      <c r="AU1" s="6" t="s">
        <v>43</v>
      </c>
      <c r="AV1" s="2" t="s">
        <v>44</v>
      </c>
      <c r="AW1" s="2" t="s">
        <v>45</v>
      </c>
      <c r="AX1" s="2" t="s">
        <v>46</v>
      </c>
      <c r="AY1" s="2" t="s">
        <v>47</v>
      </c>
      <c r="AZ1" s="2" t="s">
        <v>48</v>
      </c>
      <c r="BA1" s="2" t="s">
        <v>49</v>
      </c>
      <c r="BB1" s="2" t="s">
        <v>50</v>
      </c>
      <c r="BC1" s="21" t="s">
        <v>51</v>
      </c>
      <c r="BD1" s="22" t="s">
        <v>52</v>
      </c>
      <c r="BE1" s="23" t="s">
        <v>53</v>
      </c>
      <c r="BF1" s="15" t="s">
        <v>54</v>
      </c>
      <c r="BG1" t="s">
        <v>55</v>
      </c>
      <c r="BH1" s="23" t="s">
        <v>56</v>
      </c>
      <c r="BI1" s="15" t="s">
        <v>57</v>
      </c>
      <c r="BJ1" s="15" t="s">
        <v>58</v>
      </c>
      <c r="BK1" s="24" t="s">
        <v>59</v>
      </c>
      <c r="BL1" s="15" t="s">
        <v>60</v>
      </c>
      <c r="BM1" s="14" t="s">
        <v>61</v>
      </c>
      <c r="BN1" s="25" t="s">
        <v>62</v>
      </c>
      <c r="BO1" s="26" t="s">
        <v>63</v>
      </c>
      <c r="BP1" s="27" t="s">
        <v>64</v>
      </c>
      <c r="BQ1" s="28" t="s">
        <v>65</v>
      </c>
      <c r="BR1" s="5" t="s">
        <v>66</v>
      </c>
      <c r="BS1" s="29" t="s">
        <v>67</v>
      </c>
      <c r="BT1" s="5" t="s">
        <v>68</v>
      </c>
      <c r="BU1" s="28" t="s">
        <v>69</v>
      </c>
      <c r="BV1" s="28" t="s">
        <v>70</v>
      </c>
      <c r="BW1" s="5" t="s">
        <v>71</v>
      </c>
      <c r="BX1" s="5" t="s">
        <v>72</v>
      </c>
      <c r="BY1" s="5" t="s">
        <v>73</v>
      </c>
      <c r="BZ1" s="5" t="s">
        <v>74</v>
      </c>
    </row>
    <row r="2" spans="1:78" s="2" customFormat="1" ht="35" customHeight="1" x14ac:dyDescent="0.35">
      <c r="A2" s="30" t="s">
        <v>75</v>
      </c>
      <c r="B2" s="31" t="s">
        <v>76</v>
      </c>
      <c r="C2" s="1" t="s">
        <v>77</v>
      </c>
      <c r="D2" s="32" t="s">
        <v>78</v>
      </c>
      <c r="E2" s="33" t="s">
        <v>79</v>
      </c>
      <c r="F2" s="34" t="s">
        <v>80</v>
      </c>
      <c r="G2" s="35" t="s">
        <v>81</v>
      </c>
      <c r="H2" s="36" t="s">
        <v>82</v>
      </c>
      <c r="I2" s="36" t="s">
        <v>83</v>
      </c>
      <c r="J2" s="36" t="s">
        <v>84</v>
      </c>
      <c r="K2" s="37">
        <v>45705</v>
      </c>
      <c r="L2" s="36" t="s">
        <v>79</v>
      </c>
      <c r="M2" s="36" t="s">
        <v>85</v>
      </c>
      <c r="N2" s="36" t="s">
        <v>86</v>
      </c>
      <c r="O2" s="36" t="s">
        <v>87</v>
      </c>
      <c r="P2" s="36" t="s">
        <v>88</v>
      </c>
      <c r="Q2" s="36" t="s">
        <v>89</v>
      </c>
      <c r="R2" s="36" t="s">
        <v>89</v>
      </c>
      <c r="S2" s="36" t="s">
        <v>88</v>
      </c>
      <c r="T2" s="36" t="s">
        <v>84</v>
      </c>
      <c r="U2" s="36" t="s">
        <v>90</v>
      </c>
      <c r="V2" s="36" t="s">
        <v>91</v>
      </c>
      <c r="W2" s="36" t="s">
        <v>84</v>
      </c>
      <c r="X2" s="38">
        <v>45705</v>
      </c>
      <c r="Y2" s="36" t="s">
        <v>92</v>
      </c>
      <c r="Z2" s="36" t="s">
        <v>93</v>
      </c>
      <c r="AA2" s="36" t="s">
        <v>94</v>
      </c>
      <c r="AB2" s="36" t="s">
        <v>95</v>
      </c>
      <c r="AC2" s="36" t="s">
        <v>96</v>
      </c>
      <c r="AD2" s="36">
        <v>765</v>
      </c>
      <c r="AE2" s="36" t="s">
        <v>71</v>
      </c>
      <c r="AF2" s="39">
        <v>10</v>
      </c>
      <c r="AG2" s="36" t="s">
        <v>89</v>
      </c>
      <c r="AH2" s="36" t="s">
        <v>97</v>
      </c>
      <c r="AI2" s="18">
        <v>43831</v>
      </c>
      <c r="AJ2" s="18">
        <v>45293</v>
      </c>
      <c r="AK2" s="36" t="s">
        <v>98</v>
      </c>
      <c r="AL2" s="36" t="s">
        <v>99</v>
      </c>
      <c r="AM2" s="36" t="s">
        <v>100</v>
      </c>
      <c r="AN2" s="40">
        <v>110</v>
      </c>
      <c r="AO2" s="36" t="s">
        <v>101</v>
      </c>
      <c r="AP2" s="36" t="s">
        <v>102</v>
      </c>
      <c r="AQ2" s="36" t="s">
        <v>103</v>
      </c>
      <c r="AR2" s="41">
        <v>45705</v>
      </c>
      <c r="AS2" s="41">
        <v>46012</v>
      </c>
      <c r="AT2" s="36" t="s">
        <v>100</v>
      </c>
      <c r="AU2" s="36" t="s">
        <v>104</v>
      </c>
      <c r="AV2" s="33" t="s">
        <v>105</v>
      </c>
      <c r="AW2" s="36" t="s">
        <v>106</v>
      </c>
      <c r="AX2" s="36" t="s">
        <v>107</v>
      </c>
      <c r="AY2" s="36" t="s">
        <v>108</v>
      </c>
      <c r="AZ2" s="36" t="s">
        <v>109</v>
      </c>
      <c r="BA2" s="36" t="s">
        <v>110</v>
      </c>
      <c r="BB2" s="8" t="s">
        <v>93</v>
      </c>
      <c r="BC2" s="36" t="s">
        <v>100</v>
      </c>
      <c r="BD2" s="36" t="s">
        <v>79</v>
      </c>
      <c r="BE2" s="33" t="s">
        <v>111</v>
      </c>
      <c r="BF2" s="15">
        <v>9577796902</v>
      </c>
      <c r="BG2" s="36" t="s">
        <v>79</v>
      </c>
      <c r="BH2" s="33" t="s">
        <v>112</v>
      </c>
      <c r="BI2" s="15">
        <v>49778965452</v>
      </c>
      <c r="BJ2" s="36" t="s">
        <v>79</v>
      </c>
      <c r="BK2" s="36" t="s">
        <v>113</v>
      </c>
      <c r="BL2" s="8" t="s">
        <v>114</v>
      </c>
      <c r="BM2" s="36" t="s">
        <v>115</v>
      </c>
      <c r="BN2" s="42">
        <v>35591</v>
      </c>
      <c r="BO2" s="36" t="s">
        <v>116</v>
      </c>
      <c r="BP2" s="36" t="s">
        <v>117</v>
      </c>
      <c r="BQ2" s="36" t="s">
        <v>118</v>
      </c>
      <c r="BR2" s="36" t="s">
        <v>119</v>
      </c>
      <c r="BS2" s="43" t="s">
        <v>120</v>
      </c>
      <c r="BT2" s="33" t="s">
        <v>121</v>
      </c>
      <c r="BU2" s="44" t="s">
        <v>122</v>
      </c>
      <c r="BV2" s="44" t="s">
        <v>123</v>
      </c>
      <c r="BW2" s="33" t="s">
        <v>124</v>
      </c>
      <c r="BX2" s="33" t="s">
        <v>125</v>
      </c>
      <c r="BY2" s="33" t="s">
        <v>126</v>
      </c>
      <c r="BZ2" s="5">
        <v>40</v>
      </c>
    </row>
    <row r="3" spans="1:78" ht="54" customHeight="1" x14ac:dyDescent="0.35">
      <c r="A3" t="s">
        <v>127</v>
      </c>
      <c r="B3" s="31">
        <v>10699771</v>
      </c>
      <c r="C3" s="1" t="s">
        <v>77</v>
      </c>
      <c r="D3" s="32" t="s">
        <v>128</v>
      </c>
      <c r="E3" s="33" t="s">
        <v>79</v>
      </c>
      <c r="F3" s="34" t="s">
        <v>129</v>
      </c>
      <c r="G3" s="35" t="s">
        <v>130</v>
      </c>
      <c r="H3" s="36" t="s">
        <v>82</v>
      </c>
      <c r="I3" s="40" t="s">
        <v>83</v>
      </c>
      <c r="J3" s="40" t="s">
        <v>84</v>
      </c>
      <c r="K3" s="37">
        <f t="shared" ref="K3" ca="1" si="0">TODAY()-31</f>
        <v>45796</v>
      </c>
      <c r="L3" s="33" t="s">
        <v>79</v>
      </c>
      <c r="M3" s="33" t="s">
        <v>85</v>
      </c>
      <c r="N3" s="40" t="s">
        <v>86</v>
      </c>
      <c r="O3" s="45" t="s">
        <v>87</v>
      </c>
      <c r="P3" s="40" t="s">
        <v>88</v>
      </c>
      <c r="Q3" s="40" t="s">
        <v>89</v>
      </c>
      <c r="R3" s="40" t="s">
        <v>89</v>
      </c>
      <c r="S3" s="40" t="s">
        <v>88</v>
      </c>
      <c r="T3" s="40" t="s">
        <v>84</v>
      </c>
      <c r="U3" s="46" t="s">
        <v>90</v>
      </c>
      <c r="V3" s="47" t="s">
        <v>91</v>
      </c>
      <c r="W3" s="40" t="s">
        <v>84</v>
      </c>
      <c r="X3" s="38">
        <f t="shared" ref="X3" ca="1" si="1">K3</f>
        <v>45796</v>
      </c>
      <c r="Y3" s="36" t="s">
        <v>92</v>
      </c>
      <c r="Z3" s="6" t="s">
        <v>131</v>
      </c>
      <c r="AA3" s="48" t="s">
        <v>94</v>
      </c>
      <c r="AB3" s="49" t="s">
        <v>132</v>
      </c>
      <c r="AC3" s="48" t="s">
        <v>133</v>
      </c>
      <c r="AD3" s="50">
        <v>765</v>
      </c>
      <c r="AE3" s="50" t="s">
        <v>71</v>
      </c>
      <c r="AF3" s="16">
        <v>40</v>
      </c>
      <c r="AG3" s="36" t="s">
        <v>89</v>
      </c>
      <c r="AH3" s="36" t="s">
        <v>97</v>
      </c>
      <c r="AI3" s="18">
        <v>43831</v>
      </c>
      <c r="AJ3" s="18">
        <v>45293</v>
      </c>
      <c r="AK3" s="17" t="s">
        <v>134</v>
      </c>
      <c r="AL3" s="48" t="s">
        <v>99</v>
      </c>
      <c r="AM3" s="18" t="s">
        <v>100</v>
      </c>
      <c r="AN3" s="40">
        <v>110</v>
      </c>
      <c r="AO3" s="40" t="s">
        <v>101</v>
      </c>
      <c r="AP3" s="51" t="s">
        <v>102</v>
      </c>
      <c r="AQ3" s="40" t="s">
        <v>103</v>
      </c>
      <c r="AR3" s="41">
        <v>45705</v>
      </c>
      <c r="AS3" s="41">
        <v>46012</v>
      </c>
      <c r="AT3" s="20">
        <f t="shared" ref="AT3" si="2">AN3</f>
        <v>110</v>
      </c>
      <c r="AU3" s="6" t="s">
        <v>135</v>
      </c>
      <c r="AV3" s="7" t="s">
        <v>136</v>
      </c>
      <c r="AW3" s="36" t="s">
        <v>106</v>
      </c>
      <c r="AX3" s="36" t="s">
        <v>107</v>
      </c>
      <c r="AY3" s="36" t="s">
        <v>108</v>
      </c>
      <c r="AZ3" s="36" t="s">
        <v>109</v>
      </c>
      <c r="BA3" s="36" t="s">
        <v>110</v>
      </c>
      <c r="BB3" s="8" t="s">
        <v>93</v>
      </c>
      <c r="BC3" s="36" t="s">
        <v>100</v>
      </c>
      <c r="BD3" s="36" t="s">
        <v>79</v>
      </c>
      <c r="BE3" s="33" t="s">
        <v>111</v>
      </c>
      <c r="BF3" s="15">
        <v>9577796903</v>
      </c>
      <c r="BG3" s="36" t="s">
        <v>79</v>
      </c>
      <c r="BH3" s="33" t="s">
        <v>112</v>
      </c>
      <c r="BI3" s="15">
        <v>49778965453</v>
      </c>
      <c r="BJ3" s="36" t="s">
        <v>79</v>
      </c>
      <c r="BK3" s="36" t="s">
        <v>113</v>
      </c>
      <c r="BL3" s="8" t="s">
        <v>137</v>
      </c>
      <c r="BM3" s="36" t="s">
        <v>115</v>
      </c>
      <c r="BN3" s="42">
        <v>35591</v>
      </c>
      <c r="BO3" s="36" t="s">
        <v>116</v>
      </c>
      <c r="BP3" s="36" t="s">
        <v>117</v>
      </c>
      <c r="BQ3" s="36" t="s">
        <v>118</v>
      </c>
      <c r="BR3" s="36" t="s">
        <v>119</v>
      </c>
      <c r="BS3" s="43" t="s">
        <v>120</v>
      </c>
      <c r="BT3" s="33" t="s">
        <v>121</v>
      </c>
      <c r="BU3" s="44" t="s">
        <v>122</v>
      </c>
      <c r="BV3" s="44" t="s">
        <v>123</v>
      </c>
      <c r="BW3" s="33" t="s">
        <v>124</v>
      </c>
      <c r="BX3" s="33" t="s">
        <v>125</v>
      </c>
      <c r="BY3" s="33" t="s">
        <v>126</v>
      </c>
      <c r="BZ3" s="5">
        <v>40</v>
      </c>
    </row>
    <row r="4" spans="1:78" x14ac:dyDescent="0.25">
      <c r="AA4" s="33"/>
    </row>
    <row r="5" spans="1:78" x14ac:dyDescent="0.25">
      <c r="AA5" s="33"/>
    </row>
  </sheetData>
  <autoFilter ref="A1:BY3" xr:uid="{00000000-0009-0000-0000-000000000000}"/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2025-06-19T06:44:51Z</dcterms:modified>
</cp:coreProperties>
</file>