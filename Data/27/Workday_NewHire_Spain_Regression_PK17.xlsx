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0FED7447-0B62-4884-BB76-266AEEA6A2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N3" i="1"/>
  <c r="W3" i="1"/>
  <c r="L3" i="1"/>
  <c r="AR2" i="1"/>
  <c r="AN2" i="1"/>
  <c r="AG2" i="1"/>
  <c r="W2" i="1"/>
  <c r="L2" i="1"/>
</calcChain>
</file>

<file path=xl/sharedStrings.xml><?xml version="1.0" encoding="utf-8"?>
<sst xmlns="http://schemas.openxmlformats.org/spreadsheetml/2006/main" count="171" uniqueCount="120">
  <si>
    <t>TestCaseIDs</t>
  </si>
  <si>
    <t>EmployeeID</t>
  </si>
  <si>
    <t>TestStatus</t>
  </si>
  <si>
    <t>SupervisoryOrganisation</t>
  </si>
  <si>
    <t>GivenName</t>
  </si>
  <si>
    <t>FirstLastName</t>
  </si>
  <si>
    <t>SecondLastName</t>
  </si>
  <si>
    <t>Country</t>
  </si>
  <si>
    <t>PhoneNumber</t>
  </si>
  <si>
    <t>PhoneDevice</t>
  </si>
  <si>
    <t>Type</t>
  </si>
  <si>
    <t>EffectiveDate</t>
  </si>
  <si>
    <t>NameOfStreet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</si>
  <si>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</si>
  <si>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</si>
  <si>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</si>
  <si>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</si>
  <si>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</si>
  <si>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</si>
  <si>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</si>
  <si>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</si>
  <si>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</si>
  <si>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</si>
  <si>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</si>
  <si>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</si>
  <si>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</si>
  <si>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</si>
  <si>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</si>
  <si>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</si>
  <si>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</si>
  <si>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</si>
  <si>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</si>
  <si>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</si>
  <si>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ProposedPayGroupFinal</t>
  </si>
  <si>
    <t>EstadolIRPF</t>
  </si>
  <si>
    <t>MinusvaliaRH</t>
  </si>
  <si>
    <t>ProbationEndDate</t>
  </si>
  <si>
    <t>ContractStartDate</t>
  </si>
  <si>
    <t>Status</t>
  </si>
  <si>
    <t>ContractType</t>
  </si>
  <si>
    <t>ContractEndDate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</si>
  <si>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</si>
  <si>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</si>
  <si>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</si>
  <si>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</si>
  <si>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</si>
  <si>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</si>
  <si>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</si>
  <si>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</si>
  <si>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</si>
  <si>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</si>
  <si>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</si>
  <si>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</si>
  <si>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</si>
  <si>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</si>
  <si>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</si>
  <si>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BankIdentificationCode</t>
  </si>
  <si>
    <t>AccountType</t>
  </si>
  <si>
    <t>IBAN</t>
  </si>
  <si>
    <t>EducationLevel</t>
  </si>
  <si>
    <t>EducationCompletionDate</t>
  </si>
  <si>
    <t>Studies</t>
  </si>
  <si>
    <t>Test_1</t>
  </si>
  <si>
    <t>10699403</t>
  </si>
  <si>
    <t>Passed</t>
  </si>
  <si>
    <t>356 Recruitment (Posob Zujefy Pyronu (2577) (Inherited))</t>
  </si>
  <si>
    <t>Tyree</t>
  </si>
  <si>
    <t>GSKSK</t>
  </si>
  <si>
    <t>SLNameOne</t>
  </si>
  <si>
    <t>Spain</t>
  </si>
  <si>
    <t>Landline</t>
  </si>
  <si>
    <t>Home</t>
  </si>
  <si>
    <t>Automation Street Name</t>
  </si>
  <si>
    <t>28013</t>
  </si>
  <si>
    <t>Madrid</t>
  </si>
  <si>
    <t>Street Address</t>
  </si>
  <si>
    <t>automation@qe.com</t>
  </si>
  <si>
    <t>New Hire</t>
  </si>
  <si>
    <t>N/A</t>
  </si>
  <si>
    <t>Fixed Term (Fixed Term)</t>
  </si>
  <si>
    <t>Retail Assistant</t>
  </si>
  <si>
    <t>Part time</t>
  </si>
  <si>
    <t>50</t>
  </si>
  <si>
    <t>508 - Tiempo Completo 40 Hrs (Category Spain-Spain)@AP.TP.NOC - Temporal TP Apertura Nocturno (Clausula Adicional (Additional Contract Clauses)-Spain)@001 - ETT (Employee Internal Contract-Spain)</t>
  </si>
  <si>
    <t>3 Days</t>
  </si>
  <si>
    <t>Automation Comments here….</t>
  </si>
  <si>
    <t>94 Retail Operative</t>
  </si>
  <si>
    <t>16 Mens Accessories</t>
  </si>
  <si>
    <t>ES Monthly - 12 payments</t>
  </si>
  <si>
    <t>Soltero</t>
  </si>
  <si>
    <t>Del 33% hasta el 65%</t>
  </si>
  <si>
    <t>Defaulted</t>
  </si>
  <si>
    <t>Active</t>
  </si>
  <si>
    <t xml:space="preserve">Employment Agreement </t>
  </si>
  <si>
    <t>Female</t>
  </si>
  <si>
    <t>Baleares</t>
  </si>
  <si>
    <t>Married</t>
  </si>
  <si>
    <t>28/10/2011</t>
  </si>
  <si>
    <t>Social Security Number (NSS)</t>
  </si>
  <si>
    <t>ID Card (DNI) Number</t>
  </si>
  <si>
    <t>10006469A</t>
  </si>
  <si>
    <t>BBVAESMM111</t>
  </si>
  <si>
    <t>Checking</t>
  </si>
  <si>
    <t>ES91 2100 0418 4502 0005 1332</t>
  </si>
  <si>
    <t>23 - PRIMERA ETAPA DE EDUCACIÓN SECUNDARIA CON TITULO DE GRADUADO</t>
  </si>
  <si>
    <t>Economics</t>
  </si>
  <si>
    <t>Test_2</t>
  </si>
  <si>
    <t>365 Store Management (Cisuw Hapagu Pahame (10274587))</t>
  </si>
  <si>
    <t>Waldo</t>
  </si>
  <si>
    <t>Auto 68144866</t>
  </si>
  <si>
    <t>Permanent</t>
  </si>
  <si>
    <t>Department Manager</t>
  </si>
  <si>
    <t>Full time</t>
  </si>
  <si>
    <t>5 Days</t>
  </si>
  <si>
    <t xml:space="preserve">92 Retail Management </t>
  </si>
  <si>
    <t>251 Management Retail</t>
  </si>
  <si>
    <t xml:space="preserve">Soltero/a
</t>
  </si>
  <si>
    <t>10006470A</t>
  </si>
  <si>
    <t>54 - ENSEÑANZAS UNIVERSITARIAS DE PRIMER CICLO Y EQUIVALENTES</t>
  </si>
  <si>
    <t>SLNameTWONew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</si>
</sst>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1"/>
      <name val="Segoe UI"/>
      <family val="2"/>
    </font>
    <font>
      <sz val="11"/>
      <name val="Calibri"/>
      <family val="2"/>
      <scheme val="minor"/>
    </font>
    <font>
      <sz val="14"/>
      <color rgb="FFFF0000"/>
      <name val="Arial"/>
      <family val="2"/>
    </font>
    <font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5" fillId="0" borderId="0" xfId="0" applyFont="1" applyAlignment="1">
      <alignment vertical="center"/>
    </xf>
    <xf numFmtId="0" fontId="0" fillId="6" borderId="1" xfId="0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Protection="1">
      <protection locked="0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Protection="1">
      <protection locked="0"/>
    </xf>
    <xf numFmtId="14" fontId="5" fillId="0" borderId="0" xfId="0" applyNumberFormat="1" applyFont="1" applyAlignment="1">
      <alignment horizontal="left"/>
    </xf>
    <xf numFmtId="0" fontId="0" fillId="6" borderId="1" xfId="0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/>
    </xf>
    <xf numFmtId="2" fontId="9" fillId="0" borderId="0" xfId="0" applyNumberFormat="1" applyFont="1" applyAlignment="1">
      <alignment vertical="center"/>
    </xf>
    <xf numFmtId="14" fontId="5" fillId="0" borderId="0" xfId="0" applyNumberFormat="1" applyFont="1"/>
    <xf numFmtId="0" fontId="1" fillId="0" borderId="1" xfId="0" applyFon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10" fillId="7" borderId="1" xfId="0" applyFont="1" applyFill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0" fontId="0" fillId="3" borderId="0" xfId="0" applyFill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0" fillId="3" borderId="1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5" fillId="6" borderId="1" xfId="0" applyFont="1" applyFill="1" applyBorder="1"/>
    <xf numFmtId="0" fontId="11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>
      <alignment horizontal="left"/>
    </xf>
    <xf numFmtId="0" fontId="12" fillId="0" borderId="1" xfId="0" applyFont="1" applyBorder="1" applyProtection="1"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1" fillId="0" borderId="0" xfId="0" applyFont="1"/>
    <xf numFmtId="14" fontId="5" fillId="0" borderId="1" xfId="0" applyNumberFormat="1" applyFont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 applyProtection="1">
      <alignment horizontal="left"/>
      <protection locked="0"/>
    </xf>
    <xf numFmtId="164" fontId="5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4"/>
  <sheetViews>
    <sheetView tabSelected="1" zoomScaleNormal="100" workbookViewId="0">
      <selection activeCell="G4" sqref="G4"/>
    </sheetView>
  </sheetViews>
  <sheetFormatPr defaultRowHeight="14.4" customHeight="1" x14ac:dyDescent="0.35"/>
  <cols>
    <col min="1" max="1" width="11.36328125" customWidth="1"/>
    <col min="2" max="2" width="11.08984375" customWidth="1"/>
    <col min="3" max="3" width="10.1796875" customWidth="1"/>
    <col min="4" max="4" width="41.453125" customWidth="1"/>
    <col min="5" max="5" width="8" customWidth="1"/>
    <col min="6" max="6" width="13.453125" customWidth="1"/>
    <col min="7" max="7" width="21.81640625" customWidth="1"/>
    <col min="8" max="8" width="13.453125" customWidth="1"/>
    <col min="9" max="9" width="12" customWidth="1"/>
    <col min="10" max="10" width="5.6328125" customWidth="1"/>
    <col min="11" max="11" width="12.453125" customWidth="1"/>
    <col min="12" max="12" width="12.1796875" customWidth="1"/>
    <col min="13" max="13" width="20.6328125" customWidth="1"/>
    <col min="14" max="14" width="12.6328125" customWidth="1"/>
    <col min="15" max="15" width="10.81640625" customWidth="1"/>
    <col min="16" max="16" width="8.08984375" customWidth="1"/>
    <col min="17" max="17" width="13.1796875" customWidth="1"/>
    <col min="18" max="18" width="11.90625" customWidth="1"/>
    <col min="19" max="19" width="8.08984375" customWidth="1"/>
    <col min="20" max="20" width="5.6328125" customWidth="1"/>
    <col min="21" max="21" width="12.36328125" customWidth="1"/>
    <col min="22" max="22" width="17" customWidth="1"/>
    <col min="23" max="24" width="10.54296875" customWidth="1"/>
    <col min="25" max="25" width="8.08984375" customWidth="1"/>
    <col min="26" max="26" width="23.08984375" customWidth="1"/>
    <col min="27" max="27" width="19.6328125" style="1" customWidth="1"/>
    <col min="28" max="28" width="9.1796875" customWidth="1"/>
    <col min="29" max="29" width="9.1796875" style="1" customWidth="1"/>
    <col min="30" max="30" width="8.453125" customWidth="1"/>
    <col min="31" max="31" width="12.08984375" customWidth="1"/>
    <col min="32" max="32" width="9.453125" customWidth="1"/>
    <col min="33" max="33" width="11.1796875" customWidth="1"/>
    <col min="34" max="34" width="22.90625" customWidth="1"/>
    <col min="35" max="35" width="15.1796875" customWidth="1"/>
    <col min="36" max="36" width="14.08984375" customWidth="1"/>
    <col min="37" max="37" width="26" customWidth="1"/>
    <col min="38" max="38" width="13.08984375" style="1" customWidth="1"/>
    <col min="39" max="39" width="19.1796875" customWidth="1"/>
    <col min="40" max="40" width="16.90625" customWidth="1"/>
    <col min="41" max="41" width="25.1796875" customWidth="1"/>
    <col min="42" max="42" width="12.6328125" customWidth="1"/>
    <col min="43" max="43" width="6.54296875" customWidth="1"/>
    <col min="44" max="44" width="19.36328125" customWidth="1"/>
    <col min="45" max="45" width="19.08984375" customWidth="1"/>
    <col min="46" max="46" width="15.90625" customWidth="1"/>
    <col min="47" max="47" width="19.1796875" customWidth="1"/>
    <col min="48" max="48" width="23.453125" customWidth="1"/>
    <col min="49" max="49" width="14.6328125" customWidth="1"/>
    <col min="50" max="50" width="23.08984375" customWidth="1"/>
    <col min="51" max="51" width="28.6328125" customWidth="1"/>
    <col min="52" max="52" width="17.81640625" customWidth="1"/>
    <col min="53" max="53" width="22.453125" customWidth="1"/>
    <col min="54" max="54" width="17.81640625" customWidth="1"/>
    <col min="55" max="55" width="18" customWidth="1"/>
    <col min="56" max="56" width="13.08984375" customWidth="1"/>
    <col min="57" max="57" width="15.54296875" customWidth="1"/>
    <col min="58" max="58" width="18.90625" customWidth="1"/>
    <col min="59" max="59" width="10.81640625" customWidth="1"/>
    <col min="60" max="60" width="27.36328125" customWidth="1"/>
    <col min="61" max="61" width="12" customWidth="1"/>
    <col min="62" max="62" width="9.08984375" customWidth="1"/>
    <col min="63" max="63" width="15.54296875" customWidth="1"/>
    <col min="64" max="64" width="10.81640625" customWidth="1"/>
    <col min="65" max="65" width="9.81640625" customWidth="1"/>
    <col min="66" max="66" width="11.36328125" customWidth="1"/>
    <col min="67" max="67" width="14.1796875" customWidth="1"/>
    <col min="68" max="68" width="17" customWidth="1"/>
    <col min="69" max="69" width="16.36328125" customWidth="1"/>
    <col min="70" max="70" width="12.54296875" customWidth="1"/>
    <col min="71" max="71" width="21.6328125" customWidth="1"/>
    <col min="72" max="72" width="12.1796875" customWidth="1"/>
    <col min="73" max="73" width="27.453125" customWidth="1"/>
    <col min="74" max="74" width="29.1796875" customWidth="1"/>
    <col min="75" max="75" width="8.453125" customWidth="1"/>
    <col min="76" max="76" width="26.90625" customWidth="1"/>
    <col min="77" max="77" width="22.36328125" customWidth="1"/>
  </cols>
  <sheetData>
    <row r="1" spans="1:65" s="2" customFormat="1" ht="14.5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10</v>
      </c>
      <c r="T1" s="5" t="s">
        <v>17</v>
      </c>
      <c r="U1" s="5" t="s">
        <v>18</v>
      </c>
      <c r="V1" s="5" t="s">
        <v>10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</row>
    <row r="2" spans="1:65" s="2" customFormat="1" ht="17.399999999999999" customHeight="1" x14ac:dyDescent="0.35">
      <c r="A2" s="6" t="s">
        <v>62</v>
      </c>
      <c r="B2" s="7" t="s">
        <v>63</v>
      </c>
      <c r="C2" s="8" t="s">
        <v>64</v>
      </c>
      <c r="D2" s="9" t="s">
        <v>65</v>
      </c>
      <c r="E2" s="10" t="s">
        <v>66</v>
      </c>
      <c r="F2" s="10" t="s">
        <v>67</v>
      </c>
      <c r="G2" s="10" t="s">
        <v>68</v>
      </c>
      <c r="H2" s="11" t="s">
        <v>69</v>
      </c>
      <c r="I2" s="12">
        <v>919193394</v>
      </c>
      <c r="J2" s="12" t="s">
        <v>70</v>
      </c>
      <c r="K2" s="12" t="s">
        <v>71</v>
      </c>
      <c r="L2" s="13">
        <f t="shared" ref="L2:L3" ca="1" si="0">TODAY()-7</f>
        <v>45798</v>
      </c>
      <c r="M2" s="14" t="s">
        <v>69</v>
      </c>
      <c r="N2" s="15" t="s">
        <v>72</v>
      </c>
      <c r="O2" s="12">
        <v>44</v>
      </c>
      <c r="P2" s="12" t="s">
        <v>73</v>
      </c>
      <c r="Q2" s="15" t="s">
        <v>74</v>
      </c>
      <c r="R2" s="12" t="s">
        <v>74</v>
      </c>
      <c r="S2" s="12" t="s">
        <v>71</v>
      </c>
      <c r="T2" s="16" t="s">
        <v>75</v>
      </c>
      <c r="U2" s="17" t="s">
        <v>76</v>
      </c>
      <c r="V2" s="12" t="s">
        <v>71</v>
      </c>
      <c r="W2" s="18">
        <f t="shared" ref="W2:W3" ca="1" si="1">TODAY()-7</f>
        <v>45798</v>
      </c>
      <c r="X2" s="12" t="s">
        <v>77</v>
      </c>
      <c r="Y2" s="19" t="s">
        <v>78</v>
      </c>
      <c r="Z2" s="20" t="s">
        <v>79</v>
      </c>
      <c r="AA2" s="21" t="s">
        <v>80</v>
      </c>
      <c r="AB2" t="s">
        <v>81</v>
      </c>
      <c r="AC2" s="22">
        <v>356</v>
      </c>
      <c r="AD2" s="23" t="s">
        <v>82</v>
      </c>
      <c r="AE2" s="14" t="s">
        <v>83</v>
      </c>
      <c r="AF2" t="s">
        <v>84</v>
      </c>
      <c r="AG2" s="24">
        <f ca="1">TODAY()+365</f>
        <v>46170</v>
      </c>
      <c r="AH2" s="12" t="s">
        <v>85</v>
      </c>
      <c r="AI2" s="25" t="s">
        <v>86</v>
      </c>
      <c r="AJ2" t="s">
        <v>87</v>
      </c>
      <c r="AK2" s="12" t="s">
        <v>88</v>
      </c>
      <c r="AL2" s="16" t="s">
        <v>89</v>
      </c>
      <c r="AM2" s="26" t="s">
        <v>90</v>
      </c>
      <c r="AN2" s="26">
        <f t="shared" ref="AN2:AN3" ca="1" si="2">TODAY()+7</f>
        <v>45812</v>
      </c>
      <c r="AO2" s="14" t="s">
        <v>91</v>
      </c>
      <c r="AP2" s="15" t="s">
        <v>92</v>
      </c>
      <c r="AQ2" s="16" t="s">
        <v>93</v>
      </c>
      <c r="AR2" s="24">
        <f t="shared" ref="AR2:AR3" ca="1" si="3">TODAY()+365</f>
        <v>46170</v>
      </c>
      <c r="AS2" s="27" t="s">
        <v>91</v>
      </c>
      <c r="AT2" t="s">
        <v>94</v>
      </c>
      <c r="AU2" s="13">
        <v>29221</v>
      </c>
      <c r="AV2" s="28" t="s">
        <v>69</v>
      </c>
      <c r="AW2" s="28" t="s">
        <v>95</v>
      </c>
      <c r="AX2" s="28" t="s">
        <v>74</v>
      </c>
      <c r="AY2" s="28" t="s">
        <v>96</v>
      </c>
      <c r="AZ2" s="29" t="s">
        <v>97</v>
      </c>
      <c r="BA2" s="28" t="s">
        <v>69</v>
      </c>
      <c r="BB2" s="30" t="s">
        <v>69</v>
      </c>
      <c r="BC2" s="30" t="s">
        <v>98</v>
      </c>
      <c r="BD2" s="31">
        <v>281000757388</v>
      </c>
      <c r="BE2" s="30" t="s">
        <v>69</v>
      </c>
      <c r="BF2" s="30" t="s">
        <v>99</v>
      </c>
      <c r="BG2" s="32" t="s">
        <v>100</v>
      </c>
      <c r="BH2" s="30" t="s">
        <v>101</v>
      </c>
      <c r="BI2" s="30" t="s">
        <v>102</v>
      </c>
      <c r="BJ2" s="30" t="s">
        <v>103</v>
      </c>
      <c r="BK2" s="30" t="s">
        <v>104</v>
      </c>
      <c r="BL2" s="30">
        <v>36526</v>
      </c>
      <c r="BM2" s="30" t="s">
        <v>105</v>
      </c>
    </row>
    <row r="3" spans="1:65" s="2" customFormat="1" ht="17.399999999999999" customHeight="1" x14ac:dyDescent="0.35">
      <c r="A3" s="33" t="s">
        <v>106</v>
      </c>
      <c r="B3" s="34"/>
      <c r="C3" s="8"/>
      <c r="D3" s="9" t="s">
        <v>107</v>
      </c>
      <c r="E3" s="10" t="s">
        <v>108</v>
      </c>
      <c r="F3" s="10" t="s">
        <v>67</v>
      </c>
      <c r="G3" s="10" t="s">
        <v>119</v>
      </c>
      <c r="H3" s="11" t="s">
        <v>69</v>
      </c>
      <c r="I3" s="12">
        <v>919193436</v>
      </c>
      <c r="J3" s="12" t="s">
        <v>70</v>
      </c>
      <c r="K3" s="12" t="s">
        <v>71</v>
      </c>
      <c r="L3" s="13">
        <f t="shared" ca="1" si="0"/>
        <v>45798</v>
      </c>
      <c r="M3" s="14" t="s">
        <v>69</v>
      </c>
      <c r="N3" s="15" t="s">
        <v>72</v>
      </c>
      <c r="O3" s="12">
        <v>44</v>
      </c>
      <c r="P3" s="12" t="s">
        <v>73</v>
      </c>
      <c r="Q3" s="15" t="s">
        <v>74</v>
      </c>
      <c r="R3" s="12" t="s">
        <v>74</v>
      </c>
      <c r="S3" s="12" t="s">
        <v>71</v>
      </c>
      <c r="T3" s="16" t="s">
        <v>75</v>
      </c>
      <c r="U3" s="15" t="s">
        <v>76</v>
      </c>
      <c r="V3" s="12" t="s">
        <v>71</v>
      </c>
      <c r="W3" s="18">
        <f t="shared" ca="1" si="1"/>
        <v>45798</v>
      </c>
      <c r="X3" s="12" t="s">
        <v>77</v>
      </c>
      <c r="Y3" s="19" t="s">
        <v>109</v>
      </c>
      <c r="Z3" t="s">
        <v>110</v>
      </c>
      <c r="AA3" s="21" t="s">
        <v>111</v>
      </c>
      <c r="AB3" t="s">
        <v>112</v>
      </c>
      <c r="AC3" s="22">
        <v>365</v>
      </c>
      <c r="AD3">
        <v>100</v>
      </c>
      <c r="AE3" s="14" t="s">
        <v>83</v>
      </c>
      <c r="AF3" t="s">
        <v>113</v>
      </c>
      <c r="AG3" s="35" t="s">
        <v>78</v>
      </c>
      <c r="AH3" s="12" t="s">
        <v>85</v>
      </c>
      <c r="AI3" s="25" t="s">
        <v>114</v>
      </c>
      <c r="AJ3" t="s">
        <v>115</v>
      </c>
      <c r="AK3" s="12" t="s">
        <v>88</v>
      </c>
      <c r="AL3" s="16" t="s">
        <v>116</v>
      </c>
      <c r="AM3" s="26" t="s">
        <v>90</v>
      </c>
      <c r="AN3" s="26">
        <f t="shared" ca="1" si="2"/>
        <v>45812</v>
      </c>
      <c r="AO3" s="14" t="s">
        <v>91</v>
      </c>
      <c r="AP3" s="15" t="s">
        <v>92</v>
      </c>
      <c r="AQ3" s="16" t="s">
        <v>93</v>
      </c>
      <c r="AR3" s="24">
        <f t="shared" ca="1" si="3"/>
        <v>46170</v>
      </c>
      <c r="AS3" s="27" t="s">
        <v>91</v>
      </c>
      <c r="AT3" t="s">
        <v>94</v>
      </c>
      <c r="AU3" s="13">
        <v>29221</v>
      </c>
      <c r="AV3" s="28" t="s">
        <v>69</v>
      </c>
      <c r="AW3" s="28" t="s">
        <v>95</v>
      </c>
      <c r="AX3" s="28" t="s">
        <v>74</v>
      </c>
      <c r="AY3" s="28" t="s">
        <v>96</v>
      </c>
      <c r="AZ3" s="29" t="s">
        <v>97</v>
      </c>
      <c r="BA3" s="28" t="s">
        <v>69</v>
      </c>
      <c r="BB3" s="30" t="s">
        <v>69</v>
      </c>
      <c r="BC3" s="30" t="s">
        <v>98</v>
      </c>
      <c r="BD3" s="31">
        <v>281000757489</v>
      </c>
      <c r="BE3" s="30" t="s">
        <v>69</v>
      </c>
      <c r="BF3" s="30" t="s">
        <v>99</v>
      </c>
      <c r="BG3" s="32" t="s">
        <v>117</v>
      </c>
      <c r="BH3" s="30" t="s">
        <v>101</v>
      </c>
      <c r="BI3" s="30" t="s">
        <v>102</v>
      </c>
      <c r="BJ3" s="30" t="s">
        <v>103</v>
      </c>
      <c r="BK3" s="30" t="s">
        <v>118</v>
      </c>
      <c r="BL3" s="30">
        <v>36526</v>
      </c>
      <c r="BM3" s="30" t="s">
        <v>105</v>
      </c>
    </row>
    <row r="4" spans="1:65" s="2" customFormat="1" ht="17.399999999999999" customHeight="1" x14ac:dyDescent="0.25">
      <c r="A4" s="33"/>
      <c r="B4" s="6"/>
      <c r="C4" s="8"/>
      <c r="D4" s="9"/>
      <c r="E4" s="10"/>
      <c r="F4" s="36"/>
      <c r="G4" s="10"/>
      <c r="H4" s="11"/>
      <c r="I4" s="12"/>
      <c r="J4" s="12"/>
      <c r="K4" s="12"/>
      <c r="L4" s="13"/>
      <c r="M4" s="14"/>
      <c r="N4" s="15"/>
      <c r="O4" s="12"/>
      <c r="P4" s="12"/>
      <c r="Q4" s="15"/>
      <c r="R4" s="12"/>
      <c r="S4" s="12"/>
      <c r="T4" s="16"/>
      <c r="U4" s="15"/>
      <c r="V4" s="12"/>
      <c r="W4" s="18"/>
      <c r="X4" s="12"/>
      <c r="Y4" s="19"/>
      <c r="AA4" s="21"/>
      <c r="AC4" s="22"/>
      <c r="AE4" s="14"/>
      <c r="AG4" s="35"/>
      <c r="AH4" s="12"/>
      <c r="AI4" s="25"/>
      <c r="AK4" s="12"/>
      <c r="AL4" s="16"/>
      <c r="AM4" s="26"/>
      <c r="AN4" s="26"/>
      <c r="AO4" s="14"/>
      <c r="AP4" s="15"/>
      <c r="AQ4" s="16"/>
      <c r="AR4" s="24"/>
      <c r="AS4" s="27"/>
      <c r="AU4" s="13"/>
      <c r="AV4" s="28"/>
      <c r="AW4" s="28"/>
      <c r="AX4" s="28"/>
      <c r="AY4" s="28"/>
      <c r="AZ4" s="29"/>
      <c r="BA4" s="28"/>
      <c r="BB4" s="30"/>
      <c r="BC4" s="30"/>
      <c r="BD4" s="31"/>
      <c r="BE4" s="30"/>
      <c r="BF4" s="30"/>
      <c r="BG4" s="32"/>
      <c r="BH4" s="30"/>
      <c r="BI4" s="30"/>
      <c r="BJ4" s="30"/>
      <c r="BK4" s="30"/>
      <c r="BL4" s="30"/>
      <c r="BM4" s="30"/>
    </row>
    <row r="5" spans="1:65" s="2" customFormat="1" ht="17.399999999999999" customHeight="1" x14ac:dyDescent="0.25">
      <c r="A5" s="33"/>
      <c r="B5" s="33"/>
      <c r="C5" s="8"/>
      <c r="D5" s="9"/>
      <c r="E5" s="10"/>
      <c r="F5" s="36"/>
      <c r="G5" s="10"/>
      <c r="H5" s="11"/>
      <c r="I5" s="12"/>
      <c r="J5" s="12"/>
      <c r="K5" s="12"/>
      <c r="L5" s="13"/>
      <c r="M5" s="14"/>
      <c r="N5" s="15"/>
      <c r="O5" s="12"/>
      <c r="P5" s="12"/>
      <c r="Q5" s="15"/>
      <c r="R5" s="12"/>
      <c r="S5" s="12"/>
      <c r="T5" s="16"/>
      <c r="U5" s="17"/>
      <c r="V5" s="12"/>
      <c r="W5" s="18"/>
      <c r="X5" s="12"/>
      <c r="Y5" s="19"/>
      <c r="AA5" s="21"/>
      <c r="AC5" s="22"/>
      <c r="AD5" s="23"/>
      <c r="AE5" s="14"/>
      <c r="AG5" s="35"/>
      <c r="AH5" s="12"/>
      <c r="AI5" s="25"/>
      <c r="AK5" s="12"/>
      <c r="AL5" s="16"/>
      <c r="AM5" s="26"/>
      <c r="AN5" s="26"/>
      <c r="AO5" s="14"/>
      <c r="AP5" s="15"/>
      <c r="AQ5" s="16"/>
      <c r="AR5" s="24"/>
      <c r="AS5" s="27"/>
      <c r="AU5" s="13"/>
      <c r="AV5" s="28"/>
      <c r="AW5" s="28"/>
      <c r="AX5" s="28"/>
      <c r="AY5" s="28"/>
      <c r="AZ5" s="29"/>
      <c r="BA5" s="28"/>
      <c r="BB5" s="30"/>
      <c r="BC5" s="30"/>
      <c r="BD5" s="31"/>
      <c r="BE5" s="30"/>
      <c r="BF5" s="30"/>
      <c r="BG5" s="32"/>
      <c r="BH5" s="30"/>
      <c r="BI5" s="30"/>
      <c r="BJ5" s="30"/>
      <c r="BK5" s="30"/>
      <c r="BL5" s="30"/>
      <c r="BM5" s="30"/>
    </row>
    <row r="6" spans="1:65" s="2" customFormat="1" ht="17.399999999999999" customHeight="1" x14ac:dyDescent="0.25">
      <c r="A6" s="33"/>
      <c r="B6" s="33"/>
      <c r="C6" s="8"/>
      <c r="D6" s="9"/>
      <c r="E6" s="10"/>
      <c r="F6" s="36"/>
      <c r="G6" s="10"/>
      <c r="H6" s="11"/>
      <c r="I6" s="12"/>
      <c r="J6" s="12"/>
      <c r="K6" s="12"/>
      <c r="L6" s="13"/>
      <c r="M6" s="14"/>
      <c r="N6" s="15"/>
      <c r="O6" s="12"/>
      <c r="P6" s="12"/>
      <c r="Q6" s="15"/>
      <c r="R6" s="12"/>
      <c r="S6" s="12"/>
      <c r="T6" s="16"/>
      <c r="U6" s="17"/>
      <c r="V6" s="12"/>
      <c r="W6" s="18"/>
      <c r="X6" s="12"/>
      <c r="Y6" s="19"/>
      <c r="Z6" s="20"/>
      <c r="AA6" s="21"/>
      <c r="AC6" s="22"/>
      <c r="AE6" s="14"/>
      <c r="AG6" s="24"/>
      <c r="AH6" s="12"/>
      <c r="AI6" s="25"/>
      <c r="AK6" s="12"/>
      <c r="AL6" s="16"/>
      <c r="AM6" s="26"/>
      <c r="AN6" s="26"/>
      <c r="AO6" s="14"/>
      <c r="AP6" s="15"/>
      <c r="AQ6" s="16"/>
      <c r="AR6" s="24"/>
      <c r="AS6" s="27"/>
      <c r="AU6" s="13"/>
      <c r="AV6" s="28"/>
      <c r="AW6" s="28"/>
      <c r="AX6" s="28"/>
      <c r="AY6" s="28"/>
      <c r="AZ6" s="29"/>
      <c r="BA6" s="28"/>
      <c r="BB6" s="30"/>
      <c r="BC6" s="30"/>
      <c r="BD6" s="31"/>
      <c r="BE6" s="30"/>
      <c r="BF6" s="30"/>
      <c r="BG6" s="32"/>
      <c r="BH6" s="30"/>
      <c r="BI6" s="30"/>
      <c r="BJ6" s="30"/>
      <c r="BK6" s="30"/>
      <c r="BL6" s="30"/>
      <c r="BM6" s="30"/>
    </row>
    <row r="7" spans="1:65" s="2" customFormat="1" ht="17.399999999999999" customHeight="1" x14ac:dyDescent="0.25">
      <c r="A7" s="33"/>
      <c r="B7" s="33"/>
      <c r="C7" s="8"/>
      <c r="D7" s="9"/>
      <c r="E7" s="10"/>
      <c r="F7" s="36"/>
      <c r="G7" s="10"/>
      <c r="H7" s="11"/>
      <c r="I7" s="12"/>
      <c r="J7" s="12"/>
      <c r="K7" s="12"/>
      <c r="L7" s="13"/>
      <c r="M7" s="14"/>
      <c r="N7" s="15"/>
      <c r="O7" s="12"/>
      <c r="P7" s="12"/>
      <c r="Q7" s="15"/>
      <c r="R7" s="12"/>
      <c r="S7" s="12"/>
      <c r="T7" s="16"/>
      <c r="U7" s="17"/>
      <c r="V7" s="12"/>
      <c r="W7" s="18"/>
      <c r="X7" s="12"/>
      <c r="Y7" s="19"/>
      <c r="AA7" s="21"/>
      <c r="AC7" s="22"/>
      <c r="AE7" s="14"/>
      <c r="AG7" s="35"/>
      <c r="AH7" s="12"/>
      <c r="AI7" s="25"/>
      <c r="AK7" s="12"/>
      <c r="AL7" s="16"/>
      <c r="AM7" s="26"/>
      <c r="AN7" s="26"/>
      <c r="AO7" s="14"/>
      <c r="AP7" s="15"/>
      <c r="AQ7" s="16"/>
      <c r="AR7" s="24"/>
      <c r="AS7" s="27"/>
      <c r="AU7" s="13"/>
      <c r="AV7" s="28"/>
      <c r="AW7" s="28"/>
      <c r="AX7" s="28"/>
      <c r="AY7" s="28"/>
      <c r="AZ7" s="29"/>
      <c r="BA7" s="28"/>
      <c r="BB7" s="30"/>
      <c r="BC7" s="30"/>
      <c r="BD7" s="31"/>
      <c r="BE7" s="30"/>
      <c r="BF7" s="30"/>
      <c r="BG7" s="32"/>
      <c r="BH7" s="30"/>
      <c r="BI7" s="30"/>
      <c r="BJ7" s="30"/>
      <c r="BK7" s="30"/>
      <c r="BL7" s="30"/>
      <c r="BM7" s="30"/>
    </row>
    <row r="8" spans="1:65" s="2" customFormat="1" ht="17.399999999999999" customHeight="1" x14ac:dyDescent="0.25">
      <c r="A8" s="33"/>
      <c r="B8" s="33"/>
      <c r="C8" s="8"/>
      <c r="D8" s="9"/>
      <c r="E8" s="10"/>
      <c r="F8" s="36"/>
      <c r="G8" s="10"/>
      <c r="H8" s="11"/>
      <c r="I8" s="12"/>
      <c r="J8" s="12"/>
      <c r="K8" s="12"/>
      <c r="L8" s="13"/>
      <c r="M8" s="14"/>
      <c r="N8" s="15"/>
      <c r="O8" s="12"/>
      <c r="P8" s="12"/>
      <c r="Q8" s="15"/>
      <c r="R8" s="12"/>
      <c r="S8" s="12"/>
      <c r="T8" s="16"/>
      <c r="U8" s="17"/>
      <c r="V8" s="12"/>
      <c r="W8" s="18"/>
      <c r="X8" s="12"/>
      <c r="Y8" s="19"/>
      <c r="AA8" s="21"/>
      <c r="AC8" s="22"/>
      <c r="AE8" s="14"/>
      <c r="AG8" s="35"/>
      <c r="AH8" s="12"/>
      <c r="AI8" s="25"/>
      <c r="AK8" s="12"/>
      <c r="AL8" s="16"/>
      <c r="AM8" s="26"/>
      <c r="AN8" s="26"/>
      <c r="AO8" s="14"/>
      <c r="AP8" s="15"/>
      <c r="AQ8" s="16"/>
      <c r="AR8" s="24"/>
      <c r="AS8" s="27"/>
      <c r="AU8" s="13"/>
      <c r="AV8" s="28"/>
      <c r="AW8" s="28"/>
      <c r="AX8" s="28"/>
      <c r="AY8" s="28"/>
      <c r="AZ8" s="29"/>
      <c r="BA8" s="28"/>
      <c r="BB8" s="30"/>
      <c r="BC8" s="30"/>
      <c r="BD8" s="31"/>
      <c r="BE8" s="30"/>
      <c r="BF8" s="30"/>
      <c r="BG8" s="32"/>
      <c r="BH8" s="30"/>
      <c r="BI8" s="30"/>
      <c r="BJ8" s="30"/>
      <c r="BK8" s="30"/>
      <c r="BL8" s="30"/>
      <c r="BM8" s="30"/>
    </row>
    <row r="9" spans="1:65" s="2" customFormat="1" ht="17.399999999999999" customHeight="1" x14ac:dyDescent="0.25">
      <c r="A9" s="33"/>
      <c r="B9" s="33"/>
      <c r="C9" s="8"/>
      <c r="D9" s="9"/>
      <c r="E9" s="10"/>
      <c r="F9" s="36"/>
      <c r="G9" s="10"/>
      <c r="H9" s="11"/>
      <c r="I9" s="12"/>
      <c r="J9" s="12"/>
      <c r="K9" s="12"/>
      <c r="L9" s="13"/>
      <c r="M9" s="14"/>
      <c r="N9" s="15"/>
      <c r="O9" s="12"/>
      <c r="P9" s="12"/>
      <c r="Q9" s="15"/>
      <c r="R9" s="12"/>
      <c r="S9" s="12"/>
      <c r="T9" s="16"/>
      <c r="U9" s="17"/>
      <c r="V9" s="12"/>
      <c r="W9" s="18"/>
      <c r="X9" s="12"/>
      <c r="Y9" s="19"/>
      <c r="Z9" s="20"/>
      <c r="AA9" s="21"/>
      <c r="AC9" s="22"/>
      <c r="AE9" s="14"/>
      <c r="AG9" s="24"/>
      <c r="AH9" s="12"/>
      <c r="AI9" s="25"/>
      <c r="AK9" s="12"/>
      <c r="AL9" s="16"/>
      <c r="AM9" s="26"/>
      <c r="AN9" s="26"/>
      <c r="AO9" s="14"/>
      <c r="AP9" s="15"/>
      <c r="AQ9" s="16"/>
      <c r="AR9" s="24"/>
      <c r="AS9" s="27"/>
      <c r="AU9" s="13"/>
      <c r="AV9" s="28"/>
      <c r="AW9" s="28"/>
      <c r="AX9" s="28"/>
      <c r="AY9" s="28"/>
      <c r="AZ9" s="29"/>
      <c r="BA9" s="28"/>
      <c r="BB9" s="30"/>
      <c r="BC9" s="30"/>
      <c r="BD9" s="31"/>
      <c r="BE9" s="30"/>
      <c r="BF9" s="30"/>
      <c r="BG9" s="32"/>
      <c r="BH9" s="30"/>
      <c r="BI9" s="30"/>
      <c r="BJ9" s="30"/>
      <c r="BK9" s="30"/>
      <c r="BL9" s="30"/>
      <c r="BM9" s="30"/>
    </row>
    <row r="10" spans="1:65" s="2" customFormat="1" ht="17.399999999999999" customHeight="1" x14ac:dyDescent="0.25">
      <c r="A10" s="33"/>
      <c r="B10" s="33"/>
      <c r="C10" s="8"/>
      <c r="D10" s="9"/>
      <c r="E10" s="10"/>
      <c r="F10" s="36"/>
      <c r="G10" s="10"/>
      <c r="H10" s="11"/>
      <c r="I10" s="12"/>
      <c r="J10" s="12"/>
      <c r="K10" s="12"/>
      <c r="L10" s="13"/>
      <c r="M10" s="14"/>
      <c r="N10" s="15"/>
      <c r="O10" s="12"/>
      <c r="P10" s="12"/>
      <c r="Q10" s="15"/>
      <c r="R10" s="12"/>
      <c r="S10" s="12"/>
      <c r="T10" s="16"/>
      <c r="U10" s="17"/>
      <c r="V10" s="12"/>
      <c r="W10" s="18"/>
      <c r="X10" s="12"/>
      <c r="Y10" s="19"/>
      <c r="AA10" s="37"/>
      <c r="AC10" s="22"/>
      <c r="AE10" s="14"/>
      <c r="AG10" s="35"/>
      <c r="AH10" s="12"/>
      <c r="AI10" s="25"/>
      <c r="AK10" s="12"/>
      <c r="AL10" s="16"/>
      <c r="AM10" s="26"/>
      <c r="AN10" s="26"/>
      <c r="AO10" s="14"/>
      <c r="AP10" s="15"/>
      <c r="AQ10" s="16"/>
      <c r="AR10" s="24"/>
      <c r="AS10" s="27"/>
      <c r="AU10" s="13"/>
      <c r="AV10" s="28"/>
      <c r="AW10" s="28"/>
      <c r="AX10" s="28"/>
      <c r="AY10" s="28"/>
      <c r="AZ10" s="29"/>
      <c r="BA10" s="28"/>
      <c r="BB10" s="30"/>
      <c r="BC10" s="30"/>
      <c r="BD10" s="31"/>
      <c r="BE10" s="30"/>
      <c r="BF10" s="30"/>
      <c r="BG10" s="32"/>
      <c r="BH10" s="30"/>
      <c r="BI10" s="30"/>
      <c r="BJ10" s="30"/>
      <c r="BK10" s="30"/>
      <c r="BL10" s="30"/>
      <c r="BM10" s="30"/>
    </row>
    <row r="11" spans="1:65" s="2" customFormat="1" ht="17.399999999999999" customHeight="1" x14ac:dyDescent="0.25">
      <c r="A11" s="33"/>
      <c r="B11" s="33"/>
      <c r="C11" s="8"/>
      <c r="D11" s="9"/>
      <c r="E11" s="10"/>
      <c r="F11" s="36"/>
      <c r="G11" s="10"/>
      <c r="H11" s="11"/>
      <c r="I11" s="12"/>
      <c r="J11" s="12"/>
      <c r="K11" s="12"/>
      <c r="L11" s="13"/>
      <c r="M11" s="14"/>
      <c r="N11" s="15"/>
      <c r="O11" s="12"/>
      <c r="P11" s="12"/>
      <c r="Q11" s="15"/>
      <c r="R11" s="12"/>
      <c r="S11" s="12"/>
      <c r="T11" s="16"/>
      <c r="U11" s="17"/>
      <c r="V11" s="12"/>
      <c r="W11" s="18"/>
      <c r="X11" s="12"/>
      <c r="Y11" s="19"/>
      <c r="AA11" s="21"/>
      <c r="AC11" s="22"/>
      <c r="AE11" s="14"/>
      <c r="AG11" s="35"/>
      <c r="AH11" s="12"/>
      <c r="AI11" s="25"/>
      <c r="AK11" s="12"/>
      <c r="AL11" s="16"/>
      <c r="AM11" s="26"/>
      <c r="AN11" s="26"/>
      <c r="AO11" s="14"/>
      <c r="AP11" s="15"/>
      <c r="AQ11" s="16"/>
      <c r="AR11" s="24"/>
      <c r="AS11" s="27"/>
      <c r="AU11" s="13"/>
      <c r="AV11" s="28"/>
      <c r="AW11" s="28"/>
      <c r="AX11" s="28"/>
      <c r="AY11" s="28"/>
      <c r="AZ11" s="29"/>
      <c r="BA11" s="28"/>
      <c r="BB11" s="30"/>
      <c r="BC11" s="30"/>
      <c r="BD11" s="31"/>
      <c r="BE11" s="30"/>
      <c r="BF11" s="30"/>
      <c r="BG11" s="32"/>
      <c r="BH11" s="30"/>
      <c r="BI11" s="30"/>
      <c r="BJ11" s="30"/>
      <c r="BK11" s="30"/>
      <c r="BL11" s="30"/>
      <c r="BM11" s="30"/>
    </row>
    <row r="12" spans="1:65" s="2" customFormat="1" ht="17.399999999999999" customHeight="1" x14ac:dyDescent="0.25">
      <c r="A12" s="33"/>
      <c r="B12" s="33"/>
      <c r="C12" s="8"/>
      <c r="D12" s="9"/>
      <c r="E12" s="10"/>
      <c r="F12" s="36"/>
      <c r="G12" s="10"/>
      <c r="H12" s="11"/>
      <c r="I12" s="12"/>
      <c r="J12" s="12"/>
      <c r="K12" s="12"/>
      <c r="L12" s="13"/>
      <c r="M12" s="14"/>
      <c r="N12" s="15"/>
      <c r="O12" s="12"/>
      <c r="P12" s="12"/>
      <c r="Q12" s="15"/>
      <c r="R12" s="12"/>
      <c r="S12" s="12"/>
      <c r="T12" s="16"/>
      <c r="U12" s="17"/>
      <c r="V12" s="12"/>
      <c r="W12" s="18"/>
      <c r="X12" s="12"/>
      <c r="Y12" s="19"/>
      <c r="Z12" s="38"/>
      <c r="AA12" s="21"/>
      <c r="AC12" s="22"/>
      <c r="AE12" s="14"/>
      <c r="AG12" s="24"/>
      <c r="AH12" s="12"/>
      <c r="AI12" s="25"/>
      <c r="AK12" s="12"/>
      <c r="AL12" s="16"/>
      <c r="AM12" s="26"/>
      <c r="AN12" s="26"/>
      <c r="AO12" s="14"/>
      <c r="AP12" s="15"/>
      <c r="AQ12" s="16"/>
      <c r="AR12" s="24"/>
      <c r="AS12" s="27"/>
      <c r="AU12" s="13"/>
      <c r="AV12" s="28"/>
      <c r="AW12" s="28"/>
      <c r="AX12" s="28"/>
      <c r="AY12" s="28"/>
      <c r="AZ12" s="29"/>
      <c r="BA12" s="28"/>
      <c r="BB12" s="30"/>
      <c r="BC12" s="30"/>
      <c r="BD12" s="31"/>
      <c r="BE12" s="30"/>
      <c r="BF12" s="30"/>
      <c r="BG12" s="32"/>
      <c r="BH12" s="30"/>
      <c r="BI12" s="30"/>
      <c r="BJ12" s="30"/>
      <c r="BK12" s="30"/>
      <c r="BL12" s="30"/>
      <c r="BM12" s="30"/>
    </row>
    <row r="13" spans="1:65" s="2" customFormat="1" ht="17.399999999999999" customHeight="1" x14ac:dyDescent="0.25">
      <c r="A13" s="33"/>
      <c r="B13" s="33"/>
      <c r="C13" s="8"/>
      <c r="D13" s="9"/>
      <c r="E13" s="10"/>
      <c r="F13" s="36"/>
      <c r="G13" s="10"/>
      <c r="H13" s="11"/>
      <c r="I13" s="12"/>
      <c r="J13" s="12"/>
      <c r="K13" s="12"/>
      <c r="L13" s="13"/>
      <c r="M13" s="14"/>
      <c r="N13" s="15"/>
      <c r="O13" s="12"/>
      <c r="P13" s="12"/>
      <c r="Q13" s="15"/>
      <c r="R13" s="12"/>
      <c r="S13" s="12"/>
      <c r="T13" s="16"/>
      <c r="U13" s="17"/>
      <c r="V13" s="12"/>
      <c r="W13" s="18"/>
      <c r="X13" s="12"/>
      <c r="Y13" s="19"/>
      <c r="Z13" s="38"/>
      <c r="AA13" s="21"/>
      <c r="AB13" s="38"/>
      <c r="AC13" s="22"/>
      <c r="AE13" s="14"/>
      <c r="AG13" s="35"/>
      <c r="AH13" s="12"/>
      <c r="AI13" s="25"/>
      <c r="AK13" s="12"/>
      <c r="AL13" s="16"/>
      <c r="AM13" s="26"/>
      <c r="AN13" s="26"/>
      <c r="AO13" s="14"/>
      <c r="AP13" s="15"/>
      <c r="AQ13" s="16"/>
      <c r="AR13" s="24"/>
      <c r="AS13" s="27"/>
      <c r="AU13" s="13"/>
      <c r="AV13" s="28"/>
      <c r="AW13" s="28"/>
      <c r="AX13" s="28"/>
      <c r="AY13" s="28"/>
      <c r="AZ13" s="29"/>
      <c r="BA13" s="28"/>
      <c r="BB13" s="30"/>
      <c r="BC13" s="30"/>
      <c r="BD13" s="31"/>
      <c r="BE13" s="30"/>
      <c r="BF13" s="30"/>
      <c r="BG13" s="32"/>
      <c r="BH13" s="30"/>
      <c r="BI13" s="30"/>
      <c r="BJ13" s="30"/>
      <c r="BK13" s="30"/>
      <c r="BL13" s="30"/>
      <c r="BM13" s="30"/>
    </row>
    <row r="14" spans="1:65" s="2" customFormat="1" ht="17.399999999999999" customHeight="1" x14ac:dyDescent="0.25">
      <c r="A14" s="33"/>
      <c r="B14" s="33"/>
      <c r="C14" s="8"/>
      <c r="D14" s="9"/>
      <c r="E14" s="39"/>
      <c r="F14" s="36"/>
      <c r="G14" s="10"/>
      <c r="H14" s="40"/>
      <c r="I14" s="41"/>
      <c r="J14" s="41"/>
      <c r="K14" s="41"/>
      <c r="L14" s="18"/>
      <c r="M14" s="42"/>
      <c r="N14" s="43"/>
      <c r="O14" s="41"/>
      <c r="P14" s="12"/>
      <c r="Q14" s="43"/>
      <c r="R14" s="41"/>
      <c r="S14" s="41"/>
      <c r="T14" s="44"/>
      <c r="U14" s="45"/>
      <c r="V14" s="41"/>
      <c r="W14" s="18"/>
      <c r="X14" s="41"/>
      <c r="Y14" s="46"/>
      <c r="Z14" s="35"/>
      <c r="AA14" s="47"/>
      <c r="AB14" s="35"/>
      <c r="AC14" s="48"/>
      <c r="AD14" s="35"/>
      <c r="AE14" s="42"/>
      <c r="AF14" s="35"/>
      <c r="AG14" s="35"/>
      <c r="AH14" s="41"/>
      <c r="AI14" s="25"/>
      <c r="AJ14" s="49"/>
      <c r="AK14" s="41"/>
      <c r="AL14" s="44"/>
      <c r="AM14" s="50"/>
      <c r="AN14" s="50"/>
      <c r="AO14" s="14"/>
      <c r="AP14" s="15"/>
      <c r="AQ14" s="16"/>
      <c r="AR14" s="24"/>
      <c r="AS14" s="51"/>
      <c r="AT14" s="35"/>
      <c r="AU14" s="18"/>
      <c r="AV14" s="52"/>
      <c r="AW14" s="52"/>
      <c r="AX14" s="52"/>
      <c r="AY14" s="52"/>
      <c r="AZ14" s="53"/>
      <c r="BA14" s="52"/>
      <c r="BB14" s="54"/>
      <c r="BC14" s="54"/>
      <c r="BD14" s="31"/>
      <c r="BE14" s="54"/>
      <c r="BF14" s="54"/>
      <c r="BG14" s="32"/>
      <c r="BH14" s="54"/>
      <c r="BI14" s="54"/>
      <c r="BJ14" s="54"/>
      <c r="BK14" s="30"/>
      <c r="BL14" s="30"/>
      <c r="BM14" s="30"/>
    </row>
    <row r="15" spans="1:65" s="2" customFormat="1" ht="17.399999999999999" customHeight="1" x14ac:dyDescent="0.25">
      <c r="A15" s="33"/>
      <c r="B15" s="33"/>
      <c r="C15" s="8"/>
      <c r="D15" s="9"/>
      <c r="E15" s="10"/>
      <c r="F15" s="36"/>
      <c r="G15" s="10"/>
      <c r="H15" s="11"/>
      <c r="I15" s="12"/>
      <c r="J15" s="12"/>
      <c r="K15" s="12"/>
      <c r="L15" s="13"/>
      <c r="M15" s="14"/>
      <c r="N15" s="15"/>
      <c r="O15" s="12"/>
      <c r="P15" s="12"/>
      <c r="Q15" s="15"/>
      <c r="R15" s="12"/>
      <c r="S15" s="12"/>
      <c r="T15" s="16"/>
      <c r="U15" s="17"/>
      <c r="V15" s="12"/>
      <c r="W15" s="18"/>
      <c r="X15" s="12"/>
      <c r="Y15" s="19"/>
      <c r="Z15" s="20"/>
      <c r="AA15" s="21"/>
      <c r="AC15" s="22"/>
      <c r="AE15" s="14"/>
      <c r="AG15" s="24"/>
      <c r="AH15" s="12"/>
      <c r="AI15" s="25"/>
      <c r="AK15" s="12"/>
      <c r="AL15" s="16"/>
      <c r="AM15" s="26"/>
      <c r="AN15" s="26"/>
      <c r="AO15" s="14"/>
      <c r="AP15" s="15"/>
      <c r="AQ15" s="16"/>
      <c r="AR15" s="24"/>
      <c r="AS15" s="27"/>
      <c r="AU15" s="13"/>
      <c r="AV15" s="28"/>
      <c r="AW15" s="28"/>
      <c r="AX15" s="28"/>
      <c r="AY15" s="28"/>
      <c r="AZ15" s="29"/>
      <c r="BA15" s="28"/>
      <c r="BB15" s="30"/>
      <c r="BC15" s="30"/>
      <c r="BD15" s="31"/>
      <c r="BE15" s="30"/>
      <c r="BF15" s="30"/>
      <c r="BG15" s="32"/>
      <c r="BH15" s="30"/>
      <c r="BI15" s="30"/>
      <c r="BJ15" s="30"/>
      <c r="BK15" s="30"/>
      <c r="BL15" s="30"/>
      <c r="BM15" s="30"/>
    </row>
    <row r="16" spans="1:65" s="2" customFormat="1" ht="17.399999999999999" customHeight="1" x14ac:dyDescent="0.25">
      <c r="A16" s="33"/>
      <c r="B16" s="33"/>
      <c r="C16" s="8"/>
      <c r="D16" s="9"/>
      <c r="E16" s="10"/>
      <c r="F16" s="36"/>
      <c r="G16" s="10"/>
      <c r="H16" s="11"/>
      <c r="I16" s="12"/>
      <c r="J16" s="12"/>
      <c r="K16" s="12"/>
      <c r="L16" s="13"/>
      <c r="M16" s="14"/>
      <c r="N16" s="15"/>
      <c r="O16" s="12"/>
      <c r="P16" s="12"/>
      <c r="Q16" s="15"/>
      <c r="R16" s="12"/>
      <c r="S16" s="12"/>
      <c r="T16" s="16"/>
      <c r="U16" s="17"/>
      <c r="V16" s="12"/>
      <c r="W16" s="18"/>
      <c r="X16" s="12"/>
      <c r="Y16" s="19"/>
      <c r="Z16" s="38"/>
      <c r="AA16" s="21"/>
      <c r="AC16" s="22"/>
      <c r="AE16" s="14"/>
      <c r="AG16" s="35"/>
      <c r="AH16" s="12"/>
      <c r="AI16" s="25"/>
      <c r="AK16" s="12"/>
      <c r="AL16" s="16"/>
      <c r="AM16" s="26"/>
      <c r="AN16" s="26"/>
      <c r="AO16" s="14"/>
      <c r="AP16" s="15"/>
      <c r="AQ16" s="16"/>
      <c r="AR16" s="24"/>
      <c r="AS16" s="27"/>
      <c r="AU16" s="13"/>
      <c r="AV16" s="28"/>
      <c r="AW16" s="28"/>
      <c r="AX16" s="28"/>
      <c r="AY16" s="28"/>
      <c r="AZ16" s="29"/>
      <c r="BA16" s="28"/>
      <c r="BB16" s="30"/>
      <c r="BC16" s="30"/>
      <c r="BD16" s="31"/>
      <c r="BE16" s="30"/>
      <c r="BF16" s="30"/>
      <c r="BG16" s="32"/>
      <c r="BH16" s="30"/>
      <c r="BI16" s="30"/>
      <c r="BJ16" s="30"/>
      <c r="BK16" s="30"/>
      <c r="BL16" s="30"/>
      <c r="BM16" s="30"/>
    </row>
    <row r="17" spans="1:78" s="2" customFormat="1" ht="13.75" customHeight="1" x14ac:dyDescent="0.25"/>
    <row r="18" spans="1:78" s="2" customFormat="1" ht="13.75" customHeight="1" x14ac:dyDescent="0.25"/>
    <row r="19" spans="1:78" s="38" customFormat="1" ht="14.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s="38" customFormat="1" ht="14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s="38" customFormat="1" ht="14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s="38" customFormat="1" ht="14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s="38" customFormat="1" ht="14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s="38" customFormat="1" ht="14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s="38" customFormat="1" ht="14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s="38" customFormat="1" ht="14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s="38" customFormat="1" ht="14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s="38" customFormat="1" ht="14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s="38" customFormat="1" ht="14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s="38" customFormat="1" ht="14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s="38" customFormat="1" ht="14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s="38" customFormat="1" ht="14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s="38" customFormat="1" ht="14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s="38" customFormat="1" ht="14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s="38" customFormat="1" ht="14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s="38" customFormat="1" ht="14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s="38" customFormat="1" ht="14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s="38" customFormat="1" ht="14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s="38" customFormat="1" ht="14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s="38" customFormat="1" ht="14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s="38" customFormat="1" ht="14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s="38" customFormat="1" ht="14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s="38" customFormat="1" ht="14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s="38" customFormat="1" ht="14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s="38" customFormat="1" ht="14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s="38" customFormat="1" ht="14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s="38" customFormat="1" ht="14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s="38" customFormat="1" ht="14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s="38" customFormat="1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s="38" customFormat="1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s="38" customFormat="1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s="38" customFormat="1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38" customFormat="1" ht="14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ht="14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</sheetData>
  <dataValidations count="2">
    <dataValidation type="list" allowBlank="1" showInputMessage="1" showErrorMessage="1" sqref="AM10:AM16 X10:X16 V10:V16 R10:S16 J10:K16 BI10:BI16 BC10:BC16 AY10:AY16 AP10:AP16" xr:uid="{00000000-0002-0000-0000-000000000000}">
      <formula1>INDIRECT($E2)</formula1>
    </dataValidation>
    <dataValidation type="list" allowBlank="1" showInputMessage="1" showErrorMessage="1" sqref="AM2:AM16 X2:X16 V2:V16 R2:S16 J2:K16 BI2:BI16 BC2:BC16 AY2:AY16 AP2:AP16" xr:uid="{00000000-0002-0000-0000-000001000000}">
      <formula1>INDIRECT($E2)</formula1>
    </dataValidation>
  </dataValidations>
  <hyperlinks>
    <hyperlink ref="U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2025-05-28T07:30:05Z</dcterms:modified>
</cp:coreProperties>
</file>