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7CAC1172-BDC8-4F7E-BD82-E2BE67A51D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R3" i="1" s="1"/>
  <c r="L3" i="1"/>
  <c r="W3" i="1" s="1"/>
  <c r="AR2" i="1"/>
  <c r="AN2" i="1" a="1"/>
  <c r="AN3" i="1" s="1"/>
  <c r="L2" i="1"/>
  <c r="W2" i="1" s="1"/>
  <c r="AN2" i="1" l="1"/>
</calcChain>
</file>

<file path=xl/sharedStrings.xml><?xml version="1.0" encoding="utf-8"?>
<sst xmlns="http://schemas.openxmlformats.org/spreadsheetml/2006/main" count="180" uniqueCount="128">
  <si>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</si>
  <si>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</si>
  <si>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</si>
  <si>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</si>
  <si>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</si>
  <si>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</si>
  <si>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</si>
  <si>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</si>
  <si>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</si>
  <si>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</si>
  <si>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</si>
  <si>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</si>
  <si>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</si>
  <si>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</si>
  <si>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</si>
  <si>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</si>
  <si>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</si>
  <si>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</si>
  <si>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</si>
  <si>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</si>
  <si>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</si>
  <si>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</si>
  <si>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</si>
  <si>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</si>
  <si>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</si>
  <si>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</si>
  <si>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</si>
  <si>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</si>
  <si>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</si>
  <si>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</si>
  <si>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</si>
  <si>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</si>
  <si>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</si>
  <si>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</si>
  <si>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</si>
  <si>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</si>
  <si>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</si>
  <si>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</si>
  <si>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</si>
  <si>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</si>
  <si>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</si>
  <si>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</si>
  <si>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</si>
  <si>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</si>
  <si>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</si>
  <si>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</si>
  <si>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</si>
  <si>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</si>
  <si>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</si>
  <si>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</si>
  <si>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</si>
  <si>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</si>
  <si>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</si>
  <si>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</si>
  <si>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</si>
  <si>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</si>
  <si>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</si>
  <si>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</si>
  <si>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</si>
  <si>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</si>
  <si>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</si>
  <si>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</si>
  <si>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</si>
  <si>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</si>
  <si>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</si>
  <si>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</si>
  <si>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</si>
  <si>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</si>
  <si>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</si>
  <si>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Marlin</t>
  </si>
  <si>
    <t>Hayes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</si>
  <si>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</si>
  <si>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</si>
  <si>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</si>
  <si>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</si>
  <si>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</si>
  <si>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</si>
  <si>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</si>
  <si>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</si>
  <si>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</si>
  <si>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</si>
  <si>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</si>
  <si>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</si>
  <si>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</si>
  <si>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</si>
  <si>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</si>
  <si>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</si>
  <si>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</si>
  <si>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</si>
  <si>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</si>
  <si>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</si>
  <si>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</si>
  <si>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</si>
  <si>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</si>
  <si>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</si>
  <si>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</si>
  <si>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</si>
  <si>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</si>
  <si>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</si>
  <si>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</si>
  <si>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</si>
  <si>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</si>
  <si>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</si>
  <si>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</si>
  <si>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</si>
  <si>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</si>
  <si>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</si>
  <si>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</si>
  <si>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</si>
  <si>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</si>
  <si>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</si>
  <si>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</si>
  <si>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</si>
  <si>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</si>
  <si>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(Rykec Puvyjo (10528834))</t>
  </si>
  <si>
    <t>Mme</t>
  </si>
  <si>
    <t>Elisa</t>
  </si>
  <si>
    <t>Reilly</t>
  </si>
  <si>
    <t>Auto 17476992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</si>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</sst>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6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"/>
  <sheetViews>
    <sheetView tabSelected="1" zoomScale="115" zoomScaleNormal="115" workbookViewId="0">
      <selection activeCell="AN4" sqref="AN4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39" width="22.453125" style="1" customWidth="1"/>
    <col min="40" max="40" width="22.453125" style="37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35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</row>
    <row r="2" spans="1:68" ht="15.65" customHeight="1" x14ac:dyDescent="0.35">
      <c r="A2" s="1" t="s">
        <v>65</v>
      </c>
      <c r="B2" s="11"/>
      <c r="C2" s="12"/>
      <c r="D2" s="13" t="s">
        <v>66</v>
      </c>
      <c r="E2" s="14" t="s">
        <v>67</v>
      </c>
      <c r="F2" s="15" t="s">
        <v>68</v>
      </c>
      <c r="G2" s="16" t="s">
        <v>69</v>
      </c>
      <c r="H2" s="17" t="s">
        <v>70</v>
      </c>
      <c r="I2" s="18">
        <v>25041111</v>
      </c>
      <c r="J2" s="18" t="s">
        <v>71</v>
      </c>
      <c r="K2" s="18" t="s">
        <v>72</v>
      </c>
      <c r="L2" s="19">
        <f t="shared" ref="L2" ca="1" si="0">TODAY()-31</f>
        <v>45786</v>
      </c>
      <c r="M2" s="14" t="s">
        <v>67</v>
      </c>
      <c r="N2" s="20" t="s">
        <v>73</v>
      </c>
      <c r="O2" s="18">
        <v>38</v>
      </c>
      <c r="P2" s="18">
        <v>1000</v>
      </c>
      <c r="Q2" s="18" t="s">
        <v>74</v>
      </c>
      <c r="R2" s="18" t="s">
        <v>75</v>
      </c>
      <c r="S2" s="18" t="s">
        <v>72</v>
      </c>
      <c r="T2" s="21" t="s">
        <v>76</v>
      </c>
      <c r="U2" s="22" t="s">
        <v>77</v>
      </c>
      <c r="V2" s="18" t="s">
        <v>72</v>
      </c>
      <c r="W2" s="23">
        <f t="shared" ref="W2" ca="1" si="1">L2</f>
        <v>45786</v>
      </c>
      <c r="X2" s="18" t="s">
        <v>78</v>
      </c>
      <c r="Y2" s="24" t="s">
        <v>79</v>
      </c>
      <c r="Z2" t="s">
        <v>80</v>
      </c>
      <c r="AA2" s="25" t="s">
        <v>81</v>
      </c>
      <c r="AB2" t="s">
        <v>82</v>
      </c>
      <c r="AC2" s="1" t="s">
        <v>83</v>
      </c>
      <c r="AD2" s="1" t="s">
        <v>52</v>
      </c>
      <c r="AE2" s="26">
        <v>35</v>
      </c>
      <c r="AF2" s="27" t="s">
        <v>84</v>
      </c>
      <c r="AG2" t="s">
        <v>85</v>
      </c>
      <c r="AH2" s="19" t="s">
        <v>86</v>
      </c>
      <c r="AI2" s="18" t="s">
        <v>87</v>
      </c>
      <c r="AJ2" s="18" t="s">
        <v>88</v>
      </c>
      <c r="AK2" t="s">
        <v>89</v>
      </c>
      <c r="AL2" s="28" t="s">
        <v>67</v>
      </c>
      <c r="AM2" s="28" t="s">
        <v>90</v>
      </c>
      <c r="AN2" s="36">
        <f t="array" aca="1" ref="AN2:AN3" ca="1">_xlfn.RANDARRAY(2,1,12345678901,99999999999,TRUE)</f>
        <v>78518292739</v>
      </c>
      <c r="AO2" s="14" t="s">
        <v>91</v>
      </c>
      <c r="AP2" s="20" t="s">
        <v>92</v>
      </c>
      <c r="AQ2" s="20" t="s">
        <v>93</v>
      </c>
      <c r="AR2" s="19" t="str">
        <f>AH2</f>
        <v>N/A</v>
      </c>
      <c r="AS2" t="s">
        <v>94</v>
      </c>
      <c r="AT2" s="29">
        <v>35591</v>
      </c>
      <c r="AU2" s="30" t="s">
        <v>67</v>
      </c>
      <c r="AV2" s="28" t="s">
        <v>75</v>
      </c>
      <c r="AW2" s="30" t="s">
        <v>74</v>
      </c>
      <c r="AX2" s="30" t="s">
        <v>95</v>
      </c>
      <c r="AY2" s="31" t="s">
        <v>96</v>
      </c>
      <c r="AZ2" s="30" t="s">
        <v>97</v>
      </c>
      <c r="BA2" s="30" t="s">
        <v>67</v>
      </c>
      <c r="BB2" t="s">
        <v>98</v>
      </c>
      <c r="BC2" t="s">
        <v>99</v>
      </c>
      <c r="BD2" s="14" t="s">
        <v>100</v>
      </c>
      <c r="BE2" s="28" t="s">
        <v>101</v>
      </c>
      <c r="BF2" s="32" t="s">
        <v>102</v>
      </c>
      <c r="BG2" s="28" t="s">
        <v>103</v>
      </c>
      <c r="BH2" s="28" t="s">
        <v>104</v>
      </c>
      <c r="BI2" s="28" t="s">
        <v>105</v>
      </c>
      <c r="BJ2" s="30" t="s">
        <v>106</v>
      </c>
      <c r="BK2" s="30" t="s">
        <v>107</v>
      </c>
      <c r="BL2" s="30" t="s">
        <v>108</v>
      </c>
      <c r="BM2" s="30" t="s">
        <v>109</v>
      </c>
      <c r="BN2" s="30" t="s">
        <v>110</v>
      </c>
      <c r="BO2" s="18" t="s">
        <v>111</v>
      </c>
      <c r="BP2" s="33" t="s">
        <v>112</v>
      </c>
    </row>
    <row r="3" spans="1:68" ht="15.65" customHeight="1" x14ac:dyDescent="0.35">
      <c r="A3" s="1" t="s">
        <v>113</v>
      </c>
      <c r="C3" s="12"/>
      <c r="D3" s="13" t="s">
        <v>114</v>
      </c>
      <c r="E3" s="14" t="s">
        <v>67</v>
      </c>
      <c r="F3" s="15" t="s">
        <v>115</v>
      </c>
      <c r="G3" s="16" t="s">
        <v>116</v>
      </c>
      <c r="H3" s="17" t="s">
        <v>117</v>
      </c>
      <c r="I3" s="18">
        <v>25041111</v>
      </c>
      <c r="J3" s="18" t="s">
        <v>71</v>
      </c>
      <c r="K3" s="18" t="s">
        <v>72</v>
      </c>
      <c r="L3" s="19">
        <f t="shared" ref="L3" ca="1" si="2">TODAY()-31</f>
        <v>45786</v>
      </c>
      <c r="M3" s="14" t="s">
        <v>67</v>
      </c>
      <c r="N3" s="20" t="s">
        <v>73</v>
      </c>
      <c r="O3" s="18">
        <v>38</v>
      </c>
      <c r="P3" s="18">
        <v>1000</v>
      </c>
      <c r="Q3" s="18" t="s">
        <v>74</v>
      </c>
      <c r="R3" s="18" t="s">
        <v>75</v>
      </c>
      <c r="S3" s="18" t="s">
        <v>72</v>
      </c>
      <c r="T3" s="21" t="s">
        <v>76</v>
      </c>
      <c r="U3" s="22" t="s">
        <v>77</v>
      </c>
      <c r="V3" s="18" t="s">
        <v>72</v>
      </c>
      <c r="W3" s="23">
        <f t="shared" ref="W3" ca="1" si="3">L3</f>
        <v>45786</v>
      </c>
      <c r="X3" s="18" t="s">
        <v>78</v>
      </c>
      <c r="Y3" s="24" t="s">
        <v>118</v>
      </c>
      <c r="Z3" t="s">
        <v>119</v>
      </c>
      <c r="AA3" s="25" t="s">
        <v>120</v>
      </c>
      <c r="AB3" t="s">
        <v>82</v>
      </c>
      <c r="AC3" s="1" t="s">
        <v>83</v>
      </c>
      <c r="AD3" s="1" t="s">
        <v>52</v>
      </c>
      <c r="AE3" s="26">
        <v>35</v>
      </c>
      <c r="AF3" s="14" t="s">
        <v>121</v>
      </c>
      <c r="AG3" t="s">
        <v>85</v>
      </c>
      <c r="AH3" s="19">
        <f ca="1">TODAY()+365</f>
        <v>46182</v>
      </c>
      <c r="AI3" s="18" t="s">
        <v>87</v>
      </c>
      <c r="AJ3" s="18" t="s">
        <v>122</v>
      </c>
      <c r="AK3" s="1">
        <v>251</v>
      </c>
      <c r="AL3" s="28" t="s">
        <v>67</v>
      </c>
      <c r="AM3" s="28" t="s">
        <v>90</v>
      </c>
      <c r="AN3" s="36">
        <f ca="1"/>
        <v>86641280036</v>
      </c>
      <c r="AO3" s="14" t="s">
        <v>91</v>
      </c>
      <c r="AP3" s="20" t="s">
        <v>119</v>
      </c>
      <c r="AQ3" s="20" t="s">
        <v>93</v>
      </c>
      <c r="AR3" s="19">
        <f t="shared" ref="AR3" ca="1" si="4">AH3</f>
        <v>46182</v>
      </c>
      <c r="AS3" t="s">
        <v>123</v>
      </c>
      <c r="AT3" s="29">
        <v>35591</v>
      </c>
      <c r="AU3" s="30" t="s">
        <v>67</v>
      </c>
      <c r="AV3" s="28" t="s">
        <v>75</v>
      </c>
      <c r="AW3" s="30" t="s">
        <v>74</v>
      </c>
      <c r="AX3" s="30" t="s">
        <v>95</v>
      </c>
      <c r="AY3" s="31" t="s">
        <v>96</v>
      </c>
      <c r="AZ3" s="30" t="s">
        <v>97</v>
      </c>
      <c r="BA3" s="30" t="s">
        <v>67</v>
      </c>
      <c r="BB3" s="34" t="s">
        <v>124</v>
      </c>
      <c r="BC3" t="s">
        <v>125</v>
      </c>
      <c r="BD3" s="14" t="s">
        <v>100</v>
      </c>
      <c r="BE3" s="28" t="s">
        <v>101</v>
      </c>
      <c r="BF3" s="32" t="s">
        <v>102</v>
      </c>
      <c r="BG3" s="28" t="s">
        <v>103</v>
      </c>
      <c r="BH3" s="28" t="s">
        <v>104</v>
      </c>
      <c r="BI3" s="28" t="s">
        <v>105</v>
      </c>
      <c r="BJ3" s="30" t="s">
        <v>126</v>
      </c>
      <c r="BK3" s="30" t="s">
        <v>127</v>
      </c>
      <c r="BL3" s="30" t="s">
        <v>108</v>
      </c>
      <c r="BM3" s="30" t="s">
        <v>109</v>
      </c>
      <c r="BN3" s="30" t="s">
        <v>110</v>
      </c>
      <c r="BO3" s="18" t="s">
        <v>111</v>
      </c>
      <c r="BP3" s="33" t="s">
        <v>112</v>
      </c>
    </row>
  </sheetData>
  <dataValidations count="1">
    <dataValidation type="list" allowBlank="1" showInputMessage="1" showErrorMessage="1" sqref="AQ2:AQ3 X2:X3 V2:V3 S2:S3 K2:K3 BI2:BI3 AX2:AX3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2025-06-09T05:12:49Z</dcterms:modified>
</cp:coreProperties>
</file>