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67946AE5-3CCA-43BF-98A4-DFC5BD5B371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9" i="1" l="1" a="1"/>
  <c r="BE20" i="1" s="1"/>
  <c r="BH20" i="1" s="1"/>
  <c r="AX9" i="1" a="1"/>
  <c r="AX21" i="1" s="1"/>
  <c r="AZ21" i="1" s="1"/>
  <c r="AV3" i="1"/>
  <c r="Y3" i="1"/>
  <c r="L3" i="1"/>
  <c r="X3" i="1" s="1"/>
  <c r="AU3" i="1" s="1"/>
  <c r="AV2" i="1"/>
  <c r="Y2" i="1"/>
  <c r="L2" i="1"/>
  <c r="X2" i="1" s="1"/>
  <c r="AU2" i="1" s="1"/>
  <c r="BE13" i="1" l="1"/>
  <c r="BH13" i="1" s="1"/>
  <c r="BE17" i="1"/>
  <c r="BH17" i="1" s="1"/>
  <c r="BE21" i="1"/>
  <c r="BH21" i="1" s="1"/>
  <c r="AX10" i="1"/>
  <c r="AZ10" i="1" s="1"/>
  <c r="BA3" i="1" s="1"/>
  <c r="AX14" i="1"/>
  <c r="AZ14" i="1" s="1"/>
  <c r="AX18" i="1"/>
  <c r="AZ18" i="1" s="1"/>
  <c r="AX22" i="1"/>
  <c r="AZ22" i="1" s="1"/>
  <c r="AT2" i="1"/>
  <c r="AT3" i="1"/>
  <c r="AX11" i="1"/>
  <c r="AZ11" i="1" s="1"/>
  <c r="AX15" i="1"/>
  <c r="AZ15" i="1" s="1"/>
  <c r="AX19" i="1"/>
  <c r="AZ19" i="1" s="1"/>
  <c r="AX23" i="1"/>
  <c r="AZ23" i="1" s="1"/>
  <c r="BE10" i="1"/>
  <c r="BH10" i="1" s="1"/>
  <c r="BD3" i="1" s="1"/>
  <c r="BE14" i="1"/>
  <c r="BH14" i="1" s="1"/>
  <c r="BE18" i="1"/>
  <c r="BH18" i="1" s="1"/>
  <c r="BE22" i="1"/>
  <c r="BH22" i="1" s="1"/>
  <c r="AX9" i="1"/>
  <c r="AZ9" i="1" s="1"/>
  <c r="BA2" i="1" s="1"/>
  <c r="AX12" i="1"/>
  <c r="AZ12" i="1" s="1"/>
  <c r="AX16" i="1"/>
  <c r="AZ16" i="1" s="1"/>
  <c r="AX20" i="1"/>
  <c r="AZ20" i="1" s="1"/>
  <c r="BE11" i="1"/>
  <c r="BH11" i="1" s="1"/>
  <c r="BE15" i="1"/>
  <c r="BH15" i="1" s="1"/>
  <c r="BE19" i="1"/>
  <c r="BH19" i="1" s="1"/>
  <c r="BE23" i="1"/>
  <c r="BH23" i="1" s="1"/>
  <c r="AX13" i="1"/>
  <c r="AZ13" i="1" s="1"/>
  <c r="AX17" i="1"/>
  <c r="AZ17" i="1" s="1"/>
  <c r="BE9" i="1"/>
  <c r="BH9" i="1" s="1"/>
  <c r="BD2" i="1" s="1"/>
  <c r="BE12" i="1"/>
  <c r="BH12" i="1" s="1"/>
  <c r="BE16" i="1"/>
  <c r="BH16" i="1" s="1"/>
</calcChain>
</file>

<file path=xl/sharedStrings.xml><?xml version="1.0" encoding="utf-8"?>
<sst xmlns="http://schemas.openxmlformats.org/spreadsheetml/2006/main" count="242" uniqueCount="128">
  <si>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</si>
  <si>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</si>
  <si>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</si>
  <si>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</si>
  <si>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</si>
  <si>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</si>
  <si>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</si>
  <si>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</si>
  <si>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</si>
  <si>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</si>
  <si>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</si>
  <si>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</si>
  <si>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</si>
  <si>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StreetOrPlaceName</t>
  </si>
  <si>
    <t>StreetNumber</t>
  </si>
  <si>
    <t>PostalCode</t>
  </si>
  <si>
    <t>City</t>
  </si>
  <si>
    <t>UseFor</t>
  </si>
  <si>
    <t>EmailAddress</t>
  </si>
  <si>
    <t>Province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</si>
  <si>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</si>
  <si>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</si>
  <si>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</si>
  <si>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</si>
  <si>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</si>
  <si>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</si>
  <si>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</si>
  <si>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</si>
  <si>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</si>
  <si>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</si>
  <si>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</si>
  <si>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</si>
  <si>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</si>
  <si>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</si>
  <si>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</si>
  <si>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DepartmentSection1</t>
  </si>
  <si>
    <t>CollectiveAgreement</t>
  </si>
  <si>
    <t>ProfessionalCategory</t>
  </si>
  <si>
    <t>Level</t>
  </si>
  <si>
    <t>ContractID</t>
  </si>
  <si>
    <t>ContractType</t>
  </si>
  <si>
    <t>Status</t>
  </si>
  <si>
    <t>DateEmployeeSigned</t>
  </si>
  <si>
    <t>DateEmployerSigned</t>
  </si>
  <si>
    <t>ContractEndDate</t>
  </si>
  <si>
    <t>GradeProfile</t>
  </si>
  <si>
    <t>Step</t>
  </si>
  <si>
    <t>Country1</t>
  </si>
  <si>
    <t>NationalIDType1</t>
  </si>
  <si>
    <t>AddEditID1</t>
  </si>
  <si>
    <t>Country2</t>
  </si>
  <si>
    <t>NationalIDType2</t>
  </si>
  <si>
    <t>AddEditID2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</si>
  <si>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</si>
  <si>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</si>
  <si>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</si>
  <si>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</si>
  <si>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</si>
  <si>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</si>
  <si>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</si>
  <si>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PrimaryNationality</t>
  </si>
  <si>
    <t>Salary</t>
  </si>
  <si>
    <t>BankName</t>
  </si>
  <si>
    <t>BankIdentificationCode</t>
  </si>
  <si>
    <t>IBAN</t>
  </si>
  <si>
    <t>AccountType</t>
  </si>
  <si>
    <t>ProposedPayGroupFinal</t>
  </si>
  <si>
    <t>Test_1</t>
  </si>
  <si>
    <t>275 Recruitment (Zojez Vizyzi (10279378))</t>
  </si>
  <si>
    <t>Italy</t>
  </si>
  <si>
    <t>Mr</t>
  </si>
  <si>
    <t>Benjamin</t>
  </si>
  <si>
    <t>Wyman</t>
  </si>
  <si>
    <t>067898707</t>
  </si>
  <si>
    <t>Landline</t>
  </si>
  <si>
    <t>Home</t>
  </si>
  <si>
    <t>Test1</t>
  </si>
  <si>
    <t>Test2</t>
  </si>
  <si>
    <t>D01 NX45</t>
  </si>
  <si>
    <t>Rome</t>
  </si>
  <si>
    <t>Street Address</t>
  </si>
  <si>
    <t>Testharsh121@gmail.com</t>
  </si>
  <si>
    <t>Bari</t>
  </si>
  <si>
    <t>New Hire</t>
  </si>
  <si>
    <t>No</t>
  </si>
  <si>
    <t>Permanent</t>
  </si>
  <si>
    <t>Retail Assistant</t>
  </si>
  <si>
    <t>Full time</t>
  </si>
  <si>
    <t>2@661</t>
  </si>
  <si>
    <t>Default Work Shift (Italy)</t>
  </si>
  <si>
    <t>N/A</t>
  </si>
  <si>
    <t>Automation Comments here….</t>
  </si>
  <si>
    <t>94 Retail Operative</t>
  </si>
  <si>
    <t>06 Menswear</t>
  </si>
  <si>
    <t>Collective Agreement</t>
  </si>
  <si>
    <t>Apprendistato</t>
  </si>
  <si>
    <t>Level 5</t>
  </si>
  <si>
    <t xml:space="preserve">Defaulted
</t>
  </si>
  <si>
    <t>Active</t>
  </si>
  <si>
    <t>Identity Card Number (CID)</t>
  </si>
  <si>
    <t>Fiscal Code (CF)</t>
  </si>
  <si>
    <t>Male</t>
  </si>
  <si>
    <t>Belluno</t>
  </si>
  <si>
    <t>VEDOVA/O (Italy)</t>
  </si>
  <si>
    <t>28/10/2021</t>
  </si>
  <si>
    <t>Defaulted</t>
  </si>
  <si>
    <t>AIB</t>
  </si>
  <si>
    <t>AARBITR1XXX</t>
  </si>
  <si>
    <t>IT60X0542811101000000123456</t>
  </si>
  <si>
    <t>Checking</t>
  </si>
  <si>
    <t>ITA Monthly</t>
  </si>
  <si>
    <t>Test_2</t>
  </si>
  <si>
    <t>275 Store Management (Gyzag Hopope (10144587))</t>
  </si>
  <si>
    <t>Jayme</t>
  </si>
  <si>
    <t>Runolfsdottir</t>
  </si>
  <si>
    <t>Auto 9304849</t>
  </si>
  <si>
    <t>Assistant Manager</t>
  </si>
  <si>
    <t>92 Retail Management</t>
  </si>
  <si>
    <t>251 Management Retail</t>
  </si>
  <si>
    <t>Impiegato</t>
  </si>
  <si>
    <t>Level 2</t>
  </si>
  <si>
    <t>AB</t>
  </si>
  <si>
    <t>JC</t>
  </si>
  <si>
    <t>MTKBNN10D10A</t>
  </si>
  <si>
    <t>A</t>
  </si>
  <si>
    <t>BA</t>
  </si>
  <si>
    <t>CJ</t>
  </si>
  <si>
    <t>MTKNBN20D20A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</si>
</sst>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rgb="FF4A4A4A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1" xfId="0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0" xfId="0" applyAlignment="1">
      <alignment wrapText="1"/>
    </xf>
    <xf numFmtId="0" fontId="0" fillId="5" borderId="0" xfId="0" applyFill="1"/>
    <xf numFmtId="0" fontId="2" fillId="0" borderId="0" xfId="0" applyFont="1" applyAlignment="1">
      <alignment vertical="center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6" borderId="0" xfId="0" applyFill="1"/>
    <xf numFmtId="0" fontId="3" fillId="6" borderId="3" xfId="0" applyFont="1" applyFill="1" applyBorder="1"/>
    <xf numFmtId="0" fontId="0" fillId="0" borderId="3" xfId="0" applyBorder="1" applyAlignment="1" applyProtection="1">
      <alignment horizontal="left"/>
      <protection locked="0"/>
    </xf>
    <xf numFmtId="14" fontId="0" fillId="0" borderId="0" xfId="0" applyNumberFormat="1" applyAlignment="1">
      <alignment horizontal="left"/>
    </xf>
    <xf numFmtId="0" fontId="0" fillId="0" borderId="3" xfId="0" applyBorder="1" applyAlignment="1" applyProtection="1">
      <alignment horizontal="left" vertical="top"/>
      <protection locked="0"/>
    </xf>
    <xf numFmtId="14" fontId="0" fillId="0" borderId="3" xfId="0" applyNumberForma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0" fillId="6" borderId="3" xfId="0" applyFill="1" applyBorder="1" applyAlignment="1" applyProtection="1">
      <alignment horizontal="left"/>
      <protection locked="0"/>
    </xf>
    <xf numFmtId="0" fontId="0" fillId="0" borderId="3" xfId="0" applyBorder="1"/>
    <xf numFmtId="0" fontId="5" fillId="0" borderId="3" xfId="0" applyFont="1" applyBorder="1"/>
    <xf numFmtId="0" fontId="0" fillId="0" borderId="3" xfId="0" applyBorder="1" applyAlignment="1" applyProtection="1">
      <alignment horizontal="left" wrapText="1"/>
      <protection locked="0"/>
    </xf>
    <xf numFmtId="0" fontId="4" fillId="0" borderId="3" xfId="0" applyFont="1" applyBorder="1" applyAlignment="1" applyProtection="1">
      <alignment horizontal="left" wrapText="1"/>
      <protection locked="0"/>
    </xf>
    <xf numFmtId="0" fontId="1" fillId="0" borderId="0" xfId="0" applyFont="1"/>
    <xf numFmtId="0" fontId="6" fillId="0" borderId="3" xfId="0" applyFont="1" applyBorder="1" applyAlignment="1" applyProtection="1">
      <alignment horizontal="left"/>
      <protection locked="0"/>
    </xf>
    <xf numFmtId="14" fontId="6" fillId="0" borderId="3" xfId="0" applyNumberFormat="1" applyFont="1" applyBorder="1" applyAlignment="1">
      <alignment horizontal="left"/>
    </xf>
    <xf numFmtId="14" fontId="1" fillId="0" borderId="3" xfId="0" applyNumberFormat="1" applyFont="1" applyBorder="1" applyAlignment="1" applyProtection="1">
      <alignment horizontal="left"/>
      <protection locked="0"/>
    </xf>
    <xf numFmtId="0" fontId="1" fillId="0" borderId="3" xfId="0" applyFont="1" applyBorder="1" applyAlignment="1" applyProtection="1">
      <alignment horizontal="left"/>
      <protection locked="0"/>
    </xf>
    <xf numFmtId="164" fontId="0" fillId="0" borderId="3" xfId="0" applyNumberFormat="1" applyBorder="1" applyAlignment="1" applyProtection="1">
      <alignment horizontal="left"/>
      <protection locked="0"/>
    </xf>
    <xf numFmtId="0" fontId="0" fillId="4" borderId="0" xfId="0" applyFill="1"/>
    <xf numFmtId="164" fontId="0" fillId="0" borderId="1" xfId="0" applyNumberFormat="1" applyBorder="1" applyAlignment="1" applyProtection="1">
      <alignment horizontal="left"/>
      <protection locked="0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@661" TargetMode="External"/><Relationship Id="rId2" Type="http://schemas.openxmlformats.org/officeDocument/2006/relationships/hyperlink" Target="mailto:Testharsh121@gmail.com" TargetMode="External"/><Relationship Id="rId1" Type="http://schemas.openxmlformats.org/officeDocument/2006/relationships/hyperlink" Target="https://fakenumber.org/generator-other/italy06-789-8707" TargetMode="External"/><Relationship Id="rId5" Type="http://schemas.openxmlformats.org/officeDocument/2006/relationships/hyperlink" Target="mailto:Testharsh121@gmail.com" TargetMode="External"/><Relationship Id="rId4" Type="http://schemas.openxmlformats.org/officeDocument/2006/relationships/hyperlink" Target="https://fakenumber.org/generator-other/italy06-789-87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3"/>
  <sheetViews>
    <sheetView tabSelected="1" topLeftCell="BR1" zoomScaleNormal="100" workbookViewId="0">
      <selection activeCell="BF7" sqref="BF7"/>
    </sheetView>
  </sheetViews>
  <sheetFormatPr defaultRowHeight="14.5" customHeight="1" x14ac:dyDescent="0.35"/>
  <cols>
    <col min="1" max="1" width="10" customWidth="1"/>
    <col min="2" max="2" width="65.9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2.453125" customWidth="1"/>
    <col min="18" max="18" width="8.179687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13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11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3" width="15.453125" customWidth="1"/>
    <col min="54" max="54" width="30.453125" customWidth="1"/>
    <col min="55" max="55" width="15.1796875" customWidth="1"/>
    <col min="56" max="56" width="22.7265625" customWidth="1"/>
    <col min="57" max="57" width="8.7265625" customWidth="1"/>
    <col min="58" max="58" width="10.453125" customWidth="1"/>
    <col min="70" max="70" width="39.26953125" customWidth="1"/>
  </cols>
  <sheetData>
    <row r="1" spans="1:70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4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  <c r="T1" s="2" t="s">
        <v>17</v>
      </c>
      <c r="U1" s="2" t="s">
        <v>18</v>
      </c>
      <c r="V1" s="2" t="s">
        <v>10</v>
      </c>
      <c r="W1" s="2" t="s">
        <v>19</v>
      </c>
      <c r="X1" s="3" t="s">
        <v>20</v>
      </c>
      <c r="Y1" s="2" t="s">
        <v>21</v>
      </c>
      <c r="Z1" s="2" t="s">
        <v>22</v>
      </c>
      <c r="AA1" s="2" t="s">
        <v>23</v>
      </c>
      <c r="AB1" s="4" t="s">
        <v>24</v>
      </c>
      <c r="AC1" s="4" t="s">
        <v>25</v>
      </c>
      <c r="AD1" s="4" t="s">
        <v>26</v>
      </c>
      <c r="AE1" s="2" t="s">
        <v>27</v>
      </c>
      <c r="AF1" s="2" t="s">
        <v>28</v>
      </c>
      <c r="AG1" s="4" t="s">
        <v>29</v>
      </c>
      <c r="AH1" s="2" t="s">
        <v>30</v>
      </c>
      <c r="AI1" s="2" t="s">
        <v>31</v>
      </c>
      <c r="AJ1" s="5" t="s">
        <v>32</v>
      </c>
      <c r="AK1" s="2" t="s">
        <v>33</v>
      </c>
      <c r="AL1" s="4" t="s">
        <v>34</v>
      </c>
      <c r="AM1" s="4" t="s">
        <v>35</v>
      </c>
      <c r="AN1" s="6" t="s">
        <v>36</v>
      </c>
      <c r="AO1" s="6" t="s">
        <v>37</v>
      </c>
      <c r="AP1" s="6" t="s">
        <v>38</v>
      </c>
      <c r="AQ1" s="2" t="s">
        <v>39</v>
      </c>
      <c r="AR1" s="4" t="s">
        <v>40</v>
      </c>
      <c r="AS1" s="2" t="s">
        <v>41</v>
      </c>
      <c r="AT1" s="2" t="s">
        <v>42</v>
      </c>
      <c r="AU1" s="2" t="s">
        <v>43</v>
      </c>
      <c r="AV1" s="4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7" t="s">
        <v>49</v>
      </c>
      <c r="BB1" s="2" t="s">
        <v>50</v>
      </c>
      <c r="BC1" s="2" t="s">
        <v>51</v>
      </c>
      <c r="BD1" s="7" t="s">
        <v>52</v>
      </c>
      <c r="BE1" s="2" t="s">
        <v>53</v>
      </c>
      <c r="BF1" s="2" t="s">
        <v>54</v>
      </c>
      <c r="BG1" s="2" t="s">
        <v>55</v>
      </c>
      <c r="BH1" s="2" t="s">
        <v>56</v>
      </c>
      <c r="BI1" s="2" t="s">
        <v>57</v>
      </c>
      <c r="BJ1" s="2" t="s">
        <v>58</v>
      </c>
      <c r="BK1" s="2" t="s">
        <v>59</v>
      </c>
      <c r="BL1" s="2" t="s">
        <v>60</v>
      </c>
      <c r="BM1" s="2" t="s">
        <v>61</v>
      </c>
      <c r="BN1" s="2" t="s">
        <v>62</v>
      </c>
      <c r="BO1" s="2" t="s">
        <v>63</v>
      </c>
      <c r="BP1" s="2" t="s">
        <v>64</v>
      </c>
      <c r="BQ1" s="2" t="s">
        <v>65</v>
      </c>
      <c r="BR1" s="2" t="s">
        <v>66</v>
      </c>
    </row>
    <row r="2" spans="1:70" ht="14.5" customHeight="1" x14ac:dyDescent="0.35">
      <c r="A2" t="s">
        <v>67</v>
      </c>
      <c r="B2" s="8"/>
      <c r="C2" s="9"/>
      <c r="D2" s="10" t="s">
        <v>68</v>
      </c>
      <c r="E2" s="11" t="s">
        <v>69</v>
      </c>
      <c r="F2" s="12" t="s">
        <v>70</v>
      </c>
      <c r="G2" s="13" t="s">
        <v>71</v>
      </c>
      <c r="H2" s="14" t="s">
        <v>72</v>
      </c>
      <c r="I2" t="s">
        <v>73</v>
      </c>
      <c r="J2" s="15" t="s">
        <v>74</v>
      </c>
      <c r="K2" s="15" t="s">
        <v>75</v>
      </c>
      <c r="L2" s="16">
        <f t="shared" ref="L2:L3" ca="1" si="0">TODAY()-31</f>
        <v>45786</v>
      </c>
      <c r="M2" s="11" t="s">
        <v>69</v>
      </c>
      <c r="N2" s="17" t="s">
        <v>76</v>
      </c>
      <c r="O2" s="17" t="s">
        <v>77</v>
      </c>
      <c r="P2" s="17">
        <v>1</v>
      </c>
      <c r="Q2" s="15" t="s">
        <v>78</v>
      </c>
      <c r="R2" s="15" t="s">
        <v>79</v>
      </c>
      <c r="S2" s="15" t="s">
        <v>75</v>
      </c>
      <c r="T2" s="18" t="s">
        <v>80</v>
      </c>
      <c r="U2" s="19" t="s">
        <v>81</v>
      </c>
      <c r="V2" s="15" t="s">
        <v>75</v>
      </c>
      <c r="W2" s="15" t="s">
        <v>82</v>
      </c>
      <c r="X2" s="20">
        <f t="shared" ref="X2:X3" ca="1" si="1">L2</f>
        <v>45786</v>
      </c>
      <c r="Y2" s="16">
        <f t="shared" ref="Y2:Y3" ca="1" si="2">TODAY()+20</f>
        <v>45837</v>
      </c>
      <c r="Z2" s="15" t="s">
        <v>83</v>
      </c>
      <c r="AA2" s="21" t="s">
        <v>84</v>
      </c>
      <c r="AB2" s="22" t="s">
        <v>85</v>
      </c>
      <c r="AC2" s="23" t="s">
        <v>86</v>
      </c>
      <c r="AD2" s="22" t="s">
        <v>87</v>
      </c>
      <c r="AE2" s="11">
        <v>275</v>
      </c>
      <c r="AF2" s="11" t="s">
        <v>61</v>
      </c>
      <c r="AG2" s="24">
        <v>40</v>
      </c>
      <c r="AH2" s="25" t="s">
        <v>88</v>
      </c>
      <c r="AI2" t="s">
        <v>89</v>
      </c>
      <c r="AJ2" s="26" t="s">
        <v>90</v>
      </c>
      <c r="AK2" s="15" t="s">
        <v>91</v>
      </c>
      <c r="AL2" s="15" t="s">
        <v>92</v>
      </c>
      <c r="AM2" t="s">
        <v>93</v>
      </c>
      <c r="AN2" s="15" t="s">
        <v>94</v>
      </c>
      <c r="AO2" s="15" t="s">
        <v>95</v>
      </c>
      <c r="AP2" s="15" t="s">
        <v>96</v>
      </c>
      <c r="AQ2" s="27" t="s">
        <v>97</v>
      </c>
      <c r="AR2" s="22" t="s">
        <v>90</v>
      </c>
      <c r="AS2" s="28" t="s">
        <v>98</v>
      </c>
      <c r="AT2" s="18">
        <f t="shared" ref="AT2:AT3" ca="1" si="3">X2-1</f>
        <v>45785</v>
      </c>
      <c r="AU2" s="18">
        <f t="shared" ref="AU2:AU3" ca="1" si="4">X2-1</f>
        <v>45785</v>
      </c>
      <c r="AV2" s="29" t="str">
        <f t="shared" ref="AV2:AV3" si="5">AJ2</f>
        <v>N/A</v>
      </c>
      <c r="AW2" s="30" t="s">
        <v>90</v>
      </c>
      <c r="AX2" s="30" t="s">
        <v>90</v>
      </c>
      <c r="AY2" s="11" t="s">
        <v>69</v>
      </c>
      <c r="AZ2" s="31" t="s">
        <v>99</v>
      </c>
      <c r="BA2" s="31" t="str">
        <f ca="1">AZ9</f>
        <v>AB76001JC</v>
      </c>
      <c r="BB2" s="11" t="s">
        <v>69</v>
      </c>
      <c r="BC2" s="31" t="s">
        <v>100</v>
      </c>
      <c r="BD2" s="32" t="str">
        <f ca="1">BH9</f>
        <v>MTKBNN10D10A322A</v>
      </c>
      <c r="BE2" t="s">
        <v>101</v>
      </c>
      <c r="BF2" s="33">
        <v>35591</v>
      </c>
      <c r="BG2" s="11" t="s">
        <v>69</v>
      </c>
      <c r="BH2" s="11" t="s">
        <v>102</v>
      </c>
      <c r="BI2" s="11" t="s">
        <v>102</v>
      </c>
      <c r="BJ2" s="11" t="s">
        <v>103</v>
      </c>
      <c r="BK2" s="33" t="s">
        <v>104</v>
      </c>
      <c r="BL2" s="11" t="s">
        <v>69</v>
      </c>
      <c r="BM2" s="11" t="s">
        <v>105</v>
      </c>
      <c r="BN2" s="31" t="s">
        <v>106</v>
      </c>
      <c r="BO2" s="31" t="s">
        <v>107</v>
      </c>
      <c r="BP2" s="31" t="s">
        <v>108</v>
      </c>
      <c r="BQ2" s="31" t="s">
        <v>109</v>
      </c>
      <c r="BR2" s="15" t="s">
        <v>110</v>
      </c>
    </row>
    <row r="3" spans="1:70" ht="14.5" customHeight="1" x14ac:dyDescent="0.35">
      <c r="A3" t="s">
        <v>111</v>
      </c>
      <c r="B3" s="8"/>
      <c r="C3" s="9"/>
      <c r="D3" s="10" t="s">
        <v>112</v>
      </c>
      <c r="E3" s="11" t="s">
        <v>69</v>
      </c>
      <c r="F3" s="12" t="s">
        <v>70</v>
      </c>
      <c r="G3" s="13" t="s">
        <v>113</v>
      </c>
      <c r="H3" s="14" t="s">
        <v>114</v>
      </c>
      <c r="I3" t="s">
        <v>73</v>
      </c>
      <c r="J3" s="15" t="s">
        <v>74</v>
      </c>
      <c r="K3" s="15" t="s">
        <v>75</v>
      </c>
      <c r="L3" s="16">
        <f t="shared" ca="1" si="0"/>
        <v>45786</v>
      </c>
      <c r="M3" s="11" t="s">
        <v>69</v>
      </c>
      <c r="N3" s="17" t="s">
        <v>76</v>
      </c>
      <c r="O3" s="17" t="s">
        <v>77</v>
      </c>
      <c r="P3" s="17">
        <v>1</v>
      </c>
      <c r="Q3" s="15" t="s">
        <v>78</v>
      </c>
      <c r="R3" s="15" t="s">
        <v>79</v>
      </c>
      <c r="S3" s="15" t="s">
        <v>75</v>
      </c>
      <c r="T3" s="18" t="s">
        <v>80</v>
      </c>
      <c r="U3" s="19" t="s">
        <v>81</v>
      </c>
      <c r="V3" s="15" t="s">
        <v>75</v>
      </c>
      <c r="W3" s="15" t="s">
        <v>82</v>
      </c>
      <c r="X3" s="20">
        <f t="shared" ca="1" si="1"/>
        <v>45786</v>
      </c>
      <c r="Y3" s="16">
        <f t="shared" ca="1" si="2"/>
        <v>45837</v>
      </c>
      <c r="Z3" s="15" t="s">
        <v>83</v>
      </c>
      <c r="AA3" s="21" t="s">
        <v>115</v>
      </c>
      <c r="AB3" s="22" t="s">
        <v>85</v>
      </c>
      <c r="AC3" s="23" t="s">
        <v>116</v>
      </c>
      <c r="AD3" s="22" t="s">
        <v>87</v>
      </c>
      <c r="AE3" s="11">
        <v>275</v>
      </c>
      <c r="AF3" s="11" t="s">
        <v>61</v>
      </c>
      <c r="AG3" s="24">
        <v>40</v>
      </c>
      <c r="AH3" s="25" t="s">
        <v>88</v>
      </c>
      <c r="AI3" t="s">
        <v>89</v>
      </c>
      <c r="AJ3" s="26" t="s">
        <v>90</v>
      </c>
      <c r="AK3" s="15" t="s">
        <v>91</v>
      </c>
      <c r="AL3" s="15" t="s">
        <v>117</v>
      </c>
      <c r="AM3" t="s">
        <v>118</v>
      </c>
      <c r="AN3" s="15" t="s">
        <v>94</v>
      </c>
      <c r="AO3" s="15" t="s">
        <v>119</v>
      </c>
      <c r="AP3" s="15" t="s">
        <v>120</v>
      </c>
      <c r="AQ3" s="27" t="s">
        <v>97</v>
      </c>
      <c r="AR3" s="22" t="s">
        <v>90</v>
      </c>
      <c r="AS3" s="28" t="s">
        <v>98</v>
      </c>
      <c r="AT3" s="18">
        <f t="shared" ca="1" si="3"/>
        <v>45785</v>
      </c>
      <c r="AU3" s="18">
        <f t="shared" ca="1" si="4"/>
        <v>45785</v>
      </c>
      <c r="AV3" s="29" t="str">
        <f t="shared" si="5"/>
        <v>N/A</v>
      </c>
      <c r="AW3" s="30" t="s">
        <v>90</v>
      </c>
      <c r="AX3" s="30" t="s">
        <v>90</v>
      </c>
      <c r="AY3" s="11" t="s">
        <v>69</v>
      </c>
      <c r="AZ3" s="31" t="s">
        <v>99</v>
      </c>
      <c r="BA3" s="31" t="str">
        <f ca="1">AZ10</f>
        <v>BA35334CJ</v>
      </c>
      <c r="BB3" s="11" t="s">
        <v>69</v>
      </c>
      <c r="BC3" s="31" t="s">
        <v>100</v>
      </c>
      <c r="BD3" s="32" t="str">
        <f ca="1">BH10</f>
        <v>MTKNBN20D20A694A</v>
      </c>
      <c r="BE3" t="s">
        <v>101</v>
      </c>
      <c r="BF3" s="33">
        <v>35591</v>
      </c>
      <c r="BG3" s="11" t="s">
        <v>69</v>
      </c>
      <c r="BH3" s="11" t="s">
        <v>102</v>
      </c>
      <c r="BI3" s="11" t="s">
        <v>102</v>
      </c>
      <c r="BJ3" s="11" t="s">
        <v>103</v>
      </c>
      <c r="BK3" s="33" t="s">
        <v>104</v>
      </c>
      <c r="BL3" s="11" t="s">
        <v>69</v>
      </c>
      <c r="BM3" s="11" t="s">
        <v>105</v>
      </c>
      <c r="BN3" s="31" t="s">
        <v>106</v>
      </c>
      <c r="BO3" s="31" t="s">
        <v>107</v>
      </c>
      <c r="BP3" s="31" t="s">
        <v>108</v>
      </c>
      <c r="BQ3" s="31" t="s">
        <v>109</v>
      </c>
      <c r="BR3" s="15" t="s">
        <v>110</v>
      </c>
    </row>
    <row r="4" spans="1:70" x14ac:dyDescent="0.25">
      <c r="C4" s="9"/>
      <c r="AZ4" s="7"/>
      <c r="BA4" s="34"/>
    </row>
    <row r="5" spans="1:70" x14ac:dyDescent="0.25">
      <c r="C5" s="9"/>
    </row>
    <row r="6" spans="1:70" x14ac:dyDescent="0.25">
      <c r="C6" s="9"/>
    </row>
    <row r="7" spans="1:70" x14ac:dyDescent="0.25">
      <c r="C7" s="9"/>
    </row>
    <row r="8" spans="1:70" x14ac:dyDescent="0.25">
      <c r="C8" s="9"/>
    </row>
    <row r="9" spans="1:70" ht="14.5" customHeight="1" x14ac:dyDescent="0.25">
      <c r="C9" s="9"/>
      <c r="AW9" t="s">
        <v>121</v>
      </c>
      <c r="AX9">
        <f t="array" aca="1" ref="AX9:AX23" ca="1">_xlfn.RANDARRAY(15,1,12345,99999,TRUE)</f>
        <v>76001</v>
      </c>
      <c r="AY9" t="s">
        <v>122</v>
      </c>
      <c r="AZ9" t="str">
        <f ca="1">AW9&amp;AX9&amp;AY9</f>
        <v>AB76001JC</v>
      </c>
      <c r="BD9" s="32" t="s">
        <v>123</v>
      </c>
      <c r="BE9">
        <f t="array" aca="1" ref="BE9:BE23" ca="1">_xlfn.RANDARRAY(15,1,123,999,TRUE)</f>
        <v>322</v>
      </c>
      <c r="BG9" t="s">
        <v>124</v>
      </c>
      <c r="BH9" t="str">
        <f ca="1">BD9&amp;BE9&amp;BF9&amp;BG9</f>
        <v>MTKBNN10D10A322A</v>
      </c>
    </row>
    <row r="10" spans="1:70" ht="14.5" customHeight="1" x14ac:dyDescent="0.25">
      <c r="C10" s="9"/>
      <c r="AW10" t="s">
        <v>125</v>
      </c>
      <c r="AX10">
        <f ca="1"/>
        <v>35334</v>
      </c>
      <c r="AY10" t="s">
        <v>126</v>
      </c>
      <c r="AZ10" t="str">
        <f t="shared" ref="AZ10:AZ23" ca="1" si="6">AW10&amp;AX10&amp;AY10</f>
        <v>BA35334CJ</v>
      </c>
      <c r="BD10" s="32" t="s">
        <v>127</v>
      </c>
      <c r="BE10">
        <f ca="1"/>
        <v>694</v>
      </c>
      <c r="BG10" t="s">
        <v>124</v>
      </c>
      <c r="BH10" t="str">
        <f t="shared" ref="BH10:BH23" ca="1" si="7">BD10&amp;BE10&amp;BF10&amp;BG10</f>
        <v>MTKNBN20D20A694A</v>
      </c>
    </row>
    <row r="11" spans="1:70" ht="14.5" customHeight="1" x14ac:dyDescent="0.25">
      <c r="C11" s="9"/>
      <c r="AW11" t="s">
        <v>121</v>
      </c>
      <c r="AX11">
        <f ca="1"/>
        <v>75717</v>
      </c>
      <c r="AY11" t="s">
        <v>122</v>
      </c>
      <c r="AZ11" t="str">
        <f t="shared" ca="1" si="6"/>
        <v>AB75717JC</v>
      </c>
      <c r="BD11" s="32" t="s">
        <v>123</v>
      </c>
      <c r="BE11">
        <f ca="1"/>
        <v>962</v>
      </c>
      <c r="BG11" t="s">
        <v>124</v>
      </c>
      <c r="BH11" t="str">
        <f t="shared" ca="1" si="7"/>
        <v>MTKBNN10D10A962A</v>
      </c>
    </row>
    <row r="12" spans="1:70" ht="14.5" customHeight="1" x14ac:dyDescent="0.25">
      <c r="C12" s="9"/>
      <c r="AW12" t="s">
        <v>125</v>
      </c>
      <c r="AX12">
        <f ca="1"/>
        <v>35938</v>
      </c>
      <c r="AY12" t="s">
        <v>126</v>
      </c>
      <c r="AZ12" t="str">
        <f t="shared" ca="1" si="6"/>
        <v>BA35938CJ</v>
      </c>
      <c r="BD12" s="32" t="s">
        <v>127</v>
      </c>
      <c r="BE12">
        <f ca="1"/>
        <v>949</v>
      </c>
      <c r="BG12" t="s">
        <v>124</v>
      </c>
      <c r="BH12" t="str">
        <f t="shared" ca="1" si="7"/>
        <v>MTKNBN20D20A949A</v>
      </c>
    </row>
    <row r="13" spans="1:70" ht="14.5" customHeight="1" x14ac:dyDescent="0.25">
      <c r="C13" s="9"/>
      <c r="AW13" t="s">
        <v>121</v>
      </c>
      <c r="AX13">
        <f ca="1"/>
        <v>16553</v>
      </c>
      <c r="AY13" t="s">
        <v>122</v>
      </c>
      <c r="AZ13" t="str">
        <f t="shared" ca="1" si="6"/>
        <v>AB16553JC</v>
      </c>
      <c r="BD13" s="32" t="s">
        <v>123</v>
      </c>
      <c r="BE13">
        <f ca="1"/>
        <v>476</v>
      </c>
      <c r="BG13" t="s">
        <v>124</v>
      </c>
      <c r="BH13" t="str">
        <f t="shared" ca="1" si="7"/>
        <v>MTKBNN10D10A476A</v>
      </c>
    </row>
    <row r="14" spans="1:70" ht="14.5" customHeight="1" x14ac:dyDescent="0.25">
      <c r="C14" s="9"/>
      <c r="AW14" t="s">
        <v>125</v>
      </c>
      <c r="AX14">
        <f ca="1"/>
        <v>48038</v>
      </c>
      <c r="AY14" t="s">
        <v>126</v>
      </c>
      <c r="AZ14" t="str">
        <f t="shared" ca="1" si="6"/>
        <v>BA48038CJ</v>
      </c>
      <c r="BD14" s="32" t="s">
        <v>127</v>
      </c>
      <c r="BE14">
        <f ca="1"/>
        <v>382</v>
      </c>
      <c r="BG14" t="s">
        <v>124</v>
      </c>
      <c r="BH14" t="str">
        <f t="shared" ca="1" si="7"/>
        <v>MTKNBN20D20A382A</v>
      </c>
    </row>
    <row r="15" spans="1:70" ht="14.5" customHeight="1" x14ac:dyDescent="0.25">
      <c r="C15" s="9"/>
      <c r="AW15" t="s">
        <v>121</v>
      </c>
      <c r="AX15">
        <f ca="1"/>
        <v>93019</v>
      </c>
      <c r="AY15" t="s">
        <v>122</v>
      </c>
      <c r="AZ15" t="str">
        <f t="shared" ca="1" si="6"/>
        <v>AB93019JC</v>
      </c>
      <c r="BD15" s="32" t="s">
        <v>123</v>
      </c>
      <c r="BE15">
        <f ca="1"/>
        <v>907</v>
      </c>
      <c r="BG15" t="s">
        <v>124</v>
      </c>
      <c r="BH15" t="str">
        <f t="shared" ca="1" si="7"/>
        <v>MTKBNN10D10A907A</v>
      </c>
    </row>
    <row r="16" spans="1:70" ht="14.5" customHeight="1" x14ac:dyDescent="0.25">
      <c r="C16" s="9"/>
      <c r="AW16" t="s">
        <v>125</v>
      </c>
      <c r="AX16">
        <f ca="1"/>
        <v>12745</v>
      </c>
      <c r="AY16" t="s">
        <v>126</v>
      </c>
      <c r="AZ16" t="str">
        <f t="shared" ca="1" si="6"/>
        <v>BA12745CJ</v>
      </c>
      <c r="BD16" s="32" t="s">
        <v>127</v>
      </c>
      <c r="BE16">
        <f ca="1"/>
        <v>784</v>
      </c>
      <c r="BG16" t="s">
        <v>124</v>
      </c>
      <c r="BH16" t="str">
        <f t="shared" ca="1" si="7"/>
        <v>MTKNBN20D20A784A</v>
      </c>
    </row>
    <row r="17" spans="3:60" ht="14.5" customHeight="1" x14ac:dyDescent="0.25">
      <c r="C17" s="9"/>
      <c r="AW17" t="s">
        <v>121</v>
      </c>
      <c r="AX17">
        <f ca="1"/>
        <v>47691</v>
      </c>
      <c r="AY17" t="s">
        <v>122</v>
      </c>
      <c r="AZ17" t="str">
        <f t="shared" ca="1" si="6"/>
        <v>AB47691JC</v>
      </c>
      <c r="BD17" s="32" t="s">
        <v>123</v>
      </c>
      <c r="BE17">
        <f ca="1"/>
        <v>487</v>
      </c>
      <c r="BG17" t="s">
        <v>124</v>
      </c>
      <c r="BH17" t="str">
        <f t="shared" ca="1" si="7"/>
        <v>MTKBNN10D10A487A</v>
      </c>
    </row>
    <row r="18" spans="3:60" ht="14.5" customHeight="1" x14ac:dyDescent="0.25">
      <c r="C18" s="9"/>
      <c r="AW18" t="s">
        <v>125</v>
      </c>
      <c r="AX18">
        <f ca="1"/>
        <v>70762</v>
      </c>
      <c r="AY18" t="s">
        <v>126</v>
      </c>
      <c r="AZ18" t="str">
        <f t="shared" ca="1" si="6"/>
        <v>BA70762CJ</v>
      </c>
      <c r="BD18" s="32" t="s">
        <v>127</v>
      </c>
      <c r="BE18">
        <f ca="1"/>
        <v>890</v>
      </c>
      <c r="BG18" t="s">
        <v>124</v>
      </c>
      <c r="BH18" t="str">
        <f t="shared" ca="1" si="7"/>
        <v>MTKNBN20D20A890A</v>
      </c>
    </row>
    <row r="19" spans="3:60" ht="14.5" customHeight="1" x14ac:dyDescent="0.25">
      <c r="AW19" t="s">
        <v>121</v>
      </c>
      <c r="AX19">
        <f ca="1"/>
        <v>63720</v>
      </c>
      <c r="AY19" t="s">
        <v>122</v>
      </c>
      <c r="AZ19" t="str">
        <f t="shared" ca="1" si="6"/>
        <v>AB63720JC</v>
      </c>
      <c r="BD19" s="32" t="s">
        <v>123</v>
      </c>
      <c r="BE19">
        <f ca="1"/>
        <v>129</v>
      </c>
      <c r="BG19" t="s">
        <v>124</v>
      </c>
      <c r="BH19" t="str">
        <f t="shared" ca="1" si="7"/>
        <v>MTKBNN10D10A129A</v>
      </c>
    </row>
    <row r="20" spans="3:60" ht="14.5" customHeight="1" x14ac:dyDescent="0.25">
      <c r="AW20" t="s">
        <v>125</v>
      </c>
      <c r="AX20">
        <f ca="1"/>
        <v>43549</v>
      </c>
      <c r="AY20" t="s">
        <v>126</v>
      </c>
      <c r="AZ20" t="str">
        <f t="shared" ca="1" si="6"/>
        <v>BA43549CJ</v>
      </c>
      <c r="BD20" s="32" t="s">
        <v>127</v>
      </c>
      <c r="BE20">
        <f ca="1"/>
        <v>676</v>
      </c>
      <c r="BG20" t="s">
        <v>124</v>
      </c>
      <c r="BH20" t="str">
        <f t="shared" ca="1" si="7"/>
        <v>MTKNBN20D20A676A</v>
      </c>
    </row>
    <row r="21" spans="3:60" ht="14.5" customHeight="1" x14ac:dyDescent="0.25">
      <c r="AW21" t="s">
        <v>121</v>
      </c>
      <c r="AX21">
        <f ca="1"/>
        <v>18605</v>
      </c>
      <c r="AY21" t="s">
        <v>122</v>
      </c>
      <c r="AZ21" t="str">
        <f t="shared" ca="1" si="6"/>
        <v>AB18605JC</v>
      </c>
      <c r="BD21" s="32" t="s">
        <v>123</v>
      </c>
      <c r="BE21">
        <f ca="1"/>
        <v>201</v>
      </c>
      <c r="BG21" t="s">
        <v>124</v>
      </c>
      <c r="BH21" t="str">
        <f t="shared" ca="1" si="7"/>
        <v>MTKBNN10D10A201A</v>
      </c>
    </row>
    <row r="22" spans="3:60" ht="14.5" customHeight="1" x14ac:dyDescent="0.35">
      <c r="AW22" t="s">
        <v>125</v>
      </c>
      <c r="AX22">
        <f ca="1"/>
        <v>65277</v>
      </c>
      <c r="AY22" t="s">
        <v>126</v>
      </c>
      <c r="AZ22" t="str">
        <f t="shared" ca="1" si="6"/>
        <v>BA65277CJ</v>
      </c>
      <c r="BD22" s="32" t="s">
        <v>127</v>
      </c>
      <c r="BE22">
        <f ca="1"/>
        <v>730</v>
      </c>
      <c r="BG22" t="s">
        <v>124</v>
      </c>
      <c r="BH22" t="str">
        <f t="shared" ca="1" si="7"/>
        <v>MTKNBN20D20A730A</v>
      </c>
    </row>
    <row r="23" spans="3:60" ht="14.5" customHeight="1" x14ac:dyDescent="0.35">
      <c r="AW23" t="s">
        <v>121</v>
      </c>
      <c r="AX23">
        <f ca="1"/>
        <v>60009</v>
      </c>
      <c r="AY23" t="s">
        <v>122</v>
      </c>
      <c r="AZ23" t="str">
        <f t="shared" ca="1" si="6"/>
        <v>AB60009JC</v>
      </c>
      <c r="BD23" s="32" t="s">
        <v>123</v>
      </c>
      <c r="BE23">
        <f ca="1"/>
        <v>850</v>
      </c>
      <c r="BG23" t="s">
        <v>124</v>
      </c>
      <c r="BH23" t="str">
        <f t="shared" ca="1" si="7"/>
        <v>MTKBNN10D10A850A</v>
      </c>
    </row>
  </sheetData>
  <dataValidations count="1">
    <dataValidation type="list" allowBlank="1" showInputMessage="1" showErrorMessage="1" sqref="AS2:AS3 Z2:Z3 V2:V3 S2:S3 K2:K3 BQ2:BQ3" xr:uid="{00000000-0002-0000-0000-000000000000}">
      <formula1>INDIRECT($E2)</formula1>
    </dataValidation>
  </dataValidations>
  <hyperlinks>
    <hyperlink ref="I2" r:id="rId1" xr:uid="{00000000-0004-0000-0000-000000000000}"/>
    <hyperlink ref="U2" r:id="rId2" xr:uid="{00000000-0004-0000-0000-000001000000}"/>
    <hyperlink ref="AH2" r:id="rId3" xr:uid="{00000000-0004-0000-0000-000002000000}"/>
    <hyperlink ref="I3" r:id="rId4" xr:uid="{00000000-0004-0000-0000-000003000000}"/>
    <hyperlink ref="U3" r:id="rId5" xr:uid="{00000000-0004-0000-0000-000004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2025-06-09T05:15:06Z</dcterms:modified>
</cp:coreProperties>
</file>