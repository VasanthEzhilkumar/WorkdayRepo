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updateLinks="never" defaultThemeVersion="124226"/>
  <mc:AlternateContent xmlns:mc="http://schemas.openxmlformats.org/markup-compatibility/2006">
    <mc:Choice Requires="x15">
      <x15ac:absPath xmlns:x15ac="http://schemas.microsoft.com/office/spreadsheetml/2010/11/ac" url="https://primark-my.sharepoint.com/personal/ampercival_primark_ie/Documents/Desktop/WFM/WFM Czech/"/>
    </mc:Choice>
  </mc:AlternateContent>
  <xr:revisionPtr revIDLastSave="20" documentId="8_{93A32C01-0A5C-4C03-AE8C-54BB757321ED}" xr6:coauthVersionLast="47" xr6:coauthVersionMax="47" xr10:uidLastSave="{2F20DFC5-EE60-43EB-9DFF-C3B2096F7434}"/>
  <bookViews>
    <workbookView xWindow="-28920" yWindow="-60" windowWidth="29040" windowHeight="15720" tabRatio="404" firstSheet="1" activeTab="1" xr2:uid="{00000000-000D-0000-FFFF-FFFF00000000}"/>
  </bookViews>
  <sheets>
    <sheet name="Information" sheetId="42" r:id="rId1"/>
    <sheet name="Test_Data" sheetId="38" r:id="rId2"/>
    <sheet name="Sheet1" sheetId="45" state="hidden" r:id="rId3"/>
    <sheet name="Defects" sheetId="43" state="hidden" r:id="rId4"/>
    <sheet name="Automation_Lookups" sheetId="39" r:id="rId5"/>
    <sheet name="RC. No" sheetId="44" state="hidden" r:id="rId6"/>
    <sheet name="Code_11122019_1000" sheetId="40" state="hidden" r:id="rId7"/>
    <sheet name="Names" sheetId="41" state="hidden" r:id="rId8"/>
  </sheets>
  <definedNames>
    <definedName name="AddProbationPeriod_EndDate">Test_Data!$F$38</definedName>
    <definedName name="AddProbationPeriod_ProbationEndDate">Test_Data!#REF!</definedName>
    <definedName name="AddProbationPeriod_ProbationEndDate2">Automation_Lookups!$BB$2:$BB$4</definedName>
    <definedName name="AddProbationPeriod_StartDate">Test_Data!$F$37</definedName>
    <definedName name="AssignPayGroup_ProposedPayGroup" localSheetId="1">Test_Data!#REF!</definedName>
    <definedName name="AssignPayGroup_ProposedPayGroup">Automation_Lookups!$AH$2:$AH$20</definedName>
    <definedName name="AssignPayGroup_ProposedPayGroup2">Automation_Lookups!$AH$2</definedName>
    <definedName name="AssignPayGroup_ProposedPayGroupFinal">Test_Data!#REF!</definedName>
    <definedName name="Automation_Ref">Test_Data!#REF!</definedName>
    <definedName name="AutomationComments">Test_Data!$F$9</definedName>
    <definedName name="ChangeJob_AssignCollectiveAgreement_CollectiveAgreement">Test_Data!$F$42</definedName>
    <definedName name="ChangeJob_AssignCollectiveAgreement_Level">Test_Data!$F$44</definedName>
    <definedName name="ChangeJob_AssignCollectiveAgreement_ProfessionalCategory">Test_Data!$F$43</definedName>
    <definedName name="ChangeJob_Company_CostCentre">Test_Data!$F$35</definedName>
    <definedName name="ChangeJob_Company_Department">Test_Data!$F$36</definedName>
    <definedName name="ChangeJob_JobClassifications_AdditionalJobClassifications">Test_Data!$F$27</definedName>
    <definedName name="ChangeJob_JobClassifications_AssignmentType">Test_Data!$F$33</definedName>
    <definedName name="ChangeJob_JobClassifications_DefaultWeeklyHours">Test_Data!$F$31</definedName>
    <definedName name="ChangeJob_JobClassifications_EmployeeType">Test_Data!$F$28</definedName>
    <definedName name="ChangeJob_JobClassifications_EndEmploymentDate">Test_Data!$F$32</definedName>
    <definedName name="ChangeJob_JobClassifications_FirstDayofWork">Test_Data!$F$34</definedName>
    <definedName name="ChangeJob_JobClassifications_PayRateType">Test_Data!$F$30</definedName>
    <definedName name="ChangeJob_JobClassifications_TimeType">Test_Data!$F$29</definedName>
    <definedName name="ChangeJob_JobProfile_JobProfile">Test_Data!$F$22</definedName>
    <definedName name="ChangeJob_JobProfile_JobTitle">Test_Data!$F$23</definedName>
    <definedName name="ChangeJob_LocationDetails_Location">Test_Data!$F$24</definedName>
    <definedName name="ChangeJob_LocationDetails_ScheduledWeeklyHours">Test_Data!$F$25</definedName>
    <definedName name="ChangeJob_LocationDetails_WorkShift">Test_Data!$F$26</definedName>
    <definedName name="ChangeJob_LocationDetails_WorkShift2">Automation_Lookups!$I$2:$I$6</definedName>
    <definedName name="ChangeJob_Start_EffectiveDate">Test_Data!$F$16</definedName>
    <definedName name="ChangeJob_Start_NewLocation">Test_Data!$F$20</definedName>
    <definedName name="ChangeJob_Start_NewLocation2">Automation_Lookups!$G$2:$G$3</definedName>
    <definedName name="ChangeJob_Start_NewManager">Test_Data!$F$18</definedName>
    <definedName name="ChangeJob_Start_NewManager2">Automation_Lookups!$E$2:$E$3</definedName>
    <definedName name="ChangeJob_Start_NewTeam">Test_Data!$F$19</definedName>
    <definedName name="ChangeJob_Start_NewTeam2">Automation_Lookups!$F$2:$F$3</definedName>
    <definedName name="ChangeJob_Start_NextPayPeriod">Test_Data!$F$21</definedName>
    <definedName name="ChangeJob_Start_NextPayPeriod2">Automation_Lookups!$H$2:$H$3</definedName>
    <definedName name="ChangeJob_Start_NextPayPeriod22">Automation_Lookups!$I$2:$I$6</definedName>
    <definedName name="ChangeJob_Start_Reason">Test_Data!$F$17</definedName>
    <definedName name="ChangeJob_Start_Reason2">Automation_Lookups!$D$2:$D$3</definedName>
    <definedName name="ChangeMyEmergencyContacts_City">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PhoneDevice">Test_Data!#REF!</definedName>
    <definedName name="ChangeMyEmergencyContacts_PhoneDevice2">Automation_Lookups!$AX$2:$AX$3</definedName>
    <definedName name="ChangeMyEmergencyContacts_PhoneNumber">Test_Data!#REF!</definedName>
    <definedName name="ChangeMyEmergencyContacts_PostalCode">Test_Data!#REF!</definedName>
    <definedName name="ChangeMyEmergencyContacts_Relationship">Test_Data!#REF!</definedName>
    <definedName name="ChangeMyEmergencyContacts_Relationship2">Automation_Lookups!$AW$2:$AW$5</definedName>
    <definedName name="ChangeMyEmergencyContacts_StreetName">Test_Data!#REF!</definedName>
    <definedName name="ChangeMyGovernmentIDs_NationalIDs_AddEditID">Test_Data!#REF!</definedName>
    <definedName name="ChangeMyGovernmentIDs_NationalIDs_AddEditID1">Test_Data!#REF!</definedName>
    <definedName name="ChangeMyGovernmentIDs_NationalIDs_AddEditID2">Test_Data!#REF!</definedName>
    <definedName name="ChangeMyGovernmentIDs_NationalIDs_Country1">Test_Data!#REF!</definedName>
    <definedName name="ChangeMyGovernmentIDs_NationalIDs_Country2">Test_Data!#REF!</definedName>
    <definedName name="ChangeMyGovernmentIDs_NationalIDs_NationalIDType1">Test_Data!#REF!</definedName>
    <definedName name="ChangeMyGovernmentIDs_NationalIDs_NationalIDType12">Automation_Lookups!$BH$2</definedName>
    <definedName name="ChangeMyGovernmentIDs_NationalIDs_NationalIDType2" localSheetId="1">Test_Data!#REF!</definedName>
    <definedName name="ChangeMyGovernmentIDs_NationalIDs_NationalIDType22">Automation_Lookups!$BI$2</definedName>
    <definedName name="ChangeMyPersonalInformation_CitizenshipStatus">Test_Data!#REF!</definedName>
    <definedName name="ChangeMyPersonalInformation_CityOfBirth">Test_Data!#REF!</definedName>
    <definedName name="ChangeMyPersonalInformation_CountryTerritoryOfBirth">Test_Data!#REF!</definedName>
    <definedName name="ChangeMyPersonalInformation_DateOfBirth">Test_Data!#REF!</definedName>
    <definedName name="ChangeMyPersonalInformation_Gender">Test_Data!#REF!</definedName>
    <definedName name="ChangeMyPersonalInformation_MaritalStatus">Test_Data!#REF!</definedName>
    <definedName name="ChangeMyPersonalInformation_MaritalStatus2">Automation_Lookups!$AV$2:$AV$4</definedName>
    <definedName name="ChangeMyPersonalInformation_MaritalStatusDate">Test_Data!#REF!</definedName>
    <definedName name="ChangeMyPersonalInformation_PrimaryNationality">Test_Data!#REF!</definedName>
    <definedName name="ChangeMyPersonalInformation_RegionOfBirth">Test_Data!#REF!</definedName>
    <definedName name="ChangeOrganizationAssignments_CostCenter">Test_Data!#REF!</definedName>
    <definedName name="ChangeOrganizationAssignments_DepartmentSection">Test_Data!#REF!</definedName>
    <definedName name="ChangeOrganizationAssignments_DepartmentSection2">Automation_Lookups!$AG$2</definedName>
    <definedName name="ChangeOrganizationAssignments_Other_Organizations" localSheetId="1">Test_Data!#REF!</definedName>
    <definedName name="ChangeOrganizationAssignments_Other_Organizations">Automation_Lookups!$AG$2:$AG$20</definedName>
    <definedName name="ChangeOrganizationAssignments_Other_Organizations2">Automation_Lookups!$AG$2</definedName>
    <definedName name="ContactInformation_Address_City">Test_Data!$F$25</definedName>
    <definedName name="ContactInformation_Address_Country">Test_Data!$F$21</definedName>
    <definedName name="ContactInformation_Address_EffectiveDate">Test_Data!$F$20</definedName>
    <definedName name="ContactInformation_Address_HouseNumber">Test_Data!$F$23</definedName>
    <definedName name="ContactInformation_Address_NameOfStreet">Test_Data!$F$22</definedName>
    <definedName name="ContactInformation_Address_PostalCode">Test_Data!$F$24</definedName>
    <definedName name="ContactInformation_Address_Province">Test_Data!$F$26</definedName>
    <definedName name="ContactInformation_Address_Province2">Automation_Lookups!$BG$2</definedName>
    <definedName name="ContactInformation_Address_Type" localSheetId="1">Test_Data!$F$27</definedName>
    <definedName name="ContactInformation_Address_Type">Automation_Lookups!$V$2:$V$20</definedName>
    <definedName name="ContactInformation_Address_Type2">Automation_Lookups!$V$2:$V$3</definedName>
    <definedName name="ContactInformation_Address_UseFor">Test_Data!$F$28</definedName>
    <definedName name="ContactInformation_Email_EmailAddress">Test_Data!$F$29</definedName>
    <definedName name="ContactInformation_Email_Type" localSheetId="1">Test_Data!$F$30</definedName>
    <definedName name="ContactInformation_Email_Type">Automation_Lookups!$W$2:$W$20</definedName>
    <definedName name="ContactInformation_Email_Type2">Automation_Lookups!$W$2:$W$3</definedName>
    <definedName name="ContactInformation_Phone_CountryPhoneCode">Automation_Lookups!$S$2:$S$3</definedName>
    <definedName name="ContactInformation_Phone_CountryPhoneCode2">Automation_Lookups!$S$2:$S$3</definedName>
    <definedName name="ContactInformation_Phone_PhoneDevice" localSheetId="1">Test_Data!$F$18</definedName>
    <definedName name="ContactInformation_Phone_PhoneDevice">Automation_Lookups!$T$2:$T$20</definedName>
    <definedName name="ContactInformation_Phone_PhoneDevice2">Automation_Lookups!$T$2:$T$3</definedName>
    <definedName name="ContactInformation_Phone_PhoneNumber">Test_Data!$F$17</definedName>
    <definedName name="ContactInformation_Phone_Type" localSheetId="1">Test_Data!$F$19</definedName>
    <definedName name="ContactInformation_Phone_Type">Automation_Lookups!$U$2:$U$20</definedName>
    <definedName name="ContactInformation_Phone_Type2">Automation_Lookups!$U$2:$U$3</definedName>
    <definedName name="ContractAddendumInfo_AddendumCreationDate">Test_Data!$F$47</definedName>
    <definedName name="ContractAddendumInfo_AddendumEndDate">Test_Data!$F$46</definedName>
    <definedName name="ContractAddendumInfo_TerminateAddendumEffectiveDate">Test_Data!$F$45</definedName>
    <definedName name="ContractAddendumInfo_TerminateAddendumEffectiveDate2">Test_Data!$F$46:$F$47</definedName>
    <definedName name="Country">Test_Data!$F$5</definedName>
    <definedName name="Country2">Automation_Lookups!$C$2:$C$3</definedName>
    <definedName name="DefectDescription">Test_Data!$F$8</definedName>
    <definedName name="EditAdditionalData_EstadolIRPF">Test_Data!#REF!</definedName>
    <definedName name="EditAdditionalData_EstadolIRPF2">Automation_Lookups!$BJ$2</definedName>
    <definedName name="EditAdditionalData_HourlyRegime">Test_Data!$F$40</definedName>
    <definedName name="EditAdditionalData_MinusvaliaRH">Test_Data!#REF!</definedName>
    <definedName name="EditAdditionalData_MinusvaliaRH2">Automation_Lookups!$BK$2</definedName>
    <definedName name="EditAdditionalData_PayrollTaxDeduction">Automation_Lookups!$BC$2:$BC$20</definedName>
    <definedName name="EditPassportsandVisas_Country">Test_Data!#REF!</definedName>
    <definedName name="EditPassportsandVisas_ExpirationDate">Test_Data!#REF!</definedName>
    <definedName name="EditPassportsandVisas_IdentificationNo">Test_Data!#REF!</definedName>
    <definedName name="EditPassportsandVisas_IssuedDate">Test_Data!#REF!</definedName>
    <definedName name="EditPassportsandVisas_PassportIDType">Test_Data!#REF!</definedName>
    <definedName name="EditServiceDates_SeniorityDate">Test_Data!#REF!</definedName>
    <definedName name="Execution_Flag">Automation_Lookups!$B$2:$B$3</definedName>
    <definedName name="Execution_Status">Automation_Lookups!$A$2:$A$20</definedName>
    <definedName name="ExecutionFlag" localSheetId="1">Test_Data!$F$4</definedName>
    <definedName name="ExecutionFlag">Automation_Lookups!$B$2:$B$3</definedName>
    <definedName name="ExecutionFlag2">Automation_Lookups!$B$2:$B$3</definedName>
    <definedName name="HealthCareProvider_HealthInsuranceCompany">Test_Data!#REF!</definedName>
    <definedName name="HealthCareProvider_MealVoucher">Test_Data!#REF!</definedName>
    <definedName name="HealthCareProvider_MealVoucher2">Automation_Lookups!$BD$2:$BD$3</definedName>
    <definedName name="JobDetails_AdditionalInformation_AdditionalJobClassifications">Test_Data!#REF!</definedName>
    <definedName name="JobDetails_AdditionalInformation_Comments">Test_Data!#REF!</definedName>
    <definedName name="JobDetails_AdditionalInformation_EndEmploymentDate">Test_Data!#REF!</definedName>
    <definedName name="JobDetails_AdditionalInformation_EndEmploymentDate2">Automation_Lookups!$AF$2:$AF$5</definedName>
    <definedName name="JobDetails_AdditionalInformation_ScheduledWeeklyHours">Test_Data!#REF!</definedName>
    <definedName name="JobDetails_AdditionalInformation_WorkShift" localSheetId="1">Test_Data!#REF!</definedName>
    <definedName name="JobDetails_AdditionalInformation_WorkShift">Automation_Lookups!$AE$2:$AE$20</definedName>
    <definedName name="JobDetails_AdditionalInformation_WorkShift2">Automation_Lookups!$AE$2:$AE$6</definedName>
    <definedName name="JobDetails_EmployeeType" localSheetId="1">Test_Data!$F$36</definedName>
    <definedName name="JobDetails_EmployeeType">Automation_Lookups!$AA$2:$AA$20</definedName>
    <definedName name="JobDetails_EmployeeType2">Automation_Lookups!$AA$2:$AA$5</definedName>
    <definedName name="JobDetails_HireDate">Test_Data!$F$31</definedName>
    <definedName name="JobDetails_HireDate2">Automation_Lookups!$X$2:$X$4</definedName>
    <definedName name="JobDetails_JobProfile" localSheetId="1">Test_Data!$F$37</definedName>
    <definedName name="JobDetails_JobProfile">Automation_Lookups!$AB$3:$AB$21</definedName>
    <definedName name="JobDetails_JobProfile2">Automation_Lookups!$AB$2:$AB$15</definedName>
    <definedName name="JobDetails_Location">Test_Data!#REF!</definedName>
    <definedName name="JobDetails_Location2">Automation_Lookups!$AD$2:$AD$3</definedName>
    <definedName name="JobDetails_Position">Test_Data!$F$35</definedName>
    <definedName name="JobDetails_Position2">Automation_Lookups!$Z$2:$Z$5</definedName>
    <definedName name="JobDetails_Reason" localSheetId="1">Test_Data!$F$32</definedName>
    <definedName name="JobDetails_Reason">Automation_Lookups!$Y$2:$Y$20</definedName>
    <definedName name="JobDetails_Reason2">Automation_Lookups!$Y$2</definedName>
    <definedName name="JobDetails_ScheduledWeeklyHours">Test_Data!#REF!</definedName>
    <definedName name="JobDetails_TimeType" localSheetId="1">Test_Data!$F$38</definedName>
    <definedName name="JobDetails_TimeType">Automation_Lookups!$AC$2:$AC$20</definedName>
    <definedName name="JobDetails_TimeType2">Automation_Lookups!$AC$2:$AC$3</definedName>
    <definedName name="LastRunEmployeeNo">Test_Data!#REF!</definedName>
    <definedName name="LastRunErrorMessage">Test_Data!$F$7</definedName>
    <definedName name="LastRunTimeandStatus">Test_Data!$F$6</definedName>
    <definedName name="LegalNameInformation_Country" localSheetId="1">Test_Data!#REF!</definedName>
    <definedName name="LegalNameInformation_Country">Automation_Lookups!$R$2:$R$3</definedName>
    <definedName name="LegalNameInformation_Country2">Automation_Lookups!$R$2:$R$3</definedName>
    <definedName name="LegalNameInformation_FamilyName">Test_Data!#REF!</definedName>
    <definedName name="LegalNameInformation_FirstLastName">Test_Data!#REF!</definedName>
    <definedName name="LegalNameInformation_GivenName">Test_Data!$F$15</definedName>
    <definedName name="LegalNameInformation_SecondLastName">Test_Data!$F$16</definedName>
    <definedName name="Login_Password">Test_Data!$F$14</definedName>
    <definedName name="Login_Username">Test_Data!$F$13</definedName>
    <definedName name="Login_Username2">Test_Data!$F$14:$F$38</definedName>
    <definedName name="MaintainEmployeeContract_ContractEndDate">Test_Data!#REF!</definedName>
    <definedName name="MaintainEmployeeContract_ContractEndDate2">Automation_Lookups!$AN$2:$AN$5</definedName>
    <definedName name="MaintainEmployeeContract_ContractStartDate">Test_Data!#REF!</definedName>
    <definedName name="MaintainEmployeeContract_ContractType" localSheetId="1">Test_Data!#REF!</definedName>
    <definedName name="MaintainEmployeeContract_ContractType">Automation_Lookups!$AM$2:$AM$21</definedName>
    <definedName name="MaintainEmployeeContract_ContractType2">Automation_Lookups!$AM$2:$AM$4</definedName>
    <definedName name="MaintainEmployeeContract_Reason">Automation_Lookups!$AK$2:$AK$20</definedName>
    <definedName name="MaintainEmployeeContract_Reason2">Automation_Lookups!$AK$2:$AK$5</definedName>
    <definedName name="MaintainEmployeeContract_Status" localSheetId="1">Test_Data!#REF!</definedName>
    <definedName name="MaintainEmployeeContract_Status">Automation_Lookups!$AL$2:$AL$20</definedName>
    <definedName name="MaintainEmployeeContract_Status2">Automation_Lookups!$AL$2:$AL$6</definedName>
    <definedName name="Order_Buyer">Test_Data!#REF!</definedName>
    <definedName name="Order_BuyingOfficeZone">Test_Data!#REF!</definedName>
    <definedName name="Order_Department">Test_Data!#REF!</definedName>
    <definedName name="Order_Vendor">Test_Data!#REF!</definedName>
    <definedName name="PaymentElectionOption_AccountType">Test_Data!#REF!</definedName>
    <definedName name="PaymentElectionOption_AccountType2">Automation_Lookups!$AZ$2:$AZ$3</definedName>
    <definedName name="PaymentElectionOption_AccountType22">Automation_Lookups!$BA$2:$BA$3</definedName>
    <definedName name="PaymentElectionOption_BankCode">Test_Data!#REF!</definedName>
    <definedName name="PaymentElectionOption_IBAN">Test_Data!#REF!</definedName>
    <definedName name="Please_select_a_Spanish_Pay_Group">Automation_Lookups!$AH$3</definedName>
    <definedName name="PO_No">Test_Data!#REF!</definedName>
    <definedName name="Poland">Automation_Lookups!$S$2</definedName>
    <definedName name="Process" localSheetId="1">Test_Data!$F$3</definedName>
    <definedName name="Process">Automation_Lookups!$A$2</definedName>
    <definedName name="Process2">Automation_Lookups!$A$2:$A$3</definedName>
    <definedName name="ProposeCompensationChange_Salary">Test_Data!$F$39</definedName>
    <definedName name="ProposeCompensationHire_GradeProfile" localSheetId="1">Test_Data!$F$40</definedName>
    <definedName name="ProposeCompensationHire_GradeProfile">Automation_Lookups!$BD$2:$BD$20</definedName>
    <definedName name="ProposeCompensationHire_GradeProfile2" localSheetId="1">Test_Data!$F$41:$F$44</definedName>
    <definedName name="ProposeCompensationHire_GradeProfile2">Automation_Lookups!$AO$2</definedName>
    <definedName name="ProposeCompensationHire_Salary">Test_Data!#REF!</definedName>
    <definedName name="ProposeCompensationHire_Step" localSheetId="1">Test_Data!$F$41</definedName>
    <definedName name="ProposeCompensationHire_Step">Automation_Lookups!$BE$2:$BE$21</definedName>
    <definedName name="ProposeCompensationHire_Step2">Automation_Lookups!$AP$2</definedName>
    <definedName name="Proxy_EmployeeFullTitle">Test_Data!#REF!</definedName>
    <definedName name="Proxy_EmployeeID">Test_Data!$F$15</definedName>
    <definedName name="Proxy_OnBehalfOf" localSheetId="1">Test_Data!#REF!</definedName>
    <definedName name="Proxy_OnBehalfOf">Automation_Lookups!$AJ$2:$AJ$20</definedName>
    <definedName name="Proxy_OnBehalfOf2">Automation_Lookups!$AJ$2:$AJ$3</definedName>
    <definedName name="Proxy_PCManagerFullTitle">Test_Data!#REF!</definedName>
    <definedName name="Proxy_PCManagerID">Test_Data!#REF!</definedName>
    <definedName name="Proxy_ProxyNumber" localSheetId="1">Test_Data!#REF!</definedName>
    <definedName name="Proxy_ProxyNumber">Automation_Lookups!$AI$2:$AI$20</definedName>
    <definedName name="Proxy_ProxyNumber2">Automation_Lookups!$AI$2:$AI$3</definedName>
    <definedName name="QAComments">Test_Data!$F$10</definedName>
    <definedName name="SkillsAndExperience_AddEducation_School">Test_Data!#REF!</definedName>
    <definedName name="SkillsAndExperience_AddEducation_School2">Automation_Lookups!$BA$2:$BA$3</definedName>
    <definedName name="SupervisoryOrganisation_SupervisoryOrganisation" localSheetId="1">Test_Data!#REF!</definedName>
    <definedName name="SupervisoryOrganisation_SupervisoryOrganisation">Automation_Lookups!$Q$2:$Q$2</definedName>
    <definedName name="SupervisoryOrganisation_SupervisoryOrganisation2">Automation_Lookups!$Q$2:$Q$5</definedName>
    <definedName name="Test_1">Test_Data!#REF!</definedName>
    <definedName name="Test_10">Test_Data!$L$2:$L$10</definedName>
    <definedName name="Test_11">Test_Data!$M$2:$M$10</definedName>
    <definedName name="Test_12">Test_Data!$N$2:$N$10</definedName>
    <definedName name="Test_13">Test_Data!#REF!</definedName>
    <definedName name="Test_14">Test_Data!$O$2:$O$10</definedName>
    <definedName name="Test_15">Test_Data!#REF!</definedName>
    <definedName name="Test_16">Test_Data!$P$2:$P$10</definedName>
    <definedName name="Test_17">Test_Data!#REF!</definedName>
    <definedName name="Test_18">Test_Data!#REF!</definedName>
    <definedName name="Test_19">Test_Data!#REF!</definedName>
    <definedName name="Test_2">Test_Data!#REF!</definedName>
    <definedName name="Test_20">Test_Data!#REF!</definedName>
    <definedName name="Test_21">Test_Data!#REF!</definedName>
    <definedName name="Test_22">Test_Data!#REF!</definedName>
    <definedName name="Test_23">Test_Data!$Q$2:$Q$10</definedName>
    <definedName name="Test_24">Test_Data!#REF!</definedName>
    <definedName name="Test_25">Test_Data!#REF!</definedName>
    <definedName name="Test_26">Test_Data!#REF!</definedName>
    <definedName name="Test_27">Test_Data!#REF!</definedName>
    <definedName name="Test_28">Test_Data!#REF!</definedName>
    <definedName name="Test_29">Test_Data!#REF!</definedName>
    <definedName name="Test_3">Test_Data!#REF!</definedName>
    <definedName name="Test_30">Test_Data!#REF!</definedName>
    <definedName name="Test_4">Test_Data!#REF!</definedName>
    <definedName name="Test_5">Test_Data!$H$2:$H$10</definedName>
    <definedName name="Test_6">Test_Data!#REF!</definedName>
    <definedName name="Test_7">Test_Data!$I$2:$I$10</definedName>
    <definedName name="Test_8">Test_Data!$J$2:$J$10</definedName>
    <definedName name="Test_9">Test_Data!$K$2:$K$10</definedName>
    <definedName name="Test_ID">Test_Data!$F$1</definedName>
    <definedName name="Version_Number">Test_Data!$B$3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2" i="38" l="1"/>
  <c r="F42" i="38" s="1"/>
  <c r="E43" i="38"/>
  <c r="F43" i="38" s="1"/>
  <c r="E44" i="38"/>
  <c r="F44" i="38" s="1"/>
  <c r="E45" i="38"/>
  <c r="F45" i="38" s="1"/>
  <c r="E46" i="38"/>
  <c r="F46" i="38" s="1"/>
  <c r="E47" i="38"/>
  <c r="F47" i="38" s="1"/>
  <c r="E40" i="38" l="1"/>
  <c r="F40" i="38" s="1"/>
  <c r="E41" i="38"/>
  <c r="A33" i="40" s="1"/>
  <c r="G33" i="40" l="1"/>
  <c r="H33" i="40"/>
  <c r="B33" i="40"/>
  <c r="C33" i="40" s="1"/>
  <c r="D33" i="40"/>
  <c r="F33" i="40"/>
  <c r="F41" i="38"/>
  <c r="A32" i="40"/>
  <c r="B32" i="40" s="1"/>
  <c r="C32" i="40" s="1"/>
  <c r="E22" i="38"/>
  <c r="F22" i="38" s="1"/>
  <c r="E39" i="38"/>
  <c r="F39" i="38" s="1"/>
  <c r="H32" i="40" l="1"/>
  <c r="D32" i="40"/>
  <c r="G32" i="40"/>
  <c r="F32" i="40"/>
  <c r="A9" i="40"/>
  <c r="A10" i="40"/>
  <c r="E34" i="38"/>
  <c r="E33" i="38"/>
  <c r="F33" i="38" s="1"/>
  <c r="F34" i="38" l="1"/>
  <c r="A31" i="40"/>
  <c r="A30" i="40"/>
  <c r="E5" i="38"/>
  <c r="F5" i="38" s="1"/>
  <c r="A4" i="40" l="1"/>
  <c r="B4" i="40" s="1"/>
  <c r="C4" i="40" s="1"/>
  <c r="H4" i="40" l="1"/>
  <c r="D4" i="40"/>
  <c r="F4" i="40"/>
  <c r="G4" i="40"/>
  <c r="E1" i="38"/>
  <c r="F1" i="38" s="1"/>
  <c r="E13" i="38" l="1"/>
  <c r="A7" i="40" s="1"/>
  <c r="E14" i="38"/>
  <c r="A8" i="40" s="1"/>
  <c r="E15" i="38"/>
  <c r="A11" i="40" s="1"/>
  <c r="A12" i="40"/>
  <c r="E16" i="38"/>
  <c r="E17" i="38"/>
  <c r="A14" i="40" s="1"/>
  <c r="E18" i="38"/>
  <c r="A15" i="40" s="1"/>
  <c r="E19" i="38"/>
  <c r="A16" i="40" s="1"/>
  <c r="E20" i="38"/>
  <c r="A17" i="40" s="1"/>
  <c r="E21" i="38"/>
  <c r="A18" i="40" s="1"/>
  <c r="A19" i="40"/>
  <c r="E23" i="38"/>
  <c r="E24" i="38"/>
  <c r="E25" i="38"/>
  <c r="A22" i="40" s="1"/>
  <c r="E26" i="38"/>
  <c r="E27" i="38"/>
  <c r="A24" i="40" s="1"/>
  <c r="E28" i="38"/>
  <c r="E29" i="38"/>
  <c r="A26" i="40" s="1"/>
  <c r="E30" i="38"/>
  <c r="A27" i="40" s="1"/>
  <c r="E31" i="38"/>
  <c r="A28" i="40" s="1"/>
  <c r="E32" i="38"/>
  <c r="A29" i="40" s="1"/>
  <c r="E35" i="38"/>
  <c r="E36" i="38"/>
  <c r="E37" i="38"/>
  <c r="E38" i="38"/>
  <c r="F26" i="38" l="1"/>
  <c r="A23" i="40"/>
  <c r="H19" i="40"/>
  <c r="B19" i="40"/>
  <c r="C19" i="40" s="1"/>
  <c r="G19" i="40"/>
  <c r="F19" i="40"/>
  <c r="D19" i="40"/>
  <c r="H11" i="40"/>
  <c r="G11" i="40"/>
  <c r="D11" i="40"/>
  <c r="F11" i="40"/>
  <c r="B11" i="40"/>
  <c r="C11" i="40" s="1"/>
  <c r="F28" i="38"/>
  <c r="A25" i="40"/>
  <c r="F24" i="38"/>
  <c r="A21" i="40"/>
  <c r="B18" i="40"/>
  <c r="C18" i="40" s="1"/>
  <c r="D18" i="40"/>
  <c r="G18" i="40"/>
  <c r="H18" i="40"/>
  <c r="F18" i="40"/>
  <c r="F23" i="38"/>
  <c r="A20" i="40"/>
  <c r="F16" i="38"/>
  <c r="A13" i="40"/>
  <c r="F37" i="38"/>
  <c r="F35" i="38"/>
  <c r="F29" i="38"/>
  <c r="F25" i="38"/>
  <c r="F21" i="38"/>
  <c r="F17" i="38"/>
  <c r="F32" i="38"/>
  <c r="F20" i="38"/>
  <c r="F38" i="38"/>
  <c r="F31" i="38"/>
  <c r="F27" i="38"/>
  <c r="F19" i="38"/>
  <c r="F36" i="38"/>
  <c r="F30" i="38"/>
  <c r="F18" i="38"/>
  <c r="F15" i="38"/>
  <c r="F14" i="38"/>
  <c r="F13" i="38"/>
  <c r="E9" i="38"/>
  <c r="B21" i="40" l="1"/>
  <c r="C21" i="40" s="1"/>
  <c r="D21" i="40"/>
  <c r="H21" i="40"/>
  <c r="G21" i="40"/>
  <c r="F21" i="40"/>
  <c r="H23" i="40"/>
  <c r="D23" i="40"/>
  <c r="B23" i="40"/>
  <c r="C23" i="40" s="1"/>
  <c r="G23" i="40"/>
  <c r="F23" i="40"/>
  <c r="B9" i="40"/>
  <c r="C9" i="40" s="1"/>
  <c r="H9" i="40"/>
  <c r="D9" i="40"/>
  <c r="G9" i="40"/>
  <c r="F9" i="40"/>
  <c r="B17" i="40"/>
  <c r="C17" i="40" s="1"/>
  <c r="D17" i="40"/>
  <c r="F17" i="40"/>
  <c r="H17" i="40"/>
  <c r="G17" i="40"/>
  <c r="B29" i="40"/>
  <c r="C29" i="40" s="1"/>
  <c r="F29" i="40"/>
  <c r="H29" i="40"/>
  <c r="G29" i="40"/>
  <c r="D29" i="40"/>
  <c r="B14" i="40"/>
  <c r="C14" i="40" s="1"/>
  <c r="F14" i="40"/>
  <c r="D14" i="40"/>
  <c r="H14" i="40"/>
  <c r="G14" i="40"/>
  <c r="B26" i="40"/>
  <c r="C26" i="40" s="1"/>
  <c r="F26" i="40"/>
  <c r="D26" i="40"/>
  <c r="H26" i="40"/>
  <c r="G26" i="40"/>
  <c r="H7" i="40"/>
  <c r="G7" i="40"/>
  <c r="B7" i="40"/>
  <c r="C7" i="40" s="1"/>
  <c r="F7" i="40"/>
  <c r="D7" i="40"/>
  <c r="H27" i="40"/>
  <c r="G27" i="40"/>
  <c r="B27" i="40"/>
  <c r="C27" i="40" s="1"/>
  <c r="D27" i="40"/>
  <c r="F27" i="40"/>
  <c r="B12" i="40"/>
  <c r="C12" i="40" s="1"/>
  <c r="G12" i="40"/>
  <c r="D12" i="40"/>
  <c r="F12" i="40"/>
  <c r="H12" i="40"/>
  <c r="B20" i="40"/>
  <c r="C20" i="40" s="1"/>
  <c r="G20" i="40"/>
  <c r="D20" i="40"/>
  <c r="H20" i="40"/>
  <c r="F20" i="40"/>
  <c r="B28" i="40"/>
  <c r="C28" i="40" s="1"/>
  <c r="G28" i="40"/>
  <c r="D28" i="40"/>
  <c r="F28" i="40"/>
  <c r="H28" i="40"/>
  <c r="B13" i="40"/>
  <c r="C13" i="40" s="1"/>
  <c r="F13" i="40"/>
  <c r="H13" i="40"/>
  <c r="G13" i="40"/>
  <c r="D13" i="40"/>
  <c r="B25" i="40"/>
  <c r="C25" i="40" s="1"/>
  <c r="F25" i="40"/>
  <c r="H25" i="40"/>
  <c r="G25" i="40"/>
  <c r="D25" i="40"/>
  <c r="B10" i="40"/>
  <c r="C10" i="40" s="1"/>
  <c r="F10" i="40"/>
  <c r="D10" i="40"/>
  <c r="H10" i="40"/>
  <c r="G10" i="40"/>
  <c r="B22" i="40"/>
  <c r="C22" i="40" s="1"/>
  <c r="H22" i="40"/>
  <c r="F22" i="40"/>
  <c r="D22" i="40"/>
  <c r="G22" i="40"/>
  <c r="H31" i="40"/>
  <c r="B31" i="40"/>
  <c r="C31" i="40" s="1"/>
  <c r="D31" i="40"/>
  <c r="G31" i="40"/>
  <c r="F31" i="40"/>
  <c r="H15" i="40"/>
  <c r="B15" i="40"/>
  <c r="C15" i="40" s="1"/>
  <c r="D15" i="40"/>
  <c r="G15" i="40"/>
  <c r="F15" i="40"/>
  <c r="B8" i="40"/>
  <c r="C8" i="40" s="1"/>
  <c r="G8" i="40"/>
  <c r="D8" i="40"/>
  <c r="F8" i="40"/>
  <c r="H8" i="40"/>
  <c r="B16" i="40"/>
  <c r="C16" i="40" s="1"/>
  <c r="G16" i="40"/>
  <c r="D16" i="40"/>
  <c r="F16" i="40"/>
  <c r="H16" i="40"/>
  <c r="B24" i="40"/>
  <c r="C24" i="40" s="1"/>
  <c r="G24" i="40"/>
  <c r="D24" i="40"/>
  <c r="F24" i="40"/>
  <c r="H24" i="40"/>
  <c r="B30" i="40"/>
  <c r="C30" i="40" s="1"/>
  <c r="F30" i="40"/>
  <c r="D30" i="40"/>
  <c r="H30" i="40"/>
  <c r="G30" i="40"/>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I89" i="44" l="1"/>
  <c r="J89" i="44" s="1"/>
  <c r="K89" i="44" s="1"/>
  <c r="L89" i="44" s="1"/>
  <c r="M89" i="44" s="1"/>
  <c r="N89" i="44" s="1"/>
  <c r="O89" i="44" s="1"/>
  <c r="P89" i="44" s="1"/>
  <c r="Q89" i="44" s="1"/>
  <c r="R89" i="44" s="1"/>
  <c r="S89" i="44" s="1"/>
  <c r="T89" i="44" s="1"/>
  <c r="D87" i="44" l="1"/>
  <c r="D88" i="44" s="1"/>
  <c r="D89" i="44" s="1"/>
  <c r="D90" i="44" s="1"/>
  <c r="D91" i="44" s="1"/>
  <c r="D92" i="44" s="1"/>
  <c r="D93" i="44" s="1"/>
  <c r="D94" i="44" s="1"/>
  <c r="D95" i="44" s="1"/>
  <c r="D96" i="44" s="1"/>
  <c r="D97" i="44" s="1"/>
  <c r="D98" i="44" s="1"/>
  <c r="D99" i="44" s="1"/>
  <c r="B3" i="44" l="1"/>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F3" i="44" l="1"/>
  <c r="H3" i="44"/>
  <c r="G4" i="44"/>
  <c r="C5" i="44"/>
  <c r="H4" i="44"/>
  <c r="D5" i="44"/>
  <c r="G3" i="44"/>
  <c r="F4" i="44" l="1"/>
  <c r="H5" i="44"/>
  <c r="D6" i="44"/>
  <c r="C6" i="44"/>
  <c r="G5" i="44"/>
  <c r="D7" i="44" l="1"/>
  <c r="H6" i="44"/>
  <c r="F5" i="44"/>
  <c r="C7" i="44"/>
  <c r="G6" i="44"/>
  <c r="C8" i="44" l="1"/>
  <c r="G7" i="44"/>
  <c r="F6" i="44"/>
  <c r="D8" i="44"/>
  <c r="H7" i="44"/>
  <c r="F7" i="44" l="1"/>
  <c r="H8" i="44"/>
  <c r="D9" i="44"/>
  <c r="G8" i="44"/>
  <c r="C9" i="44"/>
  <c r="C10" i="44" l="1"/>
  <c r="G9" i="44"/>
  <c r="D10" i="44"/>
  <c r="H9" i="44"/>
  <c r="F8" i="44"/>
  <c r="C11" i="44" l="1"/>
  <c r="G10" i="44"/>
  <c r="F9" i="44"/>
  <c r="D11" i="44"/>
  <c r="H10" i="44"/>
  <c r="F10" i="44" l="1"/>
  <c r="D12" i="44"/>
  <c r="H11" i="44"/>
  <c r="C12" i="44"/>
  <c r="G11" i="44"/>
  <c r="C13" i="44" l="1"/>
  <c r="G12" i="44"/>
  <c r="H12" i="44"/>
  <c r="D13" i="44"/>
  <c r="F11" i="44"/>
  <c r="F12" i="44" l="1"/>
  <c r="H13" i="44"/>
  <c r="D14" i="44"/>
  <c r="C14" i="44"/>
  <c r="G13" i="44"/>
  <c r="C14" i="43"/>
  <c r="C15" i="44" l="1"/>
  <c r="G14" i="44"/>
  <c r="F13" i="44"/>
  <c r="H14" i="44"/>
  <c r="D15" i="44"/>
  <c r="D16" i="44" l="1"/>
  <c r="H15" i="44"/>
  <c r="F14" i="44"/>
  <c r="C16" i="44"/>
  <c r="G15" i="44"/>
  <c r="B2" i="38"/>
  <c r="G16" i="44" l="1"/>
  <c r="C17" i="44"/>
  <c r="F15" i="44"/>
  <c r="H16" i="44"/>
  <c r="D17" i="44"/>
  <c r="H17" i="44" l="1"/>
  <c r="D18" i="44"/>
  <c r="F16" i="44"/>
  <c r="C18" i="44"/>
  <c r="G17" i="44"/>
  <c r="C19" i="44" l="1"/>
  <c r="G18" i="44"/>
  <c r="F17" i="44"/>
  <c r="D19" i="44"/>
  <c r="H18" i="44"/>
  <c r="D20" i="44" l="1"/>
  <c r="H19" i="44"/>
  <c r="F18" i="44"/>
  <c r="C20" i="44"/>
  <c r="G19" i="44"/>
  <c r="C21" i="44" l="1"/>
  <c r="G20" i="44"/>
  <c r="F19" i="44"/>
  <c r="H20" i="44"/>
  <c r="D21" i="44"/>
  <c r="C22" i="44" l="1"/>
  <c r="G21" i="44"/>
  <c r="H21" i="44"/>
  <c r="D22" i="44"/>
  <c r="F20" i="44"/>
  <c r="C23" i="44" l="1"/>
  <c r="G22" i="44"/>
  <c r="F21" i="44"/>
  <c r="D23" i="44"/>
  <c r="H22" i="44"/>
  <c r="C24" i="44" l="1"/>
  <c r="G23" i="44"/>
  <c r="D24" i="44"/>
  <c r="H23" i="44"/>
  <c r="F22" i="44"/>
  <c r="F23" i="44" l="1"/>
  <c r="H24" i="44"/>
  <c r="D25" i="44"/>
  <c r="C25" i="44"/>
  <c r="G24" i="44"/>
  <c r="C26" i="44" l="1"/>
  <c r="G25" i="44"/>
  <c r="F24" i="44"/>
  <c r="D26" i="44"/>
  <c r="H25" i="44"/>
  <c r="L17" i="43"/>
  <c r="M16" i="43" s="1"/>
  <c r="L8" i="43"/>
  <c r="L7" i="43"/>
  <c r="L6" i="43"/>
  <c r="L5" i="43"/>
  <c r="L4" i="43"/>
  <c r="H26" i="44" l="1"/>
  <c r="D27" i="44"/>
  <c r="F25" i="44"/>
  <c r="C27" i="44"/>
  <c r="G26" i="44"/>
  <c r="M12" i="43"/>
  <c r="M13" i="43"/>
  <c r="M14" i="43"/>
  <c r="M15" i="43"/>
  <c r="M7" i="43"/>
  <c r="M6" i="43"/>
  <c r="M4" i="43"/>
  <c r="M5" i="43"/>
  <c r="C28" i="44" l="1"/>
  <c r="G28" i="44" s="1"/>
  <c r="G27" i="44"/>
  <c r="F26" i="44"/>
  <c r="D28" i="44"/>
  <c r="H28" i="44" s="1"/>
  <c r="H27" i="44"/>
  <c r="M17" i="43"/>
  <c r="M8" i="43"/>
  <c r="E10" i="38"/>
  <c r="E8" i="38"/>
  <c r="F27" i="44" l="1"/>
  <c r="F28" i="44"/>
  <c r="F8" i="38"/>
  <c r="F9" i="38"/>
  <c r="F10" i="38"/>
  <c r="BB3" i="39" l="1"/>
  <c r="BB2" i="39"/>
  <c r="AN4" i="39"/>
  <c r="AN3" i="39"/>
  <c r="AN2" i="39"/>
  <c r="AF4" i="39"/>
  <c r="AF3" i="39"/>
  <c r="AF2" i="39"/>
  <c r="X4" i="39"/>
  <c r="X3" i="39"/>
  <c r="X2" i="39"/>
  <c r="E4" i="38" l="1"/>
  <c r="A3" i="40" s="1"/>
  <c r="E6" i="38"/>
  <c r="A5" i="40" s="1"/>
  <c r="E7" i="38"/>
  <c r="A6" i="40" s="1"/>
  <c r="E3" i="38"/>
  <c r="B6" i="40" l="1"/>
  <c r="C6" i="40" s="1"/>
  <c r="F6" i="40"/>
  <c r="H6" i="40"/>
  <c r="G6" i="40"/>
  <c r="D6" i="40"/>
  <c r="H5" i="40"/>
  <c r="B5" i="40"/>
  <c r="C5" i="40" s="1"/>
  <c r="G5" i="40"/>
  <c r="D5" i="40"/>
  <c r="F5" i="40"/>
  <c r="B3" i="40"/>
  <c r="C3" i="40" s="1"/>
  <c r="H3" i="40"/>
  <c r="F3" i="40"/>
  <c r="D3" i="40"/>
  <c r="G3" i="40"/>
  <c r="A2" i="40"/>
  <c r="B2" i="40" s="1"/>
  <c r="C2" i="40" s="1"/>
  <c r="F3" i="38"/>
  <c r="F7" i="38"/>
  <c r="F6" i="38"/>
  <c r="F4" i="38"/>
  <c r="G2" i="40" l="1"/>
  <c r="H2" i="40"/>
  <c r="D2" i="40"/>
  <c r="E2" i="40" s="1"/>
  <c r="E3" i="40" s="1"/>
  <c r="E4" i="40" s="1"/>
  <c r="E5" i="40" s="1"/>
  <c r="E6" i="40" s="1"/>
  <c r="E7" i="40" s="1"/>
  <c r="E8" i="40" s="1"/>
  <c r="E9" i="40" s="1"/>
  <c r="E10" i="40" s="1"/>
  <c r="E11" i="40" s="1"/>
  <c r="E12" i="40" s="1"/>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F2" i="40"/>
</calcChain>
</file>

<file path=xl/sharedStrings.xml><?xml version="1.0" encoding="utf-8"?>
<sst xmlns="http://schemas.openxmlformats.org/spreadsheetml/2006/main" count="4481" uniqueCount="905">
  <si>
    <t>Netherlands</t>
  </si>
  <si>
    <t>Home</t>
  </si>
  <si>
    <t>Screen</t>
  </si>
  <si>
    <t>Subscreen</t>
  </si>
  <si>
    <t>Field</t>
  </si>
  <si>
    <t>Automation Ref</t>
  </si>
  <si>
    <t>N/A</t>
  </si>
  <si>
    <t>Login</t>
  </si>
  <si>
    <t>Process</t>
  </si>
  <si>
    <t>701 Recruitment (Lisanne Kluinhaar (8701839))</t>
  </si>
  <si>
    <t>Country</t>
  </si>
  <si>
    <t>Netherlands (+31)</t>
  </si>
  <si>
    <t>Mobile/Cell</t>
  </si>
  <si>
    <t>Work</t>
  </si>
  <si>
    <t>Reason</t>
  </si>
  <si>
    <t>New Hire</t>
  </si>
  <si>
    <t>Permanent</t>
  </si>
  <si>
    <t>Retail Assistant</t>
  </si>
  <si>
    <t>Yes</t>
  </si>
  <si>
    <t>No</t>
  </si>
  <si>
    <t>Accessories</t>
  </si>
  <si>
    <t>Proxy</t>
  </si>
  <si>
    <t>Lisanne Kluinhaar (8701839)</t>
  </si>
  <si>
    <t>Defined contract end date (Determined)</t>
  </si>
  <si>
    <t>1st Fixed Term Contract</t>
  </si>
  <si>
    <t>Part-time( PT )</t>
  </si>
  <si>
    <t>Netherlands Retail Assistant</t>
  </si>
  <si>
    <t>Retail Assistant (22)</t>
  </si>
  <si>
    <t>Effective Date</t>
  </si>
  <si>
    <t>Employee Type</t>
  </si>
  <si>
    <t>Job Profile</t>
  </si>
  <si>
    <t>Work Shift</t>
  </si>
  <si>
    <t>Time Type</t>
  </si>
  <si>
    <t>EditAdditionalData_PayrollTaxDeduction</t>
  </si>
  <si>
    <t>Poland</t>
  </si>
  <si>
    <t>Poland (+48)</t>
  </si>
  <si>
    <t>Telephone - Landline</t>
  </si>
  <si>
    <t>Rehire</t>
  </si>
  <si>
    <t>Seasonal</t>
  </si>
  <si>
    <t>Fixed Term</t>
  </si>
  <si>
    <t>Intern</t>
  </si>
  <si>
    <t>Students</t>
  </si>
  <si>
    <t>Full time</t>
  </si>
  <si>
    <t>Part time</t>
  </si>
  <si>
    <t>Undefined contract end date (Undetermined)</t>
  </si>
  <si>
    <t>2nd Fixed Term Contract</t>
  </si>
  <si>
    <t>3rd Fixed Term Contract</t>
  </si>
  <si>
    <t>Active</t>
  </si>
  <si>
    <t>Inactive</t>
  </si>
  <si>
    <t>Full-time( FT. )</t>
  </si>
  <si>
    <t>Netherlands Retail Assistant Cash Office</t>
  </si>
  <si>
    <t>Retail Assistant (Under 18)</t>
  </si>
  <si>
    <t>Retail Assistant (23+)</t>
  </si>
  <si>
    <t>Retail Assistant (21)</t>
  </si>
  <si>
    <t>Retail Assistant (20)</t>
  </si>
  <si>
    <t>Retail Assistant (19)</t>
  </si>
  <si>
    <t>Retail Assistant (18)</t>
  </si>
  <si>
    <t>Execution Flag</t>
  </si>
  <si>
    <t>Last Run Time and Status</t>
  </si>
  <si>
    <t>Last Run Error Message</t>
  </si>
  <si>
    <t>Value Declaration
------------------------
strProcess = comExcelWorksheet.Cells(intRowProcess, intColTestColumn).Value</t>
  </si>
  <si>
    <t>Row Number Declaration
---------------------------------
intRowProcess = comExcelWorksheet.Range("Process").Row</t>
  </si>
  <si>
    <t>Variable Row</t>
  </si>
  <si>
    <t>Variable Value</t>
  </si>
  <si>
    <t>Variable Row Combined</t>
  </si>
  <si>
    <t>Variable Value Combined</t>
  </si>
  <si>
    <t>Department Manager</t>
  </si>
  <si>
    <t>Senior Department Manager</t>
  </si>
  <si>
    <t>Supervisor</t>
  </si>
  <si>
    <t>P&amp;C Supervisor</t>
  </si>
  <si>
    <t>P&amp;C Assistant</t>
  </si>
  <si>
    <t>Trainee Manager</t>
  </si>
  <si>
    <t>Assistant Manager</t>
  </si>
  <si>
    <t>P&amp;C Manager</t>
  </si>
  <si>
    <t>Store Manager</t>
  </si>
  <si>
    <t>Visual Merchandiser Manager</t>
  </si>
  <si>
    <t>Visual Merchandising Supervisor</t>
  </si>
  <si>
    <t>Visual Merchandising Assistant</t>
  </si>
  <si>
    <t>Retail - Central &amp; Eastern Europe (Stephen Regan (9910010) (Inherited)</t>
  </si>
  <si>
    <t>Retail Poland Area: Central Poland (Stephen Regan (9910010) (Inherited))</t>
  </si>
  <si>
    <t>Getters</t>
  </si>
  <si>
    <t>Lookups Ref</t>
  </si>
  <si>
    <t>SupervisoryOrganisation_SupervisoryOrganisation2</t>
  </si>
  <si>
    <t>ExecutionFlag2</t>
  </si>
  <si>
    <t>Process2</t>
  </si>
  <si>
    <t>LegalNameInformation_Country2</t>
  </si>
  <si>
    <t>ContactInformation_Phone_CountryPhoneCode2</t>
  </si>
  <si>
    <t>ContactInformation_Phone_PhoneDevice2</t>
  </si>
  <si>
    <t>ContactInformation_Phone_Type2</t>
  </si>
  <si>
    <t>ContactInformation_Address_Type2</t>
  </si>
  <si>
    <t>ContactInformation_Email_Type2</t>
  </si>
  <si>
    <t>JobDetails_Reason2</t>
  </si>
  <si>
    <t>JobDetails_EmployeeType2</t>
  </si>
  <si>
    <t>JobDetails_JobProfile2</t>
  </si>
  <si>
    <t>JobDetails_TimeType2</t>
  </si>
  <si>
    <t>JobDetails_AdditionalInformation_WorkShift2</t>
  </si>
  <si>
    <t>AssignPayGroup_ProposedPayGroup2</t>
  </si>
  <si>
    <t>Proxy_ProxyNumber2</t>
  </si>
  <si>
    <t>Proxy_OnBehalfOf2</t>
  </si>
  <si>
    <t>JobDetails_Position2</t>
  </si>
  <si>
    <t>Assistant Manager-2</t>
  </si>
  <si>
    <t>Assistant Manager-3</t>
  </si>
  <si>
    <t>Test Store Manager-2</t>
  </si>
  <si>
    <t>JobDetails_HireDate2</t>
  </si>
  <si>
    <t>End Employment Date</t>
  </si>
  <si>
    <t>JobDetails_AdditionalInformation_EndEmploymentDate2</t>
  </si>
  <si>
    <t>MaintainEmployeeContract_Reason2</t>
  </si>
  <si>
    <t>MaintainEmployeeContract_Status2</t>
  </si>
  <si>
    <t>MaintainEmployeeContract_ContractType2</t>
  </si>
  <si>
    <t>for the purposes of performing any work of casual or seasonal nature</t>
  </si>
  <si>
    <t>for the purposes of performing work during the term of office</t>
  </si>
  <si>
    <t>for the purposes of substituting an employee during his/her excused absence at work</t>
  </si>
  <si>
    <t>No reason necessary</t>
  </si>
  <si>
    <t>MaintainEmployeeContract_ContractEndDate2</t>
  </si>
  <si>
    <t>JobDetails_Location2</t>
  </si>
  <si>
    <t>Location</t>
  </si>
  <si>
    <t>1 Day</t>
  </si>
  <si>
    <t>2 Days</t>
  </si>
  <si>
    <t>3 Days</t>
  </si>
  <si>
    <t>4 Days</t>
  </si>
  <si>
    <t>5 Days</t>
  </si>
  <si>
    <t>AddProbationPeriod_ProbationEndDate2</t>
  </si>
  <si>
    <t>ProposeCompensationHire_GradeProfile2</t>
  </si>
  <si>
    <t>ProposeCompensationHire_Step2</t>
  </si>
  <si>
    <t>Defaulted</t>
  </si>
  <si>
    <t>EditPassportsandVisas_Country2</t>
  </si>
  <si>
    <t>EditPassportsandVisas_PassportIDType2</t>
  </si>
  <si>
    <t>EditPassportsandVisas_IdentificationNo2</t>
  </si>
  <si>
    <t>EditPassportsandVisas_IssuedDate2</t>
  </si>
  <si>
    <t>EditPassportsandVisas_ExpirationDate2</t>
  </si>
  <si>
    <t>Married</t>
  </si>
  <si>
    <t>ChangeMyPersonalInformation_MaritalStatus2</t>
  </si>
  <si>
    <t>Single</t>
  </si>
  <si>
    <t>Not Disclosed</t>
  </si>
  <si>
    <t>ChangeMyEmergencyContacts_Relationship2</t>
  </si>
  <si>
    <t>Father</t>
  </si>
  <si>
    <t>Mother</t>
  </si>
  <si>
    <t>Spouse</t>
  </si>
  <si>
    <t>Partner</t>
  </si>
  <si>
    <t>ChangeMyEmergencyContacts_PhoneDevice2</t>
  </si>
  <si>
    <t>ChangeMyGovernmentIDs_NationalIDs_NationalIDType2</t>
  </si>
  <si>
    <t>PaymentElectionOption_AccountType2</t>
  </si>
  <si>
    <t>Savings</t>
  </si>
  <si>
    <t>Version</t>
  </si>
  <si>
    <t>History</t>
  </si>
  <si>
    <t>Date</t>
  </si>
  <si>
    <t>Details</t>
  </si>
  <si>
    <t>Initial Release</t>
  </si>
  <si>
    <t>Version_Number</t>
  </si>
  <si>
    <t>First Names</t>
  </si>
  <si>
    <t>Abigail</t>
  </si>
  <si>
    <t>Alexandra</t>
  </si>
  <si>
    <t>Alison</t>
  </si>
  <si>
    <t>Amanda</t>
  </si>
  <si>
    <t>Amelia</t>
  </si>
  <si>
    <t>Amy</t>
  </si>
  <si>
    <t>Andrea</t>
  </si>
  <si>
    <t>Angela</t>
  </si>
  <si>
    <t>Anna</t>
  </si>
  <si>
    <t>Anne</t>
  </si>
  <si>
    <t>Audrey</t>
  </si>
  <si>
    <t>Ava</t>
  </si>
  <si>
    <t>Bella</t>
  </si>
  <si>
    <t>Bernadette</t>
  </si>
  <si>
    <t>Carol</t>
  </si>
  <si>
    <t>Caroline</t>
  </si>
  <si>
    <t>Carolyn</t>
  </si>
  <si>
    <t>Chloe</t>
  </si>
  <si>
    <t>Claire</t>
  </si>
  <si>
    <t>Deirdre</t>
  </si>
  <si>
    <t>Diana</t>
  </si>
  <si>
    <t>Diane</t>
  </si>
  <si>
    <t>Donna</t>
  </si>
  <si>
    <t>Dorothy</t>
  </si>
  <si>
    <t>Elizabeth</t>
  </si>
  <si>
    <t>Ella</t>
  </si>
  <si>
    <t>Emily</t>
  </si>
  <si>
    <t>Emma</t>
  </si>
  <si>
    <t>Faith</t>
  </si>
  <si>
    <t>Felicity</t>
  </si>
  <si>
    <t>Fiona</t>
  </si>
  <si>
    <t>Gabrielle</t>
  </si>
  <si>
    <t>Grace</t>
  </si>
  <si>
    <t>Hannah</t>
  </si>
  <si>
    <t>Heather</t>
  </si>
  <si>
    <t>Irene</t>
  </si>
  <si>
    <t>Jan</t>
  </si>
  <si>
    <t>Jane</t>
  </si>
  <si>
    <t>Jasmine</t>
  </si>
  <si>
    <t>Jennifer</t>
  </si>
  <si>
    <t>Jessica</t>
  </si>
  <si>
    <t>Joan</t>
  </si>
  <si>
    <t>Joanne</t>
  </si>
  <si>
    <t>Julia</t>
  </si>
  <si>
    <t>Karen</t>
  </si>
  <si>
    <t>Katherine</t>
  </si>
  <si>
    <t>Kimberly</t>
  </si>
  <si>
    <t>Kylie</t>
  </si>
  <si>
    <t>Lauren</t>
  </si>
  <si>
    <t>Leah</t>
  </si>
  <si>
    <t>Lillian</t>
  </si>
  <si>
    <t>Lily</t>
  </si>
  <si>
    <t>Lisa</t>
  </si>
  <si>
    <t>Madeleine</t>
  </si>
  <si>
    <t>Maria</t>
  </si>
  <si>
    <t>Mary</t>
  </si>
  <si>
    <t>Megan</t>
  </si>
  <si>
    <t>Melanie</t>
  </si>
  <si>
    <t>Michelle</t>
  </si>
  <si>
    <t>Molly</t>
  </si>
  <si>
    <t>Natalie</t>
  </si>
  <si>
    <t>Nicola</t>
  </si>
  <si>
    <t>Olivia</t>
  </si>
  <si>
    <t>Penelope</t>
  </si>
  <si>
    <t>Pippa</t>
  </si>
  <si>
    <t>Rachel</t>
  </si>
  <si>
    <t>Rebecca</t>
  </si>
  <si>
    <t>Rose</t>
  </si>
  <si>
    <t>Ruth</t>
  </si>
  <si>
    <t>Sally</t>
  </si>
  <si>
    <t>Samantha</t>
  </si>
  <si>
    <t>Sarah</t>
  </si>
  <si>
    <t>Sonia</t>
  </si>
  <si>
    <t>Sophie</t>
  </si>
  <si>
    <t>Stephanie</t>
  </si>
  <si>
    <t>Sue</t>
  </si>
  <si>
    <t>Theresa</t>
  </si>
  <si>
    <t>Tracey</t>
  </si>
  <si>
    <t>Una</t>
  </si>
  <si>
    <t>Vanessa</t>
  </si>
  <si>
    <t>Victoria</t>
  </si>
  <si>
    <t>Virginia</t>
  </si>
  <si>
    <t>Wanda</t>
  </si>
  <si>
    <t>Wendy</t>
  </si>
  <si>
    <t>Yvonne</t>
  </si>
  <si>
    <t>Zoe</t>
  </si>
  <si>
    <t>Adam</t>
  </si>
  <si>
    <t>Adrian</t>
  </si>
  <si>
    <t>Alan</t>
  </si>
  <si>
    <t>Alexander</t>
  </si>
  <si>
    <t>Andrew</t>
  </si>
  <si>
    <t>Anthony</t>
  </si>
  <si>
    <t>Austin</t>
  </si>
  <si>
    <t>Benjamin</t>
  </si>
  <si>
    <t>Blake</t>
  </si>
  <si>
    <t>Boris</t>
  </si>
  <si>
    <t>Brandon</t>
  </si>
  <si>
    <t>Brian</t>
  </si>
  <si>
    <t>Cameron</t>
  </si>
  <si>
    <t>Carl</t>
  </si>
  <si>
    <t>Charles</t>
  </si>
  <si>
    <t>Christian</t>
  </si>
  <si>
    <t>Christopher</t>
  </si>
  <si>
    <t>Colin</t>
  </si>
  <si>
    <t>Connor</t>
  </si>
  <si>
    <t>Dan</t>
  </si>
  <si>
    <t>David</t>
  </si>
  <si>
    <t>Dominic</t>
  </si>
  <si>
    <t>Dylan</t>
  </si>
  <si>
    <t>Edward</t>
  </si>
  <si>
    <t>Eric</t>
  </si>
  <si>
    <t>Evan</t>
  </si>
  <si>
    <t>Frank</t>
  </si>
  <si>
    <t>Gavin</t>
  </si>
  <si>
    <t>Gordon</t>
  </si>
  <si>
    <t>Harry</t>
  </si>
  <si>
    <t>Ian</t>
  </si>
  <si>
    <t>Isaac</t>
  </si>
  <si>
    <t>Jack</t>
  </si>
  <si>
    <t>Jacob</t>
  </si>
  <si>
    <t>Jake</t>
  </si>
  <si>
    <t>James</t>
  </si>
  <si>
    <t>Jason</t>
  </si>
  <si>
    <t>Joe</t>
  </si>
  <si>
    <t>John</t>
  </si>
  <si>
    <t>Jonathan</t>
  </si>
  <si>
    <t>Joseph</t>
  </si>
  <si>
    <t>Joshua</t>
  </si>
  <si>
    <t>Julian</t>
  </si>
  <si>
    <t>Justin</t>
  </si>
  <si>
    <t>Keith</t>
  </si>
  <si>
    <t>Kevin</t>
  </si>
  <si>
    <t>Leonard</t>
  </si>
  <si>
    <t>Liam</t>
  </si>
  <si>
    <t>Lucas</t>
  </si>
  <si>
    <t>Luke</t>
  </si>
  <si>
    <t>Matt</t>
  </si>
  <si>
    <t>Max</t>
  </si>
  <si>
    <t>Michael</t>
  </si>
  <si>
    <t>Nathan</t>
  </si>
  <si>
    <t>Neil</t>
  </si>
  <si>
    <t>Nicholas</t>
  </si>
  <si>
    <t>Oliver</t>
  </si>
  <si>
    <t>Owen</t>
  </si>
  <si>
    <t>Paul</t>
  </si>
  <si>
    <t>Peter</t>
  </si>
  <si>
    <t>Phil</t>
  </si>
  <si>
    <t>Piers</t>
  </si>
  <si>
    <t>Richard</t>
  </si>
  <si>
    <t>Robert</t>
  </si>
  <si>
    <t>Ryan</t>
  </si>
  <si>
    <t>Sam</t>
  </si>
  <si>
    <t>Sean</t>
  </si>
  <si>
    <t>Sebastian</t>
  </si>
  <si>
    <t>Simon</t>
  </si>
  <si>
    <t>Stephen</t>
  </si>
  <si>
    <t>Steven</t>
  </si>
  <si>
    <t>Stewart</t>
  </si>
  <si>
    <t>Thomas</t>
  </si>
  <si>
    <t>Tim</t>
  </si>
  <si>
    <t>Trevor</t>
  </si>
  <si>
    <t>Victor</t>
  </si>
  <si>
    <t>Warren</t>
  </si>
  <si>
    <t>William</t>
  </si>
  <si>
    <t>Abraham</t>
  </si>
  <si>
    <t>Allan</t>
  </si>
  <si>
    <t>Alsop</t>
  </si>
  <si>
    <t>Anderson</t>
  </si>
  <si>
    <t>Arnold</t>
  </si>
  <si>
    <t>Avery</t>
  </si>
  <si>
    <t>Bailey</t>
  </si>
  <si>
    <t>Baker</t>
  </si>
  <si>
    <t>Ball</t>
  </si>
  <si>
    <t>Bell</t>
  </si>
  <si>
    <t>Berry</t>
  </si>
  <si>
    <t>Black</t>
  </si>
  <si>
    <t>Bond</t>
  </si>
  <si>
    <t>Bower</t>
  </si>
  <si>
    <t>Brown</t>
  </si>
  <si>
    <t>Buckland</t>
  </si>
  <si>
    <t>Burgess</t>
  </si>
  <si>
    <t>Butler</t>
  </si>
  <si>
    <t>Campbell</t>
  </si>
  <si>
    <t>Carr</t>
  </si>
  <si>
    <t>Chapman</t>
  </si>
  <si>
    <t>Churchill</t>
  </si>
  <si>
    <t>Clark</t>
  </si>
  <si>
    <t>Clarkson</t>
  </si>
  <si>
    <t>Coleman</t>
  </si>
  <si>
    <t>Cornish</t>
  </si>
  <si>
    <t>Davidson</t>
  </si>
  <si>
    <t>Davies</t>
  </si>
  <si>
    <t>Dickens</t>
  </si>
  <si>
    <t>Dowd</t>
  </si>
  <si>
    <t>Duncan</t>
  </si>
  <si>
    <t>Dyer</t>
  </si>
  <si>
    <t>Edmunds</t>
  </si>
  <si>
    <t>Ellison</t>
  </si>
  <si>
    <t>Ferguson</t>
  </si>
  <si>
    <t>Fisher</t>
  </si>
  <si>
    <t>Forsyth</t>
  </si>
  <si>
    <t>Fraser</t>
  </si>
  <si>
    <t>Gibson</t>
  </si>
  <si>
    <t>Gill</t>
  </si>
  <si>
    <t>Glover</t>
  </si>
  <si>
    <t>Graham</t>
  </si>
  <si>
    <t>Grant</t>
  </si>
  <si>
    <t>Gray</t>
  </si>
  <si>
    <t>Greene</t>
  </si>
  <si>
    <t>Hamilton</t>
  </si>
  <si>
    <t>Hardacre</t>
  </si>
  <si>
    <t>Harris</t>
  </si>
  <si>
    <t>Hart</t>
  </si>
  <si>
    <t>Hemmings</t>
  </si>
  <si>
    <t>Henderson</t>
  </si>
  <si>
    <t>Hill</t>
  </si>
  <si>
    <t>Hodges</t>
  </si>
  <si>
    <t>Howard</t>
  </si>
  <si>
    <t>Hudson</t>
  </si>
  <si>
    <t>Hughes</t>
  </si>
  <si>
    <t>Hunter</t>
  </si>
  <si>
    <t>Ince</t>
  </si>
  <si>
    <t>Jackson</t>
  </si>
  <si>
    <t>Johnston</t>
  </si>
  <si>
    <t>Jones</t>
  </si>
  <si>
    <t>Kelly</t>
  </si>
  <si>
    <t>Kerr</t>
  </si>
  <si>
    <t>King</t>
  </si>
  <si>
    <t>Knox</t>
  </si>
  <si>
    <t>Lambert</t>
  </si>
  <si>
    <t>Langdon</t>
  </si>
  <si>
    <t>Lawrence</t>
  </si>
  <si>
    <t>Lee</t>
  </si>
  <si>
    <t>Lewis</t>
  </si>
  <si>
    <t>Lyman</t>
  </si>
  <si>
    <t>MacDonald</t>
  </si>
  <si>
    <t>Mackay</t>
  </si>
  <si>
    <t>Mackenzie</t>
  </si>
  <si>
    <t>MacLeod</t>
  </si>
  <si>
    <t>Manning</t>
  </si>
  <si>
    <t>Marshall</t>
  </si>
  <si>
    <t>Martin</t>
  </si>
  <si>
    <t>Mathis</t>
  </si>
  <si>
    <t>May</t>
  </si>
  <si>
    <t>McDonald</t>
  </si>
  <si>
    <t>McLean</t>
  </si>
  <si>
    <t>McGrath</t>
  </si>
  <si>
    <t>Metcalfe</t>
  </si>
  <si>
    <t>Miller</t>
  </si>
  <si>
    <t>Mills</t>
  </si>
  <si>
    <t>Mitchell</t>
  </si>
  <si>
    <t>Morgan</t>
  </si>
  <si>
    <t>Morrison</t>
  </si>
  <si>
    <t>Murray</t>
  </si>
  <si>
    <t>Nash</t>
  </si>
  <si>
    <t>Newman</t>
  </si>
  <si>
    <t>Nolan</t>
  </si>
  <si>
    <t>North</t>
  </si>
  <si>
    <t>Ogden</t>
  </si>
  <si>
    <t>Paige</t>
  </si>
  <si>
    <t>Parr</t>
  </si>
  <si>
    <t>Parsons</t>
  </si>
  <si>
    <t>Paterson</t>
  </si>
  <si>
    <t>Payne</t>
  </si>
  <si>
    <t>Peake</t>
  </si>
  <si>
    <t>Peters</t>
  </si>
  <si>
    <t>Piper</t>
  </si>
  <si>
    <t>Poole</t>
  </si>
  <si>
    <t>Powell</t>
  </si>
  <si>
    <t>Pullman</t>
  </si>
  <si>
    <t>Quinn</t>
  </si>
  <si>
    <t>Rampling</t>
  </si>
  <si>
    <t>Randall</t>
  </si>
  <si>
    <t>Rees</t>
  </si>
  <si>
    <t>Reid</t>
  </si>
  <si>
    <t>Roberts</t>
  </si>
  <si>
    <t>Robertson</t>
  </si>
  <si>
    <t>Ross</t>
  </si>
  <si>
    <t>Russell</t>
  </si>
  <si>
    <t>Rutherford</t>
  </si>
  <si>
    <t>Sanderson</t>
  </si>
  <si>
    <t>Scott</t>
  </si>
  <si>
    <t>Sharp</t>
  </si>
  <si>
    <t>Short</t>
  </si>
  <si>
    <t>Simpson</t>
  </si>
  <si>
    <t>Skinner</t>
  </si>
  <si>
    <t>Slater</t>
  </si>
  <si>
    <t>Smith</t>
  </si>
  <si>
    <t>Springer</t>
  </si>
  <si>
    <t>Sutherland</t>
  </si>
  <si>
    <t>Taylor</t>
  </si>
  <si>
    <t>Terry</t>
  </si>
  <si>
    <t>Thomson</t>
  </si>
  <si>
    <t>Tucker</t>
  </si>
  <si>
    <t>Turner</t>
  </si>
  <si>
    <t>Underwood</t>
  </si>
  <si>
    <t>Vance</t>
  </si>
  <si>
    <t>Vaughan</t>
  </si>
  <si>
    <t>Walker</t>
  </si>
  <si>
    <t>Wallace</t>
  </si>
  <si>
    <t>Walsh</t>
  </si>
  <si>
    <t>Watson</t>
  </si>
  <si>
    <t>Welch</t>
  </si>
  <si>
    <t>White</t>
  </si>
  <si>
    <t>Wilkins</t>
  </si>
  <si>
    <t>Wilson</t>
  </si>
  <si>
    <t>Wright</t>
  </si>
  <si>
    <t>Young</t>
  </si>
  <si>
    <t>NUL8H1001</t>
  </si>
  <si>
    <t>NUL8H1002</t>
  </si>
  <si>
    <t>NUL8H1003</t>
  </si>
  <si>
    <t>NUL8H1004</t>
  </si>
  <si>
    <t>NUL8H1005</t>
  </si>
  <si>
    <t>NUL8H1006</t>
  </si>
  <si>
    <t>NUL8H1007</t>
  </si>
  <si>
    <t>NUL8H1008</t>
  </si>
  <si>
    <t>NUL8H1009</t>
  </si>
  <si>
    <t>NUL8H1010</t>
  </si>
  <si>
    <t>NUL8H1011</t>
  </si>
  <si>
    <t>NUL8H1012</t>
  </si>
  <si>
    <t>NUL8H1013</t>
  </si>
  <si>
    <t>NUL8H1014</t>
  </si>
  <si>
    <t>NUL8H1015</t>
  </si>
  <si>
    <t>NUL8H1016</t>
  </si>
  <si>
    <t>NUL8H1017</t>
  </si>
  <si>
    <t>NUL8H1018</t>
  </si>
  <si>
    <t>NUL8H1019</t>
  </si>
  <si>
    <t>NUL8H1020</t>
  </si>
  <si>
    <t>NUL8H1021</t>
  </si>
  <si>
    <t>NUL8H1022</t>
  </si>
  <si>
    <t>NUL8H1023</t>
  </si>
  <si>
    <t>NUL8H1024</t>
  </si>
  <si>
    <t>NUL8H1025</t>
  </si>
  <si>
    <t>NUL8H1026</t>
  </si>
  <si>
    <t>NUL8H1027</t>
  </si>
  <si>
    <t>NUL8H1028</t>
  </si>
  <si>
    <t>NUL8H1029</t>
  </si>
  <si>
    <t>NUL8H1030</t>
  </si>
  <si>
    <t>NUL8H1031</t>
  </si>
  <si>
    <t>NUL8H1032</t>
  </si>
  <si>
    <t>NUL8H1033</t>
  </si>
  <si>
    <t>NUL8H1034</t>
  </si>
  <si>
    <t>NUL8H1035</t>
  </si>
  <si>
    <t>NUL8H1036</t>
  </si>
  <si>
    <t>NUL8H1037</t>
  </si>
  <si>
    <t>NUL8H1038</t>
  </si>
  <si>
    <t>NUL8H1039</t>
  </si>
  <si>
    <t>NUL8H1040</t>
  </si>
  <si>
    <t>NUL8H1041</t>
  </si>
  <si>
    <t>NUL8H1042</t>
  </si>
  <si>
    <t>NUL8H1043</t>
  </si>
  <si>
    <t>NUL8H1044</t>
  </si>
  <si>
    <t>NUL8H1045</t>
  </si>
  <si>
    <t>NUL8H1046</t>
  </si>
  <si>
    <t>NUL8H1047</t>
  </si>
  <si>
    <t>NUL8H1048</t>
  </si>
  <si>
    <t>NUL8H1049</t>
  </si>
  <si>
    <t>NUL8H1050</t>
  </si>
  <si>
    <t>NUL8H1051</t>
  </si>
  <si>
    <t>NUL8H1052</t>
  </si>
  <si>
    <t>NUL8H1053</t>
  </si>
  <si>
    <t>NUL8H1054</t>
  </si>
  <si>
    <t>NUL8H1055</t>
  </si>
  <si>
    <t>NUL8H1056</t>
  </si>
  <si>
    <t>NUL8H1057</t>
  </si>
  <si>
    <t>NUL8H1058</t>
  </si>
  <si>
    <t>NUL8H1059</t>
  </si>
  <si>
    <t>NUL8H1060</t>
  </si>
  <si>
    <t>NUL8H1061</t>
  </si>
  <si>
    <t>NUL8H1062</t>
  </si>
  <si>
    <t>NUL8H1063</t>
  </si>
  <si>
    <t>NUL8H1064</t>
  </si>
  <si>
    <t>NUL8H1065</t>
  </si>
  <si>
    <t>NUL8H1066</t>
  </si>
  <si>
    <t>NUL8H1067</t>
  </si>
  <si>
    <t>NUL8H1068</t>
  </si>
  <si>
    <t>NUL8H1069</t>
  </si>
  <si>
    <t>NUL8H1070</t>
  </si>
  <si>
    <t>NUL8H1071</t>
  </si>
  <si>
    <t>NUL8H1072</t>
  </si>
  <si>
    <t>NUL8H1073</t>
  </si>
  <si>
    <t>NUL8H1074</t>
  </si>
  <si>
    <t>NUL8H1075</t>
  </si>
  <si>
    <t>NUL8H1076</t>
  </si>
  <si>
    <t>NUL8H1077</t>
  </si>
  <si>
    <t>NUL8H1078</t>
  </si>
  <si>
    <t>NUL8H1079</t>
  </si>
  <si>
    <t>NUL8H1080</t>
  </si>
  <si>
    <t>NUL8H1081</t>
  </si>
  <si>
    <t>NUL8H1082</t>
  </si>
  <si>
    <t>NUL8H1083</t>
  </si>
  <si>
    <t>NUL8H1084</t>
  </si>
  <si>
    <t>NUL8H1085</t>
  </si>
  <si>
    <t>NUL8H1086</t>
  </si>
  <si>
    <t>NUL8H1087</t>
  </si>
  <si>
    <t>NUL8H1088</t>
  </si>
  <si>
    <t>NUL8H1089</t>
  </si>
  <si>
    <t>NUL8H1090</t>
  </si>
  <si>
    <t>NUL8H1091</t>
  </si>
  <si>
    <t>NUL8H1092</t>
  </si>
  <si>
    <t>NUL8H1093</t>
  </si>
  <si>
    <t>NUL8H1094</t>
  </si>
  <si>
    <t>NUL8H1095</t>
  </si>
  <si>
    <t>NUL8H1096</t>
  </si>
  <si>
    <t>NUL8H1097</t>
  </si>
  <si>
    <t>NUL8H1098</t>
  </si>
  <si>
    <t>NUL8H1099</t>
  </si>
  <si>
    <t>NUL8H1100</t>
  </si>
  <si>
    <t>NUL8H1101</t>
  </si>
  <si>
    <t>NUL8H1102</t>
  </si>
  <si>
    <t>NUL8H1103</t>
  </si>
  <si>
    <t>NUL8H1104</t>
  </si>
  <si>
    <t>NUL8H1105</t>
  </si>
  <si>
    <t>NUL8H1106</t>
  </si>
  <si>
    <t>NUL8H1107</t>
  </si>
  <si>
    <t>NUL8H1108</t>
  </si>
  <si>
    <t>NUL8H1109</t>
  </si>
  <si>
    <t>NUL8H1110</t>
  </si>
  <si>
    <t>NUL8H1111</t>
  </si>
  <si>
    <t>NUL8H1112</t>
  </si>
  <si>
    <t>NUL8H1113</t>
  </si>
  <si>
    <t>NUL8H1114</t>
  </si>
  <si>
    <t>NUL8H1115</t>
  </si>
  <si>
    <t>NUL8H1116</t>
  </si>
  <si>
    <t>NUL8H1117</t>
  </si>
  <si>
    <t>NUL8H1118</t>
  </si>
  <si>
    <t>NUL8H1119</t>
  </si>
  <si>
    <t>NUL8H1120</t>
  </si>
  <si>
    <t>NUL8H1121</t>
  </si>
  <si>
    <t>NUL8H1122</t>
  </si>
  <si>
    <t>NUL8H1123</t>
  </si>
  <si>
    <t>NUL8H1124</t>
  </si>
  <si>
    <t>NUL8H1125</t>
  </si>
  <si>
    <t>NUL8H1126</t>
  </si>
  <si>
    <t>NUL8H1127</t>
  </si>
  <si>
    <t>NUL8H1128</t>
  </si>
  <si>
    <t>NUL8H1129</t>
  </si>
  <si>
    <t>NUL8H1130</t>
  </si>
  <si>
    <t>NUL8H1131</t>
  </si>
  <si>
    <t>NUL8H1132</t>
  </si>
  <si>
    <t>NUL8H1133</t>
  </si>
  <si>
    <t>NUL8H1134</t>
  </si>
  <si>
    <t>NUL8H1135</t>
  </si>
  <si>
    <t>NUL8H1136</t>
  </si>
  <si>
    <t>NUL8H1137</t>
  </si>
  <si>
    <t>NUL8H1138</t>
  </si>
  <si>
    <t>NUL8H1139</t>
  </si>
  <si>
    <t>NUL8H1140</t>
  </si>
  <si>
    <t>NUL8H1141</t>
  </si>
  <si>
    <t>NUL8H1142</t>
  </si>
  <si>
    <t>NUL8H1143</t>
  </si>
  <si>
    <t>NUL8H1144</t>
  </si>
  <si>
    <t>NUL8H1145</t>
  </si>
  <si>
    <t>NUL8H1146</t>
  </si>
  <si>
    <t>NUL8H1147</t>
  </si>
  <si>
    <t>NUL8H1148</t>
  </si>
  <si>
    <t>NUL8H1149</t>
  </si>
  <si>
    <t>NUL8H1150</t>
  </si>
  <si>
    <t>NUL8H1151</t>
  </si>
  <si>
    <t>NUL8H1152</t>
  </si>
  <si>
    <t>NUL8H1153</t>
  </si>
  <si>
    <t>NUL8H1154</t>
  </si>
  <si>
    <t>NUL8H1155</t>
  </si>
  <si>
    <t>NUL8H1156</t>
  </si>
  <si>
    <t>NUL8H1157</t>
  </si>
  <si>
    <t>NUL8H1158</t>
  </si>
  <si>
    <t>NUL8H1159</t>
  </si>
  <si>
    <t>NUL8H1160</t>
  </si>
  <si>
    <t>NUL8H1161</t>
  </si>
  <si>
    <t>NUL8H1162</t>
  </si>
  <si>
    <t>NUL8H1163</t>
  </si>
  <si>
    <t>NUL8H1164</t>
  </si>
  <si>
    <t>NUL8H1165</t>
  </si>
  <si>
    <t>Info</t>
  </si>
  <si>
    <t>Dates</t>
  </si>
  <si>
    <t>Unhighlighted fields</t>
  </si>
  <si>
    <t xml:space="preserve">Only data in unhighlighted fields can be changed. </t>
  </si>
  <si>
    <t>Last Run Status / Last Run Error Message</t>
  </si>
  <si>
    <t>Red highlighted fields</t>
  </si>
  <si>
    <t>Grey highlighted fields</t>
  </si>
  <si>
    <t>Indicates fields that cannot be changed</t>
  </si>
  <si>
    <t>When automation has run for a particular test, we need to check the status is set to Passed and no error messages are present for each test before the automation run for that particular test is considered valid</t>
  </si>
  <si>
    <t>Indicates fields where unique data is required otherwise automation will throw errors</t>
  </si>
  <si>
    <t>Scheduled Weekly Hours</t>
  </si>
  <si>
    <t>ChangeOrganizationAssignments_DepartmentSection2</t>
  </si>
  <si>
    <t>Checking</t>
  </si>
  <si>
    <t>Defect Description</t>
  </si>
  <si>
    <t>Automation Comments</t>
  </si>
  <si>
    <t>QA Comments</t>
  </si>
  <si>
    <t>Grade Profile not populated causing salary to remain blank</t>
  </si>
  <si>
    <t>Passed</t>
  </si>
  <si>
    <t>Total</t>
  </si>
  <si>
    <t>Description</t>
  </si>
  <si>
    <t>Failed</t>
  </si>
  <si>
    <t>Personal Information Change Approval Email missing after 2nd and final  proxy into HR Manager</t>
  </si>
  <si>
    <t>Open button not available to assign paygroup for payroll. Approval required by David Bradley...</t>
  </si>
  <si>
    <t>Not Run</t>
  </si>
  <si>
    <t>Failed Tests Description</t>
  </si>
  <si>
    <t>Batch 1 - Summary</t>
  </si>
  <si>
    <t>Batch 1 - Defects</t>
  </si>
  <si>
    <t>Batch 2 - Defects</t>
  </si>
  <si>
    <t>Batch 2 - Summary</t>
  </si>
  <si>
    <t>All E2E Cycle 1 - Summary</t>
  </si>
  <si>
    <t>All E2E Cycle 1 - Defects</t>
  </si>
  <si>
    <t>%</t>
  </si>
  <si>
    <t>Total No.</t>
  </si>
  <si>
    <t>Executed</t>
  </si>
  <si>
    <t>Batch 3 - Summary</t>
  </si>
  <si>
    <t>Batch 3 - Defects</t>
  </si>
  <si>
    <t>GC - Under Investigation</t>
  </si>
  <si>
    <t>Data issue - Rerun scheduled</t>
  </si>
  <si>
    <t>Notes</t>
  </si>
  <si>
    <t>If a manager hire and new role is required then select "New Role and New Hire" otherwise select "New Hire</t>
  </si>
  <si>
    <t>If set to No will not execute in next automation run</t>
  </si>
  <si>
    <t>Once test is executed the Execution Timestamp and Pass/Fail status will be recorded here</t>
  </si>
  <si>
    <t>If Automation throws errors, the details will be placed here</t>
  </si>
  <si>
    <t>After error investigation by the automation team, the defect description will be completed here</t>
  </si>
  <si>
    <t>Automation team free text field</t>
  </si>
  <si>
    <t>QA team free text field</t>
  </si>
  <si>
    <t>Test_5</t>
  </si>
  <si>
    <t>Test_7</t>
  </si>
  <si>
    <t>Test_8</t>
  </si>
  <si>
    <t>Test_9</t>
  </si>
  <si>
    <t>Test_10</t>
  </si>
  <si>
    <t>Test_11</t>
  </si>
  <si>
    <t>Test_12</t>
  </si>
  <si>
    <t>Test_14</t>
  </si>
  <si>
    <t>Test_16</t>
  </si>
  <si>
    <t>Test_23</t>
  </si>
  <si>
    <t>Czechia</t>
  </si>
  <si>
    <t>Czechia (+420)</t>
  </si>
  <si>
    <t>Employment Agreement</t>
  </si>
  <si>
    <t>Agreement to complete a job</t>
  </si>
  <si>
    <t>Agreement to perform work</t>
  </si>
  <si>
    <t>Mobile</t>
  </si>
  <si>
    <t>Landline</t>
  </si>
  <si>
    <t>Vseobecne stredni s maturitou</t>
  </si>
  <si>
    <t>Iwona Chrostowska (10223439)</t>
  </si>
  <si>
    <t>SkillsAndExperience_AddEducation_School2</t>
  </si>
  <si>
    <t>HealthCareProvider_MealVoucher2</t>
  </si>
  <si>
    <t>DPP/DPC</t>
  </si>
  <si>
    <t>895 Store Management (Male Teststmanager (10224969))</t>
  </si>
  <si>
    <t>Reporting_ID</t>
  </si>
  <si>
    <t>0.3</t>
  </si>
  <si>
    <t>For Czech all dates to be entered in format of DD/MM/YYYY</t>
  </si>
  <si>
    <t>D.O.B</t>
  </si>
  <si>
    <t>stredni bez maturity ci vyucniho listu</t>
  </si>
  <si>
    <t>Střední odborné vzdělání s výučním listem</t>
  </si>
  <si>
    <t>stredni odborne vzdelani s vyucnim listem</t>
  </si>
  <si>
    <t>Střední bez maturity či výučního listu</t>
  </si>
  <si>
    <t>vseobecne stredni s maturitou</t>
  </si>
  <si>
    <t>Vysokoskolske Bc</t>
  </si>
  <si>
    <t>Všeobecné  střední s maturitou</t>
  </si>
  <si>
    <t>Vysokoškolské Bc.</t>
  </si>
  <si>
    <t>Automation issue with Maiden Name - Gary to discuss with Shane/Andre</t>
  </si>
  <si>
    <t>P&amp;C Salary Assistant/Supervisor Salary Configuration missing</t>
  </si>
  <si>
    <t>School1</t>
  </si>
  <si>
    <t>School2</t>
  </si>
  <si>
    <t>Vysokoškolské MUDr., JUDr., Mgr., MgA., Ing.</t>
  </si>
  <si>
    <t>vysokoskolske MUDR., JUDr., Mgr., MgA., Ing.</t>
  </si>
  <si>
    <t>Vysokoškolské PhDr, PhD, JUDr, MUDr</t>
  </si>
  <si>
    <t>vysokoskolske PhDr, PhD, JUDr, MUDr</t>
  </si>
  <si>
    <t>Základní</t>
  </si>
  <si>
    <t>Zakladni</t>
  </si>
  <si>
    <t>vyšší odborné DiS</t>
  </si>
  <si>
    <t>vyssi odborne DiS</t>
  </si>
  <si>
    <t>r col b</t>
  </si>
  <si>
    <t xml:space="preserve">r col c </t>
  </si>
  <si>
    <t xml:space="preserve">r col d </t>
  </si>
  <si>
    <t>Kocour Mikeš (10225553)</t>
  </si>
  <si>
    <t>New RC Numbers</t>
  </si>
  <si>
    <t>Spain</t>
  </si>
  <si>
    <t>Add Probation Period</t>
  </si>
  <si>
    <t>Additional Job Classifications</t>
  </si>
  <si>
    <t>362 Recruitment (Carolina De La Barrera Crespo (375))</t>
  </si>
  <si>
    <t>Madrid</t>
  </si>
  <si>
    <t>ContactInformation_Address_Province2</t>
  </si>
  <si>
    <t>Please select a Spanish Pay Group</t>
  </si>
  <si>
    <t>Social Security Number (NSS)</t>
  </si>
  <si>
    <t>ChangeMyGovernmentIDs_NationalIDs_NationalIDType12</t>
  </si>
  <si>
    <t>ChangeMyGovernmentIDs_NationalIDs_NationalIDType22</t>
  </si>
  <si>
    <t>Test_ID</t>
  </si>
  <si>
    <t>362 Algeciras</t>
  </si>
  <si>
    <t>ID Card (DNI) Number</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</si>
  <si>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</si>
  <si>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</si>
  <si>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</si>
  <si>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</si>
  <si>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ES Monthly - 15 payments</t>
  </si>
  <si>
    <t>PartTime_To_FullTime</t>
  </si>
  <si>
    <t>Promotion</t>
  </si>
  <si>
    <t>Employee ID</t>
  </si>
  <si>
    <t>Change Job</t>
  </si>
  <si>
    <t>Start</t>
  </si>
  <si>
    <t>New Manager</t>
  </si>
  <si>
    <t>New Team</t>
  </si>
  <si>
    <t>New Location</t>
  </si>
  <si>
    <t>Next Pay Period</t>
  </si>
  <si>
    <t>Job Title</t>
  </si>
  <si>
    <t>Location Details</t>
  </si>
  <si>
    <t>Job Classifications</t>
  </si>
  <si>
    <t>Pay Rate Type</t>
  </si>
  <si>
    <t>Default Weekly Hours</t>
  </si>
  <si>
    <t>Company</t>
  </si>
  <si>
    <t>Cost Centre</t>
  </si>
  <si>
    <t>Department</t>
  </si>
  <si>
    <t>Start Date</t>
  </si>
  <si>
    <t>End Date</t>
  </si>
  <si>
    <t>Username</t>
  </si>
  <si>
    <t>Password</t>
  </si>
  <si>
    <t>Country2</t>
  </si>
  <si>
    <t>Portugal</t>
  </si>
  <si>
    <t>ChangeJob_Start_Reason2</t>
  </si>
  <si>
    <t>ChangeJob_Start_NewManager2</t>
  </si>
  <si>
    <t>ChangeJob_Start_NewTeam2</t>
  </si>
  <si>
    <t>ChangeJob_Start_NewLocation2</t>
  </si>
  <si>
    <t>ChangeJob_Start_NextPayPeriod2</t>
  </si>
  <si>
    <t>ChangeJob_LocationDetails_WorkShift2</t>
  </si>
  <si>
    <t>Assignment Type</t>
  </si>
  <si>
    <t>First Day of Work</t>
  </si>
  <si>
    <t>Only needed if promoted to manager. Otherwise N/A</t>
  </si>
  <si>
    <t>Only needed if changing store. Otherwise N/A</t>
  </si>
  <si>
    <t>Choice of Salary/Hourly/</t>
  </si>
  <si>
    <t>Set to N/A if not promotion</t>
  </si>
  <si>
    <t>Set to N/A if department is the same</t>
  </si>
  <si>
    <t>Choice of Contractual Change/Promotion</t>
  </si>
  <si>
    <t>Choice of Permanent/Fixed</t>
  </si>
  <si>
    <t>Choice of Full Time/Part Time</t>
  </si>
  <si>
    <t>Portugal-Fixed_To_Permanent</t>
  </si>
  <si>
    <t>Change of Hours, Employee Type, Time Type, End Employment Date</t>
  </si>
  <si>
    <t>Should be 5 days for full time</t>
  </si>
  <si>
    <t>Set to 100 for full time for Spain &amp; 40 For FT Portugal</t>
  </si>
  <si>
    <t>For promotion must have value</t>
  </si>
  <si>
    <t>Salary</t>
  </si>
  <si>
    <t>Propose Compensation Change</t>
  </si>
  <si>
    <t>Portugal Supervisor needs amount = €1234</t>
  </si>
  <si>
    <t>Romania-Promotion, 
Portugal-PT_To_FT, 
Portugal-Fixed_To_Permanent</t>
  </si>
  <si>
    <t>Romania-Promotion</t>
  </si>
  <si>
    <t>Romania-Promotion, Portugal-Fixed_To_Permanent</t>
  </si>
  <si>
    <t>Romania-Promotion, Portugal-PT_To_FT</t>
  </si>
  <si>
    <t>Ireland</t>
  </si>
  <si>
    <t>FullTime_To_PartTime</t>
  </si>
  <si>
    <t>Demotion</t>
  </si>
  <si>
    <t>Slovakia</t>
  </si>
  <si>
    <t>Slovenia</t>
  </si>
  <si>
    <t>USA</t>
  </si>
  <si>
    <t>UK</t>
  </si>
  <si>
    <t>Italy</t>
  </si>
  <si>
    <t>France</t>
  </si>
  <si>
    <t>Romania</t>
  </si>
  <si>
    <t>Belgium</t>
  </si>
  <si>
    <t>Promotion_To_Manager</t>
  </si>
  <si>
    <t>Step Back</t>
  </si>
  <si>
    <t>Grade Profile</t>
  </si>
  <si>
    <t>Step</t>
  </si>
  <si>
    <t>ProposeCompensationHire</t>
  </si>
  <si>
    <t>for Demotion</t>
  </si>
  <si>
    <t>Assign Collective Agreement</t>
  </si>
  <si>
    <t>Collective Agreement</t>
  </si>
  <si>
    <t>Professional Category</t>
  </si>
  <si>
    <t>Level</t>
  </si>
  <si>
    <t>ContractAddendumInfo</t>
  </si>
  <si>
    <t>TerminateAddendumEffectiveDate</t>
  </si>
  <si>
    <t>AddendumEndDate</t>
  </si>
  <si>
    <t>AddendumCreationDate</t>
  </si>
  <si>
    <t>65b795c1bf6d6c61cb007af2857d7d25d389ffbd49fc2e3cd7e638df</t>
  </si>
  <si>
    <t>Test_1</t>
  </si>
  <si>
    <t>Test_2</t>
  </si>
  <si>
    <t>Test_3</t>
  </si>
  <si>
    <t>Test_4</t>
  </si>
  <si>
    <t>Test_6</t>
  </si>
  <si>
    <t>Test_13</t>
  </si>
  <si>
    <t>Test_15</t>
  </si>
  <si>
    <t>Test_17</t>
  </si>
  <si>
    <t>Test_18</t>
  </si>
  <si>
    <t>Test_19</t>
  </si>
  <si>
    <t>Test_20</t>
  </si>
  <si>
    <t>Test_21</t>
  </si>
  <si>
    <t>Test_22</t>
  </si>
  <si>
    <t>Test_24</t>
  </si>
  <si>
    <t>Test_25</t>
  </si>
  <si>
    <t>Test_26</t>
  </si>
  <si>
    <t>Test_27</t>
  </si>
  <si>
    <t>Test_28</t>
  </si>
  <si>
    <t>Test_29</t>
  </si>
  <si>
    <t>Test_30</t>
  </si>
  <si>
    <t>Test_31</t>
  </si>
  <si>
    <t>Test_32</t>
  </si>
  <si>
    <t>Test_33</t>
  </si>
  <si>
    <t>Test_34</t>
  </si>
  <si>
    <t>Test_35</t>
  </si>
  <si>
    <t>Test_36</t>
  </si>
  <si>
    <t>Test_37</t>
  </si>
  <si>
    <t>Test_38</t>
  </si>
  <si>
    <t>Test_39</t>
  </si>
  <si>
    <t>Test_40</t>
  </si>
  <si>
    <t>Test_41</t>
  </si>
  <si>
    <t>Test_42</t>
  </si>
  <si>
    <t>Test_43</t>
  </si>
  <si>
    <t>Test_44</t>
  </si>
  <si>
    <t>Test_45</t>
  </si>
  <si>
    <t>Test_46</t>
  </si>
  <si>
    <t>Test_47</t>
  </si>
  <si>
    <t>Test_48</t>
  </si>
  <si>
    <t>Test_49</t>
  </si>
  <si>
    <t>Test_50</t>
  </si>
  <si>
    <t>Test_51</t>
  </si>
  <si>
    <t>Test_52</t>
  </si>
  <si>
    <t>Test_53</t>
  </si>
  <si>
    <t>Test_54</t>
  </si>
  <si>
    <t>Test_55</t>
  </si>
  <si>
    <t>Test_56</t>
  </si>
  <si>
    <t>Test_57</t>
  </si>
  <si>
    <t>Test_58</t>
  </si>
  <si>
    <t>Test_59</t>
  </si>
  <si>
    <t>Test_60</t>
  </si>
  <si>
    <t>Test_61</t>
  </si>
  <si>
    <t>Test_62</t>
  </si>
  <si>
    <t>Test_63</t>
  </si>
  <si>
    <t>Test_64</t>
  </si>
  <si>
    <t>Test_65</t>
  </si>
  <si>
    <t>Test_66</t>
  </si>
  <si>
    <t>Test_67</t>
  </si>
  <si>
    <t>Test_68</t>
  </si>
  <si>
    <t>Test_69</t>
  </si>
  <si>
    <t>Test_70</t>
  </si>
  <si>
    <t>Test_71</t>
  </si>
  <si>
    <t>Test_72</t>
  </si>
  <si>
    <t>Test_73</t>
  </si>
  <si>
    <t>Test_74</t>
  </si>
  <si>
    <t>Test_75</t>
  </si>
  <si>
    <t>Test_76</t>
  </si>
  <si>
    <t>Test_77</t>
  </si>
  <si>
    <t>Test_78</t>
  </si>
  <si>
    <t>Test_79</t>
  </si>
  <si>
    <t>Test_80</t>
  </si>
  <si>
    <t>Test_81</t>
  </si>
  <si>
    <t>Test_82</t>
  </si>
  <si>
    <t>Test_83</t>
  </si>
  <si>
    <t>Test_84</t>
  </si>
  <si>
    <t>Test_85</t>
  </si>
  <si>
    <t>Test_86</t>
  </si>
  <si>
    <t>Test_87</t>
  </si>
  <si>
    <t>Test_88</t>
  </si>
  <si>
    <t>Test_89</t>
  </si>
  <si>
    <t>Test_90</t>
  </si>
  <si>
    <t>Test_91</t>
  </si>
  <si>
    <t>Test_92</t>
  </si>
  <si>
    <t>Test_93</t>
  </si>
  <si>
    <t>Test_94</t>
  </si>
  <si>
    <t>Test_95</t>
  </si>
  <si>
    <t>Test_96</t>
  </si>
  <si>
    <t>Test_97</t>
  </si>
  <si>
    <t>Test_98</t>
  </si>
  <si>
    <t>Test_99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</si>
</sst>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0" x14ac:knownFonts="1">
    <font>
      <sz val="11"/>
      <color theme="1"/>
      <name val="Calibri"/>
      <family val="2"/>
      <scheme val="minor"/>
    </font>
    <font>
      <b/>
      <sz val="10"/>
      <color theme="1"/>
      <name val="Calibri"/>
      <family val="2"/>
      <scheme val="minor"/>
    </font>
    <font>
      <sz val="8"/>
      <color theme="1"/>
      <name val="Arial Narrow"/>
      <family val="2"/>
    </font>
    <font>
      <b/>
      <sz val="11"/>
      <color theme="1"/>
      <name val="Calibri"/>
      <family val="2"/>
      <scheme val="minor"/>
    </font>
    <font>
      <b/>
      <sz val="10"/>
      <color rgb="FF000000"/>
      <name val="Calibri"/>
      <family val="2"/>
    </font>
    <font>
      <b/>
      <sz val="11"/>
      <color theme="1"/>
      <name val="Calibri"/>
      <family val="2"/>
    </font>
    <font>
      <b/>
      <sz val="11"/>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0" tint="-0.34998626667073579"/>
      <name val="Calibri"/>
      <family val="2"/>
      <scheme val="minor"/>
    </font>
    <font>
      <sz val="11"/>
      <color theme="8"/>
      <name val="Calibri"/>
      <family val="2"/>
      <scheme val="minor"/>
    </font>
    <font>
      <sz val="11"/>
      <color rgb="FF800000"/>
      <name val="Calibri"/>
      <family val="2"/>
      <scheme val="minor"/>
    </font>
    <font>
      <u/>
      <sz val="11"/>
      <color theme="10"/>
      <name val="Calibri"/>
      <family val="2"/>
      <scheme val="minor"/>
    </font>
    <font>
      <sz val="14"/>
      <color theme="1"/>
      <name val="Arial Narrow"/>
      <family val="2"/>
    </font>
    <font>
      <sz val="14"/>
      <color rgb="FF4A4A4A"/>
      <name val="Arial Narrow"/>
      <family val="2"/>
    </font>
    <font>
      <sz val="8"/>
      <name val="Calibri"/>
      <family val="2"/>
      <scheme val="minor"/>
    </font>
    <font>
      <sz val="14"/>
      <color theme="1"/>
      <name val="Arial"/>
      <family val="2"/>
    </font>
    <font>
      <sz val="11"/>
      <color theme="1"/>
      <name val="Arial Narrow"/>
      <family val="2"/>
    </font>
    <font>
      <b/>
      <sz val="11"/>
      <color theme="1"/>
      <name val="Arial Narrow"/>
      <family val="2"/>
    </font>
  </fonts>
  <fills count="13">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3" tint="0.79998168889431442"/>
        <bgColor indexed="64"/>
      </patternFill>
    </fill>
  </fills>
  <borders count="57">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style="thin">
        <color auto="1"/>
      </left>
      <right/>
      <top style="thin">
        <color auto="1"/>
      </top>
      <bottom style="thin">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indexed="64"/>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top style="thin">
        <color auto="1"/>
      </top>
      <bottom style="medium">
        <color indexed="64"/>
      </bottom>
      <diagonal/>
    </border>
    <border>
      <left style="medium">
        <color indexed="64"/>
      </left>
      <right/>
      <top/>
      <bottom style="thin">
        <color auto="1"/>
      </bottom>
      <diagonal/>
    </border>
  </borders>
  <cellStyleXfs count="3">
    <xf numFmtId="0" fontId="0" fillId="0" borderId="0"/>
    <xf numFmtId="0" fontId="2" fillId="0" borderId="0"/>
    <xf numFmtId="0" fontId="13" fillId="0" borderId="0" applyNumberFormat="0" applyFill="0" applyBorder="0" applyAlignment="0" applyProtection="0"/>
  </cellStyleXfs>
  <cellXfs count="210">
    <xf numFmtId="0" fontId="0" fillId="0" borderId="0" xfId="0"/>
    <xf numFmtId="0" fontId="0" fillId="0" borderId="1" xfId="0" applyBorder="1"/>
    <xf numFmtId="0" fontId="0" fillId="0" borderId="7" xfId="0" applyBorder="1"/>
    <xf numFmtId="0" fontId="0" fillId="0" borderId="9" xfId="0" applyBorder="1"/>
    <xf numFmtId="0" fontId="0" fillId="0" borderId="11" xfId="0" applyBorder="1"/>
    <xf numFmtId="0" fontId="0" fillId="0" borderId="17" xfId="0" applyBorder="1"/>
    <xf numFmtId="0" fontId="0" fillId="0" borderId="14" xfId="0" applyBorder="1"/>
    <xf numFmtId="0" fontId="0" fillId="2" borderId="7" xfId="0" applyFill="1" applyBorder="1" applyAlignment="1">
      <alignment horizontal="left"/>
    </xf>
    <xf numFmtId="0" fontId="0" fillId="0" borderId="0" xfId="0" applyAlignment="1">
      <alignment horizontal="left"/>
    </xf>
    <xf numFmtId="0" fontId="0" fillId="3" borderId="4" xfId="0" applyFill="1" applyBorder="1" applyAlignment="1">
      <alignment horizontal="left"/>
    </xf>
    <xf numFmtId="0" fontId="0" fillId="3" borderId="5" xfId="0" applyFill="1" applyBorder="1" applyAlignment="1">
      <alignment horizontal="left"/>
    </xf>
    <xf numFmtId="0" fontId="0" fillId="4" borderId="0" xfId="0" applyFill="1" applyAlignment="1">
      <alignment horizontal="left"/>
    </xf>
    <xf numFmtId="0" fontId="1" fillId="3" borderId="2" xfId="0" applyFont="1" applyFill="1" applyBorder="1" applyAlignment="1">
      <alignment horizontal="center" vertical="center"/>
    </xf>
    <xf numFmtId="0" fontId="0" fillId="0" borderId="20" xfId="0" applyBorder="1"/>
    <xf numFmtId="0" fontId="0" fillId="0" borderId="24" xfId="0" applyBorder="1"/>
    <xf numFmtId="0" fontId="0" fillId="0" borderId="25" xfId="0" applyBorder="1"/>
    <xf numFmtId="0" fontId="0" fillId="0" borderId="26" xfId="0" applyBorder="1"/>
    <xf numFmtId="0" fontId="0" fillId="0" borderId="27" xfId="0" applyBorder="1"/>
    <xf numFmtId="0" fontId="7" fillId="0" borderId="20" xfId="0" applyFont="1" applyBorder="1" applyAlignment="1">
      <alignment vertical="center"/>
    </xf>
    <xf numFmtId="0" fontId="0" fillId="0" borderId="21" xfId="0" applyBorder="1"/>
    <xf numFmtId="0" fontId="0" fillId="0" borderId="22" xfId="0" applyBorder="1"/>
    <xf numFmtId="0" fontId="4" fillId="3" borderId="28" xfId="0" applyFont="1" applyFill="1" applyBorder="1" applyAlignment="1">
      <alignment horizontal="left" vertical="center"/>
    </xf>
    <xf numFmtId="0" fontId="4" fillId="3" borderId="14" xfId="0" applyFont="1" applyFill="1" applyBorder="1" applyAlignment="1">
      <alignment horizontal="center" vertical="center"/>
    </xf>
    <xf numFmtId="0" fontId="0" fillId="3" borderId="30" xfId="0" applyFill="1" applyBorder="1" applyAlignment="1">
      <alignment horizontal="left"/>
    </xf>
    <xf numFmtId="0" fontId="4" fillId="3" borderId="31" xfId="0" applyFont="1" applyFill="1" applyBorder="1" applyAlignment="1">
      <alignment horizontal="center" vertical="center"/>
    </xf>
    <xf numFmtId="0" fontId="0" fillId="2" borderId="0" xfId="0" applyFill="1"/>
    <xf numFmtId="0" fontId="0" fillId="2" borderId="13" xfId="0" applyFill="1" applyBorder="1"/>
    <xf numFmtId="0" fontId="0" fillId="2" borderId="16" xfId="0" applyFill="1" applyBorder="1"/>
    <xf numFmtId="0" fontId="7" fillId="2" borderId="20" xfId="0" applyFont="1" applyFill="1" applyBorder="1" applyAlignment="1">
      <alignment vertical="center"/>
    </xf>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8" fillId="0" borderId="14" xfId="0" applyFont="1" applyBorder="1"/>
    <xf numFmtId="0" fontId="8" fillId="0" borderId="21" xfId="0" applyFont="1" applyBorder="1"/>
    <xf numFmtId="0" fontId="10" fillId="4" borderId="0" xfId="0" applyFont="1" applyFill="1" applyAlignment="1">
      <alignment horizontal="left"/>
    </xf>
    <xf numFmtId="0" fontId="0" fillId="0" borderId="0" xfId="0" quotePrefix="1" applyAlignment="1" applyProtection="1">
      <alignment horizontal="left"/>
      <protection locked="0"/>
    </xf>
    <xf numFmtId="0" fontId="4" fillId="3" borderId="32" xfId="0" applyFont="1" applyFill="1" applyBorder="1" applyAlignment="1">
      <alignment horizontal="center" vertical="center"/>
    </xf>
    <xf numFmtId="0" fontId="6" fillId="0" borderId="21" xfId="0" applyFont="1" applyBorder="1" applyAlignment="1" applyProtection="1">
      <alignment horizontal="center" vertical="center"/>
      <protection locked="0"/>
    </xf>
    <xf numFmtId="0" fontId="5" fillId="3" borderId="7" xfId="0" applyFont="1" applyFill="1" applyBorder="1" applyAlignment="1" applyProtection="1">
      <alignment horizontal="center" vertical="center"/>
      <protection locked="0"/>
    </xf>
    <xf numFmtId="164" fontId="0" fillId="0" borderId="7" xfId="0" quotePrefix="1" applyNumberFormat="1" applyBorder="1" applyAlignment="1" applyProtection="1">
      <alignment horizontal="left"/>
      <protection locked="0"/>
    </xf>
    <xf numFmtId="0" fontId="8" fillId="0" borderId="2" xfId="0" applyFont="1" applyBorder="1"/>
    <xf numFmtId="0" fontId="0" fillId="3" borderId="23" xfId="0" applyFill="1" applyBorder="1" applyAlignment="1">
      <alignment horizontal="left"/>
    </xf>
    <xf numFmtId="0" fontId="8" fillId="0" borderId="15" xfId="0" quotePrefix="1" applyFont="1" applyBorder="1"/>
    <xf numFmtId="0" fontId="0" fillId="0" borderId="31" xfId="0" quotePrefix="1" applyBorder="1"/>
    <xf numFmtId="0" fontId="0" fillId="0" borderId="1" xfId="0" quotePrefix="1" applyBorder="1"/>
    <xf numFmtId="14" fontId="0" fillId="0" borderId="35" xfId="0" applyNumberFormat="1" applyBorder="1"/>
    <xf numFmtId="0" fontId="0" fillId="0" borderId="36" xfId="0" applyBorder="1"/>
    <xf numFmtId="0" fontId="0" fillId="0" borderId="37" xfId="0" applyBorder="1"/>
    <xf numFmtId="0" fontId="0" fillId="0" borderId="5" xfId="0" applyBorder="1"/>
    <xf numFmtId="0" fontId="0" fillId="0" borderId="38" xfId="0" applyBorder="1"/>
    <xf numFmtId="0" fontId="0" fillId="0" borderId="39" xfId="0" applyBorder="1"/>
    <xf numFmtId="0" fontId="0" fillId="0" borderId="40" xfId="0" applyBorder="1"/>
    <xf numFmtId="0" fontId="0" fillId="0" borderId="4" xfId="0" applyBorder="1"/>
    <xf numFmtId="0" fontId="0" fillId="0" borderId="41" xfId="0" applyBorder="1"/>
    <xf numFmtId="0" fontId="0" fillId="0" borderId="37"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18"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43" xfId="0" applyFont="1" applyFill="1" applyBorder="1" applyAlignment="1">
      <alignment horizontal="center" vertical="center"/>
    </xf>
    <xf numFmtId="0" fontId="4" fillId="3" borderId="34" xfId="0" applyFont="1" applyFill="1" applyBorder="1" applyAlignment="1">
      <alignment horizontal="center" vertical="center"/>
    </xf>
    <xf numFmtId="0" fontId="5" fillId="3" borderId="7" xfId="0" applyFont="1" applyFill="1" applyBorder="1" applyAlignment="1" applyProtection="1">
      <alignment horizontal="center" vertical="center" wrapText="1"/>
      <protection locked="0"/>
    </xf>
    <xf numFmtId="0" fontId="0" fillId="0" borderId="0" xfId="0" applyAlignment="1">
      <alignment horizontal="center"/>
    </xf>
    <xf numFmtId="0" fontId="9" fillId="6" borderId="0" xfId="0" applyFont="1" applyFill="1"/>
    <xf numFmtId="0" fontId="0" fillId="6" borderId="0" xfId="0" applyFill="1" applyAlignment="1">
      <alignment horizontal="center"/>
    </xf>
    <xf numFmtId="0" fontId="0" fillId="6" borderId="0" xfId="0" applyFill="1"/>
    <xf numFmtId="0" fontId="3" fillId="6" borderId="29" xfId="0" applyFont="1" applyFill="1" applyBorder="1" applyAlignment="1">
      <alignment horizontal="center"/>
    </xf>
    <xf numFmtId="0" fontId="9" fillId="7" borderId="0" xfId="0" applyFont="1" applyFill="1"/>
    <xf numFmtId="0" fontId="0" fillId="7" borderId="0" xfId="0" applyFill="1" applyAlignment="1">
      <alignment horizontal="center"/>
    </xf>
    <xf numFmtId="0" fontId="0" fillId="7" borderId="0" xfId="0" applyFill="1"/>
    <xf numFmtId="0" fontId="3" fillId="7" borderId="12" xfId="0" applyFont="1" applyFill="1" applyBorder="1"/>
    <xf numFmtId="0" fontId="3" fillId="7" borderId="22" xfId="0" applyFont="1" applyFill="1" applyBorder="1" applyAlignment="1">
      <alignment horizontal="center"/>
    </xf>
    <xf numFmtId="0" fontId="3" fillId="7" borderId="0" xfId="0" applyFont="1" applyFill="1"/>
    <xf numFmtId="0" fontId="3" fillId="7" borderId="28" xfId="0" applyFont="1" applyFill="1" applyBorder="1"/>
    <xf numFmtId="0" fontId="3" fillId="7" borderId="29" xfId="0" applyFont="1" applyFill="1" applyBorder="1" applyAlignment="1">
      <alignment horizontal="center"/>
    </xf>
    <xf numFmtId="0" fontId="0" fillId="7" borderId="4" xfId="0" applyFill="1" applyBorder="1"/>
    <xf numFmtId="0" fontId="0" fillId="7" borderId="41" xfId="0" applyFill="1" applyBorder="1" applyAlignment="1">
      <alignment horizontal="center"/>
    </xf>
    <xf numFmtId="0" fontId="0" fillId="7" borderId="5" xfId="0" applyFill="1" applyBorder="1"/>
    <xf numFmtId="0" fontId="0" fillId="7" borderId="37" xfId="0" applyFill="1" applyBorder="1" applyAlignment="1">
      <alignment horizontal="center"/>
    </xf>
    <xf numFmtId="0" fontId="0" fillId="7" borderId="46" xfId="0" applyFill="1" applyBorder="1"/>
    <xf numFmtId="0" fontId="0" fillId="7" borderId="47" xfId="0" applyFill="1" applyBorder="1" applyAlignment="1">
      <alignment horizontal="center"/>
    </xf>
    <xf numFmtId="0" fontId="0" fillId="7" borderId="35" xfId="0" applyFill="1" applyBorder="1" applyAlignment="1">
      <alignment wrapText="1"/>
    </xf>
    <xf numFmtId="0" fontId="0" fillId="7" borderId="36" xfId="0" applyFill="1" applyBorder="1" applyAlignment="1">
      <alignment horizontal="center"/>
    </xf>
    <xf numFmtId="0" fontId="0" fillId="7" borderId="5" xfId="0" applyFill="1" applyBorder="1" applyAlignment="1">
      <alignment wrapText="1"/>
    </xf>
    <xf numFmtId="1" fontId="0" fillId="6" borderId="36" xfId="0" applyNumberFormat="1" applyFill="1" applyBorder="1" applyAlignment="1">
      <alignment horizontal="center"/>
    </xf>
    <xf numFmtId="0" fontId="3" fillId="6" borderId="14" xfId="0" applyFont="1" applyFill="1" applyBorder="1"/>
    <xf numFmtId="0" fontId="3" fillId="6" borderId="14" xfId="0" applyFont="1" applyFill="1" applyBorder="1" applyAlignment="1">
      <alignment horizontal="center"/>
    </xf>
    <xf numFmtId="1" fontId="0" fillId="6" borderId="37" xfId="0" applyNumberFormat="1" applyFill="1" applyBorder="1" applyAlignment="1">
      <alignment horizontal="center"/>
    </xf>
    <xf numFmtId="1" fontId="0" fillId="6" borderId="47" xfId="0" applyNumberFormat="1" applyFill="1" applyBorder="1" applyAlignment="1">
      <alignment horizontal="center"/>
    </xf>
    <xf numFmtId="1" fontId="3" fillId="6" borderId="29" xfId="0" applyNumberFormat="1" applyFont="1" applyFill="1" applyBorder="1" applyAlignment="1">
      <alignment horizontal="center"/>
    </xf>
    <xf numFmtId="1" fontId="0" fillId="6" borderId="41" xfId="0" applyNumberFormat="1" applyFill="1" applyBorder="1" applyAlignment="1">
      <alignment horizontal="center"/>
    </xf>
    <xf numFmtId="0" fontId="0" fillId="6" borderId="48" xfId="0" applyFill="1" applyBorder="1" applyAlignment="1">
      <alignment horizontal="center"/>
    </xf>
    <xf numFmtId="0" fontId="0" fillId="6" borderId="18" xfId="0" applyFill="1" applyBorder="1" applyAlignment="1">
      <alignment horizontal="center"/>
    </xf>
    <xf numFmtId="0" fontId="0" fillId="6" borderId="44" xfId="0" applyFill="1" applyBorder="1" applyAlignment="1">
      <alignment horizontal="center"/>
    </xf>
    <xf numFmtId="0" fontId="0" fillId="6" borderId="6" xfId="0" applyFill="1" applyBorder="1"/>
    <xf numFmtId="0" fontId="0" fillId="6" borderId="7" xfId="0" applyFill="1" applyBorder="1"/>
    <xf numFmtId="0" fontId="0" fillId="6" borderId="33" xfId="0" applyFill="1" applyBorder="1"/>
    <xf numFmtId="0" fontId="0" fillId="6" borderId="45" xfId="0" applyFill="1" applyBorder="1" applyAlignment="1">
      <alignment horizontal="center"/>
    </xf>
    <xf numFmtId="0" fontId="3" fillId="6" borderId="2" xfId="0" applyFont="1" applyFill="1" applyBorder="1"/>
    <xf numFmtId="0" fontId="3" fillId="6" borderId="3" xfId="0" applyFont="1" applyFill="1" applyBorder="1" applyAlignment="1">
      <alignment horizontal="center"/>
    </xf>
    <xf numFmtId="0" fontId="3" fillId="7" borderId="0" xfId="0" applyFont="1" applyFill="1" applyAlignment="1">
      <alignment horizontal="center"/>
    </xf>
    <xf numFmtId="0" fontId="3" fillId="7" borderId="49" xfId="0" applyFont="1" applyFill="1" applyBorder="1"/>
    <xf numFmtId="0" fontId="3" fillId="7" borderId="50" xfId="0" applyFont="1" applyFill="1" applyBorder="1" applyAlignment="1">
      <alignment horizontal="center"/>
    </xf>
    <xf numFmtId="0" fontId="0" fillId="7" borderId="4" xfId="0" applyFill="1" applyBorder="1" applyAlignment="1">
      <alignment wrapText="1"/>
    </xf>
    <xf numFmtId="0" fontId="3" fillId="7" borderId="40" xfId="0" applyFont="1" applyFill="1" applyBorder="1" applyAlignment="1">
      <alignment horizontal="center"/>
    </xf>
    <xf numFmtId="0" fontId="0" fillId="7" borderId="38" xfId="0" applyFill="1" applyBorder="1"/>
    <xf numFmtId="0" fontId="0" fillId="6" borderId="34" xfId="0" applyFill="1" applyBorder="1" applyAlignment="1">
      <alignment horizontal="center"/>
    </xf>
    <xf numFmtId="0" fontId="3" fillId="6" borderId="45"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3" xfId="0" applyFill="1" applyBorder="1" applyAlignment="1">
      <alignment wrapText="1"/>
    </xf>
    <xf numFmtId="0" fontId="4" fillId="3" borderId="2" xfId="0" applyFont="1" applyFill="1" applyBorder="1" applyAlignment="1">
      <alignment horizontal="center" vertical="center"/>
    </xf>
    <xf numFmtId="0" fontId="4" fillId="3" borderId="21"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51" xfId="0" applyFont="1" applyFill="1" applyBorder="1" applyAlignment="1">
      <alignment horizontal="left" vertical="center"/>
    </xf>
    <xf numFmtId="0" fontId="4" fillId="3" borderId="52" xfId="0" applyFont="1" applyFill="1" applyBorder="1" applyAlignment="1">
      <alignment horizontal="center" vertical="center"/>
    </xf>
    <xf numFmtId="0" fontId="4" fillId="3" borderId="42" xfId="0" applyFont="1" applyFill="1" applyBorder="1" applyAlignment="1">
      <alignment horizontal="center" vertical="center"/>
    </xf>
    <xf numFmtId="0" fontId="4" fillId="3" borderId="53" xfId="0" applyFont="1" applyFill="1" applyBorder="1" applyAlignment="1">
      <alignment horizontal="center" vertical="center"/>
    </xf>
    <xf numFmtId="0" fontId="0" fillId="3" borderId="54" xfId="0" applyFill="1" applyBorder="1"/>
    <xf numFmtId="0" fontId="0" fillId="3" borderId="44" xfId="0" applyFill="1" applyBorder="1"/>
    <xf numFmtId="0" fontId="1" fillId="3" borderId="21" xfId="0" applyFont="1" applyFill="1" applyBorder="1" applyAlignment="1">
      <alignment horizontal="center" vertical="center"/>
    </xf>
    <xf numFmtId="0" fontId="0" fillId="0" borderId="17" xfId="0" applyBorder="1" applyAlignment="1">
      <alignment horizontal="left"/>
    </xf>
    <xf numFmtId="0" fontId="5" fillId="4" borderId="0" xfId="0" applyFont="1" applyFill="1" applyAlignment="1" applyProtection="1">
      <alignment horizontal="center" vertical="center"/>
      <protection locked="0"/>
    </xf>
    <xf numFmtId="0" fontId="4" fillId="4" borderId="0" xfId="0" applyFont="1" applyFill="1" applyAlignment="1">
      <alignment horizontal="center" vertical="center"/>
    </xf>
    <xf numFmtId="0" fontId="5" fillId="4" borderId="0" xfId="0" applyFont="1" applyFill="1" applyAlignment="1" applyProtection="1">
      <alignment horizontal="center" vertical="center" wrapText="1"/>
      <protection locked="0"/>
    </xf>
    <xf numFmtId="0" fontId="4" fillId="3" borderId="2" xfId="0" applyFont="1" applyFill="1" applyBorder="1" applyAlignment="1">
      <alignment horizontal="left" vertical="center"/>
    </xf>
    <xf numFmtId="0" fontId="4" fillId="3" borderId="3" xfId="0" applyFont="1" applyFill="1" applyBorder="1" applyAlignment="1">
      <alignment horizontal="center" vertical="center"/>
    </xf>
    <xf numFmtId="0" fontId="4" fillId="3" borderId="13" xfId="0" applyFont="1" applyFill="1" applyBorder="1" applyAlignment="1">
      <alignment horizontal="center" vertical="center"/>
    </xf>
    <xf numFmtId="0" fontId="5" fillId="0" borderId="7"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5" fillId="0" borderId="19"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55" xfId="0" applyFont="1" applyBorder="1" applyAlignment="1" applyProtection="1">
      <alignment horizontal="center" vertical="center"/>
      <protection locked="0"/>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56" xfId="0" applyFont="1" applyFill="1" applyBorder="1" applyAlignment="1">
      <alignment horizontal="center" vertical="center"/>
    </xf>
    <xf numFmtId="0" fontId="4" fillId="3" borderId="11" xfId="0" applyFont="1" applyFill="1" applyBorder="1" applyAlignment="1">
      <alignment horizontal="center" vertical="center" wrapText="1"/>
    </xf>
    <xf numFmtId="0" fontId="3" fillId="0" borderId="2" xfId="0" applyFont="1" applyBorder="1" applyAlignment="1">
      <alignment wrapText="1"/>
    </xf>
    <xf numFmtId="0" fontId="4" fillId="3" borderId="0" xfId="0" applyFont="1" applyFill="1" applyAlignment="1">
      <alignment horizontal="center" vertical="center"/>
    </xf>
    <xf numFmtId="0" fontId="4" fillId="3" borderId="2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pplyProtection="1">
      <alignment horizontal="left"/>
      <protection locked="0"/>
    </xf>
    <xf numFmtId="0" fontId="3" fillId="0" borderId="0" xfId="0" applyFont="1"/>
    <xf numFmtId="14" fontId="3" fillId="0" borderId="0" xfId="0" applyNumberFormat="1" applyFont="1"/>
    <xf numFmtId="0" fontId="11" fillId="0" borderId="0" xfId="0" applyFont="1"/>
    <xf numFmtId="14" fontId="0" fillId="2" borderId="1" xfId="0" applyNumberFormat="1" applyFill="1" applyBorder="1" applyAlignment="1">
      <alignment horizontal="left"/>
    </xf>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0" fillId="10" borderId="6" xfId="0" applyFill="1" applyBorder="1" applyAlignment="1">
      <alignment horizontal="left"/>
    </xf>
    <xf numFmtId="0" fontId="0" fillId="10" borderId="7" xfId="0" applyFill="1" applyBorder="1" applyAlignment="1">
      <alignment horizontal="left"/>
    </xf>
    <xf numFmtId="0" fontId="0" fillId="2" borderId="20" xfId="0" applyFill="1" applyBorder="1"/>
    <xf numFmtId="0" fontId="0" fillId="0" borderId="0" xfId="0" applyAlignment="1">
      <alignment wrapText="1"/>
    </xf>
    <xf numFmtId="0" fontId="5" fillId="3" borderId="33" xfId="0" applyFont="1" applyFill="1" applyBorder="1" applyAlignment="1" applyProtection="1">
      <alignment horizontal="center" vertical="center"/>
      <protection locked="0"/>
    </xf>
    <xf numFmtId="0" fontId="0" fillId="2" borderId="1" xfId="0" applyFill="1" applyBorder="1" applyAlignment="1" applyProtection="1">
      <alignment horizontal="left"/>
      <protection locked="0"/>
    </xf>
    <xf numFmtId="0" fontId="0" fillId="2" borderId="5" xfId="0" applyFill="1" applyBorder="1" applyAlignment="1">
      <alignment horizontal="left"/>
    </xf>
    <xf numFmtId="0" fontId="0" fillId="2" borderId="23" xfId="0" applyFill="1" applyBorder="1" applyAlignment="1">
      <alignment horizontal="left"/>
    </xf>
    <xf numFmtId="0" fontId="0" fillId="2" borderId="44" xfId="0" applyFill="1" applyBorder="1"/>
    <xf numFmtId="0" fontId="4" fillId="2" borderId="32" xfId="0" applyFont="1" applyFill="1" applyBorder="1" applyAlignment="1">
      <alignment horizontal="center" vertical="center"/>
    </xf>
    <xf numFmtId="0" fontId="4" fillId="2" borderId="56" xfId="0" applyFont="1" applyFill="1" applyBorder="1" applyAlignment="1">
      <alignment horizontal="center" vertical="center"/>
    </xf>
    <xf numFmtId="0" fontId="0" fillId="11" borderId="0" xfId="0" applyFill="1"/>
    <xf numFmtId="0" fontId="0" fillId="11" borderId="5" xfId="0" applyFill="1" applyBorder="1" applyAlignment="1">
      <alignment horizontal="left"/>
    </xf>
    <xf numFmtId="0" fontId="0" fillId="11" borderId="23" xfId="0" applyFill="1" applyBorder="1" applyAlignment="1">
      <alignment horizontal="left"/>
    </xf>
    <xf numFmtId="0" fontId="0" fillId="11" borderId="7" xfId="0" applyFill="1" applyBorder="1" applyAlignment="1">
      <alignment horizontal="left"/>
    </xf>
    <xf numFmtId="0" fontId="0" fillId="11" borderId="44" xfId="0" applyFill="1" applyBorder="1"/>
    <xf numFmtId="0" fontId="4" fillId="11" borderId="32" xfId="0" applyFont="1" applyFill="1" applyBorder="1" applyAlignment="1">
      <alignment horizontal="center" vertical="center"/>
    </xf>
    <xf numFmtId="0" fontId="4" fillId="11" borderId="56" xfId="0" applyFont="1" applyFill="1" applyBorder="1" applyAlignment="1">
      <alignment horizontal="center" vertical="center"/>
    </xf>
    <xf numFmtId="0" fontId="0" fillId="12" borderId="0" xfId="0" applyFill="1"/>
    <xf numFmtId="0" fontId="0" fillId="12" borderId="5" xfId="0" applyFill="1" applyBorder="1" applyAlignment="1">
      <alignment horizontal="left"/>
    </xf>
    <xf numFmtId="0" fontId="0" fillId="12" borderId="23" xfId="0" applyFill="1" applyBorder="1" applyAlignment="1">
      <alignment horizontal="left"/>
    </xf>
    <xf numFmtId="0" fontId="0" fillId="12" borderId="7" xfId="0" applyFill="1" applyBorder="1" applyAlignment="1">
      <alignment horizontal="left"/>
    </xf>
    <xf numFmtId="0" fontId="0" fillId="12" borderId="44" xfId="0" applyFill="1" applyBorder="1"/>
    <xf numFmtId="0" fontId="4" fillId="12" borderId="32" xfId="0" applyFont="1" applyFill="1" applyBorder="1" applyAlignment="1">
      <alignment horizontal="center" vertical="center"/>
    </xf>
    <xf numFmtId="0" fontId="4" fillId="12" borderId="56" xfId="0" applyFont="1" applyFill="1" applyBorder="1" applyAlignment="1">
      <alignment horizontal="center" vertical="center"/>
    </xf>
    <xf numFmtId="0" fontId="0" fillId="12" borderId="1" xfId="0" applyFill="1" applyBorder="1" applyAlignment="1" applyProtection="1">
      <alignment horizontal="left"/>
      <protection locked="0"/>
    </xf>
    <xf numFmtId="0" fontId="5" fillId="5" borderId="33" xfId="0" applyFont="1" applyFill="1" applyBorder="1" applyAlignment="1" applyProtection="1">
      <alignment horizontal="center" vertical="center"/>
      <protection locked="0"/>
    </xf>
    <xf numFmtId="0" fontId="0" fillId="11" borderId="0" xfId="0" applyFill="1" applyAlignment="1">
      <alignment horizontal="left"/>
    </xf>
    <xf numFmtId="0" fontId="12" fillId="0" borderId="0" xfId="0" applyFont="1"/>
    <xf numFmtId="49" fontId="13" fillId="0" borderId="0" xfId="2" applyNumberFormat="1" applyFill="1"/>
    <xf numFmtId="49" fontId="13" fillId="0" borderId="0" xfId="2" applyNumberFormat="1"/>
    <xf numFmtId="0" fontId="5" fillId="0" borderId="7" xfId="0" applyFont="1" applyBorder="1" applyAlignment="1" applyProtection="1">
      <alignment horizontal="center" vertical="center"/>
      <protection locked="0"/>
    </xf>
    <xf numFmtId="0" fontId="14" fillId="0" borderId="0" xfId="0" applyFont="1" applyAlignment="1">
      <alignment vertical="center" wrapText="1"/>
    </xf>
    <xf numFmtId="0" fontId="15" fillId="0" borderId="0" xfId="0" applyFont="1"/>
    <xf numFmtId="0" fontId="0" fillId="3" borderId="7" xfId="0" applyFill="1" applyBorder="1" applyAlignment="1">
      <alignment horizontal="left"/>
    </xf>
    <xf numFmtId="14" fontId="0" fillId="2" borderId="1" xfId="0" applyNumberFormat="1" applyFill="1" applyBorder="1" applyAlignment="1" applyProtection="1">
      <alignment horizontal="left"/>
      <protection locked="0"/>
    </xf>
    <xf numFmtId="0" fontId="17" fillId="0" borderId="0" xfId="0" quotePrefix="1" applyFont="1" applyAlignment="1">
      <alignment horizontal="left"/>
    </xf>
    <xf numFmtId="0" fontId="5" fillId="3" borderId="33" xfId="0" applyFont="1" applyFill="1" applyBorder="1" applyAlignment="1" applyProtection="1">
      <alignment horizontal="center" vertical="center" wrapText="1"/>
      <protection locked="0"/>
    </xf>
    <xf numFmtId="0" fontId="18" fillId="10" borderId="1" xfId="0" applyFont="1" applyFill="1" applyBorder="1" applyAlignment="1" applyProtection="1">
      <alignment horizontal="left"/>
      <protection locked="0"/>
    </xf>
    <xf numFmtId="0" fontId="19" fillId="10" borderId="0" xfId="0" applyFont="1" applyFill="1"/>
    <xf numFmtId="0" fontId="9" fillId="5" borderId="9"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26" xfId="0" applyFont="1" applyFill="1" applyBorder="1" applyAlignment="1">
      <alignment horizontal="center" vertical="center"/>
    </xf>
    <xf numFmtId="0" fontId="9" fillId="5" borderId="27" xfId="0" applyFont="1" applyFill="1" applyBorder="1" applyAlignment="1">
      <alignment horizontal="center" vertical="center"/>
    </xf>
    <xf numFmtId="0" fontId="0" fillId="0" borderId="0" xfId="0" applyFont="1" applyAlignment="1"/>
    <xf numFmtId="0" fontId="7" fillId="0" borderId="0" xfId="0" applyFont="1" applyAlignment="1">
      <alignment wrapText="1"/>
    </xf>
    <xf numFmtId="0" fontId="7" fillId="0" borderId="0" xfId="0" applyNumberFormat="1" applyFont="1" applyAlignment="1">
      <alignment wrapText="1"/>
    </xf>
  </cellXfs>
  <cellStyles count="3">
    <cellStyle name="Hyperlink" xfId="2" builtinId="8"/>
    <cellStyle name="Normal" xfId="0" builtinId="0"/>
    <cellStyle name="Normal 2" xfId="1" xr:uid="{00000000-0005-0000-0000-000002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workbookViewId="0">
      <selection activeCell="E23" sqref="E23"/>
    </sheetView>
  </sheetViews>
  <sheetFormatPr defaultRowHeight="14.4" x14ac:dyDescent="0.3"/>
  <cols>
    <col min="1" max="1" width="15" bestFit="1" customWidth="1"/>
    <col min="3" max="3" width="36" customWidth="1"/>
    <col min="4" max="4" width="13.21875" customWidth="1"/>
    <col min="5" max="5" width="13.77734375" customWidth="1"/>
    <col min="6" max="6" width="21.5546875" bestFit="1" customWidth="1"/>
    <col min="7" max="7" width="99.21875" customWidth="1"/>
  </cols>
  <sheetData>
    <row r="1" spans="1:7" x14ac:dyDescent="0.3">
      <c r="A1" s="201" t="s">
        <v>143</v>
      </c>
      <c r="B1" s="202"/>
      <c r="C1" s="203"/>
      <c r="F1" s="201" t="s">
        <v>623</v>
      </c>
      <c r="G1" s="203"/>
    </row>
    <row r="2" spans="1:7" ht="15" thickBot="1" x14ac:dyDescent="0.35">
      <c r="A2" s="204"/>
      <c r="B2" s="205"/>
      <c r="C2" s="206"/>
      <c r="F2" s="204"/>
      <c r="G2" s="206"/>
    </row>
    <row r="5" spans="1:7" ht="15" thickBot="1" x14ac:dyDescent="0.35"/>
    <row r="6" spans="1:7" ht="18.600000000000001" thickBot="1" x14ac:dyDescent="0.4">
      <c r="A6" s="34" t="s">
        <v>143</v>
      </c>
      <c r="B6" s="44" t="s">
        <v>693</v>
      </c>
      <c r="F6" s="42" t="s">
        <v>623</v>
      </c>
    </row>
    <row r="7" spans="1:7" ht="15" thickBot="1" x14ac:dyDescent="0.35">
      <c r="F7" s="54" t="s">
        <v>624</v>
      </c>
      <c r="G7" s="55" t="s">
        <v>694</v>
      </c>
    </row>
    <row r="8" spans="1:7" ht="18.600000000000001" thickBot="1" x14ac:dyDescent="0.4">
      <c r="A8" s="35" t="s">
        <v>144</v>
      </c>
      <c r="F8" s="50" t="s">
        <v>625</v>
      </c>
      <c r="G8" s="49" t="s">
        <v>626</v>
      </c>
    </row>
    <row r="9" spans="1:7" ht="15" thickBot="1" x14ac:dyDescent="0.35">
      <c r="A9" s="6" t="s">
        <v>145</v>
      </c>
      <c r="B9" s="60" t="s">
        <v>143</v>
      </c>
      <c r="C9" s="59" t="s">
        <v>146</v>
      </c>
      <c r="F9" s="50" t="s">
        <v>628</v>
      </c>
      <c r="G9" s="49" t="s">
        <v>632</v>
      </c>
    </row>
    <row r="10" spans="1:7" x14ac:dyDescent="0.3">
      <c r="A10" s="47">
        <v>44061</v>
      </c>
      <c r="B10" s="45" t="s">
        <v>693</v>
      </c>
      <c r="C10" s="48" t="s">
        <v>147</v>
      </c>
      <c r="F10" s="50" t="s">
        <v>629</v>
      </c>
      <c r="G10" s="49" t="s">
        <v>630</v>
      </c>
    </row>
    <row r="11" spans="1:7" ht="28.8" x14ac:dyDescent="0.3">
      <c r="A11" s="47"/>
      <c r="B11" s="46"/>
      <c r="C11" s="49"/>
      <c r="F11" s="57" t="s">
        <v>627</v>
      </c>
      <c r="G11" s="56" t="s">
        <v>631</v>
      </c>
    </row>
    <row r="12" spans="1:7" ht="15" thickBot="1" x14ac:dyDescent="0.35">
      <c r="A12" s="47"/>
      <c r="B12" s="46"/>
      <c r="C12" s="56"/>
      <c r="F12" s="51"/>
      <c r="G12" s="53"/>
    </row>
    <row r="13" spans="1:7" x14ac:dyDescent="0.3">
      <c r="A13" s="58"/>
      <c r="B13" s="46"/>
      <c r="C13" s="56"/>
    </row>
    <row r="14" spans="1:7" x14ac:dyDescent="0.3">
      <c r="A14" s="58"/>
      <c r="B14" s="46"/>
      <c r="C14" s="56"/>
    </row>
    <row r="15" spans="1:7" x14ac:dyDescent="0.3">
      <c r="A15" s="58"/>
      <c r="B15" s="46"/>
      <c r="C15" s="56"/>
    </row>
    <row r="16" spans="1:7" x14ac:dyDescent="0.3">
      <c r="A16" s="58"/>
      <c r="B16" s="46"/>
      <c r="C16" s="56"/>
    </row>
    <row r="17" spans="1:3" x14ac:dyDescent="0.3">
      <c r="A17" s="50"/>
      <c r="B17" s="1"/>
      <c r="C17" s="49"/>
    </row>
    <row r="18" spans="1:3" x14ac:dyDescent="0.3">
      <c r="A18" s="50"/>
      <c r="B18" s="1"/>
      <c r="C18" s="49"/>
    </row>
    <row r="19" spans="1:3" x14ac:dyDescent="0.3">
      <c r="A19" s="50"/>
      <c r="B19" s="1"/>
      <c r="C19" s="49"/>
    </row>
    <row r="20" spans="1:3" x14ac:dyDescent="0.3">
      <c r="A20" s="50"/>
      <c r="B20" s="1"/>
      <c r="C20" s="49"/>
    </row>
    <row r="21" spans="1:3" x14ac:dyDescent="0.3">
      <c r="A21" s="50"/>
      <c r="B21" s="1"/>
      <c r="C21" s="49"/>
    </row>
    <row r="22" spans="1:3" x14ac:dyDescent="0.3">
      <c r="A22" s="50"/>
      <c r="B22" s="1"/>
      <c r="C22" s="49"/>
    </row>
    <row r="23" spans="1:3" x14ac:dyDescent="0.3">
      <c r="A23" s="50"/>
      <c r="B23" s="1"/>
      <c r="C23" s="49"/>
    </row>
    <row r="24" spans="1:3" x14ac:dyDescent="0.3">
      <c r="A24" s="50"/>
      <c r="B24" s="1"/>
      <c r="C24" s="49"/>
    </row>
    <row r="25" spans="1:3" x14ac:dyDescent="0.3">
      <c r="A25" s="50"/>
      <c r="B25" s="1"/>
      <c r="C25" s="49"/>
    </row>
    <row r="26" spans="1:3" ht="15" thickBot="1" x14ac:dyDescent="0.35">
      <c r="A26" s="51"/>
      <c r="B26" s="52"/>
      <c r="C26" s="53"/>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DB49"/>
  <sheetViews>
    <sheetView tabSelected="1" topLeftCell="B11" zoomScale="60" zoomScaleNormal="60" workbookViewId="0">
      <pane xSplit="6" topLeftCell="H1" activePane="topRight" state="frozen"/>
      <selection activeCell="B1" sqref="B1"/>
      <selection pane="topRight" activeCell="J36" sqref="J36"/>
    </sheetView>
  </sheetViews>
  <sheetFormatPr defaultRowHeight="14.4" x14ac:dyDescent="0.3"/>
  <cols>
    <col min="1" max="1" width="25.5546875" customWidth="1"/>
    <col min="2" max="2" width="30.21875" style="8" bestFit="1" customWidth="1"/>
    <col min="3" max="3" width="22.77734375" style="8" customWidth="1"/>
    <col min="4" max="4" width="29.77734375" style="128" bestFit="1" customWidth="1"/>
    <col min="5" max="5" width="24.21875" hidden="1" customWidth="1"/>
    <col min="6" max="6" width="22.44140625" hidden="1" customWidth="1"/>
    <col min="7" max="7" width="19.5546875" style="5" hidden="1" customWidth="1"/>
    <col min="8" max="8" width="71.77734375" bestFit="1" customWidth="1"/>
    <col min="9" max="9" width="87.21875" bestFit="1" customWidth="1"/>
    <col min="10" max="10" width="57.5546875" bestFit="1" customWidth="1"/>
    <col min="11" max="12" width="71.77734375" bestFit="1" customWidth="1"/>
    <col min="13" max="13" width="69.21875" customWidth="1"/>
    <col min="14" max="14" width="57.5546875" bestFit="1" customWidth="1"/>
    <col min="15" max="15" width="63" bestFit="1" customWidth="1"/>
    <col min="16" max="16" width="57.5546875" bestFit="1" customWidth="1"/>
    <col min="17" max="17" width="65.5546875" customWidth="1"/>
    <col min="18" max="106" width="27.109375" customWidth="1"/>
  </cols>
  <sheetData>
    <row r="1" spans="1:106" ht="15" thickBot="1" x14ac:dyDescent="0.35">
      <c r="B1" s="36" t="s">
        <v>148</v>
      </c>
      <c r="C1" s="11"/>
      <c r="D1" s="127" t="s">
        <v>731</v>
      </c>
      <c r="E1" s="122" t="str">
        <f>SUBSTITUTE(D1," ","")</f>
        <v>Test_ID</v>
      </c>
      <c r="F1" s="66" t="str">
        <f>E1&amp;2</f>
        <v>Test_ID2</v>
      </c>
      <c r="G1" s="118" t="s">
        <v>661</v>
      </c>
      <c r="H1" s="12" t="s">
        <v>816</v>
      </c>
      <c r="I1" s="12" t="s">
        <v>817</v>
      </c>
      <c r="J1" s="12" t="s">
        <v>818</v>
      </c>
      <c r="K1" s="12" t="s">
        <v>819</v>
      </c>
      <c r="L1" s="12" t="s">
        <v>669</v>
      </c>
      <c r="M1" s="12" t="s">
        <v>820</v>
      </c>
      <c r="N1" s="12" t="s">
        <v>670</v>
      </c>
      <c r="O1" s="12" t="s">
        <v>671</v>
      </c>
      <c r="P1" s="12" t="s">
        <v>672</v>
      </c>
      <c r="Q1" s="12" t="s">
        <v>673</v>
      </c>
      <c r="R1" s="12" t="s">
        <v>674</v>
      </c>
      <c r="S1" s="12" t="s">
        <v>675</v>
      </c>
      <c r="T1" s="12" t="s">
        <v>821</v>
      </c>
      <c r="U1" s="12" t="s">
        <v>676</v>
      </c>
      <c r="V1" s="12" t="s">
        <v>822</v>
      </c>
      <c r="W1" s="12" t="s">
        <v>677</v>
      </c>
      <c r="X1" s="12" t="s">
        <v>823</v>
      </c>
      <c r="Y1" s="12" t="s">
        <v>824</v>
      </c>
      <c r="Z1" s="12" t="s">
        <v>825</v>
      </c>
      <c r="AA1" s="12" t="s">
        <v>826</v>
      </c>
      <c r="AB1" s="12" t="s">
        <v>827</v>
      </c>
      <c r="AC1" s="12" t="s">
        <v>828</v>
      </c>
      <c r="AD1" s="12" t="s">
        <v>678</v>
      </c>
      <c r="AE1" s="12" t="s">
        <v>829</v>
      </c>
      <c r="AF1" s="12" t="s">
        <v>830</v>
      </c>
      <c r="AG1" s="12" t="s">
        <v>831</v>
      </c>
      <c r="AH1" s="12" t="s">
        <v>832</v>
      </c>
      <c r="AI1" s="12" t="s">
        <v>833</v>
      </c>
      <c r="AJ1" s="12" t="s">
        <v>834</v>
      </c>
      <c r="AK1" s="12" t="s">
        <v>835</v>
      </c>
      <c r="AL1" s="12" t="s">
        <v>836</v>
      </c>
      <c r="AM1" s="12" t="s">
        <v>837</v>
      </c>
      <c r="AN1" s="12" t="s">
        <v>838</v>
      </c>
      <c r="AO1" s="12" t="s">
        <v>839</v>
      </c>
      <c r="AP1" s="12" t="s">
        <v>840</v>
      </c>
      <c r="AQ1" s="12" t="s">
        <v>841</v>
      </c>
      <c r="AR1" s="12" t="s">
        <v>842</v>
      </c>
      <c r="AS1" s="12" t="s">
        <v>843</v>
      </c>
      <c r="AT1" s="12" t="s">
        <v>844</v>
      </c>
      <c r="AU1" s="12" t="s">
        <v>845</v>
      </c>
      <c r="AV1" s="12" t="s">
        <v>846</v>
      </c>
      <c r="AW1" s="12" t="s">
        <v>847</v>
      </c>
      <c r="AX1" s="12" t="s">
        <v>848</v>
      </c>
      <c r="AY1" s="12" t="s">
        <v>849</v>
      </c>
      <c r="AZ1" s="12" t="s">
        <v>850</v>
      </c>
      <c r="BA1" s="12" t="s">
        <v>851</v>
      </c>
      <c r="BB1" s="12" t="s">
        <v>852</v>
      </c>
      <c r="BC1" s="12" t="s">
        <v>853</v>
      </c>
      <c r="BD1" s="12" t="s">
        <v>854</v>
      </c>
      <c r="BE1" s="12" t="s">
        <v>855</v>
      </c>
      <c r="BF1" s="12" t="s">
        <v>856</v>
      </c>
      <c r="BG1" s="12" t="s">
        <v>857</v>
      </c>
      <c r="BH1" s="12" t="s">
        <v>858</v>
      </c>
      <c r="BI1" s="12" t="s">
        <v>859</v>
      </c>
      <c r="BJ1" s="12" t="s">
        <v>860</v>
      </c>
      <c r="BK1" s="12" t="s">
        <v>861</v>
      </c>
      <c r="BL1" s="12" t="s">
        <v>862</v>
      </c>
      <c r="BM1" s="12" t="s">
        <v>863</v>
      </c>
      <c r="BN1" s="12" t="s">
        <v>864</v>
      </c>
      <c r="BO1" s="12" t="s">
        <v>865</v>
      </c>
      <c r="BP1" s="12" t="s">
        <v>866</v>
      </c>
      <c r="BQ1" s="12" t="s">
        <v>867</v>
      </c>
      <c r="BR1" s="12" t="s">
        <v>868</v>
      </c>
      <c r="BS1" s="12" t="s">
        <v>869</v>
      </c>
      <c r="BT1" s="12" t="s">
        <v>870</v>
      </c>
      <c r="BU1" s="12" t="s">
        <v>871</v>
      </c>
      <c r="BV1" s="12" t="s">
        <v>872</v>
      </c>
      <c r="BW1" s="12" t="s">
        <v>873</v>
      </c>
      <c r="BX1" s="12" t="s">
        <v>874</v>
      </c>
      <c r="BY1" s="12" t="s">
        <v>875</v>
      </c>
      <c r="BZ1" s="12" t="s">
        <v>876</v>
      </c>
      <c r="CA1" s="12" t="s">
        <v>877</v>
      </c>
      <c r="CB1" s="12" t="s">
        <v>878</v>
      </c>
      <c r="CC1" s="12" t="s">
        <v>879</v>
      </c>
      <c r="CD1" s="12" t="s">
        <v>880</v>
      </c>
      <c r="CE1" s="12" t="s">
        <v>881</v>
      </c>
      <c r="CF1" s="12" t="s">
        <v>882</v>
      </c>
      <c r="CG1" s="12" t="s">
        <v>883</v>
      </c>
      <c r="CH1" s="12" t="s">
        <v>884</v>
      </c>
      <c r="CI1" s="12" t="s">
        <v>885</v>
      </c>
      <c r="CJ1" s="12" t="s">
        <v>886</v>
      </c>
      <c r="CK1" s="12" t="s">
        <v>887</v>
      </c>
      <c r="CL1" s="12" t="s">
        <v>888</v>
      </c>
      <c r="CM1" s="12" t="s">
        <v>889</v>
      </c>
      <c r="CN1" s="12" t="s">
        <v>890</v>
      </c>
      <c r="CO1" s="12" t="s">
        <v>891</v>
      </c>
      <c r="CP1" s="12" t="s">
        <v>892</v>
      </c>
      <c r="CQ1" s="12" t="s">
        <v>893</v>
      </c>
      <c r="CR1" s="12" t="s">
        <v>894</v>
      </c>
      <c r="CS1" s="12" t="s">
        <v>895</v>
      </c>
      <c r="CT1" s="12" t="s">
        <v>896</v>
      </c>
      <c r="CU1" s="12" t="s">
        <v>897</v>
      </c>
      <c r="CV1" s="12" t="s">
        <v>898</v>
      </c>
      <c r="CW1" s="12" t="s">
        <v>899</v>
      </c>
      <c r="CX1" s="12" t="s">
        <v>900</v>
      </c>
      <c r="CY1" s="12" t="s">
        <v>901</v>
      </c>
      <c r="CZ1" s="12" t="s">
        <v>902</v>
      </c>
      <c r="DA1" s="12" t="s">
        <v>903</v>
      </c>
      <c r="DB1" s="12" t="s">
        <v>904</v>
      </c>
    </row>
    <row r="2" spans="1:106" ht="15" thickBot="1" x14ac:dyDescent="0.35">
      <c r="B2" s="36" t="str">
        <f>Information!B6</f>
        <v>0.3</v>
      </c>
      <c r="C2" s="11"/>
      <c r="D2" s="127" t="s">
        <v>692</v>
      </c>
      <c r="E2" s="134"/>
      <c r="F2" s="145"/>
      <c r="G2" s="146"/>
      <c r="H2" s="127">
        <v>1</v>
      </c>
      <c r="I2" s="127">
        <v>2</v>
      </c>
      <c r="J2" s="127">
        <v>3</v>
      </c>
      <c r="K2" s="127">
        <v>4</v>
      </c>
      <c r="L2" s="127">
        <v>5</v>
      </c>
      <c r="M2" s="127">
        <v>6</v>
      </c>
      <c r="N2" s="127">
        <v>7</v>
      </c>
      <c r="O2" s="127">
        <v>8</v>
      </c>
      <c r="P2" s="127">
        <v>9</v>
      </c>
      <c r="Q2" s="127">
        <v>10</v>
      </c>
      <c r="R2" s="127">
        <v>11</v>
      </c>
      <c r="S2" s="127">
        <v>12</v>
      </c>
      <c r="T2" s="127">
        <v>13</v>
      </c>
      <c r="U2" s="127">
        <v>14</v>
      </c>
      <c r="V2" s="127">
        <v>15</v>
      </c>
      <c r="W2" s="127">
        <v>16</v>
      </c>
      <c r="X2" s="127">
        <v>17</v>
      </c>
      <c r="Y2" s="127">
        <v>18</v>
      </c>
      <c r="Z2" s="127">
        <v>19</v>
      </c>
      <c r="AA2" s="127">
        <v>20</v>
      </c>
      <c r="AB2" s="127">
        <v>21</v>
      </c>
      <c r="AC2" s="127">
        <v>22</v>
      </c>
      <c r="AD2" s="127">
        <v>23</v>
      </c>
      <c r="AE2" s="127">
        <v>24</v>
      </c>
      <c r="AF2" s="127">
        <v>25</v>
      </c>
      <c r="AG2" s="127">
        <v>26</v>
      </c>
      <c r="AH2" s="127">
        <v>27</v>
      </c>
      <c r="AI2" s="127">
        <v>28</v>
      </c>
      <c r="AJ2" s="127">
        <v>29</v>
      </c>
      <c r="AK2" s="127">
        <v>30</v>
      </c>
      <c r="AL2" s="127">
        <v>31</v>
      </c>
      <c r="AM2" s="127">
        <v>32</v>
      </c>
      <c r="AN2" s="127">
        <v>33</v>
      </c>
      <c r="AO2" s="127">
        <v>34</v>
      </c>
      <c r="AP2" s="127">
        <v>35</v>
      </c>
      <c r="AQ2" s="127">
        <v>36</v>
      </c>
      <c r="AR2" s="127">
        <v>37</v>
      </c>
      <c r="AS2" s="127">
        <v>38</v>
      </c>
      <c r="AT2" s="127">
        <v>39</v>
      </c>
      <c r="AU2" s="127">
        <v>40</v>
      </c>
      <c r="AV2" s="127">
        <v>41</v>
      </c>
      <c r="AW2" s="127">
        <v>42</v>
      </c>
      <c r="AX2" s="127">
        <v>43</v>
      </c>
      <c r="AY2" s="127">
        <v>44</v>
      </c>
      <c r="AZ2" s="127">
        <v>45</v>
      </c>
      <c r="BA2" s="127">
        <v>46</v>
      </c>
      <c r="BB2" s="127">
        <v>47</v>
      </c>
      <c r="BC2" s="127">
        <v>48</v>
      </c>
      <c r="BD2" s="127">
        <v>49</v>
      </c>
      <c r="BE2" s="127">
        <v>50</v>
      </c>
      <c r="BF2" s="127">
        <v>51</v>
      </c>
      <c r="BG2" s="127">
        <v>52</v>
      </c>
      <c r="BH2" s="127">
        <v>53</v>
      </c>
      <c r="BI2" s="127">
        <v>54</v>
      </c>
      <c r="BJ2" s="127">
        <v>55</v>
      </c>
      <c r="BK2" s="127">
        <v>56</v>
      </c>
      <c r="BL2" s="127">
        <v>57</v>
      </c>
      <c r="BM2" s="127">
        <v>58</v>
      </c>
      <c r="BN2" s="127">
        <v>59</v>
      </c>
      <c r="BO2" s="127">
        <v>60</v>
      </c>
      <c r="BP2" s="127">
        <v>61</v>
      </c>
      <c r="BQ2" s="127">
        <v>62</v>
      </c>
      <c r="BR2" s="127">
        <v>63</v>
      </c>
      <c r="BS2" s="127">
        <v>64</v>
      </c>
      <c r="BT2" s="127">
        <v>65</v>
      </c>
      <c r="BU2" s="127">
        <v>66</v>
      </c>
      <c r="BV2" s="127">
        <v>67</v>
      </c>
      <c r="BW2" s="127">
        <v>68</v>
      </c>
      <c r="BX2" s="127">
        <v>69</v>
      </c>
      <c r="BY2" s="127">
        <v>70</v>
      </c>
      <c r="BZ2" s="127">
        <v>71</v>
      </c>
      <c r="CA2" s="127">
        <v>72</v>
      </c>
      <c r="CB2" s="127">
        <v>73</v>
      </c>
      <c r="CC2" s="127">
        <v>74</v>
      </c>
      <c r="CD2" s="127">
        <v>75</v>
      </c>
      <c r="CE2" s="127">
        <v>76</v>
      </c>
      <c r="CF2" s="127">
        <v>77</v>
      </c>
      <c r="CG2" s="127">
        <v>78</v>
      </c>
      <c r="CH2" s="127">
        <v>79</v>
      </c>
      <c r="CI2" s="127">
        <v>80</v>
      </c>
      <c r="CJ2" s="127">
        <v>81</v>
      </c>
      <c r="CK2" s="127">
        <v>82</v>
      </c>
      <c r="CL2" s="127">
        <v>83</v>
      </c>
      <c r="CM2" s="127">
        <v>84</v>
      </c>
      <c r="CN2" s="127">
        <v>85</v>
      </c>
      <c r="CO2" s="127">
        <v>86</v>
      </c>
      <c r="CP2" s="127">
        <v>87</v>
      </c>
      <c r="CQ2" s="127">
        <v>88</v>
      </c>
      <c r="CR2" s="127">
        <v>89</v>
      </c>
      <c r="CS2" s="127">
        <v>90</v>
      </c>
      <c r="CT2" s="127">
        <v>91</v>
      </c>
      <c r="CU2" s="127">
        <v>92</v>
      </c>
      <c r="CV2" s="127">
        <v>93</v>
      </c>
      <c r="CW2" s="127">
        <v>94</v>
      </c>
      <c r="CX2" s="127">
        <v>95</v>
      </c>
      <c r="CY2" s="127">
        <v>96</v>
      </c>
      <c r="CZ2" s="127">
        <v>97</v>
      </c>
      <c r="DA2" s="127">
        <v>98</v>
      </c>
      <c r="DB2" s="127">
        <v>99</v>
      </c>
    </row>
    <row r="3" spans="1:106" ht="82.8" x14ac:dyDescent="0.3">
      <c r="B3" s="36"/>
      <c r="C3" s="11"/>
      <c r="D3" s="65" t="s">
        <v>8</v>
      </c>
      <c r="E3" s="122" t="str">
        <f>SUBSTITUTE(D3," ","")</f>
        <v>Process</v>
      </c>
      <c r="F3" s="66" t="str">
        <f>E3&amp;2</f>
        <v>Process2</v>
      </c>
      <c r="G3" s="119" t="s">
        <v>662</v>
      </c>
      <c r="H3" s="39" t="s">
        <v>791</v>
      </c>
      <c r="I3" s="39" t="s">
        <v>791</v>
      </c>
      <c r="J3" s="39" t="s">
        <v>791</v>
      </c>
      <c r="K3" s="39" t="s">
        <v>791</v>
      </c>
      <c r="L3" s="39" t="s">
        <v>791</v>
      </c>
      <c r="M3" s="39" t="s">
        <v>791</v>
      </c>
      <c r="N3" s="39" t="s">
        <v>791</v>
      </c>
      <c r="O3" s="39" t="s">
        <v>791</v>
      </c>
      <c r="P3" s="39" t="s">
        <v>791</v>
      </c>
      <c r="Q3" s="39" t="s">
        <v>791</v>
      </c>
      <c r="R3" s="39" t="s">
        <v>791</v>
      </c>
      <c r="S3" s="39" t="s">
        <v>791</v>
      </c>
      <c r="T3" s="39" t="s">
        <v>791</v>
      </c>
      <c r="U3" s="39" t="s">
        <v>791</v>
      </c>
      <c r="V3" s="39" t="s">
        <v>791</v>
      </c>
      <c r="W3" s="39" t="s">
        <v>791</v>
      </c>
      <c r="X3" s="39" t="s">
        <v>791</v>
      </c>
      <c r="Y3" s="39" t="s">
        <v>791</v>
      </c>
      <c r="Z3" s="39" t="s">
        <v>791</v>
      </c>
      <c r="AA3" s="39" t="s">
        <v>791</v>
      </c>
      <c r="AB3" s="39" t="s">
        <v>791</v>
      </c>
      <c r="AC3" s="39" t="s">
        <v>791</v>
      </c>
      <c r="AD3" s="39" t="s">
        <v>791</v>
      </c>
      <c r="AE3" s="39" t="s">
        <v>791</v>
      </c>
      <c r="AF3" s="39" t="s">
        <v>791</v>
      </c>
      <c r="AG3" s="39" t="s">
        <v>791</v>
      </c>
      <c r="AH3" s="39" t="s">
        <v>791</v>
      </c>
      <c r="AI3" s="39" t="s">
        <v>791</v>
      </c>
      <c r="AJ3" s="39" t="s">
        <v>791</v>
      </c>
      <c r="AK3" s="39" t="s">
        <v>791</v>
      </c>
      <c r="AL3" s="39" t="s">
        <v>791</v>
      </c>
      <c r="AM3" s="39" t="s">
        <v>791</v>
      </c>
      <c r="AN3" s="39" t="s">
        <v>791</v>
      </c>
      <c r="AO3" s="39" t="s">
        <v>791</v>
      </c>
      <c r="AP3" s="39" t="s">
        <v>791</v>
      </c>
      <c r="AQ3" s="39" t="s">
        <v>791</v>
      </c>
      <c r="AR3" s="39" t="s">
        <v>791</v>
      </c>
      <c r="AS3" s="39" t="s">
        <v>791</v>
      </c>
      <c r="AT3" s="39" t="s">
        <v>791</v>
      </c>
      <c r="AU3" s="39" t="s">
        <v>791</v>
      </c>
      <c r="AV3" s="39" t="s">
        <v>791</v>
      </c>
      <c r="AW3" s="39" t="s">
        <v>791</v>
      </c>
      <c r="AX3" s="39" t="s">
        <v>791</v>
      </c>
      <c r="AY3" s="39" t="s">
        <v>791</v>
      </c>
      <c r="AZ3" s="39" t="s">
        <v>791</v>
      </c>
      <c r="BA3" s="39" t="s">
        <v>791</v>
      </c>
      <c r="BB3" s="39" t="s">
        <v>791</v>
      </c>
      <c r="BC3" s="39" t="s">
        <v>791</v>
      </c>
      <c r="BD3" s="39" t="s">
        <v>791</v>
      </c>
      <c r="BE3" s="39" t="s">
        <v>791</v>
      </c>
      <c r="BF3" s="39" t="s">
        <v>791</v>
      </c>
      <c r="BG3" s="39" t="s">
        <v>791</v>
      </c>
      <c r="BH3" s="39" t="s">
        <v>791</v>
      </c>
      <c r="BI3" s="39" t="s">
        <v>791</v>
      </c>
      <c r="BJ3" s="39" t="s">
        <v>791</v>
      </c>
      <c r="BK3" s="39" t="s">
        <v>791</v>
      </c>
      <c r="BL3" s="39" t="s">
        <v>791</v>
      </c>
      <c r="BM3" s="39" t="s">
        <v>791</v>
      </c>
      <c r="BN3" s="39" t="s">
        <v>791</v>
      </c>
      <c r="BO3" s="39" t="s">
        <v>791</v>
      </c>
      <c r="BP3" s="39" t="s">
        <v>791</v>
      </c>
      <c r="BQ3" s="39" t="s">
        <v>791</v>
      </c>
      <c r="BR3" s="39" t="s">
        <v>791</v>
      </c>
      <c r="BS3" s="39" t="s">
        <v>791</v>
      </c>
      <c r="BT3" s="39" t="s">
        <v>791</v>
      </c>
      <c r="BU3" s="39" t="s">
        <v>791</v>
      </c>
      <c r="BV3" s="39" t="s">
        <v>791</v>
      </c>
      <c r="BW3" s="39" t="s">
        <v>791</v>
      </c>
      <c r="BX3" s="39" t="s">
        <v>791</v>
      </c>
      <c r="BY3" s="39" t="s">
        <v>791</v>
      </c>
      <c r="BZ3" s="39" t="s">
        <v>791</v>
      </c>
      <c r="CA3" s="39" t="s">
        <v>791</v>
      </c>
      <c r="CB3" s="39" t="s">
        <v>791</v>
      </c>
      <c r="CC3" s="39" t="s">
        <v>791</v>
      </c>
      <c r="CD3" s="39" t="s">
        <v>791</v>
      </c>
      <c r="CE3" s="39" t="s">
        <v>791</v>
      </c>
      <c r="CF3" s="39" t="s">
        <v>791</v>
      </c>
      <c r="CG3" s="39" t="s">
        <v>791</v>
      </c>
      <c r="CH3" s="39" t="s">
        <v>791</v>
      </c>
      <c r="CI3" s="39" t="s">
        <v>791</v>
      </c>
      <c r="CJ3" s="39" t="s">
        <v>791</v>
      </c>
      <c r="CK3" s="39" t="s">
        <v>791</v>
      </c>
      <c r="CL3" s="39" t="s">
        <v>791</v>
      </c>
      <c r="CM3" s="39" t="s">
        <v>791</v>
      </c>
      <c r="CN3" s="39" t="s">
        <v>791</v>
      </c>
      <c r="CO3" s="39" t="s">
        <v>791</v>
      </c>
      <c r="CP3" s="39" t="s">
        <v>791</v>
      </c>
      <c r="CQ3" s="39" t="s">
        <v>791</v>
      </c>
      <c r="CR3" s="39" t="s">
        <v>791</v>
      </c>
      <c r="CS3" s="39" t="s">
        <v>791</v>
      </c>
      <c r="CT3" s="39" t="s">
        <v>791</v>
      </c>
      <c r="CU3" s="39" t="s">
        <v>791</v>
      </c>
      <c r="CV3" s="39" t="s">
        <v>791</v>
      </c>
      <c r="CW3" s="39" t="s">
        <v>791</v>
      </c>
      <c r="CX3" s="39" t="s">
        <v>791</v>
      </c>
      <c r="CY3" s="39" t="s">
        <v>791</v>
      </c>
      <c r="CZ3" s="39" t="s">
        <v>791</v>
      </c>
      <c r="DA3" s="39" t="s">
        <v>791</v>
      </c>
      <c r="DB3" s="39" t="s">
        <v>791</v>
      </c>
    </row>
    <row r="4" spans="1:106" x14ac:dyDescent="0.3">
      <c r="B4" s="11"/>
      <c r="C4" s="11"/>
      <c r="D4" s="61" t="s">
        <v>57</v>
      </c>
      <c r="E4" s="123" t="str">
        <f t="shared" ref="E4:E10" si="0">SUBSTITUTE(D4," ","")</f>
        <v>ExecutionFlag</v>
      </c>
      <c r="F4" s="63" t="str">
        <f t="shared" ref="F4:F10" si="1">E4&amp;2</f>
        <v>ExecutionFlag2</v>
      </c>
      <c r="G4" s="61" t="s">
        <v>663</v>
      </c>
      <c r="H4" s="192" t="s">
        <v>18</v>
      </c>
      <c r="I4" s="192" t="s">
        <v>18</v>
      </c>
      <c r="J4" s="192" t="s">
        <v>18</v>
      </c>
      <c r="K4" s="192" t="s">
        <v>18</v>
      </c>
      <c r="L4" s="192" t="s">
        <v>18</v>
      </c>
      <c r="M4" s="192" t="s">
        <v>18</v>
      </c>
      <c r="N4" s="192" t="s">
        <v>18</v>
      </c>
      <c r="O4" s="192" t="s">
        <v>18</v>
      </c>
      <c r="P4" s="192" t="s">
        <v>18</v>
      </c>
      <c r="Q4" s="192" t="s">
        <v>18</v>
      </c>
      <c r="R4" s="192" t="s">
        <v>18</v>
      </c>
      <c r="S4" s="192" t="s">
        <v>18</v>
      </c>
      <c r="T4" s="192" t="s">
        <v>18</v>
      </c>
      <c r="U4" s="192" t="s">
        <v>18</v>
      </c>
      <c r="V4" s="192" t="s">
        <v>18</v>
      </c>
      <c r="W4" s="192" t="s">
        <v>18</v>
      </c>
      <c r="X4" s="192" t="s">
        <v>18</v>
      </c>
      <c r="Y4" s="192" t="s">
        <v>18</v>
      </c>
      <c r="Z4" s="192" t="s">
        <v>18</v>
      </c>
      <c r="AA4" s="192" t="s">
        <v>18</v>
      </c>
      <c r="AB4" s="192" t="s">
        <v>18</v>
      </c>
      <c r="AC4" s="192" t="s">
        <v>18</v>
      </c>
      <c r="AD4" s="192" t="s">
        <v>18</v>
      </c>
      <c r="AE4" s="192" t="s">
        <v>18</v>
      </c>
      <c r="AF4" s="192" t="s">
        <v>18</v>
      </c>
      <c r="AG4" s="192" t="s">
        <v>18</v>
      </c>
      <c r="AH4" s="192" t="s">
        <v>18</v>
      </c>
      <c r="AI4" s="192" t="s">
        <v>18</v>
      </c>
      <c r="AJ4" s="192" t="s">
        <v>18</v>
      </c>
      <c r="AK4" s="192" t="s">
        <v>18</v>
      </c>
      <c r="AL4" s="192" t="s">
        <v>18</v>
      </c>
      <c r="AM4" s="192" t="s">
        <v>18</v>
      </c>
      <c r="AN4" s="192" t="s">
        <v>18</v>
      </c>
      <c r="AO4" s="192" t="s">
        <v>18</v>
      </c>
      <c r="AP4" s="192" t="s">
        <v>18</v>
      </c>
      <c r="AQ4" s="192" t="s">
        <v>18</v>
      </c>
      <c r="AR4" s="192" t="s">
        <v>18</v>
      </c>
      <c r="AS4" s="192" t="s">
        <v>18</v>
      </c>
      <c r="AT4" s="192" t="s">
        <v>18</v>
      </c>
      <c r="AU4" s="192" t="s">
        <v>18</v>
      </c>
      <c r="AV4" s="192" t="s">
        <v>18</v>
      </c>
      <c r="AW4" s="192" t="s">
        <v>18</v>
      </c>
      <c r="AX4" s="192" t="s">
        <v>18</v>
      </c>
      <c r="AY4" s="192" t="s">
        <v>18</v>
      </c>
      <c r="AZ4" s="192" t="s">
        <v>18</v>
      </c>
      <c r="BA4" s="192" t="s">
        <v>18</v>
      </c>
      <c r="BB4" s="192" t="s">
        <v>18</v>
      </c>
      <c r="BC4" s="192" t="s">
        <v>18</v>
      </c>
      <c r="BD4" s="192" t="s">
        <v>18</v>
      </c>
      <c r="BE4" s="192" t="s">
        <v>18</v>
      </c>
      <c r="BF4" s="192" t="s">
        <v>18</v>
      </c>
      <c r="BG4" s="192" t="s">
        <v>18</v>
      </c>
      <c r="BH4" s="192" t="s">
        <v>18</v>
      </c>
      <c r="BI4" s="192" t="s">
        <v>18</v>
      </c>
      <c r="BJ4" s="192" t="s">
        <v>18</v>
      </c>
      <c r="BK4" s="192" t="s">
        <v>18</v>
      </c>
      <c r="BL4" s="192" t="s">
        <v>18</v>
      </c>
      <c r="BM4" s="192" t="s">
        <v>18</v>
      </c>
      <c r="BN4" s="192" t="s">
        <v>18</v>
      </c>
      <c r="BO4" s="192" t="s">
        <v>18</v>
      </c>
      <c r="BP4" s="192" t="s">
        <v>18</v>
      </c>
      <c r="BQ4" s="192" t="s">
        <v>18</v>
      </c>
      <c r="BR4" s="192" t="s">
        <v>18</v>
      </c>
      <c r="BS4" s="192" t="s">
        <v>18</v>
      </c>
      <c r="BT4" s="192" t="s">
        <v>18</v>
      </c>
      <c r="BU4" s="192" t="s">
        <v>18</v>
      </c>
      <c r="BV4" s="192" t="s">
        <v>18</v>
      </c>
      <c r="BW4" s="192" t="s">
        <v>18</v>
      </c>
      <c r="BX4" s="192" t="s">
        <v>18</v>
      </c>
      <c r="BY4" s="192" t="s">
        <v>18</v>
      </c>
      <c r="BZ4" s="192" t="s">
        <v>18</v>
      </c>
      <c r="CA4" s="192" t="s">
        <v>18</v>
      </c>
      <c r="CB4" s="192" t="s">
        <v>18</v>
      </c>
      <c r="CC4" s="192" t="s">
        <v>18</v>
      </c>
      <c r="CD4" s="192" t="s">
        <v>18</v>
      </c>
      <c r="CE4" s="192" t="s">
        <v>18</v>
      </c>
      <c r="CF4" s="192" t="s">
        <v>18</v>
      </c>
      <c r="CG4" s="192" t="s">
        <v>18</v>
      </c>
      <c r="CH4" s="192" t="s">
        <v>18</v>
      </c>
      <c r="CI4" s="192" t="s">
        <v>18</v>
      </c>
      <c r="CJ4" s="192" t="s">
        <v>18</v>
      </c>
      <c r="CK4" s="192" t="s">
        <v>18</v>
      </c>
      <c r="CL4" s="192" t="s">
        <v>18</v>
      </c>
      <c r="CM4" s="192" t="s">
        <v>18</v>
      </c>
      <c r="CN4" s="192" t="s">
        <v>18</v>
      </c>
      <c r="CO4" s="192" t="s">
        <v>18</v>
      </c>
      <c r="CP4" s="192" t="s">
        <v>18</v>
      </c>
      <c r="CQ4" s="192" t="s">
        <v>18</v>
      </c>
      <c r="CR4" s="192" t="s">
        <v>18</v>
      </c>
      <c r="CS4" s="192" t="s">
        <v>18</v>
      </c>
      <c r="CT4" s="192" t="s">
        <v>18</v>
      </c>
      <c r="CU4" s="192" t="s">
        <v>18</v>
      </c>
      <c r="CV4" s="192" t="s">
        <v>18</v>
      </c>
      <c r="CW4" s="192" t="s">
        <v>18</v>
      </c>
      <c r="CX4" s="192" t="s">
        <v>18</v>
      </c>
      <c r="CY4" s="192" t="s">
        <v>18</v>
      </c>
      <c r="CZ4" s="192" t="s">
        <v>18</v>
      </c>
      <c r="DA4" s="192" t="s">
        <v>18</v>
      </c>
      <c r="DB4" s="192" t="s">
        <v>18</v>
      </c>
    </row>
    <row r="5" spans="1:106" x14ac:dyDescent="0.3">
      <c r="B5" s="11"/>
      <c r="C5" s="11"/>
      <c r="D5" s="61" t="s">
        <v>10</v>
      </c>
      <c r="E5" s="123" t="str">
        <f t="shared" ref="E5" si="2">SUBSTITUTE(D5," ","")</f>
        <v>Country</v>
      </c>
      <c r="F5" s="63" t="str">
        <f t="shared" ref="F5" si="3">E5&amp;2</f>
        <v>Country2</v>
      </c>
      <c r="G5" s="61"/>
      <c r="H5" s="192" t="s">
        <v>679</v>
      </c>
      <c r="I5" s="192" t="s">
        <v>679</v>
      </c>
      <c r="J5" s="192" t="s">
        <v>679</v>
      </c>
      <c r="K5" s="192" t="s">
        <v>679</v>
      </c>
      <c r="L5" s="192" t="s">
        <v>679</v>
      </c>
      <c r="M5" s="192" t="s">
        <v>679</v>
      </c>
      <c r="N5" s="192" t="s">
        <v>679</v>
      </c>
      <c r="O5" s="192" t="s">
        <v>679</v>
      </c>
      <c r="P5" s="192" t="s">
        <v>679</v>
      </c>
      <c r="Q5" s="192" t="s">
        <v>679</v>
      </c>
      <c r="R5" s="192" t="s">
        <v>679</v>
      </c>
      <c r="S5" s="192" t="s">
        <v>679</v>
      </c>
      <c r="T5" s="192" t="s">
        <v>679</v>
      </c>
      <c r="U5" s="192" t="s">
        <v>679</v>
      </c>
      <c r="V5" s="192" t="s">
        <v>679</v>
      </c>
      <c r="W5" s="192" t="s">
        <v>679</v>
      </c>
      <c r="X5" s="192" t="s">
        <v>679</v>
      </c>
      <c r="Y5" s="192" t="s">
        <v>679</v>
      </c>
      <c r="Z5" s="192" t="s">
        <v>679</v>
      </c>
      <c r="AA5" s="192" t="s">
        <v>679</v>
      </c>
      <c r="AB5" s="192" t="s">
        <v>679</v>
      </c>
      <c r="AC5" s="192" t="s">
        <v>679</v>
      </c>
      <c r="AD5" s="192" t="s">
        <v>679</v>
      </c>
      <c r="AE5" s="192" t="s">
        <v>679</v>
      </c>
      <c r="AF5" s="192" t="s">
        <v>679</v>
      </c>
      <c r="AG5" s="192" t="s">
        <v>679</v>
      </c>
      <c r="AH5" s="192" t="s">
        <v>679</v>
      </c>
      <c r="AI5" s="192" t="s">
        <v>679</v>
      </c>
      <c r="AJ5" s="192" t="s">
        <v>679</v>
      </c>
      <c r="AK5" s="192" t="s">
        <v>679</v>
      </c>
      <c r="AL5" s="192" t="s">
        <v>679</v>
      </c>
      <c r="AM5" s="192" t="s">
        <v>679</v>
      </c>
      <c r="AN5" s="192" t="s">
        <v>679</v>
      </c>
      <c r="AO5" s="192" t="s">
        <v>679</v>
      </c>
      <c r="AP5" s="192" t="s">
        <v>679</v>
      </c>
      <c r="AQ5" s="192" t="s">
        <v>679</v>
      </c>
      <c r="AR5" s="192" t="s">
        <v>679</v>
      </c>
      <c r="AS5" s="192" t="s">
        <v>679</v>
      </c>
      <c r="AT5" s="192" t="s">
        <v>679</v>
      </c>
      <c r="AU5" s="192" t="s">
        <v>679</v>
      </c>
      <c r="AV5" s="192" t="s">
        <v>679</v>
      </c>
      <c r="AW5" s="192" t="s">
        <v>679</v>
      </c>
      <c r="AX5" s="192" t="s">
        <v>679</v>
      </c>
      <c r="AY5" s="192" t="s">
        <v>679</v>
      </c>
      <c r="AZ5" s="192" t="s">
        <v>679</v>
      </c>
      <c r="BA5" s="192" t="s">
        <v>679</v>
      </c>
      <c r="BB5" s="192" t="s">
        <v>679</v>
      </c>
      <c r="BC5" s="192" t="s">
        <v>679</v>
      </c>
      <c r="BD5" s="192" t="s">
        <v>679</v>
      </c>
      <c r="BE5" s="192" t="s">
        <v>679</v>
      </c>
      <c r="BF5" s="192" t="s">
        <v>679</v>
      </c>
      <c r="BG5" s="192" t="s">
        <v>679</v>
      </c>
      <c r="BH5" s="192" t="s">
        <v>679</v>
      </c>
      <c r="BI5" s="192" t="s">
        <v>679</v>
      </c>
      <c r="BJ5" s="192" t="s">
        <v>679</v>
      </c>
      <c r="BK5" s="192" t="s">
        <v>679</v>
      </c>
      <c r="BL5" s="192" t="s">
        <v>679</v>
      </c>
      <c r="BM5" s="192" t="s">
        <v>679</v>
      </c>
      <c r="BN5" s="192" t="s">
        <v>679</v>
      </c>
      <c r="BO5" s="192" t="s">
        <v>679</v>
      </c>
      <c r="BP5" s="192" t="s">
        <v>679</v>
      </c>
      <c r="BQ5" s="192" t="s">
        <v>679</v>
      </c>
      <c r="BR5" s="192" t="s">
        <v>679</v>
      </c>
      <c r="BS5" s="192" t="s">
        <v>679</v>
      </c>
      <c r="BT5" s="192" t="s">
        <v>679</v>
      </c>
      <c r="BU5" s="192" t="s">
        <v>679</v>
      </c>
      <c r="BV5" s="192" t="s">
        <v>679</v>
      </c>
      <c r="BW5" s="192" t="s">
        <v>679</v>
      </c>
      <c r="BX5" s="192" t="s">
        <v>679</v>
      </c>
      <c r="BY5" s="192" t="s">
        <v>679</v>
      </c>
      <c r="BZ5" s="192" t="s">
        <v>679</v>
      </c>
      <c r="CA5" s="192" t="s">
        <v>679</v>
      </c>
      <c r="CB5" s="192" t="s">
        <v>679</v>
      </c>
      <c r="CC5" s="192" t="s">
        <v>679</v>
      </c>
      <c r="CD5" s="192" t="s">
        <v>679</v>
      </c>
      <c r="CE5" s="192" t="s">
        <v>679</v>
      </c>
      <c r="CF5" s="192" t="s">
        <v>679</v>
      </c>
      <c r="CG5" s="192" t="s">
        <v>679</v>
      </c>
      <c r="CH5" s="192" t="s">
        <v>679</v>
      </c>
      <c r="CI5" s="192" t="s">
        <v>679</v>
      </c>
      <c r="CJ5" s="192" t="s">
        <v>679</v>
      </c>
      <c r="CK5" s="192" t="s">
        <v>679</v>
      </c>
      <c r="CL5" s="192" t="s">
        <v>679</v>
      </c>
      <c r="CM5" s="192" t="s">
        <v>679</v>
      </c>
      <c r="CN5" s="192" t="s">
        <v>679</v>
      </c>
      <c r="CO5" s="192" t="s">
        <v>679</v>
      </c>
      <c r="CP5" s="192" t="s">
        <v>679</v>
      </c>
      <c r="CQ5" s="192" t="s">
        <v>679</v>
      </c>
      <c r="CR5" s="192" t="s">
        <v>679</v>
      </c>
      <c r="CS5" s="192" t="s">
        <v>679</v>
      </c>
      <c r="CT5" s="192" t="s">
        <v>679</v>
      </c>
      <c r="CU5" s="192" t="s">
        <v>679</v>
      </c>
      <c r="CV5" s="192" t="s">
        <v>679</v>
      </c>
      <c r="CW5" s="192" t="s">
        <v>679</v>
      </c>
      <c r="CX5" s="192" t="s">
        <v>679</v>
      </c>
      <c r="CY5" s="192" t="s">
        <v>679</v>
      </c>
      <c r="CZ5" s="192" t="s">
        <v>679</v>
      </c>
      <c r="DA5" s="192" t="s">
        <v>679</v>
      </c>
      <c r="DB5" s="192" t="s">
        <v>679</v>
      </c>
    </row>
    <row r="6" spans="1:106" ht="69" x14ac:dyDescent="0.3">
      <c r="B6" s="11"/>
      <c r="C6" s="11"/>
      <c r="D6" s="61" t="s">
        <v>58</v>
      </c>
      <c r="E6" s="123" t="str">
        <f t="shared" si="0"/>
        <v>LastRunTimeandStatus</v>
      </c>
      <c r="F6" s="63" t="str">
        <f t="shared" si="1"/>
        <v>LastRunTimeandStatus2</v>
      </c>
      <c r="G6" s="120" t="s">
        <v>664</v>
      </c>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row>
    <row r="7" spans="1:106" ht="15" thickBot="1" x14ac:dyDescent="0.35">
      <c r="A7" t="s">
        <v>778</v>
      </c>
      <c r="B7" s="11"/>
      <c r="C7" s="11"/>
      <c r="D7" s="61" t="s">
        <v>59</v>
      </c>
      <c r="E7" s="123" t="str">
        <f t="shared" si="0"/>
        <v>LastRunErrorMessage</v>
      </c>
      <c r="F7" s="67" t="str">
        <f t="shared" si="1"/>
        <v>LastRunErrorMessage2</v>
      </c>
      <c r="G7" s="61" t="s">
        <v>665</v>
      </c>
      <c r="H7" s="198"/>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4"/>
      <c r="AI7" s="164"/>
      <c r="AJ7" s="164"/>
      <c r="AK7" s="164"/>
      <c r="AL7" s="164"/>
      <c r="AM7" s="164"/>
      <c r="AN7" s="164"/>
      <c r="AO7" s="164"/>
      <c r="AP7" s="164"/>
      <c r="AQ7" s="164"/>
      <c r="AR7" s="164"/>
      <c r="AS7" s="164"/>
      <c r="AT7" s="164"/>
      <c r="AU7" s="164"/>
      <c r="AV7" s="164"/>
      <c r="AW7" s="164"/>
      <c r="AX7" s="164"/>
      <c r="AY7" s="164"/>
      <c r="AZ7" s="164"/>
      <c r="BA7" s="164"/>
      <c r="BB7" s="164"/>
      <c r="BC7" s="164"/>
      <c r="BD7" s="164"/>
      <c r="BE7" s="164"/>
      <c r="BF7" s="164"/>
      <c r="BG7" s="164"/>
      <c r="BH7" s="164"/>
      <c r="BI7" s="164"/>
      <c r="BJ7" s="164"/>
      <c r="BK7" s="164"/>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row>
    <row r="8" spans="1:106" ht="69" x14ac:dyDescent="0.3">
      <c r="B8" s="11"/>
      <c r="C8" s="11"/>
      <c r="D8" s="61" t="s">
        <v>636</v>
      </c>
      <c r="E8" s="123" t="str">
        <f t="shared" si="0"/>
        <v>DefectDescription</v>
      </c>
      <c r="F8" s="63" t="str">
        <f t="shared" si="1"/>
        <v>DefectDescription2</v>
      </c>
      <c r="G8" s="120" t="s">
        <v>666</v>
      </c>
      <c r="H8" s="39"/>
      <c r="I8" s="39"/>
      <c r="J8" s="39"/>
      <c r="K8" s="39"/>
      <c r="L8" s="39"/>
      <c r="M8" s="39"/>
      <c r="N8" s="39"/>
      <c r="O8" s="39"/>
      <c r="P8" s="39"/>
      <c r="Q8" s="135"/>
      <c r="R8" s="39"/>
      <c r="S8" s="135"/>
      <c r="T8" s="39"/>
      <c r="U8" s="135"/>
      <c r="V8" s="39"/>
      <c r="W8" s="135"/>
      <c r="X8" s="39"/>
      <c r="Y8" s="135"/>
      <c r="Z8" s="39"/>
      <c r="AA8" s="135"/>
      <c r="AB8" s="39"/>
      <c r="AC8" s="135"/>
      <c r="AD8" s="39"/>
      <c r="AE8" s="135"/>
      <c r="AF8" s="39"/>
      <c r="AG8" s="135"/>
      <c r="AH8" s="39"/>
      <c r="AI8" s="135"/>
      <c r="AJ8" s="39"/>
      <c r="AK8" s="135"/>
      <c r="AL8" s="39"/>
      <c r="AM8" s="135"/>
      <c r="AN8" s="39"/>
      <c r="AO8" s="135"/>
      <c r="AP8" s="39"/>
      <c r="AQ8" s="135"/>
      <c r="AR8" s="39"/>
      <c r="AS8" s="135"/>
      <c r="AT8" s="39"/>
      <c r="AU8" s="135"/>
      <c r="AV8" s="39"/>
      <c r="AW8" s="135"/>
      <c r="AX8" s="39"/>
      <c r="AY8" s="135"/>
      <c r="AZ8" s="39"/>
      <c r="BA8" s="135"/>
      <c r="BB8" s="39"/>
      <c r="BC8" s="135"/>
      <c r="BD8" s="39"/>
      <c r="BE8" s="135"/>
      <c r="BF8" s="39"/>
      <c r="BG8" s="135"/>
      <c r="BH8" s="39"/>
      <c r="BI8" s="135"/>
      <c r="BJ8" s="39"/>
      <c r="BK8" s="135"/>
      <c r="BL8" s="39"/>
      <c r="BM8" s="135"/>
      <c r="BN8" s="39"/>
      <c r="BO8" s="135"/>
      <c r="BP8" s="39"/>
      <c r="BQ8" s="135"/>
      <c r="BR8" s="39"/>
      <c r="BS8" s="135"/>
      <c r="BT8" s="39"/>
      <c r="BU8" s="135"/>
      <c r="BV8" s="39"/>
      <c r="BW8" s="135"/>
      <c r="BX8" s="39"/>
      <c r="BY8" s="135"/>
      <c r="BZ8" s="39"/>
      <c r="CA8" s="135"/>
      <c r="CB8" s="39"/>
      <c r="CC8" s="135"/>
      <c r="CD8" s="39"/>
      <c r="CE8" s="135"/>
      <c r="CF8" s="39"/>
      <c r="CG8" s="135"/>
      <c r="CH8" s="39"/>
      <c r="CI8" s="135"/>
      <c r="CJ8" s="39"/>
      <c r="CK8" s="135"/>
      <c r="CL8" s="39"/>
      <c r="CM8" s="135"/>
      <c r="CN8" s="39"/>
      <c r="CO8" s="135"/>
      <c r="CP8" s="39"/>
      <c r="CQ8" s="135"/>
      <c r="CR8" s="39"/>
      <c r="CS8" s="135"/>
      <c r="CT8" s="39"/>
      <c r="CU8" s="135"/>
      <c r="CV8" s="39"/>
      <c r="CW8" s="135"/>
      <c r="CX8" s="39"/>
      <c r="CY8" s="135"/>
      <c r="CZ8" s="39"/>
      <c r="DA8" s="135"/>
      <c r="DB8" s="39"/>
    </row>
    <row r="9" spans="1:106" ht="62.25" customHeight="1" x14ac:dyDescent="0.3">
      <c r="B9" s="11"/>
      <c r="C9" s="11"/>
      <c r="D9" s="61" t="s">
        <v>637</v>
      </c>
      <c r="E9" s="123" t="str">
        <f>SUBSTITUTE(D9," ","")</f>
        <v>AutomationComments</v>
      </c>
      <c r="F9" s="63" t="str">
        <f t="shared" si="1"/>
        <v>AutomationComments2</v>
      </c>
      <c r="G9" s="61" t="s">
        <v>667</v>
      </c>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68"/>
      <c r="BK9" s="68"/>
      <c r="BL9" s="68"/>
      <c r="BM9" s="68"/>
      <c r="BN9" s="68"/>
      <c r="BO9" s="68"/>
      <c r="BP9" s="68"/>
      <c r="BQ9" s="68"/>
      <c r="BR9" s="68"/>
      <c r="BS9" s="68"/>
      <c r="BT9" s="68"/>
      <c r="BU9" s="68"/>
      <c r="BV9" s="68"/>
      <c r="BW9" s="68"/>
      <c r="BX9" s="68"/>
      <c r="BY9" s="68"/>
      <c r="BZ9" s="68"/>
      <c r="CA9" s="68"/>
      <c r="CB9" s="68"/>
      <c r="CC9" s="68"/>
      <c r="CD9" s="68"/>
      <c r="CE9" s="68"/>
      <c r="CF9" s="68"/>
      <c r="CG9" s="68"/>
      <c r="CH9" s="68"/>
      <c r="CI9" s="68"/>
      <c r="CJ9" s="68"/>
      <c r="CK9" s="68"/>
      <c r="CL9" s="68"/>
      <c r="CM9" s="68"/>
      <c r="CN9" s="68"/>
      <c r="CO9" s="68"/>
      <c r="CP9" s="68"/>
      <c r="CQ9" s="68"/>
      <c r="CR9" s="68"/>
      <c r="CS9" s="68"/>
      <c r="CT9" s="68"/>
      <c r="CU9" s="68"/>
      <c r="CV9" s="68"/>
      <c r="CW9" s="68"/>
      <c r="CX9" s="68"/>
      <c r="CY9" s="68"/>
      <c r="CZ9" s="68"/>
      <c r="DA9" s="68"/>
      <c r="DB9" s="68"/>
    </row>
    <row r="10" spans="1:106" ht="26.25" customHeight="1" thickBot="1" x14ac:dyDescent="0.35">
      <c r="B10" s="11"/>
      <c r="C10" s="11"/>
      <c r="D10" s="62" t="s">
        <v>638</v>
      </c>
      <c r="E10" s="124" t="str">
        <f t="shared" si="0"/>
        <v>QAComments</v>
      </c>
      <c r="F10" s="64" t="str">
        <f t="shared" si="1"/>
        <v>QAComments2</v>
      </c>
      <c r="G10" s="62" t="s">
        <v>668</v>
      </c>
      <c r="H10" s="138"/>
      <c r="I10" s="139"/>
      <c r="J10" s="138"/>
      <c r="K10" s="136"/>
      <c r="L10" s="136"/>
      <c r="M10" s="139"/>
      <c r="N10" s="138"/>
      <c r="O10" s="137"/>
      <c r="P10" s="138"/>
      <c r="Q10" s="139"/>
      <c r="R10" s="138"/>
      <c r="S10" s="139"/>
      <c r="T10" s="138"/>
      <c r="U10" s="139"/>
      <c r="V10" s="138"/>
      <c r="W10" s="139"/>
      <c r="X10" s="138"/>
      <c r="Y10" s="139"/>
      <c r="Z10" s="138"/>
      <c r="AA10" s="139"/>
      <c r="AB10" s="138"/>
      <c r="AC10" s="139"/>
      <c r="AD10" s="138"/>
      <c r="AE10" s="139"/>
      <c r="AF10" s="138"/>
      <c r="AG10" s="139"/>
      <c r="AH10" s="138"/>
      <c r="AI10" s="139"/>
      <c r="AJ10" s="138"/>
      <c r="AK10" s="139"/>
      <c r="AL10" s="138"/>
      <c r="AM10" s="139"/>
      <c r="AN10" s="138"/>
      <c r="AO10" s="139"/>
      <c r="AP10" s="138"/>
      <c r="AQ10" s="139"/>
      <c r="AR10" s="138"/>
      <c r="AS10" s="139"/>
      <c r="AT10" s="138"/>
      <c r="AU10" s="139"/>
      <c r="AV10" s="138"/>
      <c r="AW10" s="139"/>
      <c r="AX10" s="138"/>
      <c r="AY10" s="139"/>
      <c r="AZ10" s="138"/>
      <c r="BA10" s="139"/>
      <c r="BB10" s="138"/>
      <c r="BC10" s="139"/>
      <c r="BD10" s="138"/>
      <c r="BE10" s="139"/>
      <c r="BF10" s="138"/>
      <c r="BG10" s="139"/>
      <c r="BH10" s="138"/>
      <c r="BI10" s="139"/>
      <c r="BJ10" s="138"/>
      <c r="BK10" s="139"/>
      <c r="BL10" s="138"/>
      <c r="BM10" s="139"/>
      <c r="BN10" s="138"/>
      <c r="BO10" s="139"/>
      <c r="BP10" s="138"/>
      <c r="BQ10" s="139"/>
      <c r="BR10" s="138"/>
      <c r="BS10" s="139"/>
      <c r="BT10" s="138"/>
      <c r="BU10" s="139"/>
      <c r="BV10" s="138"/>
      <c r="BW10" s="139"/>
      <c r="BX10" s="138"/>
      <c r="BY10" s="139"/>
      <c r="BZ10" s="138"/>
      <c r="CA10" s="139"/>
      <c r="CB10" s="138"/>
      <c r="CC10" s="139"/>
      <c r="CD10" s="138"/>
      <c r="CE10" s="139"/>
      <c r="CF10" s="138"/>
      <c r="CG10" s="139"/>
      <c r="CH10" s="138"/>
      <c r="CI10" s="139"/>
      <c r="CJ10" s="138"/>
      <c r="CK10" s="139"/>
      <c r="CL10" s="138"/>
      <c r="CM10" s="139"/>
      <c r="CN10" s="138"/>
      <c r="CO10" s="139"/>
      <c r="CP10" s="138"/>
      <c r="CQ10" s="139"/>
      <c r="CR10" s="138"/>
      <c r="CS10" s="139"/>
      <c r="CT10" s="138"/>
      <c r="CU10" s="139"/>
      <c r="CV10" s="138"/>
      <c r="CW10" s="139"/>
      <c r="CX10" s="138"/>
      <c r="CY10" s="139"/>
      <c r="CZ10" s="138"/>
      <c r="DA10" s="139"/>
      <c r="DB10" s="138"/>
    </row>
    <row r="11" spans="1:106" ht="31.5" customHeight="1" thickBot="1" x14ac:dyDescent="0.35">
      <c r="B11" s="11"/>
      <c r="C11" s="11"/>
      <c r="D11" s="130"/>
      <c r="E11" s="130"/>
      <c r="F11" s="130"/>
      <c r="G11" s="130"/>
      <c r="H11" s="129"/>
      <c r="I11" s="129"/>
      <c r="J11" s="129"/>
      <c r="K11" s="131"/>
      <c r="L11" s="131"/>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29"/>
      <c r="BQ11" s="129"/>
      <c r="BR11" s="129"/>
      <c r="BS11" s="129"/>
      <c r="BT11" s="129"/>
      <c r="BU11" s="129"/>
      <c r="BV11" s="129"/>
      <c r="BW11" s="129"/>
      <c r="BX11" s="129"/>
      <c r="BY11" s="129"/>
      <c r="BZ11" s="129"/>
      <c r="CA11" s="129"/>
      <c r="CB11" s="129"/>
      <c r="CC11" s="129"/>
      <c r="CD11" s="129"/>
      <c r="CE11" s="129"/>
      <c r="CF11" s="129"/>
      <c r="CG11" s="129"/>
      <c r="CH11" s="129"/>
      <c r="CI11" s="129"/>
      <c r="CJ11" s="129"/>
      <c r="CK11" s="129"/>
      <c r="CL11" s="129"/>
      <c r="CM11" s="129"/>
      <c r="CN11" s="129"/>
      <c r="CO11" s="129"/>
      <c r="CP11" s="129"/>
      <c r="CQ11" s="129"/>
      <c r="CR11" s="129"/>
      <c r="CS11" s="129"/>
      <c r="CT11" s="129"/>
      <c r="CU11" s="129"/>
      <c r="CV11" s="129"/>
      <c r="CW11" s="129"/>
      <c r="CX11" s="129"/>
      <c r="CY11" s="129"/>
      <c r="CZ11" s="129"/>
      <c r="DA11" s="129"/>
      <c r="DB11" s="129"/>
    </row>
    <row r="12" spans="1:106" ht="15" thickBot="1" x14ac:dyDescent="0.35">
      <c r="B12" s="21" t="s">
        <v>2</v>
      </c>
      <c r="C12" s="121" t="s">
        <v>3</v>
      </c>
      <c r="D12" s="132" t="s">
        <v>4</v>
      </c>
      <c r="E12" s="133" t="s">
        <v>5</v>
      </c>
      <c r="F12" s="22" t="s">
        <v>81</v>
      </c>
      <c r="G12" s="22"/>
      <c r="H12" s="147" t="s">
        <v>816</v>
      </c>
      <c r="I12" s="147" t="s">
        <v>817</v>
      </c>
      <c r="J12" s="147" t="s">
        <v>818</v>
      </c>
      <c r="K12" s="147" t="s">
        <v>819</v>
      </c>
      <c r="L12" s="147" t="s">
        <v>669</v>
      </c>
      <c r="M12" s="147" t="s">
        <v>820</v>
      </c>
      <c r="N12" s="147" t="s">
        <v>670</v>
      </c>
      <c r="O12" s="147" t="s">
        <v>671</v>
      </c>
      <c r="P12" s="147" t="s">
        <v>672</v>
      </c>
      <c r="Q12" s="147" t="s">
        <v>673</v>
      </c>
      <c r="R12" s="147" t="s">
        <v>674</v>
      </c>
      <c r="S12" s="147" t="s">
        <v>675</v>
      </c>
      <c r="T12" s="147" t="s">
        <v>821</v>
      </c>
      <c r="U12" s="147" t="s">
        <v>676</v>
      </c>
      <c r="V12" s="147" t="s">
        <v>822</v>
      </c>
      <c r="W12" s="147" t="s">
        <v>677</v>
      </c>
      <c r="X12" s="147" t="s">
        <v>823</v>
      </c>
      <c r="Y12" s="147" t="s">
        <v>824</v>
      </c>
      <c r="Z12" s="147" t="s">
        <v>825</v>
      </c>
      <c r="AA12" s="147" t="s">
        <v>826</v>
      </c>
      <c r="AB12" s="147" t="s">
        <v>827</v>
      </c>
      <c r="AC12" s="147" t="s">
        <v>828</v>
      </c>
      <c r="AD12" s="147" t="s">
        <v>678</v>
      </c>
      <c r="AE12" s="147" t="s">
        <v>829</v>
      </c>
      <c r="AF12" s="147" t="s">
        <v>830</v>
      </c>
      <c r="AG12" s="147" t="s">
        <v>831</v>
      </c>
      <c r="AH12" s="147" t="s">
        <v>832</v>
      </c>
      <c r="AI12" s="147" t="s">
        <v>833</v>
      </c>
      <c r="AJ12" s="147" t="s">
        <v>834</v>
      </c>
      <c r="AK12" s="147" t="s">
        <v>835</v>
      </c>
      <c r="AL12" s="147" t="s">
        <v>836</v>
      </c>
      <c r="AM12" s="147" t="s">
        <v>837</v>
      </c>
      <c r="AN12" s="147" t="s">
        <v>838</v>
      </c>
      <c r="AO12" s="147" t="s">
        <v>839</v>
      </c>
      <c r="AP12" s="147" t="s">
        <v>840</v>
      </c>
      <c r="AQ12" s="147" t="s">
        <v>841</v>
      </c>
      <c r="AR12" s="147" t="s">
        <v>842</v>
      </c>
      <c r="AS12" s="147" t="s">
        <v>843</v>
      </c>
      <c r="AT12" s="147" t="s">
        <v>844</v>
      </c>
      <c r="AU12" s="147" t="s">
        <v>845</v>
      </c>
      <c r="AV12" s="147" t="s">
        <v>846</v>
      </c>
      <c r="AW12" s="147" t="s">
        <v>847</v>
      </c>
      <c r="AX12" s="147" t="s">
        <v>848</v>
      </c>
      <c r="AY12" s="147" t="s">
        <v>849</v>
      </c>
      <c r="AZ12" s="147" t="s">
        <v>850</v>
      </c>
      <c r="BA12" s="147" t="s">
        <v>851</v>
      </c>
      <c r="BB12" s="147" t="s">
        <v>852</v>
      </c>
      <c r="BC12" s="147" t="s">
        <v>853</v>
      </c>
      <c r="BD12" s="147" t="s">
        <v>854</v>
      </c>
      <c r="BE12" s="147" t="s">
        <v>855</v>
      </c>
      <c r="BF12" s="147" t="s">
        <v>856</v>
      </c>
      <c r="BG12" s="147" t="s">
        <v>857</v>
      </c>
      <c r="BH12" s="147" t="s">
        <v>858</v>
      </c>
      <c r="BI12" s="147" t="s">
        <v>859</v>
      </c>
      <c r="BJ12" s="147" t="s">
        <v>860</v>
      </c>
      <c r="BK12" s="147" t="s">
        <v>861</v>
      </c>
      <c r="BL12" s="147" t="s">
        <v>862</v>
      </c>
      <c r="BM12" s="147" t="s">
        <v>863</v>
      </c>
      <c r="BN12" s="147" t="s">
        <v>864</v>
      </c>
      <c r="BO12" s="147" t="s">
        <v>865</v>
      </c>
      <c r="BP12" s="147" t="s">
        <v>866</v>
      </c>
      <c r="BQ12" s="147" t="s">
        <v>867</v>
      </c>
      <c r="BR12" s="147" t="s">
        <v>868</v>
      </c>
      <c r="BS12" s="147" t="s">
        <v>869</v>
      </c>
      <c r="BT12" s="147" t="s">
        <v>870</v>
      </c>
      <c r="BU12" s="147" t="s">
        <v>871</v>
      </c>
      <c r="BV12" s="147" t="s">
        <v>872</v>
      </c>
      <c r="BW12" s="147" t="s">
        <v>873</v>
      </c>
      <c r="BX12" s="147" t="s">
        <v>874</v>
      </c>
      <c r="BY12" s="147" t="s">
        <v>875</v>
      </c>
      <c r="BZ12" s="147" t="s">
        <v>876</v>
      </c>
      <c r="CA12" s="147" t="s">
        <v>877</v>
      </c>
      <c r="CB12" s="147" t="s">
        <v>878</v>
      </c>
      <c r="CC12" s="147" t="s">
        <v>879</v>
      </c>
      <c r="CD12" s="147" t="s">
        <v>880</v>
      </c>
      <c r="CE12" s="147" t="s">
        <v>881</v>
      </c>
      <c r="CF12" s="147" t="s">
        <v>882</v>
      </c>
      <c r="CG12" s="147" t="s">
        <v>883</v>
      </c>
      <c r="CH12" s="147" t="s">
        <v>884</v>
      </c>
      <c r="CI12" s="147" t="s">
        <v>885</v>
      </c>
      <c r="CJ12" s="147" t="s">
        <v>886</v>
      </c>
      <c r="CK12" s="147" t="s">
        <v>887</v>
      </c>
      <c r="CL12" s="147" t="s">
        <v>888</v>
      </c>
      <c r="CM12" s="147" t="s">
        <v>889</v>
      </c>
      <c r="CN12" s="147" t="s">
        <v>890</v>
      </c>
      <c r="CO12" s="147" t="s">
        <v>891</v>
      </c>
      <c r="CP12" s="147" t="s">
        <v>892</v>
      </c>
      <c r="CQ12" s="147" t="s">
        <v>893</v>
      </c>
      <c r="CR12" s="147" t="s">
        <v>894</v>
      </c>
      <c r="CS12" s="147" t="s">
        <v>895</v>
      </c>
      <c r="CT12" s="147" t="s">
        <v>896</v>
      </c>
      <c r="CU12" s="147" t="s">
        <v>897</v>
      </c>
      <c r="CV12" s="147" t="s">
        <v>898</v>
      </c>
      <c r="CW12" s="147" t="s">
        <v>899</v>
      </c>
      <c r="CX12" s="147" t="s">
        <v>900</v>
      </c>
      <c r="CY12" s="147" t="s">
        <v>901</v>
      </c>
      <c r="CZ12" s="147" t="s">
        <v>902</v>
      </c>
      <c r="DA12" s="147" t="s">
        <v>903</v>
      </c>
      <c r="DB12" s="147" t="s">
        <v>904</v>
      </c>
    </row>
    <row r="13" spans="1:106" ht="57.6" x14ac:dyDescent="0.3">
      <c r="A13" s="164" t="s">
        <v>786</v>
      </c>
      <c r="B13" s="9" t="s">
        <v>7</v>
      </c>
      <c r="C13" s="23" t="s">
        <v>6</v>
      </c>
      <c r="D13" s="161" t="s">
        <v>758</v>
      </c>
      <c r="E13" s="125" t="str">
        <f>SUBSTITUTE(B13," ","") &amp; "_" &amp; SUBSTITUTE(IF(C13="N/A","",C13&amp; "_")," ","")  &amp; SUBSTITUTE(SUBSTITUTE(D13," ",""),"/","")</f>
        <v>Login_Username</v>
      </c>
      <c r="F13" s="38" t="str">
        <f>E13&amp;2</f>
        <v>Login_Username2</v>
      </c>
      <c r="G13" s="140"/>
      <c r="H13" s="199">
        <v>90002195</v>
      </c>
      <c r="I13" s="199">
        <v>90002195</v>
      </c>
      <c r="J13" s="199">
        <v>90002195</v>
      </c>
      <c r="K13" s="199">
        <v>90002195</v>
      </c>
      <c r="L13" s="199">
        <v>90002195</v>
      </c>
      <c r="M13" s="199">
        <v>90002195</v>
      </c>
      <c r="N13" s="199">
        <v>90002195</v>
      </c>
      <c r="O13" s="199">
        <v>90002195</v>
      </c>
      <c r="P13" s="199">
        <v>90002195</v>
      </c>
      <c r="Q13" s="199">
        <v>90002195</v>
      </c>
      <c r="R13" s="199">
        <v>90002195</v>
      </c>
      <c r="S13" s="199">
        <v>90002195</v>
      </c>
      <c r="T13" s="199">
        <v>90002195</v>
      </c>
      <c r="U13" s="199">
        <v>90002195</v>
      </c>
      <c r="V13" s="199">
        <v>90002195</v>
      </c>
      <c r="W13" s="199">
        <v>90002195</v>
      </c>
      <c r="X13" s="199">
        <v>90002195</v>
      </c>
      <c r="Y13" s="199">
        <v>90002195</v>
      </c>
      <c r="Z13" s="199">
        <v>90002195</v>
      </c>
      <c r="AA13" s="199">
        <v>90002195</v>
      </c>
      <c r="AB13" s="199">
        <v>90002195</v>
      </c>
      <c r="AC13" s="199">
        <v>90002195</v>
      </c>
      <c r="AD13" s="199">
        <v>90002195</v>
      </c>
      <c r="AE13" s="199">
        <v>90002195</v>
      </c>
      <c r="AF13" s="199">
        <v>90002195</v>
      </c>
      <c r="AG13" s="199">
        <v>90002195</v>
      </c>
      <c r="AH13" s="199">
        <v>90002195</v>
      </c>
      <c r="AI13" s="199">
        <v>90002195</v>
      </c>
      <c r="AJ13" s="199">
        <v>90002195</v>
      </c>
      <c r="AK13" s="199">
        <v>90002195</v>
      </c>
      <c r="AL13" s="199">
        <v>90002195</v>
      </c>
      <c r="AM13" s="199">
        <v>90002195</v>
      </c>
      <c r="AN13" s="199">
        <v>90002195</v>
      </c>
      <c r="AO13" s="199">
        <v>90002195</v>
      </c>
      <c r="AP13" s="199">
        <v>90002195</v>
      </c>
      <c r="AQ13" s="199">
        <v>90002195</v>
      </c>
      <c r="AR13" s="199">
        <v>90002195</v>
      </c>
      <c r="AS13" s="199">
        <v>90002195</v>
      </c>
      <c r="AT13" s="199">
        <v>90002195</v>
      </c>
      <c r="AU13" s="199">
        <v>90002195</v>
      </c>
      <c r="AV13" s="199">
        <v>90002195</v>
      </c>
      <c r="AW13" s="199">
        <v>90002195</v>
      </c>
      <c r="AX13" s="199">
        <v>90002195</v>
      </c>
      <c r="AY13" s="199">
        <v>90002195</v>
      </c>
      <c r="AZ13" s="199">
        <v>90002195</v>
      </c>
      <c r="BA13" s="199">
        <v>90002195</v>
      </c>
      <c r="BB13" s="199">
        <v>90002195</v>
      </c>
      <c r="BC13" s="199">
        <v>90002195</v>
      </c>
      <c r="BD13" s="199">
        <v>90002195</v>
      </c>
      <c r="BE13" s="199">
        <v>90002195</v>
      </c>
      <c r="BF13" s="199">
        <v>90002195</v>
      </c>
      <c r="BG13" s="199">
        <v>90002195</v>
      </c>
      <c r="BH13" s="199">
        <v>90002195</v>
      </c>
      <c r="BI13" s="199">
        <v>90002195</v>
      </c>
      <c r="BJ13" s="199">
        <v>90002195</v>
      </c>
      <c r="BK13" s="199">
        <v>90002195</v>
      </c>
      <c r="BL13" s="199">
        <v>90002195</v>
      </c>
      <c r="BM13" s="199">
        <v>90002195</v>
      </c>
      <c r="BN13" s="199">
        <v>90002195</v>
      </c>
      <c r="BO13" s="199">
        <v>90002195</v>
      </c>
      <c r="BP13" s="199">
        <v>90002195</v>
      </c>
      <c r="BQ13" s="199">
        <v>90002195</v>
      </c>
      <c r="BR13" s="199">
        <v>90002195</v>
      </c>
      <c r="BS13" s="199">
        <v>90002195</v>
      </c>
      <c r="BT13" s="199">
        <v>90002195</v>
      </c>
      <c r="BU13" s="199">
        <v>90002195</v>
      </c>
      <c r="BV13" s="199">
        <v>90002195</v>
      </c>
      <c r="BW13" s="199">
        <v>90002195</v>
      </c>
      <c r="BX13" s="199">
        <v>90002195</v>
      </c>
      <c r="BY13" s="199">
        <v>90002195</v>
      </c>
      <c r="BZ13" s="199">
        <v>90002195</v>
      </c>
      <c r="CA13" s="199">
        <v>90002195</v>
      </c>
      <c r="CB13" s="199">
        <v>90002195</v>
      </c>
      <c r="CC13" s="199">
        <v>90002195</v>
      </c>
      <c r="CD13" s="199">
        <v>90002195</v>
      </c>
      <c r="CE13" s="199">
        <v>90002195</v>
      </c>
      <c r="CF13" s="199">
        <v>90002195</v>
      </c>
      <c r="CG13" s="199">
        <v>90002195</v>
      </c>
      <c r="CH13" s="199">
        <v>90002195</v>
      </c>
      <c r="CI13" s="199">
        <v>90002195</v>
      </c>
      <c r="CJ13" s="199">
        <v>90002195</v>
      </c>
      <c r="CK13" s="199">
        <v>90002195</v>
      </c>
      <c r="CL13" s="199">
        <v>90002195</v>
      </c>
      <c r="CM13" s="199">
        <v>90002195</v>
      </c>
      <c r="CN13" s="199">
        <v>90002195</v>
      </c>
      <c r="CO13" s="199">
        <v>90002195</v>
      </c>
      <c r="CP13" s="199">
        <v>90002195</v>
      </c>
      <c r="CQ13" s="199">
        <v>90002195</v>
      </c>
      <c r="CR13" s="199">
        <v>90002195</v>
      </c>
      <c r="CS13" s="199">
        <v>90002195</v>
      </c>
      <c r="CT13" s="199">
        <v>90002195</v>
      </c>
      <c r="CU13" s="199">
        <v>90002195</v>
      </c>
      <c r="CV13" s="199">
        <v>90002195</v>
      </c>
      <c r="CW13" s="199">
        <v>90002195</v>
      </c>
      <c r="CX13" s="199">
        <v>90002195</v>
      </c>
      <c r="CY13" s="199">
        <v>90002195</v>
      </c>
      <c r="CZ13" s="199">
        <v>90002195</v>
      </c>
      <c r="DA13" s="199">
        <v>90002195</v>
      </c>
      <c r="DB13" s="199">
        <v>90002195</v>
      </c>
    </row>
    <row r="14" spans="1:106" ht="57.6" x14ac:dyDescent="0.3">
      <c r="A14" s="164" t="s">
        <v>786</v>
      </c>
      <c r="B14" s="10" t="s">
        <v>7</v>
      </c>
      <c r="C14" s="43" t="s">
        <v>6</v>
      </c>
      <c r="D14" s="162" t="s">
        <v>759</v>
      </c>
      <c r="E14" s="126" t="str">
        <f t="shared" ref="E14:E38" si="4">SUBSTITUTE(B14," ","") &amp; "_" &amp; SUBSTITUTE(IF(C14="N/A","",C14&amp; "_")," ","")  &amp; SUBSTITUTE(SUBSTITUTE(D14," ",""),"/","")</f>
        <v>Login_Password</v>
      </c>
      <c r="F14" s="38" t="str">
        <f t="shared" ref="F14:F38" si="5">E14&amp;2</f>
        <v>Login_Password2</v>
      </c>
      <c r="G14" s="141"/>
      <c r="H14" s="200" t="s">
        <v>815</v>
      </c>
      <c r="I14" s="200" t="s">
        <v>815</v>
      </c>
      <c r="J14" s="200" t="s">
        <v>815</v>
      </c>
      <c r="K14" s="200" t="s">
        <v>815</v>
      </c>
      <c r="L14" s="200" t="s">
        <v>815</v>
      </c>
      <c r="M14" s="200" t="s">
        <v>815</v>
      </c>
      <c r="N14" s="200" t="s">
        <v>815</v>
      </c>
      <c r="O14" s="200" t="s">
        <v>815</v>
      </c>
      <c r="P14" s="200" t="s">
        <v>815</v>
      </c>
      <c r="Q14" s="200" t="s">
        <v>815</v>
      </c>
      <c r="R14" s="200" t="s">
        <v>815</v>
      </c>
      <c r="S14" s="200" t="s">
        <v>815</v>
      </c>
      <c r="T14" s="200" t="s">
        <v>815</v>
      </c>
      <c r="U14" s="200" t="s">
        <v>815</v>
      </c>
      <c r="V14" s="200" t="s">
        <v>815</v>
      </c>
      <c r="W14" s="200" t="s">
        <v>815</v>
      </c>
      <c r="X14" s="200" t="s">
        <v>815</v>
      </c>
      <c r="Y14" s="200" t="s">
        <v>815</v>
      </c>
      <c r="Z14" s="200" t="s">
        <v>815</v>
      </c>
      <c r="AA14" s="200" t="s">
        <v>815</v>
      </c>
      <c r="AB14" s="200" t="s">
        <v>815</v>
      </c>
      <c r="AC14" s="200" t="s">
        <v>815</v>
      </c>
      <c r="AD14" s="200" t="s">
        <v>815</v>
      </c>
      <c r="AE14" s="200" t="s">
        <v>815</v>
      </c>
      <c r="AF14" s="200" t="s">
        <v>815</v>
      </c>
      <c r="AG14" s="200" t="s">
        <v>815</v>
      </c>
      <c r="AH14" s="200" t="s">
        <v>815</v>
      </c>
      <c r="AI14" s="200" t="s">
        <v>815</v>
      </c>
      <c r="AJ14" s="200" t="s">
        <v>815</v>
      </c>
      <c r="AK14" s="200" t="s">
        <v>815</v>
      </c>
      <c r="AL14" s="200" t="s">
        <v>815</v>
      </c>
      <c r="AM14" s="200" t="s">
        <v>815</v>
      </c>
      <c r="AN14" s="200" t="s">
        <v>815</v>
      </c>
      <c r="AO14" s="200" t="s">
        <v>815</v>
      </c>
      <c r="AP14" s="200" t="s">
        <v>815</v>
      </c>
      <c r="AQ14" s="200" t="s">
        <v>815</v>
      </c>
      <c r="AR14" s="200" t="s">
        <v>815</v>
      </c>
      <c r="AS14" s="200" t="s">
        <v>815</v>
      </c>
      <c r="AT14" s="200" t="s">
        <v>815</v>
      </c>
      <c r="AU14" s="200" t="s">
        <v>815</v>
      </c>
      <c r="AV14" s="200" t="s">
        <v>815</v>
      </c>
      <c r="AW14" s="200" t="s">
        <v>815</v>
      </c>
      <c r="AX14" s="200" t="s">
        <v>815</v>
      </c>
      <c r="AY14" s="200" t="s">
        <v>815</v>
      </c>
      <c r="AZ14" s="200" t="s">
        <v>815</v>
      </c>
      <c r="BA14" s="200" t="s">
        <v>815</v>
      </c>
      <c r="BB14" s="200" t="s">
        <v>815</v>
      </c>
      <c r="BC14" s="200" t="s">
        <v>815</v>
      </c>
      <c r="BD14" s="200" t="s">
        <v>815</v>
      </c>
      <c r="BE14" s="200" t="s">
        <v>815</v>
      </c>
      <c r="BF14" s="200" t="s">
        <v>815</v>
      </c>
      <c r="BG14" s="200" t="s">
        <v>815</v>
      </c>
      <c r="BH14" s="200" t="s">
        <v>815</v>
      </c>
      <c r="BI14" s="200" t="s">
        <v>815</v>
      </c>
      <c r="BJ14" s="200" t="s">
        <v>815</v>
      </c>
      <c r="BK14" s="200" t="s">
        <v>815</v>
      </c>
      <c r="BL14" s="200" t="s">
        <v>815</v>
      </c>
      <c r="BM14" s="200" t="s">
        <v>815</v>
      </c>
      <c r="BN14" s="200" t="s">
        <v>815</v>
      </c>
      <c r="BO14" s="200" t="s">
        <v>815</v>
      </c>
      <c r="BP14" s="200" t="s">
        <v>815</v>
      </c>
      <c r="BQ14" s="200" t="s">
        <v>815</v>
      </c>
      <c r="BR14" s="200" t="s">
        <v>815</v>
      </c>
      <c r="BS14" s="200" t="s">
        <v>815</v>
      </c>
      <c r="BT14" s="200" t="s">
        <v>815</v>
      </c>
      <c r="BU14" s="200" t="s">
        <v>815</v>
      </c>
      <c r="BV14" s="200" t="s">
        <v>815</v>
      </c>
      <c r="BW14" s="200" t="s">
        <v>815</v>
      </c>
      <c r="BX14" s="200" t="s">
        <v>815</v>
      </c>
      <c r="BY14" s="200" t="s">
        <v>815</v>
      </c>
      <c r="BZ14" s="200" t="s">
        <v>815</v>
      </c>
      <c r="CA14" s="200" t="s">
        <v>815</v>
      </c>
      <c r="CB14" s="200" t="s">
        <v>815</v>
      </c>
      <c r="CC14" s="200" t="s">
        <v>815</v>
      </c>
      <c r="CD14" s="200" t="s">
        <v>815</v>
      </c>
      <c r="CE14" s="200" t="s">
        <v>815</v>
      </c>
      <c r="CF14" s="200" t="s">
        <v>815</v>
      </c>
      <c r="CG14" s="200" t="s">
        <v>815</v>
      </c>
      <c r="CH14" s="200" t="s">
        <v>815</v>
      </c>
      <c r="CI14" s="200" t="s">
        <v>815</v>
      </c>
      <c r="CJ14" s="200" t="s">
        <v>815</v>
      </c>
      <c r="CK14" s="200" t="s">
        <v>815</v>
      </c>
      <c r="CL14" s="200" t="s">
        <v>815</v>
      </c>
      <c r="CM14" s="200" t="s">
        <v>815</v>
      </c>
      <c r="CN14" s="200" t="s">
        <v>815</v>
      </c>
      <c r="CO14" s="200" t="s">
        <v>815</v>
      </c>
      <c r="CP14" s="200" t="s">
        <v>815</v>
      </c>
      <c r="CQ14" s="200" t="s">
        <v>815</v>
      </c>
      <c r="CR14" s="200" t="s">
        <v>815</v>
      </c>
      <c r="CS14" s="200" t="s">
        <v>815</v>
      </c>
      <c r="CT14" s="200" t="s">
        <v>815</v>
      </c>
      <c r="CU14" s="200" t="s">
        <v>815</v>
      </c>
      <c r="CV14" s="200" t="s">
        <v>815</v>
      </c>
      <c r="CW14" s="200" t="s">
        <v>815</v>
      </c>
      <c r="CX14" s="200" t="s">
        <v>815</v>
      </c>
      <c r="CY14" s="200" t="s">
        <v>815</v>
      </c>
      <c r="CZ14" s="200" t="s">
        <v>815</v>
      </c>
      <c r="DA14" s="200" t="s">
        <v>815</v>
      </c>
      <c r="DB14" s="200" t="s">
        <v>815</v>
      </c>
    </row>
    <row r="15" spans="1:106" ht="57.6" x14ac:dyDescent="0.3">
      <c r="A15" s="164" t="s">
        <v>786</v>
      </c>
      <c r="B15" s="10" t="s">
        <v>21</v>
      </c>
      <c r="C15" s="43" t="s">
        <v>6</v>
      </c>
      <c r="D15" s="162" t="s">
        <v>741</v>
      </c>
      <c r="E15" s="126" t="str">
        <f t="shared" si="4"/>
        <v>Proxy_EmployeeID</v>
      </c>
      <c r="F15" s="38" t="str">
        <f t="shared" si="5"/>
        <v>Proxy_EmployeeID2</v>
      </c>
      <c r="G15" s="141"/>
      <c r="H15">
        <v>10543013</v>
      </c>
      <c r="I15">
        <v>10565020</v>
      </c>
      <c r="J15">
        <v>10550629</v>
      </c>
      <c r="K15">
        <v>10616945</v>
      </c>
      <c r="L15">
        <v>10628812</v>
      </c>
      <c r="M15">
        <v>10514677</v>
      </c>
      <c r="N15">
        <v>10576087</v>
      </c>
      <c r="O15">
        <v>10576250</v>
      </c>
      <c r="P15">
        <v>10581486</v>
      </c>
      <c r="Q15">
        <v>10576088</v>
      </c>
      <c r="R15">
        <v>10576897</v>
      </c>
      <c r="S15">
        <v>10509271</v>
      </c>
      <c r="T15">
        <v>10616779</v>
      </c>
      <c r="U15">
        <v>10575849</v>
      </c>
      <c r="V15">
        <v>10506533</v>
      </c>
      <c r="W15">
        <v>10576183</v>
      </c>
      <c r="X15">
        <v>10537124</v>
      </c>
      <c r="Y15">
        <v>10565049</v>
      </c>
      <c r="Z15">
        <v>10502364</v>
      </c>
      <c r="AA15">
        <v>10540543</v>
      </c>
      <c r="AB15">
        <v>10561673</v>
      </c>
      <c r="AC15">
        <v>10581485</v>
      </c>
      <c r="AD15">
        <v>10495993</v>
      </c>
      <c r="AE15">
        <v>10513485</v>
      </c>
      <c r="AF15">
        <v>10256836</v>
      </c>
      <c r="AG15">
        <v>10576095</v>
      </c>
      <c r="AH15" s="208">
        <v>10588288</v>
      </c>
      <c r="AI15" s="208">
        <v>10250271</v>
      </c>
      <c r="AJ15" s="208">
        <v>10568627</v>
      </c>
      <c r="AK15" s="208">
        <v>10568608</v>
      </c>
      <c r="AL15" s="208">
        <v>10511417</v>
      </c>
      <c r="AM15" s="208">
        <v>10513256</v>
      </c>
      <c r="AN15" s="208">
        <v>10598394</v>
      </c>
      <c r="AO15" s="208">
        <v>10543072</v>
      </c>
      <c r="AP15" s="208">
        <v>10628115</v>
      </c>
      <c r="AQ15" s="208">
        <v>10622284</v>
      </c>
      <c r="AR15" s="208">
        <v>10622213</v>
      </c>
      <c r="AS15" s="208">
        <v>10514684</v>
      </c>
      <c r="AT15" s="208">
        <v>10572404</v>
      </c>
      <c r="AU15" s="208">
        <v>10622265</v>
      </c>
      <c r="AV15" s="208">
        <v>10568803</v>
      </c>
      <c r="AW15" s="208">
        <v>10602155</v>
      </c>
      <c r="AX15" s="208">
        <v>10588040</v>
      </c>
      <c r="AY15" s="208">
        <v>10598424</v>
      </c>
      <c r="AZ15" s="208">
        <v>10580440</v>
      </c>
      <c r="BA15" s="208">
        <v>10626863</v>
      </c>
      <c r="BB15" s="208">
        <v>10250339</v>
      </c>
      <c r="BC15" s="208">
        <v>10511328</v>
      </c>
      <c r="BD15" s="208">
        <v>10602135</v>
      </c>
      <c r="BE15" s="208">
        <v>10573791</v>
      </c>
      <c r="BF15" s="208">
        <v>10561077</v>
      </c>
      <c r="BG15" s="208">
        <v>10598420</v>
      </c>
      <c r="BH15" s="208">
        <v>10572393</v>
      </c>
      <c r="BI15" s="208">
        <v>10502373</v>
      </c>
      <c r="BJ15" s="208">
        <v>10496001</v>
      </c>
      <c r="BK15" s="208">
        <v>10616941</v>
      </c>
      <c r="BL15" s="208">
        <v>10588308</v>
      </c>
      <c r="BM15" s="208">
        <v>10250345</v>
      </c>
      <c r="BN15" s="208">
        <v>10255631</v>
      </c>
      <c r="BO15" s="208">
        <v>10611180</v>
      </c>
      <c r="BP15" s="208">
        <v>10543391</v>
      </c>
      <c r="BQ15" s="208">
        <v>10540442</v>
      </c>
      <c r="BR15" s="208">
        <v>10580332</v>
      </c>
      <c r="BS15" s="208">
        <v>10573944</v>
      </c>
      <c r="BT15" s="208">
        <v>10509268</v>
      </c>
      <c r="BU15" s="208">
        <v>10576104</v>
      </c>
      <c r="BV15" s="208">
        <v>10611099</v>
      </c>
      <c r="BW15" s="208">
        <v>10594430</v>
      </c>
      <c r="BX15" s="208">
        <v>10616798</v>
      </c>
      <c r="BY15" s="207">
        <v>10596934</v>
      </c>
      <c r="BZ15" s="208">
        <v>10562732</v>
      </c>
      <c r="CA15" s="208">
        <v>10587789</v>
      </c>
      <c r="CB15" s="208">
        <v>10602117</v>
      </c>
      <c r="CC15" s="208">
        <v>10510348</v>
      </c>
      <c r="CD15" s="208">
        <v>10573948</v>
      </c>
      <c r="CE15" s="208">
        <v>10575863</v>
      </c>
      <c r="CF15" s="208">
        <v>10594588</v>
      </c>
      <c r="CG15" s="208">
        <v>10502368</v>
      </c>
      <c r="CH15" s="208">
        <v>10611139</v>
      </c>
      <c r="CI15" s="208">
        <v>10550764</v>
      </c>
      <c r="CJ15" s="208">
        <v>10581468</v>
      </c>
      <c r="CK15" s="208">
        <v>10626908</v>
      </c>
      <c r="CL15" s="208">
        <v>10647669</v>
      </c>
      <c r="CM15" s="208">
        <v>10628810</v>
      </c>
      <c r="CN15" s="208">
        <v>10602148</v>
      </c>
      <c r="CO15" s="208">
        <v>10647796</v>
      </c>
      <c r="CP15" s="208">
        <v>10626782</v>
      </c>
      <c r="CQ15" s="208">
        <v>10253414</v>
      </c>
      <c r="CR15" s="208">
        <v>10513662</v>
      </c>
      <c r="CS15" s="209">
        <v>10619279</v>
      </c>
      <c r="CT15" s="209">
        <v>10607473</v>
      </c>
      <c r="CU15" s="209">
        <v>10550601</v>
      </c>
      <c r="CV15" s="209">
        <v>10253758</v>
      </c>
      <c r="CW15" s="209">
        <v>10607744</v>
      </c>
      <c r="CX15" s="209">
        <v>10584861</v>
      </c>
      <c r="CY15" s="209">
        <v>10579983</v>
      </c>
      <c r="CZ15" s="209">
        <v>10591841</v>
      </c>
      <c r="DA15" s="209">
        <v>10562707</v>
      </c>
      <c r="DB15" s="209">
        <v>10544843</v>
      </c>
    </row>
    <row r="16" spans="1:106" ht="57.6" x14ac:dyDescent="0.3">
      <c r="A16" s="164" t="s">
        <v>786</v>
      </c>
      <c r="B16" s="10" t="s">
        <v>742</v>
      </c>
      <c r="C16" s="43" t="s">
        <v>743</v>
      </c>
      <c r="D16" s="162" t="s">
        <v>28</v>
      </c>
      <c r="E16" s="126" t="str">
        <f t="shared" ref="E16" si="6">SUBSTITUTE(B16," ","") &amp; "_" &amp; SUBSTITUTE(IF(C16="N/A","",C16&amp; "_")," ","")  &amp; SUBSTITUTE(SUBSTITUTE(D16," ",""),"/","")</f>
        <v>ChangeJob_Start_EffectiveDate</v>
      </c>
      <c r="F16" s="38" t="str">
        <f t="shared" ref="F16" si="7">E16&amp;2</f>
        <v>ChangeJob_Start_EffectiveDate2</v>
      </c>
      <c r="G16" s="141"/>
      <c r="H16" s="152">
        <v>45627</v>
      </c>
      <c r="I16" s="152">
        <v>45627</v>
      </c>
      <c r="J16" s="152">
        <v>45627</v>
      </c>
      <c r="K16" s="152">
        <v>45627</v>
      </c>
      <c r="L16" s="152">
        <v>45627</v>
      </c>
      <c r="M16" s="152">
        <v>45627</v>
      </c>
      <c r="N16" s="152">
        <v>45627</v>
      </c>
      <c r="O16" s="152">
        <v>45627</v>
      </c>
      <c r="P16" s="152">
        <v>45627</v>
      </c>
      <c r="Q16" s="152">
        <v>45627</v>
      </c>
      <c r="R16" s="152">
        <v>45627</v>
      </c>
      <c r="S16" s="152">
        <v>45627</v>
      </c>
      <c r="T16" s="152">
        <v>45627</v>
      </c>
      <c r="U16" s="152">
        <v>45627</v>
      </c>
      <c r="V16" s="152">
        <v>45627</v>
      </c>
      <c r="W16" s="152">
        <v>45627</v>
      </c>
      <c r="X16" s="152">
        <v>45627</v>
      </c>
      <c r="Y16" s="152">
        <v>45627</v>
      </c>
      <c r="Z16" s="152">
        <v>45627</v>
      </c>
      <c r="AA16" s="152">
        <v>45627</v>
      </c>
      <c r="AB16" s="152">
        <v>45627</v>
      </c>
      <c r="AC16" s="152">
        <v>45627</v>
      </c>
      <c r="AD16" s="152">
        <v>45627</v>
      </c>
      <c r="AE16" s="152">
        <v>45627</v>
      </c>
      <c r="AF16" s="152">
        <v>45627</v>
      </c>
      <c r="AG16" s="152">
        <v>45627</v>
      </c>
      <c r="AH16" s="152">
        <v>45627</v>
      </c>
      <c r="AI16" s="152">
        <v>45627</v>
      </c>
      <c r="AJ16" s="152">
        <v>45627</v>
      </c>
      <c r="AK16" s="152">
        <v>45627</v>
      </c>
      <c r="AL16" s="152">
        <v>45627</v>
      </c>
      <c r="AM16" s="152">
        <v>45627</v>
      </c>
      <c r="AN16" s="152">
        <v>45627</v>
      </c>
      <c r="AO16" s="152">
        <v>45627</v>
      </c>
      <c r="AP16" s="152">
        <v>45627</v>
      </c>
      <c r="AQ16" s="152">
        <v>45627</v>
      </c>
      <c r="AR16" s="152">
        <v>45627</v>
      </c>
      <c r="AS16" s="152">
        <v>45627</v>
      </c>
      <c r="AT16" s="152">
        <v>45627</v>
      </c>
      <c r="AU16" s="152">
        <v>45627</v>
      </c>
      <c r="AV16" s="152">
        <v>45627</v>
      </c>
      <c r="AW16" s="152">
        <v>45627</v>
      </c>
      <c r="AX16" s="152">
        <v>45627</v>
      </c>
      <c r="AY16" s="152">
        <v>45627</v>
      </c>
      <c r="AZ16" s="152">
        <v>45627</v>
      </c>
      <c r="BA16" s="152">
        <v>45627</v>
      </c>
      <c r="BB16" s="152">
        <v>45627</v>
      </c>
      <c r="BC16" s="152">
        <v>45627</v>
      </c>
      <c r="BD16" s="152">
        <v>45627</v>
      </c>
      <c r="BE16" s="152">
        <v>45627</v>
      </c>
      <c r="BF16" s="152">
        <v>45627</v>
      </c>
      <c r="BG16" s="152">
        <v>45627</v>
      </c>
      <c r="BH16" s="152">
        <v>45627</v>
      </c>
      <c r="BI16" s="152">
        <v>45627</v>
      </c>
      <c r="BJ16" s="152">
        <v>45627</v>
      </c>
      <c r="BK16" s="152">
        <v>45627</v>
      </c>
      <c r="BL16" s="152">
        <v>45627</v>
      </c>
      <c r="BM16" s="152">
        <v>45627</v>
      </c>
      <c r="BN16" s="152">
        <v>45627</v>
      </c>
      <c r="BO16" s="152">
        <v>45627</v>
      </c>
      <c r="BP16" s="152">
        <v>45627</v>
      </c>
      <c r="BQ16" s="152">
        <v>45627</v>
      </c>
      <c r="BR16" s="152">
        <v>45627</v>
      </c>
      <c r="BS16" s="152">
        <v>45627</v>
      </c>
      <c r="BT16" s="152">
        <v>45627</v>
      </c>
      <c r="BU16" s="152">
        <v>45627</v>
      </c>
      <c r="BV16" s="152">
        <v>45627</v>
      </c>
      <c r="BW16" s="152">
        <v>45627</v>
      </c>
      <c r="BX16" s="152">
        <v>45627</v>
      </c>
      <c r="BY16" s="152">
        <v>45627</v>
      </c>
      <c r="BZ16" s="152">
        <v>45627</v>
      </c>
      <c r="CA16" s="152">
        <v>45627</v>
      </c>
      <c r="CB16" s="152">
        <v>45627</v>
      </c>
      <c r="CC16" s="152">
        <v>45627</v>
      </c>
      <c r="CD16" s="152">
        <v>45627</v>
      </c>
      <c r="CE16" s="152">
        <v>45627</v>
      </c>
      <c r="CF16" s="152">
        <v>45627</v>
      </c>
      <c r="CG16" s="152">
        <v>45627</v>
      </c>
      <c r="CH16" s="152">
        <v>45627</v>
      </c>
      <c r="CI16" s="152">
        <v>45627</v>
      </c>
      <c r="CJ16" s="152">
        <v>45627</v>
      </c>
      <c r="CK16" s="152">
        <v>45627</v>
      </c>
      <c r="CL16" s="152">
        <v>45627</v>
      </c>
      <c r="CM16" s="152">
        <v>45627</v>
      </c>
      <c r="CN16" s="152">
        <v>45627</v>
      </c>
      <c r="CO16" s="152">
        <v>45627</v>
      </c>
      <c r="CP16" s="152">
        <v>45627</v>
      </c>
      <c r="CQ16" s="152">
        <v>45627</v>
      </c>
      <c r="CR16" s="152">
        <v>45627</v>
      </c>
      <c r="CS16" s="152">
        <v>45627</v>
      </c>
      <c r="CT16" s="152">
        <v>45627</v>
      </c>
      <c r="CU16" s="152">
        <v>45627</v>
      </c>
      <c r="CV16" s="152">
        <v>45627</v>
      </c>
      <c r="CW16" s="152">
        <v>45627</v>
      </c>
      <c r="CX16" s="152">
        <v>45627</v>
      </c>
      <c r="CY16" s="152">
        <v>45627</v>
      </c>
      <c r="CZ16" s="152">
        <v>45627</v>
      </c>
      <c r="DA16" s="152">
        <v>45627</v>
      </c>
      <c r="DB16" s="152">
        <v>45627</v>
      </c>
    </row>
    <row r="17" spans="1:106" ht="57.6" x14ac:dyDescent="0.3">
      <c r="A17" s="164" t="s">
        <v>786</v>
      </c>
      <c r="B17" s="10" t="s">
        <v>742</v>
      </c>
      <c r="C17" s="43" t="s">
        <v>743</v>
      </c>
      <c r="D17" s="162" t="s">
        <v>14</v>
      </c>
      <c r="E17" s="126" t="str">
        <f t="shared" si="4"/>
        <v>ChangeJob_Start_Reason</v>
      </c>
      <c r="F17" s="38" t="str">
        <f t="shared" si="5"/>
        <v>ChangeJob_Start_Reason2</v>
      </c>
      <c r="G17" s="142" t="s">
        <v>775</v>
      </c>
      <c r="H17" s="166" t="s">
        <v>779</v>
      </c>
      <c r="I17" s="166" t="s">
        <v>779</v>
      </c>
      <c r="J17" s="166" t="s">
        <v>779</v>
      </c>
      <c r="K17" s="166" t="s">
        <v>779</v>
      </c>
      <c r="L17" s="166" t="s">
        <v>779</v>
      </c>
      <c r="M17" s="166" t="s">
        <v>779</v>
      </c>
      <c r="N17" s="166" t="s">
        <v>779</v>
      </c>
      <c r="O17" s="166" t="s">
        <v>779</v>
      </c>
      <c r="P17" s="166" t="s">
        <v>779</v>
      </c>
      <c r="Q17" s="166" t="s">
        <v>779</v>
      </c>
      <c r="R17" s="166" t="s">
        <v>779</v>
      </c>
      <c r="S17" s="166" t="s">
        <v>779</v>
      </c>
      <c r="T17" s="166" t="s">
        <v>779</v>
      </c>
      <c r="U17" s="166" t="s">
        <v>779</v>
      </c>
      <c r="V17" s="166" t="s">
        <v>779</v>
      </c>
      <c r="W17" s="166" t="s">
        <v>779</v>
      </c>
      <c r="X17" s="166" t="s">
        <v>779</v>
      </c>
      <c r="Y17" s="166" t="s">
        <v>779</v>
      </c>
      <c r="Z17" s="166" t="s">
        <v>779</v>
      </c>
      <c r="AA17" s="166" t="s">
        <v>779</v>
      </c>
      <c r="AB17" s="166" t="s">
        <v>779</v>
      </c>
      <c r="AC17" s="166" t="s">
        <v>779</v>
      </c>
      <c r="AD17" s="166" t="s">
        <v>779</v>
      </c>
      <c r="AE17" s="166" t="s">
        <v>779</v>
      </c>
      <c r="AF17" s="166" t="s">
        <v>779</v>
      </c>
      <c r="AG17" s="166" t="s">
        <v>779</v>
      </c>
      <c r="AH17" s="166" t="s">
        <v>779</v>
      </c>
      <c r="AI17" s="166" t="s">
        <v>779</v>
      </c>
      <c r="AJ17" s="166" t="s">
        <v>779</v>
      </c>
      <c r="AK17" s="166" t="s">
        <v>779</v>
      </c>
      <c r="AL17" s="166" t="s">
        <v>779</v>
      </c>
      <c r="AM17" s="166" t="s">
        <v>779</v>
      </c>
      <c r="AN17" s="166" t="s">
        <v>779</v>
      </c>
      <c r="AO17" s="166" t="s">
        <v>779</v>
      </c>
      <c r="AP17" s="166" t="s">
        <v>779</v>
      </c>
      <c r="AQ17" s="166" t="s">
        <v>779</v>
      </c>
      <c r="AR17" s="166" t="s">
        <v>779</v>
      </c>
      <c r="AS17" s="166" t="s">
        <v>779</v>
      </c>
      <c r="AT17" s="166" t="s">
        <v>779</v>
      </c>
      <c r="AU17" s="166" t="s">
        <v>779</v>
      </c>
      <c r="AV17" s="166" t="s">
        <v>779</v>
      </c>
      <c r="AW17" s="166" t="s">
        <v>779</v>
      </c>
      <c r="AX17" s="166" t="s">
        <v>779</v>
      </c>
      <c r="AY17" s="166" t="s">
        <v>779</v>
      </c>
      <c r="AZ17" s="166" t="s">
        <v>779</v>
      </c>
      <c r="BA17" s="166" t="s">
        <v>779</v>
      </c>
      <c r="BB17" s="166" t="s">
        <v>779</v>
      </c>
      <c r="BC17" s="166" t="s">
        <v>779</v>
      </c>
      <c r="BD17" s="166" t="s">
        <v>779</v>
      </c>
      <c r="BE17" s="166" t="s">
        <v>779</v>
      </c>
      <c r="BF17" s="166" t="s">
        <v>779</v>
      </c>
      <c r="BG17" s="166" t="s">
        <v>779</v>
      </c>
      <c r="BH17" s="166" t="s">
        <v>779</v>
      </c>
      <c r="BI17" s="166" t="s">
        <v>779</v>
      </c>
      <c r="BJ17" s="166" t="s">
        <v>779</v>
      </c>
      <c r="BK17" s="166" t="s">
        <v>779</v>
      </c>
      <c r="BL17" s="166" t="s">
        <v>779</v>
      </c>
      <c r="BM17" s="166" t="s">
        <v>779</v>
      </c>
      <c r="BN17" s="166" t="s">
        <v>779</v>
      </c>
      <c r="BO17" s="166" t="s">
        <v>779</v>
      </c>
      <c r="BP17" s="166" t="s">
        <v>779</v>
      </c>
      <c r="BQ17" s="166" t="s">
        <v>779</v>
      </c>
      <c r="BR17" s="166" t="s">
        <v>779</v>
      </c>
      <c r="BS17" s="166" t="s">
        <v>779</v>
      </c>
      <c r="BT17" s="166" t="s">
        <v>779</v>
      </c>
      <c r="BU17" s="166" t="s">
        <v>779</v>
      </c>
      <c r="BV17" s="166" t="s">
        <v>779</v>
      </c>
      <c r="BW17" s="166" t="s">
        <v>779</v>
      </c>
      <c r="BX17" s="166" t="s">
        <v>779</v>
      </c>
      <c r="BY17" s="166" t="s">
        <v>779</v>
      </c>
      <c r="BZ17" s="166" t="s">
        <v>779</v>
      </c>
      <c r="CA17" s="166" t="s">
        <v>779</v>
      </c>
      <c r="CB17" s="166" t="s">
        <v>779</v>
      </c>
      <c r="CC17" s="166" t="s">
        <v>779</v>
      </c>
      <c r="CD17" s="166" t="s">
        <v>779</v>
      </c>
      <c r="CE17" s="166" t="s">
        <v>779</v>
      </c>
      <c r="CF17" s="166" t="s">
        <v>779</v>
      </c>
      <c r="CG17" s="166" t="s">
        <v>779</v>
      </c>
      <c r="CH17" s="166" t="s">
        <v>779</v>
      </c>
      <c r="CI17" s="166" t="s">
        <v>779</v>
      </c>
      <c r="CJ17" s="166" t="s">
        <v>779</v>
      </c>
      <c r="CK17" s="166" t="s">
        <v>779</v>
      </c>
      <c r="CL17" s="166" t="s">
        <v>779</v>
      </c>
      <c r="CM17" s="166" t="s">
        <v>779</v>
      </c>
      <c r="CN17" s="166" t="s">
        <v>779</v>
      </c>
      <c r="CO17" s="166" t="s">
        <v>779</v>
      </c>
      <c r="CP17" s="166" t="s">
        <v>779</v>
      </c>
      <c r="CQ17" s="166" t="s">
        <v>779</v>
      </c>
      <c r="CR17" s="166" t="s">
        <v>779</v>
      </c>
      <c r="CS17" s="166" t="s">
        <v>779</v>
      </c>
      <c r="CT17" s="166" t="s">
        <v>779</v>
      </c>
      <c r="CU17" s="166" t="s">
        <v>779</v>
      </c>
      <c r="CV17" s="166" t="s">
        <v>779</v>
      </c>
      <c r="CW17" s="166" t="s">
        <v>779</v>
      </c>
      <c r="CX17" s="166" t="s">
        <v>779</v>
      </c>
      <c r="CY17" s="166" t="s">
        <v>779</v>
      </c>
      <c r="CZ17" s="166" t="s">
        <v>779</v>
      </c>
      <c r="DA17" s="166" t="s">
        <v>779</v>
      </c>
      <c r="DB17" s="166" t="s">
        <v>779</v>
      </c>
    </row>
    <row r="18" spans="1:106" x14ac:dyDescent="0.3">
      <c r="A18" t="s">
        <v>787</v>
      </c>
      <c r="B18" s="10" t="s">
        <v>742</v>
      </c>
      <c r="C18" s="43" t="s">
        <v>743</v>
      </c>
      <c r="D18" s="162" t="s">
        <v>744</v>
      </c>
      <c r="E18" s="126" t="str">
        <f t="shared" si="4"/>
        <v>ChangeJob_Start_NewManager</v>
      </c>
      <c r="F18" s="38" t="str">
        <f t="shared" si="5"/>
        <v>ChangeJob_Start_NewManager2</v>
      </c>
      <c r="G18" s="142" t="s">
        <v>770</v>
      </c>
      <c r="H18" s="148" t="s">
        <v>6</v>
      </c>
      <c r="I18" s="148" t="s">
        <v>6</v>
      </c>
      <c r="J18" s="148" t="s">
        <v>6</v>
      </c>
      <c r="K18" s="148" t="s">
        <v>6</v>
      </c>
      <c r="L18" s="148" t="s">
        <v>6</v>
      </c>
      <c r="M18" s="148" t="s">
        <v>6</v>
      </c>
      <c r="N18" s="148" t="s">
        <v>6</v>
      </c>
      <c r="O18" s="148" t="s">
        <v>6</v>
      </c>
      <c r="P18" s="148" t="s">
        <v>6</v>
      </c>
      <c r="Q18" s="148" t="s">
        <v>6</v>
      </c>
      <c r="R18" s="148" t="s">
        <v>6</v>
      </c>
      <c r="S18" s="148" t="s">
        <v>6</v>
      </c>
      <c r="T18" s="148" t="s">
        <v>6</v>
      </c>
      <c r="U18" s="148" t="s">
        <v>6</v>
      </c>
      <c r="V18" s="148" t="s">
        <v>6</v>
      </c>
      <c r="W18" s="148" t="s">
        <v>6</v>
      </c>
      <c r="X18" s="148" t="s">
        <v>6</v>
      </c>
      <c r="Y18" s="148" t="s">
        <v>6</v>
      </c>
      <c r="Z18" s="148" t="s">
        <v>6</v>
      </c>
      <c r="AA18" s="148" t="s">
        <v>6</v>
      </c>
      <c r="AB18" s="148" t="s">
        <v>6</v>
      </c>
      <c r="AC18" s="148" t="s">
        <v>6</v>
      </c>
      <c r="AD18" s="148" t="s">
        <v>6</v>
      </c>
      <c r="AE18" s="148" t="s">
        <v>6</v>
      </c>
      <c r="AF18" s="148" t="s">
        <v>6</v>
      </c>
      <c r="AG18" s="148" t="s">
        <v>6</v>
      </c>
      <c r="AH18" s="148" t="s">
        <v>6</v>
      </c>
      <c r="AI18" s="148" t="s">
        <v>6</v>
      </c>
      <c r="AJ18" s="148" t="s">
        <v>6</v>
      </c>
      <c r="AK18" s="148" t="s">
        <v>6</v>
      </c>
      <c r="AL18" s="148" t="s">
        <v>6</v>
      </c>
      <c r="AM18" s="148" t="s">
        <v>6</v>
      </c>
      <c r="AN18" s="148" t="s">
        <v>6</v>
      </c>
      <c r="AO18" s="148" t="s">
        <v>6</v>
      </c>
      <c r="AP18" s="148" t="s">
        <v>6</v>
      </c>
      <c r="AQ18" s="148" t="s">
        <v>6</v>
      </c>
      <c r="AR18" s="148" t="s">
        <v>6</v>
      </c>
      <c r="AS18" s="148" t="s">
        <v>6</v>
      </c>
      <c r="AT18" s="148" t="s">
        <v>6</v>
      </c>
      <c r="AU18" s="148" t="s">
        <v>6</v>
      </c>
      <c r="AV18" s="148" t="s">
        <v>6</v>
      </c>
      <c r="AW18" s="148" t="s">
        <v>6</v>
      </c>
      <c r="AX18" s="148" t="s">
        <v>6</v>
      </c>
      <c r="AY18" s="148" t="s">
        <v>6</v>
      </c>
      <c r="AZ18" s="148" t="s">
        <v>6</v>
      </c>
      <c r="BA18" s="148" t="s">
        <v>6</v>
      </c>
      <c r="BB18" s="148" t="s">
        <v>6</v>
      </c>
      <c r="BC18" s="148" t="s">
        <v>6</v>
      </c>
      <c r="BD18" s="148" t="s">
        <v>6</v>
      </c>
      <c r="BE18" s="148" t="s">
        <v>6</v>
      </c>
      <c r="BF18" s="148" t="s">
        <v>6</v>
      </c>
      <c r="BG18" s="148" t="s">
        <v>6</v>
      </c>
      <c r="BH18" s="148" t="s">
        <v>6</v>
      </c>
      <c r="BI18" s="148" t="s">
        <v>6</v>
      </c>
      <c r="BJ18" s="148" t="s">
        <v>6</v>
      </c>
      <c r="BK18" s="148" t="s">
        <v>6</v>
      </c>
      <c r="BL18" s="148" t="s">
        <v>6</v>
      </c>
      <c r="BM18" s="148" t="s">
        <v>6</v>
      </c>
      <c r="BN18" s="148" t="s">
        <v>6</v>
      </c>
      <c r="BO18" s="148" t="s">
        <v>6</v>
      </c>
      <c r="BP18" s="148" t="s">
        <v>6</v>
      </c>
      <c r="BQ18" s="148" t="s">
        <v>6</v>
      </c>
      <c r="BR18" s="148" t="s">
        <v>6</v>
      </c>
      <c r="BS18" s="148" t="s">
        <v>6</v>
      </c>
      <c r="BT18" s="148" t="s">
        <v>6</v>
      </c>
      <c r="BU18" s="148" t="s">
        <v>6</v>
      </c>
      <c r="BV18" s="148" t="s">
        <v>6</v>
      </c>
      <c r="BW18" s="148" t="s">
        <v>6</v>
      </c>
      <c r="BX18" s="148" t="s">
        <v>6</v>
      </c>
      <c r="BY18" s="148" t="s">
        <v>6</v>
      </c>
      <c r="BZ18" s="148" t="s">
        <v>6</v>
      </c>
      <c r="CA18" s="148" t="s">
        <v>6</v>
      </c>
      <c r="CB18" s="148" t="s">
        <v>6</v>
      </c>
      <c r="CC18" s="148" t="s">
        <v>6</v>
      </c>
      <c r="CD18" s="148" t="s">
        <v>6</v>
      </c>
      <c r="CE18" s="148" t="s">
        <v>6</v>
      </c>
      <c r="CF18" s="148" t="s">
        <v>6</v>
      </c>
      <c r="CG18" s="148" t="s">
        <v>6</v>
      </c>
      <c r="CH18" s="148" t="s">
        <v>6</v>
      </c>
      <c r="CI18" s="148" t="s">
        <v>6</v>
      </c>
      <c r="CJ18" s="148" t="s">
        <v>6</v>
      </c>
      <c r="CK18" s="148" t="s">
        <v>6</v>
      </c>
      <c r="CL18" s="148" t="s">
        <v>6</v>
      </c>
      <c r="CM18" s="148" t="s">
        <v>6</v>
      </c>
      <c r="CN18" s="148" t="s">
        <v>6</v>
      </c>
      <c r="CO18" s="148" t="s">
        <v>6</v>
      </c>
      <c r="CP18" s="148" t="s">
        <v>6</v>
      </c>
      <c r="CQ18" s="148" t="s">
        <v>6</v>
      </c>
      <c r="CR18" s="148" t="s">
        <v>6</v>
      </c>
      <c r="CS18" s="148" t="s">
        <v>6</v>
      </c>
      <c r="CT18" s="148" t="s">
        <v>6</v>
      </c>
      <c r="CU18" s="148" t="s">
        <v>6</v>
      </c>
      <c r="CV18" s="148" t="s">
        <v>6</v>
      </c>
      <c r="CW18" s="148" t="s">
        <v>6</v>
      </c>
      <c r="CX18" s="148" t="s">
        <v>6</v>
      </c>
      <c r="CY18" s="148" t="s">
        <v>6</v>
      </c>
      <c r="CZ18" s="148" t="s">
        <v>6</v>
      </c>
      <c r="DA18" s="148" t="s">
        <v>6</v>
      </c>
      <c r="DB18" s="148" t="s">
        <v>6</v>
      </c>
    </row>
    <row r="19" spans="1:106" ht="18" x14ac:dyDescent="0.3">
      <c r="A19" t="s">
        <v>787</v>
      </c>
      <c r="B19" s="10" t="s">
        <v>742</v>
      </c>
      <c r="C19" s="43" t="s">
        <v>743</v>
      </c>
      <c r="D19" s="162" t="s">
        <v>745</v>
      </c>
      <c r="E19" s="126" t="str">
        <f t="shared" si="4"/>
        <v>ChangeJob_Start_NewTeam</v>
      </c>
      <c r="F19" s="38" t="str">
        <f t="shared" si="5"/>
        <v>ChangeJob_Start_NewTeam2</v>
      </c>
      <c r="G19" s="142" t="s">
        <v>771</v>
      </c>
      <c r="H19" s="193" t="s">
        <v>6</v>
      </c>
      <c r="I19" s="193" t="s">
        <v>6</v>
      </c>
      <c r="J19" s="193" t="s">
        <v>6</v>
      </c>
      <c r="K19" s="193" t="s">
        <v>6</v>
      </c>
      <c r="L19" s="193" t="s">
        <v>6</v>
      </c>
      <c r="M19" s="193" t="s">
        <v>6</v>
      </c>
      <c r="N19" s="193" t="s">
        <v>6</v>
      </c>
      <c r="O19" s="193" t="s">
        <v>6</v>
      </c>
      <c r="P19" s="193" t="s">
        <v>6</v>
      </c>
      <c r="Q19" s="193" t="s">
        <v>6</v>
      </c>
      <c r="R19" s="193" t="s">
        <v>6</v>
      </c>
      <c r="S19" s="193" t="s">
        <v>6</v>
      </c>
      <c r="T19" s="193" t="s">
        <v>6</v>
      </c>
      <c r="U19" s="193" t="s">
        <v>6</v>
      </c>
      <c r="V19" s="193" t="s">
        <v>6</v>
      </c>
      <c r="W19" s="193" t="s">
        <v>6</v>
      </c>
      <c r="X19" s="193" t="s">
        <v>6</v>
      </c>
      <c r="Y19" s="193" t="s">
        <v>6</v>
      </c>
      <c r="Z19" s="193" t="s">
        <v>6</v>
      </c>
      <c r="AA19" s="193" t="s">
        <v>6</v>
      </c>
      <c r="AB19" s="193" t="s">
        <v>6</v>
      </c>
      <c r="AC19" s="193" t="s">
        <v>6</v>
      </c>
      <c r="AD19" s="193" t="s">
        <v>6</v>
      </c>
      <c r="AE19" s="193" t="s">
        <v>6</v>
      </c>
      <c r="AF19" s="193" t="s">
        <v>6</v>
      </c>
      <c r="AG19" s="193" t="s">
        <v>6</v>
      </c>
      <c r="AH19" s="193" t="s">
        <v>6</v>
      </c>
      <c r="AI19" s="193" t="s">
        <v>6</v>
      </c>
      <c r="AJ19" s="193" t="s">
        <v>6</v>
      </c>
      <c r="AK19" s="193" t="s">
        <v>6</v>
      </c>
      <c r="AL19" s="193" t="s">
        <v>6</v>
      </c>
      <c r="AM19" s="193" t="s">
        <v>6</v>
      </c>
      <c r="AN19" s="193" t="s">
        <v>6</v>
      </c>
      <c r="AO19" s="193" t="s">
        <v>6</v>
      </c>
      <c r="AP19" s="193" t="s">
        <v>6</v>
      </c>
      <c r="AQ19" s="193" t="s">
        <v>6</v>
      </c>
      <c r="AR19" s="193" t="s">
        <v>6</v>
      </c>
      <c r="AS19" s="193" t="s">
        <v>6</v>
      </c>
      <c r="AT19" s="193" t="s">
        <v>6</v>
      </c>
      <c r="AU19" s="193" t="s">
        <v>6</v>
      </c>
      <c r="AV19" s="193" t="s">
        <v>6</v>
      </c>
      <c r="AW19" s="193" t="s">
        <v>6</v>
      </c>
      <c r="AX19" s="193" t="s">
        <v>6</v>
      </c>
      <c r="AY19" s="193" t="s">
        <v>6</v>
      </c>
      <c r="AZ19" s="193" t="s">
        <v>6</v>
      </c>
      <c r="BA19" s="193" t="s">
        <v>6</v>
      </c>
      <c r="BB19" s="193" t="s">
        <v>6</v>
      </c>
      <c r="BC19" s="193" t="s">
        <v>6</v>
      </c>
      <c r="BD19" s="193" t="s">
        <v>6</v>
      </c>
      <c r="BE19" s="193" t="s">
        <v>6</v>
      </c>
      <c r="BF19" s="193" t="s">
        <v>6</v>
      </c>
      <c r="BG19" s="193" t="s">
        <v>6</v>
      </c>
      <c r="BH19" s="193" t="s">
        <v>6</v>
      </c>
      <c r="BI19" s="193" t="s">
        <v>6</v>
      </c>
      <c r="BJ19" s="193" t="s">
        <v>6</v>
      </c>
      <c r="BK19" s="193" t="s">
        <v>6</v>
      </c>
      <c r="BL19" s="193" t="s">
        <v>6</v>
      </c>
      <c r="BM19" s="193" t="s">
        <v>6</v>
      </c>
      <c r="BN19" s="193" t="s">
        <v>6</v>
      </c>
      <c r="BO19" s="193" t="s">
        <v>6</v>
      </c>
      <c r="BP19" s="193" t="s">
        <v>6</v>
      </c>
      <c r="BQ19" s="193" t="s">
        <v>6</v>
      </c>
      <c r="BR19" s="193" t="s">
        <v>6</v>
      </c>
      <c r="BS19" s="193" t="s">
        <v>6</v>
      </c>
      <c r="BT19" s="193" t="s">
        <v>6</v>
      </c>
      <c r="BU19" s="193" t="s">
        <v>6</v>
      </c>
      <c r="BV19" s="193" t="s">
        <v>6</v>
      </c>
      <c r="BW19" s="193" t="s">
        <v>6</v>
      </c>
      <c r="BX19" s="193" t="s">
        <v>6</v>
      </c>
      <c r="BY19" s="193" t="s">
        <v>6</v>
      </c>
      <c r="BZ19" s="193" t="s">
        <v>6</v>
      </c>
      <c r="CA19" s="193" t="s">
        <v>6</v>
      </c>
      <c r="CB19" s="193" t="s">
        <v>6</v>
      </c>
      <c r="CC19" s="193" t="s">
        <v>6</v>
      </c>
      <c r="CD19" s="193" t="s">
        <v>6</v>
      </c>
      <c r="CE19" s="193" t="s">
        <v>6</v>
      </c>
      <c r="CF19" s="193" t="s">
        <v>6</v>
      </c>
      <c r="CG19" s="193" t="s">
        <v>6</v>
      </c>
      <c r="CH19" s="193" t="s">
        <v>6</v>
      </c>
      <c r="CI19" s="193" t="s">
        <v>6</v>
      </c>
      <c r="CJ19" s="193" t="s">
        <v>6</v>
      </c>
      <c r="CK19" s="193" t="s">
        <v>6</v>
      </c>
      <c r="CL19" s="193" t="s">
        <v>6</v>
      </c>
      <c r="CM19" s="193" t="s">
        <v>6</v>
      </c>
      <c r="CN19" s="193" t="s">
        <v>6</v>
      </c>
      <c r="CO19" s="193" t="s">
        <v>6</v>
      </c>
      <c r="CP19" s="193" t="s">
        <v>6</v>
      </c>
      <c r="CQ19" s="193" t="s">
        <v>6</v>
      </c>
      <c r="CR19" s="193" t="s">
        <v>6</v>
      </c>
      <c r="CS19" s="193" t="s">
        <v>6</v>
      </c>
      <c r="CT19" s="193" t="s">
        <v>6</v>
      </c>
      <c r="CU19" s="193" t="s">
        <v>6</v>
      </c>
      <c r="CV19" s="193" t="s">
        <v>6</v>
      </c>
      <c r="CW19" s="193" t="s">
        <v>6</v>
      </c>
      <c r="CX19" s="193" t="s">
        <v>6</v>
      </c>
      <c r="CY19" s="193" t="s">
        <v>6</v>
      </c>
      <c r="CZ19" s="193" t="s">
        <v>6</v>
      </c>
      <c r="DA19" s="193" t="s">
        <v>6</v>
      </c>
      <c r="DB19" s="193" t="s">
        <v>6</v>
      </c>
    </row>
    <row r="20" spans="1:106" x14ac:dyDescent="0.3">
      <c r="A20" t="s">
        <v>787</v>
      </c>
      <c r="B20" s="10" t="s">
        <v>742</v>
      </c>
      <c r="C20" s="43" t="s">
        <v>743</v>
      </c>
      <c r="D20" s="162" t="s">
        <v>746</v>
      </c>
      <c r="E20" s="126" t="str">
        <f t="shared" si="4"/>
        <v>ChangeJob_Start_NewLocation</v>
      </c>
      <c r="F20" s="38" t="str">
        <f t="shared" si="5"/>
        <v>ChangeJob_Start_NewLocation2</v>
      </c>
      <c r="G20" s="142" t="s">
        <v>771</v>
      </c>
      <c r="H20" s="148" t="s">
        <v>6</v>
      </c>
      <c r="I20" s="148" t="s">
        <v>6</v>
      </c>
      <c r="J20" s="148" t="s">
        <v>6</v>
      </c>
      <c r="K20" s="148" t="s">
        <v>6</v>
      </c>
      <c r="L20" s="148" t="s">
        <v>6</v>
      </c>
      <c r="M20" s="148" t="s">
        <v>6</v>
      </c>
      <c r="N20" s="148" t="s">
        <v>6</v>
      </c>
      <c r="O20" s="148" t="s">
        <v>6</v>
      </c>
      <c r="P20" s="148" t="s">
        <v>6</v>
      </c>
      <c r="Q20" s="148" t="s">
        <v>6</v>
      </c>
      <c r="R20" s="148" t="s">
        <v>6</v>
      </c>
      <c r="S20" s="148" t="s">
        <v>6</v>
      </c>
      <c r="T20" s="148" t="s">
        <v>6</v>
      </c>
      <c r="U20" s="148" t="s">
        <v>6</v>
      </c>
      <c r="V20" s="148" t="s">
        <v>6</v>
      </c>
      <c r="W20" s="148" t="s">
        <v>6</v>
      </c>
      <c r="X20" s="148" t="s">
        <v>6</v>
      </c>
      <c r="Y20" s="148" t="s">
        <v>6</v>
      </c>
      <c r="Z20" s="148" t="s">
        <v>6</v>
      </c>
      <c r="AA20" s="148" t="s">
        <v>6</v>
      </c>
      <c r="AB20" s="148" t="s">
        <v>6</v>
      </c>
      <c r="AC20" s="148" t="s">
        <v>6</v>
      </c>
      <c r="AD20" s="148" t="s">
        <v>6</v>
      </c>
      <c r="AE20" s="148" t="s">
        <v>6</v>
      </c>
      <c r="AF20" s="148" t="s">
        <v>6</v>
      </c>
      <c r="AG20" s="148" t="s">
        <v>6</v>
      </c>
      <c r="AH20" s="148" t="s">
        <v>6</v>
      </c>
      <c r="AI20" s="148" t="s">
        <v>6</v>
      </c>
      <c r="AJ20" s="148" t="s">
        <v>6</v>
      </c>
      <c r="AK20" s="148" t="s">
        <v>6</v>
      </c>
      <c r="AL20" s="148" t="s">
        <v>6</v>
      </c>
      <c r="AM20" s="148" t="s">
        <v>6</v>
      </c>
      <c r="AN20" s="148" t="s">
        <v>6</v>
      </c>
      <c r="AO20" s="148" t="s">
        <v>6</v>
      </c>
      <c r="AP20" s="148" t="s">
        <v>6</v>
      </c>
      <c r="AQ20" s="148" t="s">
        <v>6</v>
      </c>
      <c r="AR20" s="148" t="s">
        <v>6</v>
      </c>
      <c r="AS20" s="148" t="s">
        <v>6</v>
      </c>
      <c r="AT20" s="148" t="s">
        <v>6</v>
      </c>
      <c r="AU20" s="148" t="s">
        <v>6</v>
      </c>
      <c r="AV20" s="148" t="s">
        <v>6</v>
      </c>
      <c r="AW20" s="148" t="s">
        <v>6</v>
      </c>
      <c r="AX20" s="148" t="s">
        <v>6</v>
      </c>
      <c r="AY20" s="148" t="s">
        <v>6</v>
      </c>
      <c r="AZ20" s="148" t="s">
        <v>6</v>
      </c>
      <c r="BA20" s="148" t="s">
        <v>6</v>
      </c>
      <c r="BB20" s="148" t="s">
        <v>6</v>
      </c>
      <c r="BC20" s="148" t="s">
        <v>6</v>
      </c>
      <c r="BD20" s="148" t="s">
        <v>6</v>
      </c>
      <c r="BE20" s="148" t="s">
        <v>6</v>
      </c>
      <c r="BF20" s="148" t="s">
        <v>6</v>
      </c>
      <c r="BG20" s="148" t="s">
        <v>6</v>
      </c>
      <c r="BH20" s="148" t="s">
        <v>6</v>
      </c>
      <c r="BI20" s="148" t="s">
        <v>6</v>
      </c>
      <c r="BJ20" s="148" t="s">
        <v>6</v>
      </c>
      <c r="BK20" s="148" t="s">
        <v>6</v>
      </c>
      <c r="BL20" s="148" t="s">
        <v>6</v>
      </c>
      <c r="BM20" s="148" t="s">
        <v>6</v>
      </c>
      <c r="BN20" s="148" t="s">
        <v>6</v>
      </c>
      <c r="BO20" s="148" t="s">
        <v>6</v>
      </c>
      <c r="BP20" s="148" t="s">
        <v>6</v>
      </c>
      <c r="BQ20" s="148" t="s">
        <v>6</v>
      </c>
      <c r="BR20" s="148" t="s">
        <v>6</v>
      </c>
      <c r="BS20" s="148" t="s">
        <v>6</v>
      </c>
      <c r="BT20" s="148" t="s">
        <v>6</v>
      </c>
      <c r="BU20" s="148" t="s">
        <v>6</v>
      </c>
      <c r="BV20" s="148" t="s">
        <v>6</v>
      </c>
      <c r="BW20" s="148" t="s">
        <v>6</v>
      </c>
      <c r="BX20" s="148" t="s">
        <v>6</v>
      </c>
      <c r="BY20" s="148" t="s">
        <v>6</v>
      </c>
      <c r="BZ20" s="148" t="s">
        <v>6</v>
      </c>
      <c r="CA20" s="148" t="s">
        <v>6</v>
      </c>
      <c r="CB20" s="148" t="s">
        <v>6</v>
      </c>
      <c r="CC20" s="148" t="s">
        <v>6</v>
      </c>
      <c r="CD20" s="148" t="s">
        <v>6</v>
      </c>
      <c r="CE20" s="148" t="s">
        <v>6</v>
      </c>
      <c r="CF20" s="148" t="s">
        <v>6</v>
      </c>
      <c r="CG20" s="148" t="s">
        <v>6</v>
      </c>
      <c r="CH20" s="148" t="s">
        <v>6</v>
      </c>
      <c r="CI20" s="148" t="s">
        <v>6</v>
      </c>
      <c r="CJ20" s="148" t="s">
        <v>6</v>
      </c>
      <c r="CK20" s="148" t="s">
        <v>6</v>
      </c>
      <c r="CL20" s="148" t="s">
        <v>6</v>
      </c>
      <c r="CM20" s="148" t="s">
        <v>6</v>
      </c>
      <c r="CN20" s="148" t="s">
        <v>6</v>
      </c>
      <c r="CO20" s="148" t="s">
        <v>6</v>
      </c>
      <c r="CP20" s="148" t="s">
        <v>6</v>
      </c>
      <c r="CQ20" s="148" t="s">
        <v>6</v>
      </c>
      <c r="CR20" s="148" t="s">
        <v>6</v>
      </c>
      <c r="CS20" s="148" t="s">
        <v>6</v>
      </c>
      <c r="CT20" s="148" t="s">
        <v>6</v>
      </c>
      <c r="CU20" s="148" t="s">
        <v>6</v>
      </c>
      <c r="CV20" s="148" t="s">
        <v>6</v>
      </c>
      <c r="CW20" s="148" t="s">
        <v>6</v>
      </c>
      <c r="CX20" s="148" t="s">
        <v>6</v>
      </c>
      <c r="CY20" s="148" t="s">
        <v>6</v>
      </c>
      <c r="CZ20" s="148" t="s">
        <v>6</v>
      </c>
      <c r="DA20" s="148" t="s">
        <v>6</v>
      </c>
      <c r="DB20" s="148" t="s">
        <v>6</v>
      </c>
    </row>
    <row r="21" spans="1:106" x14ac:dyDescent="0.3">
      <c r="A21" t="s">
        <v>787</v>
      </c>
      <c r="B21" s="10" t="s">
        <v>742</v>
      </c>
      <c r="C21" s="43" t="s">
        <v>743</v>
      </c>
      <c r="D21" s="162" t="s">
        <v>747</v>
      </c>
      <c r="E21" s="126" t="str">
        <f t="shared" si="4"/>
        <v>ChangeJob_Start_NextPayPeriod</v>
      </c>
      <c r="F21" s="38" t="str">
        <f t="shared" si="5"/>
        <v>ChangeJob_Start_NextPayPeriod2</v>
      </c>
      <c r="G21" s="142"/>
      <c r="H21" s="148" t="s">
        <v>6</v>
      </c>
      <c r="I21" s="148" t="s">
        <v>6</v>
      </c>
      <c r="J21" s="148" t="s">
        <v>6</v>
      </c>
      <c r="K21" s="148" t="s">
        <v>6</v>
      </c>
      <c r="L21" s="148" t="s">
        <v>6</v>
      </c>
      <c r="M21" s="148" t="s">
        <v>6</v>
      </c>
      <c r="N21" s="148" t="s">
        <v>6</v>
      </c>
      <c r="O21" s="148" t="s">
        <v>6</v>
      </c>
      <c r="P21" s="148" t="s">
        <v>6</v>
      </c>
      <c r="Q21" s="148" t="s">
        <v>6</v>
      </c>
      <c r="R21" s="148" t="s">
        <v>6</v>
      </c>
      <c r="S21" s="148" t="s">
        <v>6</v>
      </c>
      <c r="T21" s="148" t="s">
        <v>6</v>
      </c>
      <c r="U21" s="148" t="s">
        <v>6</v>
      </c>
      <c r="V21" s="148" t="s">
        <v>6</v>
      </c>
      <c r="W21" s="148" t="s">
        <v>6</v>
      </c>
      <c r="X21" s="148" t="s">
        <v>6</v>
      </c>
      <c r="Y21" s="148" t="s">
        <v>6</v>
      </c>
      <c r="Z21" s="148" t="s">
        <v>6</v>
      </c>
      <c r="AA21" s="148" t="s">
        <v>6</v>
      </c>
      <c r="AB21" s="148" t="s">
        <v>6</v>
      </c>
      <c r="AC21" s="148" t="s">
        <v>6</v>
      </c>
      <c r="AD21" s="148" t="s">
        <v>6</v>
      </c>
      <c r="AE21" s="148" t="s">
        <v>6</v>
      </c>
      <c r="AF21" s="148" t="s">
        <v>6</v>
      </c>
      <c r="AG21" s="148" t="s">
        <v>6</v>
      </c>
      <c r="AH21" s="148" t="s">
        <v>6</v>
      </c>
      <c r="AI21" s="148" t="s">
        <v>6</v>
      </c>
      <c r="AJ21" s="148" t="s">
        <v>6</v>
      </c>
      <c r="AK21" s="148" t="s">
        <v>6</v>
      </c>
      <c r="AL21" s="148" t="s">
        <v>6</v>
      </c>
      <c r="AM21" s="148" t="s">
        <v>6</v>
      </c>
      <c r="AN21" s="148" t="s">
        <v>6</v>
      </c>
      <c r="AO21" s="148" t="s">
        <v>6</v>
      </c>
      <c r="AP21" s="148" t="s">
        <v>6</v>
      </c>
      <c r="AQ21" s="148" t="s">
        <v>6</v>
      </c>
      <c r="AR21" s="148" t="s">
        <v>6</v>
      </c>
      <c r="AS21" s="148" t="s">
        <v>6</v>
      </c>
      <c r="AT21" s="148" t="s">
        <v>6</v>
      </c>
      <c r="AU21" s="148" t="s">
        <v>6</v>
      </c>
      <c r="AV21" s="148" t="s">
        <v>6</v>
      </c>
      <c r="AW21" s="148" t="s">
        <v>6</v>
      </c>
      <c r="AX21" s="148" t="s">
        <v>6</v>
      </c>
      <c r="AY21" s="148" t="s">
        <v>6</v>
      </c>
      <c r="AZ21" s="148" t="s">
        <v>6</v>
      </c>
      <c r="BA21" s="148" t="s">
        <v>6</v>
      </c>
      <c r="BB21" s="148" t="s">
        <v>6</v>
      </c>
      <c r="BC21" s="148" t="s">
        <v>6</v>
      </c>
      <c r="BD21" s="148" t="s">
        <v>6</v>
      </c>
      <c r="BE21" s="148" t="s">
        <v>6</v>
      </c>
      <c r="BF21" s="148" t="s">
        <v>6</v>
      </c>
      <c r="BG21" s="148" t="s">
        <v>6</v>
      </c>
      <c r="BH21" s="148" t="s">
        <v>6</v>
      </c>
      <c r="BI21" s="148" t="s">
        <v>6</v>
      </c>
      <c r="BJ21" s="148" t="s">
        <v>6</v>
      </c>
      <c r="BK21" s="148" t="s">
        <v>6</v>
      </c>
      <c r="BL21" s="148" t="s">
        <v>6</v>
      </c>
      <c r="BM21" s="148" t="s">
        <v>6</v>
      </c>
      <c r="BN21" s="148" t="s">
        <v>6</v>
      </c>
      <c r="BO21" s="148" t="s">
        <v>6</v>
      </c>
      <c r="BP21" s="148" t="s">
        <v>6</v>
      </c>
      <c r="BQ21" s="148" t="s">
        <v>6</v>
      </c>
      <c r="BR21" s="148" t="s">
        <v>6</v>
      </c>
      <c r="BS21" s="148" t="s">
        <v>6</v>
      </c>
      <c r="BT21" s="148" t="s">
        <v>6</v>
      </c>
      <c r="BU21" s="148" t="s">
        <v>6</v>
      </c>
      <c r="BV21" s="148" t="s">
        <v>6</v>
      </c>
      <c r="BW21" s="148" t="s">
        <v>6</v>
      </c>
      <c r="BX21" s="148" t="s">
        <v>6</v>
      </c>
      <c r="BY21" s="148" t="s">
        <v>6</v>
      </c>
      <c r="BZ21" s="148" t="s">
        <v>6</v>
      </c>
      <c r="CA21" s="148" t="s">
        <v>6</v>
      </c>
      <c r="CB21" s="148" t="s">
        <v>6</v>
      </c>
      <c r="CC21" s="148" t="s">
        <v>6</v>
      </c>
      <c r="CD21" s="148" t="s">
        <v>6</v>
      </c>
      <c r="CE21" s="148" t="s">
        <v>6</v>
      </c>
      <c r="CF21" s="148" t="s">
        <v>6</v>
      </c>
      <c r="CG21" s="148" t="s">
        <v>6</v>
      </c>
      <c r="CH21" s="148" t="s">
        <v>6</v>
      </c>
      <c r="CI21" s="148" t="s">
        <v>6</v>
      </c>
      <c r="CJ21" s="148" t="s">
        <v>6</v>
      </c>
      <c r="CK21" s="148" t="s">
        <v>6</v>
      </c>
      <c r="CL21" s="148" t="s">
        <v>6</v>
      </c>
      <c r="CM21" s="148" t="s">
        <v>6</v>
      </c>
      <c r="CN21" s="148" t="s">
        <v>6</v>
      </c>
      <c r="CO21" s="148" t="s">
        <v>6</v>
      </c>
      <c r="CP21" s="148" t="s">
        <v>6</v>
      </c>
      <c r="CQ21" s="148" t="s">
        <v>6</v>
      </c>
      <c r="CR21" s="148" t="s">
        <v>6</v>
      </c>
      <c r="CS21" s="148" t="s">
        <v>6</v>
      </c>
      <c r="CT21" s="148" t="s">
        <v>6</v>
      </c>
      <c r="CU21" s="148" t="s">
        <v>6</v>
      </c>
      <c r="CV21" s="148" t="s">
        <v>6</v>
      </c>
      <c r="CW21" s="148" t="s">
        <v>6</v>
      </c>
      <c r="CX21" s="148" t="s">
        <v>6</v>
      </c>
      <c r="CY21" s="148" t="s">
        <v>6</v>
      </c>
      <c r="CZ21" s="148" t="s">
        <v>6</v>
      </c>
      <c r="DA21" s="148" t="s">
        <v>6</v>
      </c>
      <c r="DB21" s="148" t="s">
        <v>6</v>
      </c>
    </row>
    <row r="22" spans="1:106" s="25" customFormat="1" ht="18" x14ac:dyDescent="0.35">
      <c r="A22" s="25" t="s">
        <v>787</v>
      </c>
      <c r="B22" s="167" t="s">
        <v>742</v>
      </c>
      <c r="C22" s="168" t="s">
        <v>30</v>
      </c>
      <c r="D22" s="7" t="s">
        <v>30</v>
      </c>
      <c r="E22" s="169" t="str">
        <f t="shared" si="4"/>
        <v>ChangeJob_JobProfile_JobProfile</v>
      </c>
      <c r="F22" s="170" t="str">
        <f t="shared" si="5"/>
        <v>ChangeJob_JobProfile_JobProfile2</v>
      </c>
      <c r="G22" s="171"/>
      <c r="H22" s="194" t="s">
        <v>6</v>
      </c>
      <c r="I22" s="194" t="s">
        <v>6</v>
      </c>
      <c r="J22" s="194" t="s">
        <v>6</v>
      </c>
      <c r="K22" s="194" t="s">
        <v>6</v>
      </c>
      <c r="L22" s="194" t="s">
        <v>6</v>
      </c>
      <c r="M22" s="194" t="s">
        <v>6</v>
      </c>
      <c r="N22" s="194" t="s">
        <v>6</v>
      </c>
      <c r="O22" s="194" t="s">
        <v>6</v>
      </c>
      <c r="P22" s="194" t="s">
        <v>6</v>
      </c>
      <c r="Q22" s="194" t="s">
        <v>6</v>
      </c>
      <c r="R22" s="194" t="s">
        <v>6</v>
      </c>
      <c r="S22" s="194" t="s">
        <v>6</v>
      </c>
      <c r="T22" s="194" t="s">
        <v>6</v>
      </c>
      <c r="U22" s="194" t="s">
        <v>6</v>
      </c>
      <c r="V22" s="194" t="s">
        <v>6</v>
      </c>
      <c r="W22" s="194" t="s">
        <v>6</v>
      </c>
      <c r="X22" s="194" t="s">
        <v>6</v>
      </c>
      <c r="Y22" s="194" t="s">
        <v>6</v>
      </c>
      <c r="Z22" s="194" t="s">
        <v>6</v>
      </c>
      <c r="AA22" s="194" t="s">
        <v>6</v>
      </c>
      <c r="AB22" s="194" t="s">
        <v>6</v>
      </c>
      <c r="AC22" s="194" t="s">
        <v>6</v>
      </c>
      <c r="AD22" s="194" t="s">
        <v>6</v>
      </c>
      <c r="AE22" s="194" t="s">
        <v>6</v>
      </c>
      <c r="AF22" s="194" t="s">
        <v>6</v>
      </c>
      <c r="AG22" s="194" t="s">
        <v>6</v>
      </c>
      <c r="AH22" s="194" t="s">
        <v>6</v>
      </c>
      <c r="AI22" s="194" t="s">
        <v>6</v>
      </c>
      <c r="AJ22" s="194" t="s">
        <v>6</v>
      </c>
      <c r="AK22" s="194" t="s">
        <v>6</v>
      </c>
      <c r="AL22" s="194" t="s">
        <v>6</v>
      </c>
      <c r="AM22" s="194" t="s">
        <v>6</v>
      </c>
      <c r="AN22" s="194" t="s">
        <v>6</v>
      </c>
      <c r="AO22" s="194" t="s">
        <v>6</v>
      </c>
      <c r="AP22" s="194" t="s">
        <v>6</v>
      </c>
      <c r="AQ22" s="194" t="s">
        <v>6</v>
      </c>
      <c r="AR22" s="194" t="s">
        <v>6</v>
      </c>
      <c r="AS22" s="194" t="s">
        <v>6</v>
      </c>
      <c r="AT22" s="194" t="s">
        <v>6</v>
      </c>
      <c r="AU22" s="194" t="s">
        <v>6</v>
      </c>
      <c r="AV22" s="194" t="s">
        <v>6</v>
      </c>
      <c r="AW22" s="194" t="s">
        <v>6</v>
      </c>
      <c r="AX22" s="194" t="s">
        <v>6</v>
      </c>
      <c r="AY22" s="194" t="s">
        <v>6</v>
      </c>
      <c r="AZ22" s="194" t="s">
        <v>6</v>
      </c>
      <c r="BA22" s="194" t="s">
        <v>6</v>
      </c>
      <c r="BB22" s="194" t="s">
        <v>6</v>
      </c>
      <c r="BC22" s="194" t="s">
        <v>6</v>
      </c>
      <c r="BD22" s="194" t="s">
        <v>6</v>
      </c>
      <c r="BE22" s="194" t="s">
        <v>6</v>
      </c>
      <c r="BF22" s="194" t="s">
        <v>6</v>
      </c>
      <c r="BG22" s="194" t="s">
        <v>6</v>
      </c>
      <c r="BH22" s="194" t="s">
        <v>6</v>
      </c>
      <c r="BI22" s="194" t="s">
        <v>6</v>
      </c>
      <c r="BJ22" s="194" t="s">
        <v>6</v>
      </c>
      <c r="BK22" s="194" t="s">
        <v>6</v>
      </c>
      <c r="BL22" s="194" t="s">
        <v>6</v>
      </c>
      <c r="BM22" s="194" t="s">
        <v>6</v>
      </c>
      <c r="BN22" s="194" t="s">
        <v>6</v>
      </c>
      <c r="BO22" s="194" t="s">
        <v>6</v>
      </c>
      <c r="BP22" s="194" t="s">
        <v>6</v>
      </c>
      <c r="BQ22" s="194" t="s">
        <v>6</v>
      </c>
      <c r="BR22" s="194" t="s">
        <v>6</v>
      </c>
      <c r="BS22" s="194" t="s">
        <v>6</v>
      </c>
      <c r="BT22" s="194" t="s">
        <v>6</v>
      </c>
      <c r="BU22" s="194" t="s">
        <v>6</v>
      </c>
      <c r="BV22" s="194" t="s">
        <v>6</v>
      </c>
      <c r="BW22" s="194" t="s">
        <v>6</v>
      </c>
      <c r="BX22" s="194" t="s">
        <v>6</v>
      </c>
      <c r="BY22" s="194" t="s">
        <v>6</v>
      </c>
      <c r="BZ22" s="194" t="s">
        <v>6</v>
      </c>
      <c r="CA22" s="194" t="s">
        <v>6</v>
      </c>
      <c r="CB22" s="194" t="s">
        <v>6</v>
      </c>
      <c r="CC22" s="194" t="s">
        <v>6</v>
      </c>
      <c r="CD22" s="194" t="s">
        <v>6</v>
      </c>
      <c r="CE22" s="194" t="s">
        <v>6</v>
      </c>
      <c r="CF22" s="194" t="s">
        <v>6</v>
      </c>
      <c r="CG22" s="194" t="s">
        <v>6</v>
      </c>
      <c r="CH22" s="194" t="s">
        <v>6</v>
      </c>
      <c r="CI22" s="194" t="s">
        <v>6</v>
      </c>
      <c r="CJ22" s="194" t="s">
        <v>6</v>
      </c>
      <c r="CK22" s="194" t="s">
        <v>6</v>
      </c>
      <c r="CL22" s="194" t="s">
        <v>6</v>
      </c>
      <c r="CM22" s="194" t="s">
        <v>6</v>
      </c>
      <c r="CN22" s="194" t="s">
        <v>6</v>
      </c>
      <c r="CO22" s="194" t="s">
        <v>6</v>
      </c>
      <c r="CP22" s="194" t="s">
        <v>6</v>
      </c>
      <c r="CQ22" s="194" t="s">
        <v>6</v>
      </c>
      <c r="CR22" s="194" t="s">
        <v>6</v>
      </c>
      <c r="CS22" s="194" t="s">
        <v>6</v>
      </c>
      <c r="CT22" s="194" t="s">
        <v>6</v>
      </c>
      <c r="CU22" s="194" t="s">
        <v>6</v>
      </c>
      <c r="CV22" s="194" t="s">
        <v>6</v>
      </c>
      <c r="CW22" s="194" t="s">
        <v>6</v>
      </c>
      <c r="CX22" s="194" t="s">
        <v>6</v>
      </c>
      <c r="CY22" s="194" t="s">
        <v>6</v>
      </c>
      <c r="CZ22" s="194" t="s">
        <v>6</v>
      </c>
      <c r="DA22" s="194" t="s">
        <v>6</v>
      </c>
      <c r="DB22" s="194" t="s">
        <v>6</v>
      </c>
    </row>
    <row r="23" spans="1:106" x14ac:dyDescent="0.3">
      <c r="A23" t="s">
        <v>787</v>
      </c>
      <c r="B23" s="10" t="s">
        <v>742</v>
      </c>
      <c r="C23" s="43" t="s">
        <v>30</v>
      </c>
      <c r="D23" s="162" t="s">
        <v>748</v>
      </c>
      <c r="E23" s="126" t="str">
        <f t="shared" ref="E23" si="8">SUBSTITUTE(B23," ","") &amp; "_" &amp; SUBSTITUTE(IF(C23="N/A","",C23&amp; "_")," ","")  &amp; SUBSTITUTE(SUBSTITUTE(D23," ",""),"/","")</f>
        <v>ChangeJob_JobProfile_JobTitle</v>
      </c>
      <c r="F23" s="38" t="str">
        <f t="shared" ref="F23" si="9">E23&amp;2</f>
        <v>ChangeJob_JobProfile_JobTitle2</v>
      </c>
      <c r="G23" s="142"/>
      <c r="H23" s="148" t="s">
        <v>6</v>
      </c>
      <c r="I23" s="148" t="s">
        <v>6</v>
      </c>
      <c r="J23" s="148" t="s">
        <v>6</v>
      </c>
      <c r="K23" s="148" t="s">
        <v>6</v>
      </c>
      <c r="L23" s="148" t="s">
        <v>6</v>
      </c>
      <c r="M23" s="148" t="s">
        <v>6</v>
      </c>
      <c r="N23" s="148" t="s">
        <v>6</v>
      </c>
      <c r="O23" s="148" t="s">
        <v>6</v>
      </c>
      <c r="P23" s="148" t="s">
        <v>6</v>
      </c>
      <c r="Q23" s="148" t="s">
        <v>6</v>
      </c>
      <c r="R23" s="148" t="s">
        <v>6</v>
      </c>
      <c r="S23" s="148" t="s">
        <v>6</v>
      </c>
      <c r="T23" s="148" t="s">
        <v>6</v>
      </c>
      <c r="U23" s="148" t="s">
        <v>6</v>
      </c>
      <c r="V23" s="148" t="s">
        <v>6</v>
      </c>
      <c r="W23" s="148" t="s">
        <v>6</v>
      </c>
      <c r="X23" s="148" t="s">
        <v>6</v>
      </c>
      <c r="Y23" s="148" t="s">
        <v>6</v>
      </c>
      <c r="Z23" s="148" t="s">
        <v>6</v>
      </c>
      <c r="AA23" s="148" t="s">
        <v>6</v>
      </c>
      <c r="AB23" s="148" t="s">
        <v>6</v>
      </c>
      <c r="AC23" s="148" t="s">
        <v>6</v>
      </c>
      <c r="AD23" s="148" t="s">
        <v>6</v>
      </c>
      <c r="AE23" s="148" t="s">
        <v>6</v>
      </c>
      <c r="AF23" s="148" t="s">
        <v>6</v>
      </c>
      <c r="AG23" s="148" t="s">
        <v>6</v>
      </c>
      <c r="AH23" s="148" t="s">
        <v>6</v>
      </c>
      <c r="AI23" s="148" t="s">
        <v>6</v>
      </c>
      <c r="AJ23" s="148" t="s">
        <v>6</v>
      </c>
      <c r="AK23" s="148" t="s">
        <v>6</v>
      </c>
      <c r="AL23" s="148" t="s">
        <v>6</v>
      </c>
      <c r="AM23" s="148" t="s">
        <v>6</v>
      </c>
      <c r="AN23" s="148" t="s">
        <v>6</v>
      </c>
      <c r="AO23" s="148" t="s">
        <v>6</v>
      </c>
      <c r="AP23" s="148" t="s">
        <v>6</v>
      </c>
      <c r="AQ23" s="148" t="s">
        <v>6</v>
      </c>
      <c r="AR23" s="148" t="s">
        <v>6</v>
      </c>
      <c r="AS23" s="148" t="s">
        <v>6</v>
      </c>
      <c r="AT23" s="148" t="s">
        <v>6</v>
      </c>
      <c r="AU23" s="148" t="s">
        <v>6</v>
      </c>
      <c r="AV23" s="148" t="s">
        <v>6</v>
      </c>
      <c r="AW23" s="148" t="s">
        <v>6</v>
      </c>
      <c r="AX23" s="148" t="s">
        <v>6</v>
      </c>
      <c r="AY23" s="148" t="s">
        <v>6</v>
      </c>
      <c r="AZ23" s="148" t="s">
        <v>6</v>
      </c>
      <c r="BA23" s="148" t="s">
        <v>6</v>
      </c>
      <c r="BB23" s="148" t="s">
        <v>6</v>
      </c>
      <c r="BC23" s="148" t="s">
        <v>6</v>
      </c>
      <c r="BD23" s="148" t="s">
        <v>6</v>
      </c>
      <c r="BE23" s="148" t="s">
        <v>6</v>
      </c>
      <c r="BF23" s="148" t="s">
        <v>6</v>
      </c>
      <c r="BG23" s="148" t="s">
        <v>6</v>
      </c>
      <c r="BH23" s="148" t="s">
        <v>6</v>
      </c>
      <c r="BI23" s="148" t="s">
        <v>6</v>
      </c>
      <c r="BJ23" s="148" t="s">
        <v>6</v>
      </c>
      <c r="BK23" s="148" t="s">
        <v>6</v>
      </c>
      <c r="BL23" s="148" t="s">
        <v>6</v>
      </c>
      <c r="BM23" s="148" t="s">
        <v>6</v>
      </c>
      <c r="BN23" s="148" t="s">
        <v>6</v>
      </c>
      <c r="BO23" s="148" t="s">
        <v>6</v>
      </c>
      <c r="BP23" s="148" t="s">
        <v>6</v>
      </c>
      <c r="BQ23" s="148" t="s">
        <v>6</v>
      </c>
      <c r="BR23" s="148" t="s">
        <v>6</v>
      </c>
      <c r="BS23" s="148" t="s">
        <v>6</v>
      </c>
      <c r="BT23" s="148" t="s">
        <v>6</v>
      </c>
      <c r="BU23" s="148" t="s">
        <v>6</v>
      </c>
      <c r="BV23" s="148" t="s">
        <v>6</v>
      </c>
      <c r="BW23" s="148" t="s">
        <v>6</v>
      </c>
      <c r="BX23" s="148" t="s">
        <v>6</v>
      </c>
      <c r="BY23" s="148" t="s">
        <v>6</v>
      </c>
      <c r="BZ23" s="148" t="s">
        <v>6</v>
      </c>
      <c r="CA23" s="148" t="s">
        <v>6</v>
      </c>
      <c r="CB23" s="148" t="s">
        <v>6</v>
      </c>
      <c r="CC23" s="148" t="s">
        <v>6</v>
      </c>
      <c r="CD23" s="148" t="s">
        <v>6</v>
      </c>
      <c r="CE23" s="148" t="s">
        <v>6</v>
      </c>
      <c r="CF23" s="148" t="s">
        <v>6</v>
      </c>
      <c r="CG23" s="148" t="s">
        <v>6</v>
      </c>
      <c r="CH23" s="148" t="s">
        <v>6</v>
      </c>
      <c r="CI23" s="148" t="s">
        <v>6</v>
      </c>
      <c r="CJ23" s="148" t="s">
        <v>6</v>
      </c>
      <c r="CK23" s="148" t="s">
        <v>6</v>
      </c>
      <c r="CL23" s="148" t="s">
        <v>6</v>
      </c>
      <c r="CM23" s="148" t="s">
        <v>6</v>
      </c>
      <c r="CN23" s="148" t="s">
        <v>6</v>
      </c>
      <c r="CO23" s="148" t="s">
        <v>6</v>
      </c>
      <c r="CP23" s="148" t="s">
        <v>6</v>
      </c>
      <c r="CQ23" s="148" t="s">
        <v>6</v>
      </c>
      <c r="CR23" s="148" t="s">
        <v>6</v>
      </c>
      <c r="CS23" s="148" t="s">
        <v>6</v>
      </c>
      <c r="CT23" s="148" t="s">
        <v>6</v>
      </c>
      <c r="CU23" s="148" t="s">
        <v>6</v>
      </c>
      <c r="CV23" s="148" t="s">
        <v>6</v>
      </c>
      <c r="CW23" s="148" t="s">
        <v>6</v>
      </c>
      <c r="CX23" s="148" t="s">
        <v>6</v>
      </c>
      <c r="CY23" s="148" t="s">
        <v>6</v>
      </c>
      <c r="CZ23" s="148" t="s">
        <v>6</v>
      </c>
      <c r="DA23" s="148" t="s">
        <v>6</v>
      </c>
      <c r="DB23" s="148" t="s">
        <v>6</v>
      </c>
    </row>
    <row r="24" spans="1:106" ht="17.399999999999999" x14ac:dyDescent="0.3">
      <c r="A24" t="s">
        <v>787</v>
      </c>
      <c r="B24" s="10" t="s">
        <v>742</v>
      </c>
      <c r="C24" s="43" t="s">
        <v>749</v>
      </c>
      <c r="D24" s="162" t="s">
        <v>115</v>
      </c>
      <c r="E24" s="126" t="str">
        <f>SUBSTITUTE(B24," ","") &amp; "_" &amp; SUBSTITUTE(IF(C24="N/A","",C24&amp; "_")," ","")  &amp; SUBSTITUTE(SUBSTITUTE(D24," ",""),"/","")</f>
        <v>ChangeJob_LocationDetails_Location</v>
      </c>
      <c r="F24" s="38" t="str">
        <f>E24&amp;2</f>
        <v>ChangeJob_LocationDetails_Location2</v>
      </c>
      <c r="G24" s="142"/>
      <c r="H24" s="197">
        <v>895</v>
      </c>
      <c r="I24" s="197">
        <v>895</v>
      </c>
      <c r="J24" s="197">
        <v>895</v>
      </c>
      <c r="K24" s="197">
        <v>895</v>
      </c>
      <c r="L24" s="197">
        <v>895</v>
      </c>
      <c r="M24" s="197">
        <v>895</v>
      </c>
      <c r="N24" s="197">
        <v>895</v>
      </c>
      <c r="O24" s="197">
        <v>895</v>
      </c>
      <c r="P24" s="197">
        <v>895</v>
      </c>
      <c r="Q24" s="197">
        <v>895</v>
      </c>
      <c r="R24" s="197">
        <v>895</v>
      </c>
      <c r="S24" s="197">
        <v>895</v>
      </c>
      <c r="T24" s="197">
        <v>895</v>
      </c>
      <c r="U24" s="197">
        <v>895</v>
      </c>
      <c r="V24" s="197">
        <v>895</v>
      </c>
      <c r="W24" s="197">
        <v>895</v>
      </c>
      <c r="X24" s="197">
        <v>895</v>
      </c>
      <c r="Y24" s="197">
        <v>895</v>
      </c>
      <c r="Z24" s="197">
        <v>895</v>
      </c>
      <c r="AA24" s="197">
        <v>895</v>
      </c>
      <c r="AB24" s="197">
        <v>895</v>
      </c>
      <c r="AC24" s="197">
        <v>895</v>
      </c>
      <c r="AD24" s="197">
        <v>895</v>
      </c>
      <c r="AE24" s="197">
        <v>895</v>
      </c>
      <c r="AF24" s="197">
        <v>895</v>
      </c>
      <c r="AG24" s="197">
        <v>895</v>
      </c>
      <c r="AH24" s="197">
        <v>895</v>
      </c>
      <c r="AI24" s="197">
        <v>895</v>
      </c>
      <c r="AJ24" s="197">
        <v>895</v>
      </c>
      <c r="AK24" s="197">
        <v>895</v>
      </c>
      <c r="AL24" s="197">
        <v>895</v>
      </c>
      <c r="AM24" s="197">
        <v>895</v>
      </c>
      <c r="AN24" s="197">
        <v>895</v>
      </c>
      <c r="AO24" s="197">
        <v>895</v>
      </c>
      <c r="AP24" s="197">
        <v>895</v>
      </c>
      <c r="AQ24" s="197">
        <v>895</v>
      </c>
      <c r="AR24" s="197">
        <v>895</v>
      </c>
      <c r="AS24" s="197">
        <v>895</v>
      </c>
      <c r="AT24" s="197">
        <v>895</v>
      </c>
      <c r="AU24" s="197">
        <v>895</v>
      </c>
      <c r="AV24" s="197">
        <v>895</v>
      </c>
      <c r="AW24" s="197">
        <v>895</v>
      </c>
      <c r="AX24" s="197">
        <v>895</v>
      </c>
      <c r="AY24" s="197">
        <v>895</v>
      </c>
      <c r="AZ24" s="197">
        <v>895</v>
      </c>
      <c r="BA24" s="197">
        <v>895</v>
      </c>
      <c r="BB24" s="197">
        <v>895</v>
      </c>
      <c r="BC24" s="197">
        <v>895</v>
      </c>
      <c r="BD24" s="197">
        <v>895</v>
      </c>
      <c r="BE24" s="197">
        <v>895</v>
      </c>
      <c r="BF24" s="197">
        <v>895</v>
      </c>
      <c r="BG24" s="197">
        <v>895</v>
      </c>
      <c r="BH24" s="197">
        <v>895</v>
      </c>
      <c r="BI24" s="197">
        <v>895</v>
      </c>
      <c r="BJ24" s="197">
        <v>895</v>
      </c>
      <c r="BK24" s="197">
        <v>895</v>
      </c>
      <c r="BL24" s="197">
        <v>895</v>
      </c>
      <c r="BM24" s="197">
        <v>895</v>
      </c>
      <c r="BN24" s="197">
        <v>895</v>
      </c>
      <c r="BO24" s="197">
        <v>895</v>
      </c>
      <c r="BP24" s="197">
        <v>895</v>
      </c>
      <c r="BQ24" s="197">
        <v>895</v>
      </c>
      <c r="BR24" s="197">
        <v>895</v>
      </c>
      <c r="BS24" s="197">
        <v>895</v>
      </c>
      <c r="BT24" s="197">
        <v>895</v>
      </c>
      <c r="BU24" s="197">
        <v>895</v>
      </c>
      <c r="BV24" s="197">
        <v>895</v>
      </c>
      <c r="BW24" s="197">
        <v>895</v>
      </c>
      <c r="BX24" s="197">
        <v>895</v>
      </c>
      <c r="BY24" s="197">
        <v>895</v>
      </c>
      <c r="BZ24" s="197">
        <v>895</v>
      </c>
      <c r="CA24" s="197">
        <v>895</v>
      </c>
      <c r="CB24" s="197">
        <v>895</v>
      </c>
      <c r="CC24" s="197">
        <v>895</v>
      </c>
      <c r="CD24" s="197">
        <v>895</v>
      </c>
      <c r="CE24" s="197">
        <v>895</v>
      </c>
      <c r="CF24" s="197">
        <v>895</v>
      </c>
      <c r="CG24" s="197">
        <v>895</v>
      </c>
      <c r="CH24" s="197">
        <v>895</v>
      </c>
      <c r="CI24" s="197">
        <v>895</v>
      </c>
      <c r="CJ24" s="197">
        <v>895</v>
      </c>
      <c r="CK24" s="197">
        <v>895</v>
      </c>
      <c r="CL24" s="197">
        <v>895</v>
      </c>
      <c r="CM24" s="197">
        <v>895</v>
      </c>
      <c r="CN24" s="197">
        <v>895</v>
      </c>
      <c r="CO24" s="197">
        <v>895</v>
      </c>
      <c r="CP24" s="197">
        <v>895</v>
      </c>
      <c r="CQ24" s="197">
        <v>895</v>
      </c>
      <c r="CR24" s="197">
        <v>895</v>
      </c>
      <c r="CS24" s="197">
        <v>895</v>
      </c>
      <c r="CT24" s="197">
        <v>895</v>
      </c>
      <c r="CU24" s="197">
        <v>895</v>
      </c>
      <c r="CV24" s="197">
        <v>895</v>
      </c>
      <c r="CW24" s="197">
        <v>895</v>
      </c>
      <c r="CX24" s="197">
        <v>895</v>
      </c>
      <c r="CY24" s="197">
        <v>895</v>
      </c>
      <c r="CZ24" s="197">
        <v>895</v>
      </c>
      <c r="DA24" s="197">
        <v>895</v>
      </c>
      <c r="DB24" s="197">
        <v>895</v>
      </c>
    </row>
    <row r="25" spans="1:106" s="25" customFormat="1" x14ac:dyDescent="0.3">
      <c r="A25" s="25" t="s">
        <v>787</v>
      </c>
      <c r="B25" s="167" t="s">
        <v>742</v>
      </c>
      <c r="C25" s="168" t="s">
        <v>749</v>
      </c>
      <c r="D25" s="7" t="s">
        <v>633</v>
      </c>
      <c r="E25" s="169" t="str">
        <f t="shared" si="4"/>
        <v>ChangeJob_LocationDetails_ScheduledWeeklyHours</v>
      </c>
      <c r="F25" s="170" t="str">
        <f t="shared" si="5"/>
        <v>ChangeJob_LocationDetails_ScheduledWeeklyHours2</v>
      </c>
      <c r="G25" s="171" t="s">
        <v>781</v>
      </c>
      <c r="H25" s="166" t="s">
        <v>6</v>
      </c>
      <c r="I25" s="166" t="s">
        <v>6</v>
      </c>
      <c r="J25" s="166" t="s">
        <v>6</v>
      </c>
      <c r="K25" s="166" t="s">
        <v>6</v>
      </c>
      <c r="L25" s="166" t="s">
        <v>6</v>
      </c>
      <c r="M25" s="166" t="s">
        <v>6</v>
      </c>
      <c r="N25" s="166" t="s">
        <v>6</v>
      </c>
      <c r="O25" s="166" t="s">
        <v>6</v>
      </c>
      <c r="P25" s="166" t="s">
        <v>6</v>
      </c>
      <c r="Q25" s="166" t="s">
        <v>6</v>
      </c>
      <c r="R25" s="166" t="s">
        <v>6</v>
      </c>
      <c r="S25" s="166" t="s">
        <v>6</v>
      </c>
      <c r="T25" s="166" t="s">
        <v>6</v>
      </c>
      <c r="U25" s="166" t="s">
        <v>6</v>
      </c>
      <c r="V25" s="166" t="s">
        <v>6</v>
      </c>
      <c r="W25" s="166" t="s">
        <v>6</v>
      </c>
      <c r="X25" s="166" t="s">
        <v>6</v>
      </c>
      <c r="Y25" s="166" t="s">
        <v>6</v>
      </c>
      <c r="Z25" s="166" t="s">
        <v>6</v>
      </c>
      <c r="AA25" s="166" t="s">
        <v>6</v>
      </c>
      <c r="AB25" s="166" t="s">
        <v>6</v>
      </c>
      <c r="AC25" s="166" t="s">
        <v>6</v>
      </c>
      <c r="AD25" s="166" t="s">
        <v>6</v>
      </c>
      <c r="AE25" s="166" t="s">
        <v>6</v>
      </c>
      <c r="AF25" s="166" t="s">
        <v>6</v>
      </c>
      <c r="AG25" s="166" t="s">
        <v>6</v>
      </c>
      <c r="AH25" s="166" t="s">
        <v>6</v>
      </c>
      <c r="AI25" s="166" t="s">
        <v>6</v>
      </c>
      <c r="AJ25" s="166" t="s">
        <v>6</v>
      </c>
      <c r="AK25" s="166" t="s">
        <v>6</v>
      </c>
      <c r="AL25" s="166" t="s">
        <v>6</v>
      </c>
      <c r="AM25" s="166" t="s">
        <v>6</v>
      </c>
      <c r="AN25" s="166" t="s">
        <v>6</v>
      </c>
      <c r="AO25" s="166" t="s">
        <v>6</v>
      </c>
      <c r="AP25" s="166" t="s">
        <v>6</v>
      </c>
      <c r="AQ25" s="166" t="s">
        <v>6</v>
      </c>
      <c r="AR25" s="166" t="s">
        <v>6</v>
      </c>
      <c r="AS25" s="166" t="s">
        <v>6</v>
      </c>
      <c r="AT25" s="166" t="s">
        <v>6</v>
      </c>
      <c r="AU25" s="166" t="s">
        <v>6</v>
      </c>
      <c r="AV25" s="166" t="s">
        <v>6</v>
      </c>
      <c r="AW25" s="166" t="s">
        <v>6</v>
      </c>
      <c r="AX25" s="166" t="s">
        <v>6</v>
      </c>
      <c r="AY25" s="166" t="s">
        <v>6</v>
      </c>
      <c r="AZ25" s="166" t="s">
        <v>6</v>
      </c>
      <c r="BA25" s="166" t="s">
        <v>6</v>
      </c>
      <c r="BB25" s="166" t="s">
        <v>6</v>
      </c>
      <c r="BC25" s="166" t="s">
        <v>6</v>
      </c>
      <c r="BD25" s="166" t="s">
        <v>6</v>
      </c>
      <c r="BE25" s="166" t="s">
        <v>6</v>
      </c>
      <c r="BF25" s="166" t="s">
        <v>6</v>
      </c>
      <c r="BG25" s="166" t="s">
        <v>6</v>
      </c>
      <c r="BH25" s="166" t="s">
        <v>6</v>
      </c>
      <c r="BI25" s="166" t="s">
        <v>6</v>
      </c>
      <c r="BJ25" s="166" t="s">
        <v>6</v>
      </c>
      <c r="BK25" s="166" t="s">
        <v>6</v>
      </c>
      <c r="BL25" s="166" t="s">
        <v>6</v>
      </c>
      <c r="BM25" s="166" t="s">
        <v>6</v>
      </c>
      <c r="BN25" s="166" t="s">
        <v>6</v>
      </c>
      <c r="BO25" s="166" t="s">
        <v>6</v>
      </c>
      <c r="BP25" s="166" t="s">
        <v>6</v>
      </c>
      <c r="BQ25" s="166" t="s">
        <v>6</v>
      </c>
      <c r="BR25" s="166" t="s">
        <v>6</v>
      </c>
      <c r="BS25" s="166" t="s">
        <v>6</v>
      </c>
      <c r="BT25" s="166" t="s">
        <v>6</v>
      </c>
      <c r="BU25" s="166" t="s">
        <v>6</v>
      </c>
      <c r="BV25" s="166" t="s">
        <v>6</v>
      </c>
      <c r="BW25" s="166" t="s">
        <v>6</v>
      </c>
      <c r="BX25" s="166" t="s">
        <v>6</v>
      </c>
      <c r="BY25" s="166" t="s">
        <v>6</v>
      </c>
      <c r="BZ25" s="166" t="s">
        <v>6</v>
      </c>
      <c r="CA25" s="166" t="s">
        <v>6</v>
      </c>
      <c r="CB25" s="166" t="s">
        <v>6</v>
      </c>
      <c r="CC25" s="166" t="s">
        <v>6</v>
      </c>
      <c r="CD25" s="166" t="s">
        <v>6</v>
      </c>
      <c r="CE25" s="166" t="s">
        <v>6</v>
      </c>
      <c r="CF25" s="166" t="s">
        <v>6</v>
      </c>
      <c r="CG25" s="166" t="s">
        <v>6</v>
      </c>
      <c r="CH25" s="166" t="s">
        <v>6</v>
      </c>
      <c r="CI25" s="166" t="s">
        <v>6</v>
      </c>
      <c r="CJ25" s="166" t="s">
        <v>6</v>
      </c>
      <c r="CK25" s="166" t="s">
        <v>6</v>
      </c>
      <c r="CL25" s="166" t="s">
        <v>6</v>
      </c>
      <c r="CM25" s="166" t="s">
        <v>6</v>
      </c>
      <c r="CN25" s="166" t="s">
        <v>6</v>
      </c>
      <c r="CO25" s="166" t="s">
        <v>6</v>
      </c>
      <c r="CP25" s="166" t="s">
        <v>6</v>
      </c>
      <c r="CQ25" s="166" t="s">
        <v>6</v>
      </c>
      <c r="CR25" s="166" t="s">
        <v>6</v>
      </c>
      <c r="CS25" s="166" t="s">
        <v>6</v>
      </c>
      <c r="CT25" s="166" t="s">
        <v>6</v>
      </c>
      <c r="CU25" s="166" t="s">
        <v>6</v>
      </c>
      <c r="CV25" s="166" t="s">
        <v>6</v>
      </c>
      <c r="CW25" s="166" t="s">
        <v>6</v>
      </c>
      <c r="CX25" s="166" t="s">
        <v>6</v>
      </c>
      <c r="CY25" s="166" t="s">
        <v>6</v>
      </c>
      <c r="CZ25" s="166" t="s">
        <v>6</v>
      </c>
      <c r="DA25" s="166" t="s">
        <v>6</v>
      </c>
      <c r="DB25" s="166" t="s">
        <v>6</v>
      </c>
    </row>
    <row r="26" spans="1:106" x14ac:dyDescent="0.3">
      <c r="A26" t="s">
        <v>787</v>
      </c>
      <c r="B26" s="10" t="s">
        <v>742</v>
      </c>
      <c r="C26" s="43" t="s">
        <v>749</v>
      </c>
      <c r="D26" s="162" t="s">
        <v>31</v>
      </c>
      <c r="E26" s="126" t="str">
        <f t="shared" ref="E26" si="10">SUBSTITUTE(B26," ","") &amp; "_" &amp; SUBSTITUTE(IF(C26="N/A","",C26&amp; "_")," ","")  &amp; SUBSTITUTE(SUBSTITUTE(D26," ",""),"/","")</f>
        <v>ChangeJob_LocationDetails_WorkShift</v>
      </c>
      <c r="F26" s="38" t="str">
        <f t="shared" ref="F26" si="11">E26&amp;2</f>
        <v>ChangeJob_LocationDetails_WorkShift2</v>
      </c>
      <c r="G26" s="142" t="s">
        <v>780</v>
      </c>
      <c r="H26" s="148" t="s">
        <v>6</v>
      </c>
      <c r="I26" s="148" t="s">
        <v>6</v>
      </c>
      <c r="J26" s="148" t="s">
        <v>6</v>
      </c>
      <c r="K26" s="148" t="s">
        <v>6</v>
      </c>
      <c r="L26" s="148" t="s">
        <v>6</v>
      </c>
      <c r="M26" s="148" t="s">
        <v>6</v>
      </c>
      <c r="N26" s="148" t="s">
        <v>6</v>
      </c>
      <c r="O26" s="148" t="s">
        <v>6</v>
      </c>
      <c r="P26" s="148" t="s">
        <v>6</v>
      </c>
      <c r="Q26" s="148" t="s">
        <v>6</v>
      </c>
      <c r="R26" s="148" t="s">
        <v>6</v>
      </c>
      <c r="S26" s="148" t="s">
        <v>6</v>
      </c>
      <c r="T26" s="148" t="s">
        <v>6</v>
      </c>
      <c r="U26" s="148" t="s">
        <v>6</v>
      </c>
      <c r="V26" s="148" t="s">
        <v>6</v>
      </c>
      <c r="W26" s="148" t="s">
        <v>6</v>
      </c>
      <c r="X26" s="148" t="s">
        <v>6</v>
      </c>
      <c r="Y26" s="148" t="s">
        <v>6</v>
      </c>
      <c r="Z26" s="148" t="s">
        <v>6</v>
      </c>
      <c r="AA26" s="148" t="s">
        <v>6</v>
      </c>
      <c r="AB26" s="148" t="s">
        <v>6</v>
      </c>
      <c r="AC26" s="148" t="s">
        <v>6</v>
      </c>
      <c r="AD26" s="148" t="s">
        <v>6</v>
      </c>
      <c r="AE26" s="148" t="s">
        <v>6</v>
      </c>
      <c r="AF26" s="148" t="s">
        <v>6</v>
      </c>
      <c r="AG26" s="148" t="s">
        <v>6</v>
      </c>
      <c r="AH26" s="148" t="s">
        <v>6</v>
      </c>
      <c r="AI26" s="148" t="s">
        <v>6</v>
      </c>
      <c r="AJ26" s="148" t="s">
        <v>6</v>
      </c>
      <c r="AK26" s="148" t="s">
        <v>6</v>
      </c>
      <c r="AL26" s="148" t="s">
        <v>6</v>
      </c>
      <c r="AM26" s="148" t="s">
        <v>6</v>
      </c>
      <c r="AN26" s="148" t="s">
        <v>6</v>
      </c>
      <c r="AO26" s="148" t="s">
        <v>6</v>
      </c>
      <c r="AP26" s="148" t="s">
        <v>6</v>
      </c>
      <c r="AQ26" s="148" t="s">
        <v>6</v>
      </c>
      <c r="AR26" s="148" t="s">
        <v>6</v>
      </c>
      <c r="AS26" s="148" t="s">
        <v>6</v>
      </c>
      <c r="AT26" s="148" t="s">
        <v>6</v>
      </c>
      <c r="AU26" s="148" t="s">
        <v>6</v>
      </c>
      <c r="AV26" s="148" t="s">
        <v>6</v>
      </c>
      <c r="AW26" s="148" t="s">
        <v>6</v>
      </c>
      <c r="AX26" s="148" t="s">
        <v>6</v>
      </c>
      <c r="AY26" s="148" t="s">
        <v>6</v>
      </c>
      <c r="AZ26" s="148" t="s">
        <v>6</v>
      </c>
      <c r="BA26" s="148" t="s">
        <v>6</v>
      </c>
      <c r="BB26" s="148" t="s">
        <v>6</v>
      </c>
      <c r="BC26" s="148" t="s">
        <v>6</v>
      </c>
      <c r="BD26" s="148" t="s">
        <v>6</v>
      </c>
      <c r="BE26" s="148" t="s">
        <v>6</v>
      </c>
      <c r="BF26" s="148" t="s">
        <v>6</v>
      </c>
      <c r="BG26" s="148" t="s">
        <v>6</v>
      </c>
      <c r="BH26" s="148" t="s">
        <v>6</v>
      </c>
      <c r="BI26" s="148" t="s">
        <v>6</v>
      </c>
      <c r="BJ26" s="148" t="s">
        <v>6</v>
      </c>
      <c r="BK26" s="148" t="s">
        <v>6</v>
      </c>
      <c r="BL26" s="148" t="s">
        <v>6</v>
      </c>
      <c r="BM26" s="148" t="s">
        <v>6</v>
      </c>
      <c r="BN26" s="148" t="s">
        <v>6</v>
      </c>
      <c r="BO26" s="148" t="s">
        <v>6</v>
      </c>
      <c r="BP26" s="148" t="s">
        <v>6</v>
      </c>
      <c r="BQ26" s="148" t="s">
        <v>6</v>
      </c>
      <c r="BR26" s="148" t="s">
        <v>6</v>
      </c>
      <c r="BS26" s="148" t="s">
        <v>6</v>
      </c>
      <c r="BT26" s="148" t="s">
        <v>6</v>
      </c>
      <c r="BU26" s="148" t="s">
        <v>6</v>
      </c>
      <c r="BV26" s="148" t="s">
        <v>6</v>
      </c>
      <c r="BW26" s="148" t="s">
        <v>6</v>
      </c>
      <c r="BX26" s="148" t="s">
        <v>6</v>
      </c>
      <c r="BY26" s="148" t="s">
        <v>6</v>
      </c>
      <c r="BZ26" s="148" t="s">
        <v>6</v>
      </c>
      <c r="CA26" s="148" t="s">
        <v>6</v>
      </c>
      <c r="CB26" s="148" t="s">
        <v>6</v>
      </c>
      <c r="CC26" s="148" t="s">
        <v>6</v>
      </c>
      <c r="CD26" s="148" t="s">
        <v>6</v>
      </c>
      <c r="CE26" s="148" t="s">
        <v>6</v>
      </c>
      <c r="CF26" s="148" t="s">
        <v>6</v>
      </c>
      <c r="CG26" s="148" t="s">
        <v>6</v>
      </c>
      <c r="CH26" s="148" t="s">
        <v>6</v>
      </c>
      <c r="CI26" s="148" t="s">
        <v>6</v>
      </c>
      <c r="CJ26" s="148" t="s">
        <v>6</v>
      </c>
      <c r="CK26" s="148" t="s">
        <v>6</v>
      </c>
      <c r="CL26" s="148" t="s">
        <v>6</v>
      </c>
      <c r="CM26" s="148" t="s">
        <v>6</v>
      </c>
      <c r="CN26" s="148" t="s">
        <v>6</v>
      </c>
      <c r="CO26" s="148" t="s">
        <v>6</v>
      </c>
      <c r="CP26" s="148" t="s">
        <v>6</v>
      </c>
      <c r="CQ26" s="148" t="s">
        <v>6</v>
      </c>
      <c r="CR26" s="148" t="s">
        <v>6</v>
      </c>
      <c r="CS26" s="148" t="s">
        <v>6</v>
      </c>
      <c r="CT26" s="148" t="s">
        <v>6</v>
      </c>
      <c r="CU26" s="148" t="s">
        <v>6</v>
      </c>
      <c r="CV26" s="148" t="s">
        <v>6</v>
      </c>
      <c r="CW26" s="148" t="s">
        <v>6</v>
      </c>
      <c r="CX26" s="148" t="s">
        <v>6</v>
      </c>
      <c r="CY26" s="148" t="s">
        <v>6</v>
      </c>
      <c r="CZ26" s="148" t="s">
        <v>6</v>
      </c>
      <c r="DA26" s="148" t="s">
        <v>6</v>
      </c>
      <c r="DB26" s="148" t="s">
        <v>6</v>
      </c>
    </row>
    <row r="27" spans="1:106" x14ac:dyDescent="0.3">
      <c r="A27" t="s">
        <v>787</v>
      </c>
      <c r="B27" s="10" t="s">
        <v>742</v>
      </c>
      <c r="C27" s="43" t="s">
        <v>750</v>
      </c>
      <c r="D27" s="162" t="s">
        <v>723</v>
      </c>
      <c r="E27" s="126" t="str">
        <f t="shared" si="4"/>
        <v>ChangeJob_JobClassifications_AdditionalJobClassifications</v>
      </c>
      <c r="F27" s="38" t="str">
        <f t="shared" si="5"/>
        <v>ChangeJob_JobClassifications_AdditionalJobClassifications2</v>
      </c>
      <c r="G27" s="142"/>
      <c r="H27" s="148" t="s">
        <v>6</v>
      </c>
      <c r="I27" s="148" t="s">
        <v>6</v>
      </c>
      <c r="J27" s="148" t="s">
        <v>6</v>
      </c>
      <c r="K27" s="148" t="s">
        <v>6</v>
      </c>
      <c r="L27" s="148" t="s">
        <v>6</v>
      </c>
      <c r="M27" s="148" t="s">
        <v>6</v>
      </c>
      <c r="N27" s="148" t="s">
        <v>6</v>
      </c>
      <c r="O27" s="148" t="s">
        <v>6</v>
      </c>
      <c r="P27" s="148" t="s">
        <v>6</v>
      </c>
      <c r="Q27" s="148" t="s">
        <v>6</v>
      </c>
      <c r="R27" s="148" t="s">
        <v>6</v>
      </c>
      <c r="S27" s="148" t="s">
        <v>6</v>
      </c>
      <c r="T27" s="148" t="s">
        <v>6</v>
      </c>
      <c r="U27" s="148" t="s">
        <v>6</v>
      </c>
      <c r="V27" s="148" t="s">
        <v>6</v>
      </c>
      <c r="W27" s="148" t="s">
        <v>6</v>
      </c>
      <c r="X27" s="148" t="s">
        <v>6</v>
      </c>
      <c r="Y27" s="148" t="s">
        <v>6</v>
      </c>
      <c r="Z27" s="148" t="s">
        <v>6</v>
      </c>
      <c r="AA27" s="148" t="s">
        <v>6</v>
      </c>
      <c r="AB27" s="148" t="s">
        <v>6</v>
      </c>
      <c r="AC27" s="148" t="s">
        <v>6</v>
      </c>
      <c r="AD27" s="148" t="s">
        <v>6</v>
      </c>
      <c r="AE27" s="148" t="s">
        <v>6</v>
      </c>
      <c r="AF27" s="148" t="s">
        <v>6</v>
      </c>
      <c r="AG27" s="148" t="s">
        <v>6</v>
      </c>
      <c r="AH27" s="148" t="s">
        <v>6</v>
      </c>
      <c r="AI27" s="148" t="s">
        <v>6</v>
      </c>
      <c r="AJ27" s="148" t="s">
        <v>6</v>
      </c>
      <c r="AK27" s="148" t="s">
        <v>6</v>
      </c>
      <c r="AL27" s="148" t="s">
        <v>6</v>
      </c>
      <c r="AM27" s="148" t="s">
        <v>6</v>
      </c>
      <c r="AN27" s="148" t="s">
        <v>6</v>
      </c>
      <c r="AO27" s="148" t="s">
        <v>6</v>
      </c>
      <c r="AP27" s="148" t="s">
        <v>6</v>
      </c>
      <c r="AQ27" s="148" t="s">
        <v>6</v>
      </c>
      <c r="AR27" s="148" t="s">
        <v>6</v>
      </c>
      <c r="AS27" s="148" t="s">
        <v>6</v>
      </c>
      <c r="AT27" s="148" t="s">
        <v>6</v>
      </c>
      <c r="AU27" s="148" t="s">
        <v>6</v>
      </c>
      <c r="AV27" s="148" t="s">
        <v>6</v>
      </c>
      <c r="AW27" s="148" t="s">
        <v>6</v>
      </c>
      <c r="AX27" s="148" t="s">
        <v>6</v>
      </c>
      <c r="AY27" s="148" t="s">
        <v>6</v>
      </c>
      <c r="AZ27" s="148" t="s">
        <v>6</v>
      </c>
      <c r="BA27" s="148" t="s">
        <v>6</v>
      </c>
      <c r="BB27" s="148" t="s">
        <v>6</v>
      </c>
      <c r="BC27" s="148" t="s">
        <v>6</v>
      </c>
      <c r="BD27" s="148" t="s">
        <v>6</v>
      </c>
      <c r="BE27" s="148" t="s">
        <v>6</v>
      </c>
      <c r="BF27" s="148" t="s">
        <v>6</v>
      </c>
      <c r="BG27" s="148" t="s">
        <v>6</v>
      </c>
      <c r="BH27" s="148" t="s">
        <v>6</v>
      </c>
      <c r="BI27" s="148" t="s">
        <v>6</v>
      </c>
      <c r="BJ27" s="148" t="s">
        <v>6</v>
      </c>
      <c r="BK27" s="148" t="s">
        <v>6</v>
      </c>
      <c r="BL27" s="148" t="s">
        <v>6</v>
      </c>
      <c r="BM27" s="148" t="s">
        <v>6</v>
      </c>
      <c r="BN27" s="148" t="s">
        <v>6</v>
      </c>
      <c r="BO27" s="148" t="s">
        <v>6</v>
      </c>
      <c r="BP27" s="148" t="s">
        <v>6</v>
      </c>
      <c r="BQ27" s="148" t="s">
        <v>6</v>
      </c>
      <c r="BR27" s="148" t="s">
        <v>6</v>
      </c>
      <c r="BS27" s="148" t="s">
        <v>6</v>
      </c>
      <c r="BT27" s="148" t="s">
        <v>6</v>
      </c>
      <c r="BU27" s="148" t="s">
        <v>6</v>
      </c>
      <c r="BV27" s="148" t="s">
        <v>6</v>
      </c>
      <c r="BW27" s="148" t="s">
        <v>6</v>
      </c>
      <c r="BX27" s="148" t="s">
        <v>6</v>
      </c>
      <c r="BY27" s="148" t="s">
        <v>6</v>
      </c>
      <c r="BZ27" s="148" t="s">
        <v>6</v>
      </c>
      <c r="CA27" s="148" t="s">
        <v>6</v>
      </c>
      <c r="CB27" s="148" t="s">
        <v>6</v>
      </c>
      <c r="CC27" s="148" t="s">
        <v>6</v>
      </c>
      <c r="CD27" s="148" t="s">
        <v>6</v>
      </c>
      <c r="CE27" s="148" t="s">
        <v>6</v>
      </c>
      <c r="CF27" s="148" t="s">
        <v>6</v>
      </c>
      <c r="CG27" s="148" t="s">
        <v>6</v>
      </c>
      <c r="CH27" s="148" t="s">
        <v>6</v>
      </c>
      <c r="CI27" s="148" t="s">
        <v>6</v>
      </c>
      <c r="CJ27" s="148" t="s">
        <v>6</v>
      </c>
      <c r="CK27" s="148" t="s">
        <v>6</v>
      </c>
      <c r="CL27" s="148" t="s">
        <v>6</v>
      </c>
      <c r="CM27" s="148" t="s">
        <v>6</v>
      </c>
      <c r="CN27" s="148" t="s">
        <v>6</v>
      </c>
      <c r="CO27" s="148" t="s">
        <v>6</v>
      </c>
      <c r="CP27" s="148" t="s">
        <v>6</v>
      </c>
      <c r="CQ27" s="148" t="s">
        <v>6</v>
      </c>
      <c r="CR27" s="148" t="s">
        <v>6</v>
      </c>
      <c r="CS27" s="148" t="s">
        <v>6</v>
      </c>
      <c r="CT27" s="148" t="s">
        <v>6</v>
      </c>
      <c r="CU27" s="148" t="s">
        <v>6</v>
      </c>
      <c r="CV27" s="148" t="s">
        <v>6</v>
      </c>
      <c r="CW27" s="148" t="s">
        <v>6</v>
      </c>
      <c r="CX27" s="148" t="s">
        <v>6</v>
      </c>
      <c r="CY27" s="148" t="s">
        <v>6</v>
      </c>
      <c r="CZ27" s="148" t="s">
        <v>6</v>
      </c>
      <c r="DA27" s="148" t="s">
        <v>6</v>
      </c>
      <c r="DB27" s="148" t="s">
        <v>6</v>
      </c>
    </row>
    <row r="28" spans="1:106" s="179" customFormat="1" x14ac:dyDescent="0.3">
      <c r="A28" s="179" t="s">
        <v>788</v>
      </c>
      <c r="B28" s="180" t="s">
        <v>742</v>
      </c>
      <c r="C28" s="181" t="s">
        <v>750</v>
      </c>
      <c r="D28" s="182" t="s">
        <v>29</v>
      </c>
      <c r="E28" s="183" t="str">
        <f t="shared" ref="E28" si="12">SUBSTITUTE(B28," ","") &amp; "_" &amp; SUBSTITUTE(IF(C28="N/A","",C28&amp; "_")," ","")  &amp; SUBSTITUTE(SUBSTITUTE(D28," ",""),"/","")</f>
        <v>ChangeJob_JobClassifications_EmployeeType</v>
      </c>
      <c r="F28" s="184" t="str">
        <f t="shared" ref="F28" si="13">E28&amp;2</f>
        <v>ChangeJob_JobClassifications_EmployeeType2</v>
      </c>
      <c r="G28" s="185" t="s">
        <v>776</v>
      </c>
      <c r="H28" s="148" t="s">
        <v>6</v>
      </c>
      <c r="I28" s="148" t="s">
        <v>6</v>
      </c>
      <c r="J28" s="148" t="s">
        <v>6</v>
      </c>
      <c r="K28" s="148" t="s">
        <v>6</v>
      </c>
      <c r="L28" s="148" t="s">
        <v>6</v>
      </c>
      <c r="M28" s="148" t="s">
        <v>6</v>
      </c>
      <c r="N28" s="148" t="s">
        <v>6</v>
      </c>
      <c r="O28" s="148" t="s">
        <v>6</v>
      </c>
      <c r="P28" s="148" t="s">
        <v>6</v>
      </c>
      <c r="Q28" s="148" t="s">
        <v>6</v>
      </c>
      <c r="R28" s="148" t="s">
        <v>6</v>
      </c>
      <c r="S28" s="148" t="s">
        <v>6</v>
      </c>
      <c r="T28" s="148" t="s">
        <v>6</v>
      </c>
      <c r="U28" s="148" t="s">
        <v>6</v>
      </c>
      <c r="V28" s="148" t="s">
        <v>6</v>
      </c>
      <c r="W28" s="148" t="s">
        <v>6</v>
      </c>
      <c r="X28" s="148" t="s">
        <v>6</v>
      </c>
      <c r="Y28" s="148" t="s">
        <v>6</v>
      </c>
      <c r="Z28" s="148" t="s">
        <v>6</v>
      </c>
      <c r="AA28" s="148" t="s">
        <v>6</v>
      </c>
      <c r="AB28" s="148" t="s">
        <v>6</v>
      </c>
      <c r="AC28" s="148" t="s">
        <v>6</v>
      </c>
      <c r="AD28" s="148" t="s">
        <v>6</v>
      </c>
      <c r="AE28" s="148" t="s">
        <v>6</v>
      </c>
      <c r="AF28" s="148" t="s">
        <v>6</v>
      </c>
      <c r="AG28" s="148" t="s">
        <v>6</v>
      </c>
      <c r="AH28" s="148" t="s">
        <v>6</v>
      </c>
      <c r="AI28" s="148" t="s">
        <v>6</v>
      </c>
      <c r="AJ28" s="148" t="s">
        <v>6</v>
      </c>
      <c r="AK28" s="148" t="s">
        <v>6</v>
      </c>
      <c r="AL28" s="148" t="s">
        <v>6</v>
      </c>
      <c r="AM28" s="148" t="s">
        <v>6</v>
      </c>
      <c r="AN28" s="148" t="s">
        <v>6</v>
      </c>
      <c r="AO28" s="148" t="s">
        <v>6</v>
      </c>
      <c r="AP28" s="148" t="s">
        <v>6</v>
      </c>
      <c r="AQ28" s="148" t="s">
        <v>6</v>
      </c>
      <c r="AR28" s="148" t="s">
        <v>6</v>
      </c>
      <c r="AS28" s="148" t="s">
        <v>6</v>
      </c>
      <c r="AT28" s="148" t="s">
        <v>6</v>
      </c>
      <c r="AU28" s="148" t="s">
        <v>6</v>
      </c>
      <c r="AV28" s="148" t="s">
        <v>6</v>
      </c>
      <c r="AW28" s="148" t="s">
        <v>6</v>
      </c>
      <c r="AX28" s="148" t="s">
        <v>6</v>
      </c>
      <c r="AY28" s="148" t="s">
        <v>6</v>
      </c>
      <c r="AZ28" s="148" t="s">
        <v>6</v>
      </c>
      <c r="BA28" s="148" t="s">
        <v>6</v>
      </c>
      <c r="BB28" s="148" t="s">
        <v>6</v>
      </c>
      <c r="BC28" s="148" t="s">
        <v>6</v>
      </c>
      <c r="BD28" s="148" t="s">
        <v>6</v>
      </c>
      <c r="BE28" s="148" t="s">
        <v>6</v>
      </c>
      <c r="BF28" s="148" t="s">
        <v>6</v>
      </c>
      <c r="BG28" s="148" t="s">
        <v>6</v>
      </c>
      <c r="BH28" s="148" t="s">
        <v>6</v>
      </c>
      <c r="BI28" s="148" t="s">
        <v>6</v>
      </c>
      <c r="BJ28" s="148" t="s">
        <v>6</v>
      </c>
      <c r="BK28" s="148" t="s">
        <v>6</v>
      </c>
      <c r="BL28" s="148" t="s">
        <v>6</v>
      </c>
      <c r="BM28" s="148" t="s">
        <v>6</v>
      </c>
      <c r="BN28" s="148" t="s">
        <v>6</v>
      </c>
      <c r="BO28" s="148" t="s">
        <v>6</v>
      </c>
      <c r="BP28" s="148" t="s">
        <v>6</v>
      </c>
      <c r="BQ28" s="148" t="s">
        <v>6</v>
      </c>
      <c r="BR28" s="148" t="s">
        <v>6</v>
      </c>
      <c r="BS28" s="148" t="s">
        <v>6</v>
      </c>
      <c r="BT28" s="148" t="s">
        <v>6</v>
      </c>
      <c r="BU28" s="148" t="s">
        <v>6</v>
      </c>
      <c r="BV28" s="148" t="s">
        <v>6</v>
      </c>
      <c r="BW28" s="148" t="s">
        <v>6</v>
      </c>
      <c r="BX28" s="148" t="s">
        <v>6</v>
      </c>
      <c r="BY28" s="148" t="s">
        <v>6</v>
      </c>
      <c r="BZ28" s="148" t="s">
        <v>6</v>
      </c>
      <c r="CA28" s="148" t="s">
        <v>6</v>
      </c>
      <c r="CB28" s="148" t="s">
        <v>6</v>
      </c>
      <c r="CC28" s="148" t="s">
        <v>6</v>
      </c>
      <c r="CD28" s="148" t="s">
        <v>6</v>
      </c>
      <c r="CE28" s="148" t="s">
        <v>6</v>
      </c>
      <c r="CF28" s="148" t="s">
        <v>6</v>
      </c>
      <c r="CG28" s="148" t="s">
        <v>6</v>
      </c>
      <c r="CH28" s="148" t="s">
        <v>6</v>
      </c>
      <c r="CI28" s="148" t="s">
        <v>6</v>
      </c>
      <c r="CJ28" s="148" t="s">
        <v>6</v>
      </c>
      <c r="CK28" s="148" t="s">
        <v>6</v>
      </c>
      <c r="CL28" s="148" t="s">
        <v>6</v>
      </c>
      <c r="CM28" s="148" t="s">
        <v>6</v>
      </c>
      <c r="CN28" s="148" t="s">
        <v>6</v>
      </c>
      <c r="CO28" s="148" t="s">
        <v>6</v>
      </c>
      <c r="CP28" s="148" t="s">
        <v>6</v>
      </c>
      <c r="CQ28" s="148" t="s">
        <v>6</v>
      </c>
      <c r="CR28" s="148" t="s">
        <v>6</v>
      </c>
      <c r="CS28" s="148" t="s">
        <v>6</v>
      </c>
      <c r="CT28" s="148" t="s">
        <v>6</v>
      </c>
      <c r="CU28" s="148" t="s">
        <v>6</v>
      </c>
      <c r="CV28" s="148" t="s">
        <v>6</v>
      </c>
      <c r="CW28" s="148" t="s">
        <v>6</v>
      </c>
      <c r="CX28" s="148" t="s">
        <v>6</v>
      </c>
      <c r="CY28" s="148" t="s">
        <v>6</v>
      </c>
      <c r="CZ28" s="148" t="s">
        <v>6</v>
      </c>
      <c r="DA28" s="148" t="s">
        <v>6</v>
      </c>
      <c r="DB28" s="148" t="s">
        <v>6</v>
      </c>
    </row>
    <row r="29" spans="1:106" x14ac:dyDescent="0.3">
      <c r="A29" t="s">
        <v>789</v>
      </c>
      <c r="B29" s="10" t="s">
        <v>742</v>
      </c>
      <c r="C29" s="43" t="s">
        <v>750</v>
      </c>
      <c r="D29" s="162" t="s">
        <v>32</v>
      </c>
      <c r="E29" s="126" t="str">
        <f t="shared" si="4"/>
        <v>ChangeJob_JobClassifications_TimeType</v>
      </c>
      <c r="F29" s="38" t="str">
        <f t="shared" si="5"/>
        <v>ChangeJob_JobClassifications_TimeType2</v>
      </c>
      <c r="G29" s="142" t="s">
        <v>777</v>
      </c>
      <c r="H29" s="148" t="s">
        <v>6</v>
      </c>
      <c r="I29" s="148" t="s">
        <v>6</v>
      </c>
      <c r="J29" s="148" t="s">
        <v>6</v>
      </c>
      <c r="K29" s="148" t="s">
        <v>6</v>
      </c>
      <c r="L29" s="148" t="s">
        <v>6</v>
      </c>
      <c r="M29" s="148" t="s">
        <v>6</v>
      </c>
      <c r="N29" s="148" t="s">
        <v>6</v>
      </c>
      <c r="O29" s="148" t="s">
        <v>6</v>
      </c>
      <c r="P29" s="148" t="s">
        <v>6</v>
      </c>
      <c r="Q29" s="148" t="s">
        <v>6</v>
      </c>
      <c r="R29" s="148" t="s">
        <v>6</v>
      </c>
      <c r="S29" s="148" t="s">
        <v>6</v>
      </c>
      <c r="T29" s="148" t="s">
        <v>6</v>
      </c>
      <c r="U29" s="148" t="s">
        <v>6</v>
      </c>
      <c r="V29" s="148" t="s">
        <v>6</v>
      </c>
      <c r="W29" s="148" t="s">
        <v>6</v>
      </c>
      <c r="X29" s="148" t="s">
        <v>6</v>
      </c>
      <c r="Y29" s="148" t="s">
        <v>6</v>
      </c>
      <c r="Z29" s="148" t="s">
        <v>6</v>
      </c>
      <c r="AA29" s="148" t="s">
        <v>6</v>
      </c>
      <c r="AB29" s="148" t="s">
        <v>6</v>
      </c>
      <c r="AC29" s="148" t="s">
        <v>6</v>
      </c>
      <c r="AD29" s="148" t="s">
        <v>6</v>
      </c>
      <c r="AE29" s="148" t="s">
        <v>6</v>
      </c>
      <c r="AF29" s="148" t="s">
        <v>6</v>
      </c>
      <c r="AG29" s="148" t="s">
        <v>6</v>
      </c>
      <c r="AH29" s="148" t="s">
        <v>6</v>
      </c>
      <c r="AI29" s="148" t="s">
        <v>6</v>
      </c>
      <c r="AJ29" s="148" t="s">
        <v>6</v>
      </c>
      <c r="AK29" s="148" t="s">
        <v>6</v>
      </c>
      <c r="AL29" s="148" t="s">
        <v>6</v>
      </c>
      <c r="AM29" s="148" t="s">
        <v>6</v>
      </c>
      <c r="AN29" s="148" t="s">
        <v>6</v>
      </c>
      <c r="AO29" s="148" t="s">
        <v>6</v>
      </c>
      <c r="AP29" s="148" t="s">
        <v>6</v>
      </c>
      <c r="AQ29" s="148" t="s">
        <v>6</v>
      </c>
      <c r="AR29" s="148" t="s">
        <v>6</v>
      </c>
      <c r="AS29" s="148" t="s">
        <v>6</v>
      </c>
      <c r="AT29" s="148" t="s">
        <v>6</v>
      </c>
      <c r="AU29" s="148" t="s">
        <v>6</v>
      </c>
      <c r="AV29" s="148" t="s">
        <v>6</v>
      </c>
      <c r="AW29" s="148" t="s">
        <v>6</v>
      </c>
      <c r="AX29" s="148" t="s">
        <v>6</v>
      </c>
      <c r="AY29" s="148" t="s">
        <v>6</v>
      </c>
      <c r="AZ29" s="148" t="s">
        <v>6</v>
      </c>
      <c r="BA29" s="148" t="s">
        <v>6</v>
      </c>
      <c r="BB29" s="148" t="s">
        <v>6</v>
      </c>
      <c r="BC29" s="148" t="s">
        <v>6</v>
      </c>
      <c r="BD29" s="148" t="s">
        <v>6</v>
      </c>
      <c r="BE29" s="148" t="s">
        <v>6</v>
      </c>
      <c r="BF29" s="148" t="s">
        <v>6</v>
      </c>
      <c r="BG29" s="148" t="s">
        <v>6</v>
      </c>
      <c r="BH29" s="148" t="s">
        <v>6</v>
      </c>
      <c r="BI29" s="148" t="s">
        <v>6</v>
      </c>
      <c r="BJ29" s="148" t="s">
        <v>6</v>
      </c>
      <c r="BK29" s="148" t="s">
        <v>6</v>
      </c>
      <c r="BL29" s="148" t="s">
        <v>6</v>
      </c>
      <c r="BM29" s="148" t="s">
        <v>6</v>
      </c>
      <c r="BN29" s="148" t="s">
        <v>6</v>
      </c>
      <c r="BO29" s="148" t="s">
        <v>6</v>
      </c>
      <c r="BP29" s="148" t="s">
        <v>6</v>
      </c>
      <c r="BQ29" s="148" t="s">
        <v>6</v>
      </c>
      <c r="BR29" s="148" t="s">
        <v>6</v>
      </c>
      <c r="BS29" s="148" t="s">
        <v>6</v>
      </c>
      <c r="BT29" s="148" t="s">
        <v>6</v>
      </c>
      <c r="BU29" s="148" t="s">
        <v>6</v>
      </c>
      <c r="BV29" s="148" t="s">
        <v>6</v>
      </c>
      <c r="BW29" s="148" t="s">
        <v>6</v>
      </c>
      <c r="BX29" s="148" t="s">
        <v>6</v>
      </c>
      <c r="BY29" s="148" t="s">
        <v>6</v>
      </c>
      <c r="BZ29" s="148" t="s">
        <v>6</v>
      </c>
      <c r="CA29" s="148" t="s">
        <v>6</v>
      </c>
      <c r="CB29" s="148" t="s">
        <v>6</v>
      </c>
      <c r="CC29" s="148" t="s">
        <v>6</v>
      </c>
      <c r="CD29" s="148" t="s">
        <v>6</v>
      </c>
      <c r="CE29" s="148" t="s">
        <v>6</v>
      </c>
      <c r="CF29" s="148" t="s">
        <v>6</v>
      </c>
      <c r="CG29" s="148" t="s">
        <v>6</v>
      </c>
      <c r="CH29" s="148" t="s">
        <v>6</v>
      </c>
      <c r="CI29" s="148" t="s">
        <v>6</v>
      </c>
      <c r="CJ29" s="148" t="s">
        <v>6</v>
      </c>
      <c r="CK29" s="148" t="s">
        <v>6</v>
      </c>
      <c r="CL29" s="148" t="s">
        <v>6</v>
      </c>
      <c r="CM29" s="148" t="s">
        <v>6</v>
      </c>
      <c r="CN29" s="148" t="s">
        <v>6</v>
      </c>
      <c r="CO29" s="148" t="s">
        <v>6</v>
      </c>
      <c r="CP29" s="148" t="s">
        <v>6</v>
      </c>
      <c r="CQ29" s="148" t="s">
        <v>6</v>
      </c>
      <c r="CR29" s="148" t="s">
        <v>6</v>
      </c>
      <c r="CS29" s="148" t="s">
        <v>6</v>
      </c>
      <c r="CT29" s="148" t="s">
        <v>6</v>
      </c>
      <c r="CU29" s="148" t="s">
        <v>6</v>
      </c>
      <c r="CV29" s="148" t="s">
        <v>6</v>
      </c>
      <c r="CW29" s="148" t="s">
        <v>6</v>
      </c>
      <c r="CX29" s="148" t="s">
        <v>6</v>
      </c>
      <c r="CY29" s="148" t="s">
        <v>6</v>
      </c>
      <c r="CZ29" s="148" t="s">
        <v>6</v>
      </c>
      <c r="DA29" s="148" t="s">
        <v>6</v>
      </c>
      <c r="DB29" s="148" t="s">
        <v>6</v>
      </c>
    </row>
    <row r="30" spans="1:106" x14ac:dyDescent="0.3">
      <c r="A30" t="s">
        <v>787</v>
      </c>
      <c r="B30" s="10" t="s">
        <v>742</v>
      </c>
      <c r="C30" s="43" t="s">
        <v>750</v>
      </c>
      <c r="D30" s="162" t="s">
        <v>751</v>
      </c>
      <c r="E30" s="126" t="str">
        <f t="shared" si="4"/>
        <v>ChangeJob_JobClassifications_PayRateType</v>
      </c>
      <c r="F30" s="38" t="str">
        <f t="shared" si="5"/>
        <v>ChangeJob_JobClassifications_PayRateType2</v>
      </c>
      <c r="G30" s="142" t="s">
        <v>772</v>
      </c>
      <c r="H30" s="148" t="s">
        <v>6</v>
      </c>
      <c r="I30" s="148" t="s">
        <v>6</v>
      </c>
      <c r="J30" s="148" t="s">
        <v>6</v>
      </c>
      <c r="K30" s="148" t="s">
        <v>6</v>
      </c>
      <c r="L30" s="148" t="s">
        <v>6</v>
      </c>
      <c r="M30" s="148" t="s">
        <v>6</v>
      </c>
      <c r="N30" s="148" t="s">
        <v>6</v>
      </c>
      <c r="O30" s="148" t="s">
        <v>6</v>
      </c>
      <c r="P30" s="148" t="s">
        <v>6</v>
      </c>
      <c r="Q30" s="148" t="s">
        <v>6</v>
      </c>
      <c r="R30" s="148" t="s">
        <v>6</v>
      </c>
      <c r="S30" s="148" t="s">
        <v>6</v>
      </c>
      <c r="T30" s="148" t="s">
        <v>6</v>
      </c>
      <c r="U30" s="148" t="s">
        <v>6</v>
      </c>
      <c r="V30" s="148" t="s">
        <v>6</v>
      </c>
      <c r="W30" s="148" t="s">
        <v>6</v>
      </c>
      <c r="X30" s="148" t="s">
        <v>6</v>
      </c>
      <c r="Y30" s="148" t="s">
        <v>6</v>
      </c>
      <c r="Z30" s="148" t="s">
        <v>6</v>
      </c>
      <c r="AA30" s="148" t="s">
        <v>6</v>
      </c>
      <c r="AB30" s="148" t="s">
        <v>6</v>
      </c>
      <c r="AC30" s="148" t="s">
        <v>6</v>
      </c>
      <c r="AD30" s="148" t="s">
        <v>6</v>
      </c>
      <c r="AE30" s="148" t="s">
        <v>6</v>
      </c>
      <c r="AF30" s="148" t="s">
        <v>6</v>
      </c>
      <c r="AG30" s="148" t="s">
        <v>6</v>
      </c>
      <c r="AH30" s="148" t="s">
        <v>6</v>
      </c>
      <c r="AI30" s="148" t="s">
        <v>6</v>
      </c>
      <c r="AJ30" s="148" t="s">
        <v>6</v>
      </c>
      <c r="AK30" s="148" t="s">
        <v>6</v>
      </c>
      <c r="AL30" s="148" t="s">
        <v>6</v>
      </c>
      <c r="AM30" s="148" t="s">
        <v>6</v>
      </c>
      <c r="AN30" s="148" t="s">
        <v>6</v>
      </c>
      <c r="AO30" s="148" t="s">
        <v>6</v>
      </c>
      <c r="AP30" s="148" t="s">
        <v>6</v>
      </c>
      <c r="AQ30" s="148" t="s">
        <v>6</v>
      </c>
      <c r="AR30" s="148" t="s">
        <v>6</v>
      </c>
      <c r="AS30" s="148" t="s">
        <v>6</v>
      </c>
      <c r="AT30" s="148" t="s">
        <v>6</v>
      </c>
      <c r="AU30" s="148" t="s">
        <v>6</v>
      </c>
      <c r="AV30" s="148" t="s">
        <v>6</v>
      </c>
      <c r="AW30" s="148" t="s">
        <v>6</v>
      </c>
      <c r="AX30" s="148" t="s">
        <v>6</v>
      </c>
      <c r="AY30" s="148" t="s">
        <v>6</v>
      </c>
      <c r="AZ30" s="148" t="s">
        <v>6</v>
      </c>
      <c r="BA30" s="148" t="s">
        <v>6</v>
      </c>
      <c r="BB30" s="148" t="s">
        <v>6</v>
      </c>
      <c r="BC30" s="148" t="s">
        <v>6</v>
      </c>
      <c r="BD30" s="148" t="s">
        <v>6</v>
      </c>
      <c r="BE30" s="148" t="s">
        <v>6</v>
      </c>
      <c r="BF30" s="148" t="s">
        <v>6</v>
      </c>
      <c r="BG30" s="148" t="s">
        <v>6</v>
      </c>
      <c r="BH30" s="148" t="s">
        <v>6</v>
      </c>
      <c r="BI30" s="148" t="s">
        <v>6</v>
      </c>
      <c r="BJ30" s="148" t="s">
        <v>6</v>
      </c>
      <c r="BK30" s="148" t="s">
        <v>6</v>
      </c>
      <c r="BL30" s="148" t="s">
        <v>6</v>
      </c>
      <c r="BM30" s="148" t="s">
        <v>6</v>
      </c>
      <c r="BN30" s="148" t="s">
        <v>6</v>
      </c>
      <c r="BO30" s="148" t="s">
        <v>6</v>
      </c>
      <c r="BP30" s="148" t="s">
        <v>6</v>
      </c>
      <c r="BQ30" s="148" t="s">
        <v>6</v>
      </c>
      <c r="BR30" s="148" t="s">
        <v>6</v>
      </c>
      <c r="BS30" s="148" t="s">
        <v>6</v>
      </c>
      <c r="BT30" s="148" t="s">
        <v>6</v>
      </c>
      <c r="BU30" s="148" t="s">
        <v>6</v>
      </c>
      <c r="BV30" s="148" t="s">
        <v>6</v>
      </c>
      <c r="BW30" s="148" t="s">
        <v>6</v>
      </c>
      <c r="BX30" s="148" t="s">
        <v>6</v>
      </c>
      <c r="BY30" s="148" t="s">
        <v>6</v>
      </c>
      <c r="BZ30" s="148" t="s">
        <v>6</v>
      </c>
      <c r="CA30" s="148" t="s">
        <v>6</v>
      </c>
      <c r="CB30" s="148" t="s">
        <v>6</v>
      </c>
      <c r="CC30" s="148" t="s">
        <v>6</v>
      </c>
      <c r="CD30" s="148" t="s">
        <v>6</v>
      </c>
      <c r="CE30" s="148" t="s">
        <v>6</v>
      </c>
      <c r="CF30" s="148" t="s">
        <v>6</v>
      </c>
      <c r="CG30" s="148" t="s">
        <v>6</v>
      </c>
      <c r="CH30" s="148" t="s">
        <v>6</v>
      </c>
      <c r="CI30" s="148" t="s">
        <v>6</v>
      </c>
      <c r="CJ30" s="148" t="s">
        <v>6</v>
      </c>
      <c r="CK30" s="148" t="s">
        <v>6</v>
      </c>
      <c r="CL30" s="148" t="s">
        <v>6</v>
      </c>
      <c r="CM30" s="148" t="s">
        <v>6</v>
      </c>
      <c r="CN30" s="148" t="s">
        <v>6</v>
      </c>
      <c r="CO30" s="148" t="s">
        <v>6</v>
      </c>
      <c r="CP30" s="148" t="s">
        <v>6</v>
      </c>
      <c r="CQ30" s="148" t="s">
        <v>6</v>
      </c>
      <c r="CR30" s="148" t="s">
        <v>6</v>
      </c>
      <c r="CS30" s="148" t="s">
        <v>6</v>
      </c>
      <c r="CT30" s="148" t="s">
        <v>6</v>
      </c>
      <c r="CU30" s="148" t="s">
        <v>6</v>
      </c>
      <c r="CV30" s="148" t="s">
        <v>6</v>
      </c>
      <c r="CW30" s="148" t="s">
        <v>6</v>
      </c>
      <c r="CX30" s="148" t="s">
        <v>6</v>
      </c>
      <c r="CY30" s="148" t="s">
        <v>6</v>
      </c>
      <c r="CZ30" s="148" t="s">
        <v>6</v>
      </c>
      <c r="DA30" s="148" t="s">
        <v>6</v>
      </c>
      <c r="DB30" s="148" t="s">
        <v>6</v>
      </c>
    </row>
    <row r="31" spans="1:106" s="172" customFormat="1" x14ac:dyDescent="0.3">
      <c r="A31" s="172" t="s">
        <v>787</v>
      </c>
      <c r="B31" s="173" t="s">
        <v>742</v>
      </c>
      <c r="C31" s="174" t="s">
        <v>750</v>
      </c>
      <c r="D31" s="175" t="s">
        <v>752</v>
      </c>
      <c r="E31" s="176" t="str">
        <f t="shared" si="4"/>
        <v>ChangeJob_JobClassifications_DefaultWeeklyHours</v>
      </c>
      <c r="F31" s="177" t="str">
        <f t="shared" si="5"/>
        <v>ChangeJob_JobClassifications_DefaultWeeklyHours2</v>
      </c>
      <c r="G31" s="178"/>
      <c r="H31" s="148" t="s">
        <v>6</v>
      </c>
      <c r="I31" s="148" t="s">
        <v>6</v>
      </c>
      <c r="J31" s="148" t="s">
        <v>6</v>
      </c>
      <c r="K31" s="148" t="s">
        <v>6</v>
      </c>
      <c r="L31" s="148" t="s">
        <v>6</v>
      </c>
      <c r="M31" s="148" t="s">
        <v>6</v>
      </c>
      <c r="N31" s="148" t="s">
        <v>6</v>
      </c>
      <c r="O31" s="148" t="s">
        <v>6</v>
      </c>
      <c r="P31" s="148" t="s">
        <v>6</v>
      </c>
      <c r="Q31" s="148" t="s">
        <v>6</v>
      </c>
      <c r="R31" s="148" t="s">
        <v>6</v>
      </c>
      <c r="S31" s="148" t="s">
        <v>6</v>
      </c>
      <c r="T31" s="148" t="s">
        <v>6</v>
      </c>
      <c r="U31" s="148" t="s">
        <v>6</v>
      </c>
      <c r="V31" s="148" t="s">
        <v>6</v>
      </c>
      <c r="W31" s="148" t="s">
        <v>6</v>
      </c>
      <c r="X31" s="148" t="s">
        <v>6</v>
      </c>
      <c r="Y31" s="148" t="s">
        <v>6</v>
      </c>
      <c r="Z31" s="148" t="s">
        <v>6</v>
      </c>
      <c r="AA31" s="148" t="s">
        <v>6</v>
      </c>
      <c r="AB31" s="148" t="s">
        <v>6</v>
      </c>
      <c r="AC31" s="148" t="s">
        <v>6</v>
      </c>
      <c r="AD31" s="148" t="s">
        <v>6</v>
      </c>
      <c r="AE31" s="148" t="s">
        <v>6</v>
      </c>
      <c r="AF31" s="148" t="s">
        <v>6</v>
      </c>
      <c r="AG31" s="148" t="s">
        <v>6</v>
      </c>
      <c r="AH31" s="148" t="s">
        <v>6</v>
      </c>
      <c r="AI31" s="148" t="s">
        <v>6</v>
      </c>
      <c r="AJ31" s="148" t="s">
        <v>6</v>
      </c>
      <c r="AK31" s="148" t="s">
        <v>6</v>
      </c>
      <c r="AL31" s="148" t="s">
        <v>6</v>
      </c>
      <c r="AM31" s="148" t="s">
        <v>6</v>
      </c>
      <c r="AN31" s="148" t="s">
        <v>6</v>
      </c>
      <c r="AO31" s="148" t="s">
        <v>6</v>
      </c>
      <c r="AP31" s="148" t="s">
        <v>6</v>
      </c>
      <c r="AQ31" s="148" t="s">
        <v>6</v>
      </c>
      <c r="AR31" s="148" t="s">
        <v>6</v>
      </c>
      <c r="AS31" s="148" t="s">
        <v>6</v>
      </c>
      <c r="AT31" s="148" t="s">
        <v>6</v>
      </c>
      <c r="AU31" s="148" t="s">
        <v>6</v>
      </c>
      <c r="AV31" s="148" t="s">
        <v>6</v>
      </c>
      <c r="AW31" s="148" t="s">
        <v>6</v>
      </c>
      <c r="AX31" s="148" t="s">
        <v>6</v>
      </c>
      <c r="AY31" s="148" t="s">
        <v>6</v>
      </c>
      <c r="AZ31" s="148" t="s">
        <v>6</v>
      </c>
      <c r="BA31" s="148" t="s">
        <v>6</v>
      </c>
      <c r="BB31" s="148" t="s">
        <v>6</v>
      </c>
      <c r="BC31" s="148" t="s">
        <v>6</v>
      </c>
      <c r="BD31" s="148" t="s">
        <v>6</v>
      </c>
      <c r="BE31" s="148" t="s">
        <v>6</v>
      </c>
      <c r="BF31" s="148" t="s">
        <v>6</v>
      </c>
      <c r="BG31" s="148" t="s">
        <v>6</v>
      </c>
      <c r="BH31" s="148" t="s">
        <v>6</v>
      </c>
      <c r="BI31" s="148" t="s">
        <v>6</v>
      </c>
      <c r="BJ31" s="148" t="s">
        <v>6</v>
      </c>
      <c r="BK31" s="148" t="s">
        <v>6</v>
      </c>
      <c r="BL31" s="148" t="s">
        <v>6</v>
      </c>
      <c r="BM31" s="148" t="s">
        <v>6</v>
      </c>
      <c r="BN31" s="148" t="s">
        <v>6</v>
      </c>
      <c r="BO31" s="148" t="s">
        <v>6</v>
      </c>
      <c r="BP31" s="148" t="s">
        <v>6</v>
      </c>
      <c r="BQ31" s="148" t="s">
        <v>6</v>
      </c>
      <c r="BR31" s="148" t="s">
        <v>6</v>
      </c>
      <c r="BS31" s="148" t="s">
        <v>6</v>
      </c>
      <c r="BT31" s="148" t="s">
        <v>6</v>
      </c>
      <c r="BU31" s="148" t="s">
        <v>6</v>
      </c>
      <c r="BV31" s="148" t="s">
        <v>6</v>
      </c>
      <c r="BW31" s="148" t="s">
        <v>6</v>
      </c>
      <c r="BX31" s="148" t="s">
        <v>6</v>
      </c>
      <c r="BY31" s="148" t="s">
        <v>6</v>
      </c>
      <c r="BZ31" s="148" t="s">
        <v>6</v>
      </c>
      <c r="CA31" s="148" t="s">
        <v>6</v>
      </c>
      <c r="CB31" s="148" t="s">
        <v>6</v>
      </c>
      <c r="CC31" s="148" t="s">
        <v>6</v>
      </c>
      <c r="CD31" s="148" t="s">
        <v>6</v>
      </c>
      <c r="CE31" s="148" t="s">
        <v>6</v>
      </c>
      <c r="CF31" s="148" t="s">
        <v>6</v>
      </c>
      <c r="CG31" s="148" t="s">
        <v>6</v>
      </c>
      <c r="CH31" s="148" t="s">
        <v>6</v>
      </c>
      <c r="CI31" s="148" t="s">
        <v>6</v>
      </c>
      <c r="CJ31" s="148" t="s">
        <v>6</v>
      </c>
      <c r="CK31" s="148" t="s">
        <v>6</v>
      </c>
      <c r="CL31" s="148" t="s">
        <v>6</v>
      </c>
      <c r="CM31" s="148" t="s">
        <v>6</v>
      </c>
      <c r="CN31" s="148" t="s">
        <v>6</v>
      </c>
      <c r="CO31" s="148" t="s">
        <v>6</v>
      </c>
      <c r="CP31" s="148" t="s">
        <v>6</v>
      </c>
      <c r="CQ31" s="148" t="s">
        <v>6</v>
      </c>
      <c r="CR31" s="148" t="s">
        <v>6</v>
      </c>
      <c r="CS31" s="148" t="s">
        <v>6</v>
      </c>
      <c r="CT31" s="148" t="s">
        <v>6</v>
      </c>
      <c r="CU31" s="148" t="s">
        <v>6</v>
      </c>
      <c r="CV31" s="148" t="s">
        <v>6</v>
      </c>
      <c r="CW31" s="148" t="s">
        <v>6</v>
      </c>
      <c r="CX31" s="148" t="s">
        <v>6</v>
      </c>
      <c r="CY31" s="148" t="s">
        <v>6</v>
      </c>
      <c r="CZ31" s="148" t="s">
        <v>6</v>
      </c>
      <c r="DA31" s="148" t="s">
        <v>6</v>
      </c>
      <c r="DB31" s="148" t="s">
        <v>6</v>
      </c>
    </row>
    <row r="32" spans="1:106" s="25" customFormat="1" x14ac:dyDescent="0.3">
      <c r="A32" s="25" t="s">
        <v>787</v>
      </c>
      <c r="B32" s="167" t="s">
        <v>742</v>
      </c>
      <c r="C32" s="168" t="s">
        <v>750</v>
      </c>
      <c r="D32" s="7" t="s">
        <v>104</v>
      </c>
      <c r="E32" s="169" t="str">
        <f t="shared" si="4"/>
        <v>ChangeJob_JobClassifications_EndEmploymentDate</v>
      </c>
      <c r="F32" s="170" t="str">
        <f t="shared" si="5"/>
        <v>ChangeJob_JobClassifications_EndEmploymentDate2</v>
      </c>
      <c r="G32" s="171"/>
      <c r="H32" s="196">
        <v>46022</v>
      </c>
      <c r="I32" s="196">
        <v>46022</v>
      </c>
      <c r="J32" s="196">
        <v>46022</v>
      </c>
      <c r="K32" s="196">
        <v>46022</v>
      </c>
      <c r="L32" s="196">
        <v>46022</v>
      </c>
      <c r="M32" s="196">
        <v>46022</v>
      </c>
      <c r="N32" s="196">
        <v>46022</v>
      </c>
      <c r="O32" s="196">
        <v>46022</v>
      </c>
      <c r="P32" s="196">
        <v>46022</v>
      </c>
      <c r="Q32" s="196">
        <v>46022</v>
      </c>
      <c r="R32" s="196">
        <v>46022</v>
      </c>
      <c r="S32" s="196">
        <v>46022</v>
      </c>
      <c r="T32" s="196">
        <v>46022</v>
      </c>
      <c r="U32" s="196">
        <v>46022</v>
      </c>
      <c r="V32" s="196">
        <v>46022</v>
      </c>
      <c r="W32" s="196">
        <v>46022</v>
      </c>
      <c r="X32" s="196">
        <v>46022</v>
      </c>
      <c r="Y32" s="196">
        <v>46022</v>
      </c>
      <c r="Z32" s="196">
        <v>46022</v>
      </c>
      <c r="AA32" s="196">
        <v>46022</v>
      </c>
      <c r="AB32" s="196">
        <v>46022</v>
      </c>
      <c r="AC32" s="196">
        <v>46022</v>
      </c>
      <c r="AD32" s="196">
        <v>46022</v>
      </c>
      <c r="AE32" s="196">
        <v>46022</v>
      </c>
      <c r="AF32" s="196">
        <v>46022</v>
      </c>
      <c r="AG32" s="196">
        <v>46022</v>
      </c>
      <c r="AH32" s="196">
        <v>46022</v>
      </c>
      <c r="AI32" s="196">
        <v>46022</v>
      </c>
      <c r="AJ32" s="196">
        <v>46022</v>
      </c>
      <c r="AK32" s="196">
        <v>46022</v>
      </c>
      <c r="AL32" s="196">
        <v>46022</v>
      </c>
      <c r="AM32" s="196">
        <v>46022</v>
      </c>
      <c r="AN32" s="196">
        <v>46022</v>
      </c>
      <c r="AO32" s="196">
        <v>46022</v>
      </c>
      <c r="AP32" s="196">
        <v>46022</v>
      </c>
      <c r="AQ32" s="196">
        <v>46022</v>
      </c>
      <c r="AR32" s="196">
        <v>46022</v>
      </c>
      <c r="AS32" s="196">
        <v>46022</v>
      </c>
      <c r="AT32" s="196">
        <v>46022</v>
      </c>
      <c r="AU32" s="196">
        <v>46022</v>
      </c>
      <c r="AV32" s="196">
        <v>46022</v>
      </c>
      <c r="AW32" s="196">
        <v>46022</v>
      </c>
      <c r="AX32" s="196">
        <v>46022</v>
      </c>
      <c r="AY32" s="196">
        <v>46022</v>
      </c>
      <c r="AZ32" s="196">
        <v>46022</v>
      </c>
      <c r="BA32" s="196">
        <v>46022</v>
      </c>
      <c r="BB32" s="196">
        <v>46022</v>
      </c>
      <c r="BC32" s="196">
        <v>46022</v>
      </c>
      <c r="BD32" s="196">
        <v>46022</v>
      </c>
      <c r="BE32" s="196">
        <v>46022</v>
      </c>
      <c r="BF32" s="196">
        <v>46022</v>
      </c>
      <c r="BG32" s="196">
        <v>46022</v>
      </c>
      <c r="BH32" s="196">
        <v>46022</v>
      </c>
      <c r="BI32" s="196">
        <v>46022</v>
      </c>
      <c r="BJ32" s="196">
        <v>46022</v>
      </c>
      <c r="BK32" s="196">
        <v>46022</v>
      </c>
      <c r="BL32" s="196">
        <v>46022</v>
      </c>
      <c r="BM32" s="196">
        <v>46022</v>
      </c>
      <c r="BN32" s="196">
        <v>46022</v>
      </c>
      <c r="BO32" s="196">
        <v>46022</v>
      </c>
      <c r="BP32" s="196">
        <v>46022</v>
      </c>
      <c r="BQ32" s="196">
        <v>46022</v>
      </c>
      <c r="BR32" s="196">
        <v>46022</v>
      </c>
      <c r="BS32" s="196">
        <v>46022</v>
      </c>
      <c r="BT32" s="196">
        <v>46022</v>
      </c>
      <c r="BU32" s="196">
        <v>46022</v>
      </c>
      <c r="BV32" s="196">
        <v>46022</v>
      </c>
      <c r="BW32" s="196">
        <v>46022</v>
      </c>
      <c r="BX32" s="196">
        <v>46022</v>
      </c>
      <c r="BY32" s="196">
        <v>46022</v>
      </c>
      <c r="BZ32" s="196">
        <v>46022</v>
      </c>
      <c r="CA32" s="196">
        <v>46022</v>
      </c>
      <c r="CB32" s="196">
        <v>46022</v>
      </c>
      <c r="CC32" s="196">
        <v>46022</v>
      </c>
      <c r="CD32" s="196">
        <v>46022</v>
      </c>
      <c r="CE32" s="196">
        <v>46022</v>
      </c>
      <c r="CF32" s="196">
        <v>46022</v>
      </c>
      <c r="CG32" s="196">
        <v>46022</v>
      </c>
      <c r="CH32" s="196">
        <v>46022</v>
      </c>
      <c r="CI32" s="196">
        <v>46022</v>
      </c>
      <c r="CJ32" s="196">
        <v>46022</v>
      </c>
      <c r="CK32" s="196">
        <v>46022</v>
      </c>
      <c r="CL32" s="196">
        <v>46022</v>
      </c>
      <c r="CM32" s="196">
        <v>46022</v>
      </c>
      <c r="CN32" s="196">
        <v>46022</v>
      </c>
      <c r="CO32" s="196">
        <v>46022</v>
      </c>
      <c r="CP32" s="196">
        <v>46022</v>
      </c>
      <c r="CQ32" s="196">
        <v>46022</v>
      </c>
      <c r="CR32" s="196">
        <v>46022</v>
      </c>
      <c r="CS32" s="196">
        <v>46022</v>
      </c>
      <c r="CT32" s="196">
        <v>46022</v>
      </c>
      <c r="CU32" s="196">
        <v>46022</v>
      </c>
      <c r="CV32" s="196">
        <v>46022</v>
      </c>
      <c r="CW32" s="196">
        <v>46022</v>
      </c>
      <c r="CX32" s="196">
        <v>46022</v>
      </c>
      <c r="CY32" s="196">
        <v>46022</v>
      </c>
      <c r="CZ32" s="196">
        <v>46022</v>
      </c>
      <c r="DA32" s="196">
        <v>46022</v>
      </c>
      <c r="DB32" s="196">
        <v>46022</v>
      </c>
    </row>
    <row r="33" spans="1:106" x14ac:dyDescent="0.3">
      <c r="A33" t="s">
        <v>787</v>
      </c>
      <c r="B33" s="10" t="s">
        <v>742</v>
      </c>
      <c r="C33" s="43" t="s">
        <v>750</v>
      </c>
      <c r="D33" s="162" t="s">
        <v>768</v>
      </c>
      <c r="E33" s="126" t="str">
        <f t="shared" si="4"/>
        <v>ChangeJob_JobClassifications_AssignmentType</v>
      </c>
      <c r="F33" s="38" t="str">
        <f t="shared" si="5"/>
        <v>ChangeJob_JobClassifications_AssignmentType2</v>
      </c>
      <c r="G33" s="142"/>
      <c r="H33" s="148" t="s">
        <v>6</v>
      </c>
      <c r="I33" s="148" t="s">
        <v>6</v>
      </c>
      <c r="J33" s="148" t="s">
        <v>6</v>
      </c>
      <c r="K33" s="148" t="s">
        <v>6</v>
      </c>
      <c r="L33" s="148" t="s">
        <v>6</v>
      </c>
      <c r="M33" s="148" t="s">
        <v>6</v>
      </c>
      <c r="N33" s="148" t="s">
        <v>6</v>
      </c>
      <c r="O33" s="148" t="s">
        <v>6</v>
      </c>
      <c r="P33" s="148" t="s">
        <v>6</v>
      </c>
      <c r="Q33" s="148" t="s">
        <v>6</v>
      </c>
      <c r="R33" s="148" t="s">
        <v>6</v>
      </c>
      <c r="S33" s="148" t="s">
        <v>6</v>
      </c>
      <c r="T33" s="148" t="s">
        <v>6</v>
      </c>
      <c r="U33" s="148" t="s">
        <v>6</v>
      </c>
      <c r="V33" s="148" t="s">
        <v>6</v>
      </c>
      <c r="W33" s="148" t="s">
        <v>6</v>
      </c>
      <c r="X33" s="148" t="s">
        <v>6</v>
      </c>
      <c r="Y33" s="148" t="s">
        <v>6</v>
      </c>
      <c r="Z33" s="148" t="s">
        <v>6</v>
      </c>
      <c r="AA33" s="148" t="s">
        <v>6</v>
      </c>
      <c r="AB33" s="148" t="s">
        <v>6</v>
      </c>
      <c r="AC33" s="148" t="s">
        <v>6</v>
      </c>
      <c r="AD33" s="148" t="s">
        <v>6</v>
      </c>
      <c r="AE33" s="148" t="s">
        <v>6</v>
      </c>
      <c r="AF33" s="148" t="s">
        <v>6</v>
      </c>
      <c r="AG33" s="148" t="s">
        <v>6</v>
      </c>
      <c r="AH33" s="148" t="s">
        <v>6</v>
      </c>
      <c r="AI33" s="148" t="s">
        <v>6</v>
      </c>
      <c r="AJ33" s="148" t="s">
        <v>6</v>
      </c>
      <c r="AK33" s="148" t="s">
        <v>6</v>
      </c>
      <c r="AL33" s="148" t="s">
        <v>6</v>
      </c>
      <c r="AM33" s="148" t="s">
        <v>6</v>
      </c>
      <c r="AN33" s="148" t="s">
        <v>6</v>
      </c>
      <c r="AO33" s="148" t="s">
        <v>6</v>
      </c>
      <c r="AP33" s="148" t="s">
        <v>6</v>
      </c>
      <c r="AQ33" s="148" t="s">
        <v>6</v>
      </c>
      <c r="AR33" s="148" t="s">
        <v>6</v>
      </c>
      <c r="AS33" s="148" t="s">
        <v>6</v>
      </c>
      <c r="AT33" s="148" t="s">
        <v>6</v>
      </c>
      <c r="AU33" s="148" t="s">
        <v>6</v>
      </c>
      <c r="AV33" s="148" t="s">
        <v>6</v>
      </c>
      <c r="AW33" s="148" t="s">
        <v>6</v>
      </c>
      <c r="AX33" s="148" t="s">
        <v>6</v>
      </c>
      <c r="AY33" s="148" t="s">
        <v>6</v>
      </c>
      <c r="AZ33" s="148" t="s">
        <v>6</v>
      </c>
      <c r="BA33" s="148" t="s">
        <v>6</v>
      </c>
      <c r="BB33" s="148" t="s">
        <v>6</v>
      </c>
      <c r="BC33" s="148" t="s">
        <v>6</v>
      </c>
      <c r="BD33" s="148" t="s">
        <v>6</v>
      </c>
      <c r="BE33" s="148" t="s">
        <v>6</v>
      </c>
      <c r="BF33" s="148" t="s">
        <v>6</v>
      </c>
      <c r="BG33" s="148" t="s">
        <v>6</v>
      </c>
      <c r="BH33" s="148" t="s">
        <v>6</v>
      </c>
      <c r="BI33" s="148" t="s">
        <v>6</v>
      </c>
      <c r="BJ33" s="148" t="s">
        <v>6</v>
      </c>
      <c r="BK33" s="148" t="s">
        <v>6</v>
      </c>
      <c r="BL33" s="148" t="s">
        <v>6</v>
      </c>
      <c r="BM33" s="148" t="s">
        <v>6</v>
      </c>
      <c r="BN33" s="148" t="s">
        <v>6</v>
      </c>
      <c r="BO33" s="148" t="s">
        <v>6</v>
      </c>
      <c r="BP33" s="148" t="s">
        <v>6</v>
      </c>
      <c r="BQ33" s="148" t="s">
        <v>6</v>
      </c>
      <c r="BR33" s="148" t="s">
        <v>6</v>
      </c>
      <c r="BS33" s="148" t="s">
        <v>6</v>
      </c>
      <c r="BT33" s="148" t="s">
        <v>6</v>
      </c>
      <c r="BU33" s="148" t="s">
        <v>6</v>
      </c>
      <c r="BV33" s="148" t="s">
        <v>6</v>
      </c>
      <c r="BW33" s="148" t="s">
        <v>6</v>
      </c>
      <c r="BX33" s="148" t="s">
        <v>6</v>
      </c>
      <c r="BY33" s="148" t="s">
        <v>6</v>
      </c>
      <c r="BZ33" s="148" t="s">
        <v>6</v>
      </c>
      <c r="CA33" s="148" t="s">
        <v>6</v>
      </c>
      <c r="CB33" s="148" t="s">
        <v>6</v>
      </c>
      <c r="CC33" s="148" t="s">
        <v>6</v>
      </c>
      <c r="CD33" s="148" t="s">
        <v>6</v>
      </c>
      <c r="CE33" s="148" t="s">
        <v>6</v>
      </c>
      <c r="CF33" s="148" t="s">
        <v>6</v>
      </c>
      <c r="CG33" s="148" t="s">
        <v>6</v>
      </c>
      <c r="CH33" s="148" t="s">
        <v>6</v>
      </c>
      <c r="CI33" s="148" t="s">
        <v>6</v>
      </c>
      <c r="CJ33" s="148" t="s">
        <v>6</v>
      </c>
      <c r="CK33" s="148" t="s">
        <v>6</v>
      </c>
      <c r="CL33" s="148" t="s">
        <v>6</v>
      </c>
      <c r="CM33" s="148" t="s">
        <v>6</v>
      </c>
      <c r="CN33" s="148" t="s">
        <v>6</v>
      </c>
      <c r="CO33" s="148" t="s">
        <v>6</v>
      </c>
      <c r="CP33" s="148" t="s">
        <v>6</v>
      </c>
      <c r="CQ33" s="148" t="s">
        <v>6</v>
      </c>
      <c r="CR33" s="148" t="s">
        <v>6</v>
      </c>
      <c r="CS33" s="148" t="s">
        <v>6</v>
      </c>
      <c r="CT33" s="148" t="s">
        <v>6</v>
      </c>
      <c r="CU33" s="148" t="s">
        <v>6</v>
      </c>
      <c r="CV33" s="148" t="s">
        <v>6</v>
      </c>
      <c r="CW33" s="148" t="s">
        <v>6</v>
      </c>
      <c r="CX33" s="148" t="s">
        <v>6</v>
      </c>
      <c r="CY33" s="148" t="s">
        <v>6</v>
      </c>
      <c r="CZ33" s="148" t="s">
        <v>6</v>
      </c>
      <c r="DA33" s="148" t="s">
        <v>6</v>
      </c>
      <c r="DB33" s="148" t="s">
        <v>6</v>
      </c>
    </row>
    <row r="34" spans="1:106" x14ac:dyDescent="0.3">
      <c r="A34" t="s">
        <v>787</v>
      </c>
      <c r="B34" s="10" t="s">
        <v>742</v>
      </c>
      <c r="C34" s="43" t="s">
        <v>750</v>
      </c>
      <c r="D34" s="162" t="s">
        <v>769</v>
      </c>
      <c r="E34" s="126" t="str">
        <f t="shared" ref="E34" si="14">SUBSTITUTE(B34," ","") &amp; "_" &amp; SUBSTITUTE(IF(C34="N/A","",C34&amp; "_")," ","")  &amp; SUBSTITUTE(SUBSTITUTE(D34," ",""),"/","")</f>
        <v>ChangeJob_JobClassifications_FirstDayofWork</v>
      </c>
      <c r="F34" s="38" t="str">
        <f t="shared" ref="F34" si="15">E34&amp;2</f>
        <v>ChangeJob_JobClassifications_FirstDayofWork2</v>
      </c>
      <c r="G34" s="142"/>
      <c r="H34" s="148" t="s">
        <v>6</v>
      </c>
      <c r="I34" s="148" t="s">
        <v>6</v>
      </c>
      <c r="J34" s="148" t="s">
        <v>6</v>
      </c>
      <c r="K34" s="148" t="s">
        <v>6</v>
      </c>
      <c r="L34" s="148" t="s">
        <v>6</v>
      </c>
      <c r="M34" s="148" t="s">
        <v>6</v>
      </c>
      <c r="N34" s="148" t="s">
        <v>6</v>
      </c>
      <c r="O34" s="148" t="s">
        <v>6</v>
      </c>
      <c r="P34" s="148" t="s">
        <v>6</v>
      </c>
      <c r="Q34" s="148" t="s">
        <v>6</v>
      </c>
      <c r="R34" s="148" t="s">
        <v>6</v>
      </c>
      <c r="S34" s="148" t="s">
        <v>6</v>
      </c>
      <c r="T34" s="148" t="s">
        <v>6</v>
      </c>
      <c r="U34" s="148" t="s">
        <v>6</v>
      </c>
      <c r="V34" s="148" t="s">
        <v>6</v>
      </c>
      <c r="W34" s="148" t="s">
        <v>6</v>
      </c>
      <c r="X34" s="148" t="s">
        <v>6</v>
      </c>
      <c r="Y34" s="148" t="s">
        <v>6</v>
      </c>
      <c r="Z34" s="148" t="s">
        <v>6</v>
      </c>
      <c r="AA34" s="148" t="s">
        <v>6</v>
      </c>
      <c r="AB34" s="148" t="s">
        <v>6</v>
      </c>
      <c r="AC34" s="148" t="s">
        <v>6</v>
      </c>
      <c r="AD34" s="148" t="s">
        <v>6</v>
      </c>
      <c r="AE34" s="148" t="s">
        <v>6</v>
      </c>
      <c r="AF34" s="148" t="s">
        <v>6</v>
      </c>
      <c r="AG34" s="148" t="s">
        <v>6</v>
      </c>
      <c r="AH34" s="148" t="s">
        <v>6</v>
      </c>
      <c r="AI34" s="148" t="s">
        <v>6</v>
      </c>
      <c r="AJ34" s="148" t="s">
        <v>6</v>
      </c>
      <c r="AK34" s="148" t="s">
        <v>6</v>
      </c>
      <c r="AL34" s="148" t="s">
        <v>6</v>
      </c>
      <c r="AM34" s="148" t="s">
        <v>6</v>
      </c>
      <c r="AN34" s="148" t="s">
        <v>6</v>
      </c>
      <c r="AO34" s="148" t="s">
        <v>6</v>
      </c>
      <c r="AP34" s="148" t="s">
        <v>6</v>
      </c>
      <c r="AQ34" s="148" t="s">
        <v>6</v>
      </c>
      <c r="AR34" s="148" t="s">
        <v>6</v>
      </c>
      <c r="AS34" s="148" t="s">
        <v>6</v>
      </c>
      <c r="AT34" s="148" t="s">
        <v>6</v>
      </c>
      <c r="AU34" s="148" t="s">
        <v>6</v>
      </c>
      <c r="AV34" s="148" t="s">
        <v>6</v>
      </c>
      <c r="AW34" s="148" t="s">
        <v>6</v>
      </c>
      <c r="AX34" s="148" t="s">
        <v>6</v>
      </c>
      <c r="AY34" s="148" t="s">
        <v>6</v>
      </c>
      <c r="AZ34" s="148" t="s">
        <v>6</v>
      </c>
      <c r="BA34" s="148" t="s">
        <v>6</v>
      </c>
      <c r="BB34" s="148" t="s">
        <v>6</v>
      </c>
      <c r="BC34" s="148" t="s">
        <v>6</v>
      </c>
      <c r="BD34" s="148" t="s">
        <v>6</v>
      </c>
      <c r="BE34" s="148" t="s">
        <v>6</v>
      </c>
      <c r="BF34" s="148" t="s">
        <v>6</v>
      </c>
      <c r="BG34" s="148" t="s">
        <v>6</v>
      </c>
      <c r="BH34" s="148" t="s">
        <v>6</v>
      </c>
      <c r="BI34" s="148" t="s">
        <v>6</v>
      </c>
      <c r="BJ34" s="148" t="s">
        <v>6</v>
      </c>
      <c r="BK34" s="148" t="s">
        <v>6</v>
      </c>
      <c r="BL34" s="148" t="s">
        <v>6</v>
      </c>
      <c r="BM34" s="148" t="s">
        <v>6</v>
      </c>
      <c r="BN34" s="148" t="s">
        <v>6</v>
      </c>
      <c r="BO34" s="148" t="s">
        <v>6</v>
      </c>
      <c r="BP34" s="148" t="s">
        <v>6</v>
      </c>
      <c r="BQ34" s="148" t="s">
        <v>6</v>
      </c>
      <c r="BR34" s="148" t="s">
        <v>6</v>
      </c>
      <c r="BS34" s="148" t="s">
        <v>6</v>
      </c>
      <c r="BT34" s="148" t="s">
        <v>6</v>
      </c>
      <c r="BU34" s="148" t="s">
        <v>6</v>
      </c>
      <c r="BV34" s="148" t="s">
        <v>6</v>
      </c>
      <c r="BW34" s="148" t="s">
        <v>6</v>
      </c>
      <c r="BX34" s="148" t="s">
        <v>6</v>
      </c>
      <c r="BY34" s="148" t="s">
        <v>6</v>
      </c>
      <c r="BZ34" s="148" t="s">
        <v>6</v>
      </c>
      <c r="CA34" s="148" t="s">
        <v>6</v>
      </c>
      <c r="CB34" s="148" t="s">
        <v>6</v>
      </c>
      <c r="CC34" s="148" t="s">
        <v>6</v>
      </c>
      <c r="CD34" s="148" t="s">
        <v>6</v>
      </c>
      <c r="CE34" s="148" t="s">
        <v>6</v>
      </c>
      <c r="CF34" s="148" t="s">
        <v>6</v>
      </c>
      <c r="CG34" s="148" t="s">
        <v>6</v>
      </c>
      <c r="CH34" s="148" t="s">
        <v>6</v>
      </c>
      <c r="CI34" s="148" t="s">
        <v>6</v>
      </c>
      <c r="CJ34" s="148" t="s">
        <v>6</v>
      </c>
      <c r="CK34" s="148" t="s">
        <v>6</v>
      </c>
      <c r="CL34" s="148" t="s">
        <v>6</v>
      </c>
      <c r="CM34" s="148" t="s">
        <v>6</v>
      </c>
      <c r="CN34" s="148" t="s">
        <v>6</v>
      </c>
      <c r="CO34" s="148" t="s">
        <v>6</v>
      </c>
      <c r="CP34" s="148" t="s">
        <v>6</v>
      </c>
      <c r="CQ34" s="148" t="s">
        <v>6</v>
      </c>
      <c r="CR34" s="148" t="s">
        <v>6</v>
      </c>
      <c r="CS34" s="148" t="s">
        <v>6</v>
      </c>
      <c r="CT34" s="148" t="s">
        <v>6</v>
      </c>
      <c r="CU34" s="148" t="s">
        <v>6</v>
      </c>
      <c r="CV34" s="148" t="s">
        <v>6</v>
      </c>
      <c r="CW34" s="148" t="s">
        <v>6</v>
      </c>
      <c r="CX34" s="148" t="s">
        <v>6</v>
      </c>
      <c r="CY34" s="148" t="s">
        <v>6</v>
      </c>
      <c r="CZ34" s="148" t="s">
        <v>6</v>
      </c>
      <c r="DA34" s="148" t="s">
        <v>6</v>
      </c>
      <c r="DB34" s="148" t="s">
        <v>6</v>
      </c>
    </row>
    <row r="35" spans="1:106" ht="27.6" x14ac:dyDescent="0.3">
      <c r="A35" t="s">
        <v>787</v>
      </c>
      <c r="B35" s="10" t="s">
        <v>742</v>
      </c>
      <c r="C35" s="43" t="s">
        <v>753</v>
      </c>
      <c r="D35" s="162" t="s">
        <v>754</v>
      </c>
      <c r="E35" s="126" t="str">
        <f t="shared" si="4"/>
        <v>ChangeJob_Company_CostCentre</v>
      </c>
      <c r="F35" s="38" t="str">
        <f t="shared" si="5"/>
        <v>ChangeJob_Company_CostCentre2</v>
      </c>
      <c r="G35" s="143" t="s">
        <v>773</v>
      </c>
      <c r="H35" s="148" t="s">
        <v>6</v>
      </c>
      <c r="I35" s="148" t="s">
        <v>6</v>
      </c>
      <c r="J35" s="148" t="s">
        <v>6</v>
      </c>
      <c r="K35" s="148" t="s">
        <v>6</v>
      </c>
      <c r="L35" s="148" t="s">
        <v>6</v>
      </c>
      <c r="M35" s="148" t="s">
        <v>6</v>
      </c>
      <c r="N35" s="148" t="s">
        <v>6</v>
      </c>
      <c r="O35" s="148" t="s">
        <v>6</v>
      </c>
      <c r="P35" s="148" t="s">
        <v>6</v>
      </c>
      <c r="Q35" s="148" t="s">
        <v>6</v>
      </c>
      <c r="R35" s="148" t="s">
        <v>6</v>
      </c>
      <c r="S35" s="148" t="s">
        <v>6</v>
      </c>
      <c r="T35" s="148" t="s">
        <v>6</v>
      </c>
      <c r="U35" s="148" t="s">
        <v>6</v>
      </c>
      <c r="V35" s="148" t="s">
        <v>6</v>
      </c>
      <c r="W35" s="148" t="s">
        <v>6</v>
      </c>
      <c r="X35" s="148" t="s">
        <v>6</v>
      </c>
      <c r="Y35" s="148" t="s">
        <v>6</v>
      </c>
      <c r="Z35" s="148" t="s">
        <v>6</v>
      </c>
      <c r="AA35" s="148" t="s">
        <v>6</v>
      </c>
      <c r="AB35" s="148" t="s">
        <v>6</v>
      </c>
      <c r="AC35" s="148" t="s">
        <v>6</v>
      </c>
      <c r="AD35" s="148" t="s">
        <v>6</v>
      </c>
      <c r="AE35" s="148" t="s">
        <v>6</v>
      </c>
      <c r="AF35" s="148" t="s">
        <v>6</v>
      </c>
      <c r="AG35" s="148" t="s">
        <v>6</v>
      </c>
      <c r="AH35" s="148" t="s">
        <v>6</v>
      </c>
      <c r="AI35" s="148" t="s">
        <v>6</v>
      </c>
      <c r="AJ35" s="148" t="s">
        <v>6</v>
      </c>
      <c r="AK35" s="148" t="s">
        <v>6</v>
      </c>
      <c r="AL35" s="148" t="s">
        <v>6</v>
      </c>
      <c r="AM35" s="148" t="s">
        <v>6</v>
      </c>
      <c r="AN35" s="148" t="s">
        <v>6</v>
      </c>
      <c r="AO35" s="148" t="s">
        <v>6</v>
      </c>
      <c r="AP35" s="148" t="s">
        <v>6</v>
      </c>
      <c r="AQ35" s="148" t="s">
        <v>6</v>
      </c>
      <c r="AR35" s="148" t="s">
        <v>6</v>
      </c>
      <c r="AS35" s="148" t="s">
        <v>6</v>
      </c>
      <c r="AT35" s="148" t="s">
        <v>6</v>
      </c>
      <c r="AU35" s="148" t="s">
        <v>6</v>
      </c>
      <c r="AV35" s="148" t="s">
        <v>6</v>
      </c>
      <c r="AW35" s="148" t="s">
        <v>6</v>
      </c>
      <c r="AX35" s="148" t="s">
        <v>6</v>
      </c>
      <c r="AY35" s="148" t="s">
        <v>6</v>
      </c>
      <c r="AZ35" s="148" t="s">
        <v>6</v>
      </c>
      <c r="BA35" s="148" t="s">
        <v>6</v>
      </c>
      <c r="BB35" s="148" t="s">
        <v>6</v>
      </c>
      <c r="BC35" s="148" t="s">
        <v>6</v>
      </c>
      <c r="BD35" s="148" t="s">
        <v>6</v>
      </c>
      <c r="BE35" s="148" t="s">
        <v>6</v>
      </c>
      <c r="BF35" s="148" t="s">
        <v>6</v>
      </c>
      <c r="BG35" s="148" t="s">
        <v>6</v>
      </c>
      <c r="BH35" s="148" t="s">
        <v>6</v>
      </c>
      <c r="BI35" s="148" t="s">
        <v>6</v>
      </c>
      <c r="BJ35" s="148" t="s">
        <v>6</v>
      </c>
      <c r="BK35" s="148" t="s">
        <v>6</v>
      </c>
      <c r="BL35" s="148" t="s">
        <v>6</v>
      </c>
      <c r="BM35" s="148" t="s">
        <v>6</v>
      </c>
      <c r="BN35" s="148" t="s">
        <v>6</v>
      </c>
      <c r="BO35" s="148" t="s">
        <v>6</v>
      </c>
      <c r="BP35" s="148" t="s">
        <v>6</v>
      </c>
      <c r="BQ35" s="148" t="s">
        <v>6</v>
      </c>
      <c r="BR35" s="148" t="s">
        <v>6</v>
      </c>
      <c r="BS35" s="148" t="s">
        <v>6</v>
      </c>
      <c r="BT35" s="148" t="s">
        <v>6</v>
      </c>
      <c r="BU35" s="148" t="s">
        <v>6</v>
      </c>
      <c r="BV35" s="148" t="s">
        <v>6</v>
      </c>
      <c r="BW35" s="148" t="s">
        <v>6</v>
      </c>
      <c r="BX35" s="148" t="s">
        <v>6</v>
      </c>
      <c r="BY35" s="148" t="s">
        <v>6</v>
      </c>
      <c r="BZ35" s="148" t="s">
        <v>6</v>
      </c>
      <c r="CA35" s="148" t="s">
        <v>6</v>
      </c>
      <c r="CB35" s="148" t="s">
        <v>6</v>
      </c>
      <c r="CC35" s="148" t="s">
        <v>6</v>
      </c>
      <c r="CD35" s="148" t="s">
        <v>6</v>
      </c>
      <c r="CE35" s="148" t="s">
        <v>6</v>
      </c>
      <c r="CF35" s="148" t="s">
        <v>6</v>
      </c>
      <c r="CG35" s="148" t="s">
        <v>6</v>
      </c>
      <c r="CH35" s="148" t="s">
        <v>6</v>
      </c>
      <c r="CI35" s="148" t="s">
        <v>6</v>
      </c>
      <c r="CJ35" s="148" t="s">
        <v>6</v>
      </c>
      <c r="CK35" s="148" t="s">
        <v>6</v>
      </c>
      <c r="CL35" s="148" t="s">
        <v>6</v>
      </c>
      <c r="CM35" s="148" t="s">
        <v>6</v>
      </c>
      <c r="CN35" s="148" t="s">
        <v>6</v>
      </c>
      <c r="CO35" s="148" t="s">
        <v>6</v>
      </c>
      <c r="CP35" s="148" t="s">
        <v>6</v>
      </c>
      <c r="CQ35" s="148" t="s">
        <v>6</v>
      </c>
      <c r="CR35" s="148" t="s">
        <v>6</v>
      </c>
      <c r="CS35" s="148" t="s">
        <v>6</v>
      </c>
      <c r="CT35" s="148" t="s">
        <v>6</v>
      </c>
      <c r="CU35" s="148" t="s">
        <v>6</v>
      </c>
      <c r="CV35" s="148" t="s">
        <v>6</v>
      </c>
      <c r="CW35" s="148" t="s">
        <v>6</v>
      </c>
      <c r="CX35" s="148" t="s">
        <v>6</v>
      </c>
      <c r="CY35" s="148" t="s">
        <v>6</v>
      </c>
      <c r="CZ35" s="148" t="s">
        <v>6</v>
      </c>
      <c r="DA35" s="148" t="s">
        <v>6</v>
      </c>
      <c r="DB35" s="148" t="s">
        <v>6</v>
      </c>
    </row>
    <row r="36" spans="1:106" ht="41.4" x14ac:dyDescent="0.3">
      <c r="A36" t="s">
        <v>787</v>
      </c>
      <c r="B36" s="10" t="s">
        <v>742</v>
      </c>
      <c r="C36" s="43" t="s">
        <v>753</v>
      </c>
      <c r="D36" s="162" t="s">
        <v>755</v>
      </c>
      <c r="E36" s="126" t="str">
        <f t="shared" si="4"/>
        <v>ChangeJob_Company_Department</v>
      </c>
      <c r="F36" s="38" t="str">
        <f t="shared" si="5"/>
        <v>ChangeJob_Company_Department2</v>
      </c>
      <c r="G36" s="143" t="s">
        <v>774</v>
      </c>
      <c r="H36" s="148" t="s">
        <v>6</v>
      </c>
      <c r="I36" s="148" t="s">
        <v>6</v>
      </c>
      <c r="J36" s="148" t="s">
        <v>6</v>
      </c>
      <c r="K36" s="148" t="s">
        <v>6</v>
      </c>
      <c r="L36" s="148" t="s">
        <v>6</v>
      </c>
      <c r="M36" s="148" t="s">
        <v>6</v>
      </c>
      <c r="N36" s="148" t="s">
        <v>6</v>
      </c>
      <c r="O36" s="148" t="s">
        <v>6</v>
      </c>
      <c r="P36" s="148" t="s">
        <v>6</v>
      </c>
      <c r="Q36" s="148" t="s">
        <v>6</v>
      </c>
      <c r="R36" s="148" t="s">
        <v>6</v>
      </c>
      <c r="S36" s="148" t="s">
        <v>6</v>
      </c>
      <c r="T36" s="148" t="s">
        <v>6</v>
      </c>
      <c r="U36" s="148" t="s">
        <v>6</v>
      </c>
      <c r="V36" s="148" t="s">
        <v>6</v>
      </c>
      <c r="W36" s="148" t="s">
        <v>6</v>
      </c>
      <c r="X36" s="148" t="s">
        <v>6</v>
      </c>
      <c r="Y36" s="148" t="s">
        <v>6</v>
      </c>
      <c r="Z36" s="148" t="s">
        <v>6</v>
      </c>
      <c r="AA36" s="148" t="s">
        <v>6</v>
      </c>
      <c r="AB36" s="148" t="s">
        <v>6</v>
      </c>
      <c r="AC36" s="148" t="s">
        <v>6</v>
      </c>
      <c r="AD36" s="148" t="s">
        <v>6</v>
      </c>
      <c r="AE36" s="148" t="s">
        <v>6</v>
      </c>
      <c r="AF36" s="148" t="s">
        <v>6</v>
      </c>
      <c r="AG36" s="148" t="s">
        <v>6</v>
      </c>
      <c r="AH36" s="148" t="s">
        <v>6</v>
      </c>
      <c r="AI36" s="148" t="s">
        <v>6</v>
      </c>
      <c r="AJ36" s="148" t="s">
        <v>6</v>
      </c>
      <c r="AK36" s="148" t="s">
        <v>6</v>
      </c>
      <c r="AL36" s="148" t="s">
        <v>6</v>
      </c>
      <c r="AM36" s="148" t="s">
        <v>6</v>
      </c>
      <c r="AN36" s="148" t="s">
        <v>6</v>
      </c>
      <c r="AO36" s="148" t="s">
        <v>6</v>
      </c>
      <c r="AP36" s="148" t="s">
        <v>6</v>
      </c>
      <c r="AQ36" s="148" t="s">
        <v>6</v>
      </c>
      <c r="AR36" s="148" t="s">
        <v>6</v>
      </c>
      <c r="AS36" s="148" t="s">
        <v>6</v>
      </c>
      <c r="AT36" s="148" t="s">
        <v>6</v>
      </c>
      <c r="AU36" s="148" t="s">
        <v>6</v>
      </c>
      <c r="AV36" s="148" t="s">
        <v>6</v>
      </c>
      <c r="AW36" s="148" t="s">
        <v>6</v>
      </c>
      <c r="AX36" s="148" t="s">
        <v>6</v>
      </c>
      <c r="AY36" s="148" t="s">
        <v>6</v>
      </c>
      <c r="AZ36" s="148" t="s">
        <v>6</v>
      </c>
      <c r="BA36" s="148" t="s">
        <v>6</v>
      </c>
      <c r="BB36" s="148" t="s">
        <v>6</v>
      </c>
      <c r="BC36" s="148" t="s">
        <v>6</v>
      </c>
      <c r="BD36" s="148" t="s">
        <v>6</v>
      </c>
      <c r="BE36" s="148" t="s">
        <v>6</v>
      </c>
      <c r="BF36" s="148" t="s">
        <v>6</v>
      </c>
      <c r="BG36" s="148" t="s">
        <v>6</v>
      </c>
      <c r="BH36" s="148" t="s">
        <v>6</v>
      </c>
      <c r="BI36" s="148" t="s">
        <v>6</v>
      </c>
      <c r="BJ36" s="148" t="s">
        <v>6</v>
      </c>
      <c r="BK36" s="148" t="s">
        <v>6</v>
      </c>
      <c r="BL36" s="148" t="s">
        <v>6</v>
      </c>
      <c r="BM36" s="148" t="s">
        <v>6</v>
      </c>
      <c r="BN36" s="148" t="s">
        <v>6</v>
      </c>
      <c r="BO36" s="148" t="s">
        <v>6</v>
      </c>
      <c r="BP36" s="148" t="s">
        <v>6</v>
      </c>
      <c r="BQ36" s="148" t="s">
        <v>6</v>
      </c>
      <c r="BR36" s="148" t="s">
        <v>6</v>
      </c>
      <c r="BS36" s="148" t="s">
        <v>6</v>
      </c>
      <c r="BT36" s="148" t="s">
        <v>6</v>
      </c>
      <c r="BU36" s="148" t="s">
        <v>6</v>
      </c>
      <c r="BV36" s="148" t="s">
        <v>6</v>
      </c>
      <c r="BW36" s="148" t="s">
        <v>6</v>
      </c>
      <c r="BX36" s="148" t="s">
        <v>6</v>
      </c>
      <c r="BY36" s="148" t="s">
        <v>6</v>
      </c>
      <c r="BZ36" s="148" t="s">
        <v>6</v>
      </c>
      <c r="CA36" s="148" t="s">
        <v>6</v>
      </c>
      <c r="CB36" s="148" t="s">
        <v>6</v>
      </c>
      <c r="CC36" s="148" t="s">
        <v>6</v>
      </c>
      <c r="CD36" s="148" t="s">
        <v>6</v>
      </c>
      <c r="CE36" s="148" t="s">
        <v>6</v>
      </c>
      <c r="CF36" s="148" t="s">
        <v>6</v>
      </c>
      <c r="CG36" s="148" t="s">
        <v>6</v>
      </c>
      <c r="CH36" s="148" t="s">
        <v>6</v>
      </c>
      <c r="CI36" s="148" t="s">
        <v>6</v>
      </c>
      <c r="CJ36" s="148" t="s">
        <v>6</v>
      </c>
      <c r="CK36" s="148" t="s">
        <v>6</v>
      </c>
      <c r="CL36" s="148" t="s">
        <v>6</v>
      </c>
      <c r="CM36" s="148" t="s">
        <v>6</v>
      </c>
      <c r="CN36" s="148" t="s">
        <v>6</v>
      </c>
      <c r="CO36" s="148" t="s">
        <v>6</v>
      </c>
      <c r="CP36" s="148" t="s">
        <v>6</v>
      </c>
      <c r="CQ36" s="148" t="s">
        <v>6</v>
      </c>
      <c r="CR36" s="148" t="s">
        <v>6</v>
      </c>
      <c r="CS36" s="148" t="s">
        <v>6</v>
      </c>
      <c r="CT36" s="148" t="s">
        <v>6</v>
      </c>
      <c r="CU36" s="148" t="s">
        <v>6</v>
      </c>
      <c r="CV36" s="148" t="s">
        <v>6</v>
      </c>
      <c r="CW36" s="148" t="s">
        <v>6</v>
      </c>
      <c r="CX36" s="148" t="s">
        <v>6</v>
      </c>
      <c r="CY36" s="148" t="s">
        <v>6</v>
      </c>
      <c r="CZ36" s="148" t="s">
        <v>6</v>
      </c>
      <c r="DA36" s="148" t="s">
        <v>6</v>
      </c>
      <c r="DB36" s="148" t="s">
        <v>6</v>
      </c>
    </row>
    <row r="37" spans="1:106" x14ac:dyDescent="0.3">
      <c r="A37" t="s">
        <v>787</v>
      </c>
      <c r="B37" s="10" t="s">
        <v>722</v>
      </c>
      <c r="C37" s="43" t="s">
        <v>6</v>
      </c>
      <c r="D37" s="162" t="s">
        <v>756</v>
      </c>
      <c r="E37" s="126" t="str">
        <f t="shared" si="4"/>
        <v>AddProbationPeriod_StartDate</v>
      </c>
      <c r="F37" s="38" t="str">
        <f t="shared" si="5"/>
        <v>AddProbationPeriod_StartDate2</v>
      </c>
      <c r="G37" s="141"/>
      <c r="H37" s="148" t="s">
        <v>6</v>
      </c>
      <c r="I37" s="148" t="s">
        <v>6</v>
      </c>
      <c r="J37" s="148" t="s">
        <v>6</v>
      </c>
      <c r="K37" s="148" t="s">
        <v>6</v>
      </c>
      <c r="L37" s="148" t="s">
        <v>6</v>
      </c>
      <c r="M37" s="148" t="s">
        <v>6</v>
      </c>
      <c r="N37" s="148" t="s">
        <v>6</v>
      </c>
      <c r="O37" s="148" t="s">
        <v>6</v>
      </c>
      <c r="P37" s="148" t="s">
        <v>6</v>
      </c>
      <c r="Q37" s="148" t="s">
        <v>6</v>
      </c>
      <c r="R37" s="148" t="s">
        <v>6</v>
      </c>
      <c r="S37" s="148" t="s">
        <v>6</v>
      </c>
      <c r="T37" s="148" t="s">
        <v>6</v>
      </c>
      <c r="U37" s="148" t="s">
        <v>6</v>
      </c>
      <c r="V37" s="148" t="s">
        <v>6</v>
      </c>
      <c r="W37" s="148" t="s">
        <v>6</v>
      </c>
      <c r="X37" s="148" t="s">
        <v>6</v>
      </c>
      <c r="Y37" s="148" t="s">
        <v>6</v>
      </c>
      <c r="Z37" s="148" t="s">
        <v>6</v>
      </c>
      <c r="AA37" s="148" t="s">
        <v>6</v>
      </c>
      <c r="AB37" s="148" t="s">
        <v>6</v>
      </c>
      <c r="AC37" s="148" t="s">
        <v>6</v>
      </c>
      <c r="AD37" s="148" t="s">
        <v>6</v>
      </c>
      <c r="AE37" s="148" t="s">
        <v>6</v>
      </c>
      <c r="AF37" s="148" t="s">
        <v>6</v>
      </c>
      <c r="AG37" s="148" t="s">
        <v>6</v>
      </c>
      <c r="AH37" s="148" t="s">
        <v>6</v>
      </c>
      <c r="AI37" s="148" t="s">
        <v>6</v>
      </c>
      <c r="AJ37" s="148" t="s">
        <v>6</v>
      </c>
      <c r="AK37" s="148" t="s">
        <v>6</v>
      </c>
      <c r="AL37" s="148" t="s">
        <v>6</v>
      </c>
      <c r="AM37" s="148" t="s">
        <v>6</v>
      </c>
      <c r="AN37" s="148" t="s">
        <v>6</v>
      </c>
      <c r="AO37" s="148" t="s">
        <v>6</v>
      </c>
      <c r="AP37" s="148" t="s">
        <v>6</v>
      </c>
      <c r="AQ37" s="148" t="s">
        <v>6</v>
      </c>
      <c r="AR37" s="148" t="s">
        <v>6</v>
      </c>
      <c r="AS37" s="148" t="s">
        <v>6</v>
      </c>
      <c r="AT37" s="148" t="s">
        <v>6</v>
      </c>
      <c r="AU37" s="148" t="s">
        <v>6</v>
      </c>
      <c r="AV37" s="148" t="s">
        <v>6</v>
      </c>
      <c r="AW37" s="148" t="s">
        <v>6</v>
      </c>
      <c r="AX37" s="148" t="s">
        <v>6</v>
      </c>
      <c r="AY37" s="148" t="s">
        <v>6</v>
      </c>
      <c r="AZ37" s="148" t="s">
        <v>6</v>
      </c>
      <c r="BA37" s="148" t="s">
        <v>6</v>
      </c>
      <c r="BB37" s="148" t="s">
        <v>6</v>
      </c>
      <c r="BC37" s="148" t="s">
        <v>6</v>
      </c>
      <c r="BD37" s="148" t="s">
        <v>6</v>
      </c>
      <c r="BE37" s="148" t="s">
        <v>6</v>
      </c>
      <c r="BF37" s="148" t="s">
        <v>6</v>
      </c>
      <c r="BG37" s="148" t="s">
        <v>6</v>
      </c>
      <c r="BH37" s="148" t="s">
        <v>6</v>
      </c>
      <c r="BI37" s="148" t="s">
        <v>6</v>
      </c>
      <c r="BJ37" s="148" t="s">
        <v>6</v>
      </c>
      <c r="BK37" s="148" t="s">
        <v>6</v>
      </c>
      <c r="BL37" s="148" t="s">
        <v>6</v>
      </c>
      <c r="BM37" s="148" t="s">
        <v>6</v>
      </c>
      <c r="BN37" s="148" t="s">
        <v>6</v>
      </c>
      <c r="BO37" s="148" t="s">
        <v>6</v>
      </c>
      <c r="BP37" s="148" t="s">
        <v>6</v>
      </c>
      <c r="BQ37" s="148" t="s">
        <v>6</v>
      </c>
      <c r="BR37" s="148" t="s">
        <v>6</v>
      </c>
      <c r="BS37" s="148" t="s">
        <v>6</v>
      </c>
      <c r="BT37" s="148" t="s">
        <v>6</v>
      </c>
      <c r="BU37" s="148" t="s">
        <v>6</v>
      </c>
      <c r="BV37" s="148" t="s">
        <v>6</v>
      </c>
      <c r="BW37" s="148" t="s">
        <v>6</v>
      </c>
      <c r="BX37" s="148" t="s">
        <v>6</v>
      </c>
      <c r="BY37" s="148" t="s">
        <v>6</v>
      </c>
      <c r="BZ37" s="148" t="s">
        <v>6</v>
      </c>
      <c r="CA37" s="148" t="s">
        <v>6</v>
      </c>
      <c r="CB37" s="148" t="s">
        <v>6</v>
      </c>
      <c r="CC37" s="148" t="s">
        <v>6</v>
      </c>
      <c r="CD37" s="148" t="s">
        <v>6</v>
      </c>
      <c r="CE37" s="148" t="s">
        <v>6</v>
      </c>
      <c r="CF37" s="148" t="s">
        <v>6</v>
      </c>
      <c r="CG37" s="148" t="s">
        <v>6</v>
      </c>
      <c r="CH37" s="148" t="s">
        <v>6</v>
      </c>
      <c r="CI37" s="148" t="s">
        <v>6</v>
      </c>
      <c r="CJ37" s="148" t="s">
        <v>6</v>
      </c>
      <c r="CK37" s="148" t="s">
        <v>6</v>
      </c>
      <c r="CL37" s="148" t="s">
        <v>6</v>
      </c>
      <c r="CM37" s="148" t="s">
        <v>6</v>
      </c>
      <c r="CN37" s="148" t="s">
        <v>6</v>
      </c>
      <c r="CO37" s="148" t="s">
        <v>6</v>
      </c>
      <c r="CP37" s="148" t="s">
        <v>6</v>
      </c>
      <c r="CQ37" s="148" t="s">
        <v>6</v>
      </c>
      <c r="CR37" s="148" t="s">
        <v>6</v>
      </c>
      <c r="CS37" s="148" t="s">
        <v>6</v>
      </c>
      <c r="CT37" s="148" t="s">
        <v>6</v>
      </c>
      <c r="CU37" s="148" t="s">
        <v>6</v>
      </c>
      <c r="CV37" s="148" t="s">
        <v>6</v>
      </c>
      <c r="CW37" s="148" t="s">
        <v>6</v>
      </c>
      <c r="CX37" s="148" t="s">
        <v>6</v>
      </c>
      <c r="CY37" s="148" t="s">
        <v>6</v>
      </c>
      <c r="CZ37" s="148" t="s">
        <v>6</v>
      </c>
      <c r="DA37" s="148" t="s">
        <v>6</v>
      </c>
      <c r="DB37" s="148" t="s">
        <v>6</v>
      </c>
    </row>
    <row r="38" spans="1:106" x14ac:dyDescent="0.3">
      <c r="A38" t="s">
        <v>787</v>
      </c>
      <c r="B38" s="10" t="s">
        <v>722</v>
      </c>
      <c r="C38" s="43" t="s">
        <v>6</v>
      </c>
      <c r="D38" s="162" t="s">
        <v>757</v>
      </c>
      <c r="E38" s="126" t="str">
        <f t="shared" si="4"/>
        <v>AddProbationPeriod_EndDate</v>
      </c>
      <c r="F38" s="38" t="str">
        <f t="shared" si="5"/>
        <v>AddProbationPeriod_EndDate2</v>
      </c>
      <c r="G38" s="141" t="s">
        <v>782</v>
      </c>
      <c r="H38" s="148" t="s">
        <v>6</v>
      </c>
      <c r="I38" s="148" t="s">
        <v>6</v>
      </c>
      <c r="J38" s="148" t="s">
        <v>6</v>
      </c>
      <c r="K38" s="148" t="s">
        <v>6</v>
      </c>
      <c r="L38" s="148" t="s">
        <v>6</v>
      </c>
      <c r="M38" s="148" t="s">
        <v>6</v>
      </c>
      <c r="N38" s="148" t="s">
        <v>6</v>
      </c>
      <c r="O38" s="148" t="s">
        <v>6</v>
      </c>
      <c r="P38" s="148" t="s">
        <v>6</v>
      </c>
      <c r="Q38" s="148" t="s">
        <v>6</v>
      </c>
      <c r="R38" s="148" t="s">
        <v>6</v>
      </c>
      <c r="S38" s="148" t="s">
        <v>6</v>
      </c>
      <c r="T38" s="148" t="s">
        <v>6</v>
      </c>
      <c r="U38" s="148" t="s">
        <v>6</v>
      </c>
      <c r="V38" s="148" t="s">
        <v>6</v>
      </c>
      <c r="W38" s="148" t="s">
        <v>6</v>
      </c>
      <c r="X38" s="148" t="s">
        <v>6</v>
      </c>
      <c r="Y38" s="148" t="s">
        <v>6</v>
      </c>
      <c r="Z38" s="148" t="s">
        <v>6</v>
      </c>
      <c r="AA38" s="148" t="s">
        <v>6</v>
      </c>
      <c r="AB38" s="148" t="s">
        <v>6</v>
      </c>
      <c r="AC38" s="148" t="s">
        <v>6</v>
      </c>
      <c r="AD38" s="148" t="s">
        <v>6</v>
      </c>
      <c r="AE38" s="148" t="s">
        <v>6</v>
      </c>
      <c r="AF38" s="148" t="s">
        <v>6</v>
      </c>
      <c r="AG38" s="148" t="s">
        <v>6</v>
      </c>
      <c r="AH38" s="148" t="s">
        <v>6</v>
      </c>
      <c r="AI38" s="148" t="s">
        <v>6</v>
      </c>
      <c r="AJ38" s="148" t="s">
        <v>6</v>
      </c>
      <c r="AK38" s="148" t="s">
        <v>6</v>
      </c>
      <c r="AL38" s="148" t="s">
        <v>6</v>
      </c>
      <c r="AM38" s="148" t="s">
        <v>6</v>
      </c>
      <c r="AN38" s="148" t="s">
        <v>6</v>
      </c>
      <c r="AO38" s="148" t="s">
        <v>6</v>
      </c>
      <c r="AP38" s="148" t="s">
        <v>6</v>
      </c>
      <c r="AQ38" s="148" t="s">
        <v>6</v>
      </c>
      <c r="AR38" s="148" t="s">
        <v>6</v>
      </c>
      <c r="AS38" s="148" t="s">
        <v>6</v>
      </c>
      <c r="AT38" s="148" t="s">
        <v>6</v>
      </c>
      <c r="AU38" s="148" t="s">
        <v>6</v>
      </c>
      <c r="AV38" s="148" t="s">
        <v>6</v>
      </c>
      <c r="AW38" s="148" t="s">
        <v>6</v>
      </c>
      <c r="AX38" s="148" t="s">
        <v>6</v>
      </c>
      <c r="AY38" s="148" t="s">
        <v>6</v>
      </c>
      <c r="AZ38" s="148" t="s">
        <v>6</v>
      </c>
      <c r="BA38" s="148" t="s">
        <v>6</v>
      </c>
      <c r="BB38" s="148" t="s">
        <v>6</v>
      </c>
      <c r="BC38" s="148" t="s">
        <v>6</v>
      </c>
      <c r="BD38" s="148" t="s">
        <v>6</v>
      </c>
      <c r="BE38" s="148" t="s">
        <v>6</v>
      </c>
      <c r="BF38" s="148" t="s">
        <v>6</v>
      </c>
      <c r="BG38" s="148" t="s">
        <v>6</v>
      </c>
      <c r="BH38" s="148" t="s">
        <v>6</v>
      </c>
      <c r="BI38" s="148" t="s">
        <v>6</v>
      </c>
      <c r="BJ38" s="148" t="s">
        <v>6</v>
      </c>
      <c r="BK38" s="148" t="s">
        <v>6</v>
      </c>
      <c r="BL38" s="148" t="s">
        <v>6</v>
      </c>
      <c r="BM38" s="148" t="s">
        <v>6</v>
      </c>
      <c r="BN38" s="148" t="s">
        <v>6</v>
      </c>
      <c r="BO38" s="148" t="s">
        <v>6</v>
      </c>
      <c r="BP38" s="148" t="s">
        <v>6</v>
      </c>
      <c r="BQ38" s="148" t="s">
        <v>6</v>
      </c>
      <c r="BR38" s="148" t="s">
        <v>6</v>
      </c>
      <c r="BS38" s="148" t="s">
        <v>6</v>
      </c>
      <c r="BT38" s="148" t="s">
        <v>6</v>
      </c>
      <c r="BU38" s="148" t="s">
        <v>6</v>
      </c>
      <c r="BV38" s="148" t="s">
        <v>6</v>
      </c>
      <c r="BW38" s="148" t="s">
        <v>6</v>
      </c>
      <c r="BX38" s="148" t="s">
        <v>6</v>
      </c>
      <c r="BY38" s="148" t="s">
        <v>6</v>
      </c>
      <c r="BZ38" s="148" t="s">
        <v>6</v>
      </c>
      <c r="CA38" s="148" t="s">
        <v>6</v>
      </c>
      <c r="CB38" s="148" t="s">
        <v>6</v>
      </c>
      <c r="CC38" s="148" t="s">
        <v>6</v>
      </c>
      <c r="CD38" s="148" t="s">
        <v>6</v>
      </c>
      <c r="CE38" s="148" t="s">
        <v>6</v>
      </c>
      <c r="CF38" s="148" t="s">
        <v>6</v>
      </c>
      <c r="CG38" s="148" t="s">
        <v>6</v>
      </c>
      <c r="CH38" s="148" t="s">
        <v>6</v>
      </c>
      <c r="CI38" s="148" t="s">
        <v>6</v>
      </c>
      <c r="CJ38" s="148" t="s">
        <v>6</v>
      </c>
      <c r="CK38" s="148" t="s">
        <v>6</v>
      </c>
      <c r="CL38" s="148" t="s">
        <v>6</v>
      </c>
      <c r="CM38" s="148" t="s">
        <v>6</v>
      </c>
      <c r="CN38" s="148" t="s">
        <v>6</v>
      </c>
      <c r="CO38" s="148" t="s">
        <v>6</v>
      </c>
      <c r="CP38" s="148" t="s">
        <v>6</v>
      </c>
      <c r="CQ38" s="148" t="s">
        <v>6</v>
      </c>
      <c r="CR38" s="148" t="s">
        <v>6</v>
      </c>
      <c r="CS38" s="148" t="s">
        <v>6</v>
      </c>
      <c r="CT38" s="148" t="s">
        <v>6</v>
      </c>
      <c r="CU38" s="148" t="s">
        <v>6</v>
      </c>
      <c r="CV38" s="148" t="s">
        <v>6</v>
      </c>
      <c r="CW38" s="148" t="s">
        <v>6</v>
      </c>
      <c r="CX38" s="148" t="s">
        <v>6</v>
      </c>
      <c r="CY38" s="148" t="s">
        <v>6</v>
      </c>
      <c r="CZ38" s="148" t="s">
        <v>6</v>
      </c>
      <c r="DA38" s="148" t="s">
        <v>6</v>
      </c>
      <c r="DB38" s="148" t="s">
        <v>6</v>
      </c>
    </row>
    <row r="39" spans="1:106" x14ac:dyDescent="0.3">
      <c r="B39" s="10" t="s">
        <v>784</v>
      </c>
      <c r="C39" s="43" t="s">
        <v>6</v>
      </c>
      <c r="D39" s="162" t="s">
        <v>783</v>
      </c>
      <c r="E39" s="126" t="str">
        <f t="shared" ref="E39" si="16">SUBSTITUTE(B39," ","") &amp; "_" &amp; SUBSTITUTE(IF(C39="N/A","",C39&amp; "_")," ","")  &amp; SUBSTITUTE(SUBSTITUTE(D39," ",""),"/","")</f>
        <v>ProposeCompensationChange_Salary</v>
      </c>
      <c r="F39" s="38" t="str">
        <f t="shared" ref="F39" si="17">E39&amp;2</f>
        <v>ProposeCompensationChange_Salary2</v>
      </c>
      <c r="G39" s="141" t="s">
        <v>785</v>
      </c>
      <c r="H39" s="148" t="s">
        <v>6</v>
      </c>
      <c r="I39" s="148" t="s">
        <v>6</v>
      </c>
      <c r="J39" s="148" t="s">
        <v>6</v>
      </c>
      <c r="K39" s="148" t="s">
        <v>6</v>
      </c>
      <c r="L39" s="148" t="s">
        <v>6</v>
      </c>
      <c r="M39" s="148" t="s">
        <v>6</v>
      </c>
      <c r="N39" s="148" t="s">
        <v>6</v>
      </c>
      <c r="O39" s="148" t="s">
        <v>6</v>
      </c>
      <c r="P39" s="148" t="s">
        <v>6</v>
      </c>
      <c r="Q39" s="148" t="s">
        <v>6</v>
      </c>
      <c r="R39" s="148" t="s">
        <v>6</v>
      </c>
      <c r="S39" s="148" t="s">
        <v>6</v>
      </c>
      <c r="T39" s="148" t="s">
        <v>6</v>
      </c>
      <c r="U39" s="148" t="s">
        <v>6</v>
      </c>
      <c r="V39" s="148" t="s">
        <v>6</v>
      </c>
      <c r="W39" s="148" t="s">
        <v>6</v>
      </c>
      <c r="X39" s="148" t="s">
        <v>6</v>
      </c>
      <c r="Y39" s="148" t="s">
        <v>6</v>
      </c>
      <c r="Z39" s="148" t="s">
        <v>6</v>
      </c>
      <c r="AA39" s="148" t="s">
        <v>6</v>
      </c>
      <c r="AB39" s="148" t="s">
        <v>6</v>
      </c>
      <c r="AC39" s="148" t="s">
        <v>6</v>
      </c>
      <c r="AD39" s="148" t="s">
        <v>6</v>
      </c>
      <c r="AE39" s="148" t="s">
        <v>6</v>
      </c>
      <c r="AF39" s="148" t="s">
        <v>6</v>
      </c>
      <c r="AG39" s="148" t="s">
        <v>6</v>
      </c>
      <c r="AH39" s="148" t="s">
        <v>6</v>
      </c>
      <c r="AI39" s="148" t="s">
        <v>6</v>
      </c>
      <c r="AJ39" s="148" t="s">
        <v>6</v>
      </c>
      <c r="AK39" s="148" t="s">
        <v>6</v>
      </c>
      <c r="AL39" s="148" t="s">
        <v>6</v>
      </c>
      <c r="AM39" s="148" t="s">
        <v>6</v>
      </c>
      <c r="AN39" s="148" t="s">
        <v>6</v>
      </c>
      <c r="AO39" s="148" t="s">
        <v>6</v>
      </c>
      <c r="AP39" s="148" t="s">
        <v>6</v>
      </c>
      <c r="AQ39" s="148" t="s">
        <v>6</v>
      </c>
      <c r="AR39" s="148" t="s">
        <v>6</v>
      </c>
      <c r="AS39" s="148" t="s">
        <v>6</v>
      </c>
      <c r="AT39" s="148" t="s">
        <v>6</v>
      </c>
      <c r="AU39" s="148" t="s">
        <v>6</v>
      </c>
      <c r="AV39" s="148" t="s">
        <v>6</v>
      </c>
      <c r="AW39" s="148" t="s">
        <v>6</v>
      </c>
      <c r="AX39" s="148" t="s">
        <v>6</v>
      </c>
      <c r="AY39" s="148" t="s">
        <v>6</v>
      </c>
      <c r="AZ39" s="148" t="s">
        <v>6</v>
      </c>
      <c r="BA39" s="148" t="s">
        <v>6</v>
      </c>
      <c r="BB39" s="148" t="s">
        <v>6</v>
      </c>
      <c r="BC39" s="148" t="s">
        <v>6</v>
      </c>
      <c r="BD39" s="148" t="s">
        <v>6</v>
      </c>
      <c r="BE39" s="148" t="s">
        <v>6</v>
      </c>
      <c r="BF39" s="148" t="s">
        <v>6</v>
      </c>
      <c r="BG39" s="148" t="s">
        <v>6</v>
      </c>
      <c r="BH39" s="148" t="s">
        <v>6</v>
      </c>
      <c r="BI39" s="148" t="s">
        <v>6</v>
      </c>
      <c r="BJ39" s="148" t="s">
        <v>6</v>
      </c>
      <c r="BK39" s="148" t="s">
        <v>6</v>
      </c>
      <c r="BL39" s="148" t="s">
        <v>6</v>
      </c>
      <c r="BM39" s="148" t="s">
        <v>6</v>
      </c>
      <c r="BN39" s="148" t="s">
        <v>6</v>
      </c>
      <c r="BO39" s="148" t="s">
        <v>6</v>
      </c>
      <c r="BP39" s="148" t="s">
        <v>6</v>
      </c>
      <c r="BQ39" s="148" t="s">
        <v>6</v>
      </c>
      <c r="BR39" s="148" t="s">
        <v>6</v>
      </c>
      <c r="BS39" s="148" t="s">
        <v>6</v>
      </c>
      <c r="BT39" s="148" t="s">
        <v>6</v>
      </c>
      <c r="BU39" s="148" t="s">
        <v>6</v>
      </c>
      <c r="BV39" s="148" t="s">
        <v>6</v>
      </c>
      <c r="BW39" s="148" t="s">
        <v>6</v>
      </c>
      <c r="BX39" s="148" t="s">
        <v>6</v>
      </c>
      <c r="BY39" s="148" t="s">
        <v>6</v>
      </c>
      <c r="BZ39" s="148" t="s">
        <v>6</v>
      </c>
      <c r="CA39" s="148" t="s">
        <v>6</v>
      </c>
      <c r="CB39" s="148" t="s">
        <v>6</v>
      </c>
      <c r="CC39" s="148" t="s">
        <v>6</v>
      </c>
      <c r="CD39" s="148" t="s">
        <v>6</v>
      </c>
      <c r="CE39" s="148" t="s">
        <v>6</v>
      </c>
      <c r="CF39" s="148" t="s">
        <v>6</v>
      </c>
      <c r="CG39" s="148" t="s">
        <v>6</v>
      </c>
      <c r="CH39" s="148" t="s">
        <v>6</v>
      </c>
      <c r="CI39" s="148" t="s">
        <v>6</v>
      </c>
      <c r="CJ39" s="148" t="s">
        <v>6</v>
      </c>
      <c r="CK39" s="148" t="s">
        <v>6</v>
      </c>
      <c r="CL39" s="148" t="s">
        <v>6</v>
      </c>
      <c r="CM39" s="148" t="s">
        <v>6</v>
      </c>
      <c r="CN39" s="148" t="s">
        <v>6</v>
      </c>
      <c r="CO39" s="148" t="s">
        <v>6</v>
      </c>
      <c r="CP39" s="148" t="s">
        <v>6</v>
      </c>
      <c r="CQ39" s="148" t="s">
        <v>6</v>
      </c>
      <c r="CR39" s="148" t="s">
        <v>6</v>
      </c>
      <c r="CS39" s="148" t="s">
        <v>6</v>
      </c>
      <c r="CT39" s="148" t="s">
        <v>6</v>
      </c>
      <c r="CU39" s="148" t="s">
        <v>6</v>
      </c>
      <c r="CV39" s="148" t="s">
        <v>6</v>
      </c>
      <c r="CW39" s="148" t="s">
        <v>6</v>
      </c>
      <c r="CX39" s="148" t="s">
        <v>6</v>
      </c>
      <c r="CY39" s="148" t="s">
        <v>6</v>
      </c>
      <c r="CZ39" s="148" t="s">
        <v>6</v>
      </c>
      <c r="DA39" s="148" t="s">
        <v>6</v>
      </c>
      <c r="DB39" s="148" t="s">
        <v>6</v>
      </c>
    </row>
    <row r="40" spans="1:106" s="172" customFormat="1" x14ac:dyDescent="0.3">
      <c r="B40" s="188" t="s">
        <v>805</v>
      </c>
      <c r="C40" s="188" t="s">
        <v>6</v>
      </c>
      <c r="D40" s="195" t="s">
        <v>803</v>
      </c>
      <c r="E40" s="126" t="str">
        <f t="shared" ref="E40:E47" si="18">SUBSTITUTE(B40," ","") &amp; "_" &amp; SUBSTITUTE(IF(C40="N/A","",C40&amp; "_")," ","")  &amp; SUBSTITUTE(SUBSTITUTE(D40," ",""),"/","")</f>
        <v>ProposeCompensationHire_GradeProfile</v>
      </c>
      <c r="F40" s="38" t="str">
        <f t="shared" ref="F40:F47" si="19">E40&amp;2</f>
        <v>ProposeCompensationHire_GradeProfile2</v>
      </c>
      <c r="G40" s="141" t="s">
        <v>806</v>
      </c>
      <c r="H40" s="148" t="s">
        <v>6</v>
      </c>
      <c r="I40" s="148" t="s">
        <v>6</v>
      </c>
      <c r="J40" s="148" t="s">
        <v>6</v>
      </c>
      <c r="K40" s="148" t="s">
        <v>6</v>
      </c>
      <c r="L40" s="148" t="s">
        <v>6</v>
      </c>
      <c r="M40" s="148" t="s">
        <v>6</v>
      </c>
      <c r="N40" s="148" t="s">
        <v>6</v>
      </c>
      <c r="O40" s="148" t="s">
        <v>6</v>
      </c>
      <c r="P40" s="148" t="s">
        <v>6</v>
      </c>
      <c r="Q40" s="148" t="s">
        <v>6</v>
      </c>
      <c r="R40" s="148" t="s">
        <v>6</v>
      </c>
      <c r="S40" s="148" t="s">
        <v>6</v>
      </c>
      <c r="T40" s="148" t="s">
        <v>6</v>
      </c>
      <c r="U40" s="148" t="s">
        <v>6</v>
      </c>
      <c r="V40" s="148" t="s">
        <v>6</v>
      </c>
      <c r="W40" s="148" t="s">
        <v>6</v>
      </c>
      <c r="X40" s="148" t="s">
        <v>6</v>
      </c>
      <c r="Y40" s="148" t="s">
        <v>6</v>
      </c>
      <c r="Z40" s="148" t="s">
        <v>6</v>
      </c>
      <c r="AA40" s="148" t="s">
        <v>6</v>
      </c>
      <c r="AB40" s="148" t="s">
        <v>6</v>
      </c>
      <c r="AC40" s="148" t="s">
        <v>6</v>
      </c>
      <c r="AD40" s="148" t="s">
        <v>6</v>
      </c>
      <c r="AE40" s="148" t="s">
        <v>6</v>
      </c>
      <c r="AF40" s="148" t="s">
        <v>6</v>
      </c>
      <c r="AG40" s="148" t="s">
        <v>6</v>
      </c>
      <c r="AH40" s="148" t="s">
        <v>6</v>
      </c>
      <c r="AI40" s="148" t="s">
        <v>6</v>
      </c>
      <c r="AJ40" s="148" t="s">
        <v>6</v>
      </c>
      <c r="AK40" s="148" t="s">
        <v>6</v>
      </c>
      <c r="AL40" s="148" t="s">
        <v>6</v>
      </c>
      <c r="AM40" s="148" t="s">
        <v>6</v>
      </c>
      <c r="AN40" s="148" t="s">
        <v>6</v>
      </c>
      <c r="AO40" s="148" t="s">
        <v>6</v>
      </c>
      <c r="AP40" s="148" t="s">
        <v>6</v>
      </c>
      <c r="AQ40" s="148" t="s">
        <v>6</v>
      </c>
      <c r="AR40" s="148" t="s">
        <v>6</v>
      </c>
      <c r="AS40" s="148" t="s">
        <v>6</v>
      </c>
      <c r="AT40" s="148" t="s">
        <v>6</v>
      </c>
      <c r="AU40" s="148" t="s">
        <v>6</v>
      </c>
      <c r="AV40" s="148" t="s">
        <v>6</v>
      </c>
      <c r="AW40" s="148" t="s">
        <v>6</v>
      </c>
      <c r="AX40" s="148" t="s">
        <v>6</v>
      </c>
      <c r="AY40" s="148" t="s">
        <v>6</v>
      </c>
      <c r="AZ40" s="148" t="s">
        <v>6</v>
      </c>
      <c r="BA40" s="148" t="s">
        <v>6</v>
      </c>
      <c r="BB40" s="148" t="s">
        <v>6</v>
      </c>
      <c r="BC40" s="148" t="s">
        <v>6</v>
      </c>
      <c r="BD40" s="148" t="s">
        <v>6</v>
      </c>
      <c r="BE40" s="148" t="s">
        <v>6</v>
      </c>
      <c r="BF40" s="148" t="s">
        <v>6</v>
      </c>
      <c r="BG40" s="148" t="s">
        <v>6</v>
      </c>
      <c r="BH40" s="148" t="s">
        <v>6</v>
      </c>
      <c r="BI40" s="148" t="s">
        <v>6</v>
      </c>
      <c r="BJ40" s="148" t="s">
        <v>6</v>
      </c>
      <c r="BK40" s="148" t="s">
        <v>6</v>
      </c>
      <c r="BL40" s="148" t="s">
        <v>6</v>
      </c>
      <c r="BM40" s="148" t="s">
        <v>6</v>
      </c>
      <c r="BN40" s="148" t="s">
        <v>6</v>
      </c>
      <c r="BO40" s="148" t="s">
        <v>6</v>
      </c>
      <c r="BP40" s="148" t="s">
        <v>6</v>
      </c>
      <c r="BQ40" s="148" t="s">
        <v>6</v>
      </c>
      <c r="BR40" s="148" t="s">
        <v>6</v>
      </c>
      <c r="BS40" s="148" t="s">
        <v>6</v>
      </c>
      <c r="BT40" s="148" t="s">
        <v>6</v>
      </c>
      <c r="BU40" s="148" t="s">
        <v>6</v>
      </c>
      <c r="BV40" s="148" t="s">
        <v>6</v>
      </c>
      <c r="BW40" s="148" t="s">
        <v>6</v>
      </c>
      <c r="BX40" s="148" t="s">
        <v>6</v>
      </c>
      <c r="BY40" s="148" t="s">
        <v>6</v>
      </c>
      <c r="BZ40" s="148" t="s">
        <v>6</v>
      </c>
      <c r="CA40" s="148" t="s">
        <v>6</v>
      </c>
      <c r="CB40" s="148" t="s">
        <v>6</v>
      </c>
      <c r="CC40" s="148" t="s">
        <v>6</v>
      </c>
      <c r="CD40" s="148" t="s">
        <v>6</v>
      </c>
      <c r="CE40" s="148" t="s">
        <v>6</v>
      </c>
      <c r="CF40" s="148" t="s">
        <v>6</v>
      </c>
      <c r="CG40" s="148" t="s">
        <v>6</v>
      </c>
      <c r="CH40" s="148" t="s">
        <v>6</v>
      </c>
      <c r="CI40" s="148" t="s">
        <v>6</v>
      </c>
      <c r="CJ40" s="148" t="s">
        <v>6</v>
      </c>
      <c r="CK40" s="148" t="s">
        <v>6</v>
      </c>
      <c r="CL40" s="148" t="s">
        <v>6</v>
      </c>
      <c r="CM40" s="148" t="s">
        <v>6</v>
      </c>
      <c r="CN40" s="148" t="s">
        <v>6</v>
      </c>
      <c r="CO40" s="148" t="s">
        <v>6</v>
      </c>
      <c r="CP40" s="148" t="s">
        <v>6</v>
      </c>
      <c r="CQ40" s="148" t="s">
        <v>6</v>
      </c>
      <c r="CR40" s="148" t="s">
        <v>6</v>
      </c>
      <c r="CS40" s="148" t="s">
        <v>6</v>
      </c>
      <c r="CT40" s="148" t="s">
        <v>6</v>
      </c>
      <c r="CU40" s="148" t="s">
        <v>6</v>
      </c>
      <c r="CV40" s="148" t="s">
        <v>6</v>
      </c>
      <c r="CW40" s="148" t="s">
        <v>6</v>
      </c>
      <c r="CX40" s="148" t="s">
        <v>6</v>
      </c>
      <c r="CY40" s="148" t="s">
        <v>6</v>
      </c>
      <c r="CZ40" s="148" t="s">
        <v>6</v>
      </c>
      <c r="DA40" s="148" t="s">
        <v>6</v>
      </c>
      <c r="DB40" s="148" t="s">
        <v>6</v>
      </c>
    </row>
    <row r="41" spans="1:106" s="172" customFormat="1" x14ac:dyDescent="0.3">
      <c r="B41" s="188" t="s">
        <v>805</v>
      </c>
      <c r="C41" s="188" t="s">
        <v>6</v>
      </c>
      <c r="D41" s="195" t="s">
        <v>804</v>
      </c>
      <c r="E41" s="126" t="str">
        <f t="shared" si="18"/>
        <v>ProposeCompensationHire_Step</v>
      </c>
      <c r="F41" s="38" t="str">
        <f t="shared" si="19"/>
        <v>ProposeCompensationHire_Step2</v>
      </c>
      <c r="G41" s="141" t="s">
        <v>806</v>
      </c>
      <c r="H41" s="148" t="s">
        <v>6</v>
      </c>
      <c r="I41" s="148" t="s">
        <v>6</v>
      </c>
      <c r="J41" s="148" t="s">
        <v>6</v>
      </c>
      <c r="K41" s="148" t="s">
        <v>6</v>
      </c>
      <c r="L41" s="148" t="s">
        <v>6</v>
      </c>
      <c r="M41" s="148" t="s">
        <v>6</v>
      </c>
      <c r="N41" s="148" t="s">
        <v>6</v>
      </c>
      <c r="O41" s="148" t="s">
        <v>6</v>
      </c>
      <c r="P41" s="148" t="s">
        <v>6</v>
      </c>
      <c r="Q41" s="148" t="s">
        <v>6</v>
      </c>
      <c r="R41" s="148" t="s">
        <v>6</v>
      </c>
      <c r="S41" s="148" t="s">
        <v>6</v>
      </c>
      <c r="T41" s="148" t="s">
        <v>6</v>
      </c>
      <c r="U41" s="148" t="s">
        <v>6</v>
      </c>
      <c r="V41" s="148" t="s">
        <v>6</v>
      </c>
      <c r="W41" s="148" t="s">
        <v>6</v>
      </c>
      <c r="X41" s="148" t="s">
        <v>6</v>
      </c>
      <c r="Y41" s="148" t="s">
        <v>6</v>
      </c>
      <c r="Z41" s="148" t="s">
        <v>6</v>
      </c>
      <c r="AA41" s="148" t="s">
        <v>6</v>
      </c>
      <c r="AB41" s="148" t="s">
        <v>6</v>
      </c>
      <c r="AC41" s="148" t="s">
        <v>6</v>
      </c>
      <c r="AD41" s="148" t="s">
        <v>6</v>
      </c>
      <c r="AE41" s="148" t="s">
        <v>6</v>
      </c>
      <c r="AF41" s="148" t="s">
        <v>6</v>
      </c>
      <c r="AG41" s="148" t="s">
        <v>6</v>
      </c>
      <c r="AH41" s="148" t="s">
        <v>6</v>
      </c>
      <c r="AI41" s="148" t="s">
        <v>6</v>
      </c>
      <c r="AJ41" s="148" t="s">
        <v>6</v>
      </c>
      <c r="AK41" s="148" t="s">
        <v>6</v>
      </c>
      <c r="AL41" s="148" t="s">
        <v>6</v>
      </c>
      <c r="AM41" s="148" t="s">
        <v>6</v>
      </c>
      <c r="AN41" s="148" t="s">
        <v>6</v>
      </c>
      <c r="AO41" s="148" t="s">
        <v>6</v>
      </c>
      <c r="AP41" s="148" t="s">
        <v>6</v>
      </c>
      <c r="AQ41" s="148" t="s">
        <v>6</v>
      </c>
      <c r="AR41" s="148" t="s">
        <v>6</v>
      </c>
      <c r="AS41" s="148" t="s">
        <v>6</v>
      </c>
      <c r="AT41" s="148" t="s">
        <v>6</v>
      </c>
      <c r="AU41" s="148" t="s">
        <v>6</v>
      </c>
      <c r="AV41" s="148" t="s">
        <v>6</v>
      </c>
      <c r="AW41" s="148" t="s">
        <v>6</v>
      </c>
      <c r="AX41" s="148" t="s">
        <v>6</v>
      </c>
      <c r="AY41" s="148" t="s">
        <v>6</v>
      </c>
      <c r="AZ41" s="148" t="s">
        <v>6</v>
      </c>
      <c r="BA41" s="148" t="s">
        <v>6</v>
      </c>
      <c r="BB41" s="148" t="s">
        <v>6</v>
      </c>
      <c r="BC41" s="148" t="s">
        <v>6</v>
      </c>
      <c r="BD41" s="148" t="s">
        <v>6</v>
      </c>
      <c r="BE41" s="148" t="s">
        <v>6</v>
      </c>
      <c r="BF41" s="148" t="s">
        <v>6</v>
      </c>
      <c r="BG41" s="148" t="s">
        <v>6</v>
      </c>
      <c r="BH41" s="148" t="s">
        <v>6</v>
      </c>
      <c r="BI41" s="148" t="s">
        <v>6</v>
      </c>
      <c r="BJ41" s="148" t="s">
        <v>6</v>
      </c>
      <c r="BK41" s="148" t="s">
        <v>6</v>
      </c>
      <c r="BL41" s="148" t="s">
        <v>6</v>
      </c>
      <c r="BM41" s="148" t="s">
        <v>6</v>
      </c>
      <c r="BN41" s="148" t="s">
        <v>6</v>
      </c>
      <c r="BO41" s="148" t="s">
        <v>6</v>
      </c>
      <c r="BP41" s="148" t="s">
        <v>6</v>
      </c>
      <c r="BQ41" s="148" t="s">
        <v>6</v>
      </c>
      <c r="BR41" s="148" t="s">
        <v>6</v>
      </c>
      <c r="BS41" s="148" t="s">
        <v>6</v>
      </c>
      <c r="BT41" s="148" t="s">
        <v>6</v>
      </c>
      <c r="BU41" s="148" t="s">
        <v>6</v>
      </c>
      <c r="BV41" s="148" t="s">
        <v>6</v>
      </c>
      <c r="BW41" s="148" t="s">
        <v>6</v>
      </c>
      <c r="BX41" s="148" t="s">
        <v>6</v>
      </c>
      <c r="BY41" s="148" t="s">
        <v>6</v>
      </c>
      <c r="BZ41" s="148" t="s">
        <v>6</v>
      </c>
      <c r="CA41" s="148" t="s">
        <v>6</v>
      </c>
      <c r="CB41" s="148" t="s">
        <v>6</v>
      </c>
      <c r="CC41" s="148" t="s">
        <v>6</v>
      </c>
      <c r="CD41" s="148" t="s">
        <v>6</v>
      </c>
      <c r="CE41" s="148" t="s">
        <v>6</v>
      </c>
      <c r="CF41" s="148" t="s">
        <v>6</v>
      </c>
      <c r="CG41" s="148" t="s">
        <v>6</v>
      </c>
      <c r="CH41" s="148" t="s">
        <v>6</v>
      </c>
      <c r="CI41" s="148" t="s">
        <v>6</v>
      </c>
      <c r="CJ41" s="148" t="s">
        <v>6</v>
      </c>
      <c r="CK41" s="148" t="s">
        <v>6</v>
      </c>
      <c r="CL41" s="148" t="s">
        <v>6</v>
      </c>
      <c r="CM41" s="148" t="s">
        <v>6</v>
      </c>
      <c r="CN41" s="148" t="s">
        <v>6</v>
      </c>
      <c r="CO41" s="148" t="s">
        <v>6</v>
      </c>
      <c r="CP41" s="148" t="s">
        <v>6</v>
      </c>
      <c r="CQ41" s="148" t="s">
        <v>6</v>
      </c>
      <c r="CR41" s="148" t="s">
        <v>6</v>
      </c>
      <c r="CS41" s="148" t="s">
        <v>6</v>
      </c>
      <c r="CT41" s="148" t="s">
        <v>6</v>
      </c>
      <c r="CU41" s="148" t="s">
        <v>6</v>
      </c>
      <c r="CV41" s="148" t="s">
        <v>6</v>
      </c>
      <c r="CW41" s="148" t="s">
        <v>6</v>
      </c>
      <c r="CX41" s="148" t="s">
        <v>6</v>
      </c>
      <c r="CY41" s="148" t="s">
        <v>6</v>
      </c>
      <c r="CZ41" s="148" t="s">
        <v>6</v>
      </c>
      <c r="DA41" s="148" t="s">
        <v>6</v>
      </c>
      <c r="DB41" s="148" t="s">
        <v>6</v>
      </c>
    </row>
    <row r="42" spans="1:106" s="172" customFormat="1" hidden="1" x14ac:dyDescent="0.3">
      <c r="B42" s="188" t="s">
        <v>742</v>
      </c>
      <c r="C42" s="188" t="s">
        <v>807</v>
      </c>
      <c r="D42" s="195" t="s">
        <v>808</v>
      </c>
      <c r="E42" s="126" t="str">
        <f t="shared" si="18"/>
        <v>ChangeJob_AssignCollectiveAgreement_CollectiveAgreement</v>
      </c>
      <c r="F42" s="38" t="str">
        <f t="shared" si="19"/>
        <v>ChangeJob_AssignCollectiveAgreement_CollectiveAgreement2</v>
      </c>
      <c r="G42" s="141"/>
      <c r="H42" s="148" t="s">
        <v>6</v>
      </c>
      <c r="I42" s="148" t="s">
        <v>6</v>
      </c>
      <c r="J42" s="148" t="s">
        <v>6</v>
      </c>
      <c r="K42" s="148" t="s">
        <v>6</v>
      </c>
      <c r="L42" s="148" t="s">
        <v>6</v>
      </c>
      <c r="M42" s="148" t="s">
        <v>6</v>
      </c>
      <c r="N42" s="148" t="s">
        <v>6</v>
      </c>
      <c r="O42" s="148" t="s">
        <v>6</v>
      </c>
      <c r="P42" s="148" t="s">
        <v>6</v>
      </c>
      <c r="Q42" s="148" t="s">
        <v>6</v>
      </c>
      <c r="R42" s="148" t="s">
        <v>6</v>
      </c>
      <c r="S42" s="148" t="s">
        <v>6</v>
      </c>
      <c r="T42" s="148" t="s">
        <v>6</v>
      </c>
      <c r="U42" s="148" t="s">
        <v>6</v>
      </c>
      <c r="V42" s="148" t="s">
        <v>6</v>
      </c>
      <c r="W42" s="148" t="s">
        <v>6</v>
      </c>
      <c r="X42" s="148" t="s">
        <v>6</v>
      </c>
      <c r="Y42" s="148" t="s">
        <v>6</v>
      </c>
      <c r="Z42" s="148" t="s">
        <v>6</v>
      </c>
      <c r="AA42" s="148" t="s">
        <v>6</v>
      </c>
      <c r="AB42" s="148" t="s">
        <v>6</v>
      </c>
      <c r="AC42" s="148" t="s">
        <v>6</v>
      </c>
      <c r="AD42" s="148" t="s">
        <v>6</v>
      </c>
      <c r="AE42" s="148" t="s">
        <v>6</v>
      </c>
      <c r="AF42" s="148" t="s">
        <v>6</v>
      </c>
      <c r="AG42" s="148" t="s">
        <v>6</v>
      </c>
      <c r="AH42" s="148" t="s">
        <v>6</v>
      </c>
      <c r="AI42" s="148" t="s">
        <v>6</v>
      </c>
      <c r="AJ42" s="148" t="s">
        <v>6</v>
      </c>
      <c r="AK42" s="148" t="s">
        <v>6</v>
      </c>
      <c r="AL42" s="148" t="s">
        <v>6</v>
      </c>
      <c r="AM42" s="148" t="s">
        <v>6</v>
      </c>
      <c r="AN42" s="148" t="s">
        <v>6</v>
      </c>
      <c r="AO42" s="148" t="s">
        <v>6</v>
      </c>
      <c r="AP42" s="148" t="s">
        <v>6</v>
      </c>
      <c r="AQ42" s="148" t="s">
        <v>6</v>
      </c>
      <c r="AR42" s="148" t="s">
        <v>6</v>
      </c>
      <c r="AS42" s="148" t="s">
        <v>6</v>
      </c>
      <c r="AT42" s="148" t="s">
        <v>6</v>
      </c>
      <c r="AU42" s="148" t="s">
        <v>6</v>
      </c>
      <c r="AV42" s="148" t="s">
        <v>6</v>
      </c>
      <c r="AW42" s="148" t="s">
        <v>6</v>
      </c>
      <c r="AX42" s="148" t="s">
        <v>6</v>
      </c>
      <c r="AY42" s="148" t="s">
        <v>6</v>
      </c>
      <c r="AZ42" s="148" t="s">
        <v>6</v>
      </c>
      <c r="BA42" s="148" t="s">
        <v>6</v>
      </c>
      <c r="BB42" s="148" t="s">
        <v>6</v>
      </c>
      <c r="BC42" s="148" t="s">
        <v>6</v>
      </c>
      <c r="BD42" s="148" t="s">
        <v>6</v>
      </c>
      <c r="BE42" s="148" t="s">
        <v>6</v>
      </c>
      <c r="BF42" s="148" t="s">
        <v>6</v>
      </c>
      <c r="BG42" s="148" t="s">
        <v>6</v>
      </c>
      <c r="BH42" s="148" t="s">
        <v>6</v>
      </c>
      <c r="BI42" s="148" t="s">
        <v>6</v>
      </c>
      <c r="BJ42" s="148" t="s">
        <v>6</v>
      </c>
      <c r="BK42" s="148" t="s">
        <v>6</v>
      </c>
      <c r="BL42" s="148" t="s">
        <v>6</v>
      </c>
      <c r="BM42" s="148" t="s">
        <v>6</v>
      </c>
      <c r="BN42" s="148" t="s">
        <v>6</v>
      </c>
      <c r="BO42" s="148" t="s">
        <v>6</v>
      </c>
      <c r="BP42" s="148" t="s">
        <v>6</v>
      </c>
      <c r="BQ42" s="148" t="s">
        <v>6</v>
      </c>
      <c r="BR42" s="148" t="s">
        <v>6</v>
      </c>
      <c r="BS42" s="148" t="s">
        <v>6</v>
      </c>
      <c r="BT42" s="148" t="s">
        <v>6</v>
      </c>
      <c r="BU42" s="148" t="s">
        <v>6</v>
      </c>
      <c r="BV42" s="148" t="s">
        <v>6</v>
      </c>
      <c r="BW42" s="148" t="s">
        <v>6</v>
      </c>
      <c r="BX42" s="148" t="s">
        <v>6</v>
      </c>
      <c r="BY42" s="148" t="s">
        <v>6</v>
      </c>
      <c r="BZ42" s="148" t="s">
        <v>6</v>
      </c>
      <c r="CA42" s="148" t="s">
        <v>6</v>
      </c>
      <c r="CB42" s="148" t="s">
        <v>6</v>
      </c>
      <c r="CC42" s="148" t="s">
        <v>6</v>
      </c>
      <c r="CD42" s="148" t="s">
        <v>6</v>
      </c>
      <c r="CE42" s="148" t="s">
        <v>6</v>
      </c>
      <c r="CF42" s="148" t="s">
        <v>6</v>
      </c>
      <c r="CG42" s="148" t="s">
        <v>6</v>
      </c>
      <c r="CH42" s="148" t="s">
        <v>6</v>
      </c>
      <c r="CI42" s="148" t="s">
        <v>6</v>
      </c>
      <c r="CJ42" s="148" t="s">
        <v>6</v>
      </c>
      <c r="CK42" s="148" t="s">
        <v>6</v>
      </c>
      <c r="CL42" s="148" t="s">
        <v>6</v>
      </c>
      <c r="CM42" s="148" t="s">
        <v>6</v>
      </c>
      <c r="CN42" s="148" t="s">
        <v>6</v>
      </c>
      <c r="CO42" s="148" t="s">
        <v>6</v>
      </c>
      <c r="CP42" s="148" t="s">
        <v>6</v>
      </c>
      <c r="CQ42" s="148" t="s">
        <v>6</v>
      </c>
      <c r="CR42" s="148" t="s">
        <v>6</v>
      </c>
      <c r="CS42" s="148" t="s">
        <v>6</v>
      </c>
      <c r="CT42" s="148" t="s">
        <v>6</v>
      </c>
      <c r="CU42" s="148" t="s">
        <v>6</v>
      </c>
      <c r="CV42" s="148" t="s">
        <v>6</v>
      </c>
      <c r="CW42" s="148" t="s">
        <v>6</v>
      </c>
      <c r="CX42" s="148" t="s">
        <v>6</v>
      </c>
      <c r="CY42" s="148" t="s">
        <v>6</v>
      </c>
      <c r="CZ42" s="148" t="s">
        <v>6</v>
      </c>
      <c r="DA42" s="148" t="s">
        <v>6</v>
      </c>
      <c r="DB42" s="148" t="s">
        <v>6</v>
      </c>
    </row>
    <row r="43" spans="1:106" s="172" customFormat="1" hidden="1" x14ac:dyDescent="0.3">
      <c r="B43" s="188" t="s">
        <v>742</v>
      </c>
      <c r="C43" s="188" t="s">
        <v>807</v>
      </c>
      <c r="D43" s="195" t="s">
        <v>809</v>
      </c>
      <c r="E43" s="126" t="str">
        <f t="shared" si="18"/>
        <v>ChangeJob_AssignCollectiveAgreement_ProfessionalCategory</v>
      </c>
      <c r="F43" s="38" t="str">
        <f t="shared" si="19"/>
        <v>ChangeJob_AssignCollectiveAgreement_ProfessionalCategory2</v>
      </c>
      <c r="G43" s="141"/>
      <c r="H43" s="148" t="s">
        <v>6</v>
      </c>
      <c r="I43" s="148" t="s">
        <v>6</v>
      </c>
      <c r="J43" s="148" t="s">
        <v>6</v>
      </c>
      <c r="K43" s="148" t="s">
        <v>6</v>
      </c>
      <c r="L43" s="148" t="s">
        <v>6</v>
      </c>
      <c r="M43" s="148" t="s">
        <v>6</v>
      </c>
      <c r="N43" s="148" t="s">
        <v>6</v>
      </c>
      <c r="O43" s="148" t="s">
        <v>6</v>
      </c>
      <c r="P43" s="148" t="s">
        <v>6</v>
      </c>
      <c r="Q43" s="148" t="s">
        <v>6</v>
      </c>
      <c r="R43" s="148" t="s">
        <v>6</v>
      </c>
      <c r="S43" s="148" t="s">
        <v>6</v>
      </c>
      <c r="T43" s="148" t="s">
        <v>6</v>
      </c>
      <c r="U43" s="148" t="s">
        <v>6</v>
      </c>
      <c r="V43" s="148" t="s">
        <v>6</v>
      </c>
      <c r="W43" s="148" t="s">
        <v>6</v>
      </c>
      <c r="X43" s="148" t="s">
        <v>6</v>
      </c>
      <c r="Y43" s="148" t="s">
        <v>6</v>
      </c>
      <c r="Z43" s="148" t="s">
        <v>6</v>
      </c>
      <c r="AA43" s="148" t="s">
        <v>6</v>
      </c>
      <c r="AB43" s="148" t="s">
        <v>6</v>
      </c>
      <c r="AC43" s="148" t="s">
        <v>6</v>
      </c>
      <c r="AD43" s="148" t="s">
        <v>6</v>
      </c>
      <c r="AE43" s="148" t="s">
        <v>6</v>
      </c>
      <c r="AF43" s="148" t="s">
        <v>6</v>
      </c>
      <c r="AG43" s="148" t="s">
        <v>6</v>
      </c>
      <c r="AH43" s="148" t="s">
        <v>6</v>
      </c>
      <c r="AI43" s="148" t="s">
        <v>6</v>
      </c>
      <c r="AJ43" s="148" t="s">
        <v>6</v>
      </c>
      <c r="AK43" s="148" t="s">
        <v>6</v>
      </c>
      <c r="AL43" s="148" t="s">
        <v>6</v>
      </c>
      <c r="AM43" s="148" t="s">
        <v>6</v>
      </c>
      <c r="AN43" s="148" t="s">
        <v>6</v>
      </c>
      <c r="AO43" s="148" t="s">
        <v>6</v>
      </c>
      <c r="AP43" s="148" t="s">
        <v>6</v>
      </c>
      <c r="AQ43" s="148" t="s">
        <v>6</v>
      </c>
      <c r="AR43" s="148" t="s">
        <v>6</v>
      </c>
      <c r="AS43" s="148" t="s">
        <v>6</v>
      </c>
      <c r="AT43" s="148" t="s">
        <v>6</v>
      </c>
      <c r="AU43" s="148" t="s">
        <v>6</v>
      </c>
      <c r="AV43" s="148" t="s">
        <v>6</v>
      </c>
      <c r="AW43" s="148" t="s">
        <v>6</v>
      </c>
      <c r="AX43" s="148" t="s">
        <v>6</v>
      </c>
      <c r="AY43" s="148" t="s">
        <v>6</v>
      </c>
      <c r="AZ43" s="148" t="s">
        <v>6</v>
      </c>
      <c r="BA43" s="148" t="s">
        <v>6</v>
      </c>
      <c r="BB43" s="148" t="s">
        <v>6</v>
      </c>
      <c r="BC43" s="148" t="s">
        <v>6</v>
      </c>
      <c r="BD43" s="148" t="s">
        <v>6</v>
      </c>
      <c r="BE43" s="148" t="s">
        <v>6</v>
      </c>
      <c r="BF43" s="148" t="s">
        <v>6</v>
      </c>
      <c r="BG43" s="148" t="s">
        <v>6</v>
      </c>
      <c r="BH43" s="148" t="s">
        <v>6</v>
      </c>
      <c r="BI43" s="148" t="s">
        <v>6</v>
      </c>
      <c r="BJ43" s="148" t="s">
        <v>6</v>
      </c>
      <c r="BK43" s="148" t="s">
        <v>6</v>
      </c>
      <c r="BL43" s="148" t="s">
        <v>6</v>
      </c>
      <c r="BM43" s="148" t="s">
        <v>6</v>
      </c>
      <c r="BN43" s="148" t="s">
        <v>6</v>
      </c>
      <c r="BO43" s="148" t="s">
        <v>6</v>
      </c>
      <c r="BP43" s="148" t="s">
        <v>6</v>
      </c>
      <c r="BQ43" s="148" t="s">
        <v>6</v>
      </c>
      <c r="BR43" s="148" t="s">
        <v>6</v>
      </c>
      <c r="BS43" s="148" t="s">
        <v>6</v>
      </c>
      <c r="BT43" s="148" t="s">
        <v>6</v>
      </c>
      <c r="BU43" s="148" t="s">
        <v>6</v>
      </c>
      <c r="BV43" s="148" t="s">
        <v>6</v>
      </c>
      <c r="BW43" s="148" t="s">
        <v>6</v>
      </c>
      <c r="BX43" s="148" t="s">
        <v>6</v>
      </c>
      <c r="BY43" s="148" t="s">
        <v>6</v>
      </c>
      <c r="BZ43" s="148" t="s">
        <v>6</v>
      </c>
      <c r="CA43" s="148" t="s">
        <v>6</v>
      </c>
      <c r="CB43" s="148" t="s">
        <v>6</v>
      </c>
      <c r="CC43" s="148" t="s">
        <v>6</v>
      </c>
      <c r="CD43" s="148" t="s">
        <v>6</v>
      </c>
      <c r="CE43" s="148" t="s">
        <v>6</v>
      </c>
      <c r="CF43" s="148" t="s">
        <v>6</v>
      </c>
      <c r="CG43" s="148" t="s">
        <v>6</v>
      </c>
      <c r="CH43" s="148" t="s">
        <v>6</v>
      </c>
      <c r="CI43" s="148" t="s">
        <v>6</v>
      </c>
      <c r="CJ43" s="148" t="s">
        <v>6</v>
      </c>
      <c r="CK43" s="148" t="s">
        <v>6</v>
      </c>
      <c r="CL43" s="148" t="s">
        <v>6</v>
      </c>
      <c r="CM43" s="148" t="s">
        <v>6</v>
      </c>
      <c r="CN43" s="148" t="s">
        <v>6</v>
      </c>
      <c r="CO43" s="148" t="s">
        <v>6</v>
      </c>
      <c r="CP43" s="148" t="s">
        <v>6</v>
      </c>
      <c r="CQ43" s="148" t="s">
        <v>6</v>
      </c>
      <c r="CR43" s="148" t="s">
        <v>6</v>
      </c>
      <c r="CS43" s="148" t="s">
        <v>6</v>
      </c>
      <c r="CT43" s="148" t="s">
        <v>6</v>
      </c>
      <c r="CU43" s="148" t="s">
        <v>6</v>
      </c>
      <c r="CV43" s="148" t="s">
        <v>6</v>
      </c>
      <c r="CW43" s="148" t="s">
        <v>6</v>
      </c>
      <c r="CX43" s="148" t="s">
        <v>6</v>
      </c>
      <c r="CY43" s="148" t="s">
        <v>6</v>
      </c>
      <c r="CZ43" s="148" t="s">
        <v>6</v>
      </c>
      <c r="DA43" s="148" t="s">
        <v>6</v>
      </c>
      <c r="DB43" s="148" t="s">
        <v>6</v>
      </c>
    </row>
    <row r="44" spans="1:106" s="172" customFormat="1" hidden="1" x14ac:dyDescent="0.3">
      <c r="B44" s="188" t="s">
        <v>742</v>
      </c>
      <c r="C44" s="188" t="s">
        <v>807</v>
      </c>
      <c r="D44" s="195" t="s">
        <v>810</v>
      </c>
      <c r="E44" s="126" t="str">
        <f t="shared" si="18"/>
        <v>ChangeJob_AssignCollectiveAgreement_Level</v>
      </c>
      <c r="F44" s="38" t="str">
        <f t="shared" si="19"/>
        <v>ChangeJob_AssignCollectiveAgreement_Level2</v>
      </c>
      <c r="G44" s="141"/>
      <c r="H44" s="148" t="s">
        <v>6</v>
      </c>
      <c r="I44" s="148" t="s">
        <v>6</v>
      </c>
      <c r="J44" s="148" t="s">
        <v>6</v>
      </c>
      <c r="K44" s="148" t="s">
        <v>6</v>
      </c>
      <c r="L44" s="148" t="s">
        <v>6</v>
      </c>
      <c r="M44" s="148" t="s">
        <v>6</v>
      </c>
      <c r="N44" s="148" t="s">
        <v>6</v>
      </c>
      <c r="O44" s="148" t="s">
        <v>6</v>
      </c>
      <c r="P44" s="148" t="s">
        <v>6</v>
      </c>
      <c r="Q44" s="148" t="s">
        <v>6</v>
      </c>
      <c r="R44" s="148" t="s">
        <v>6</v>
      </c>
      <c r="S44" s="148" t="s">
        <v>6</v>
      </c>
      <c r="T44" s="148" t="s">
        <v>6</v>
      </c>
      <c r="U44" s="148" t="s">
        <v>6</v>
      </c>
      <c r="V44" s="148" t="s">
        <v>6</v>
      </c>
      <c r="W44" s="148" t="s">
        <v>6</v>
      </c>
      <c r="X44" s="148" t="s">
        <v>6</v>
      </c>
      <c r="Y44" s="148" t="s">
        <v>6</v>
      </c>
      <c r="Z44" s="148" t="s">
        <v>6</v>
      </c>
      <c r="AA44" s="148" t="s">
        <v>6</v>
      </c>
      <c r="AB44" s="148" t="s">
        <v>6</v>
      </c>
      <c r="AC44" s="148" t="s">
        <v>6</v>
      </c>
      <c r="AD44" s="148" t="s">
        <v>6</v>
      </c>
      <c r="AE44" s="148" t="s">
        <v>6</v>
      </c>
      <c r="AF44" s="148" t="s">
        <v>6</v>
      </c>
      <c r="AG44" s="148" t="s">
        <v>6</v>
      </c>
      <c r="AH44" s="148" t="s">
        <v>6</v>
      </c>
      <c r="AI44" s="148" t="s">
        <v>6</v>
      </c>
      <c r="AJ44" s="148" t="s">
        <v>6</v>
      </c>
      <c r="AK44" s="148" t="s">
        <v>6</v>
      </c>
      <c r="AL44" s="148" t="s">
        <v>6</v>
      </c>
      <c r="AM44" s="148" t="s">
        <v>6</v>
      </c>
      <c r="AN44" s="148" t="s">
        <v>6</v>
      </c>
      <c r="AO44" s="148" t="s">
        <v>6</v>
      </c>
      <c r="AP44" s="148" t="s">
        <v>6</v>
      </c>
      <c r="AQ44" s="148" t="s">
        <v>6</v>
      </c>
      <c r="AR44" s="148" t="s">
        <v>6</v>
      </c>
      <c r="AS44" s="148" t="s">
        <v>6</v>
      </c>
      <c r="AT44" s="148" t="s">
        <v>6</v>
      </c>
      <c r="AU44" s="148" t="s">
        <v>6</v>
      </c>
      <c r="AV44" s="148" t="s">
        <v>6</v>
      </c>
      <c r="AW44" s="148" t="s">
        <v>6</v>
      </c>
      <c r="AX44" s="148" t="s">
        <v>6</v>
      </c>
      <c r="AY44" s="148" t="s">
        <v>6</v>
      </c>
      <c r="AZ44" s="148" t="s">
        <v>6</v>
      </c>
      <c r="BA44" s="148" t="s">
        <v>6</v>
      </c>
      <c r="BB44" s="148" t="s">
        <v>6</v>
      </c>
      <c r="BC44" s="148" t="s">
        <v>6</v>
      </c>
      <c r="BD44" s="148" t="s">
        <v>6</v>
      </c>
      <c r="BE44" s="148" t="s">
        <v>6</v>
      </c>
      <c r="BF44" s="148" t="s">
        <v>6</v>
      </c>
      <c r="BG44" s="148" t="s">
        <v>6</v>
      </c>
      <c r="BH44" s="148" t="s">
        <v>6</v>
      </c>
      <c r="BI44" s="148" t="s">
        <v>6</v>
      </c>
      <c r="BJ44" s="148" t="s">
        <v>6</v>
      </c>
      <c r="BK44" s="148" t="s">
        <v>6</v>
      </c>
      <c r="BL44" s="148" t="s">
        <v>6</v>
      </c>
      <c r="BM44" s="148" t="s">
        <v>6</v>
      </c>
      <c r="BN44" s="148" t="s">
        <v>6</v>
      </c>
      <c r="BO44" s="148" t="s">
        <v>6</v>
      </c>
      <c r="BP44" s="148" t="s">
        <v>6</v>
      </c>
      <c r="BQ44" s="148" t="s">
        <v>6</v>
      </c>
      <c r="BR44" s="148" t="s">
        <v>6</v>
      </c>
      <c r="BS44" s="148" t="s">
        <v>6</v>
      </c>
      <c r="BT44" s="148" t="s">
        <v>6</v>
      </c>
      <c r="BU44" s="148" t="s">
        <v>6</v>
      </c>
      <c r="BV44" s="148" t="s">
        <v>6</v>
      </c>
      <c r="BW44" s="148" t="s">
        <v>6</v>
      </c>
      <c r="BX44" s="148" t="s">
        <v>6</v>
      </c>
      <c r="BY44" s="148" t="s">
        <v>6</v>
      </c>
      <c r="BZ44" s="148" t="s">
        <v>6</v>
      </c>
      <c r="CA44" s="148" t="s">
        <v>6</v>
      </c>
      <c r="CB44" s="148" t="s">
        <v>6</v>
      </c>
      <c r="CC44" s="148" t="s">
        <v>6</v>
      </c>
      <c r="CD44" s="148" t="s">
        <v>6</v>
      </c>
      <c r="CE44" s="148" t="s">
        <v>6</v>
      </c>
      <c r="CF44" s="148" t="s">
        <v>6</v>
      </c>
      <c r="CG44" s="148" t="s">
        <v>6</v>
      </c>
      <c r="CH44" s="148" t="s">
        <v>6</v>
      </c>
      <c r="CI44" s="148" t="s">
        <v>6</v>
      </c>
      <c r="CJ44" s="148" t="s">
        <v>6</v>
      </c>
      <c r="CK44" s="148" t="s">
        <v>6</v>
      </c>
      <c r="CL44" s="148" t="s">
        <v>6</v>
      </c>
      <c r="CM44" s="148" t="s">
        <v>6</v>
      </c>
      <c r="CN44" s="148" t="s">
        <v>6</v>
      </c>
      <c r="CO44" s="148" t="s">
        <v>6</v>
      </c>
      <c r="CP44" s="148" t="s">
        <v>6</v>
      </c>
      <c r="CQ44" s="148" t="s">
        <v>6</v>
      </c>
      <c r="CR44" s="148" t="s">
        <v>6</v>
      </c>
      <c r="CS44" s="148" t="s">
        <v>6</v>
      </c>
      <c r="CT44" s="148" t="s">
        <v>6</v>
      </c>
      <c r="CU44" s="148" t="s">
        <v>6</v>
      </c>
      <c r="CV44" s="148" t="s">
        <v>6</v>
      </c>
      <c r="CW44" s="148" t="s">
        <v>6</v>
      </c>
      <c r="CX44" s="148" t="s">
        <v>6</v>
      </c>
      <c r="CY44" s="148" t="s">
        <v>6</v>
      </c>
      <c r="CZ44" s="148" t="s">
        <v>6</v>
      </c>
      <c r="DA44" s="148" t="s">
        <v>6</v>
      </c>
      <c r="DB44" s="148" t="s">
        <v>6</v>
      </c>
    </row>
    <row r="45" spans="1:106" x14ac:dyDescent="0.3">
      <c r="A45" s="164"/>
      <c r="B45" s="10" t="s">
        <v>811</v>
      </c>
      <c r="C45" s="43" t="s">
        <v>6</v>
      </c>
      <c r="D45" s="162" t="s">
        <v>812</v>
      </c>
      <c r="E45" s="126" t="str">
        <f t="shared" si="18"/>
        <v>ContractAddendumInfo_TerminateAddendumEffectiveDate</v>
      </c>
      <c r="F45" s="38" t="str">
        <f t="shared" si="19"/>
        <v>ContractAddendumInfo_TerminateAddendumEffectiveDate2</v>
      </c>
      <c r="G45" s="141"/>
      <c r="H45" s="148" t="s">
        <v>6</v>
      </c>
      <c r="I45" s="148" t="s">
        <v>6</v>
      </c>
      <c r="J45" s="148" t="s">
        <v>6</v>
      </c>
      <c r="K45" s="148" t="s">
        <v>6</v>
      </c>
      <c r="L45" s="148" t="s">
        <v>6</v>
      </c>
      <c r="M45" s="148" t="s">
        <v>6</v>
      </c>
      <c r="N45" s="148" t="s">
        <v>6</v>
      </c>
      <c r="O45" s="148" t="s">
        <v>6</v>
      </c>
      <c r="P45" s="148" t="s">
        <v>6</v>
      </c>
      <c r="Q45" s="148" t="s">
        <v>6</v>
      </c>
      <c r="R45" s="148" t="s">
        <v>6</v>
      </c>
      <c r="S45" s="148" t="s">
        <v>6</v>
      </c>
      <c r="T45" s="148" t="s">
        <v>6</v>
      </c>
      <c r="U45" s="148" t="s">
        <v>6</v>
      </c>
      <c r="V45" s="148" t="s">
        <v>6</v>
      </c>
      <c r="W45" s="148" t="s">
        <v>6</v>
      </c>
      <c r="X45" s="148" t="s">
        <v>6</v>
      </c>
      <c r="Y45" s="148" t="s">
        <v>6</v>
      </c>
      <c r="Z45" s="148" t="s">
        <v>6</v>
      </c>
      <c r="AA45" s="148" t="s">
        <v>6</v>
      </c>
      <c r="AB45" s="148" t="s">
        <v>6</v>
      </c>
      <c r="AC45" s="148" t="s">
        <v>6</v>
      </c>
      <c r="AD45" s="148" t="s">
        <v>6</v>
      </c>
      <c r="AE45" s="148" t="s">
        <v>6</v>
      </c>
      <c r="AF45" s="148" t="s">
        <v>6</v>
      </c>
      <c r="AG45" s="148" t="s">
        <v>6</v>
      </c>
      <c r="AH45" s="148" t="s">
        <v>6</v>
      </c>
      <c r="AI45" s="148" t="s">
        <v>6</v>
      </c>
      <c r="AJ45" s="148" t="s">
        <v>6</v>
      </c>
      <c r="AK45" s="148" t="s">
        <v>6</v>
      </c>
      <c r="AL45" s="148" t="s">
        <v>6</v>
      </c>
      <c r="AM45" s="148" t="s">
        <v>6</v>
      </c>
      <c r="AN45" s="148" t="s">
        <v>6</v>
      </c>
      <c r="AO45" s="148" t="s">
        <v>6</v>
      </c>
      <c r="AP45" s="148" t="s">
        <v>6</v>
      </c>
      <c r="AQ45" s="148" t="s">
        <v>6</v>
      </c>
      <c r="AR45" s="148" t="s">
        <v>6</v>
      </c>
      <c r="AS45" s="148" t="s">
        <v>6</v>
      </c>
      <c r="AT45" s="148" t="s">
        <v>6</v>
      </c>
      <c r="AU45" s="148" t="s">
        <v>6</v>
      </c>
      <c r="AV45" s="148" t="s">
        <v>6</v>
      </c>
      <c r="AW45" s="148" t="s">
        <v>6</v>
      </c>
      <c r="AX45" s="148" t="s">
        <v>6</v>
      </c>
      <c r="AY45" s="148" t="s">
        <v>6</v>
      </c>
      <c r="AZ45" s="148" t="s">
        <v>6</v>
      </c>
      <c r="BA45" s="148" t="s">
        <v>6</v>
      </c>
      <c r="BB45" s="148" t="s">
        <v>6</v>
      </c>
      <c r="BC45" s="148" t="s">
        <v>6</v>
      </c>
      <c r="BD45" s="148" t="s">
        <v>6</v>
      </c>
      <c r="BE45" s="148" t="s">
        <v>6</v>
      </c>
      <c r="BF45" s="148" t="s">
        <v>6</v>
      </c>
      <c r="BG45" s="148" t="s">
        <v>6</v>
      </c>
      <c r="BH45" s="148" t="s">
        <v>6</v>
      </c>
      <c r="BI45" s="148" t="s">
        <v>6</v>
      </c>
      <c r="BJ45" s="148" t="s">
        <v>6</v>
      </c>
      <c r="BK45" s="148" t="s">
        <v>6</v>
      </c>
      <c r="BL45" s="148" t="s">
        <v>6</v>
      </c>
      <c r="BM45" s="148" t="s">
        <v>6</v>
      </c>
      <c r="BN45" s="148" t="s">
        <v>6</v>
      </c>
      <c r="BO45" s="148" t="s">
        <v>6</v>
      </c>
      <c r="BP45" s="148" t="s">
        <v>6</v>
      </c>
      <c r="BQ45" s="148" t="s">
        <v>6</v>
      </c>
      <c r="BR45" s="148" t="s">
        <v>6</v>
      </c>
      <c r="BS45" s="148" t="s">
        <v>6</v>
      </c>
      <c r="BT45" s="148" t="s">
        <v>6</v>
      </c>
      <c r="BU45" s="148" t="s">
        <v>6</v>
      </c>
      <c r="BV45" s="148" t="s">
        <v>6</v>
      </c>
      <c r="BW45" s="148" t="s">
        <v>6</v>
      </c>
      <c r="BX45" s="148" t="s">
        <v>6</v>
      </c>
      <c r="BY45" s="148" t="s">
        <v>6</v>
      </c>
      <c r="BZ45" s="148" t="s">
        <v>6</v>
      </c>
      <c r="CA45" s="148" t="s">
        <v>6</v>
      </c>
      <c r="CB45" s="148" t="s">
        <v>6</v>
      </c>
      <c r="CC45" s="148" t="s">
        <v>6</v>
      </c>
      <c r="CD45" s="148" t="s">
        <v>6</v>
      </c>
      <c r="CE45" s="148" t="s">
        <v>6</v>
      </c>
      <c r="CF45" s="148" t="s">
        <v>6</v>
      </c>
      <c r="CG45" s="148" t="s">
        <v>6</v>
      </c>
      <c r="CH45" s="148" t="s">
        <v>6</v>
      </c>
      <c r="CI45" s="148" t="s">
        <v>6</v>
      </c>
      <c r="CJ45" s="148" t="s">
        <v>6</v>
      </c>
      <c r="CK45" s="148" t="s">
        <v>6</v>
      </c>
      <c r="CL45" s="148" t="s">
        <v>6</v>
      </c>
      <c r="CM45" s="148" t="s">
        <v>6</v>
      </c>
      <c r="CN45" s="148" t="s">
        <v>6</v>
      </c>
      <c r="CO45" s="148" t="s">
        <v>6</v>
      </c>
      <c r="CP45" s="148" t="s">
        <v>6</v>
      </c>
      <c r="CQ45" s="148" t="s">
        <v>6</v>
      </c>
      <c r="CR45" s="148" t="s">
        <v>6</v>
      </c>
      <c r="CS45" s="148" t="s">
        <v>6</v>
      </c>
      <c r="CT45" s="148" t="s">
        <v>6</v>
      </c>
      <c r="CU45" s="148" t="s">
        <v>6</v>
      </c>
      <c r="CV45" s="148" t="s">
        <v>6</v>
      </c>
      <c r="CW45" s="148" t="s">
        <v>6</v>
      </c>
      <c r="CX45" s="148" t="s">
        <v>6</v>
      </c>
      <c r="CY45" s="148" t="s">
        <v>6</v>
      </c>
      <c r="CZ45" s="148" t="s">
        <v>6</v>
      </c>
      <c r="DA45" s="148" t="s">
        <v>6</v>
      </c>
      <c r="DB45" s="148" t="s">
        <v>6</v>
      </c>
    </row>
    <row r="46" spans="1:106" x14ac:dyDescent="0.3">
      <c r="A46" s="164"/>
      <c r="B46" s="10" t="s">
        <v>811</v>
      </c>
      <c r="C46" s="43" t="s">
        <v>6</v>
      </c>
      <c r="D46" s="162" t="s">
        <v>813</v>
      </c>
      <c r="E46" s="126" t="str">
        <f t="shared" si="18"/>
        <v>ContractAddendumInfo_AddendumEndDate</v>
      </c>
      <c r="F46" s="38" t="str">
        <f t="shared" si="19"/>
        <v>ContractAddendumInfo_AddendumEndDate2</v>
      </c>
      <c r="G46" s="141"/>
      <c r="H46" s="148" t="s">
        <v>6</v>
      </c>
      <c r="I46" s="148" t="s">
        <v>6</v>
      </c>
      <c r="J46" s="148" t="s">
        <v>6</v>
      </c>
      <c r="K46" s="148" t="s">
        <v>6</v>
      </c>
      <c r="L46" s="148" t="s">
        <v>6</v>
      </c>
      <c r="M46" s="148" t="s">
        <v>6</v>
      </c>
      <c r="N46" s="148" t="s">
        <v>6</v>
      </c>
      <c r="O46" s="148" t="s">
        <v>6</v>
      </c>
      <c r="P46" s="148" t="s">
        <v>6</v>
      </c>
      <c r="Q46" s="148" t="s">
        <v>6</v>
      </c>
      <c r="R46" s="148" t="s">
        <v>6</v>
      </c>
      <c r="S46" s="148" t="s">
        <v>6</v>
      </c>
      <c r="T46" s="148" t="s">
        <v>6</v>
      </c>
      <c r="U46" s="148" t="s">
        <v>6</v>
      </c>
      <c r="V46" s="148" t="s">
        <v>6</v>
      </c>
      <c r="W46" s="148" t="s">
        <v>6</v>
      </c>
      <c r="X46" s="148" t="s">
        <v>6</v>
      </c>
      <c r="Y46" s="148" t="s">
        <v>6</v>
      </c>
      <c r="Z46" s="148" t="s">
        <v>6</v>
      </c>
      <c r="AA46" s="148" t="s">
        <v>6</v>
      </c>
      <c r="AB46" s="148" t="s">
        <v>6</v>
      </c>
      <c r="AC46" s="148" t="s">
        <v>6</v>
      </c>
      <c r="AD46" s="148" t="s">
        <v>6</v>
      </c>
      <c r="AE46" s="148" t="s">
        <v>6</v>
      </c>
      <c r="AF46" s="148" t="s">
        <v>6</v>
      </c>
      <c r="AG46" s="148" t="s">
        <v>6</v>
      </c>
      <c r="AH46" s="148" t="s">
        <v>6</v>
      </c>
      <c r="AI46" s="148" t="s">
        <v>6</v>
      </c>
      <c r="AJ46" s="148" t="s">
        <v>6</v>
      </c>
      <c r="AK46" s="148" t="s">
        <v>6</v>
      </c>
      <c r="AL46" s="148" t="s">
        <v>6</v>
      </c>
      <c r="AM46" s="148" t="s">
        <v>6</v>
      </c>
      <c r="AN46" s="148" t="s">
        <v>6</v>
      </c>
      <c r="AO46" s="148" t="s">
        <v>6</v>
      </c>
      <c r="AP46" s="148" t="s">
        <v>6</v>
      </c>
      <c r="AQ46" s="148" t="s">
        <v>6</v>
      </c>
      <c r="AR46" s="148" t="s">
        <v>6</v>
      </c>
      <c r="AS46" s="148" t="s">
        <v>6</v>
      </c>
      <c r="AT46" s="148" t="s">
        <v>6</v>
      </c>
      <c r="AU46" s="148" t="s">
        <v>6</v>
      </c>
      <c r="AV46" s="148" t="s">
        <v>6</v>
      </c>
      <c r="AW46" s="148" t="s">
        <v>6</v>
      </c>
      <c r="AX46" s="148" t="s">
        <v>6</v>
      </c>
      <c r="AY46" s="148" t="s">
        <v>6</v>
      </c>
      <c r="AZ46" s="148" t="s">
        <v>6</v>
      </c>
      <c r="BA46" s="148" t="s">
        <v>6</v>
      </c>
      <c r="BB46" s="148" t="s">
        <v>6</v>
      </c>
      <c r="BC46" s="148" t="s">
        <v>6</v>
      </c>
      <c r="BD46" s="148" t="s">
        <v>6</v>
      </c>
      <c r="BE46" s="148" t="s">
        <v>6</v>
      </c>
      <c r="BF46" s="148" t="s">
        <v>6</v>
      </c>
      <c r="BG46" s="148" t="s">
        <v>6</v>
      </c>
      <c r="BH46" s="148" t="s">
        <v>6</v>
      </c>
      <c r="BI46" s="148" t="s">
        <v>6</v>
      </c>
      <c r="BJ46" s="148" t="s">
        <v>6</v>
      </c>
      <c r="BK46" s="148" t="s">
        <v>6</v>
      </c>
      <c r="BL46" s="148" t="s">
        <v>6</v>
      </c>
      <c r="BM46" s="148" t="s">
        <v>6</v>
      </c>
      <c r="BN46" s="148" t="s">
        <v>6</v>
      </c>
      <c r="BO46" s="148" t="s">
        <v>6</v>
      </c>
      <c r="BP46" s="148" t="s">
        <v>6</v>
      </c>
      <c r="BQ46" s="148" t="s">
        <v>6</v>
      </c>
      <c r="BR46" s="148" t="s">
        <v>6</v>
      </c>
      <c r="BS46" s="148" t="s">
        <v>6</v>
      </c>
      <c r="BT46" s="148" t="s">
        <v>6</v>
      </c>
      <c r="BU46" s="148" t="s">
        <v>6</v>
      </c>
      <c r="BV46" s="148" t="s">
        <v>6</v>
      </c>
      <c r="BW46" s="148" t="s">
        <v>6</v>
      </c>
      <c r="BX46" s="148" t="s">
        <v>6</v>
      </c>
      <c r="BY46" s="148" t="s">
        <v>6</v>
      </c>
      <c r="BZ46" s="148" t="s">
        <v>6</v>
      </c>
      <c r="CA46" s="148" t="s">
        <v>6</v>
      </c>
      <c r="CB46" s="148" t="s">
        <v>6</v>
      </c>
      <c r="CC46" s="148" t="s">
        <v>6</v>
      </c>
      <c r="CD46" s="148" t="s">
        <v>6</v>
      </c>
      <c r="CE46" s="148" t="s">
        <v>6</v>
      </c>
      <c r="CF46" s="148" t="s">
        <v>6</v>
      </c>
      <c r="CG46" s="148" t="s">
        <v>6</v>
      </c>
      <c r="CH46" s="148" t="s">
        <v>6</v>
      </c>
      <c r="CI46" s="148" t="s">
        <v>6</v>
      </c>
      <c r="CJ46" s="148" t="s">
        <v>6</v>
      </c>
      <c r="CK46" s="148" t="s">
        <v>6</v>
      </c>
      <c r="CL46" s="148" t="s">
        <v>6</v>
      </c>
      <c r="CM46" s="148" t="s">
        <v>6</v>
      </c>
      <c r="CN46" s="148" t="s">
        <v>6</v>
      </c>
      <c r="CO46" s="148" t="s">
        <v>6</v>
      </c>
      <c r="CP46" s="148" t="s">
        <v>6</v>
      </c>
      <c r="CQ46" s="148" t="s">
        <v>6</v>
      </c>
      <c r="CR46" s="148" t="s">
        <v>6</v>
      </c>
      <c r="CS46" s="148" t="s">
        <v>6</v>
      </c>
      <c r="CT46" s="148" t="s">
        <v>6</v>
      </c>
      <c r="CU46" s="148" t="s">
        <v>6</v>
      </c>
      <c r="CV46" s="148" t="s">
        <v>6</v>
      </c>
      <c r="CW46" s="148" t="s">
        <v>6</v>
      </c>
      <c r="CX46" s="148" t="s">
        <v>6</v>
      </c>
      <c r="CY46" s="148" t="s">
        <v>6</v>
      </c>
      <c r="CZ46" s="148" t="s">
        <v>6</v>
      </c>
      <c r="DA46" s="148" t="s">
        <v>6</v>
      </c>
      <c r="DB46" s="148" t="s">
        <v>6</v>
      </c>
    </row>
    <row r="47" spans="1:106" x14ac:dyDescent="0.3">
      <c r="A47" s="164"/>
      <c r="B47" s="10" t="s">
        <v>811</v>
      </c>
      <c r="C47" s="43" t="s">
        <v>6</v>
      </c>
      <c r="D47" s="162" t="s">
        <v>814</v>
      </c>
      <c r="E47" s="126" t="str">
        <f t="shared" si="18"/>
        <v>ContractAddendumInfo_AddendumCreationDate</v>
      </c>
      <c r="F47" s="38" t="str">
        <f t="shared" si="19"/>
        <v>ContractAddendumInfo_AddendumCreationDate2</v>
      </c>
      <c r="G47" s="141"/>
      <c r="H47" s="148" t="s">
        <v>6</v>
      </c>
      <c r="I47" s="148" t="s">
        <v>6</v>
      </c>
      <c r="J47" s="148" t="s">
        <v>6</v>
      </c>
      <c r="K47" s="148" t="s">
        <v>6</v>
      </c>
      <c r="L47" s="148" t="s">
        <v>6</v>
      </c>
      <c r="M47" s="148" t="s">
        <v>6</v>
      </c>
      <c r="N47" s="148" t="s">
        <v>6</v>
      </c>
      <c r="O47" s="148" t="s">
        <v>6</v>
      </c>
      <c r="P47" s="148" t="s">
        <v>6</v>
      </c>
      <c r="Q47" s="148" t="s">
        <v>6</v>
      </c>
      <c r="R47" s="148" t="s">
        <v>6</v>
      </c>
      <c r="S47" s="148" t="s">
        <v>6</v>
      </c>
      <c r="T47" s="148" t="s">
        <v>6</v>
      </c>
      <c r="U47" s="148" t="s">
        <v>6</v>
      </c>
      <c r="V47" s="148" t="s">
        <v>6</v>
      </c>
      <c r="W47" s="148" t="s">
        <v>6</v>
      </c>
      <c r="X47" s="148" t="s">
        <v>6</v>
      </c>
      <c r="Y47" s="148" t="s">
        <v>6</v>
      </c>
      <c r="Z47" s="148" t="s">
        <v>6</v>
      </c>
      <c r="AA47" s="148" t="s">
        <v>6</v>
      </c>
      <c r="AB47" s="148" t="s">
        <v>6</v>
      </c>
      <c r="AC47" s="148" t="s">
        <v>6</v>
      </c>
      <c r="AD47" s="148" t="s">
        <v>6</v>
      </c>
      <c r="AE47" s="148" t="s">
        <v>6</v>
      </c>
      <c r="AF47" s="148" t="s">
        <v>6</v>
      </c>
      <c r="AG47" s="148" t="s">
        <v>6</v>
      </c>
      <c r="AH47" s="148" t="s">
        <v>6</v>
      </c>
      <c r="AI47" s="148" t="s">
        <v>6</v>
      </c>
      <c r="AJ47" s="148" t="s">
        <v>6</v>
      </c>
      <c r="AK47" s="148" t="s">
        <v>6</v>
      </c>
      <c r="AL47" s="148" t="s">
        <v>6</v>
      </c>
      <c r="AM47" s="148" t="s">
        <v>6</v>
      </c>
      <c r="AN47" s="148" t="s">
        <v>6</v>
      </c>
      <c r="AO47" s="148" t="s">
        <v>6</v>
      </c>
      <c r="AP47" s="148" t="s">
        <v>6</v>
      </c>
      <c r="AQ47" s="148" t="s">
        <v>6</v>
      </c>
      <c r="AR47" s="148" t="s">
        <v>6</v>
      </c>
      <c r="AS47" s="148" t="s">
        <v>6</v>
      </c>
      <c r="AT47" s="148" t="s">
        <v>6</v>
      </c>
      <c r="AU47" s="148" t="s">
        <v>6</v>
      </c>
      <c r="AV47" s="148" t="s">
        <v>6</v>
      </c>
      <c r="AW47" s="148" t="s">
        <v>6</v>
      </c>
      <c r="AX47" s="148" t="s">
        <v>6</v>
      </c>
      <c r="AY47" s="148" t="s">
        <v>6</v>
      </c>
      <c r="AZ47" s="148" t="s">
        <v>6</v>
      </c>
      <c r="BA47" s="148" t="s">
        <v>6</v>
      </c>
      <c r="BB47" s="148" t="s">
        <v>6</v>
      </c>
      <c r="BC47" s="148" t="s">
        <v>6</v>
      </c>
      <c r="BD47" s="148" t="s">
        <v>6</v>
      </c>
      <c r="BE47" s="148" t="s">
        <v>6</v>
      </c>
      <c r="BF47" s="148" t="s">
        <v>6</v>
      </c>
      <c r="BG47" s="148" t="s">
        <v>6</v>
      </c>
      <c r="BH47" s="148" t="s">
        <v>6</v>
      </c>
      <c r="BI47" s="148" t="s">
        <v>6</v>
      </c>
      <c r="BJ47" s="148" t="s">
        <v>6</v>
      </c>
      <c r="BK47" s="148" t="s">
        <v>6</v>
      </c>
      <c r="BL47" s="148" t="s">
        <v>6</v>
      </c>
      <c r="BM47" s="148" t="s">
        <v>6</v>
      </c>
      <c r="BN47" s="148" t="s">
        <v>6</v>
      </c>
      <c r="BO47" s="148" t="s">
        <v>6</v>
      </c>
      <c r="BP47" s="148" t="s">
        <v>6</v>
      </c>
      <c r="BQ47" s="148" t="s">
        <v>6</v>
      </c>
      <c r="BR47" s="148" t="s">
        <v>6</v>
      </c>
      <c r="BS47" s="148" t="s">
        <v>6</v>
      </c>
      <c r="BT47" s="148" t="s">
        <v>6</v>
      </c>
      <c r="BU47" s="148" t="s">
        <v>6</v>
      </c>
      <c r="BV47" s="148" t="s">
        <v>6</v>
      </c>
      <c r="BW47" s="148" t="s">
        <v>6</v>
      </c>
      <c r="BX47" s="148" t="s">
        <v>6</v>
      </c>
      <c r="BY47" s="148" t="s">
        <v>6</v>
      </c>
      <c r="BZ47" s="148" t="s">
        <v>6</v>
      </c>
      <c r="CA47" s="148" t="s">
        <v>6</v>
      </c>
      <c r="CB47" s="148" t="s">
        <v>6</v>
      </c>
      <c r="CC47" s="148" t="s">
        <v>6</v>
      </c>
      <c r="CD47" s="148" t="s">
        <v>6</v>
      </c>
      <c r="CE47" s="148" t="s">
        <v>6</v>
      </c>
      <c r="CF47" s="148" t="s">
        <v>6</v>
      </c>
      <c r="CG47" s="148" t="s">
        <v>6</v>
      </c>
      <c r="CH47" s="148" t="s">
        <v>6</v>
      </c>
      <c r="CI47" s="148" t="s">
        <v>6</v>
      </c>
      <c r="CJ47" s="148" t="s">
        <v>6</v>
      </c>
      <c r="CK47" s="148" t="s">
        <v>6</v>
      </c>
      <c r="CL47" s="148" t="s">
        <v>6</v>
      </c>
      <c r="CM47" s="148" t="s">
        <v>6</v>
      </c>
      <c r="CN47" s="148" t="s">
        <v>6</v>
      </c>
      <c r="CO47" s="148" t="s">
        <v>6</v>
      </c>
      <c r="CP47" s="148" t="s">
        <v>6</v>
      </c>
      <c r="CQ47" s="148" t="s">
        <v>6</v>
      </c>
      <c r="CR47" s="148" t="s">
        <v>6</v>
      </c>
      <c r="CS47" s="148" t="s">
        <v>6</v>
      </c>
      <c r="CT47" s="148" t="s">
        <v>6</v>
      </c>
      <c r="CU47" s="148" t="s">
        <v>6</v>
      </c>
      <c r="CV47" s="148" t="s">
        <v>6</v>
      </c>
      <c r="CW47" s="148" t="s">
        <v>6</v>
      </c>
      <c r="CX47" s="148" t="s">
        <v>6</v>
      </c>
      <c r="CY47" s="148" t="s">
        <v>6</v>
      </c>
      <c r="CZ47" s="148" t="s">
        <v>6</v>
      </c>
      <c r="DA47" s="148" t="s">
        <v>6</v>
      </c>
      <c r="DB47" s="148" t="s">
        <v>6</v>
      </c>
    </row>
    <row r="48" spans="1:106" ht="18.600000000000001" customHeight="1" x14ac:dyDescent="0.3"/>
    <row r="49" ht="18.600000000000001" customHeight="1" x14ac:dyDescent="0.3"/>
  </sheetData>
  <phoneticPr fontId="16" type="noConversion"/>
  <conditionalFormatting sqref="H6:DB6">
    <cfRule type="containsText" dxfId="1" priority="1" operator="containsText" text="Pass">
      <formula>NOT(ISERROR(SEARCH("Pass",H6)))</formula>
    </cfRule>
    <cfRule type="containsText" dxfId="0" priority="2" operator="containsText" text="Fail">
      <formula>NOT(ISERROR(SEARCH("Fail",H6)))</formula>
    </cfRule>
  </conditionalFormatting>
  <dataValidations count="1">
    <dataValidation type="list" allowBlank="1" showInputMessage="1" showErrorMessage="1" sqref="M8:O8 I8:J8 H4:DB4" xr:uid="{00000000-0002-0000-0100-000000000000}">
      <formula1>INDIRECT($F4)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Automation_Lookups!$A$2:$A$6</xm:f>
          </x14:formula1>
          <xm:sqref>H3:DB3</xm:sqref>
        </x14:dataValidation>
        <x14:dataValidation type="list" allowBlank="1" showInputMessage="1" showErrorMessage="1" xr:uid="{00000000-0002-0000-0100-000002000000}">
          <x14:formula1>
            <xm:f>Automation_Lookups!$D$2:$D$4</xm:f>
          </x14:formula1>
          <xm:sqref>H17:DB17</xm:sqref>
        </x14:dataValidation>
        <x14:dataValidation type="list" allowBlank="1" showInputMessage="1" showErrorMessage="1" xr:uid="{00000000-0002-0000-0100-000003000000}">
          <x14:formula1>
            <xm:f>Automation_Lookups!$C$2:$C$15</xm:f>
          </x14:formula1>
          <xm:sqref>H5:DB5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activeCell="E17" sqref="E17"/>
    </sheetView>
  </sheetViews>
  <sheetFormatPr defaultRowHeight="14.4" x14ac:dyDescent="0.3"/>
  <sheetData>
    <row r="1" spans="1:2" x14ac:dyDescent="0.3">
      <c r="A1" s="5">
        <v>10286580</v>
      </c>
      <c r="B1" s="165">
        <v>10286658</v>
      </c>
    </row>
    <row r="2" spans="1:2" x14ac:dyDescent="0.3">
      <c r="A2" s="5">
        <v>10286586</v>
      </c>
      <c r="B2" s="165">
        <v>10286659</v>
      </c>
    </row>
    <row r="3" spans="1:2" x14ac:dyDescent="0.3">
      <c r="A3" s="5">
        <v>10286587</v>
      </c>
      <c r="B3" s="165">
        <v>10286660</v>
      </c>
    </row>
    <row r="4" spans="1:2" x14ac:dyDescent="0.3">
      <c r="A4" s="5">
        <v>10286588</v>
      </c>
      <c r="B4" s="187">
        <v>10286661</v>
      </c>
    </row>
    <row r="5" spans="1:2" x14ac:dyDescent="0.3">
      <c r="A5" s="5">
        <v>10286589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M17"/>
  <sheetViews>
    <sheetView zoomScale="90" zoomScaleNormal="90" workbookViewId="0">
      <selection activeCell="B20" sqref="B20"/>
    </sheetView>
  </sheetViews>
  <sheetFormatPr defaultRowHeight="14.4" x14ac:dyDescent="0.3"/>
  <cols>
    <col min="2" max="2" width="41.77734375" customWidth="1"/>
    <col min="3" max="3" width="9.21875" style="69"/>
    <col min="5" max="5" width="28.44140625" customWidth="1"/>
    <col min="6" max="7" width="9.21875" style="69"/>
    <col min="8" max="8" width="28.44140625" style="69" customWidth="1"/>
    <col min="9" max="9" width="9.21875" style="69"/>
    <col min="11" max="11" width="43.21875" customWidth="1"/>
    <col min="12" max="12" width="13" style="69" customWidth="1"/>
    <col min="13" max="13" width="9.21875" style="69"/>
  </cols>
  <sheetData>
    <row r="2" spans="2:13" ht="21.6" thickBot="1" x14ac:dyDescent="0.45">
      <c r="B2" s="74" t="s">
        <v>648</v>
      </c>
      <c r="C2" s="75"/>
      <c r="D2" s="76"/>
      <c r="E2" s="74" t="s">
        <v>651</v>
      </c>
      <c r="F2" s="75"/>
      <c r="G2" s="75"/>
      <c r="H2" s="74" t="s">
        <v>657</v>
      </c>
      <c r="I2" s="75"/>
      <c r="K2" s="70" t="s">
        <v>652</v>
      </c>
      <c r="L2" s="71"/>
      <c r="M2" s="71"/>
    </row>
    <row r="3" spans="2:13" ht="15" thickBot="1" x14ac:dyDescent="0.35">
      <c r="B3" s="77" t="s">
        <v>642</v>
      </c>
      <c r="C3" s="78" t="s">
        <v>641</v>
      </c>
      <c r="D3" s="79"/>
      <c r="E3" s="80" t="s">
        <v>642</v>
      </c>
      <c r="F3" s="81" t="s">
        <v>641</v>
      </c>
      <c r="G3" s="107"/>
      <c r="H3" s="80" t="s">
        <v>642</v>
      </c>
      <c r="I3" s="81" t="s">
        <v>641</v>
      </c>
      <c r="K3" s="92" t="s">
        <v>642</v>
      </c>
      <c r="L3" s="93" t="s">
        <v>655</v>
      </c>
      <c r="M3" s="73" t="s">
        <v>654</v>
      </c>
    </row>
    <row r="4" spans="2:13" x14ac:dyDescent="0.3">
      <c r="B4" s="82" t="s">
        <v>640</v>
      </c>
      <c r="C4" s="83">
        <v>35</v>
      </c>
      <c r="D4" s="76"/>
      <c r="E4" s="82" t="s">
        <v>640</v>
      </c>
      <c r="F4" s="83">
        <v>141</v>
      </c>
      <c r="G4" s="75"/>
      <c r="H4" s="82" t="s">
        <v>640</v>
      </c>
      <c r="I4" s="83">
        <v>0</v>
      </c>
      <c r="K4" s="101" t="s">
        <v>640</v>
      </c>
      <c r="L4" s="98">
        <f>C4+F4+I4</f>
        <v>176</v>
      </c>
      <c r="M4" s="97">
        <f>L4/L8*100</f>
        <v>72.131147540983605</v>
      </c>
    </row>
    <row r="5" spans="2:13" x14ac:dyDescent="0.3">
      <c r="B5" s="84" t="s">
        <v>643</v>
      </c>
      <c r="C5" s="85">
        <v>17</v>
      </c>
      <c r="D5" s="76"/>
      <c r="E5" s="84" t="s">
        <v>643</v>
      </c>
      <c r="F5" s="85">
        <v>27</v>
      </c>
      <c r="G5" s="75"/>
      <c r="H5" s="84" t="s">
        <v>643</v>
      </c>
      <c r="I5" s="85">
        <v>24</v>
      </c>
      <c r="K5" s="102" t="s">
        <v>643</v>
      </c>
      <c r="L5" s="99">
        <f>C5+F5+I5</f>
        <v>68</v>
      </c>
      <c r="M5" s="91">
        <f>L5/L8*100</f>
        <v>27.868852459016392</v>
      </c>
    </row>
    <row r="6" spans="2:13" x14ac:dyDescent="0.3">
      <c r="B6" s="84" t="s">
        <v>646</v>
      </c>
      <c r="C6" s="85">
        <v>0</v>
      </c>
      <c r="D6" s="76"/>
      <c r="E6" s="84" t="s">
        <v>646</v>
      </c>
      <c r="F6" s="85">
        <v>0</v>
      </c>
      <c r="G6" s="75"/>
      <c r="H6" s="84" t="s">
        <v>646</v>
      </c>
      <c r="I6" s="85">
        <v>0</v>
      </c>
      <c r="K6" s="102" t="s">
        <v>646</v>
      </c>
      <c r="L6" s="100">
        <f>C6+F6+I6</f>
        <v>0</v>
      </c>
      <c r="M6" s="94">
        <f>L6/L8*100</f>
        <v>0</v>
      </c>
    </row>
    <row r="7" spans="2:13" ht="15" thickBot="1" x14ac:dyDescent="0.35">
      <c r="B7" s="86" t="s">
        <v>656</v>
      </c>
      <c r="C7" s="87">
        <v>52</v>
      </c>
      <c r="D7" s="76"/>
      <c r="E7" s="86" t="s">
        <v>656</v>
      </c>
      <c r="F7" s="87">
        <v>168</v>
      </c>
      <c r="G7" s="75"/>
      <c r="H7" s="86" t="s">
        <v>656</v>
      </c>
      <c r="I7" s="87">
        <v>24</v>
      </c>
      <c r="K7" s="103" t="s">
        <v>656</v>
      </c>
      <c r="L7" s="104">
        <f>C7+F7+I7</f>
        <v>244</v>
      </c>
      <c r="M7" s="95">
        <f>L7/L8*100</f>
        <v>100</v>
      </c>
    </row>
    <row r="8" spans="2:13" ht="15" thickBot="1" x14ac:dyDescent="0.35">
      <c r="B8" s="80" t="s">
        <v>641</v>
      </c>
      <c r="C8" s="81">
        <v>52</v>
      </c>
      <c r="D8" s="79"/>
      <c r="E8" s="80" t="s">
        <v>641</v>
      </c>
      <c r="F8" s="81">
        <v>168</v>
      </c>
      <c r="G8" s="107"/>
      <c r="H8" s="80" t="s">
        <v>641</v>
      </c>
      <c r="I8" s="81">
        <v>24</v>
      </c>
      <c r="K8" s="105" t="s">
        <v>641</v>
      </c>
      <c r="L8" s="106">
        <f>C8+F8+I8</f>
        <v>244</v>
      </c>
      <c r="M8" s="96">
        <f>M4+M5+M6</f>
        <v>100</v>
      </c>
    </row>
    <row r="9" spans="2:13" x14ac:dyDescent="0.3">
      <c r="B9" s="76"/>
      <c r="C9" s="75"/>
      <c r="D9" s="76"/>
      <c r="E9" s="76"/>
      <c r="F9" s="75"/>
      <c r="G9" s="75"/>
      <c r="H9" s="76"/>
      <c r="I9" s="75"/>
      <c r="K9" s="72"/>
      <c r="L9" s="71"/>
      <c r="M9" s="71"/>
    </row>
    <row r="10" spans="2:13" ht="21.6" thickBot="1" x14ac:dyDescent="0.45">
      <c r="B10" s="74" t="s">
        <v>649</v>
      </c>
      <c r="C10" s="75"/>
      <c r="D10" s="76"/>
      <c r="E10" s="74" t="s">
        <v>650</v>
      </c>
      <c r="F10" s="75"/>
      <c r="G10" s="75"/>
      <c r="H10" s="74" t="s">
        <v>658</v>
      </c>
      <c r="I10" s="75"/>
      <c r="K10" s="70" t="s">
        <v>653</v>
      </c>
      <c r="L10" s="71"/>
      <c r="M10" s="71"/>
    </row>
    <row r="11" spans="2:13" ht="15" thickBot="1" x14ac:dyDescent="0.35">
      <c r="B11" s="80" t="s">
        <v>647</v>
      </c>
      <c r="C11" s="81" t="s">
        <v>641</v>
      </c>
      <c r="D11" s="76"/>
      <c r="E11" s="77" t="s">
        <v>647</v>
      </c>
      <c r="F11" s="78" t="s">
        <v>641</v>
      </c>
      <c r="G11" s="107"/>
      <c r="H11" s="80" t="s">
        <v>647</v>
      </c>
      <c r="I11" s="81" t="s">
        <v>641</v>
      </c>
      <c r="K11" s="92" t="s">
        <v>647</v>
      </c>
      <c r="L11" s="93" t="s">
        <v>655</v>
      </c>
      <c r="M11" s="73" t="s">
        <v>654</v>
      </c>
    </row>
    <row r="12" spans="2:13" ht="29.4" thickBot="1" x14ac:dyDescent="0.35">
      <c r="B12" s="88" t="s">
        <v>705</v>
      </c>
      <c r="C12" s="89">
        <v>12</v>
      </c>
      <c r="D12" s="76"/>
      <c r="E12" s="110" t="s">
        <v>639</v>
      </c>
      <c r="F12" s="83">
        <v>24</v>
      </c>
      <c r="G12" s="75"/>
      <c r="H12" s="88" t="s">
        <v>660</v>
      </c>
      <c r="I12" s="89">
        <v>24</v>
      </c>
      <c r="K12" s="115" t="s">
        <v>644</v>
      </c>
      <c r="L12" s="98">
        <v>44</v>
      </c>
      <c r="M12" s="97">
        <f>L12/L17*100</f>
        <v>35.199999999999996</v>
      </c>
    </row>
    <row r="13" spans="2:13" ht="29.4" thickBot="1" x14ac:dyDescent="0.35">
      <c r="B13" s="90" t="s">
        <v>704</v>
      </c>
      <c r="C13" s="85">
        <v>5</v>
      </c>
      <c r="D13" s="76"/>
      <c r="E13" s="112" t="s">
        <v>659</v>
      </c>
      <c r="F13" s="111">
        <v>3</v>
      </c>
      <c r="G13" s="107"/>
      <c r="H13" s="80" t="s">
        <v>641</v>
      </c>
      <c r="I13" s="81">
        <v>24</v>
      </c>
      <c r="K13" s="116" t="s">
        <v>645</v>
      </c>
      <c r="L13" s="99">
        <v>20</v>
      </c>
      <c r="M13" s="94">
        <f>L13/L17*100</f>
        <v>16</v>
      </c>
    </row>
    <row r="14" spans="2:13" ht="29.4" thickBot="1" x14ac:dyDescent="0.35">
      <c r="B14" s="80" t="s">
        <v>641</v>
      </c>
      <c r="C14" s="81">
        <f>C12+C13</f>
        <v>17</v>
      </c>
      <c r="D14" s="76"/>
      <c r="E14" s="108" t="s">
        <v>641</v>
      </c>
      <c r="F14" s="109">
        <v>27</v>
      </c>
      <c r="G14" s="75"/>
      <c r="H14" s="75"/>
      <c r="I14" s="75"/>
      <c r="K14" s="117" t="s">
        <v>639</v>
      </c>
      <c r="L14" s="113">
        <v>34</v>
      </c>
      <c r="M14" s="95">
        <f>L14/L17*100</f>
        <v>27.200000000000003</v>
      </c>
    </row>
    <row r="15" spans="2:13" x14ac:dyDescent="0.3">
      <c r="D15" s="76"/>
      <c r="E15" s="76"/>
      <c r="F15" s="75"/>
      <c r="G15" s="75"/>
      <c r="H15" s="75"/>
      <c r="I15" s="75"/>
      <c r="K15" s="116" t="s">
        <v>660</v>
      </c>
      <c r="L15" s="100">
        <v>24</v>
      </c>
      <c r="M15" s="95">
        <f>L15/L17*100</f>
        <v>19.2</v>
      </c>
    </row>
    <row r="16" spans="2:13" ht="15" thickBot="1" x14ac:dyDescent="0.35">
      <c r="K16" s="103" t="s">
        <v>659</v>
      </c>
      <c r="L16" s="114">
        <v>3</v>
      </c>
      <c r="M16" s="95">
        <f>L16/L17*100</f>
        <v>2.4</v>
      </c>
    </row>
    <row r="17" spans="11:13" ht="15" thickBot="1" x14ac:dyDescent="0.35">
      <c r="K17" s="105" t="s">
        <v>641</v>
      </c>
      <c r="L17" s="106">
        <f>SUM(L12:L16)</f>
        <v>125</v>
      </c>
      <c r="M17" s="96">
        <f>SUM(M12:M16)</f>
        <v>100.00000000000001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K28"/>
  <sheetViews>
    <sheetView zoomScale="110" zoomScaleNormal="110" workbookViewId="0">
      <selection activeCell="A6" sqref="A6"/>
    </sheetView>
  </sheetViews>
  <sheetFormatPr defaultRowHeight="14.4" x14ac:dyDescent="0.3"/>
  <cols>
    <col min="1" max="1" width="21.21875" bestFit="1" customWidth="1"/>
    <col min="2" max="2" width="14.44140625" bestFit="1" customWidth="1"/>
    <col min="3" max="3" width="9" bestFit="1" customWidth="1"/>
    <col min="4" max="4" width="24.5546875" bestFit="1" customWidth="1"/>
    <col min="5" max="5" width="30.21875" bestFit="1" customWidth="1"/>
    <col min="6" max="6" width="27.21875" bestFit="1" customWidth="1"/>
    <col min="7" max="7" width="30" bestFit="1" customWidth="1"/>
    <col min="8" max="8" width="31.77734375" bestFit="1" customWidth="1"/>
    <col min="9" max="12" width="31.77734375" customWidth="1"/>
    <col min="13" max="16" width="14.44140625" customWidth="1"/>
    <col min="17" max="17" width="67.44140625" bestFit="1" customWidth="1"/>
    <col min="18" max="18" width="31.21875" bestFit="1" customWidth="1"/>
    <col min="19" max="19" width="45.44140625" bestFit="1" customWidth="1"/>
    <col min="20" max="20" width="39.77734375" bestFit="1" customWidth="1"/>
    <col min="21" max="21" width="32" bestFit="1" customWidth="1"/>
    <col min="22" max="22" width="33.44140625" bestFit="1" customWidth="1"/>
    <col min="23" max="23" width="31.21875" bestFit="1" customWidth="1"/>
    <col min="24" max="24" width="20.21875" bestFit="1" customWidth="1"/>
    <col min="25" max="25" width="18.77734375" bestFit="1" customWidth="1"/>
    <col min="26" max="26" width="20" bestFit="1" customWidth="1"/>
    <col min="27" max="27" width="25.77734375" bestFit="1" customWidth="1"/>
    <col min="28" max="28" width="30.44140625" bestFit="1" customWidth="1"/>
    <col min="29" max="29" width="21.21875" bestFit="1" customWidth="1"/>
    <col min="30" max="30" width="19.77734375" bestFit="1" customWidth="1"/>
    <col min="31" max="31" width="43" bestFit="1" customWidth="1"/>
    <col min="32" max="32" width="48.21875" bestFit="1" customWidth="1"/>
    <col min="33" max="33" width="46" bestFit="1" customWidth="1"/>
    <col min="34" max="34" width="35.21875" bestFit="1" customWidth="1"/>
    <col min="35" max="35" width="20.5546875" bestFit="1" customWidth="1"/>
    <col min="36" max="36" width="28.5546875" bestFit="1" customWidth="1"/>
    <col min="37" max="37" width="78.5546875" bestFit="1" customWidth="1"/>
    <col min="38" max="38" width="33.21875" bestFit="1" customWidth="1"/>
    <col min="39" max="39" width="39.77734375" bestFit="1" customWidth="1"/>
    <col min="40" max="40" width="43.21875" bestFit="1" customWidth="1"/>
    <col min="41" max="41" width="39.21875" bestFit="1" customWidth="1"/>
    <col min="42" max="42" width="31.5546875" bestFit="1" customWidth="1"/>
    <col min="43" max="43" width="30.44140625" bestFit="1" customWidth="1"/>
    <col min="44" max="44" width="37.21875" bestFit="1" customWidth="1"/>
    <col min="45" max="45" width="38.21875" bestFit="1" customWidth="1"/>
    <col min="46" max="46" width="33.21875" bestFit="1" customWidth="1"/>
    <col min="47" max="47" width="36.77734375" bestFit="1" customWidth="1"/>
    <col min="48" max="48" width="43.44140625" bestFit="1" customWidth="1"/>
    <col min="49" max="49" width="41.77734375" bestFit="1" customWidth="1"/>
    <col min="50" max="50" width="42.44140625" bestFit="1" customWidth="1"/>
    <col min="51" max="51" width="52.5546875" bestFit="1" customWidth="1"/>
    <col min="52" max="52" width="36.44140625" bestFit="1" customWidth="1"/>
    <col min="53" max="53" width="37.21875" bestFit="1" customWidth="1"/>
    <col min="54" max="54" width="38.21875" bestFit="1" customWidth="1"/>
    <col min="55" max="55" width="38" bestFit="1" customWidth="1"/>
    <col min="56" max="56" width="37.21875" bestFit="1" customWidth="1"/>
    <col min="57" max="57" width="41.44140625" style="155" bestFit="1" customWidth="1"/>
    <col min="58" max="58" width="41.5546875" style="155" bestFit="1" customWidth="1"/>
    <col min="59" max="59" width="37" style="155" bestFit="1" customWidth="1"/>
    <col min="60" max="61" width="53.5546875" style="155" bestFit="1" customWidth="1"/>
    <col min="62" max="62" width="31.77734375" bestFit="1" customWidth="1"/>
    <col min="63" max="63" width="32.44140625" bestFit="1" customWidth="1"/>
  </cols>
  <sheetData>
    <row r="1" spans="1:63" ht="15" thickBot="1" x14ac:dyDescent="0.35">
      <c r="A1" s="3" t="s">
        <v>84</v>
      </c>
      <c r="B1" s="6" t="s">
        <v>83</v>
      </c>
      <c r="C1" s="3" t="s">
        <v>760</v>
      </c>
      <c r="D1" t="s">
        <v>762</v>
      </c>
      <c r="E1" t="s">
        <v>763</v>
      </c>
      <c r="F1" t="s">
        <v>764</v>
      </c>
      <c r="G1" t="s">
        <v>765</v>
      </c>
      <c r="H1" t="s">
        <v>766</v>
      </c>
      <c r="I1" s="38" t="s">
        <v>767</v>
      </c>
      <c r="M1" s="3"/>
      <c r="N1" s="3"/>
      <c r="O1" s="3"/>
      <c r="P1" s="3"/>
      <c r="Q1" s="3" t="s">
        <v>82</v>
      </c>
      <c r="R1" s="19" t="s">
        <v>85</v>
      </c>
      <c r="S1" s="20" t="s">
        <v>86</v>
      </c>
      <c r="T1" s="1" t="s">
        <v>87</v>
      </c>
      <c r="U1" s="1" t="s">
        <v>88</v>
      </c>
      <c r="V1" s="1" t="s">
        <v>89</v>
      </c>
      <c r="W1" s="1" t="s">
        <v>90</v>
      </c>
      <c r="X1" s="1" t="s">
        <v>103</v>
      </c>
      <c r="Y1" s="1" t="s">
        <v>91</v>
      </c>
      <c r="Z1" s="1" t="s">
        <v>99</v>
      </c>
      <c r="AA1" s="1" t="s">
        <v>92</v>
      </c>
      <c r="AB1" s="1" t="s">
        <v>93</v>
      </c>
      <c r="AC1" s="1" t="s">
        <v>94</v>
      </c>
      <c r="AD1" s="1" t="s">
        <v>114</v>
      </c>
      <c r="AE1" s="1" t="s">
        <v>95</v>
      </c>
      <c r="AF1" s="24" t="s">
        <v>105</v>
      </c>
      <c r="AG1" s="38" t="s">
        <v>634</v>
      </c>
      <c r="AH1" s="1" t="s">
        <v>96</v>
      </c>
      <c r="AI1" s="1" t="s">
        <v>97</v>
      </c>
      <c r="AJ1" s="1" t="s">
        <v>98</v>
      </c>
      <c r="AK1" s="1" t="s">
        <v>106</v>
      </c>
      <c r="AL1" s="1" t="s">
        <v>107</v>
      </c>
      <c r="AM1" s="1" t="s">
        <v>108</v>
      </c>
      <c r="AN1" s="1" t="s">
        <v>113</v>
      </c>
      <c r="AO1" s="1" t="s">
        <v>122</v>
      </c>
      <c r="AP1" s="1" t="s">
        <v>123</v>
      </c>
      <c r="AQ1" s="1" t="s">
        <v>125</v>
      </c>
      <c r="AR1" t="s">
        <v>126</v>
      </c>
      <c r="AS1" s="32" t="s">
        <v>127</v>
      </c>
      <c r="AT1" s="32" t="s">
        <v>128</v>
      </c>
      <c r="AU1" s="25" t="s">
        <v>129</v>
      </c>
      <c r="AV1" s="25" t="s">
        <v>131</v>
      </c>
      <c r="AW1" s="25" t="s">
        <v>134</v>
      </c>
      <c r="AX1" s="25" t="s">
        <v>139</v>
      </c>
      <c r="AY1" s="25" t="s">
        <v>140</v>
      </c>
      <c r="AZ1" s="25" t="s">
        <v>141</v>
      </c>
      <c r="BA1" s="38" t="s">
        <v>688</v>
      </c>
      <c r="BB1" s="1" t="s">
        <v>121</v>
      </c>
      <c r="BC1" s="1" t="s">
        <v>33</v>
      </c>
      <c r="BD1" t="s">
        <v>689</v>
      </c>
      <c r="BE1" s="155" t="s">
        <v>706</v>
      </c>
      <c r="BF1" s="155" t="s">
        <v>707</v>
      </c>
      <c r="BG1" s="155" t="s">
        <v>726</v>
      </c>
      <c r="BH1" s="156" t="s">
        <v>729</v>
      </c>
      <c r="BI1" s="156" t="s">
        <v>730</v>
      </c>
      <c r="BJ1" t="s">
        <v>734</v>
      </c>
      <c r="BK1" t="s">
        <v>736</v>
      </c>
    </row>
    <row r="2" spans="1:63" ht="216.6" thickBot="1" x14ac:dyDescent="0.35">
      <c r="A2" s="189" t="s">
        <v>801</v>
      </c>
      <c r="B2" s="29" t="s">
        <v>18</v>
      </c>
      <c r="C2" s="190" t="s">
        <v>793</v>
      </c>
      <c r="D2" s="163" t="s">
        <v>740</v>
      </c>
      <c r="E2" s="163"/>
      <c r="F2" s="163"/>
      <c r="G2" s="163"/>
      <c r="H2" s="163" t="b">
        <v>1</v>
      </c>
      <c r="I2" s="25" t="s">
        <v>116</v>
      </c>
      <c r="J2" s="163"/>
      <c r="K2" s="163"/>
      <c r="L2" s="163"/>
      <c r="M2" s="163"/>
      <c r="N2" s="163"/>
      <c r="O2" s="163"/>
      <c r="P2" s="163"/>
      <c r="Q2" s="28" t="s">
        <v>724</v>
      </c>
      <c r="R2" s="26" t="s">
        <v>679</v>
      </c>
      <c r="S2" s="27" t="s">
        <v>680</v>
      </c>
      <c r="T2" s="7" t="s">
        <v>684</v>
      </c>
      <c r="U2" s="25" t="s">
        <v>1</v>
      </c>
      <c r="V2" s="25" t="s">
        <v>1</v>
      </c>
      <c r="W2" s="25" t="s">
        <v>1</v>
      </c>
      <c r="X2" s="32" t="str">
        <f ca="1">IF(MONTH(TODAY())&lt;10,"0"&amp;MONTH(TODAY())&amp;"/",MONTH(TODAY())&amp;"/") &amp; IF(DAY(TODAY())&lt;10,"0"&amp;DAY(TODAY())&amp;"/",DAY(TODAY())&amp;"/") &amp; YEAR(TODAY())</f>
        <v>01/23/2025</v>
      </c>
      <c r="Y2" s="25" t="s">
        <v>15</v>
      </c>
      <c r="Z2" s="25" t="s">
        <v>100</v>
      </c>
      <c r="AA2" s="25" t="s">
        <v>39</v>
      </c>
      <c r="AB2" s="25" t="s">
        <v>690</v>
      </c>
      <c r="AC2" s="25" t="s">
        <v>42</v>
      </c>
      <c r="AD2" t="s">
        <v>732</v>
      </c>
      <c r="AE2" s="25" t="s">
        <v>116</v>
      </c>
      <c r="AF2" s="32" t="str">
        <f ca="1">IF(MONTH(TODAY())&lt;10,"0"&amp;MONTH(TODAY())&amp;"/",MONTH(TODAY())&amp;"/") &amp; IF(DAY(TODAY())&lt;10,"0"&amp;DAY(TODAY())&amp;"/",DAY(TODAY())&amp;"/") &amp; YEAR(TODAY())</f>
        <v>01/23/2025</v>
      </c>
      <c r="AG2" s="25" t="s">
        <v>20</v>
      </c>
      <c r="AH2" s="25" t="s">
        <v>727</v>
      </c>
      <c r="AI2" s="25">
        <v>10223439</v>
      </c>
      <c r="AJ2" s="25" t="s">
        <v>687</v>
      </c>
      <c r="AK2" s="25" t="s">
        <v>109</v>
      </c>
      <c r="AL2" s="25" t="s">
        <v>24</v>
      </c>
      <c r="AM2" s="25" t="s">
        <v>681</v>
      </c>
      <c r="AN2" s="32" t="str">
        <f ca="1">IF(MONTH(TODAY())&lt;10,"0"&amp;MONTH(TODAY())&amp;"/",MONTH(TODAY())&amp;"/") &amp; IF(DAY(TODAY())&lt;10,"0"&amp;DAY(TODAY())&amp;"/",DAY(TODAY())&amp;"/") &amp; YEAR(TODAY())</f>
        <v>01/23/2025</v>
      </c>
      <c r="AO2" t="s">
        <v>124</v>
      </c>
      <c r="AP2" t="s">
        <v>124</v>
      </c>
      <c r="AV2" t="s">
        <v>132</v>
      </c>
      <c r="AW2" t="s">
        <v>135</v>
      </c>
      <c r="AX2" s="7" t="s">
        <v>12</v>
      </c>
      <c r="AY2" s="25" t="s">
        <v>728</v>
      </c>
      <c r="AZ2" s="33" t="s">
        <v>142</v>
      </c>
      <c r="BA2" t="s">
        <v>6</v>
      </c>
      <c r="BB2" s="32" t="str">
        <f ca="1">IF(MONTH(TODAY()+100)&lt;10,"0"&amp;MONTH(TODAY()+100)&amp;"/",MONTH(TODAY()+100)&amp;"/") &amp; IF(DAY(TODAY()+100)&lt;10,"0"&amp;DAY(TODAY()+100)&amp;"/",DAY(TODAY()+100)&amp;"/") &amp; YEAR(TODAY()+100)</f>
        <v>05/03/2025</v>
      </c>
      <c r="BC2" t="s">
        <v>18</v>
      </c>
      <c r="BD2" t="s">
        <v>18</v>
      </c>
      <c r="BE2" s="157" t="s">
        <v>699</v>
      </c>
      <c r="BF2" s="158" t="s">
        <v>696</v>
      </c>
      <c r="BG2" s="155" t="s">
        <v>725</v>
      </c>
      <c r="BH2" s="156" t="s">
        <v>728</v>
      </c>
      <c r="BI2" s="156" t="s">
        <v>733</v>
      </c>
      <c r="BJ2" s="154" t="s">
        <v>735</v>
      </c>
      <c r="BK2" s="155" t="s">
        <v>737</v>
      </c>
    </row>
    <row r="3" spans="1:63" ht="15" thickBot="1" x14ac:dyDescent="0.35">
      <c r="A3" s="4" t="s">
        <v>739</v>
      </c>
      <c r="B3" s="30" t="s">
        <v>19</v>
      </c>
      <c r="C3" s="191" t="s">
        <v>794</v>
      </c>
      <c r="D3" s="163" t="s">
        <v>779</v>
      </c>
      <c r="E3" s="163"/>
      <c r="F3" s="163"/>
      <c r="G3" s="163"/>
      <c r="H3" s="163" t="b">
        <v>0</v>
      </c>
      <c r="I3" s="25" t="s">
        <v>117</v>
      </c>
      <c r="J3" s="163"/>
      <c r="K3" s="163"/>
      <c r="L3" s="163"/>
      <c r="M3" s="163"/>
      <c r="N3" s="163"/>
      <c r="O3" s="163"/>
      <c r="P3" s="163"/>
      <c r="Q3" s="13" t="s">
        <v>691</v>
      </c>
      <c r="R3" s="26" t="s">
        <v>679</v>
      </c>
      <c r="S3" s="27" t="s">
        <v>680</v>
      </c>
      <c r="T3" s="25" t="s">
        <v>685</v>
      </c>
      <c r="U3" s="25" t="s">
        <v>13</v>
      </c>
      <c r="V3" s="25" t="s">
        <v>13</v>
      </c>
      <c r="W3" s="25" t="s">
        <v>13</v>
      </c>
      <c r="X3" s="32" t="str">
        <f ca="1">IF(MONTH(TODAY()-10)&lt;10,"0"&amp;MONTH(TODAY()-10)&amp;"/",MONTH(TODAY()-10))&amp;"/" &amp; IF(DAY(TODAY()-10)&lt;10,"0"&amp;DAY(TODAY()-10)&amp;"/",DAY(TODAY()-10)&amp;"/") &amp; YEAR(TODAY()-10)</f>
        <v>01//13/2025</v>
      </c>
      <c r="Z3" s="25" t="s">
        <v>101</v>
      </c>
      <c r="AA3" s="25" t="s">
        <v>40</v>
      </c>
      <c r="AB3" s="31" t="s">
        <v>17</v>
      </c>
      <c r="AC3" s="25" t="s">
        <v>43</v>
      </c>
      <c r="AD3" s="25"/>
      <c r="AE3" s="25" t="s">
        <v>117</v>
      </c>
      <c r="AF3" s="32" t="str">
        <f ca="1">IF(MONTH(TODAY()+100)&lt;10,"0"&amp;MONTH(TODAY()+100)&amp;"/",MONTH(TODAY()+100)&amp;"/") &amp; IF(DAY(TODAY()+100)&lt;10,"0"&amp;DAY(TODAY()+100)&amp;"/",DAY(TODAY()+100)&amp;"/") &amp; YEAR(TODAY()+100)</f>
        <v>05/03/2025</v>
      </c>
      <c r="AH3" s="25" t="s">
        <v>738</v>
      </c>
      <c r="AI3">
        <v>10225553</v>
      </c>
      <c r="AJ3" s="25" t="s">
        <v>719</v>
      </c>
      <c r="AK3" s="25" t="s">
        <v>110</v>
      </c>
      <c r="AL3" s="25" t="s">
        <v>45</v>
      </c>
      <c r="AM3" s="25" t="s">
        <v>683</v>
      </c>
      <c r="AN3" s="32" t="str">
        <f ca="1">IF(MONTH(TODAY()+100)&lt;10,"0"&amp;MONTH(TODAY()+100)&amp;"/",MONTH(TODAY()+100)&amp;"/") &amp; IF(DAY(TODAY()+100)&lt;10,"0"&amp;DAY(TODAY()+100)&amp;"/",DAY(TODAY()+100)&amp;"/") &amp; YEAR(TODAY()+100)</f>
        <v>05/03/2025</v>
      </c>
      <c r="AO3" s="32"/>
      <c r="AP3" s="32"/>
      <c r="AQ3" s="32"/>
      <c r="AR3" s="32"/>
      <c r="AS3" s="32"/>
      <c r="AT3" s="32"/>
      <c r="AU3" s="32"/>
      <c r="AV3" s="32" t="s">
        <v>130</v>
      </c>
      <c r="AW3" s="32" t="s">
        <v>136</v>
      </c>
      <c r="AX3" s="25" t="s">
        <v>36</v>
      </c>
      <c r="AY3" s="25" t="s">
        <v>733</v>
      </c>
      <c r="AZ3" s="25" t="s">
        <v>635</v>
      </c>
      <c r="BA3" s="41" t="s">
        <v>686</v>
      </c>
      <c r="BB3" s="32" t="str">
        <f ca="1">IF(MONTH(TODAY()+1000)&lt;10,"0"&amp;MONTH(TODAY()+1000)&amp;"/",MONTH(TODAY()+1000)&amp;"/") &amp; IF(DAY(TODAY()+1000)&lt;10,"0"&amp;DAY(TODAY()+1000)&amp;"/",DAY(TODAY()+1000)&amp;"/") &amp; YEAR(TODAY()+1000)</f>
        <v>10/20/2027</v>
      </c>
      <c r="BC3" t="s">
        <v>19</v>
      </c>
      <c r="BD3" t="s">
        <v>19</v>
      </c>
      <c r="BE3" s="157" t="s">
        <v>697</v>
      </c>
      <c r="BF3" s="156" t="s">
        <v>698</v>
      </c>
    </row>
    <row r="4" spans="1:63" ht="15" thickBot="1" x14ac:dyDescent="0.35">
      <c r="A4" s="2" t="s">
        <v>791</v>
      </c>
      <c r="C4" t="s">
        <v>795</v>
      </c>
      <c r="D4" t="s">
        <v>802</v>
      </c>
      <c r="I4" s="25" t="s">
        <v>118</v>
      </c>
      <c r="Q4" s="13"/>
      <c r="R4" s="26" t="s">
        <v>34</v>
      </c>
      <c r="S4" s="27" t="s">
        <v>35</v>
      </c>
      <c r="X4" s="32" t="str">
        <f ca="1">IF(MONTH(TODAY()+10)&lt;10,"0"&amp;MONTH(TODAY()+10)&amp;"/",MONTH(TODAY()+10)&amp;"/") &amp; IF(DAY(TODAY()+10)&lt;10,"0"&amp;DAY(TODAY()+10)&amp;"/",DAY(TODAY()+10)&amp;"/") &amp; YEAR(TODAY()+10)</f>
        <v>02/02/2025</v>
      </c>
      <c r="Z4" s="25" t="s">
        <v>102</v>
      </c>
      <c r="AA4" s="25" t="s">
        <v>16</v>
      </c>
      <c r="AB4" s="31" t="s">
        <v>66</v>
      </c>
      <c r="AE4" s="25" t="s">
        <v>118</v>
      </c>
      <c r="AF4" s="32" t="str">
        <f ca="1">IF(MONTH(TODAY()+1000)&lt;10,"0"&amp;MONTH(TODAY()+1000)&amp;"/",MONTH(TODAY()+1000)&amp;"/") &amp; IF(DAY(TODAY()+1000)&lt;10,"0"&amp;DAY(TODAY()+1000)&amp;"/",DAY(TODAY()+1000)&amp;"/") &amp; YEAR(TODAY()+1000)</f>
        <v>10/20/2027</v>
      </c>
      <c r="AK4" s="25" t="s">
        <v>111</v>
      </c>
      <c r="AL4" s="25" t="s">
        <v>46</v>
      </c>
      <c r="AM4" s="25" t="s">
        <v>682</v>
      </c>
      <c r="AN4" s="32" t="str">
        <f ca="1">IF(MONTH(TODAY()+1000)&lt;10,"0"&amp;MONTH(TODAY()+1000)&amp;"/",MONTH(TODAY()+1000)&amp;"/") &amp; IF(DAY(TODAY()+1000)&lt;10,"0"&amp;DAY(TODAY()+1000)&amp;"/",DAY(TODAY()+1000)&amp;"/") &amp; YEAR(TODAY()+1000)</f>
        <v>10/20/2027</v>
      </c>
      <c r="AO4" s="32"/>
      <c r="AP4" s="32"/>
      <c r="AQ4" s="32"/>
      <c r="AR4" s="32"/>
      <c r="AS4" s="32"/>
      <c r="AT4" s="32"/>
      <c r="AU4" s="32"/>
      <c r="AV4" s="32" t="s">
        <v>133</v>
      </c>
      <c r="AW4" s="32" t="s">
        <v>137</v>
      </c>
      <c r="AX4" s="32"/>
      <c r="AY4" s="32"/>
      <c r="AZ4" s="32"/>
      <c r="BA4" s="32"/>
      <c r="BB4" s="25" t="s">
        <v>6</v>
      </c>
      <c r="BE4" s="157" t="s">
        <v>702</v>
      </c>
      <c r="BF4" s="158" t="s">
        <v>700</v>
      </c>
    </row>
    <row r="5" spans="1:63" x14ac:dyDescent="0.3">
      <c r="A5" s="2" t="s">
        <v>792</v>
      </c>
      <c r="C5" t="s">
        <v>796</v>
      </c>
      <c r="I5" s="25" t="s">
        <v>119</v>
      </c>
      <c r="Q5" s="13"/>
      <c r="R5" s="26" t="s">
        <v>34</v>
      </c>
      <c r="S5" s="27" t="s">
        <v>35</v>
      </c>
      <c r="Z5" s="25" t="s">
        <v>6</v>
      </c>
      <c r="AA5" s="25" t="s">
        <v>41</v>
      </c>
      <c r="AB5" s="31" t="s">
        <v>67</v>
      </c>
      <c r="AE5" s="25" t="s">
        <v>119</v>
      </c>
      <c r="AF5" s="25" t="s">
        <v>6</v>
      </c>
      <c r="AK5" s="25" t="s">
        <v>112</v>
      </c>
      <c r="AL5" s="25" t="s">
        <v>47</v>
      </c>
      <c r="AN5" s="25" t="s">
        <v>6</v>
      </c>
      <c r="AO5" s="25"/>
      <c r="AP5" s="25"/>
      <c r="AQ5" s="25"/>
      <c r="AR5" s="25"/>
      <c r="AS5" s="25"/>
      <c r="AT5" s="25"/>
      <c r="AU5" s="25"/>
      <c r="AV5" s="25"/>
      <c r="AW5" s="25" t="s">
        <v>138</v>
      </c>
      <c r="AX5" s="25"/>
      <c r="AY5" s="25"/>
      <c r="AZ5" s="25"/>
      <c r="BA5" s="25"/>
      <c r="BE5" s="157" t="s">
        <v>703</v>
      </c>
      <c r="BF5" s="156" t="s">
        <v>701</v>
      </c>
    </row>
    <row r="6" spans="1:63" x14ac:dyDescent="0.3">
      <c r="A6" s="189" t="s">
        <v>740</v>
      </c>
      <c r="C6" t="s">
        <v>679</v>
      </c>
      <c r="I6" s="25" t="s">
        <v>120</v>
      </c>
      <c r="S6" s="14"/>
      <c r="AB6" s="31" t="s">
        <v>68</v>
      </c>
      <c r="AE6" s="25" t="s">
        <v>120</v>
      </c>
      <c r="AF6" s="25"/>
      <c r="AL6" s="25" t="s">
        <v>48</v>
      </c>
      <c r="BE6" s="157" t="s">
        <v>708</v>
      </c>
      <c r="BF6" s="156" t="s">
        <v>709</v>
      </c>
    </row>
    <row r="7" spans="1:63" x14ac:dyDescent="0.3">
      <c r="A7" s="186" t="s">
        <v>16</v>
      </c>
      <c r="C7" t="s">
        <v>797</v>
      </c>
      <c r="Q7" s="13"/>
      <c r="S7" s="14"/>
      <c r="AB7" s="31" t="s">
        <v>69</v>
      </c>
      <c r="BE7" s="157" t="s">
        <v>710</v>
      </c>
      <c r="BF7" s="156" t="s">
        <v>711</v>
      </c>
    </row>
    <row r="8" spans="1:63" x14ac:dyDescent="0.3">
      <c r="C8" t="s">
        <v>761</v>
      </c>
      <c r="Q8" s="13"/>
      <c r="S8" s="14"/>
      <c r="AB8" s="31" t="s">
        <v>70</v>
      </c>
      <c r="BE8" s="155" t="s">
        <v>714</v>
      </c>
      <c r="BF8" s="156" t="s">
        <v>715</v>
      </c>
    </row>
    <row r="9" spans="1:63" ht="15" thickBot="1" x14ac:dyDescent="0.35">
      <c r="C9" t="s">
        <v>798</v>
      </c>
      <c r="Q9" s="15"/>
      <c r="R9" s="16"/>
      <c r="S9" s="17"/>
      <c r="AB9" s="31" t="s">
        <v>71</v>
      </c>
      <c r="BE9" s="157" t="s">
        <v>712</v>
      </c>
      <c r="BF9" s="159" t="s">
        <v>713</v>
      </c>
    </row>
    <row r="10" spans="1:63" x14ac:dyDescent="0.3">
      <c r="C10" t="s">
        <v>34</v>
      </c>
      <c r="AB10" s="31" t="s">
        <v>72</v>
      </c>
    </row>
    <row r="11" spans="1:63" x14ac:dyDescent="0.3">
      <c r="C11" t="s">
        <v>799</v>
      </c>
      <c r="AB11" s="31" t="s">
        <v>73</v>
      </c>
      <c r="BE11" s="160"/>
    </row>
    <row r="12" spans="1:63" x14ac:dyDescent="0.3">
      <c r="C12" t="s">
        <v>790</v>
      </c>
      <c r="AB12" s="31" t="s">
        <v>74</v>
      </c>
    </row>
    <row r="13" spans="1:63" x14ac:dyDescent="0.3">
      <c r="C13" t="s">
        <v>800</v>
      </c>
      <c r="AB13" s="31" t="s">
        <v>75</v>
      </c>
    </row>
    <row r="14" spans="1:63" x14ac:dyDescent="0.3">
      <c r="C14" t="s">
        <v>0</v>
      </c>
      <c r="AB14" s="31" t="s">
        <v>76</v>
      </c>
    </row>
    <row r="15" spans="1:63" x14ac:dyDescent="0.3">
      <c r="C15" t="s">
        <v>721</v>
      </c>
      <c r="AB15" s="31" t="s">
        <v>77</v>
      </c>
    </row>
    <row r="21" spans="17:57" x14ac:dyDescent="0.3">
      <c r="Y21" t="s">
        <v>37</v>
      </c>
      <c r="AI21">
        <v>8701839</v>
      </c>
      <c r="AJ21" t="s">
        <v>22</v>
      </c>
      <c r="AK21" t="s">
        <v>23</v>
      </c>
      <c r="BD21" t="s">
        <v>26</v>
      </c>
    </row>
    <row r="22" spans="17:57" x14ac:dyDescent="0.3">
      <c r="Q22" t="s">
        <v>9</v>
      </c>
      <c r="R22" t="s">
        <v>0</v>
      </c>
      <c r="S22" t="s">
        <v>11</v>
      </c>
      <c r="Y22" t="s">
        <v>38</v>
      </c>
      <c r="AK22" t="s">
        <v>44</v>
      </c>
      <c r="AM22" t="s">
        <v>25</v>
      </c>
      <c r="BD22" t="s">
        <v>50</v>
      </c>
      <c r="BE22" s="155" t="s">
        <v>56</v>
      </c>
    </row>
    <row r="23" spans="17:57" x14ac:dyDescent="0.3">
      <c r="AK23" t="s">
        <v>40</v>
      </c>
      <c r="AM23" t="s">
        <v>49</v>
      </c>
      <c r="BE23" s="155" t="s">
        <v>55</v>
      </c>
    </row>
    <row r="24" spans="17:57" x14ac:dyDescent="0.3">
      <c r="Q24" s="18" t="s">
        <v>78</v>
      </c>
      <c r="R24" t="s">
        <v>34</v>
      </c>
      <c r="S24" s="14" t="s">
        <v>35</v>
      </c>
      <c r="BE24" s="155" t="s">
        <v>54</v>
      </c>
    </row>
    <row r="25" spans="17:57" x14ac:dyDescent="0.3">
      <c r="Q25" s="18" t="s">
        <v>79</v>
      </c>
      <c r="R25" t="s">
        <v>34</v>
      </c>
      <c r="S25" s="14" t="s">
        <v>35</v>
      </c>
      <c r="BE25" s="155" t="s">
        <v>53</v>
      </c>
    </row>
    <row r="26" spans="17:57" x14ac:dyDescent="0.3">
      <c r="BE26" s="155" t="s">
        <v>27</v>
      </c>
    </row>
    <row r="27" spans="17:57" x14ac:dyDescent="0.3">
      <c r="BE27" s="155" t="s">
        <v>52</v>
      </c>
    </row>
    <row r="28" spans="17:57" x14ac:dyDescent="0.3">
      <c r="BE28" s="155" t="s">
        <v>51</v>
      </c>
    </row>
  </sheetData>
  <hyperlinks>
    <hyperlink ref="C2" location="Slovakia!A1" display="Slovakia" xr:uid="{00000000-0004-0000-0400-000000000000}"/>
    <hyperlink ref="C3" location="Slovenia!A1" display="Slovenia" xr:uid="{00000000-0004-0000-0400-000001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33"/>
  <sheetViews>
    <sheetView workbookViewId="0">
      <selection activeCell="R125" sqref="P125:R129"/>
    </sheetView>
  </sheetViews>
  <sheetFormatPr defaultColWidth="8.77734375" defaultRowHeight="14.4" x14ac:dyDescent="0.3"/>
  <cols>
    <col min="2" max="4" width="10.77734375" bestFit="1" customWidth="1"/>
    <col min="6" max="7" width="11.77734375" bestFit="1" customWidth="1"/>
    <col min="8" max="20" width="11" bestFit="1" customWidth="1"/>
    <col min="24" max="24" width="16.5546875" bestFit="1" customWidth="1"/>
    <col min="26" max="26" width="16.77734375" customWidth="1"/>
  </cols>
  <sheetData>
    <row r="1" spans="1:8" x14ac:dyDescent="0.3">
      <c r="A1" s="149" t="s">
        <v>695</v>
      </c>
      <c r="B1" s="150">
        <v>35139</v>
      </c>
      <c r="C1" s="150">
        <v>33054</v>
      </c>
      <c r="D1" s="150">
        <v>31390</v>
      </c>
      <c r="F1" s="151" t="s">
        <v>716</v>
      </c>
      <c r="G1" s="151" t="s">
        <v>717</v>
      </c>
      <c r="H1" s="151" t="s">
        <v>718</v>
      </c>
    </row>
    <row r="2" spans="1:8" x14ac:dyDescent="0.3">
      <c r="B2" s="25">
        <v>9603150007</v>
      </c>
      <c r="C2">
        <v>9006300006</v>
      </c>
      <c r="D2">
        <v>8512090004</v>
      </c>
      <c r="F2" s="151">
        <f>B2/11</f>
        <v>873013637</v>
      </c>
      <c r="G2" s="151">
        <f>C2/11</f>
        <v>818754546</v>
      </c>
      <c r="H2" s="151">
        <f>D2/11</f>
        <v>773826364</v>
      </c>
    </row>
    <row r="3" spans="1:8" x14ac:dyDescent="0.3">
      <c r="B3" s="25">
        <f>B2+11</f>
        <v>9603150018</v>
      </c>
      <c r="C3">
        <f>C2+11</f>
        <v>9006300017</v>
      </c>
      <c r="D3">
        <f>D2+11</f>
        <v>8512090015</v>
      </c>
      <c r="F3" s="151">
        <f t="shared" ref="F3:H28" si="0">B3/11</f>
        <v>873013638</v>
      </c>
      <c r="G3" s="151">
        <f t="shared" si="0"/>
        <v>818754547</v>
      </c>
      <c r="H3" s="151">
        <f t="shared" si="0"/>
        <v>773826365</v>
      </c>
    </row>
    <row r="4" spans="1:8" x14ac:dyDescent="0.3">
      <c r="B4" s="25">
        <f t="shared" ref="B4:B67" si="1">B3+11</f>
        <v>9603150029</v>
      </c>
      <c r="C4">
        <f t="shared" ref="C4:D19" si="2">C3+11</f>
        <v>9006300028</v>
      </c>
      <c r="D4">
        <f t="shared" si="2"/>
        <v>8512090026</v>
      </c>
      <c r="F4" s="151">
        <f t="shared" si="0"/>
        <v>873013639</v>
      </c>
      <c r="G4" s="151">
        <f t="shared" si="0"/>
        <v>818754548</v>
      </c>
      <c r="H4" s="151">
        <f t="shared" si="0"/>
        <v>773826366</v>
      </c>
    </row>
    <row r="5" spans="1:8" x14ac:dyDescent="0.3">
      <c r="B5" s="25">
        <f t="shared" si="1"/>
        <v>9603150040</v>
      </c>
      <c r="C5">
        <f t="shared" si="2"/>
        <v>9006300039</v>
      </c>
      <c r="D5">
        <f t="shared" si="2"/>
        <v>8512090037</v>
      </c>
      <c r="F5" s="151">
        <f t="shared" si="0"/>
        <v>873013640</v>
      </c>
      <c r="G5" s="151">
        <f t="shared" si="0"/>
        <v>818754549</v>
      </c>
      <c r="H5" s="151">
        <f t="shared" si="0"/>
        <v>773826367</v>
      </c>
    </row>
    <row r="6" spans="1:8" x14ac:dyDescent="0.3">
      <c r="B6" s="25">
        <f t="shared" si="1"/>
        <v>9603150051</v>
      </c>
      <c r="C6">
        <f t="shared" si="2"/>
        <v>9006300050</v>
      </c>
      <c r="D6">
        <f t="shared" si="2"/>
        <v>8512090048</v>
      </c>
      <c r="F6" s="151">
        <f t="shared" si="0"/>
        <v>873013641</v>
      </c>
      <c r="G6" s="151">
        <f t="shared" si="0"/>
        <v>818754550</v>
      </c>
      <c r="H6" s="151">
        <f t="shared" si="0"/>
        <v>773826368</v>
      </c>
    </row>
    <row r="7" spans="1:8" x14ac:dyDescent="0.3">
      <c r="B7" s="25">
        <f t="shared" si="1"/>
        <v>9603150062</v>
      </c>
      <c r="C7">
        <f t="shared" si="2"/>
        <v>9006300061</v>
      </c>
      <c r="D7">
        <f t="shared" si="2"/>
        <v>8512090059</v>
      </c>
      <c r="F7" s="151">
        <f t="shared" si="0"/>
        <v>873013642</v>
      </c>
      <c r="G7" s="151">
        <f t="shared" si="0"/>
        <v>818754551</v>
      </c>
      <c r="H7" s="151">
        <f t="shared" si="0"/>
        <v>773826369</v>
      </c>
    </row>
    <row r="8" spans="1:8" x14ac:dyDescent="0.3">
      <c r="B8" s="25">
        <f t="shared" si="1"/>
        <v>9603150073</v>
      </c>
      <c r="C8">
        <f t="shared" si="2"/>
        <v>9006300072</v>
      </c>
      <c r="D8">
        <f t="shared" si="2"/>
        <v>8512090070</v>
      </c>
      <c r="F8" s="151">
        <f t="shared" si="0"/>
        <v>873013643</v>
      </c>
      <c r="G8" s="151">
        <f t="shared" si="0"/>
        <v>818754552</v>
      </c>
      <c r="H8" s="151">
        <f t="shared" si="0"/>
        <v>773826370</v>
      </c>
    </row>
    <row r="9" spans="1:8" x14ac:dyDescent="0.3">
      <c r="B9" s="25">
        <f t="shared" si="1"/>
        <v>9603150084</v>
      </c>
      <c r="C9">
        <f t="shared" si="2"/>
        <v>9006300083</v>
      </c>
      <c r="D9">
        <f t="shared" si="2"/>
        <v>8512090081</v>
      </c>
      <c r="F9" s="151">
        <f t="shared" si="0"/>
        <v>873013644</v>
      </c>
      <c r="G9" s="151">
        <f t="shared" si="0"/>
        <v>818754553</v>
      </c>
      <c r="H9" s="151">
        <f t="shared" si="0"/>
        <v>773826371</v>
      </c>
    </row>
    <row r="10" spans="1:8" x14ac:dyDescent="0.3">
      <c r="B10" s="25">
        <f t="shared" si="1"/>
        <v>9603150095</v>
      </c>
      <c r="C10">
        <f t="shared" si="2"/>
        <v>9006300094</v>
      </c>
      <c r="D10">
        <f t="shared" si="2"/>
        <v>8512090092</v>
      </c>
      <c r="F10" s="151">
        <f t="shared" si="0"/>
        <v>873013645</v>
      </c>
      <c r="G10" s="151">
        <f t="shared" si="0"/>
        <v>818754554</v>
      </c>
      <c r="H10" s="151">
        <f t="shared" si="0"/>
        <v>773826372</v>
      </c>
    </row>
    <row r="11" spans="1:8" x14ac:dyDescent="0.3">
      <c r="B11" s="25">
        <f t="shared" si="1"/>
        <v>9603150106</v>
      </c>
      <c r="C11">
        <f t="shared" si="2"/>
        <v>9006300105</v>
      </c>
      <c r="D11">
        <f t="shared" si="2"/>
        <v>8512090103</v>
      </c>
      <c r="F11" s="151">
        <f t="shared" si="0"/>
        <v>873013646</v>
      </c>
      <c r="G11" s="151">
        <f t="shared" si="0"/>
        <v>818754555</v>
      </c>
      <c r="H11" s="151">
        <f t="shared" si="0"/>
        <v>773826373</v>
      </c>
    </row>
    <row r="12" spans="1:8" x14ac:dyDescent="0.3">
      <c r="B12" s="25">
        <f t="shared" si="1"/>
        <v>9603150117</v>
      </c>
      <c r="C12">
        <f t="shared" si="2"/>
        <v>9006300116</v>
      </c>
      <c r="D12">
        <f t="shared" si="2"/>
        <v>8512090114</v>
      </c>
      <c r="F12" s="151">
        <f t="shared" si="0"/>
        <v>873013647</v>
      </c>
      <c r="G12" s="151">
        <f t="shared" si="0"/>
        <v>818754556</v>
      </c>
      <c r="H12" s="151">
        <f t="shared" si="0"/>
        <v>773826374</v>
      </c>
    </row>
    <row r="13" spans="1:8" x14ac:dyDescent="0.3">
      <c r="B13" s="25">
        <f t="shared" si="1"/>
        <v>9603150128</v>
      </c>
      <c r="C13">
        <f t="shared" si="2"/>
        <v>9006300127</v>
      </c>
      <c r="D13">
        <f t="shared" si="2"/>
        <v>8512090125</v>
      </c>
      <c r="F13" s="151">
        <f t="shared" si="0"/>
        <v>873013648</v>
      </c>
      <c r="G13" s="151">
        <f t="shared" si="0"/>
        <v>818754557</v>
      </c>
      <c r="H13" s="151">
        <f t="shared" si="0"/>
        <v>773826375</v>
      </c>
    </row>
    <row r="14" spans="1:8" x14ac:dyDescent="0.3">
      <c r="B14" s="25">
        <f t="shared" si="1"/>
        <v>9603150139</v>
      </c>
      <c r="C14">
        <f t="shared" si="2"/>
        <v>9006300138</v>
      </c>
      <c r="D14">
        <f t="shared" si="2"/>
        <v>8512090136</v>
      </c>
      <c r="F14" s="151">
        <f t="shared" si="0"/>
        <v>873013649</v>
      </c>
      <c r="G14" s="151">
        <f t="shared" si="0"/>
        <v>818754558</v>
      </c>
      <c r="H14" s="151">
        <f t="shared" si="0"/>
        <v>773826376</v>
      </c>
    </row>
    <row r="15" spans="1:8" x14ac:dyDescent="0.3">
      <c r="B15" s="25">
        <f t="shared" si="1"/>
        <v>9603150150</v>
      </c>
      <c r="C15">
        <f t="shared" si="2"/>
        <v>9006300149</v>
      </c>
      <c r="D15">
        <f t="shared" si="2"/>
        <v>8512090147</v>
      </c>
      <c r="F15" s="151">
        <f t="shared" si="0"/>
        <v>873013650</v>
      </c>
      <c r="G15" s="151">
        <f t="shared" si="0"/>
        <v>818754559</v>
      </c>
      <c r="H15" s="151">
        <f t="shared" si="0"/>
        <v>773826377</v>
      </c>
    </row>
    <row r="16" spans="1:8" x14ac:dyDescent="0.3">
      <c r="B16" s="25">
        <f t="shared" si="1"/>
        <v>9603150161</v>
      </c>
      <c r="C16">
        <f t="shared" si="2"/>
        <v>9006300160</v>
      </c>
      <c r="D16">
        <f t="shared" si="2"/>
        <v>8512090158</v>
      </c>
      <c r="F16" s="151">
        <f t="shared" si="0"/>
        <v>873013651</v>
      </c>
      <c r="G16" s="151">
        <f t="shared" si="0"/>
        <v>818754560</v>
      </c>
      <c r="H16" s="151">
        <f t="shared" si="0"/>
        <v>773826378</v>
      </c>
    </row>
    <row r="17" spans="2:8" x14ac:dyDescent="0.3">
      <c r="B17" s="25">
        <f t="shared" si="1"/>
        <v>9603150172</v>
      </c>
      <c r="C17">
        <f t="shared" si="2"/>
        <v>9006300171</v>
      </c>
      <c r="D17">
        <f t="shared" si="2"/>
        <v>8512090169</v>
      </c>
      <c r="F17" s="151">
        <f t="shared" si="0"/>
        <v>873013652</v>
      </c>
      <c r="G17" s="151">
        <f t="shared" si="0"/>
        <v>818754561</v>
      </c>
      <c r="H17" s="151">
        <f t="shared" si="0"/>
        <v>773826379</v>
      </c>
    </row>
    <row r="18" spans="2:8" x14ac:dyDescent="0.3">
      <c r="B18" s="25">
        <f t="shared" si="1"/>
        <v>9603150183</v>
      </c>
      <c r="C18">
        <f t="shared" si="2"/>
        <v>9006300182</v>
      </c>
      <c r="D18">
        <f t="shared" si="2"/>
        <v>8512090180</v>
      </c>
      <c r="F18" s="151">
        <f t="shared" si="0"/>
        <v>873013653</v>
      </c>
      <c r="G18" s="151">
        <f t="shared" si="0"/>
        <v>818754562</v>
      </c>
      <c r="H18" s="151">
        <f t="shared" si="0"/>
        <v>773826380</v>
      </c>
    </row>
    <row r="19" spans="2:8" x14ac:dyDescent="0.3">
      <c r="B19" s="25">
        <f t="shared" si="1"/>
        <v>9603150194</v>
      </c>
      <c r="C19">
        <f t="shared" si="2"/>
        <v>9006300193</v>
      </c>
      <c r="D19">
        <f t="shared" si="2"/>
        <v>8512090191</v>
      </c>
      <c r="F19" s="151">
        <f t="shared" si="0"/>
        <v>873013654</v>
      </c>
      <c r="G19" s="151">
        <f t="shared" si="0"/>
        <v>818754563</v>
      </c>
      <c r="H19" s="151">
        <f t="shared" si="0"/>
        <v>773826381</v>
      </c>
    </row>
    <row r="20" spans="2:8" x14ac:dyDescent="0.3">
      <c r="B20" s="25">
        <f t="shared" si="1"/>
        <v>9603150205</v>
      </c>
      <c r="C20">
        <f t="shared" ref="C20:D28" si="3">C19+11</f>
        <v>9006300204</v>
      </c>
      <c r="D20">
        <f t="shared" si="3"/>
        <v>8512090202</v>
      </c>
      <c r="F20" s="151">
        <f t="shared" si="0"/>
        <v>873013655</v>
      </c>
      <c r="G20" s="151">
        <f t="shared" si="0"/>
        <v>818754564</v>
      </c>
      <c r="H20" s="151">
        <f t="shared" si="0"/>
        <v>773826382</v>
      </c>
    </row>
    <row r="21" spans="2:8" x14ac:dyDescent="0.3">
      <c r="B21" s="25">
        <f t="shared" si="1"/>
        <v>9603150216</v>
      </c>
      <c r="C21">
        <f t="shared" si="3"/>
        <v>9006300215</v>
      </c>
      <c r="D21">
        <f t="shared" si="3"/>
        <v>8512090213</v>
      </c>
      <c r="F21" s="151">
        <f t="shared" si="0"/>
        <v>873013656</v>
      </c>
      <c r="G21" s="151">
        <f t="shared" si="0"/>
        <v>818754565</v>
      </c>
      <c r="H21" s="151">
        <f t="shared" si="0"/>
        <v>773826383</v>
      </c>
    </row>
    <row r="22" spans="2:8" x14ac:dyDescent="0.3">
      <c r="B22" s="25">
        <f t="shared" si="1"/>
        <v>9603150227</v>
      </c>
      <c r="C22">
        <f t="shared" si="3"/>
        <v>9006300226</v>
      </c>
      <c r="D22">
        <f t="shared" si="3"/>
        <v>8512090224</v>
      </c>
      <c r="F22" s="151">
        <f t="shared" si="0"/>
        <v>873013657</v>
      </c>
      <c r="G22" s="151">
        <f t="shared" si="0"/>
        <v>818754566</v>
      </c>
      <c r="H22" s="151">
        <f t="shared" si="0"/>
        <v>773826384</v>
      </c>
    </row>
    <row r="23" spans="2:8" x14ac:dyDescent="0.3">
      <c r="B23" s="25">
        <f t="shared" si="1"/>
        <v>9603150238</v>
      </c>
      <c r="C23">
        <f t="shared" si="3"/>
        <v>9006300237</v>
      </c>
      <c r="D23">
        <f t="shared" si="3"/>
        <v>8512090235</v>
      </c>
      <c r="F23" s="151">
        <f t="shared" si="0"/>
        <v>873013658</v>
      </c>
      <c r="G23" s="151">
        <f t="shared" si="0"/>
        <v>818754567</v>
      </c>
      <c r="H23" s="151">
        <f t="shared" si="0"/>
        <v>773826385</v>
      </c>
    </row>
    <row r="24" spans="2:8" x14ac:dyDescent="0.3">
      <c r="B24" s="25">
        <f t="shared" si="1"/>
        <v>9603150249</v>
      </c>
      <c r="C24">
        <f t="shared" si="3"/>
        <v>9006300248</v>
      </c>
      <c r="D24">
        <f t="shared" si="3"/>
        <v>8512090246</v>
      </c>
      <c r="F24" s="151">
        <f t="shared" si="0"/>
        <v>873013659</v>
      </c>
      <c r="G24" s="151">
        <f t="shared" si="0"/>
        <v>818754568</v>
      </c>
      <c r="H24" s="151">
        <f t="shared" si="0"/>
        <v>773826386</v>
      </c>
    </row>
    <row r="25" spans="2:8" x14ac:dyDescent="0.3">
      <c r="B25" s="25">
        <f t="shared" si="1"/>
        <v>9603150260</v>
      </c>
      <c r="C25">
        <f t="shared" si="3"/>
        <v>9006300259</v>
      </c>
      <c r="D25">
        <f t="shared" si="3"/>
        <v>8512090257</v>
      </c>
      <c r="F25" s="151">
        <f t="shared" si="0"/>
        <v>873013660</v>
      </c>
      <c r="G25" s="151">
        <f t="shared" si="0"/>
        <v>818754569</v>
      </c>
      <c r="H25" s="151">
        <f t="shared" si="0"/>
        <v>773826387</v>
      </c>
    </row>
    <row r="26" spans="2:8" x14ac:dyDescent="0.3">
      <c r="B26" s="25">
        <f t="shared" si="1"/>
        <v>9603150271</v>
      </c>
      <c r="C26">
        <f t="shared" si="3"/>
        <v>9006300270</v>
      </c>
      <c r="D26">
        <f t="shared" si="3"/>
        <v>8512090268</v>
      </c>
      <c r="F26" s="151">
        <f t="shared" si="0"/>
        <v>873013661</v>
      </c>
      <c r="G26" s="151">
        <f t="shared" si="0"/>
        <v>818754570</v>
      </c>
      <c r="H26" s="151">
        <f t="shared" si="0"/>
        <v>773826388</v>
      </c>
    </row>
    <row r="27" spans="2:8" x14ac:dyDescent="0.3">
      <c r="B27" s="25">
        <f t="shared" si="1"/>
        <v>9603150282</v>
      </c>
      <c r="C27">
        <f t="shared" si="3"/>
        <v>9006300281</v>
      </c>
      <c r="D27">
        <f t="shared" si="3"/>
        <v>8512090279</v>
      </c>
      <c r="F27" s="151">
        <f t="shared" si="0"/>
        <v>873013662</v>
      </c>
      <c r="G27" s="151">
        <f t="shared" si="0"/>
        <v>818754571</v>
      </c>
      <c r="H27" s="151">
        <f t="shared" si="0"/>
        <v>773826389</v>
      </c>
    </row>
    <row r="28" spans="2:8" x14ac:dyDescent="0.3">
      <c r="B28" s="25">
        <f t="shared" si="1"/>
        <v>9603150293</v>
      </c>
      <c r="C28">
        <f t="shared" si="3"/>
        <v>9006300292</v>
      </c>
      <c r="D28">
        <f t="shared" si="3"/>
        <v>8512090290</v>
      </c>
      <c r="F28" s="151">
        <f t="shared" si="0"/>
        <v>873013663</v>
      </c>
      <c r="G28" s="151">
        <f t="shared" si="0"/>
        <v>818754572</v>
      </c>
      <c r="H28" s="151">
        <f t="shared" si="0"/>
        <v>773826390</v>
      </c>
    </row>
    <row r="29" spans="2:8" x14ac:dyDescent="0.3">
      <c r="B29" s="25">
        <f t="shared" si="1"/>
        <v>9603150304</v>
      </c>
    </row>
    <row r="30" spans="2:8" x14ac:dyDescent="0.3">
      <c r="B30" s="25">
        <f t="shared" si="1"/>
        <v>9603150315</v>
      </c>
    </row>
    <row r="31" spans="2:8" x14ac:dyDescent="0.3">
      <c r="B31" s="25">
        <f t="shared" si="1"/>
        <v>9603150326</v>
      </c>
    </row>
    <row r="32" spans="2:8" x14ac:dyDescent="0.3">
      <c r="B32" s="25">
        <f t="shared" si="1"/>
        <v>9603150337</v>
      </c>
    </row>
    <row r="33" spans="2:2" x14ac:dyDescent="0.3">
      <c r="B33" s="25">
        <f t="shared" si="1"/>
        <v>9603150348</v>
      </c>
    </row>
    <row r="34" spans="2:2" x14ac:dyDescent="0.3">
      <c r="B34" s="25">
        <f t="shared" si="1"/>
        <v>9603150359</v>
      </c>
    </row>
    <row r="35" spans="2:2" x14ac:dyDescent="0.3">
      <c r="B35" s="25">
        <f t="shared" si="1"/>
        <v>9603150370</v>
      </c>
    </row>
    <row r="36" spans="2:2" x14ac:dyDescent="0.3">
      <c r="B36" s="25">
        <f t="shared" si="1"/>
        <v>9603150381</v>
      </c>
    </row>
    <row r="37" spans="2:2" x14ac:dyDescent="0.3">
      <c r="B37" s="25">
        <f t="shared" si="1"/>
        <v>9603150392</v>
      </c>
    </row>
    <row r="38" spans="2:2" x14ac:dyDescent="0.3">
      <c r="B38" s="25">
        <f t="shared" si="1"/>
        <v>9603150403</v>
      </c>
    </row>
    <row r="39" spans="2:2" x14ac:dyDescent="0.3">
      <c r="B39" s="25">
        <f t="shared" si="1"/>
        <v>9603150414</v>
      </c>
    </row>
    <row r="40" spans="2:2" x14ac:dyDescent="0.3">
      <c r="B40" s="25">
        <f t="shared" si="1"/>
        <v>9603150425</v>
      </c>
    </row>
    <row r="41" spans="2:2" x14ac:dyDescent="0.3">
      <c r="B41" s="25">
        <f t="shared" si="1"/>
        <v>9603150436</v>
      </c>
    </row>
    <row r="42" spans="2:2" x14ac:dyDescent="0.3">
      <c r="B42" s="25">
        <f t="shared" si="1"/>
        <v>9603150447</v>
      </c>
    </row>
    <row r="43" spans="2:2" x14ac:dyDescent="0.3">
      <c r="B43" s="25">
        <f t="shared" si="1"/>
        <v>9603150458</v>
      </c>
    </row>
    <row r="44" spans="2:2" x14ac:dyDescent="0.3">
      <c r="B44" s="25">
        <f t="shared" si="1"/>
        <v>9603150469</v>
      </c>
    </row>
    <row r="45" spans="2:2" x14ac:dyDescent="0.3">
      <c r="B45" s="25">
        <f t="shared" si="1"/>
        <v>9603150480</v>
      </c>
    </row>
    <row r="46" spans="2:2" x14ac:dyDescent="0.3">
      <c r="B46" s="25">
        <f t="shared" si="1"/>
        <v>9603150491</v>
      </c>
    </row>
    <row r="47" spans="2:2" x14ac:dyDescent="0.3">
      <c r="B47" s="25">
        <f t="shared" si="1"/>
        <v>9603150502</v>
      </c>
    </row>
    <row r="48" spans="2:2" x14ac:dyDescent="0.3">
      <c r="B48" s="25">
        <f t="shared" si="1"/>
        <v>9603150513</v>
      </c>
    </row>
    <row r="49" spans="2:2" x14ac:dyDescent="0.3">
      <c r="B49" s="25">
        <f t="shared" si="1"/>
        <v>9603150524</v>
      </c>
    </row>
    <row r="50" spans="2:2" x14ac:dyDescent="0.3">
      <c r="B50" s="25">
        <f t="shared" si="1"/>
        <v>9603150535</v>
      </c>
    </row>
    <row r="51" spans="2:2" x14ac:dyDescent="0.3">
      <c r="B51" s="25">
        <f t="shared" si="1"/>
        <v>9603150546</v>
      </c>
    </row>
    <row r="52" spans="2:2" x14ac:dyDescent="0.3">
      <c r="B52" s="25">
        <f t="shared" si="1"/>
        <v>9603150557</v>
      </c>
    </row>
    <row r="53" spans="2:2" x14ac:dyDescent="0.3">
      <c r="B53" s="25">
        <f t="shared" si="1"/>
        <v>9603150568</v>
      </c>
    </row>
    <row r="54" spans="2:2" x14ac:dyDescent="0.3">
      <c r="B54" s="25">
        <f t="shared" si="1"/>
        <v>9603150579</v>
      </c>
    </row>
    <row r="55" spans="2:2" x14ac:dyDescent="0.3">
      <c r="B55" s="25">
        <f t="shared" si="1"/>
        <v>9603150590</v>
      </c>
    </row>
    <row r="56" spans="2:2" x14ac:dyDescent="0.3">
      <c r="B56" s="25">
        <f t="shared" si="1"/>
        <v>9603150601</v>
      </c>
    </row>
    <row r="57" spans="2:2" x14ac:dyDescent="0.3">
      <c r="B57" s="25">
        <f t="shared" si="1"/>
        <v>9603150612</v>
      </c>
    </row>
    <row r="58" spans="2:2" x14ac:dyDescent="0.3">
      <c r="B58" s="25">
        <f t="shared" si="1"/>
        <v>9603150623</v>
      </c>
    </row>
    <row r="59" spans="2:2" x14ac:dyDescent="0.3">
      <c r="B59" s="25">
        <f t="shared" si="1"/>
        <v>9603150634</v>
      </c>
    </row>
    <row r="60" spans="2:2" x14ac:dyDescent="0.3">
      <c r="B60" s="25">
        <f t="shared" si="1"/>
        <v>9603150645</v>
      </c>
    </row>
    <row r="61" spans="2:2" x14ac:dyDescent="0.3">
      <c r="B61" s="25">
        <f t="shared" si="1"/>
        <v>9603150656</v>
      </c>
    </row>
    <row r="62" spans="2:2" x14ac:dyDescent="0.3">
      <c r="B62" s="25">
        <f t="shared" si="1"/>
        <v>9603150667</v>
      </c>
    </row>
    <row r="63" spans="2:2" x14ac:dyDescent="0.3">
      <c r="B63" s="25">
        <f t="shared" si="1"/>
        <v>9603150678</v>
      </c>
    </row>
    <row r="64" spans="2:2" x14ac:dyDescent="0.3">
      <c r="B64" s="25">
        <f t="shared" si="1"/>
        <v>9603150689</v>
      </c>
    </row>
    <row r="65" spans="2:24" x14ac:dyDescent="0.3">
      <c r="B65" s="25">
        <f t="shared" si="1"/>
        <v>9603150700</v>
      </c>
    </row>
    <row r="66" spans="2:24" x14ac:dyDescent="0.3">
      <c r="B66" s="25">
        <f t="shared" si="1"/>
        <v>9603150711</v>
      </c>
    </row>
    <row r="67" spans="2:24" x14ac:dyDescent="0.3">
      <c r="B67" s="25">
        <f t="shared" si="1"/>
        <v>9603150722</v>
      </c>
    </row>
    <row r="68" spans="2:24" x14ac:dyDescent="0.3">
      <c r="B68" s="25">
        <f t="shared" ref="B68:B86" si="4">B67+11</f>
        <v>9603150733</v>
      </c>
    </row>
    <row r="69" spans="2:24" x14ac:dyDescent="0.3">
      <c r="B69" s="25">
        <f t="shared" si="4"/>
        <v>9603150744</v>
      </c>
    </row>
    <row r="70" spans="2:24" x14ac:dyDescent="0.3">
      <c r="B70" s="25">
        <f t="shared" si="4"/>
        <v>9603150755</v>
      </c>
    </row>
    <row r="71" spans="2:24" x14ac:dyDescent="0.3">
      <c r="B71" s="25">
        <f t="shared" si="4"/>
        <v>9603150766</v>
      </c>
    </row>
    <row r="72" spans="2:24" x14ac:dyDescent="0.3">
      <c r="B72" s="25">
        <f t="shared" si="4"/>
        <v>9603150777</v>
      </c>
    </row>
    <row r="73" spans="2:24" x14ac:dyDescent="0.3">
      <c r="B73" s="25">
        <f t="shared" si="4"/>
        <v>9603150788</v>
      </c>
    </row>
    <row r="74" spans="2:24" x14ac:dyDescent="0.3">
      <c r="B74" s="25">
        <f t="shared" si="4"/>
        <v>9603150799</v>
      </c>
    </row>
    <row r="75" spans="2:24" x14ac:dyDescent="0.3">
      <c r="B75" s="25">
        <f t="shared" si="4"/>
        <v>9603150810</v>
      </c>
    </row>
    <row r="76" spans="2:24" x14ac:dyDescent="0.3">
      <c r="B76" s="25">
        <f t="shared" si="4"/>
        <v>9603150821</v>
      </c>
      <c r="X76" s="149" t="s">
        <v>720</v>
      </c>
    </row>
    <row r="77" spans="2:24" x14ac:dyDescent="0.3">
      <c r="B77" s="25">
        <f t="shared" si="4"/>
        <v>9603150832</v>
      </c>
      <c r="X77" s="153">
        <v>9202101337</v>
      </c>
    </row>
    <row r="78" spans="2:24" x14ac:dyDescent="0.3">
      <c r="B78" s="25">
        <f t="shared" si="4"/>
        <v>9603150843</v>
      </c>
      <c r="X78" s="153">
        <f>SUM(X77)+11</f>
        <v>9202101348</v>
      </c>
    </row>
    <row r="79" spans="2:24" x14ac:dyDescent="0.3">
      <c r="B79" s="25">
        <f t="shared" si="4"/>
        <v>9603150854</v>
      </c>
      <c r="X79" s="25">
        <f t="shared" ref="X79:X133" si="5">SUM(X78)+11</f>
        <v>9202101359</v>
      </c>
    </row>
    <row r="80" spans="2:24" x14ac:dyDescent="0.3">
      <c r="B80" s="25">
        <f t="shared" si="4"/>
        <v>9603150865</v>
      </c>
      <c r="X80" s="25">
        <f t="shared" si="5"/>
        <v>9202101370</v>
      </c>
    </row>
    <row r="81" spans="2:24" x14ac:dyDescent="0.3">
      <c r="B81" s="25">
        <f t="shared" si="4"/>
        <v>9603150876</v>
      </c>
      <c r="X81" s="25">
        <f t="shared" si="5"/>
        <v>9202101381</v>
      </c>
    </row>
    <row r="82" spans="2:24" x14ac:dyDescent="0.3">
      <c r="B82" s="25">
        <f t="shared" si="4"/>
        <v>9603150887</v>
      </c>
      <c r="X82" s="25">
        <f t="shared" si="5"/>
        <v>9202101392</v>
      </c>
    </row>
    <row r="83" spans="2:24" x14ac:dyDescent="0.3">
      <c r="B83" s="25">
        <f t="shared" si="4"/>
        <v>9603150898</v>
      </c>
      <c r="X83" s="25">
        <f t="shared" si="5"/>
        <v>9202101403</v>
      </c>
    </row>
    <row r="84" spans="2:24" x14ac:dyDescent="0.3">
      <c r="B84" s="25">
        <f t="shared" si="4"/>
        <v>9603150909</v>
      </c>
      <c r="X84" s="25">
        <f t="shared" si="5"/>
        <v>9202101414</v>
      </c>
    </row>
    <row r="85" spans="2:24" x14ac:dyDescent="0.3">
      <c r="B85" s="25">
        <f t="shared" si="4"/>
        <v>9603150920</v>
      </c>
      <c r="X85" s="25">
        <f t="shared" si="5"/>
        <v>9202101425</v>
      </c>
    </row>
    <row r="86" spans="2:24" x14ac:dyDescent="0.3">
      <c r="B86" s="25">
        <f t="shared" si="4"/>
        <v>9603150931</v>
      </c>
      <c r="D86" s="25">
        <v>9603170269</v>
      </c>
      <c r="X86" s="25">
        <f t="shared" si="5"/>
        <v>9202101436</v>
      </c>
    </row>
    <row r="87" spans="2:24" x14ac:dyDescent="0.3">
      <c r="D87">
        <f>D86+11</f>
        <v>9603170280</v>
      </c>
      <c r="F87">
        <v>9603170280</v>
      </c>
      <c r="H87" s="25">
        <v>9603170280</v>
      </c>
      <c r="I87" s="25">
        <v>9603170291</v>
      </c>
      <c r="J87" s="25">
        <v>9603170302</v>
      </c>
      <c r="K87" s="25">
        <v>9603170313</v>
      </c>
      <c r="L87" s="25">
        <v>9603170324</v>
      </c>
      <c r="M87" s="25">
        <v>9603170335</v>
      </c>
      <c r="N87" s="25">
        <v>9603170346</v>
      </c>
      <c r="O87" s="25">
        <v>9603170357</v>
      </c>
      <c r="P87" s="25">
        <v>9603170368</v>
      </c>
      <c r="Q87" s="25">
        <v>9603170379</v>
      </c>
      <c r="R87" s="25">
        <v>9603170390</v>
      </c>
      <c r="S87" s="25">
        <v>9603170401</v>
      </c>
      <c r="T87" s="25">
        <v>9603170412</v>
      </c>
      <c r="X87" s="25">
        <f t="shared" si="5"/>
        <v>9202101447</v>
      </c>
    </row>
    <row r="88" spans="2:24" x14ac:dyDescent="0.3">
      <c r="D88">
        <f t="shared" ref="D88:D99" si="6">D87+11</f>
        <v>9603170291</v>
      </c>
      <c r="F88">
        <v>9603170291</v>
      </c>
      <c r="X88" s="25">
        <f t="shared" si="5"/>
        <v>9202101458</v>
      </c>
    </row>
    <row r="89" spans="2:24" x14ac:dyDescent="0.3">
      <c r="D89">
        <f t="shared" si="6"/>
        <v>9603170302</v>
      </c>
      <c r="F89">
        <v>9603170302</v>
      </c>
      <c r="H89" s="25">
        <v>9603170412</v>
      </c>
      <c r="I89" s="25">
        <f>H89+11</f>
        <v>9603170423</v>
      </c>
      <c r="J89" s="25">
        <f t="shared" ref="J89:T89" si="7">I89+11</f>
        <v>9603170434</v>
      </c>
      <c r="K89" s="25">
        <f t="shared" si="7"/>
        <v>9603170445</v>
      </c>
      <c r="L89" s="25">
        <f t="shared" si="7"/>
        <v>9603170456</v>
      </c>
      <c r="M89" s="25">
        <f t="shared" si="7"/>
        <v>9603170467</v>
      </c>
      <c r="N89" s="25">
        <f t="shared" si="7"/>
        <v>9603170478</v>
      </c>
      <c r="O89" s="25">
        <f t="shared" si="7"/>
        <v>9603170489</v>
      </c>
      <c r="P89">
        <f t="shared" si="7"/>
        <v>9603170500</v>
      </c>
      <c r="Q89">
        <f t="shared" si="7"/>
        <v>9603170511</v>
      </c>
      <c r="R89">
        <f t="shared" si="7"/>
        <v>9603170522</v>
      </c>
      <c r="S89">
        <f t="shared" si="7"/>
        <v>9603170533</v>
      </c>
      <c r="T89">
        <f t="shared" si="7"/>
        <v>9603170544</v>
      </c>
      <c r="X89" s="25">
        <f t="shared" si="5"/>
        <v>9202101469</v>
      </c>
    </row>
    <row r="90" spans="2:24" x14ac:dyDescent="0.3">
      <c r="D90">
        <f t="shared" si="6"/>
        <v>9603170313</v>
      </c>
      <c r="F90">
        <v>9603170313</v>
      </c>
      <c r="X90" s="25">
        <f t="shared" si="5"/>
        <v>9202101480</v>
      </c>
    </row>
    <row r="91" spans="2:24" x14ac:dyDescent="0.3">
      <c r="D91">
        <f t="shared" si="6"/>
        <v>9603170324</v>
      </c>
      <c r="F91">
        <v>9603170324</v>
      </c>
      <c r="X91" s="25">
        <f t="shared" si="5"/>
        <v>9202101491</v>
      </c>
    </row>
    <row r="92" spans="2:24" x14ac:dyDescent="0.3">
      <c r="D92">
        <f t="shared" si="6"/>
        <v>9603170335</v>
      </c>
      <c r="F92">
        <v>9603170335</v>
      </c>
      <c r="X92" s="25">
        <f t="shared" si="5"/>
        <v>9202101502</v>
      </c>
    </row>
    <row r="93" spans="2:24" x14ac:dyDescent="0.3">
      <c r="D93">
        <f t="shared" si="6"/>
        <v>9603170346</v>
      </c>
      <c r="F93">
        <v>9603170346</v>
      </c>
      <c r="X93" s="25">
        <f t="shared" si="5"/>
        <v>9202101513</v>
      </c>
    </row>
    <row r="94" spans="2:24" x14ac:dyDescent="0.3">
      <c r="D94">
        <f t="shared" si="6"/>
        <v>9603170357</v>
      </c>
      <c r="F94">
        <v>9603170357</v>
      </c>
      <c r="X94" s="25">
        <f t="shared" si="5"/>
        <v>9202101524</v>
      </c>
    </row>
    <row r="95" spans="2:24" x14ac:dyDescent="0.3">
      <c r="D95">
        <f t="shared" si="6"/>
        <v>9603170368</v>
      </c>
      <c r="F95">
        <v>9603170368</v>
      </c>
      <c r="X95" s="25">
        <f t="shared" si="5"/>
        <v>9202101535</v>
      </c>
    </row>
    <row r="96" spans="2:24" x14ac:dyDescent="0.3">
      <c r="D96">
        <f t="shared" si="6"/>
        <v>9603170379</v>
      </c>
      <c r="F96">
        <v>9603170379</v>
      </c>
      <c r="X96" s="25">
        <f t="shared" si="5"/>
        <v>9202101546</v>
      </c>
    </row>
    <row r="97" spans="4:24" x14ac:dyDescent="0.3">
      <c r="D97">
        <f t="shared" si="6"/>
        <v>9603170390</v>
      </c>
      <c r="F97">
        <v>9603170390</v>
      </c>
      <c r="X97" s="25">
        <f t="shared" si="5"/>
        <v>9202101557</v>
      </c>
    </row>
    <row r="98" spans="4:24" x14ac:dyDescent="0.3">
      <c r="D98">
        <f t="shared" si="6"/>
        <v>9603170401</v>
      </c>
      <c r="F98">
        <v>9603170401</v>
      </c>
      <c r="X98" s="25">
        <f t="shared" si="5"/>
        <v>9202101568</v>
      </c>
    </row>
    <row r="99" spans="4:24" x14ac:dyDescent="0.3">
      <c r="D99">
        <f t="shared" si="6"/>
        <v>9603170412</v>
      </c>
      <c r="F99">
        <v>9603170412</v>
      </c>
      <c r="X99" s="25">
        <f t="shared" si="5"/>
        <v>9202101579</v>
      </c>
    </row>
    <row r="100" spans="4:24" x14ac:dyDescent="0.3">
      <c r="X100" s="25">
        <f t="shared" si="5"/>
        <v>9202101590</v>
      </c>
    </row>
    <row r="101" spans="4:24" x14ac:dyDescent="0.3">
      <c r="X101" s="25">
        <f t="shared" si="5"/>
        <v>9202101601</v>
      </c>
    </row>
    <row r="102" spans="4:24" x14ac:dyDescent="0.3">
      <c r="X102" s="25">
        <f t="shared" si="5"/>
        <v>9202101612</v>
      </c>
    </row>
    <row r="103" spans="4:24" x14ac:dyDescent="0.3">
      <c r="X103" s="25">
        <f t="shared" si="5"/>
        <v>9202101623</v>
      </c>
    </row>
    <row r="104" spans="4:24" x14ac:dyDescent="0.3">
      <c r="X104" s="25">
        <f t="shared" si="5"/>
        <v>9202101634</v>
      </c>
    </row>
    <row r="105" spans="4:24" x14ac:dyDescent="0.3">
      <c r="X105" s="25">
        <f t="shared" si="5"/>
        <v>9202101645</v>
      </c>
    </row>
    <row r="106" spans="4:24" x14ac:dyDescent="0.3">
      <c r="X106" s="25">
        <f t="shared" si="5"/>
        <v>9202101656</v>
      </c>
    </row>
    <row r="107" spans="4:24" x14ac:dyDescent="0.3">
      <c r="X107" s="25">
        <f t="shared" si="5"/>
        <v>9202101667</v>
      </c>
    </row>
    <row r="108" spans="4:24" x14ac:dyDescent="0.3">
      <c r="X108" s="25">
        <f t="shared" si="5"/>
        <v>9202101678</v>
      </c>
    </row>
    <row r="109" spans="4:24" x14ac:dyDescent="0.3">
      <c r="X109" s="25">
        <f t="shared" si="5"/>
        <v>9202101689</v>
      </c>
    </row>
    <row r="110" spans="4:24" x14ac:dyDescent="0.3">
      <c r="X110" s="25">
        <f t="shared" si="5"/>
        <v>9202101700</v>
      </c>
    </row>
    <row r="111" spans="4:24" x14ac:dyDescent="0.3">
      <c r="X111" s="25">
        <f t="shared" si="5"/>
        <v>9202101711</v>
      </c>
    </row>
    <row r="112" spans="4:24" x14ac:dyDescent="0.3">
      <c r="X112" s="25">
        <f t="shared" si="5"/>
        <v>9202101722</v>
      </c>
    </row>
    <row r="113" spans="24:24" x14ac:dyDescent="0.3">
      <c r="X113" s="25">
        <f t="shared" si="5"/>
        <v>9202101733</v>
      </c>
    </row>
    <row r="114" spans="24:24" x14ac:dyDescent="0.3">
      <c r="X114" s="25">
        <f t="shared" si="5"/>
        <v>9202101744</v>
      </c>
    </row>
    <row r="115" spans="24:24" x14ac:dyDescent="0.3">
      <c r="X115" s="25">
        <f t="shared" si="5"/>
        <v>9202101755</v>
      </c>
    </row>
    <row r="116" spans="24:24" x14ac:dyDescent="0.3">
      <c r="X116" s="25">
        <f t="shared" si="5"/>
        <v>9202101766</v>
      </c>
    </row>
    <row r="117" spans="24:24" x14ac:dyDescent="0.3">
      <c r="X117" s="25">
        <f t="shared" si="5"/>
        <v>9202101777</v>
      </c>
    </row>
    <row r="118" spans="24:24" x14ac:dyDescent="0.3">
      <c r="X118" s="25">
        <f t="shared" si="5"/>
        <v>9202101788</v>
      </c>
    </row>
    <row r="119" spans="24:24" x14ac:dyDescent="0.3">
      <c r="X119" s="25">
        <f t="shared" si="5"/>
        <v>9202101799</v>
      </c>
    </row>
    <row r="120" spans="24:24" x14ac:dyDescent="0.3">
      <c r="X120" s="25">
        <f t="shared" si="5"/>
        <v>9202101810</v>
      </c>
    </row>
    <row r="121" spans="24:24" x14ac:dyDescent="0.3">
      <c r="X121" s="25">
        <f t="shared" si="5"/>
        <v>9202101821</v>
      </c>
    </row>
    <row r="122" spans="24:24" x14ac:dyDescent="0.3">
      <c r="X122" s="25">
        <f t="shared" si="5"/>
        <v>9202101832</v>
      </c>
    </row>
    <row r="123" spans="24:24" x14ac:dyDescent="0.3">
      <c r="X123" s="25">
        <f t="shared" si="5"/>
        <v>9202101843</v>
      </c>
    </row>
    <row r="124" spans="24:24" x14ac:dyDescent="0.3">
      <c r="X124" s="25">
        <f t="shared" si="5"/>
        <v>9202101854</v>
      </c>
    </row>
    <row r="125" spans="24:24" x14ac:dyDescent="0.3">
      <c r="X125" s="25">
        <f t="shared" si="5"/>
        <v>9202101865</v>
      </c>
    </row>
    <row r="126" spans="24:24" x14ac:dyDescent="0.3">
      <c r="X126" s="25">
        <f t="shared" si="5"/>
        <v>9202101876</v>
      </c>
    </row>
    <row r="127" spans="24:24" x14ac:dyDescent="0.3">
      <c r="X127" s="25">
        <f t="shared" si="5"/>
        <v>9202101887</v>
      </c>
    </row>
    <row r="128" spans="24:24" x14ac:dyDescent="0.3">
      <c r="X128" s="25">
        <f t="shared" si="5"/>
        <v>9202101898</v>
      </c>
    </row>
    <row r="129" spans="24:24" x14ac:dyDescent="0.3">
      <c r="X129" s="25">
        <f t="shared" si="5"/>
        <v>9202101909</v>
      </c>
    </row>
    <row r="130" spans="24:24" x14ac:dyDescent="0.3">
      <c r="X130" s="25">
        <f t="shared" si="5"/>
        <v>9202101920</v>
      </c>
    </row>
    <row r="131" spans="24:24" x14ac:dyDescent="0.3">
      <c r="X131" s="25">
        <f t="shared" si="5"/>
        <v>9202101931</v>
      </c>
    </row>
    <row r="132" spans="24:24" x14ac:dyDescent="0.3">
      <c r="X132" s="25">
        <f t="shared" si="5"/>
        <v>9202101942</v>
      </c>
    </row>
    <row r="133" spans="24:24" x14ac:dyDescent="0.3">
      <c r="X133" s="25">
        <f t="shared" si="5"/>
        <v>9202101953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3"/>
  <sheetViews>
    <sheetView topLeftCell="H7" zoomScale="70" zoomScaleNormal="70" workbookViewId="0">
      <selection activeCell="A32" sqref="A32:H33"/>
    </sheetView>
  </sheetViews>
  <sheetFormatPr defaultColWidth="9.21875" defaultRowHeight="14.4" x14ac:dyDescent="0.3"/>
  <cols>
    <col min="1" max="1" width="55" bestFit="1" customWidth="1"/>
    <col min="2" max="2" width="62.77734375" customWidth="1"/>
    <col min="3" max="3" width="35.21875" customWidth="1"/>
    <col min="4" max="4" width="38.21875" customWidth="1"/>
    <col min="5" max="5" width="64.44140625" customWidth="1"/>
    <col min="6" max="6" width="153" style="5" bestFit="1" customWidth="1"/>
    <col min="7" max="7" width="137.77734375" style="5" customWidth="1"/>
    <col min="8" max="8" width="211.77734375" customWidth="1"/>
    <col min="9" max="9" width="22" customWidth="1"/>
  </cols>
  <sheetData>
    <row r="1" spans="1:8" ht="74.25" customHeight="1" thickBot="1" x14ac:dyDescent="0.4">
      <c r="A1" s="6"/>
      <c r="B1" s="6" t="s">
        <v>62</v>
      </c>
      <c r="C1" s="6" t="s">
        <v>64</v>
      </c>
      <c r="D1" s="6" t="s">
        <v>63</v>
      </c>
      <c r="E1" s="6" t="s">
        <v>65</v>
      </c>
      <c r="F1" s="144" t="s">
        <v>61</v>
      </c>
      <c r="G1" s="144" t="s">
        <v>60</v>
      </c>
      <c r="H1" s="42" t="s">
        <v>80</v>
      </c>
    </row>
    <row r="2" spans="1:8" x14ac:dyDescent="0.3">
      <c r="A2" t="str">
        <f>Test_Data!E3</f>
        <v>Process</v>
      </c>
      <c r="B2" t="str">
        <f>"intRow" &amp; A2 &amp; ", "</f>
        <v xml:space="preserve">intRowProcess, </v>
      </c>
      <c r="C2" t="str">
        <f>B2</f>
        <v xml:space="preserve">intRowProcess, </v>
      </c>
      <c r="D2" t="str">
        <f>"str" &amp; A2 &amp; ", "</f>
        <v xml:space="preserve">strProcess, </v>
      </c>
      <c r="E2" t="str">
        <f>D2</f>
        <v xml:space="preserve">strProcess, </v>
      </c>
      <c r="F2" s="5" t="str">
        <f>"intRow" &amp; A2 &amp; " = comExcelWorksheet.Range(""" &amp; A2 &amp; """).Row"</f>
        <v>intRowProcess = comExcelWorksheet.Range("Process").Row</v>
      </c>
      <c r="G2" s="5"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
      <c r="A3" t="str">
        <f>Test_Data!E4</f>
        <v>ExecutionFlag</v>
      </c>
      <c r="B3" t="str">
        <f t="shared" ref="B3:B31" si="0">"intRow" &amp; A3 &amp; ", "</f>
        <v xml:space="preserve">intRowExecutionFlag, </v>
      </c>
      <c r="C3" t="str">
        <f t="shared" ref="C3:C31" si="1">B3</f>
        <v xml:space="preserve">intRowExecutionFlag, </v>
      </c>
      <c r="D3" t="str">
        <f t="shared" ref="D3:D31" si="2">"str" &amp; A3 &amp; ", "</f>
        <v xml:space="preserve">strExecutionFlag, </v>
      </c>
      <c r="E3" t="str">
        <f>E2 &amp; " " &amp; D3</f>
        <v xml:space="preserve">strProcess,  strExecutionFlag, </v>
      </c>
      <c r="F3" s="5" t="str">
        <f t="shared" ref="F3:F31" si="3">"intRow" &amp; A3 &amp; " = comExcelWorksheet.Range(""" &amp; A3 &amp; """).Row"</f>
        <v>intRowExecutionFlag = comExcelWorksheet.Range("ExecutionFlag").Row</v>
      </c>
      <c r="G3" s="5" t="str">
        <f t="shared" ref="G3:G31" si="4">"str" &amp; A3 &amp; " = comExcelWorksheet.Cells(intRow" &amp; A3 &amp; ", intColTestColumn).Value"</f>
        <v>strExecutionFlag = comExcelWorksheet.Cells(intRowExecutionFlag, intColTestColumn).Value</v>
      </c>
      <c r="H3" t="str">
        <f t="shared" ref="H3:H31" si="5">"Public Property Get get" &amp; A3 &amp; "() : get" &amp; A3 &amp; " = str" &amp; A3 &amp; " : End Property"</f>
        <v>Public Property Get getExecutionFlag() : getExecutionFlag = strExecutionFlag : End Property</v>
      </c>
    </row>
    <row r="4" spans="1:8" x14ac:dyDescent="0.3">
      <c r="A4" t="str">
        <f>Test_Data!E5</f>
        <v>Country</v>
      </c>
      <c r="B4" t="str">
        <f t="shared" si="0"/>
        <v xml:space="preserve">intRowCountry, </v>
      </c>
      <c r="C4" t="str">
        <f t="shared" si="1"/>
        <v xml:space="preserve">intRowCountry, </v>
      </c>
      <c r="D4" t="str">
        <f t="shared" si="2"/>
        <v xml:space="preserve">strCountry, </v>
      </c>
      <c r="E4" t="str">
        <f t="shared" ref="E4:E31" si="6">E3 &amp; " " &amp; D4</f>
        <v xml:space="preserve">strProcess,  strExecutionFlag,  strCountry, </v>
      </c>
      <c r="F4" s="5" t="str">
        <f t="shared" si="3"/>
        <v>intRowCountry = comExcelWorksheet.Range("Country").Row</v>
      </c>
      <c r="G4" s="5" t="str">
        <f t="shared" si="4"/>
        <v>strCountry = comExcelWorksheet.Cells(intRowCountry, intColTestColumn).Value</v>
      </c>
      <c r="H4" t="str">
        <f t="shared" si="5"/>
        <v>Public Property Get getCountry() : getCountry = strCountry : End Property</v>
      </c>
    </row>
    <row r="5" spans="1:8" x14ac:dyDescent="0.3">
      <c r="A5" t="str">
        <f>Test_Data!E6</f>
        <v>LastRunTimeandStatus</v>
      </c>
      <c r="B5" t="str">
        <f t="shared" si="0"/>
        <v xml:space="preserve">intRowLastRunTimeandStatus, </v>
      </c>
      <c r="C5" t="str">
        <f t="shared" si="1"/>
        <v xml:space="preserve">intRowLastRunTimeandStatus, </v>
      </c>
      <c r="D5" t="str">
        <f t="shared" si="2"/>
        <v xml:space="preserve">strLastRunTimeandStatus, </v>
      </c>
      <c r="E5" t="str">
        <f t="shared" si="6"/>
        <v xml:space="preserve">strProcess,  strExecutionFlag,  strCountry,  strLastRunTimeandStatus, </v>
      </c>
      <c r="F5" s="5" t="str">
        <f t="shared" si="3"/>
        <v>intRowLastRunTimeandStatus = comExcelWorksheet.Range("LastRunTimeandStatus").Row</v>
      </c>
      <c r="G5" s="5" t="str">
        <f t="shared" si="4"/>
        <v>strLastRunTimeandStatus = comExcelWorksheet.Cells(intRowLastRunTimeandStatus, intColTestColumn).Value</v>
      </c>
      <c r="H5" t="str">
        <f t="shared" si="5"/>
        <v>Public Property Get getLastRunTimeandStatus() : getLastRunTimeandStatus = strLastRunTimeandStatus : End Property</v>
      </c>
    </row>
    <row r="6" spans="1:8" x14ac:dyDescent="0.3">
      <c r="A6" t="str">
        <f>Test_Data!E7</f>
        <v>LastRunErrorMessage</v>
      </c>
      <c r="B6" t="str">
        <f t="shared" si="0"/>
        <v xml:space="preserve">intRowLastRunErrorMessage, </v>
      </c>
      <c r="C6" t="str">
        <f t="shared" si="1"/>
        <v xml:space="preserve">intRowLastRunErrorMessage, </v>
      </c>
      <c r="D6" t="str">
        <f t="shared" si="2"/>
        <v xml:space="preserve">strLastRunErrorMessage, </v>
      </c>
      <c r="E6" t="str">
        <f t="shared" si="6"/>
        <v xml:space="preserve">strProcess,  strExecutionFlag,  strCountry,  strLastRunTimeandStatus,  strLastRunErrorMessage, </v>
      </c>
      <c r="F6" s="5" t="str">
        <f t="shared" si="3"/>
        <v>intRowLastRunErrorMessage = comExcelWorksheet.Range("LastRunErrorMessage").Row</v>
      </c>
      <c r="G6" s="5" t="str">
        <f t="shared" si="4"/>
        <v>strLastRunErrorMessage = comExcelWorksheet.Cells(intRowLastRunErrorMessage, intColTestColumn).Value</v>
      </c>
      <c r="H6" t="str">
        <f t="shared" si="5"/>
        <v>Public Property Get getLastRunErrorMessage() : getLastRunErrorMessage = strLastRunErrorMessage : End Property</v>
      </c>
    </row>
    <row r="7" spans="1:8" x14ac:dyDescent="0.3">
      <c r="A7" t="str">
        <f>Test_Data!E13</f>
        <v>Login_Username</v>
      </c>
      <c r="B7" t="str">
        <f t="shared" si="0"/>
        <v xml:space="preserve">intRowLogin_Username, </v>
      </c>
      <c r="C7" t="str">
        <f t="shared" si="1"/>
        <v xml:space="preserve">intRowLogin_Username, </v>
      </c>
      <c r="D7" t="str">
        <f t="shared" si="2"/>
        <v xml:space="preserve">strLogin_Username, </v>
      </c>
      <c r="E7" t="str">
        <f t="shared" si="6"/>
        <v xml:space="preserve">strProcess,  strExecutionFlag,  strCountry,  strLastRunTimeandStatus,  strLastRunErrorMessage,  strLogin_Username, </v>
      </c>
      <c r="F7" s="5" t="str">
        <f t="shared" si="3"/>
        <v>intRowLogin_Username = comExcelWorksheet.Range("Login_Username").Row</v>
      </c>
      <c r="G7" s="5" t="str">
        <f t="shared" si="4"/>
        <v>strLogin_Username = comExcelWorksheet.Cells(intRowLogin_Username, intColTestColumn).Value</v>
      </c>
      <c r="H7" t="str">
        <f t="shared" si="5"/>
        <v>Public Property Get getLogin_Username() : getLogin_Username = strLogin_Username : End Property</v>
      </c>
    </row>
    <row r="8" spans="1:8" x14ac:dyDescent="0.3">
      <c r="A8" t="str">
        <f>Test_Data!E14</f>
        <v>Login_Password</v>
      </c>
      <c r="B8" t="str">
        <f t="shared" si="0"/>
        <v xml:space="preserve">intRowLogin_Password, </v>
      </c>
      <c r="C8" t="str">
        <f t="shared" si="1"/>
        <v xml:space="preserve">intRowLogin_Password, </v>
      </c>
      <c r="D8" t="str">
        <f t="shared" si="2"/>
        <v xml:space="preserve">strLogin_Password, </v>
      </c>
      <c r="E8" t="str">
        <f t="shared" si="6"/>
        <v xml:space="preserve">strProcess,  strExecutionFlag,  strCountry,  strLastRunTimeandStatus,  strLastRunErrorMessage,  strLogin_Username,  strLogin_Password, </v>
      </c>
      <c r="F8" s="5" t="str">
        <f t="shared" si="3"/>
        <v>intRowLogin_Password = comExcelWorksheet.Range("Login_Password").Row</v>
      </c>
      <c r="G8" s="5" t="str">
        <f t="shared" si="4"/>
        <v>strLogin_Password = comExcelWorksheet.Cells(intRowLogin_Password, intColTestColumn).Value</v>
      </c>
      <c r="H8" t="str">
        <f t="shared" si="5"/>
        <v>Public Property Get getLogin_Password() : getLogin_Password = strLogin_Password : End Property</v>
      </c>
    </row>
    <row r="9" spans="1:8" x14ac:dyDescent="0.3">
      <c r="A9" t="e">
        <f>Test_Data!#REF!</f>
        <v>#REF!</v>
      </c>
      <c r="B9" t="e">
        <f t="shared" si="0"/>
        <v>#REF!</v>
      </c>
      <c r="C9" t="e">
        <f t="shared" si="1"/>
        <v>#REF!</v>
      </c>
      <c r="D9" t="e">
        <f t="shared" si="2"/>
        <v>#REF!</v>
      </c>
      <c r="E9" t="e">
        <f t="shared" si="6"/>
        <v>#REF!</v>
      </c>
      <c r="F9" s="5" t="e">
        <f t="shared" si="3"/>
        <v>#REF!</v>
      </c>
      <c r="G9" s="5" t="e">
        <f t="shared" si="4"/>
        <v>#REF!</v>
      </c>
      <c r="H9" t="e">
        <f t="shared" si="5"/>
        <v>#REF!</v>
      </c>
    </row>
    <row r="10" spans="1:8" x14ac:dyDescent="0.3">
      <c r="A10" t="e">
        <f>Test_Data!#REF!</f>
        <v>#REF!</v>
      </c>
      <c r="B10" t="e">
        <f t="shared" si="0"/>
        <v>#REF!</v>
      </c>
      <c r="C10" t="e">
        <f t="shared" si="1"/>
        <v>#REF!</v>
      </c>
      <c r="D10" t="e">
        <f t="shared" si="2"/>
        <v>#REF!</v>
      </c>
      <c r="E10" t="e">
        <f t="shared" si="6"/>
        <v>#REF!</v>
      </c>
      <c r="F10" s="5" t="e">
        <f t="shared" si="3"/>
        <v>#REF!</v>
      </c>
      <c r="G10" s="5" t="e">
        <f t="shared" si="4"/>
        <v>#REF!</v>
      </c>
      <c r="H10" t="e">
        <f t="shared" si="5"/>
        <v>#REF!</v>
      </c>
    </row>
    <row r="11" spans="1:8" x14ac:dyDescent="0.3">
      <c r="A11" t="str">
        <f>Test_Data!E15</f>
        <v>Proxy_EmployeeID</v>
      </c>
      <c r="B11" t="str">
        <f t="shared" si="0"/>
        <v xml:space="preserve">intRowProxy_EmployeeID, </v>
      </c>
      <c r="C11" t="str">
        <f t="shared" si="1"/>
        <v xml:space="preserve">intRowProxy_EmployeeID, </v>
      </c>
      <c r="D11" t="str">
        <f t="shared" si="2"/>
        <v xml:space="preserve">strProxy_EmployeeID, </v>
      </c>
      <c r="E11" t="e">
        <f t="shared" si="6"/>
        <v>#REF!</v>
      </c>
      <c r="F11" s="5" t="str">
        <f t="shared" si="3"/>
        <v>intRowProxy_EmployeeID = comExcelWorksheet.Range("Proxy_EmployeeID").Row</v>
      </c>
      <c r="G11" s="5" t="str">
        <f t="shared" si="4"/>
        <v>strProxy_EmployeeID = comExcelWorksheet.Cells(intRowProxy_EmployeeID, intColTestColumn).Value</v>
      </c>
      <c r="H11" t="str">
        <f t="shared" si="5"/>
        <v>Public Property Get getProxy_EmployeeID() : getProxy_EmployeeID = strProxy_EmployeeID : End Property</v>
      </c>
    </row>
    <row r="12" spans="1:8" x14ac:dyDescent="0.3">
      <c r="A12" t="e">
        <f>Test_Data!#REF!</f>
        <v>#REF!</v>
      </c>
      <c r="B12" t="e">
        <f t="shared" si="0"/>
        <v>#REF!</v>
      </c>
      <c r="C12" t="e">
        <f t="shared" si="1"/>
        <v>#REF!</v>
      </c>
      <c r="D12" t="e">
        <f t="shared" si="2"/>
        <v>#REF!</v>
      </c>
      <c r="E12" t="e">
        <f t="shared" si="6"/>
        <v>#REF!</v>
      </c>
      <c r="F12" s="5" t="e">
        <f t="shared" si="3"/>
        <v>#REF!</v>
      </c>
      <c r="G12" s="5" t="e">
        <f t="shared" si="4"/>
        <v>#REF!</v>
      </c>
      <c r="H12" t="e">
        <f t="shared" si="5"/>
        <v>#REF!</v>
      </c>
    </row>
    <row r="13" spans="1:8" x14ac:dyDescent="0.3">
      <c r="A13" t="str">
        <f>Test_Data!E16</f>
        <v>ChangeJob_Start_EffectiveDate</v>
      </c>
      <c r="B13" t="str">
        <f t="shared" si="0"/>
        <v xml:space="preserve">intRowChangeJob_Start_EffectiveDate, </v>
      </c>
      <c r="C13" t="str">
        <f t="shared" si="1"/>
        <v xml:space="preserve">intRowChangeJob_Start_EffectiveDate, </v>
      </c>
      <c r="D13" t="str">
        <f t="shared" si="2"/>
        <v xml:space="preserve">strChangeJob_Start_EffectiveDate, </v>
      </c>
      <c r="E13" t="e">
        <f t="shared" si="6"/>
        <v>#REF!</v>
      </c>
      <c r="F13" s="5" t="str">
        <f t="shared" si="3"/>
        <v>intRowChangeJob_Start_EffectiveDate = comExcelWorksheet.Range("ChangeJob_Start_EffectiveDate").Row</v>
      </c>
      <c r="G13" s="5" t="str">
        <f t="shared" si="4"/>
        <v>strChangeJob_Start_EffectiveDate = comExcelWorksheet.Cells(intRowChangeJob_Start_EffectiveDate, intColTestColumn).Value</v>
      </c>
      <c r="H13" t="str">
        <f t="shared" si="5"/>
        <v>Public Property Get getChangeJob_Start_EffectiveDate() : getChangeJob_Start_EffectiveDate = strChangeJob_Start_EffectiveDate : End Property</v>
      </c>
    </row>
    <row r="14" spans="1:8" x14ac:dyDescent="0.3">
      <c r="A14" t="str">
        <f>Test_Data!E17</f>
        <v>ChangeJob_Start_Reason</v>
      </c>
      <c r="B14" t="str">
        <f t="shared" si="0"/>
        <v xml:space="preserve">intRowChangeJob_Start_Reason, </v>
      </c>
      <c r="C14" t="str">
        <f t="shared" si="1"/>
        <v xml:space="preserve">intRowChangeJob_Start_Reason, </v>
      </c>
      <c r="D14" t="str">
        <f t="shared" si="2"/>
        <v xml:space="preserve">strChangeJob_Start_Reason, </v>
      </c>
      <c r="E14" t="e">
        <f t="shared" si="6"/>
        <v>#REF!</v>
      </c>
      <c r="F14" s="5" t="str">
        <f t="shared" si="3"/>
        <v>intRowChangeJob_Start_Reason = comExcelWorksheet.Range("ChangeJob_Start_Reason").Row</v>
      </c>
      <c r="G14" s="5" t="str">
        <f t="shared" si="4"/>
        <v>strChangeJob_Start_Reason = comExcelWorksheet.Cells(intRowChangeJob_Start_Reason, intColTestColumn).Value</v>
      </c>
      <c r="H14" t="str">
        <f t="shared" si="5"/>
        <v>Public Property Get getChangeJob_Start_Reason() : getChangeJob_Start_Reason = strChangeJob_Start_Reason : End Property</v>
      </c>
    </row>
    <row r="15" spans="1:8" x14ac:dyDescent="0.3">
      <c r="A15" t="str">
        <f>Test_Data!E18</f>
        <v>ChangeJob_Start_NewManager</v>
      </c>
      <c r="B15" t="str">
        <f t="shared" si="0"/>
        <v xml:space="preserve">intRowChangeJob_Start_NewManager, </v>
      </c>
      <c r="C15" t="str">
        <f t="shared" si="1"/>
        <v xml:space="preserve">intRowChangeJob_Start_NewManager, </v>
      </c>
      <c r="D15" t="str">
        <f t="shared" si="2"/>
        <v xml:space="preserve">strChangeJob_Start_NewManager, </v>
      </c>
      <c r="E15" t="e">
        <f t="shared" si="6"/>
        <v>#REF!</v>
      </c>
      <c r="F15" s="5" t="str">
        <f t="shared" si="3"/>
        <v>intRowChangeJob_Start_NewManager = comExcelWorksheet.Range("ChangeJob_Start_NewManager").Row</v>
      </c>
      <c r="G15" s="5" t="str">
        <f t="shared" si="4"/>
        <v>strChangeJob_Start_NewManager = comExcelWorksheet.Cells(intRowChangeJob_Start_NewManager, intColTestColumn).Value</v>
      </c>
      <c r="H15" t="str">
        <f t="shared" si="5"/>
        <v>Public Property Get getChangeJob_Start_NewManager() : getChangeJob_Start_NewManager = strChangeJob_Start_NewManager : End Property</v>
      </c>
    </row>
    <row r="16" spans="1:8" x14ac:dyDescent="0.3">
      <c r="A16" t="str">
        <f>Test_Data!E19</f>
        <v>ChangeJob_Start_NewTeam</v>
      </c>
      <c r="B16" t="str">
        <f t="shared" si="0"/>
        <v xml:space="preserve">intRowChangeJob_Start_NewTeam, </v>
      </c>
      <c r="C16" t="str">
        <f t="shared" si="1"/>
        <v xml:space="preserve">intRowChangeJob_Start_NewTeam, </v>
      </c>
      <c r="D16" t="str">
        <f t="shared" si="2"/>
        <v xml:space="preserve">strChangeJob_Start_NewTeam, </v>
      </c>
      <c r="E16" t="e">
        <f t="shared" si="6"/>
        <v>#REF!</v>
      </c>
      <c r="F16" s="5" t="str">
        <f t="shared" si="3"/>
        <v>intRowChangeJob_Start_NewTeam = comExcelWorksheet.Range("ChangeJob_Start_NewTeam").Row</v>
      </c>
      <c r="G16" s="5" t="str">
        <f t="shared" si="4"/>
        <v>strChangeJob_Start_NewTeam = comExcelWorksheet.Cells(intRowChangeJob_Start_NewTeam, intColTestColumn).Value</v>
      </c>
      <c r="H16" t="str">
        <f t="shared" si="5"/>
        <v>Public Property Get getChangeJob_Start_NewTeam() : getChangeJob_Start_NewTeam = strChangeJob_Start_NewTeam : End Property</v>
      </c>
    </row>
    <row r="17" spans="1:8" x14ac:dyDescent="0.3">
      <c r="A17" t="str">
        <f>Test_Data!E20</f>
        <v>ChangeJob_Start_NewLocation</v>
      </c>
      <c r="B17" t="str">
        <f t="shared" si="0"/>
        <v xml:space="preserve">intRowChangeJob_Start_NewLocation, </v>
      </c>
      <c r="C17" t="str">
        <f t="shared" si="1"/>
        <v xml:space="preserve">intRowChangeJob_Start_NewLocation, </v>
      </c>
      <c r="D17" t="str">
        <f t="shared" si="2"/>
        <v xml:space="preserve">strChangeJob_Start_NewLocation, </v>
      </c>
      <c r="E17" t="e">
        <f t="shared" si="6"/>
        <v>#REF!</v>
      </c>
      <c r="F17" s="5" t="str">
        <f t="shared" si="3"/>
        <v>intRowChangeJob_Start_NewLocation = comExcelWorksheet.Range("ChangeJob_Start_NewLocation").Row</v>
      </c>
      <c r="G17" s="5" t="str">
        <f t="shared" si="4"/>
        <v>strChangeJob_Start_NewLocation = comExcelWorksheet.Cells(intRowChangeJob_Start_NewLocation, intColTestColumn).Value</v>
      </c>
      <c r="H17" t="str">
        <f t="shared" si="5"/>
        <v>Public Property Get getChangeJob_Start_NewLocation() : getChangeJob_Start_NewLocation = strChangeJob_Start_NewLocation : End Property</v>
      </c>
    </row>
    <row r="18" spans="1:8" x14ac:dyDescent="0.3">
      <c r="A18" t="str">
        <f>Test_Data!E21</f>
        <v>ChangeJob_Start_NextPayPeriod</v>
      </c>
      <c r="B18" t="str">
        <f t="shared" si="0"/>
        <v xml:space="preserve">intRowChangeJob_Start_NextPayPeriod, </v>
      </c>
      <c r="C18" t="str">
        <f t="shared" si="1"/>
        <v xml:space="preserve">intRowChangeJob_Start_NextPayPeriod, </v>
      </c>
      <c r="D18" t="str">
        <f t="shared" si="2"/>
        <v xml:space="preserve">strChangeJob_Start_NextPayPeriod, </v>
      </c>
      <c r="E18" t="e">
        <f t="shared" si="6"/>
        <v>#REF!</v>
      </c>
      <c r="F18" s="5" t="str">
        <f t="shared" si="3"/>
        <v>intRowChangeJob_Start_NextPayPeriod = comExcelWorksheet.Range("ChangeJob_Start_NextPayPeriod").Row</v>
      </c>
      <c r="G18" s="5" t="str">
        <f t="shared" si="4"/>
        <v>strChangeJob_Start_NextPayPeriod = comExcelWorksheet.Cells(intRowChangeJob_Start_NextPayPeriod, intColTestColumn).Value</v>
      </c>
      <c r="H18" t="str">
        <f t="shared" si="5"/>
        <v>Public Property Get getChangeJob_Start_NextPayPeriod() : getChangeJob_Start_NextPayPeriod = strChangeJob_Start_NextPayPeriod : End Property</v>
      </c>
    </row>
    <row r="19" spans="1:8" x14ac:dyDescent="0.3">
      <c r="A19" t="str">
        <f>Test_Data!E22</f>
        <v>ChangeJob_JobProfile_JobProfile</v>
      </c>
      <c r="B19" t="str">
        <f t="shared" si="0"/>
        <v xml:space="preserve">intRowChangeJob_JobProfile_JobProfile, </v>
      </c>
      <c r="C19" t="str">
        <f t="shared" si="1"/>
        <v xml:space="preserve">intRowChangeJob_JobProfile_JobProfile, </v>
      </c>
      <c r="D19" t="str">
        <f t="shared" si="2"/>
        <v xml:space="preserve">strChangeJob_JobProfile_JobProfile, </v>
      </c>
      <c r="E19" t="e">
        <f t="shared" si="6"/>
        <v>#REF!</v>
      </c>
      <c r="F19" s="5" t="str">
        <f t="shared" si="3"/>
        <v>intRowChangeJob_JobProfile_JobProfile = comExcelWorksheet.Range("ChangeJob_JobProfile_JobProfile").Row</v>
      </c>
      <c r="G19" s="5" t="str">
        <f t="shared" si="4"/>
        <v>strChangeJob_JobProfile_JobProfile = comExcelWorksheet.Cells(intRowChangeJob_JobProfile_JobProfile, intColTestColumn).Value</v>
      </c>
      <c r="H19" t="str">
        <f t="shared" si="5"/>
        <v>Public Property Get getChangeJob_JobProfile_JobProfile() : getChangeJob_JobProfile_JobProfile = strChangeJob_JobProfile_JobProfile : End Property</v>
      </c>
    </row>
    <row r="20" spans="1:8" x14ac:dyDescent="0.3">
      <c r="A20" t="str">
        <f>Test_Data!E23</f>
        <v>ChangeJob_JobProfile_JobTitle</v>
      </c>
      <c r="B20" t="str">
        <f t="shared" si="0"/>
        <v xml:space="preserve">intRowChangeJob_JobProfile_JobTitle, </v>
      </c>
      <c r="C20" t="str">
        <f t="shared" si="1"/>
        <v xml:space="preserve">intRowChangeJob_JobProfile_JobTitle, </v>
      </c>
      <c r="D20" t="str">
        <f t="shared" si="2"/>
        <v xml:space="preserve">strChangeJob_JobProfile_JobTitle, </v>
      </c>
      <c r="E20" t="e">
        <f t="shared" si="6"/>
        <v>#REF!</v>
      </c>
      <c r="F20" s="5" t="str">
        <f t="shared" si="3"/>
        <v>intRowChangeJob_JobProfile_JobTitle = comExcelWorksheet.Range("ChangeJob_JobProfile_JobTitle").Row</v>
      </c>
      <c r="G20" s="5" t="str">
        <f t="shared" si="4"/>
        <v>strChangeJob_JobProfile_JobTitle = comExcelWorksheet.Cells(intRowChangeJob_JobProfile_JobTitle, intColTestColumn).Value</v>
      </c>
      <c r="H20" t="str">
        <f t="shared" si="5"/>
        <v>Public Property Get getChangeJob_JobProfile_JobTitle() : getChangeJob_JobProfile_JobTitle = strChangeJob_JobProfile_JobTitle : End Property</v>
      </c>
    </row>
    <row r="21" spans="1:8" x14ac:dyDescent="0.3">
      <c r="A21" t="str">
        <f>Test_Data!E24</f>
        <v>ChangeJob_LocationDetails_Location</v>
      </c>
      <c r="B21" t="str">
        <f t="shared" si="0"/>
        <v xml:space="preserve">intRowChangeJob_LocationDetails_Location, </v>
      </c>
      <c r="C21" t="str">
        <f t="shared" si="1"/>
        <v xml:space="preserve">intRowChangeJob_LocationDetails_Location, </v>
      </c>
      <c r="D21" t="str">
        <f t="shared" si="2"/>
        <v xml:space="preserve">strChangeJob_LocationDetails_Location, </v>
      </c>
      <c r="E21" t="e">
        <f t="shared" si="6"/>
        <v>#REF!</v>
      </c>
      <c r="F21" s="5" t="str">
        <f t="shared" si="3"/>
        <v>intRowChangeJob_LocationDetails_Location = comExcelWorksheet.Range("ChangeJob_LocationDetails_Location").Row</v>
      </c>
      <c r="G21" s="5" t="str">
        <f t="shared" si="4"/>
        <v>strChangeJob_LocationDetails_Location = comExcelWorksheet.Cells(intRowChangeJob_LocationDetails_Location, intColTestColumn).Value</v>
      </c>
      <c r="H21" t="str">
        <f t="shared" si="5"/>
        <v>Public Property Get getChangeJob_LocationDetails_Location() : getChangeJob_LocationDetails_Location = strChangeJob_LocationDetails_Location : End Property</v>
      </c>
    </row>
    <row r="22" spans="1:8" x14ac:dyDescent="0.3">
      <c r="A22" t="str">
        <f>Test_Data!E25</f>
        <v>ChangeJob_LocationDetails_ScheduledWeeklyHours</v>
      </c>
      <c r="B22" t="str">
        <f t="shared" si="0"/>
        <v xml:space="preserve">intRowChangeJob_LocationDetails_ScheduledWeeklyHours, </v>
      </c>
      <c r="C22" t="str">
        <f>B22</f>
        <v xml:space="preserve">intRowChangeJob_LocationDetails_ScheduledWeeklyHours, </v>
      </c>
      <c r="D22" t="str">
        <f t="shared" si="2"/>
        <v xml:space="preserve">strChangeJob_LocationDetails_ScheduledWeeklyHours, </v>
      </c>
      <c r="E22" t="e">
        <f t="shared" si="6"/>
        <v>#REF!</v>
      </c>
      <c r="F22" s="5" t="str">
        <f t="shared" si="3"/>
        <v>intRowChangeJob_LocationDetails_ScheduledWeeklyHours = comExcelWorksheet.Range("ChangeJob_LocationDetails_ScheduledWeeklyHours").Row</v>
      </c>
      <c r="G22" s="5" t="str">
        <f t="shared" si="4"/>
        <v>strChangeJob_LocationDetails_ScheduledWeeklyHours = comExcelWorksheet.Cells(intRowChangeJob_LocationDetails_ScheduledWeeklyHours, intColTestColumn).Value</v>
      </c>
      <c r="H22" t="str">
        <f t="shared" si="5"/>
        <v>Public Property Get getChangeJob_LocationDetails_ScheduledWeeklyHours() : getChangeJob_LocationDetails_ScheduledWeeklyHours = strChangeJob_LocationDetails_ScheduledWeeklyHours : End Property</v>
      </c>
    </row>
    <row r="23" spans="1:8" x14ac:dyDescent="0.3">
      <c r="A23" t="str">
        <f>Test_Data!E26</f>
        <v>ChangeJob_LocationDetails_WorkShift</v>
      </c>
      <c r="B23" t="str">
        <f t="shared" si="0"/>
        <v xml:space="preserve">intRowChangeJob_LocationDetails_WorkShift, </v>
      </c>
      <c r="C23" t="str">
        <f t="shared" si="1"/>
        <v xml:space="preserve">intRowChangeJob_LocationDetails_WorkShift, </v>
      </c>
      <c r="D23" t="str">
        <f t="shared" si="2"/>
        <v xml:space="preserve">strChangeJob_LocationDetails_WorkShift, </v>
      </c>
      <c r="E23" t="e">
        <f t="shared" si="6"/>
        <v>#REF!</v>
      </c>
      <c r="F23" s="5" t="str">
        <f t="shared" si="3"/>
        <v>intRowChangeJob_LocationDetails_WorkShift = comExcelWorksheet.Range("ChangeJob_LocationDetails_WorkShift").Row</v>
      </c>
      <c r="G23" s="5" t="str">
        <f t="shared" si="4"/>
        <v>strChangeJob_LocationDetails_WorkShift = comExcelWorksheet.Cells(intRowChangeJob_LocationDetails_WorkShift, intColTestColumn).Value</v>
      </c>
      <c r="H23" t="str">
        <f t="shared" si="5"/>
        <v>Public Property Get getChangeJob_LocationDetails_WorkShift() : getChangeJob_LocationDetails_WorkShift = strChangeJob_LocationDetails_WorkShift : End Property</v>
      </c>
    </row>
    <row r="24" spans="1:8" x14ac:dyDescent="0.3">
      <c r="A24" t="str">
        <f>Test_Data!E27</f>
        <v>ChangeJob_JobClassifications_AdditionalJobClassifications</v>
      </c>
      <c r="B24" t="str">
        <f t="shared" si="0"/>
        <v xml:space="preserve">intRowChangeJob_JobClassifications_AdditionalJobClassifications, </v>
      </c>
      <c r="C24" t="str">
        <f t="shared" si="1"/>
        <v xml:space="preserve">intRowChangeJob_JobClassifications_AdditionalJobClassifications, </v>
      </c>
      <c r="D24" t="str">
        <f t="shared" si="2"/>
        <v xml:space="preserve">strChangeJob_JobClassifications_AdditionalJobClassifications, </v>
      </c>
      <c r="E24" t="e">
        <f t="shared" si="6"/>
        <v>#REF!</v>
      </c>
      <c r="F24" s="5" t="str">
        <f t="shared" si="3"/>
        <v>intRowChangeJob_JobClassifications_AdditionalJobClassifications = comExcelWorksheet.Range("ChangeJob_JobClassifications_AdditionalJobClassifications").Row</v>
      </c>
      <c r="G24" s="5" t="str">
        <f t="shared" si="4"/>
        <v>strChangeJob_JobClassifications_AdditionalJobClassifications = comExcelWorksheet.Cells(intRowChangeJob_JobClassifications_AdditionalJobClassifications, intColTestColumn).Value</v>
      </c>
      <c r="H24" t="str">
        <f t="shared" si="5"/>
        <v>Public Property Get getChangeJob_JobClassifications_AdditionalJobClassifications() : getChangeJob_JobClassifications_AdditionalJobClassifications = strChangeJob_JobClassifications_AdditionalJobClassifications : End Property</v>
      </c>
    </row>
    <row r="25" spans="1:8" x14ac:dyDescent="0.3">
      <c r="A25" t="str">
        <f>Test_Data!E28</f>
        <v>ChangeJob_JobClassifications_EmployeeType</v>
      </c>
      <c r="B25" t="str">
        <f t="shared" si="0"/>
        <v xml:space="preserve">intRowChangeJob_JobClassifications_EmployeeType, </v>
      </c>
      <c r="C25" t="str">
        <f t="shared" si="1"/>
        <v xml:space="preserve">intRowChangeJob_JobClassifications_EmployeeType, </v>
      </c>
      <c r="D25" t="str">
        <f t="shared" si="2"/>
        <v xml:space="preserve">strChangeJob_JobClassifications_EmployeeType, </v>
      </c>
      <c r="E25" t="e">
        <f t="shared" si="6"/>
        <v>#REF!</v>
      </c>
      <c r="F25" s="5" t="str">
        <f t="shared" si="3"/>
        <v>intRowChangeJob_JobClassifications_EmployeeType = comExcelWorksheet.Range("ChangeJob_JobClassifications_EmployeeType").Row</v>
      </c>
      <c r="G25" s="5" t="str">
        <f t="shared" si="4"/>
        <v>strChangeJob_JobClassifications_EmployeeType = comExcelWorksheet.Cells(intRowChangeJob_JobClassifications_EmployeeType, intColTestColumn).Value</v>
      </c>
      <c r="H25" t="str">
        <f t="shared" si="5"/>
        <v>Public Property Get getChangeJob_JobClassifications_EmployeeType() : getChangeJob_JobClassifications_EmployeeType = strChangeJob_JobClassifications_EmployeeType : End Property</v>
      </c>
    </row>
    <row r="26" spans="1:8" x14ac:dyDescent="0.3">
      <c r="A26" t="str">
        <f>Test_Data!E29</f>
        <v>ChangeJob_JobClassifications_TimeType</v>
      </c>
      <c r="B26" t="str">
        <f t="shared" si="0"/>
        <v xml:space="preserve">intRowChangeJob_JobClassifications_TimeType, </v>
      </c>
      <c r="C26" t="str">
        <f t="shared" si="1"/>
        <v xml:space="preserve">intRowChangeJob_JobClassifications_TimeType, </v>
      </c>
      <c r="D26" t="str">
        <f t="shared" si="2"/>
        <v xml:space="preserve">strChangeJob_JobClassifications_TimeType, </v>
      </c>
      <c r="E26" t="e">
        <f t="shared" si="6"/>
        <v>#REF!</v>
      </c>
      <c r="F26" s="5" t="str">
        <f t="shared" si="3"/>
        <v>intRowChangeJob_JobClassifications_TimeType = comExcelWorksheet.Range("ChangeJob_JobClassifications_TimeType").Row</v>
      </c>
      <c r="G26" s="5" t="str">
        <f t="shared" si="4"/>
        <v>strChangeJob_JobClassifications_TimeType = comExcelWorksheet.Cells(intRowChangeJob_JobClassifications_TimeType, intColTestColumn).Value</v>
      </c>
      <c r="H26" t="str">
        <f t="shared" si="5"/>
        <v>Public Property Get getChangeJob_JobClassifications_TimeType() : getChangeJob_JobClassifications_TimeType = strChangeJob_JobClassifications_TimeType : End Property</v>
      </c>
    </row>
    <row r="27" spans="1:8" x14ac:dyDescent="0.3">
      <c r="A27" t="str">
        <f>Test_Data!E30</f>
        <v>ChangeJob_JobClassifications_PayRateType</v>
      </c>
      <c r="B27" t="str">
        <f t="shared" si="0"/>
        <v xml:space="preserve">intRowChangeJob_JobClassifications_PayRateType, </v>
      </c>
      <c r="C27" t="str">
        <f t="shared" si="1"/>
        <v xml:space="preserve">intRowChangeJob_JobClassifications_PayRateType, </v>
      </c>
      <c r="D27" t="str">
        <f t="shared" si="2"/>
        <v xml:space="preserve">strChangeJob_JobClassifications_PayRateType, </v>
      </c>
      <c r="E27" t="e">
        <f t="shared" si="6"/>
        <v>#REF!</v>
      </c>
      <c r="F27" s="5" t="str">
        <f t="shared" si="3"/>
        <v>intRowChangeJob_JobClassifications_PayRateType = comExcelWorksheet.Range("ChangeJob_JobClassifications_PayRateType").Row</v>
      </c>
      <c r="G27" s="5" t="str">
        <f t="shared" si="4"/>
        <v>strChangeJob_JobClassifications_PayRateType = comExcelWorksheet.Cells(intRowChangeJob_JobClassifications_PayRateType, intColTestColumn).Value</v>
      </c>
      <c r="H27" t="str">
        <f t="shared" si="5"/>
        <v>Public Property Get getChangeJob_JobClassifications_PayRateType() : getChangeJob_JobClassifications_PayRateType = strChangeJob_JobClassifications_PayRateType : End Property</v>
      </c>
    </row>
    <row r="28" spans="1:8" x14ac:dyDescent="0.3">
      <c r="A28" t="str">
        <f>Test_Data!E31</f>
        <v>ChangeJob_JobClassifications_DefaultWeeklyHours</v>
      </c>
      <c r="B28" t="str">
        <f t="shared" si="0"/>
        <v xml:space="preserve">intRowChangeJob_JobClassifications_DefaultWeeklyHours, </v>
      </c>
      <c r="C28" t="str">
        <f t="shared" si="1"/>
        <v xml:space="preserve">intRowChangeJob_JobClassifications_DefaultWeeklyHours, </v>
      </c>
      <c r="D28" t="str">
        <f t="shared" si="2"/>
        <v xml:space="preserve">strChangeJob_JobClassifications_DefaultWeeklyHours, </v>
      </c>
      <c r="E28" t="e">
        <f t="shared" si="6"/>
        <v>#REF!</v>
      </c>
      <c r="F28" s="5" t="str">
        <f t="shared" si="3"/>
        <v>intRowChangeJob_JobClassifications_DefaultWeeklyHours = comExcelWorksheet.Range("ChangeJob_JobClassifications_DefaultWeeklyHours").Row</v>
      </c>
      <c r="G28" s="5" t="str">
        <f t="shared" si="4"/>
        <v>strChangeJob_JobClassifications_DefaultWeeklyHours = comExcelWorksheet.Cells(intRowChangeJob_JobClassifications_DefaultWeeklyHours, intColTestColumn).Value</v>
      </c>
      <c r="H28" t="str">
        <f t="shared" si="5"/>
        <v>Public Property Get getChangeJob_JobClassifications_DefaultWeeklyHours() : getChangeJob_JobClassifications_DefaultWeeklyHours = strChangeJob_JobClassifications_DefaultWeeklyHours : End Property</v>
      </c>
    </row>
    <row r="29" spans="1:8" x14ac:dyDescent="0.3">
      <c r="A29" t="str">
        <f>Test_Data!E32</f>
        <v>ChangeJob_JobClassifications_EndEmploymentDate</v>
      </c>
      <c r="B29" t="str">
        <f t="shared" si="0"/>
        <v xml:space="preserve">intRowChangeJob_JobClassifications_EndEmploymentDate, </v>
      </c>
      <c r="C29" t="str">
        <f t="shared" si="1"/>
        <v xml:space="preserve">intRowChangeJob_JobClassifications_EndEmploymentDate, </v>
      </c>
      <c r="D29" t="str">
        <f t="shared" si="2"/>
        <v xml:space="preserve">strChangeJob_JobClassifications_EndEmploymentDate, </v>
      </c>
      <c r="E29" t="e">
        <f t="shared" si="6"/>
        <v>#REF!</v>
      </c>
      <c r="F29" s="5" t="str">
        <f t="shared" si="3"/>
        <v>intRowChangeJob_JobClassifications_EndEmploymentDate = comExcelWorksheet.Range("ChangeJob_JobClassifications_EndEmploymentDate").Row</v>
      </c>
      <c r="G29" s="5" t="str">
        <f t="shared" si="4"/>
        <v>strChangeJob_JobClassifications_EndEmploymentDate = comExcelWorksheet.Cells(intRowChangeJob_JobClassifications_EndEmploymentDate, intColTestColumn).Value</v>
      </c>
      <c r="H29" t="str">
        <f t="shared" si="5"/>
        <v>Public Property Get getChangeJob_JobClassifications_EndEmploymentDate() : getChangeJob_JobClassifications_EndEmploymentDate = strChangeJob_JobClassifications_EndEmploymentDate : End Property</v>
      </c>
    </row>
    <row r="30" spans="1:8" x14ac:dyDescent="0.3">
      <c r="A30" t="str">
        <f>Test_Data!E33</f>
        <v>ChangeJob_JobClassifications_AssignmentType</v>
      </c>
      <c r="B30" t="str">
        <f t="shared" si="0"/>
        <v xml:space="preserve">intRowChangeJob_JobClassifications_AssignmentType, </v>
      </c>
      <c r="C30" t="str">
        <f t="shared" si="1"/>
        <v xml:space="preserve">intRowChangeJob_JobClassifications_AssignmentType, </v>
      </c>
      <c r="D30" t="str">
        <f t="shared" si="2"/>
        <v xml:space="preserve">strChangeJob_JobClassifications_AssignmentType, </v>
      </c>
      <c r="E30" t="e">
        <f t="shared" si="6"/>
        <v>#REF!</v>
      </c>
      <c r="F30" s="5" t="str">
        <f t="shared" si="3"/>
        <v>intRowChangeJob_JobClassifications_AssignmentType = comExcelWorksheet.Range("ChangeJob_JobClassifications_AssignmentType").Row</v>
      </c>
      <c r="G30" s="5" t="str">
        <f t="shared" si="4"/>
        <v>strChangeJob_JobClassifications_AssignmentType = comExcelWorksheet.Cells(intRowChangeJob_JobClassifications_AssignmentType, intColTestColumn).Value</v>
      </c>
      <c r="H30" t="str">
        <f t="shared" si="5"/>
        <v>Public Property Get getChangeJob_JobClassifications_AssignmentType() : getChangeJob_JobClassifications_AssignmentType = strChangeJob_JobClassifications_AssignmentType : End Property</v>
      </c>
    </row>
    <row r="31" spans="1:8" x14ac:dyDescent="0.3">
      <c r="A31" t="str">
        <f>Test_Data!E34</f>
        <v>ChangeJob_JobClassifications_FirstDayofWork</v>
      </c>
      <c r="B31" t="str">
        <f t="shared" si="0"/>
        <v xml:space="preserve">intRowChangeJob_JobClassifications_FirstDayofWork, </v>
      </c>
      <c r="C31" t="str">
        <f t="shared" si="1"/>
        <v xml:space="preserve">intRowChangeJob_JobClassifications_FirstDayofWork, </v>
      </c>
      <c r="D31" t="str">
        <f t="shared" si="2"/>
        <v xml:space="preserve">strChangeJob_JobClassifications_FirstDayofWork, </v>
      </c>
      <c r="E31" t="e">
        <f t="shared" si="6"/>
        <v>#REF!</v>
      </c>
      <c r="F31" s="5" t="str">
        <f t="shared" si="3"/>
        <v>intRowChangeJob_JobClassifications_FirstDayofWork = comExcelWorksheet.Range("ChangeJob_JobClassifications_FirstDayofWork").Row</v>
      </c>
      <c r="G31" s="5" t="str">
        <f t="shared" si="4"/>
        <v>strChangeJob_JobClassifications_FirstDayofWork = comExcelWorksheet.Cells(intRowChangeJob_JobClassifications_FirstDayofWork, intColTestColumn).Value</v>
      </c>
      <c r="H31" t="str">
        <f t="shared" si="5"/>
        <v>Public Property Get getChangeJob_JobClassifications_FirstDayofWork() : getChangeJob_JobClassifications_FirstDayofWork = strChangeJob_JobClassifications_FirstDayofWork : End Property</v>
      </c>
    </row>
    <row r="32" spans="1:8" x14ac:dyDescent="0.3">
      <c r="A32" t="str">
        <f>Test_Data!E40</f>
        <v>ProposeCompensationHire_GradeProfile</v>
      </c>
      <c r="B32" t="str">
        <f>"intRow" &amp; A32 &amp; ", "</f>
        <v xml:space="preserve">intRowProposeCompensationHire_GradeProfile, </v>
      </c>
      <c r="C32" t="str">
        <f t="shared" ref="C32" si="7">B32</f>
        <v xml:space="preserve">intRowProposeCompensationHire_GradeProfile, </v>
      </c>
      <c r="D32" t="str">
        <f t="shared" ref="D32" si="8">"str" &amp; A32 &amp; ", "</f>
        <v xml:space="preserve">strProposeCompensationHire_GradeProfile, </v>
      </c>
      <c r="E32" t="e">
        <f t="shared" ref="E32" si="9">E31 &amp; " " &amp; D32</f>
        <v>#REF!</v>
      </c>
      <c r="F32" s="5" t="str">
        <f t="shared" ref="F32" si="10">"intRow" &amp; A32 &amp; " = comExcelWorksheet.Range(""" &amp; A32 &amp; """).Row"</f>
        <v>intRowProposeCompensationHire_GradeProfile = comExcelWorksheet.Range("ProposeCompensationHire_GradeProfile").Row</v>
      </c>
      <c r="G32" s="5" t="str">
        <f t="shared" ref="G32" si="11">"str" &amp; A32 &amp; " = comExcelWorksheet.Cells(intRow" &amp; A32 &amp; ", intColTestColumn).Value"</f>
        <v>strProposeCompensationHire_GradeProfile = comExcelWorksheet.Cells(intRowProposeCompensationHire_GradeProfile, intColTestColumn).Value</v>
      </c>
      <c r="H32" t="str">
        <f t="shared" ref="H32" si="12">"Public Property Get get" &amp; A32 &amp; "() : get" &amp; A32 &amp; " = str" &amp; A32 &amp; " : End Property"</f>
        <v>Public Property Get getProposeCompensationHire_GradeProfile() : getProposeCompensationHire_GradeProfile = strProposeCompensationHire_GradeProfile : End Property</v>
      </c>
    </row>
    <row r="33" spans="1:8" x14ac:dyDescent="0.3">
      <c r="A33" t="str">
        <f>Test_Data!E41</f>
        <v>ProposeCompensationHire_Step</v>
      </c>
      <c r="B33" t="str">
        <f>"intRow" &amp; A33 &amp; ", "</f>
        <v xml:space="preserve">intRowProposeCompensationHire_Step, </v>
      </c>
      <c r="C33" t="str">
        <f t="shared" ref="C33" si="13">B33</f>
        <v xml:space="preserve">intRowProposeCompensationHire_Step, </v>
      </c>
      <c r="D33" t="str">
        <f t="shared" ref="D33" si="14">"str" &amp; A33 &amp; ", "</f>
        <v xml:space="preserve">strProposeCompensationHire_Step, </v>
      </c>
      <c r="E33" t="e">
        <f t="shared" ref="E33" si="15">E32 &amp; " " &amp; D33</f>
        <v>#REF!</v>
      </c>
      <c r="F33" s="5" t="str">
        <f t="shared" ref="F33" si="16">"intRow" &amp; A33 &amp; " = comExcelWorksheet.Range(""" &amp; A33 &amp; """).Row"</f>
        <v>intRowProposeCompensationHire_Step = comExcelWorksheet.Range("ProposeCompensationHire_Step").Row</v>
      </c>
      <c r="G33" s="5" t="str">
        <f t="shared" ref="G33" si="17">"str" &amp; A33 &amp; " = comExcelWorksheet.Cells(intRow" &amp; A33 &amp; ", intColTestColumn).Value"</f>
        <v>strProposeCompensationHire_Step = comExcelWorksheet.Cells(intRowProposeCompensationHire_Step, intColTestColumn).Value</v>
      </c>
      <c r="H33" t="str">
        <f t="shared" ref="H33" si="18">"Public Property Get get" &amp; A33 &amp; "() : get" &amp; A33 &amp; " = str" &amp; A33 &amp; " : End Property"</f>
        <v>Public Property Get getProposeCompensationHire_Step() : getProposeCompensationHire_Step = strProposeCompensationHire_Step : End Property</v>
      </c>
    </row>
  </sheetData>
  <sheetProtection selectLockedCells="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65"/>
  <sheetViews>
    <sheetView workbookViewId="0">
      <selection activeCell="F5" sqref="F5"/>
    </sheetView>
  </sheetViews>
  <sheetFormatPr defaultRowHeight="14.4" x14ac:dyDescent="0.3"/>
  <cols>
    <col min="1" max="1" width="11.44140625" bestFit="1" customWidth="1"/>
    <col min="3" max="3" width="15.5546875" customWidth="1"/>
    <col min="4" max="4" width="23" customWidth="1"/>
  </cols>
  <sheetData>
    <row r="1" spans="1:27" x14ac:dyDescent="0.3">
      <c r="A1" t="s">
        <v>150</v>
      </c>
      <c r="B1" t="s">
        <v>314</v>
      </c>
      <c r="C1" t="s">
        <v>458</v>
      </c>
      <c r="D1" s="37">
        <v>44444441001</v>
      </c>
    </row>
    <row r="2" spans="1:27" x14ac:dyDescent="0.3">
      <c r="A2" t="s">
        <v>236</v>
      </c>
      <c r="B2" t="s">
        <v>315</v>
      </c>
      <c r="C2" t="s">
        <v>459</v>
      </c>
      <c r="D2" s="37">
        <v>44444441002</v>
      </c>
    </row>
    <row r="3" spans="1:27" x14ac:dyDescent="0.3">
      <c r="A3" t="s">
        <v>237</v>
      </c>
      <c r="B3" t="s">
        <v>316</v>
      </c>
      <c r="C3" t="s">
        <v>460</v>
      </c>
      <c r="D3" s="37">
        <v>44444441003</v>
      </c>
    </row>
    <row r="4" spans="1:27" x14ac:dyDescent="0.3">
      <c r="A4" t="s">
        <v>238</v>
      </c>
      <c r="B4" t="s">
        <v>317</v>
      </c>
      <c r="C4" t="s">
        <v>461</v>
      </c>
      <c r="D4" s="37">
        <v>44444441004</v>
      </c>
    </row>
    <row r="5" spans="1:27" x14ac:dyDescent="0.3">
      <c r="A5" t="s">
        <v>239</v>
      </c>
      <c r="B5" t="s">
        <v>318</v>
      </c>
      <c r="C5" t="s">
        <v>462</v>
      </c>
      <c r="D5" s="37">
        <v>44444441005</v>
      </c>
      <c r="H5" t="s">
        <v>150</v>
      </c>
      <c r="I5" t="s">
        <v>236</v>
      </c>
      <c r="J5" t="s">
        <v>237</v>
      </c>
      <c r="K5" t="s">
        <v>238</v>
      </c>
      <c r="L5" t="s">
        <v>239</v>
      </c>
      <c r="M5" t="s">
        <v>151</v>
      </c>
      <c r="N5" t="s">
        <v>152</v>
      </c>
      <c r="O5" t="s">
        <v>153</v>
      </c>
      <c r="P5" t="s">
        <v>154</v>
      </c>
      <c r="Q5" t="s">
        <v>155</v>
      </c>
      <c r="R5" t="s">
        <v>156</v>
      </c>
      <c r="S5" t="s">
        <v>240</v>
      </c>
      <c r="T5" t="s">
        <v>157</v>
      </c>
      <c r="U5" t="s">
        <v>158</v>
      </c>
      <c r="V5" t="s">
        <v>159</v>
      </c>
      <c r="W5" t="s">
        <v>241</v>
      </c>
      <c r="X5" t="s">
        <v>160</v>
      </c>
      <c r="Y5" t="s">
        <v>242</v>
      </c>
      <c r="Z5" t="s">
        <v>161</v>
      </c>
      <c r="AA5" t="s">
        <v>162</v>
      </c>
    </row>
    <row r="6" spans="1:27" x14ac:dyDescent="0.3">
      <c r="A6" t="s">
        <v>151</v>
      </c>
      <c r="B6" t="s">
        <v>319</v>
      </c>
      <c r="C6" t="s">
        <v>463</v>
      </c>
      <c r="D6" s="37">
        <v>44444441006</v>
      </c>
    </row>
    <row r="7" spans="1:27" x14ac:dyDescent="0.3">
      <c r="A7" t="s">
        <v>152</v>
      </c>
      <c r="B7" t="s">
        <v>320</v>
      </c>
      <c r="C7" t="s">
        <v>464</v>
      </c>
      <c r="D7" s="37">
        <v>44444441007</v>
      </c>
      <c r="H7" t="s">
        <v>314</v>
      </c>
      <c r="I7" t="s">
        <v>315</v>
      </c>
      <c r="J7" t="s">
        <v>316</v>
      </c>
      <c r="K7" t="s">
        <v>317</v>
      </c>
      <c r="L7" t="s">
        <v>318</v>
      </c>
      <c r="M7" t="s">
        <v>319</v>
      </c>
      <c r="N7" t="s">
        <v>320</v>
      </c>
      <c r="O7" t="s">
        <v>321</v>
      </c>
      <c r="P7" t="s">
        <v>322</v>
      </c>
      <c r="Q7" t="s">
        <v>323</v>
      </c>
      <c r="R7" t="s">
        <v>324</v>
      </c>
      <c r="S7" t="s">
        <v>325</v>
      </c>
      <c r="T7" t="s">
        <v>244</v>
      </c>
      <c r="U7" t="s">
        <v>326</v>
      </c>
      <c r="V7" t="s">
        <v>327</v>
      </c>
      <c r="W7" t="s">
        <v>328</v>
      </c>
      <c r="X7" t="s">
        <v>329</v>
      </c>
      <c r="Y7" t="s">
        <v>330</v>
      </c>
      <c r="Z7" t="s">
        <v>331</v>
      </c>
      <c r="AA7" t="s">
        <v>248</v>
      </c>
    </row>
    <row r="8" spans="1:27" x14ac:dyDescent="0.3">
      <c r="A8" t="s">
        <v>153</v>
      </c>
      <c r="B8" t="s">
        <v>321</v>
      </c>
      <c r="C8" t="s">
        <v>465</v>
      </c>
      <c r="D8" s="37">
        <v>44444441008</v>
      </c>
    </row>
    <row r="9" spans="1:27" x14ac:dyDescent="0.3">
      <c r="A9" t="s">
        <v>154</v>
      </c>
      <c r="B9" t="s">
        <v>322</v>
      </c>
      <c r="C9" t="s">
        <v>466</v>
      </c>
      <c r="D9" s="37">
        <v>44444441009</v>
      </c>
      <c r="H9" t="s">
        <v>458</v>
      </c>
      <c r="I9" t="s">
        <v>459</v>
      </c>
      <c r="J9" t="s">
        <v>460</v>
      </c>
      <c r="K9" t="s">
        <v>461</v>
      </c>
      <c r="L9" t="s">
        <v>462</v>
      </c>
      <c r="M9" t="s">
        <v>463</v>
      </c>
      <c r="N9" t="s">
        <v>464</v>
      </c>
      <c r="O9" t="s">
        <v>465</v>
      </c>
      <c r="P9" t="s">
        <v>466</v>
      </c>
      <c r="Q9" t="s">
        <v>467</v>
      </c>
    </row>
    <row r="10" spans="1:27" x14ac:dyDescent="0.3">
      <c r="A10" t="s">
        <v>155</v>
      </c>
      <c r="B10" t="s">
        <v>323</v>
      </c>
      <c r="C10" t="s">
        <v>467</v>
      </c>
      <c r="D10" s="37">
        <v>44444441010</v>
      </c>
    </row>
    <row r="11" spans="1:27" x14ac:dyDescent="0.3">
      <c r="A11" t="s">
        <v>156</v>
      </c>
      <c r="B11" t="s">
        <v>324</v>
      </c>
      <c r="C11" t="s">
        <v>468</v>
      </c>
      <c r="D11" s="37">
        <v>44444441011</v>
      </c>
      <c r="H11" s="37">
        <v>44444441001</v>
      </c>
      <c r="I11" s="37">
        <v>44444441002</v>
      </c>
      <c r="J11" s="37">
        <v>44444441003</v>
      </c>
      <c r="K11" s="37">
        <v>44444441004</v>
      </c>
      <c r="L11" s="37">
        <v>44444441005</v>
      </c>
      <c r="M11" s="37">
        <v>44444441006</v>
      </c>
      <c r="N11" s="37">
        <v>44444441007</v>
      </c>
      <c r="O11" s="37">
        <v>44444441008</v>
      </c>
      <c r="P11" s="37">
        <v>44444441009</v>
      </c>
      <c r="Q11" s="37">
        <v>44444441010</v>
      </c>
      <c r="R11" s="37">
        <v>44444441011</v>
      </c>
      <c r="S11" s="37">
        <v>44444441012</v>
      </c>
      <c r="T11" s="37">
        <v>44444441013</v>
      </c>
      <c r="U11" s="37">
        <v>44444441014</v>
      </c>
      <c r="V11" s="37">
        <v>44444441015</v>
      </c>
      <c r="W11" s="37">
        <v>44444441016</v>
      </c>
      <c r="X11" s="37">
        <v>44444441017</v>
      </c>
      <c r="Y11" s="37">
        <v>44444441018</v>
      </c>
      <c r="Z11" s="37">
        <v>44444441019</v>
      </c>
      <c r="AA11" s="37">
        <v>44444441020</v>
      </c>
    </row>
    <row r="12" spans="1:27" x14ac:dyDescent="0.3">
      <c r="A12" t="s">
        <v>240</v>
      </c>
      <c r="B12" t="s">
        <v>325</v>
      </c>
      <c r="C12" t="s">
        <v>469</v>
      </c>
      <c r="D12" s="37">
        <v>44444441012</v>
      </c>
    </row>
    <row r="13" spans="1:27" x14ac:dyDescent="0.3">
      <c r="A13" t="s">
        <v>157</v>
      </c>
      <c r="B13" t="s">
        <v>244</v>
      </c>
      <c r="C13" t="s">
        <v>470</v>
      </c>
      <c r="D13" s="37">
        <v>44444441013</v>
      </c>
    </row>
    <row r="14" spans="1:27" x14ac:dyDescent="0.3">
      <c r="A14" t="s">
        <v>158</v>
      </c>
      <c r="B14" t="s">
        <v>326</v>
      </c>
      <c r="C14" t="s">
        <v>471</v>
      </c>
      <c r="D14" s="37">
        <v>44444441014</v>
      </c>
    </row>
    <row r="15" spans="1:27" x14ac:dyDescent="0.3">
      <c r="A15" t="s">
        <v>159</v>
      </c>
      <c r="B15" t="s">
        <v>327</v>
      </c>
      <c r="C15" t="s">
        <v>472</v>
      </c>
      <c r="D15" s="37">
        <v>44444441015</v>
      </c>
    </row>
    <row r="16" spans="1:27" x14ac:dyDescent="0.3">
      <c r="A16" t="s">
        <v>241</v>
      </c>
      <c r="B16" t="s">
        <v>328</v>
      </c>
      <c r="C16" t="s">
        <v>473</v>
      </c>
      <c r="D16" s="37">
        <v>44444441016</v>
      </c>
    </row>
    <row r="17" spans="1:4" x14ac:dyDescent="0.3">
      <c r="A17" t="s">
        <v>160</v>
      </c>
      <c r="B17" t="s">
        <v>329</v>
      </c>
      <c r="C17" t="s">
        <v>474</v>
      </c>
      <c r="D17" s="37">
        <v>44444441017</v>
      </c>
    </row>
    <row r="18" spans="1:4" x14ac:dyDescent="0.3">
      <c r="A18" t="s">
        <v>242</v>
      </c>
      <c r="B18" t="s">
        <v>330</v>
      </c>
      <c r="C18" t="s">
        <v>475</v>
      </c>
      <c r="D18" s="37">
        <v>44444441018</v>
      </c>
    </row>
    <row r="19" spans="1:4" x14ac:dyDescent="0.3">
      <c r="A19" t="s">
        <v>161</v>
      </c>
      <c r="B19" t="s">
        <v>331</v>
      </c>
      <c r="C19" t="s">
        <v>476</v>
      </c>
      <c r="D19" s="37">
        <v>44444441019</v>
      </c>
    </row>
    <row r="20" spans="1:4" x14ac:dyDescent="0.3">
      <c r="A20" t="s">
        <v>162</v>
      </c>
      <c r="B20" t="s">
        <v>248</v>
      </c>
      <c r="C20" t="s">
        <v>477</v>
      </c>
      <c r="D20" s="37">
        <v>44444441020</v>
      </c>
    </row>
    <row r="21" spans="1:4" x14ac:dyDescent="0.3">
      <c r="A21" t="s">
        <v>243</v>
      </c>
      <c r="B21" t="s">
        <v>332</v>
      </c>
      <c r="C21" t="s">
        <v>478</v>
      </c>
      <c r="D21" s="37">
        <v>44444441021</v>
      </c>
    </row>
    <row r="22" spans="1:4" x14ac:dyDescent="0.3">
      <c r="A22" t="s">
        <v>163</v>
      </c>
      <c r="B22" t="s">
        <v>333</v>
      </c>
      <c r="C22" t="s">
        <v>479</v>
      </c>
      <c r="D22" s="37">
        <v>44444441022</v>
      </c>
    </row>
    <row r="23" spans="1:4" x14ac:dyDescent="0.3">
      <c r="A23" t="s">
        <v>244</v>
      </c>
      <c r="B23" t="s">
        <v>334</v>
      </c>
      <c r="C23" t="s">
        <v>480</v>
      </c>
      <c r="D23" s="37">
        <v>44444441023</v>
      </c>
    </row>
    <row r="24" spans="1:4" x14ac:dyDescent="0.3">
      <c r="A24" t="s">
        <v>245</v>
      </c>
      <c r="B24" t="s">
        <v>335</v>
      </c>
      <c r="C24" t="s">
        <v>481</v>
      </c>
      <c r="D24" s="37">
        <v>44444441024</v>
      </c>
    </row>
    <row r="25" spans="1:4" x14ac:dyDescent="0.3">
      <c r="A25" t="s">
        <v>246</v>
      </c>
      <c r="B25" t="s">
        <v>336</v>
      </c>
      <c r="C25" t="s">
        <v>482</v>
      </c>
      <c r="D25" s="37">
        <v>44444441025</v>
      </c>
    </row>
    <row r="26" spans="1:4" x14ac:dyDescent="0.3">
      <c r="A26" t="s">
        <v>247</v>
      </c>
      <c r="B26" t="s">
        <v>337</v>
      </c>
      <c r="C26" t="s">
        <v>483</v>
      </c>
      <c r="D26" s="37">
        <v>44444441026</v>
      </c>
    </row>
    <row r="27" spans="1:4" x14ac:dyDescent="0.3">
      <c r="A27" t="s">
        <v>248</v>
      </c>
      <c r="B27" t="s">
        <v>338</v>
      </c>
      <c r="C27" t="s">
        <v>484</v>
      </c>
      <c r="D27" s="37">
        <v>44444441027</v>
      </c>
    </row>
    <row r="28" spans="1:4" x14ac:dyDescent="0.3">
      <c r="A28" t="s">
        <v>249</v>
      </c>
      <c r="B28" t="s">
        <v>339</v>
      </c>
      <c r="C28" t="s">
        <v>485</v>
      </c>
      <c r="D28" s="37">
        <v>44444441028</v>
      </c>
    </row>
    <row r="29" spans="1:4" x14ac:dyDescent="0.3">
      <c r="A29" t="s">
        <v>164</v>
      </c>
      <c r="B29" t="s">
        <v>340</v>
      </c>
      <c r="C29" t="s">
        <v>486</v>
      </c>
      <c r="D29" s="37">
        <v>44444441029</v>
      </c>
    </row>
    <row r="30" spans="1:4" x14ac:dyDescent="0.3">
      <c r="A30" t="s">
        <v>165</v>
      </c>
      <c r="B30" t="s">
        <v>341</v>
      </c>
      <c r="C30" t="s">
        <v>487</v>
      </c>
      <c r="D30" s="37">
        <v>44444441030</v>
      </c>
    </row>
    <row r="31" spans="1:4" x14ac:dyDescent="0.3">
      <c r="A31" t="s">
        <v>166</v>
      </c>
      <c r="B31" t="s">
        <v>342</v>
      </c>
      <c r="C31" t="s">
        <v>488</v>
      </c>
      <c r="D31" s="37">
        <v>44444441031</v>
      </c>
    </row>
    <row r="32" spans="1:4" x14ac:dyDescent="0.3">
      <c r="A32" t="s">
        <v>250</v>
      </c>
      <c r="B32" t="s">
        <v>343</v>
      </c>
      <c r="C32" t="s">
        <v>489</v>
      </c>
      <c r="D32" s="37">
        <v>44444441032</v>
      </c>
    </row>
    <row r="33" spans="1:4" x14ac:dyDescent="0.3">
      <c r="A33" t="s">
        <v>167</v>
      </c>
      <c r="B33" t="s">
        <v>344</v>
      </c>
      <c r="C33" t="s">
        <v>490</v>
      </c>
      <c r="D33" s="37">
        <v>44444441033</v>
      </c>
    </row>
    <row r="34" spans="1:4" x14ac:dyDescent="0.3">
      <c r="A34" t="s">
        <v>251</v>
      </c>
      <c r="B34" t="s">
        <v>345</v>
      </c>
      <c r="C34" t="s">
        <v>491</v>
      </c>
      <c r="D34" s="37">
        <v>44444441034</v>
      </c>
    </row>
    <row r="35" spans="1:4" x14ac:dyDescent="0.3">
      <c r="A35" t="s">
        <v>252</v>
      </c>
      <c r="B35" t="s">
        <v>346</v>
      </c>
      <c r="C35" t="s">
        <v>492</v>
      </c>
      <c r="D35" s="37">
        <v>44444441035</v>
      </c>
    </row>
    <row r="36" spans="1:4" x14ac:dyDescent="0.3">
      <c r="A36" t="s">
        <v>168</v>
      </c>
      <c r="B36" t="s">
        <v>347</v>
      </c>
      <c r="C36" t="s">
        <v>493</v>
      </c>
      <c r="D36" s="37">
        <v>44444441036</v>
      </c>
    </row>
    <row r="37" spans="1:4" x14ac:dyDescent="0.3">
      <c r="A37" t="s">
        <v>253</v>
      </c>
      <c r="B37" t="s">
        <v>348</v>
      </c>
      <c r="C37" t="s">
        <v>494</v>
      </c>
      <c r="D37" s="37">
        <v>44444441037</v>
      </c>
    </row>
    <row r="38" spans="1:4" x14ac:dyDescent="0.3">
      <c r="A38" t="s">
        <v>254</v>
      </c>
      <c r="B38" t="s">
        <v>349</v>
      </c>
      <c r="C38" t="s">
        <v>495</v>
      </c>
      <c r="D38" s="37">
        <v>44444441038</v>
      </c>
    </row>
    <row r="39" spans="1:4" x14ac:dyDescent="0.3">
      <c r="A39" t="s">
        <v>255</v>
      </c>
      <c r="B39" t="s">
        <v>350</v>
      </c>
      <c r="C39" t="s">
        <v>496</v>
      </c>
      <c r="D39" s="37">
        <v>44444441039</v>
      </c>
    </row>
    <row r="40" spans="1:4" x14ac:dyDescent="0.3">
      <c r="A40" t="s">
        <v>256</v>
      </c>
      <c r="B40" t="s">
        <v>351</v>
      </c>
      <c r="C40" t="s">
        <v>497</v>
      </c>
      <c r="D40" s="37">
        <v>44444441040</v>
      </c>
    </row>
    <row r="41" spans="1:4" x14ac:dyDescent="0.3">
      <c r="A41" t="s">
        <v>169</v>
      </c>
      <c r="B41" t="s">
        <v>352</v>
      </c>
      <c r="C41" t="s">
        <v>498</v>
      </c>
      <c r="D41" s="37">
        <v>44444441041</v>
      </c>
    </row>
    <row r="42" spans="1:4" x14ac:dyDescent="0.3">
      <c r="A42" t="s">
        <v>170</v>
      </c>
      <c r="B42" t="s">
        <v>353</v>
      </c>
      <c r="C42" t="s">
        <v>499</v>
      </c>
      <c r="D42" s="37">
        <v>44444441042</v>
      </c>
    </row>
    <row r="43" spans="1:4" x14ac:dyDescent="0.3">
      <c r="A43" t="s">
        <v>171</v>
      </c>
      <c r="B43" t="s">
        <v>354</v>
      </c>
      <c r="C43" t="s">
        <v>500</v>
      </c>
      <c r="D43" s="37">
        <v>44444441043</v>
      </c>
    </row>
    <row r="44" spans="1:4" x14ac:dyDescent="0.3">
      <c r="A44" t="s">
        <v>257</v>
      </c>
      <c r="B44" t="s">
        <v>355</v>
      </c>
      <c r="C44" t="s">
        <v>501</v>
      </c>
      <c r="D44" s="37">
        <v>44444441044</v>
      </c>
    </row>
    <row r="45" spans="1:4" x14ac:dyDescent="0.3">
      <c r="A45" t="s">
        <v>172</v>
      </c>
      <c r="B45" t="s">
        <v>356</v>
      </c>
      <c r="C45" t="s">
        <v>502</v>
      </c>
      <c r="D45" s="37">
        <v>44444441045</v>
      </c>
    </row>
    <row r="46" spans="1:4" x14ac:dyDescent="0.3">
      <c r="A46" t="s">
        <v>173</v>
      </c>
      <c r="B46" t="s">
        <v>357</v>
      </c>
      <c r="C46" t="s">
        <v>503</v>
      </c>
      <c r="D46" s="37">
        <v>44444441046</v>
      </c>
    </row>
    <row r="47" spans="1:4" x14ac:dyDescent="0.3">
      <c r="A47" t="s">
        <v>258</v>
      </c>
      <c r="B47" t="s">
        <v>358</v>
      </c>
      <c r="C47" t="s">
        <v>504</v>
      </c>
      <c r="D47" s="37">
        <v>44444441047</v>
      </c>
    </row>
    <row r="48" spans="1:4" x14ac:dyDescent="0.3">
      <c r="A48" t="s">
        <v>259</v>
      </c>
      <c r="B48" t="s">
        <v>359</v>
      </c>
      <c r="C48" t="s">
        <v>505</v>
      </c>
      <c r="D48" s="37">
        <v>44444441048</v>
      </c>
    </row>
    <row r="49" spans="1:4" x14ac:dyDescent="0.3">
      <c r="A49" t="s">
        <v>174</v>
      </c>
      <c r="B49" t="s">
        <v>360</v>
      </c>
      <c r="C49" t="s">
        <v>506</v>
      </c>
      <c r="D49" s="37">
        <v>44444441049</v>
      </c>
    </row>
    <row r="50" spans="1:4" x14ac:dyDescent="0.3">
      <c r="A50" t="s">
        <v>175</v>
      </c>
      <c r="B50" t="s">
        <v>361</v>
      </c>
      <c r="C50" t="s">
        <v>507</v>
      </c>
      <c r="D50" s="37">
        <v>44444441050</v>
      </c>
    </row>
    <row r="51" spans="1:4" x14ac:dyDescent="0.3">
      <c r="A51" t="s">
        <v>176</v>
      </c>
      <c r="B51" t="s">
        <v>362</v>
      </c>
      <c r="C51" t="s">
        <v>508</v>
      </c>
      <c r="D51" s="37">
        <v>44444441051</v>
      </c>
    </row>
    <row r="52" spans="1:4" x14ac:dyDescent="0.3">
      <c r="A52" t="s">
        <v>177</v>
      </c>
      <c r="B52" t="s">
        <v>363</v>
      </c>
      <c r="C52" t="s">
        <v>509</v>
      </c>
      <c r="D52" s="37">
        <v>44444441052</v>
      </c>
    </row>
    <row r="53" spans="1:4" x14ac:dyDescent="0.3">
      <c r="A53" t="s">
        <v>260</v>
      </c>
      <c r="B53" t="s">
        <v>364</v>
      </c>
      <c r="C53" t="s">
        <v>510</v>
      </c>
      <c r="D53" s="37">
        <v>44444441053</v>
      </c>
    </row>
    <row r="54" spans="1:4" x14ac:dyDescent="0.3">
      <c r="A54" t="s">
        <v>261</v>
      </c>
      <c r="B54" t="s">
        <v>365</v>
      </c>
      <c r="C54" t="s">
        <v>511</v>
      </c>
      <c r="D54" s="37">
        <v>44444441054</v>
      </c>
    </row>
    <row r="55" spans="1:4" x14ac:dyDescent="0.3">
      <c r="A55" t="s">
        <v>178</v>
      </c>
      <c r="B55" t="s">
        <v>366</v>
      </c>
      <c r="C55" t="s">
        <v>512</v>
      </c>
      <c r="D55" s="37">
        <v>44444441055</v>
      </c>
    </row>
    <row r="56" spans="1:4" x14ac:dyDescent="0.3">
      <c r="A56" t="s">
        <v>179</v>
      </c>
      <c r="B56" t="s">
        <v>367</v>
      </c>
      <c r="C56" t="s">
        <v>513</v>
      </c>
      <c r="D56" s="37">
        <v>44444441056</v>
      </c>
    </row>
    <row r="57" spans="1:4" x14ac:dyDescent="0.3">
      <c r="A57" t="s">
        <v>180</v>
      </c>
      <c r="B57" t="s">
        <v>368</v>
      </c>
      <c r="C57" t="s">
        <v>514</v>
      </c>
      <c r="D57" s="37">
        <v>44444441057</v>
      </c>
    </row>
    <row r="58" spans="1:4" x14ac:dyDescent="0.3">
      <c r="A58" t="s">
        <v>149</v>
      </c>
      <c r="B58" t="s">
        <v>369</v>
      </c>
      <c r="C58" t="s">
        <v>515</v>
      </c>
      <c r="D58" s="37">
        <v>44444441058</v>
      </c>
    </row>
    <row r="59" spans="1:4" x14ac:dyDescent="0.3">
      <c r="A59" t="s">
        <v>262</v>
      </c>
      <c r="B59" t="s">
        <v>370</v>
      </c>
      <c r="C59" t="s">
        <v>516</v>
      </c>
      <c r="D59" s="37">
        <v>44444441059</v>
      </c>
    </row>
    <row r="60" spans="1:4" x14ac:dyDescent="0.3">
      <c r="A60" t="s">
        <v>181</v>
      </c>
      <c r="B60" t="s">
        <v>371</v>
      </c>
      <c r="C60" t="s">
        <v>517</v>
      </c>
      <c r="D60" s="37">
        <v>44444441060</v>
      </c>
    </row>
    <row r="61" spans="1:4" x14ac:dyDescent="0.3">
      <c r="A61" t="s">
        <v>263</v>
      </c>
      <c r="B61" t="s">
        <v>372</v>
      </c>
      <c r="C61" t="s">
        <v>518</v>
      </c>
      <c r="D61" s="37">
        <v>44444441061</v>
      </c>
    </row>
    <row r="62" spans="1:4" x14ac:dyDescent="0.3">
      <c r="A62" t="s">
        <v>264</v>
      </c>
      <c r="B62" t="s">
        <v>271</v>
      </c>
      <c r="C62" t="s">
        <v>519</v>
      </c>
      <c r="D62" s="37">
        <v>44444441062</v>
      </c>
    </row>
    <row r="63" spans="1:4" x14ac:dyDescent="0.3">
      <c r="A63" t="s">
        <v>182</v>
      </c>
      <c r="B63" t="s">
        <v>373</v>
      </c>
      <c r="C63" t="s">
        <v>520</v>
      </c>
      <c r="D63" s="37">
        <v>44444441063</v>
      </c>
    </row>
    <row r="64" spans="1:4" x14ac:dyDescent="0.3">
      <c r="A64" t="s">
        <v>183</v>
      </c>
      <c r="B64" t="s">
        <v>374</v>
      </c>
      <c r="C64" t="s">
        <v>521</v>
      </c>
      <c r="D64" s="37">
        <v>44444441064</v>
      </c>
    </row>
    <row r="65" spans="1:4" x14ac:dyDescent="0.3">
      <c r="A65" t="s">
        <v>265</v>
      </c>
      <c r="B65" t="s">
        <v>375</v>
      </c>
      <c r="C65" t="s">
        <v>522</v>
      </c>
      <c r="D65" s="37">
        <v>44444441065</v>
      </c>
    </row>
    <row r="66" spans="1:4" x14ac:dyDescent="0.3">
      <c r="A66" t="s">
        <v>184</v>
      </c>
      <c r="B66" t="s">
        <v>376</v>
      </c>
      <c r="C66" t="s">
        <v>523</v>
      </c>
      <c r="D66" s="37">
        <v>44444441066</v>
      </c>
    </row>
    <row r="67" spans="1:4" x14ac:dyDescent="0.3">
      <c r="A67" t="s">
        <v>266</v>
      </c>
      <c r="B67" t="s">
        <v>377</v>
      </c>
      <c r="C67" t="s">
        <v>524</v>
      </c>
      <c r="D67" s="37">
        <v>44444441067</v>
      </c>
    </row>
    <row r="68" spans="1:4" x14ac:dyDescent="0.3">
      <c r="A68" t="s">
        <v>185</v>
      </c>
      <c r="B68" t="s">
        <v>378</v>
      </c>
      <c r="C68" t="s">
        <v>525</v>
      </c>
      <c r="D68" s="37">
        <v>44444441068</v>
      </c>
    </row>
    <row r="69" spans="1:4" x14ac:dyDescent="0.3">
      <c r="A69" t="s">
        <v>267</v>
      </c>
      <c r="B69" t="s">
        <v>379</v>
      </c>
      <c r="C69" t="s">
        <v>526</v>
      </c>
      <c r="D69" s="37">
        <v>44444441069</v>
      </c>
    </row>
    <row r="70" spans="1:4" x14ac:dyDescent="0.3">
      <c r="A70" t="s">
        <v>268</v>
      </c>
      <c r="B70" t="s">
        <v>380</v>
      </c>
      <c r="C70" t="s">
        <v>527</v>
      </c>
      <c r="D70" s="37">
        <v>44444441070</v>
      </c>
    </row>
    <row r="71" spans="1:4" x14ac:dyDescent="0.3">
      <c r="A71" t="s">
        <v>269</v>
      </c>
      <c r="B71" t="s">
        <v>381</v>
      </c>
      <c r="C71" t="s">
        <v>528</v>
      </c>
      <c r="D71" s="37">
        <v>44444441071</v>
      </c>
    </row>
    <row r="72" spans="1:4" x14ac:dyDescent="0.3">
      <c r="A72" t="s">
        <v>270</v>
      </c>
      <c r="B72" t="s">
        <v>382</v>
      </c>
      <c r="C72" t="s">
        <v>529</v>
      </c>
      <c r="D72" s="37">
        <v>44444441072</v>
      </c>
    </row>
    <row r="73" spans="1:4" x14ac:dyDescent="0.3">
      <c r="A73" t="s">
        <v>271</v>
      </c>
      <c r="B73" t="s">
        <v>383</v>
      </c>
      <c r="C73" t="s">
        <v>530</v>
      </c>
      <c r="D73" s="37">
        <v>44444441073</v>
      </c>
    </row>
    <row r="74" spans="1:4" x14ac:dyDescent="0.3">
      <c r="A74" t="s">
        <v>186</v>
      </c>
      <c r="B74" t="s">
        <v>384</v>
      </c>
      <c r="C74" t="s">
        <v>531</v>
      </c>
      <c r="D74" s="37">
        <v>44444441074</v>
      </c>
    </row>
    <row r="75" spans="1:4" x14ac:dyDescent="0.3">
      <c r="A75" t="s">
        <v>187</v>
      </c>
      <c r="B75" t="s">
        <v>385</v>
      </c>
      <c r="C75" t="s">
        <v>532</v>
      </c>
      <c r="D75" s="37">
        <v>44444441075</v>
      </c>
    </row>
    <row r="76" spans="1:4" x14ac:dyDescent="0.3">
      <c r="A76" t="s">
        <v>188</v>
      </c>
      <c r="B76" t="s">
        <v>386</v>
      </c>
      <c r="C76" t="s">
        <v>533</v>
      </c>
      <c r="D76" s="37">
        <v>44444441076</v>
      </c>
    </row>
    <row r="77" spans="1:4" x14ac:dyDescent="0.3">
      <c r="A77" t="s">
        <v>272</v>
      </c>
      <c r="B77" t="s">
        <v>387</v>
      </c>
      <c r="C77" t="s">
        <v>534</v>
      </c>
      <c r="D77" s="37">
        <v>44444441077</v>
      </c>
    </row>
    <row r="78" spans="1:4" x14ac:dyDescent="0.3">
      <c r="A78" t="s">
        <v>189</v>
      </c>
      <c r="B78" t="s">
        <v>388</v>
      </c>
      <c r="C78" t="s">
        <v>535</v>
      </c>
      <c r="D78" s="37">
        <v>44444441078</v>
      </c>
    </row>
    <row r="79" spans="1:4" x14ac:dyDescent="0.3">
      <c r="A79" t="s">
        <v>190</v>
      </c>
      <c r="B79" t="s">
        <v>389</v>
      </c>
      <c r="C79" t="s">
        <v>536</v>
      </c>
      <c r="D79" s="37">
        <v>44444441079</v>
      </c>
    </row>
    <row r="80" spans="1:4" x14ac:dyDescent="0.3">
      <c r="A80" t="s">
        <v>191</v>
      </c>
      <c r="B80" t="s">
        <v>390</v>
      </c>
      <c r="C80" t="s">
        <v>537</v>
      </c>
      <c r="D80" s="37">
        <v>44444441080</v>
      </c>
    </row>
    <row r="81" spans="1:4" x14ac:dyDescent="0.3">
      <c r="A81" t="s">
        <v>192</v>
      </c>
      <c r="B81" t="s">
        <v>391</v>
      </c>
      <c r="C81" t="s">
        <v>538</v>
      </c>
      <c r="D81" s="37">
        <v>44444441081</v>
      </c>
    </row>
    <row r="82" spans="1:4" x14ac:dyDescent="0.3">
      <c r="A82" t="s">
        <v>273</v>
      </c>
      <c r="B82" t="s">
        <v>392</v>
      </c>
      <c r="C82" t="s">
        <v>539</v>
      </c>
      <c r="D82" s="37">
        <v>44444441082</v>
      </c>
    </row>
    <row r="83" spans="1:4" x14ac:dyDescent="0.3">
      <c r="A83" t="s">
        <v>274</v>
      </c>
      <c r="B83" t="s">
        <v>393</v>
      </c>
      <c r="C83" t="s">
        <v>540</v>
      </c>
      <c r="D83" s="37">
        <v>44444441083</v>
      </c>
    </row>
    <row r="84" spans="1:4" x14ac:dyDescent="0.3">
      <c r="A84" t="s">
        <v>275</v>
      </c>
      <c r="B84" t="s">
        <v>394</v>
      </c>
      <c r="C84" t="s">
        <v>541</v>
      </c>
      <c r="D84" s="37">
        <v>44444441084</v>
      </c>
    </row>
    <row r="85" spans="1:4" x14ac:dyDescent="0.3">
      <c r="A85" t="s">
        <v>276</v>
      </c>
      <c r="B85" t="s">
        <v>395</v>
      </c>
      <c r="C85" t="s">
        <v>542</v>
      </c>
      <c r="D85" s="37">
        <v>44444441085</v>
      </c>
    </row>
    <row r="86" spans="1:4" x14ac:dyDescent="0.3">
      <c r="A86" t="s">
        <v>277</v>
      </c>
      <c r="B86" t="s">
        <v>396</v>
      </c>
      <c r="C86" t="s">
        <v>543</v>
      </c>
      <c r="D86" s="37">
        <v>44444441086</v>
      </c>
    </row>
    <row r="87" spans="1:4" x14ac:dyDescent="0.3">
      <c r="A87" t="s">
        <v>193</v>
      </c>
      <c r="B87" t="s">
        <v>397</v>
      </c>
      <c r="C87" t="s">
        <v>544</v>
      </c>
      <c r="D87" s="37">
        <v>44444441087</v>
      </c>
    </row>
    <row r="88" spans="1:4" x14ac:dyDescent="0.3">
      <c r="A88" t="s">
        <v>278</v>
      </c>
      <c r="B88" t="s">
        <v>398</v>
      </c>
      <c r="C88" t="s">
        <v>545</v>
      </c>
      <c r="D88" s="37">
        <v>44444441088</v>
      </c>
    </row>
    <row r="89" spans="1:4" x14ac:dyDescent="0.3">
      <c r="A89" t="s">
        <v>279</v>
      </c>
      <c r="B89" t="s">
        <v>399</v>
      </c>
      <c r="C89" t="s">
        <v>546</v>
      </c>
      <c r="D89" s="37">
        <v>44444441089</v>
      </c>
    </row>
    <row r="90" spans="1:4" x14ac:dyDescent="0.3">
      <c r="A90" t="s">
        <v>194</v>
      </c>
      <c r="B90" t="s">
        <v>400</v>
      </c>
      <c r="C90" t="s">
        <v>547</v>
      </c>
      <c r="D90" s="37">
        <v>44444441090</v>
      </c>
    </row>
    <row r="91" spans="1:4" x14ac:dyDescent="0.3">
      <c r="A91" t="s">
        <v>195</v>
      </c>
      <c r="B91" t="s">
        <v>401</v>
      </c>
      <c r="C91" t="s">
        <v>548</v>
      </c>
      <c r="D91" s="37">
        <v>44444441091</v>
      </c>
    </row>
    <row r="92" spans="1:4" x14ac:dyDescent="0.3">
      <c r="A92" t="s">
        <v>280</v>
      </c>
      <c r="B92" t="s">
        <v>402</v>
      </c>
      <c r="C92" t="s">
        <v>549</v>
      </c>
      <c r="D92" s="37">
        <v>44444441092</v>
      </c>
    </row>
    <row r="93" spans="1:4" x14ac:dyDescent="0.3">
      <c r="A93" t="s">
        <v>281</v>
      </c>
      <c r="B93" t="s">
        <v>403</v>
      </c>
      <c r="C93" t="s">
        <v>550</v>
      </c>
      <c r="D93" s="37">
        <v>44444441093</v>
      </c>
    </row>
    <row r="94" spans="1:4" x14ac:dyDescent="0.3">
      <c r="A94" t="s">
        <v>196</v>
      </c>
      <c r="B94" t="s">
        <v>404</v>
      </c>
      <c r="C94" t="s">
        <v>551</v>
      </c>
      <c r="D94" s="37">
        <v>44444441094</v>
      </c>
    </row>
    <row r="95" spans="1:4" x14ac:dyDescent="0.3">
      <c r="A95" t="s">
        <v>197</v>
      </c>
      <c r="B95" t="s">
        <v>405</v>
      </c>
      <c r="C95" t="s">
        <v>552</v>
      </c>
      <c r="D95" s="37">
        <v>44444441095</v>
      </c>
    </row>
    <row r="96" spans="1:4" x14ac:dyDescent="0.3">
      <c r="A96" t="s">
        <v>198</v>
      </c>
      <c r="B96" t="s">
        <v>406</v>
      </c>
      <c r="C96" t="s">
        <v>553</v>
      </c>
      <c r="D96" s="37">
        <v>44444441096</v>
      </c>
    </row>
    <row r="97" spans="1:4" x14ac:dyDescent="0.3">
      <c r="A97" t="s">
        <v>199</v>
      </c>
      <c r="B97" t="s">
        <v>407</v>
      </c>
      <c r="C97" t="s">
        <v>554</v>
      </c>
      <c r="D97" s="37">
        <v>44444441097</v>
      </c>
    </row>
    <row r="98" spans="1:4" x14ac:dyDescent="0.3">
      <c r="A98" t="s">
        <v>282</v>
      </c>
      <c r="B98" t="s">
        <v>408</v>
      </c>
      <c r="C98" t="s">
        <v>555</v>
      </c>
      <c r="D98" s="37">
        <v>44444441098</v>
      </c>
    </row>
    <row r="99" spans="1:4" x14ac:dyDescent="0.3">
      <c r="A99" t="s">
        <v>283</v>
      </c>
      <c r="B99" t="s">
        <v>292</v>
      </c>
      <c r="C99" t="s">
        <v>556</v>
      </c>
      <c r="D99" s="37">
        <v>44444441099</v>
      </c>
    </row>
    <row r="100" spans="1:4" x14ac:dyDescent="0.3">
      <c r="A100" t="s">
        <v>200</v>
      </c>
      <c r="B100" t="s">
        <v>409</v>
      </c>
      <c r="C100" t="s">
        <v>557</v>
      </c>
      <c r="D100" s="37">
        <v>44444441100</v>
      </c>
    </row>
    <row r="101" spans="1:4" x14ac:dyDescent="0.3">
      <c r="A101" t="s">
        <v>201</v>
      </c>
      <c r="B101" t="s">
        <v>410</v>
      </c>
      <c r="C101" t="s">
        <v>558</v>
      </c>
      <c r="D101" s="37">
        <v>44444441101</v>
      </c>
    </row>
    <row r="102" spans="1:4" x14ac:dyDescent="0.3">
      <c r="A102" t="s">
        <v>202</v>
      </c>
      <c r="B102" t="s">
        <v>411</v>
      </c>
      <c r="C102" t="s">
        <v>559</v>
      </c>
      <c r="D102" s="37">
        <v>44444441102</v>
      </c>
    </row>
    <row r="103" spans="1:4" x14ac:dyDescent="0.3">
      <c r="A103" t="s">
        <v>284</v>
      </c>
      <c r="B103" t="s">
        <v>412</v>
      </c>
      <c r="C103" t="s">
        <v>560</v>
      </c>
      <c r="D103" s="37">
        <v>44444441103</v>
      </c>
    </row>
    <row r="104" spans="1:4" x14ac:dyDescent="0.3">
      <c r="A104" t="s">
        <v>285</v>
      </c>
      <c r="B104" t="s">
        <v>413</v>
      </c>
      <c r="C104" t="s">
        <v>561</v>
      </c>
      <c r="D104" s="37">
        <v>44444441104</v>
      </c>
    </row>
    <row r="105" spans="1:4" x14ac:dyDescent="0.3">
      <c r="A105" t="s">
        <v>203</v>
      </c>
      <c r="B105" t="s">
        <v>414</v>
      </c>
      <c r="C105" t="s">
        <v>562</v>
      </c>
      <c r="D105" s="37">
        <v>44444441105</v>
      </c>
    </row>
    <row r="106" spans="1:4" x14ac:dyDescent="0.3">
      <c r="A106" t="s">
        <v>204</v>
      </c>
      <c r="B106" t="s">
        <v>415</v>
      </c>
      <c r="C106" t="s">
        <v>563</v>
      </c>
      <c r="D106" s="37">
        <v>44444441106</v>
      </c>
    </row>
    <row r="107" spans="1:4" x14ac:dyDescent="0.3">
      <c r="A107" t="s">
        <v>205</v>
      </c>
      <c r="B107" t="s">
        <v>416</v>
      </c>
      <c r="C107" t="s">
        <v>564</v>
      </c>
      <c r="D107" s="37">
        <v>44444441107</v>
      </c>
    </row>
    <row r="108" spans="1:4" x14ac:dyDescent="0.3">
      <c r="A108" t="s">
        <v>286</v>
      </c>
      <c r="B108" t="s">
        <v>417</v>
      </c>
      <c r="C108" t="s">
        <v>565</v>
      </c>
      <c r="D108" s="37">
        <v>44444441108</v>
      </c>
    </row>
    <row r="109" spans="1:4" x14ac:dyDescent="0.3">
      <c r="A109" t="s">
        <v>287</v>
      </c>
      <c r="B109" t="s">
        <v>418</v>
      </c>
      <c r="C109" t="s">
        <v>566</v>
      </c>
      <c r="D109" s="37">
        <v>44444441109</v>
      </c>
    </row>
    <row r="110" spans="1:4" x14ac:dyDescent="0.3">
      <c r="A110" t="s">
        <v>206</v>
      </c>
      <c r="B110" t="s">
        <v>419</v>
      </c>
      <c r="C110" t="s">
        <v>567</v>
      </c>
      <c r="D110" s="37">
        <v>44444441110</v>
      </c>
    </row>
    <row r="111" spans="1:4" x14ac:dyDescent="0.3">
      <c r="A111" t="s">
        <v>207</v>
      </c>
      <c r="B111" t="s">
        <v>420</v>
      </c>
      <c r="C111" t="s">
        <v>568</v>
      </c>
      <c r="D111" s="37">
        <v>44444441111</v>
      </c>
    </row>
    <row r="112" spans="1:4" x14ac:dyDescent="0.3">
      <c r="A112" t="s">
        <v>288</v>
      </c>
      <c r="B112" t="s">
        <v>421</v>
      </c>
      <c r="C112" t="s">
        <v>569</v>
      </c>
      <c r="D112" s="37">
        <v>44444441112</v>
      </c>
    </row>
    <row r="113" spans="1:4" x14ac:dyDescent="0.3">
      <c r="A113" t="s">
        <v>208</v>
      </c>
      <c r="B113" t="s">
        <v>422</v>
      </c>
      <c r="C113" t="s">
        <v>570</v>
      </c>
      <c r="D113" s="37">
        <v>44444441113</v>
      </c>
    </row>
    <row r="114" spans="1:4" x14ac:dyDescent="0.3">
      <c r="A114" t="s">
        <v>209</v>
      </c>
      <c r="B114" t="s">
        <v>423</v>
      </c>
      <c r="C114" t="s">
        <v>571</v>
      </c>
      <c r="D114" s="37">
        <v>44444441114</v>
      </c>
    </row>
    <row r="115" spans="1:4" x14ac:dyDescent="0.3">
      <c r="A115" t="s">
        <v>210</v>
      </c>
      <c r="B115" t="s">
        <v>424</v>
      </c>
      <c r="C115" t="s">
        <v>572</v>
      </c>
      <c r="D115" s="37">
        <v>44444441115</v>
      </c>
    </row>
    <row r="116" spans="1:4" x14ac:dyDescent="0.3">
      <c r="A116" t="s">
        <v>289</v>
      </c>
      <c r="B116" t="s">
        <v>425</v>
      </c>
      <c r="C116" t="s">
        <v>573</v>
      </c>
      <c r="D116" s="37">
        <v>44444441116</v>
      </c>
    </row>
    <row r="117" spans="1:4" x14ac:dyDescent="0.3">
      <c r="A117" t="s">
        <v>290</v>
      </c>
      <c r="B117" t="s">
        <v>426</v>
      </c>
      <c r="C117" t="s">
        <v>574</v>
      </c>
      <c r="D117" s="37">
        <v>44444441117</v>
      </c>
    </row>
    <row r="118" spans="1:4" x14ac:dyDescent="0.3">
      <c r="A118" t="s">
        <v>291</v>
      </c>
      <c r="B118" t="s">
        <v>427</v>
      </c>
      <c r="C118" t="s">
        <v>575</v>
      </c>
      <c r="D118" s="37">
        <v>44444441118</v>
      </c>
    </row>
    <row r="119" spans="1:4" x14ac:dyDescent="0.3">
      <c r="A119" t="s">
        <v>211</v>
      </c>
      <c r="B119" t="s">
        <v>428</v>
      </c>
      <c r="C119" t="s">
        <v>576</v>
      </c>
      <c r="D119" s="37">
        <v>44444441119</v>
      </c>
    </row>
    <row r="120" spans="1:4" x14ac:dyDescent="0.3">
      <c r="A120" t="s">
        <v>292</v>
      </c>
      <c r="B120" t="s">
        <v>429</v>
      </c>
      <c r="C120" t="s">
        <v>577</v>
      </c>
      <c r="D120" s="37">
        <v>44444441120</v>
      </c>
    </row>
    <row r="121" spans="1:4" x14ac:dyDescent="0.3">
      <c r="A121" t="s">
        <v>212</v>
      </c>
      <c r="B121" t="s">
        <v>430</v>
      </c>
      <c r="C121" t="s">
        <v>578</v>
      </c>
      <c r="D121" s="37">
        <v>44444441121</v>
      </c>
    </row>
    <row r="122" spans="1:4" x14ac:dyDescent="0.3">
      <c r="A122" t="s">
        <v>293</v>
      </c>
      <c r="B122" t="s">
        <v>431</v>
      </c>
      <c r="C122" t="s">
        <v>579</v>
      </c>
      <c r="D122" s="37">
        <v>44444441122</v>
      </c>
    </row>
    <row r="123" spans="1:4" x14ac:dyDescent="0.3">
      <c r="A123" t="s">
        <v>294</v>
      </c>
      <c r="B123" t="s">
        <v>432</v>
      </c>
      <c r="C123" t="s">
        <v>580</v>
      </c>
      <c r="D123" s="37">
        <v>44444441123</v>
      </c>
    </row>
    <row r="124" spans="1:4" x14ac:dyDescent="0.3">
      <c r="A124" t="s">
        <v>213</v>
      </c>
      <c r="B124" t="s">
        <v>433</v>
      </c>
      <c r="C124" t="s">
        <v>581</v>
      </c>
      <c r="D124" s="37">
        <v>44444441124</v>
      </c>
    </row>
    <row r="125" spans="1:4" x14ac:dyDescent="0.3">
      <c r="A125" t="s">
        <v>295</v>
      </c>
      <c r="B125" t="s">
        <v>434</v>
      </c>
      <c r="C125" t="s">
        <v>582</v>
      </c>
      <c r="D125" s="37">
        <v>44444441125</v>
      </c>
    </row>
    <row r="126" spans="1:4" x14ac:dyDescent="0.3">
      <c r="A126" t="s">
        <v>296</v>
      </c>
      <c r="B126" t="s">
        <v>435</v>
      </c>
      <c r="C126" t="s">
        <v>583</v>
      </c>
      <c r="D126" s="37">
        <v>44444441126</v>
      </c>
    </row>
    <row r="127" spans="1:4" x14ac:dyDescent="0.3">
      <c r="A127" t="s">
        <v>297</v>
      </c>
      <c r="B127" t="s">
        <v>436</v>
      </c>
      <c r="C127" t="s">
        <v>584</v>
      </c>
      <c r="D127" s="37">
        <v>44444441127</v>
      </c>
    </row>
    <row r="128" spans="1:4" x14ac:dyDescent="0.3">
      <c r="A128" t="s">
        <v>214</v>
      </c>
      <c r="B128" t="s">
        <v>437</v>
      </c>
      <c r="C128" t="s">
        <v>585</v>
      </c>
      <c r="D128" s="37">
        <v>44444441128</v>
      </c>
    </row>
    <row r="129" spans="1:4" x14ac:dyDescent="0.3">
      <c r="A129" t="s">
        <v>215</v>
      </c>
      <c r="B129" t="s">
        <v>438</v>
      </c>
      <c r="C129" t="s">
        <v>586</v>
      </c>
      <c r="D129" s="37">
        <v>44444441129</v>
      </c>
    </row>
    <row r="130" spans="1:4" x14ac:dyDescent="0.3">
      <c r="A130" t="s">
        <v>216</v>
      </c>
      <c r="B130" t="s">
        <v>307</v>
      </c>
      <c r="C130" t="s">
        <v>587</v>
      </c>
      <c r="D130" s="37">
        <v>44444441130</v>
      </c>
    </row>
    <row r="131" spans="1:4" x14ac:dyDescent="0.3">
      <c r="A131" t="s">
        <v>298</v>
      </c>
      <c r="B131" t="s">
        <v>439</v>
      </c>
      <c r="C131" t="s">
        <v>588</v>
      </c>
      <c r="D131" s="37">
        <v>44444441131</v>
      </c>
    </row>
    <row r="132" spans="1:4" x14ac:dyDescent="0.3">
      <c r="A132" t="s">
        <v>299</v>
      </c>
      <c r="B132" t="s">
        <v>440</v>
      </c>
      <c r="C132" t="s">
        <v>589</v>
      </c>
      <c r="D132" s="37">
        <v>44444441132</v>
      </c>
    </row>
    <row r="133" spans="1:4" x14ac:dyDescent="0.3">
      <c r="A133" t="s">
        <v>217</v>
      </c>
      <c r="B133" t="s">
        <v>441</v>
      </c>
      <c r="C133" t="s">
        <v>590</v>
      </c>
      <c r="D133" s="37">
        <v>44444441133</v>
      </c>
    </row>
    <row r="134" spans="1:4" x14ac:dyDescent="0.3">
      <c r="A134" t="s">
        <v>218</v>
      </c>
      <c r="B134" t="s">
        <v>442</v>
      </c>
      <c r="C134" t="s">
        <v>591</v>
      </c>
      <c r="D134" s="37">
        <v>44444441134</v>
      </c>
    </row>
    <row r="135" spans="1:4" x14ac:dyDescent="0.3">
      <c r="A135" t="s">
        <v>300</v>
      </c>
      <c r="B135" t="s">
        <v>443</v>
      </c>
      <c r="C135" t="s">
        <v>592</v>
      </c>
      <c r="D135" s="37">
        <v>44444441135</v>
      </c>
    </row>
    <row r="136" spans="1:4" x14ac:dyDescent="0.3">
      <c r="A136" t="s">
        <v>219</v>
      </c>
      <c r="B136" t="s">
        <v>444</v>
      </c>
      <c r="C136" t="s">
        <v>593</v>
      </c>
      <c r="D136" s="37">
        <v>44444441136</v>
      </c>
    </row>
    <row r="137" spans="1:4" x14ac:dyDescent="0.3">
      <c r="A137" t="s">
        <v>301</v>
      </c>
      <c r="B137" t="s">
        <v>445</v>
      </c>
      <c r="C137" t="s">
        <v>594</v>
      </c>
      <c r="D137" s="37">
        <v>44444441137</v>
      </c>
    </row>
    <row r="138" spans="1:4" x14ac:dyDescent="0.3">
      <c r="A138" t="s">
        <v>220</v>
      </c>
      <c r="B138" t="s">
        <v>446</v>
      </c>
      <c r="C138" t="s">
        <v>595</v>
      </c>
      <c r="D138" s="37">
        <v>44444441138</v>
      </c>
    </row>
    <row r="139" spans="1:4" x14ac:dyDescent="0.3">
      <c r="A139" t="s">
        <v>221</v>
      </c>
      <c r="B139" t="s">
        <v>447</v>
      </c>
      <c r="C139" t="s">
        <v>596</v>
      </c>
      <c r="D139" s="37">
        <v>44444441139</v>
      </c>
    </row>
    <row r="140" spans="1:4" x14ac:dyDescent="0.3">
      <c r="A140" t="s">
        <v>302</v>
      </c>
      <c r="B140" t="s">
        <v>448</v>
      </c>
      <c r="C140" t="s">
        <v>597</v>
      </c>
      <c r="D140" s="37">
        <v>44444441140</v>
      </c>
    </row>
    <row r="141" spans="1:4" x14ac:dyDescent="0.3">
      <c r="A141" t="s">
        <v>303</v>
      </c>
      <c r="B141" t="s">
        <v>449</v>
      </c>
      <c r="C141" t="s">
        <v>598</v>
      </c>
      <c r="D141" s="37">
        <v>44444441141</v>
      </c>
    </row>
    <row r="142" spans="1:4" x14ac:dyDescent="0.3">
      <c r="A142" t="s">
        <v>304</v>
      </c>
      <c r="B142" t="s">
        <v>450</v>
      </c>
      <c r="C142" t="s">
        <v>599</v>
      </c>
      <c r="D142" s="37">
        <v>44444441142</v>
      </c>
    </row>
    <row r="143" spans="1:4" x14ac:dyDescent="0.3">
      <c r="A143" t="s">
        <v>222</v>
      </c>
      <c r="B143" t="s">
        <v>451</v>
      </c>
      <c r="C143" t="s">
        <v>600</v>
      </c>
      <c r="D143" s="37">
        <v>44444441143</v>
      </c>
    </row>
    <row r="144" spans="1:4" x14ac:dyDescent="0.3">
      <c r="A144" t="s">
        <v>223</v>
      </c>
      <c r="B144" t="s">
        <v>452</v>
      </c>
      <c r="C144" t="s">
        <v>601</v>
      </c>
      <c r="D144" s="37">
        <v>44444441144</v>
      </c>
    </row>
    <row r="145" spans="1:4" x14ac:dyDescent="0.3">
      <c r="A145" t="s">
        <v>224</v>
      </c>
      <c r="B145" t="s">
        <v>453</v>
      </c>
      <c r="C145" t="s">
        <v>602</v>
      </c>
      <c r="D145" s="37">
        <v>44444441145</v>
      </c>
    </row>
    <row r="146" spans="1:4" x14ac:dyDescent="0.3">
      <c r="A146" t="s">
        <v>305</v>
      </c>
      <c r="B146" t="s">
        <v>454</v>
      </c>
      <c r="C146" t="s">
        <v>603</v>
      </c>
      <c r="D146" s="37">
        <v>44444441146</v>
      </c>
    </row>
    <row r="147" spans="1:4" x14ac:dyDescent="0.3">
      <c r="A147" t="s">
        <v>306</v>
      </c>
      <c r="B147" t="s">
        <v>455</v>
      </c>
      <c r="C147" t="s">
        <v>604</v>
      </c>
      <c r="D147" s="37">
        <v>44444441147</v>
      </c>
    </row>
    <row r="148" spans="1:4" x14ac:dyDescent="0.3">
      <c r="A148" t="s">
        <v>307</v>
      </c>
      <c r="B148" t="s">
        <v>456</v>
      </c>
      <c r="C148" t="s">
        <v>605</v>
      </c>
      <c r="D148" s="37">
        <v>44444441148</v>
      </c>
    </row>
    <row r="149" spans="1:4" x14ac:dyDescent="0.3">
      <c r="A149" t="s">
        <v>225</v>
      </c>
      <c r="B149" t="s">
        <v>457</v>
      </c>
      <c r="C149" t="s">
        <v>606</v>
      </c>
      <c r="D149" s="37">
        <v>44444441149</v>
      </c>
    </row>
    <row r="150" spans="1:4" x14ac:dyDescent="0.3">
      <c r="A150" t="s">
        <v>226</v>
      </c>
      <c r="C150" t="s">
        <v>607</v>
      </c>
      <c r="D150" s="37">
        <v>44444441150</v>
      </c>
    </row>
    <row r="151" spans="1:4" x14ac:dyDescent="0.3">
      <c r="A151" t="s">
        <v>308</v>
      </c>
      <c r="C151" t="s">
        <v>608</v>
      </c>
      <c r="D151" s="37">
        <v>44444441151</v>
      </c>
    </row>
    <row r="152" spans="1:4" x14ac:dyDescent="0.3">
      <c r="A152" t="s">
        <v>309</v>
      </c>
      <c r="C152" t="s">
        <v>609</v>
      </c>
      <c r="D152" s="37">
        <v>44444441152</v>
      </c>
    </row>
    <row r="153" spans="1:4" x14ac:dyDescent="0.3">
      <c r="A153" t="s">
        <v>227</v>
      </c>
      <c r="C153" t="s">
        <v>610</v>
      </c>
      <c r="D153" s="37">
        <v>44444441153</v>
      </c>
    </row>
    <row r="154" spans="1:4" x14ac:dyDescent="0.3">
      <c r="A154" t="s">
        <v>310</v>
      </c>
      <c r="C154" t="s">
        <v>611</v>
      </c>
      <c r="D154" s="37">
        <v>44444441154</v>
      </c>
    </row>
    <row r="155" spans="1:4" x14ac:dyDescent="0.3">
      <c r="A155" t="s">
        <v>228</v>
      </c>
      <c r="C155" t="s">
        <v>612</v>
      </c>
      <c r="D155" s="37">
        <v>44444441155</v>
      </c>
    </row>
    <row r="156" spans="1:4" x14ac:dyDescent="0.3">
      <c r="A156" t="s">
        <v>229</v>
      </c>
      <c r="C156" t="s">
        <v>613</v>
      </c>
      <c r="D156" s="37">
        <v>44444441156</v>
      </c>
    </row>
    <row r="157" spans="1:4" x14ac:dyDescent="0.3">
      <c r="A157" t="s">
        <v>311</v>
      </c>
      <c r="C157" t="s">
        <v>614</v>
      </c>
      <c r="D157" s="37">
        <v>44444441157</v>
      </c>
    </row>
    <row r="158" spans="1:4" x14ac:dyDescent="0.3">
      <c r="A158" t="s">
        <v>230</v>
      </c>
      <c r="C158" t="s">
        <v>615</v>
      </c>
      <c r="D158" s="37">
        <v>44444441158</v>
      </c>
    </row>
    <row r="159" spans="1:4" x14ac:dyDescent="0.3">
      <c r="A159" t="s">
        <v>231</v>
      </c>
      <c r="C159" t="s">
        <v>616</v>
      </c>
      <c r="D159" s="37">
        <v>44444441159</v>
      </c>
    </row>
    <row r="160" spans="1:4" x14ac:dyDescent="0.3">
      <c r="A160" t="s">
        <v>232</v>
      </c>
      <c r="C160" t="s">
        <v>617</v>
      </c>
      <c r="D160" s="37">
        <v>44444441160</v>
      </c>
    </row>
    <row r="161" spans="1:4" x14ac:dyDescent="0.3">
      <c r="A161" t="s">
        <v>312</v>
      </c>
      <c r="C161" t="s">
        <v>618</v>
      </c>
      <c r="D161" s="37">
        <v>44444441161</v>
      </c>
    </row>
    <row r="162" spans="1:4" x14ac:dyDescent="0.3">
      <c r="A162" t="s">
        <v>233</v>
      </c>
      <c r="C162" t="s">
        <v>619</v>
      </c>
      <c r="D162" s="37">
        <v>44444441162</v>
      </c>
    </row>
    <row r="163" spans="1:4" x14ac:dyDescent="0.3">
      <c r="A163" t="s">
        <v>313</v>
      </c>
      <c r="C163" t="s">
        <v>620</v>
      </c>
      <c r="D163" s="37">
        <v>44444441163</v>
      </c>
    </row>
    <row r="164" spans="1:4" x14ac:dyDescent="0.3">
      <c r="A164" t="s">
        <v>234</v>
      </c>
      <c r="C164" t="s">
        <v>621</v>
      </c>
      <c r="D164" s="37">
        <v>44444441164</v>
      </c>
    </row>
    <row r="165" spans="1:4" x14ac:dyDescent="0.3">
      <c r="A165" t="s">
        <v>235</v>
      </c>
      <c r="C165" t="s">
        <v>622</v>
      </c>
      <c r="D165" s="37">
        <v>44444441165</v>
      </c>
    </row>
  </sheetData>
  <sortState xmlns:xlrd2="http://schemas.microsoft.com/office/spreadsheetml/2017/richdata2" ref="A1:A165">
    <sortCondition ref="A4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3FE2B026CE99841A72239090BB8B94D" ma:contentTypeVersion="2" ma:contentTypeDescription="Create a new document." ma:contentTypeScope="" ma:versionID="90b12a525d8f6899ab603cabc593c522">
  <xsd:schema xmlns:xsd="http://www.w3.org/2001/XMLSchema" xmlns:xs="http://www.w3.org/2001/XMLSchema" xmlns:p="http://schemas.microsoft.com/office/2006/metadata/properties" xmlns:ns3="4ab91590-d899-4a95-a72d-b946dd00022d" targetNamespace="http://schemas.microsoft.com/office/2006/metadata/properties" ma:root="true" ma:fieldsID="7aed9cb66e039b4b63bd1a00decd9860" ns3:_="">
    <xsd:import namespace="4ab91590-d899-4a95-a72d-b946dd00022d"/>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b91590-d899-4a95-a72d-b946dd0002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B61484-8E96-4333-AEC2-06329464E92F}">
  <ds:schemaRefs>
    <ds:schemaRef ds:uri="http://schemas.microsoft.com/office/2006/metadata/properties"/>
    <ds:schemaRef ds:uri="http://purl.org/dc/dcmitype/"/>
    <ds:schemaRef ds:uri="4ab91590-d899-4a95-a72d-b946dd00022d"/>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http://www.w3.org/XML/1998/namespace"/>
    <ds:schemaRef ds:uri="http://purl.org/dc/terms/"/>
  </ds:schemaRefs>
</ds:datastoreItem>
</file>

<file path=customXml/itemProps2.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3.xml><?xml version="1.0" encoding="utf-8"?>
<ds:datastoreItem xmlns:ds="http://schemas.openxmlformats.org/officeDocument/2006/customXml" ds:itemID="{7D079239-1BFF-43E5-AA02-76B5837B7F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b91590-d899-4a95-a72d-b946dd0002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159</vt:i4>
      </vt:variant>
    </vt:vector>
  </HeadingPairs>
  <TitlesOfParts>
    <vt:vector size="167" baseType="lpstr">
      <vt:lpstr>Information</vt:lpstr>
      <vt:lpstr>Test_Data</vt:lpstr>
      <vt:lpstr>Sheet1</vt:lpstr>
      <vt:lpstr>Defects</vt:lpstr>
      <vt:lpstr>Automation_Lookups</vt:lpstr>
      <vt:lpstr>RC. No</vt:lpstr>
      <vt:lpstr>Code_11122019_1000</vt:lpstr>
      <vt:lpstr>Names</vt:lpstr>
      <vt:lpstr>AddProbationPeriod_EndDate</vt:lpstr>
      <vt:lpstr>AddProbationPeriod_ProbationEndDate2</vt:lpstr>
      <vt:lpstr>AddProbationPeriod_StartDate</vt:lpstr>
      <vt:lpstr>AssignPayGroup_ProposedPayGroup</vt:lpstr>
      <vt:lpstr>AssignPayGroup_ProposedPayGroup2</vt:lpstr>
      <vt:lpstr>AutomationComments</vt:lpstr>
      <vt:lpstr>ChangeJob_AssignCollectiveAgreement_CollectiveAgreement</vt:lpstr>
      <vt:lpstr>ChangeJob_AssignCollectiveAgreement_Level</vt:lpstr>
      <vt:lpstr>ChangeJob_AssignCollectiveAgreement_ProfessionalCategory</vt:lpstr>
      <vt:lpstr>ChangeJob_Company_CostCentre</vt:lpstr>
      <vt:lpstr>ChangeJob_Company_Department</vt:lpstr>
      <vt:lpstr>ChangeJob_JobClassifications_AdditionalJobClassifications</vt:lpstr>
      <vt:lpstr>ChangeJob_JobClassifications_AssignmentType</vt:lpstr>
      <vt:lpstr>ChangeJob_JobClassifications_DefaultWeeklyHours</vt:lpstr>
      <vt:lpstr>ChangeJob_JobClassifications_EmployeeType</vt:lpstr>
      <vt:lpstr>ChangeJob_JobClassifications_EndEmploymentDate</vt:lpstr>
      <vt:lpstr>ChangeJob_JobClassifications_FirstDayofWork</vt:lpstr>
      <vt:lpstr>ChangeJob_JobClassifications_PayRateType</vt:lpstr>
      <vt:lpstr>ChangeJob_JobClassifications_TimeType</vt:lpstr>
      <vt:lpstr>ChangeJob_JobProfile_JobProfile</vt:lpstr>
      <vt:lpstr>ChangeJob_JobProfile_JobTitle</vt:lpstr>
      <vt:lpstr>ChangeJob_LocationDetails_Location</vt:lpstr>
      <vt:lpstr>ChangeJob_LocationDetails_ScheduledWeeklyHours</vt:lpstr>
      <vt:lpstr>ChangeJob_LocationDetails_WorkShift</vt:lpstr>
      <vt:lpstr>ChangeJob_LocationDetails_WorkShift2</vt:lpstr>
      <vt:lpstr>ChangeJob_Start_EffectiveDate</vt:lpstr>
      <vt:lpstr>ChangeJob_Start_NewLocation</vt:lpstr>
      <vt:lpstr>ChangeJob_Start_NewLocation2</vt:lpstr>
      <vt:lpstr>ChangeJob_Start_NewManager</vt:lpstr>
      <vt:lpstr>ChangeJob_Start_NewManager2</vt:lpstr>
      <vt:lpstr>ChangeJob_Start_NewTeam</vt:lpstr>
      <vt:lpstr>ChangeJob_Start_NewTeam2</vt:lpstr>
      <vt:lpstr>ChangeJob_Start_NextPayPeriod</vt:lpstr>
      <vt:lpstr>ChangeJob_Start_NextPayPeriod2</vt:lpstr>
      <vt:lpstr>ChangeJob_Start_NextPayPeriod22</vt:lpstr>
      <vt:lpstr>ChangeJob_Start_Reason</vt:lpstr>
      <vt:lpstr>ChangeJob_Start_Reason2</vt:lpstr>
      <vt:lpstr>ChangeMyEmergencyContacts_PhoneDevice2</vt:lpstr>
      <vt:lpstr>ChangeMyEmergencyContacts_Relationship2</vt:lpstr>
      <vt:lpstr>ChangeMyGovernmentIDs_NationalIDs_NationalIDType12</vt:lpstr>
      <vt:lpstr>ChangeMyGovernmentIDs_NationalIDs_NationalIDType22</vt:lpstr>
      <vt:lpstr>ChangeMyPersonalInformation_MaritalStatus2</vt:lpstr>
      <vt:lpstr>ChangeOrganizationAssignments_DepartmentSection2</vt:lpstr>
      <vt:lpstr>ChangeOrganizationAssignments_Other_Organizations</vt:lpstr>
      <vt:lpstr>ChangeOrganizationAssignments_Other_Organizations2</vt:lpstr>
      <vt:lpstr>ContactInformation_Address_City</vt:lpstr>
      <vt:lpstr>ContactInformation_Address_Country</vt:lpstr>
      <vt:lpstr>ContactInformation_Address_EffectiveDate</vt:lpstr>
      <vt:lpstr>ContactInformation_Address_HouseNumber</vt:lpstr>
      <vt:lpstr>ContactInformation_Address_NameOfStreet</vt:lpstr>
      <vt:lpstr>ContactInformation_Address_PostalCode</vt:lpstr>
      <vt:lpstr>ContactInformation_Address_Province</vt:lpstr>
      <vt:lpstr>ContactInformation_Address_Province2</vt:lpstr>
      <vt:lpstr>Test_Data!ContactInformation_Address_Type</vt:lpstr>
      <vt:lpstr>ContactInformation_Address_Type</vt:lpstr>
      <vt:lpstr>ContactInformation_Address_Type2</vt:lpstr>
      <vt:lpstr>ContactInformation_Address_UseFor</vt:lpstr>
      <vt:lpstr>ContactInformation_Email_EmailAddress</vt:lpstr>
      <vt:lpstr>Test_Data!ContactInformation_Email_Type</vt:lpstr>
      <vt:lpstr>ContactInformation_Email_Type</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ContactInformation_Phone_PhoneDevice2</vt:lpstr>
      <vt:lpstr>ContactInformation_Phone_PhoneNumber</vt:lpstr>
      <vt:lpstr>Test_Data!ContactInformation_Phone_Type</vt:lpstr>
      <vt:lpstr>ContactInformation_Phone_Type</vt:lpstr>
      <vt:lpstr>ContactInformation_Phone_Type2</vt:lpstr>
      <vt:lpstr>ContractAddendumInfo_AddendumCreationDate</vt:lpstr>
      <vt:lpstr>ContractAddendumInfo_AddendumEndDate</vt:lpstr>
      <vt:lpstr>ContractAddendumInfo_TerminateAddendumEffectiveDate</vt:lpstr>
      <vt:lpstr>ContractAddendumInfo_TerminateAddendumEffectiveDate2</vt:lpstr>
      <vt:lpstr>Country</vt:lpstr>
      <vt:lpstr>Country2</vt:lpstr>
      <vt:lpstr>DefectDescription</vt:lpstr>
      <vt:lpstr>EditAdditionalData_EstadolIRPF2</vt:lpstr>
      <vt:lpstr>EditAdditionalData_HourlyRegime</vt:lpstr>
      <vt:lpstr>EditAdditionalData_MinusvaliaRH2</vt:lpstr>
      <vt:lpstr>EditAdditionalData_PayrollTaxDeduction</vt:lpstr>
      <vt:lpstr>Execution_Flag</vt:lpstr>
      <vt:lpstr>Execution_Status</vt:lpstr>
      <vt:lpstr>Test_Data!ExecutionFlag</vt:lpstr>
      <vt:lpstr>ExecutionFlag</vt:lpstr>
      <vt:lpstr>ExecutionFlag2</vt:lpstr>
      <vt:lpstr>HealthCareProvider_MealVoucher2</vt:lpstr>
      <vt:lpstr>JobDetails_AdditionalInformation_EndEmploymentDate2</vt:lpstr>
      <vt:lpstr>JobDetails_AdditionalInformation_WorkShift</vt:lpstr>
      <vt:lpstr>JobDetails_AdditionalInformation_WorkShift2</vt:lpstr>
      <vt:lpstr>Test_Data!JobDetails_EmployeeType</vt:lpstr>
      <vt:lpstr>JobDetails_EmployeeType</vt:lpstr>
      <vt:lpstr>JobDetails_EmployeeType2</vt:lpstr>
      <vt:lpstr>JobDetails_HireDate</vt:lpstr>
      <vt:lpstr>JobDetails_HireDate2</vt:lpstr>
      <vt:lpstr>Test_Data!JobDetails_JobProfile</vt:lpstr>
      <vt:lpstr>JobDetails_JobProfile</vt:lpstr>
      <vt:lpstr>JobDetails_JobProfile2</vt:lpstr>
      <vt:lpstr>JobDetails_Location2</vt:lpstr>
      <vt:lpstr>JobDetails_Position</vt:lpstr>
      <vt:lpstr>JobDetails_Position2</vt:lpstr>
      <vt:lpstr>Test_Data!JobDetails_Reason</vt:lpstr>
      <vt:lpstr>JobDetails_Reason</vt:lpstr>
      <vt:lpstr>JobDetails_Reason2</vt:lpstr>
      <vt:lpstr>Test_Data!JobDetails_TimeType</vt:lpstr>
      <vt:lpstr>JobDetails_TimeType</vt:lpstr>
      <vt:lpstr>JobDetails_TimeType2</vt:lpstr>
      <vt:lpstr>LastRunErrorMessage</vt:lpstr>
      <vt:lpstr>LastRunTimeandStatus</vt:lpstr>
      <vt:lpstr>LegalNameInformation_Country</vt:lpstr>
      <vt:lpstr>LegalNameInformation_Country2</vt:lpstr>
      <vt:lpstr>LegalNameInformation_GivenName</vt:lpstr>
      <vt:lpstr>LegalNameInformation_SecondLastName</vt:lpstr>
      <vt:lpstr>Login_Password</vt:lpstr>
      <vt:lpstr>Login_Username</vt:lpstr>
      <vt:lpstr>Login_Username2</vt:lpstr>
      <vt:lpstr>MaintainEmployeeContract_ContractEndDate2</vt:lpstr>
      <vt:lpstr>MaintainEmployeeContract_ContractType</vt:lpstr>
      <vt:lpstr>MaintainEmployeeContract_ContractType2</vt:lpstr>
      <vt:lpstr>MaintainEmployeeContract_Reason</vt:lpstr>
      <vt:lpstr>MaintainEmployeeContract_Reason2</vt:lpstr>
      <vt:lpstr>MaintainEmployeeContract_Status</vt:lpstr>
      <vt:lpstr>MaintainEmployeeContract_Status2</vt:lpstr>
      <vt:lpstr>PaymentElectionOption_AccountType2</vt:lpstr>
      <vt:lpstr>PaymentElectionOption_AccountType22</vt:lpstr>
      <vt:lpstr>Please_select_a_Spanish_Pay_Group</vt:lpstr>
      <vt:lpstr>Poland</vt:lpstr>
      <vt:lpstr>Test_Data!Process</vt:lpstr>
      <vt:lpstr>Process</vt:lpstr>
      <vt:lpstr>Process2</vt:lpstr>
      <vt:lpstr>ProposeCompensationChange_Salary</vt:lpstr>
      <vt:lpstr>Test_Data!ProposeCompensationHire_GradeProfile</vt:lpstr>
      <vt:lpstr>ProposeCompensationHire_GradeProfile</vt:lpstr>
      <vt:lpstr>Test_Data!ProposeCompensationHire_GradeProfile2</vt:lpstr>
      <vt:lpstr>ProposeCompensationHire_GradeProfile2</vt:lpstr>
      <vt:lpstr>Test_Data!ProposeCompensationHire_Step</vt:lpstr>
      <vt:lpstr>ProposeCompensationHire_Step</vt:lpstr>
      <vt:lpstr>ProposeCompensationHire_Step2</vt:lpstr>
      <vt:lpstr>Proxy_EmployeeID</vt:lpstr>
      <vt:lpstr>Proxy_OnBehalfOf</vt:lpstr>
      <vt:lpstr>Proxy_OnBehalfOf2</vt:lpstr>
      <vt:lpstr>Proxy_ProxyNumber</vt:lpstr>
      <vt:lpstr>Proxy_ProxyNumber2</vt:lpstr>
      <vt:lpstr>QAComments</vt:lpstr>
      <vt:lpstr>SkillsAndExperience_AddEducation_School2</vt:lpstr>
      <vt:lpstr>SupervisoryOrganisation_SupervisoryOrganisation</vt:lpstr>
      <vt:lpstr>SupervisoryOrganisation_SupervisoryOrganisation2</vt:lpstr>
      <vt:lpstr>Test_10</vt:lpstr>
      <vt:lpstr>Test_11</vt:lpstr>
      <vt:lpstr>Test_12</vt:lpstr>
      <vt:lpstr>Test_14</vt:lpstr>
      <vt:lpstr>Test_16</vt:lpstr>
      <vt:lpstr>Test_23</vt:lpstr>
      <vt:lpstr>Test_5</vt:lpstr>
      <vt:lpstr>Test_7</vt:lpstr>
      <vt:lpstr>Test_8</vt:lpstr>
      <vt:lpstr>Test_9</vt:lpstr>
      <vt:lpstr>Test_ID</vt:lpstr>
      <vt:lpstr>Version_Number</vt:lpstr>
    </vt:vector>
  </TitlesOfParts>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Balajee Viswanatharao</dc:creator>
  <cp:lastModifiedBy>Amy Percival</cp:lastModifiedBy>
  <cp:revision/>
  <dcterms:created xsi:type="dcterms:W3CDTF">2018-11-23T13:00:49Z</dcterms:created>
  <dcterms:modified xsi:type="dcterms:W3CDTF">2025-01-23T17:23:19Z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0x01010073FE2B026CE99841A72239090BB8B94D</vt:lpwstr>
  </property>
</Properties>
</file>