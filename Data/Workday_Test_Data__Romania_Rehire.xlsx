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codeName="ThisWorkbook" defaultThemeVersion="124226"/>
  <mc:AlternateContent xmlns:mc="http://schemas.openxmlformats.org/markup-compatibility/2006">
    <mc:Choice Requires="x15">
      <x15ac:absPath xmlns:x15ac="http://schemas.microsoft.com/office/spreadsheetml/2010/11/ac" url="https://primark-my.sharepoint.com/personal/pkusam1_primark_com/Documents/Desktop/"/>
    </mc:Choice>
  </mc:AlternateContent>
  <xr:revisionPtr revIDLastSave="35" documentId="8_{1778DA07-76EC-46DD-8F09-4712957621B6}" xr6:coauthVersionLast="47" xr6:coauthVersionMax="47" xr10:uidLastSave="{AC803C60-6D46-435D-9724-C00258CFF16C}"/>
  <bookViews>
    <workbookView xWindow="28680" yWindow="-120" windowWidth="29040" windowHeight="1584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 i="38" l="1"/>
  <c r="K56" i="38"/>
  <c r="J56" i="38"/>
  <c r="L46" i="38"/>
  <c r="L50" i="38" s="1"/>
  <c r="K46" i="38"/>
  <c r="K50" i="38" s="1"/>
  <c r="J46" i="38"/>
  <c r="J50" i="38" s="1"/>
  <c r="L24" i="38"/>
  <c r="L52" i="38" s="1"/>
  <c r="K24" i="38"/>
  <c r="K52" i="38" s="1"/>
  <c r="J24" i="38"/>
  <c r="J51" i="38" s="1"/>
  <c r="I46" i="38"/>
  <c r="H46" i="38"/>
  <c r="H50" i="38" s="1"/>
  <c r="J36" i="38" l="1"/>
  <c r="K36" i="38"/>
  <c r="L36" i="38"/>
  <c r="L49" i="38"/>
  <c r="K51" i="38"/>
  <c r="L51" i="38"/>
  <c r="J49" i="38"/>
  <c r="K49" i="38"/>
  <c r="J52" i="38"/>
  <c r="I56" i="38"/>
  <c r="H56" i="38"/>
  <c r="G56" i="38"/>
  <c r="I50" i="38"/>
  <c r="G46" i="38"/>
  <c r="G50" i="38" s="1"/>
  <c r="I24" i="38"/>
  <c r="I52" i="38" s="1"/>
  <c r="H24" i="38"/>
  <c r="H36" i="38" s="1"/>
  <c r="G24" i="38"/>
  <c r="G51" i="38" s="1"/>
  <c r="D75" i="38"/>
  <c r="E75" i="38" s="1"/>
  <c r="G49" i="38" l="1"/>
  <c r="I36" i="38"/>
  <c r="H51" i="38"/>
  <c r="I51" i="38"/>
  <c r="H49" i="38"/>
  <c r="G52" i="38"/>
  <c r="I49" i="38"/>
  <c r="H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<sst xmlns="http://schemas.openxmlformats.org/spreadsheetml/2006/main" count="4061" uniqueCount="1266">
  <si>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</si>
  <si>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</si>
  <si>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</si>
  <si>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</si>
  <si>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</si>
  <si>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</si>
  <si>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</si>
  <si>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</si>
  <si>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</si>
  <si>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</si>
  <si>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</si>
  <si>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</si>
  <si>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</si>
  <si>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</si>
  <si>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</si>
  <si>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</si>
  <si>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</si>
  <si>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</si>
  <si>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</si>
  <si>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</si>
  <si>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</si>
  <si>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</si>
  <si>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</si>
  <si>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</si>
  <si>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</si>
  <si>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</si>
  <si>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</si>
  <si>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</si>
  <si>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</si>
  <si>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</si>
  <si>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</si>
  <si>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</si>
  <si>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</si>
  <si>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</si>
  <si>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</si>
  <si>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</si>
  <si>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</si>
  <si>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</si>
  <si>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</si>
  <si>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</si>
  <si>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</si>
  <si>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</si>
  <si>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</si>
  <si>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</si>
  <si>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</si>
  <si>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</si>
  <si>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</si>
  <si>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</si>
  <si>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</si>
  <si>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</si>
  <si>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</si>
  <si>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</si>
  <si>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</si>
  <si>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</si>
  <si>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</si>
  <si>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</si>
  <si>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</si>
  <si>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</si>
  <si>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</si>
  <si>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</si>
  <si>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</si>
  <si>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</si>
  <si>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</si>
  <si>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</si>
  <si>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</si>
  <si>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</si>
  <si>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</si>
  <si>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</si>
  <si>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</si>
  <si>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</si>
  <si>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</si>
  <si>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</si>
  <si>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</si>
  <si>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</si>
  <si>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</si>
  <si>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</si>
  <si>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</si>
  <si>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</si>
  <si>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</si>
  <si>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</si>
  <si>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</si>
  <si>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</si>
  <si>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</si>
  <si>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</si>
  <si>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</si>
  <si>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</si>
  <si>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</si>
  <si>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</si>
  <si>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</si>
  <si>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</si>
  <si>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</si>
  <si>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</si>
  <si>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</si>
  <si>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</si>
  <si>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</si>
  <si>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</si>
  <si>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</si>
  <si>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</si>
  <si>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</si>
  <si>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</si>
  <si>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</si>
  <si>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</si>
  <si>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</si>
  <si>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</si>
  <si>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</si>
  <si>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</si>
  <si>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</si>
  <si>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</si>
  <si>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</si>
  <si>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</si>
  <si>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</si>
  <si>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</si>
  <si>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</si>
  <si>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</si>
  <si>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</si>
  <si>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</si>
  <si>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</si>
  <si>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</si>
  <si>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</si>
  <si>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</si>
  <si>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</si>
  <si>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</si>
  <si>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</si>
  <si>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</si>
  <si>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</si>
  <si>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</si>
  <si>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</si>
  <si>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</si>
  <si>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</si>
  <si>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</si>
  <si>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</si>
  <si>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</si>
  <si>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</si>
  <si>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</si>
  <si>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</si>
  <si>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</si>
  <si>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</si>
  <si>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</si>
  <si>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</si>
  <si>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</si>
  <si>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</si>
  <si>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</si>
  <si>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</si>
  <si>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</si>
  <si>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</si>
  <si>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</si>
  <si>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</si>
  <si>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</si>
  <si>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</si>
  <si>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</si>
  <si>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</si>
  <si>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</si>
  <si>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</si>
  <si>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</si>
  <si>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</si>
  <si>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</si>
  <si>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</si>
  <si>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</si>
  <si>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</si>
  <si>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</si>
  <si>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</si>
  <si>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</si>
  <si>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</si>
  <si>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</si>
  <si>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</si>
  <si>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</si>
  <si>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</si>
  <si>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</si>
  <si>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</si>
  <si>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</si>
  <si>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</si>
  <si>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</si>
  <si>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</si>
  <si>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</si>
  <si>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</si>
  <si>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</si>
  <si>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</si>
  <si>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</si>
  <si>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</si>
  <si>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</si>
  <si>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</si>
  <si>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</si>
  <si>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</si>
  <si>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</si>
  <si>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</si>
  <si>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</si>
  <si>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</si>
  <si>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</si>
  <si>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</si>
  <si>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</si>
  <si>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</si>
  <si>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</si>
  <si>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</si>
  <si>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</si>
  <si>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</si>
  <si>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</si>
  <si>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</si>
  <si>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</si>
  <si>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</si>
  <si>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</si>
  <si>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</si>
  <si>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</si>
  <si>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</si>
  <si>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</si>
  <si>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</si>
  <si>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</si>
  <si>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</si>
  <si>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</si>
  <si>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</si>
  <si>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</si>
  <si>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</si>
  <si>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</si>
  <si>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</si>
  <si>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</si>
  <si>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</si>
  <si>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</si>
  <si>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</si>
  <si>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</si>
  <si>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</si>
  <si>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</si>
  <si>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</si>
  <si>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</si>
  <si>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</si>
  <si>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</si>
  <si>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</si>
  <si>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</si>
  <si>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</si>
  <si>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</si>
  <si>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</si>
  <si>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</si>
  <si>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</si>
  <si>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</si>
  <si>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</si>
  <si>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</si>
  <si>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</si>
  <si>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</si>
  <si>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</si>
  <si>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</si>
  <si>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</si>
  <si>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</si>
  <si>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</si>
  <si>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</si>
  <si>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</si>
  <si>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</si>
  <si>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</si>
  <si>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</si>
  <si>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</si>
  <si>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</si>
  <si>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</si>
  <si>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</si>
  <si>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</si>
  <si>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</si>
  <si>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</si>
  <si>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</si>
  <si>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</si>
  <si>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</si>
  <si>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</si>
  <si>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</si>
  <si>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</si>
  <si>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</si>
  <si>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</si>
  <si>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</si>
  <si>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</si>
  <si>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</si>
  <si>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</si>
  <si>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</si>
  <si>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</si>
  <si>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</si>
  <si>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</si>
  <si>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</si>
  <si>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</si>
  <si>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</si>
  <si>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</si>
  <si>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</si>
  <si>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</si>
  <si>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</si>
  <si>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</si>
  <si>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</si>
  <si>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</si>
  <si>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</si>
  <si>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</si>
  <si>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</si>
  <si>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</si>
  <si>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</si>
  <si>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</si>
  <si>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</si>
  <si>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</si>
  <si>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</si>
  <si>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</si>
  <si>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</si>
  <si>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</si>
  <si>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</si>
  <si>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</si>
  <si>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</si>
  <si>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</si>
  <si>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</si>
  <si>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</si>
  <si>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</si>
  <si>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</si>
  <si>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</si>
  <si>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</si>
  <si>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</si>
  <si>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</si>
  <si>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</si>
  <si>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</si>
  <si>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</si>
  <si>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</si>
  <si>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</si>
  <si>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</si>
  <si>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</si>
  <si>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</si>
  <si>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</si>
  <si>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</si>
  <si>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</si>
  <si>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</si>
  <si>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</si>
  <si>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</si>
  <si>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</si>
  <si>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</si>
  <si>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</si>
  <si>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</si>
  <si>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</si>
  <si>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</si>
  <si>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</si>
  <si>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</si>
  <si>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</si>
  <si>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</si>
  <si>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</si>
  <si>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</si>
  <si>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</si>
  <si>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</si>
  <si>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</si>
  <si>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</si>
  <si>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</si>
  <si>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</si>
  <si>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</si>
  <si>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</si>
  <si>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</si>
  <si>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</si>
  <si>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</si>
  <si>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</si>
  <si>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</si>
  <si>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</si>
  <si>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</si>
  <si>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</si>
  <si>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</si>
  <si>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</si>
  <si>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</si>
  <si>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</si>
  <si>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</si>
  <si>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</si>
  <si>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</si>
  <si>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</si>
  <si>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</si>
  <si>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</si>
  <si>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</si>
  <si>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</si>
  <si>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</si>
  <si>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</si>
  <si>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</si>
  <si>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</si>
  <si>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</si>
  <si>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</si>
  <si>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</si>
  <si>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</si>
  <si>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</si>
  <si>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</si>
  <si>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</si>
  <si>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</si>
  <si>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</si>
  <si>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</si>
  <si>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</si>
  <si>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</si>
  <si>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</si>
  <si>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</si>
  <si>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</si>
  <si>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</si>
  <si>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</si>
  <si>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</si>
  <si>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</si>
  <si>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</si>
  <si>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</si>
  <si>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</si>
  <si>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</si>
  <si>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</si>
  <si>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</si>
  <si>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</si>
  <si>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</si>
  <si>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</si>
  <si>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</si>
  <si>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</si>
  <si>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</si>
  <si>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</si>
  <si>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</si>
  <si>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</si>
  <si>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</si>
  <si>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</si>
  <si>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</si>
  <si>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</si>
  <si>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</si>
  <si>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</si>
  <si>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</si>
  <si>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</si>
  <si>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</si>
  <si>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</si>
  <si>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</si>
  <si>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</si>
  <si>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</si>
  <si>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</si>
  <si>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</si>
  <si>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</si>
  <si>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</si>
  <si>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</si>
  <si>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</si>
  <si>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</si>
  <si>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</si>
  <si>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</si>
  <si>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</si>
  <si>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</si>
  <si>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</si>
  <si>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</si>
  <si>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</si>
  <si>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</si>
  <si>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</si>
  <si>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</si>
  <si>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</si>
  <si>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</si>
  <si>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</si>
  <si>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</si>
  <si>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</si>
  <si>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</si>
  <si>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</si>
  <si>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</si>
  <si>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</si>
  <si>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</si>
  <si>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</si>
  <si>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</si>
  <si>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</si>
  <si>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</si>
  <si>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</si>
  <si>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</si>
  <si>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</si>
  <si>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</si>
  <si>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</si>
  <si>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</si>
  <si>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</si>
  <si>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</si>
  <si>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</si>
  <si>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</si>
  <si>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</si>
  <si>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</si>
  <si>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</si>
  <si>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</si>
  <si>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</si>
  <si>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</si>
  <si>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</si>
  <si>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</si>
  <si>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</si>
  <si>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</si>
  <si>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</si>
  <si>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</si>
  <si>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</si>
  <si>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</si>
  <si>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</si>
  <si>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</si>
  <si>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</si>
  <si>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</si>
  <si>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</si>
  <si>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</si>
  <si>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</si>
  <si>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</si>
  <si>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</si>
  <si>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</si>
  <si>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</si>
  <si>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</si>
  <si>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</si>
  <si>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</si>
  <si>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</si>
  <si>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</si>
  <si>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</si>
  <si>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</si>
  <si>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</si>
  <si>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</si>
  <si>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</si>
  <si>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</si>
  <si>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</si>
  <si>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</si>
  <si>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</si>
  <si>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</si>
  <si>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</si>
  <si>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</si>
  <si>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</si>
  <si>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</si>
  <si>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</si>
  <si>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</si>
  <si>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</si>
  <si>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</si>
  <si>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</si>
  <si>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</si>
  <si>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</si>
  <si>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</si>
  <si>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</si>
  <si>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</si>
  <si>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</si>
  <si>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</si>
  <si>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</si>
  <si>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</si>
  <si>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</si>
  <si>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</si>
  <si>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</si>
  <si>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</si>
  <si>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</si>
  <si>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</si>
  <si>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</si>
  <si>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</si>
  <si>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</si>
  <si>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</si>
  <si>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</si>
  <si>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</si>
  <si>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</si>
  <si>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</si>
  <si>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</si>
  <si>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</si>
  <si>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</si>
  <si>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</si>
  <si>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</si>
  <si>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</si>
  <si>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</si>
  <si>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</si>
  <si>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</si>
  <si>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</si>
  <si>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</si>
  <si>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</si>
  <si>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</si>
  <si>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</si>
  <si>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</si>
  <si>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</si>
  <si>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</si>
  <si>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</si>
  <si>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</si>
  <si>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</si>
  <si>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</si>
  <si>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</si>
  <si>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</si>
  <si>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</si>
  <si>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</si>
  <si>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</si>
  <si>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</si>
  <si>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</si>
  <si>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</si>
  <si>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</si>
  <si>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</si>
  <si>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</si>
  <si>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</si>
  <si>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</si>
  <si>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</si>
  <si>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</si>
  <si>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</si>
  <si>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</si>
  <si>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</si>
  <si>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</si>
  <si>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</si>
  <si>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</si>
  <si>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</si>
  <si>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</si>
  <si>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</si>
  <si>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</si>
  <si>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</si>
  <si>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</si>
  <si>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</si>
  <si>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</si>
  <si>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</si>
  <si>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</si>
  <si>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</si>
  <si>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</si>
  <si>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</si>
  <si>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</si>
  <si>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</si>
  <si>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</si>
  <si>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</si>
  <si>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</si>
  <si>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</si>
  <si>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</si>
  <si>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</si>
  <si>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</si>
  <si>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</si>
  <si>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</si>
  <si>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</si>
  <si>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</si>
  <si>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</si>
  <si>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</si>
  <si>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</si>
  <si>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</si>
  <si>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</si>
  <si>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</si>
  <si>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</si>
  <si>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</si>
  <si>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</si>
  <si>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</si>
  <si>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</si>
  <si>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</si>
  <si>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</si>
  <si>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</si>
  <si>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</si>
  <si>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</si>
  <si>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</si>
  <si>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</si>
  <si>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</si>
  <si>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</si>
  <si>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</si>
  <si>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</si>
  <si>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</si>
  <si>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</si>
  <si>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</si>
  <si>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</si>
  <si>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</si>
  <si>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</si>
  <si>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</si>
  <si>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</si>
  <si>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</si>
  <si>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</si>
  <si>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</si>
  <si>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</si>
  <si>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</si>
  <si>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</si>
  <si>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</si>
  <si>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</si>
  <si>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</si>
  <si>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</si>
  <si>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</si>
  <si>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</si>
  <si>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</si>
  <si>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</si>
  <si>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</si>
  <si>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</si>
  <si>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</si>
  <si>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</si>
  <si>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</si>
  <si>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</si>
  <si>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</si>
  <si>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</si>
  <si>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</si>
  <si>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</si>
  <si>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</si>
  <si>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</si>
  <si>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</si>
  <si>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</si>
  <si>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</si>
  <si>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</si>
  <si>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</si>
  <si>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</si>
  <si>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</si>
  <si>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</si>
  <si>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</si>
  <si>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</si>
  <si>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</si>
  <si>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</si>
  <si>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</si>
  <si>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</si>
  <si>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</si>
  <si>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</si>
  <si>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</si>
  <si>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</si>
  <si>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</si>
  <si>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</si>
  <si>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</si>
  <si>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</si>
  <si>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</si>
  <si>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</si>
  <si>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</si>
  <si>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</si>
  <si>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</si>
  <si>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</si>
  <si>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</si>
  <si>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</si>
  <si>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</si>
  <si>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</si>
  <si>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</si>
  <si>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</si>
  <si>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</si>
  <si>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</si>
  <si>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</si>
  <si>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</si>
  <si>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</si>
  <si>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</si>
  <si>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</si>
  <si>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</si>
  <si>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</si>
  <si>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</si>
  <si>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</si>
  <si>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</si>
  <si>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</si>
  <si>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</si>
  <si>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</si>
  <si>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</si>
  <si>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</si>
  <si>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</si>
  <si>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</si>
  <si>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</si>
  <si>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</si>
  <si>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</si>
  <si>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</si>
  <si>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</si>
  <si>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</si>
  <si>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</si>
  <si>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</si>
  <si>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</si>
  <si>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</si>
  <si>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</si>
  <si>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</si>
  <si>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</si>
  <si>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</si>
  <si>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</si>
  <si>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</si>
  <si>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</si>
  <si>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</si>
  <si>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</si>
  <si>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</si>
  <si>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</si>
  <si>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</si>
  <si>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</si>
  <si>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</si>
  <si>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</si>
  <si>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</si>
  <si>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</si>
  <si>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</si>
  <si>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</si>
  <si>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</si>
  <si>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</si>
  <si>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</si>
  <si>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</si>
  <si>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</si>
  <si>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</si>
  <si>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</si>
  <si>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</si>
  <si>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</si>
  <si>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</si>
  <si>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</si>
  <si>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</si>
  <si>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</si>
  <si>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</si>
  <si>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</si>
  <si>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</si>
  <si>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</si>
  <si>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</si>
  <si>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</si>
  <si>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</si>
  <si>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</si>
  <si>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</si>
  <si>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</si>
  <si>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</si>
  <si>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</si>
  <si>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</si>
  <si>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</si>
  <si>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</si>
  <si>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</si>
  <si>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</si>
  <si>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</si>
  <si>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</si>
  <si>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</si>
  <si>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</si>
  <si>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</si>
  <si>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</si>
  <si>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</si>
  <si>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</si>
  <si>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</si>
  <si>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</si>
  <si>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</si>
  <si>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</si>
  <si>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</si>
  <si>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</si>
  <si>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</si>
  <si>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</si>
  <si>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</si>
  <si>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</si>
  <si>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</si>
  <si>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</si>
  <si>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</si>
  <si>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</si>
  <si>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</si>
  <si>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</si>
  <si>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</si>
  <si>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</si>
  <si>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</si>
  <si>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</si>
  <si>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</si>
  <si>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</si>
  <si>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</si>
  <si>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</si>
  <si>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</si>
  <si>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</si>
  <si>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</si>
  <si>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</si>
  <si>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</si>
  <si>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</si>
  <si>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</si>
  <si>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</si>
  <si>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</si>
  <si>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</si>
  <si>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</si>
  <si>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</si>
  <si>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</si>
  <si>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</si>
  <si>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</si>
  <si>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</si>
  <si>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</si>
  <si>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</si>
  <si>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</si>
  <si>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</si>
  <si>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</si>
  <si>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</si>
  <si>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</si>
  <si>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</si>
  <si>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</si>
  <si>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</si>
  <si>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</si>
  <si>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</si>
  <si>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</si>
  <si>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</si>
  <si>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</si>
  <si>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</si>
  <si>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</si>
  <si>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</si>
  <si>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</si>
  <si>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</si>
  <si>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</si>
  <si>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</si>
  <si>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</si>
  <si>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</si>
  <si>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</si>
  <si>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</si>
  <si>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</si>
  <si>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</si>
  <si>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</si>
  <si>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</si>
  <si>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</si>
  <si>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</si>
  <si>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</si>
  <si>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</si>
  <si>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</si>
  <si>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</si>
  <si>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</si>
  <si>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</si>
  <si>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</si>
  <si>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</si>
  <si>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</si>
  <si>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</si>
  <si>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</si>
  <si>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</si>
  <si>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</si>
  <si>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</si>
  <si>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</si>
  <si>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</si>
  <si>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</si>
  <si>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</si>
  <si>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</si>
  <si>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</si>
  <si>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</si>
  <si>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</si>
  <si>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</si>
  <si>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</si>
  <si>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</si>
  <si>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</si>
  <si>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</si>
  <si>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</si>
  <si>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</si>
  <si>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</si>
  <si>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</si>
  <si>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</si>
  <si>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</si>
  <si>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</si>
  <si>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</si>
  <si>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</si>
  <si>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</si>
  <si>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</si>
  <si>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</si>
  <si>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</si>
  <si>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</si>
  <si>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</si>
  <si>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</si>
  <si>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</si>
  <si>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</si>
  <si>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</si>
  <si>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</si>
  <si>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</si>
  <si>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</si>
  <si>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</si>
  <si>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</si>
  <si>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</si>
  <si>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</si>
  <si>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</si>
  <si>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</si>
  <si>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</si>
  <si>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</si>
  <si>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</si>
  <si>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</si>
  <si>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</si>
  <si>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</si>
  <si>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</si>
  <si>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</si>
  <si>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</si>
  <si>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</si>
  <si>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</si>
  <si>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</si>
  <si>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</si>
  <si>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</si>
  <si>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</si>
  <si>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</si>
  <si>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</si>
  <si>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</si>
  <si>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</si>
  <si>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</si>
  <si>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</si>
  <si>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</si>
  <si>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</si>
  <si>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</si>
  <si>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</si>
  <si>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</si>
  <si>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</si>
  <si>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</si>
  <si>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</si>
  <si>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</si>
  <si>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</si>
  <si>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</si>
  <si>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</si>
  <si>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</si>
  <si>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</si>
  <si>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</si>
  <si>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</si>
  <si>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</si>
  <si>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</si>
  <si>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</si>
  <si>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</si>
  <si>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</si>
  <si>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</si>
  <si>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</si>
  <si>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</si>
  <si>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</si>
  <si>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</si>
  <si>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</si>
  <si>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</si>
  <si>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</si>
  <si>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</si>
  <si>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</si>
  <si>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</si>
  <si>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</si>
  <si>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</si>
  <si>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</si>
  <si>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</si>
  <si>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</si>
  <si>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</si>
  <si>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</si>
  <si>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</si>
  <si>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</si>
  <si>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</si>
  <si>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</si>
  <si>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</si>
  <si>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</si>
  <si>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</si>
  <si>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</si>
  <si>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</si>
  <si>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</si>
  <si>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</si>
  <si>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</si>
  <si>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</si>
  <si>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</si>
  <si>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</si>
  <si>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</si>
  <si>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</si>
  <si>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</si>
  <si>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</si>
  <si>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</si>
  <si>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</si>
  <si>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</si>
  <si>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</si>
  <si>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</si>
  <si>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</si>
  <si>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</si>
  <si>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</si>
  <si>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</si>
  <si>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</si>
  <si>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</si>
  <si>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</si>
  <si>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</si>
  <si>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</si>
  <si>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</si>
  <si>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</si>
  <si>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</si>
  <si>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</si>
  <si>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</si>
  <si>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</si>
  <si>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</si>
  <si>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</si>
  <si>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</si>
  <si>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</si>
  <si>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</si>
  <si>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</si>
  <si>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</si>
  <si>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</si>
  <si>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</si>
  <si>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</si>
  <si>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</si>
  <si>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</si>
  <si>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</si>
  <si>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</si>
  <si>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</si>
  <si>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</si>
  <si>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</si>
  <si>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</si>
  <si>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</si>
  <si>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</si>
  <si>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</si>
  <si>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</si>
  <si>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</si>
  <si>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</si>
  <si>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</si>
  <si>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</si>
  <si>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</si>
  <si>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</si>
  <si>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</si>
  <si>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</si>
  <si>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</si>
  <si>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</si>
  <si>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</si>
  <si>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</si>
  <si>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</si>
  <si>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</si>
  <si>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</si>
  <si>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</si>
  <si>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</si>
  <si>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</si>
  <si>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</si>
  <si>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</si>
  <si>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</si>
  <si>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</si>
  <si>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</si>
  <si>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</si>
  <si>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</si>
  <si>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</si>
  <si>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</si>
  <si>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</si>
  <si>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</si>
  <si>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</si>
  <si>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</si>
  <si>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</si>
  <si>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</si>
  <si>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</si>
  <si>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</si>
  <si>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</si>
  <si>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</si>
  <si>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</si>
  <si>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</si>
  <si>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</si>
  <si>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</si>
  <si>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</si>
  <si>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</si>
  <si>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</si>
  <si>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</si>
  <si>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</si>
  <si>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</si>
  <si>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</si>
  <si>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</si>
  <si>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</si>
  <si>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</si>
  <si>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</si>
  <si>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</si>
  <si>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</si>
  <si>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</si>
  <si>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</si>
  <si>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</si>
  <si>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</si>
  <si>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</si>
  <si>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</si>
  <si>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</si>
  <si>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</si>
  <si>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</si>
  <si>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</si>
  <si>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</si>
  <si>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</si>
  <si>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</si>
  <si>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</si>
  <si>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</si>
  <si>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</si>
  <si>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</si>
  <si>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</si>
  <si>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</si>
  <si>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</si>
  <si>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</si>
  <si>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</si>
  <si>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</si>
  <si>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</si>
  <si>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</si>
  <si>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</si>
  <si>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</si>
  <si>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</si>
  <si>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</si>
  <si>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</si>
  <si>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</si>
  <si>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</si>
  <si>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</si>
  <si>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</si>
  <si>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</si>
  <si>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</si>
  <si>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</si>
  <si>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</si>
  <si>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</si>
  <si>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</si>
  <si>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</si>
  <si>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</si>
  <si>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</si>
  <si>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</si>
  <si>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</si>
  <si>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</si>
  <si>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</si>
  <si>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</si>
  <si>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</si>
  <si>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</si>
  <si>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</si>
  <si>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</si>
  <si>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</si>
  <si>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</si>
  <si>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</si>
  <si>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</si>
  <si>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</si>
  <si>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</si>
  <si>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</si>
  <si>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</si>
  <si>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</si>
  <si>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</si>
  <si>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</si>
  <si>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</si>
  <si>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</si>
  <si>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</si>
  <si>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</si>
  <si>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</si>
  <si>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</si>
  <si>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</si>
  <si>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</si>
  <si>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</si>
  <si>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</si>
  <si>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</si>
  <si>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</si>
  <si>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</si>
  <si>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</si>
  <si>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</si>
  <si>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</si>
  <si>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</si>
  <si>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</si>
  <si>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</si>
  <si>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</si>
  <si>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</si>
  <si>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</si>
  <si>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</si>
  <si>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</si>
  <si>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</si>
  <si>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</si>
  <si>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</si>
  <si>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</si>
  <si>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</si>
  <si>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</si>
  <si>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</si>
  <si>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</si>
  <si>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</si>
  <si>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</si>
  <si>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</si>
  <si>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</si>
  <si>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</si>
  <si>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</si>
  <si>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</si>
  <si>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</si>
  <si>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</si>
  <si>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</si>
  <si>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</si>
  <si>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</si>
  <si>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</si>
  <si>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</si>
  <si>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</si>
  <si>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</si>
  <si>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</si>
  <si>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</si>
  <si>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</si>
  <si>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</si>
  <si>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</si>
  <si>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</si>
  <si>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</si>
  <si>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</si>
  <si>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</si>
  <si>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</si>
  <si>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</si>
  <si>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</si>
  <si>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</si>
  <si>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</si>
  <si>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</si>
  <si>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</si>
  <si>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</si>
  <si>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</si>
  <si>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</si>
  <si>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</si>
  <si>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</si>
  <si>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</si>
  <si>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</si>
  <si>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Manage Probation Period</t>
  </si>
  <si>
    <t>770 272 784</t>
  </si>
  <si>
    <t>House Number</t>
  </si>
  <si>
    <t>Locality</t>
  </si>
  <si>
    <t>Region</t>
  </si>
  <si>
    <t>Prague</t>
  </si>
  <si>
    <t>Retail Assistant_NEW</t>
  </si>
  <si>
    <t>Salary</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</si>
  <si>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</si>
  <si>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</si>
  <si>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</si>
  <si>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</si>
  <si>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</si>
  <si>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</si>
  <si>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</si>
  <si>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</si>
  <si>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</si>
  <si>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</si>
  <si>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</si>
  <si>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</si>
  <si>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</si>
  <si>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</si>
  <si>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</si>
  <si>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</si>
  <si>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</si>
  <si>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</si>
  <si>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</si>
  <si>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</si>
  <si>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</si>
  <si>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</si>
  <si>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</si>
  <si>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</si>
  <si>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</si>
  <si>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</si>
  <si>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</si>
  <si>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</si>
  <si>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</si>
  <si>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</si>
  <si>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</si>
  <si>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</si>
  <si>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</si>
  <si>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</si>
  <si>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08 Ladieswear</t>
  </si>
  <si>
    <t>Test@primark.com</t>
  </si>
  <si>
    <t>66eb0ddfe1833a6c0473b8ea80d04ab9d9cf77994b86082d9ff6f77f</t>
  </si>
  <si>
    <t>Auto 26102024 181953</t>
  </si>
  <si>
    <t>Auto 26102024 185305</t>
  </si>
  <si>
    <t>896 Brno</t>
  </si>
  <si>
    <t>896 Retail Team (Vuvip Kevozi (10525382) (Inherited))</t>
  </si>
  <si>
    <t>Part Time</t>
  </si>
  <si>
    <t>Male</t>
  </si>
  <si>
    <t>11/11/2008</t>
  </si>
  <si>
    <t>11/11/2001</t>
  </si>
  <si>
    <t>CzechA</t>
  </si>
  <si>
    <t>CzechB</t>
  </si>
  <si>
    <t>CzechC</t>
  </si>
  <si>
    <t>CzechMA</t>
  </si>
  <si>
    <t>CzechMB</t>
  </si>
  <si>
    <t>CzechMC</t>
  </si>
  <si>
    <t>CZSITPTA</t>
  </si>
  <si>
    <t>CZSITPTB</t>
  </si>
  <si>
    <t>CZSITPTC</t>
  </si>
  <si>
    <t>CZSITPTMA</t>
  </si>
  <si>
    <t>CZSITPTMB</t>
  </si>
  <si>
    <t>CZSITPTMC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</si>
</sst>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2">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4" fillId="0" borderId="0" xfId="0" applyFont="1" applyFill="1"/>
    <xf numFmtId="0" fontId="14" fillId="0" borderId="0" xfId="0" applyFont="1" applyFill="1" applyAlignment="1">
      <alignment horizontal="left"/>
    </xf>
    <xf numFmtId="0" fontId="0" fillId="0" borderId="0" xfId="0" applyFill="1"/>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6" t="s">
        <v>0</v>
      </c>
      <c r="B1" s="217"/>
      <c r="C1" s="218"/>
      <c r="F1" s="216" t="s">
        <v>1</v>
      </c>
      <c r="G1" s="218"/>
    </row>
    <row r="2" spans="1:7" ht="15" thickBot="1" x14ac:dyDescent="0.4">
      <c r="A2" s="219"/>
      <c r="B2" s="220"/>
      <c r="C2" s="221"/>
      <c r="F2" s="219"/>
      <c r="G2" s="221"/>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02/05/2025</v>
      </c>
      <c r="K2" s="19" t="s">
        <v>30</v>
      </c>
      <c r="L2" s="19" t="s">
        <v>217</v>
      </c>
      <c r="M2" s="19" t="s">
        <v>112</v>
      </c>
      <c r="N2" s="19" t="s">
        <v>218</v>
      </c>
      <c r="O2" s="19" t="s">
        <v>122</v>
      </c>
      <c r="P2" t="s">
        <v>219</v>
      </c>
      <c r="Q2" s="19" t="s">
        <v>220</v>
      </c>
      <c r="R2" s="24" t="str">
        <f ca="1">IF(MONTH(TODAY())&lt;10,"0"&amp;MONTH(TODAY())&amp;"/",MONTH(TODAY())&amp;"/") &amp; IF(DAY(TODAY())&lt;10,"0"&amp;DAY(TODAY())&amp;"/",DAY(TODAY())&amp;"/") &amp; YEAR(TODAY())</f>
        <v>02/05/2025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02/05/2025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05/16/2025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01//26/2025</v>
      </c>
      <c r="L3" s="19" t="s">
        <v>236</v>
      </c>
      <c r="M3" s="19" t="s">
        <v>237</v>
      </c>
      <c r="N3" s="23" t="s">
        <v>115</v>
      </c>
      <c r="O3" s="19" t="s">
        <v>123</v>
      </c>
      <c r="P3" s="19"/>
      <c r="Q3" s="19" t="s">
        <v>238</v>
      </c>
      <c r="R3" s="24" t="str">
        <f ca="1">IF(MONTH(TODAY()+100)&lt;10,"0"&amp;MONTH(TODAY()+100)&amp;"/",MONTH(TODAY()+100)&amp;"/") &amp; IF(DAY(TODAY()+100)&lt;10,"0"&amp;DAY(TODAY()+100)&amp;"/",DAY(TODAY()+100)&amp;"/") &amp; YEAR(TODAY()+100)</f>
        <v>05/16/2025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05/16/2025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11/02/2027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02/15/2025</v>
      </c>
      <c r="L4" s="19" t="s">
        <v>250</v>
      </c>
      <c r="M4" s="19" t="s">
        <v>111</v>
      </c>
      <c r="N4" s="23" t="s">
        <v>117</v>
      </c>
      <c r="Q4" s="19" t="s">
        <v>130</v>
      </c>
      <c r="R4" s="24" t="str">
        <f ca="1">IF(MONTH(TODAY()+1000)&lt;10,"0"&amp;MONTH(TODAY()+1000)&amp;"/",MONTH(TODAY()+1000)&amp;"/") &amp; IF(DAY(TODAY()+1000)&lt;10,"0"&amp;DAY(TODAY()+1000)&amp;"/",DAY(TODAY()+1000)&amp;"/") &amp; YEAR(TODAY()+1000)</f>
        <v>11/02/2027</v>
      </c>
      <c r="W4" s="19" t="s">
        <v>251</v>
      </c>
      <c r="X4" s="19" t="s">
        <v>252</v>
      </c>
      <c r="Y4" s="19" t="s">
        <v>253</v>
      </c>
      <c r="Z4" s="24" t="str">
        <f ca="1">IF(MONTH(TODAY()+1000)&lt;10,"0"&amp;MONTH(TODAY()+1000)&amp;"/",MONTH(TODAY()+1000)&amp;"/") &amp; IF(DAY(TODAY()+1000)&lt;10,"0"&amp;DAY(TODAY()+1000)&amp;"/",DAY(TODAY()+1000)&amp;"/") &amp; YEAR(TODAY()+1000)</f>
        <v>11/02/2027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319</v>
      </c>
      <c r="C3" s="113" t="s">
        <v>320</v>
      </c>
      <c r="D3" s="114" t="s">
        <v>321</v>
      </c>
      <c r="F3" s="112">
        <v>1</v>
      </c>
      <c r="G3" s="114" t="s">
        <v>321</v>
      </c>
      <c r="J3" s="112" t="str">
        <f t="shared" ref="J3:J66" si="0">G3&amp;H3</f>
        <v>one</v>
      </c>
      <c r="K3" s="112" t="s">
        <v>321</v>
      </c>
    </row>
    <row r="4" spans="2:11" ht="18" x14ac:dyDescent="0.35">
      <c r="B4" s="112" t="s">
        <v>319</v>
      </c>
      <c r="C4" s="113">
        <v>2</v>
      </c>
      <c r="D4" s="114" t="s">
        <v>322</v>
      </c>
      <c r="F4" s="112">
        <v>2</v>
      </c>
      <c r="G4" s="114" t="s">
        <v>322</v>
      </c>
      <c r="J4" s="112" t="str">
        <f t="shared" si="0"/>
        <v>two</v>
      </c>
      <c r="K4" s="112" t="s">
        <v>322</v>
      </c>
    </row>
    <row r="5" spans="2:11" ht="18" x14ac:dyDescent="0.35">
      <c r="B5" s="112" t="s">
        <v>319</v>
      </c>
      <c r="C5" s="113">
        <v>3</v>
      </c>
      <c r="D5" s="114" t="s">
        <v>323</v>
      </c>
      <c r="F5" s="112">
        <v>3</v>
      </c>
      <c r="G5" s="114" t="s">
        <v>323</v>
      </c>
      <c r="J5" s="112" t="str">
        <f t="shared" si="0"/>
        <v>three</v>
      </c>
      <c r="K5" s="112" t="s">
        <v>323</v>
      </c>
    </row>
    <row r="6" spans="2:11" ht="18" x14ac:dyDescent="0.35">
      <c r="B6" s="112" t="s">
        <v>319</v>
      </c>
      <c r="C6" s="113">
        <v>4</v>
      </c>
      <c r="D6" s="115" t="s">
        <v>324</v>
      </c>
      <c r="F6" s="112">
        <v>4</v>
      </c>
      <c r="G6" s="115" t="s">
        <v>324</v>
      </c>
      <c r="J6" s="112" t="str">
        <f t="shared" si="0"/>
        <v>four</v>
      </c>
      <c r="K6" s="112" t="s">
        <v>324</v>
      </c>
    </row>
    <row r="7" spans="2:11" ht="18" x14ac:dyDescent="0.35">
      <c r="B7" s="112" t="s">
        <v>319</v>
      </c>
      <c r="C7" s="113">
        <v>5</v>
      </c>
      <c r="D7" s="115" t="s">
        <v>325</v>
      </c>
      <c r="F7" s="112">
        <v>5</v>
      </c>
      <c r="G7" s="115" t="s">
        <v>325</v>
      </c>
      <c r="J7" s="112" t="str">
        <f t="shared" si="0"/>
        <v>five</v>
      </c>
      <c r="K7" s="112" t="s">
        <v>325</v>
      </c>
    </row>
    <row r="8" spans="2:11" ht="18" x14ac:dyDescent="0.35">
      <c r="B8" s="112" t="s">
        <v>319</v>
      </c>
      <c r="C8" s="113">
        <v>6</v>
      </c>
      <c r="D8" s="115" t="s">
        <v>326</v>
      </c>
      <c r="F8" s="112">
        <v>6</v>
      </c>
      <c r="G8" s="115" t="s">
        <v>326</v>
      </c>
      <c r="J8" s="112" t="str">
        <f t="shared" si="0"/>
        <v>six</v>
      </c>
      <c r="K8" s="112" t="s">
        <v>326</v>
      </c>
    </row>
    <row r="9" spans="2:11" ht="18" x14ac:dyDescent="0.35">
      <c r="B9" s="112" t="s">
        <v>319</v>
      </c>
      <c r="C9" s="113">
        <v>7</v>
      </c>
      <c r="D9" s="115" t="s">
        <v>327</v>
      </c>
      <c r="F9" s="112">
        <v>7</v>
      </c>
      <c r="G9" s="115" t="s">
        <v>327</v>
      </c>
      <c r="J9" s="112" t="str">
        <f t="shared" si="0"/>
        <v>seven</v>
      </c>
      <c r="K9" s="112" t="s">
        <v>327</v>
      </c>
    </row>
    <row r="10" spans="2:11" ht="18" x14ac:dyDescent="0.35">
      <c r="B10" s="112" t="s">
        <v>319</v>
      </c>
      <c r="C10" s="113">
        <v>8</v>
      </c>
      <c r="D10" s="115" t="s">
        <v>328</v>
      </c>
      <c r="F10" s="112">
        <v>8</v>
      </c>
      <c r="G10" s="115" t="s">
        <v>328</v>
      </c>
      <c r="J10" s="112" t="str">
        <f t="shared" si="0"/>
        <v>eight</v>
      </c>
      <c r="K10" s="112" t="s">
        <v>328</v>
      </c>
    </row>
    <row r="11" spans="2:11" ht="18" x14ac:dyDescent="0.35">
      <c r="B11" s="112" t="s">
        <v>319</v>
      </c>
      <c r="C11" s="113">
        <v>9</v>
      </c>
      <c r="D11" s="115" t="s">
        <v>329</v>
      </c>
      <c r="F11" s="112">
        <v>9</v>
      </c>
      <c r="G11" s="115" t="s">
        <v>329</v>
      </c>
      <c r="J11" s="112" t="str">
        <f t="shared" si="0"/>
        <v>nine</v>
      </c>
      <c r="K11" s="112" t="s">
        <v>329</v>
      </c>
    </row>
    <row r="12" spans="2:11" ht="18" x14ac:dyDescent="0.35">
      <c r="B12" s="112" t="s">
        <v>319</v>
      </c>
      <c r="C12" s="113">
        <v>10</v>
      </c>
      <c r="D12" s="114" t="s">
        <v>330</v>
      </c>
      <c r="F12" s="112">
        <v>10</v>
      </c>
      <c r="G12" s="114" t="s">
        <v>330</v>
      </c>
      <c r="J12" s="112" t="str">
        <f t="shared" si="0"/>
        <v>ten</v>
      </c>
      <c r="K12" s="112" t="s">
        <v>330</v>
      </c>
    </row>
    <row r="13" spans="2:11" ht="18" x14ac:dyDescent="0.35">
      <c r="B13" s="112" t="s">
        <v>319</v>
      </c>
      <c r="C13" s="113">
        <v>11</v>
      </c>
      <c r="D13" s="114" t="s">
        <v>331</v>
      </c>
      <c r="F13" s="112">
        <v>11</v>
      </c>
      <c r="G13" s="114" t="s">
        <v>331</v>
      </c>
      <c r="J13" s="112" t="str">
        <f t="shared" si="0"/>
        <v>eleven</v>
      </c>
      <c r="K13" s="112" t="s">
        <v>331</v>
      </c>
    </row>
    <row r="14" spans="2:11" ht="18"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8" x14ac:dyDescent="0.35">
      <c r="B17" s="112" t="s">
        <v>319</v>
      </c>
      <c r="C17" s="113">
        <v>15</v>
      </c>
      <c r="D17" s="114" t="s">
        <v>335</v>
      </c>
      <c r="F17" s="112">
        <v>15</v>
      </c>
      <c r="G17" s="114" t="s">
        <v>335</v>
      </c>
      <c r="J17" s="112" t="str">
        <f t="shared" si="0"/>
        <v>fifteen</v>
      </c>
      <c r="K17" s="112" t="s">
        <v>335</v>
      </c>
    </row>
    <row r="18" spans="2:11" ht="18"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8" x14ac:dyDescent="0.35">
      <c r="B22" s="112" t="s">
        <v>319</v>
      </c>
      <c r="C22" s="113">
        <v>20</v>
      </c>
      <c r="D22" s="114" t="s">
        <v>340</v>
      </c>
      <c r="F22" s="112">
        <v>20</v>
      </c>
      <c r="G22" s="114" t="s">
        <v>340</v>
      </c>
      <c r="J22" s="112" t="str">
        <f t="shared" si="0"/>
        <v>twenty</v>
      </c>
      <c r="K22" s="112" t="s">
        <v>340</v>
      </c>
    </row>
    <row r="23" spans="2:11" ht="18" x14ac:dyDescent="0.35">
      <c r="B23" s="112" t="s">
        <v>319</v>
      </c>
      <c r="C23" s="113">
        <v>30</v>
      </c>
      <c r="D23" s="114" t="s">
        <v>341</v>
      </c>
      <c r="F23" s="112">
        <v>21</v>
      </c>
      <c r="G23" s="114" t="s">
        <v>340</v>
      </c>
      <c r="H23" s="114" t="s">
        <v>321</v>
      </c>
      <c r="I23" s="116"/>
      <c r="J23" s="112" t="str">
        <f t="shared" si="0"/>
        <v>twentyone</v>
      </c>
      <c r="K23" s="112" t="s">
        <v>453</v>
      </c>
    </row>
    <row r="24" spans="2:11" ht="18" x14ac:dyDescent="0.35">
      <c r="B24" s="112" t="s">
        <v>319</v>
      </c>
      <c r="C24" s="113">
        <v>40</v>
      </c>
      <c r="D24" s="114" t="s">
        <v>342</v>
      </c>
      <c r="F24" s="112">
        <v>22</v>
      </c>
      <c r="G24" s="114" t="s">
        <v>340</v>
      </c>
      <c r="H24" s="114" t="s">
        <v>322</v>
      </c>
      <c r="I24" s="116"/>
      <c r="J24" s="112" t="str">
        <f t="shared" si="0"/>
        <v>twentytwo</v>
      </c>
      <c r="K24" s="112" t="s">
        <v>454</v>
      </c>
    </row>
    <row r="25" spans="2:11" ht="18" x14ac:dyDescent="0.35">
      <c r="B25" s="112" t="s">
        <v>319</v>
      </c>
      <c r="C25" s="113">
        <v>50</v>
      </c>
      <c r="D25" s="114" t="s">
        <v>343</v>
      </c>
      <c r="F25" s="112">
        <v>23</v>
      </c>
      <c r="G25" s="114" t="s">
        <v>340</v>
      </c>
      <c r="H25" s="114" t="s">
        <v>323</v>
      </c>
      <c r="I25" s="116"/>
      <c r="J25" s="112" t="str">
        <f t="shared" si="0"/>
        <v>twentythree</v>
      </c>
      <c r="K25" s="112" t="s">
        <v>455</v>
      </c>
    </row>
    <row r="26" spans="2:11" ht="18" x14ac:dyDescent="0.35">
      <c r="B26" s="112" t="s">
        <v>319</v>
      </c>
      <c r="C26" s="113">
        <v>60</v>
      </c>
      <c r="D26" s="114" t="s">
        <v>344</v>
      </c>
      <c r="F26" s="112">
        <v>24</v>
      </c>
      <c r="G26" s="114" t="s">
        <v>340</v>
      </c>
      <c r="H26" s="115" t="s">
        <v>324</v>
      </c>
      <c r="I26" s="117"/>
      <c r="J26" s="112" t="str">
        <f t="shared" si="0"/>
        <v>twentyfour</v>
      </c>
      <c r="K26" s="112" t="s">
        <v>456</v>
      </c>
    </row>
    <row r="27" spans="2:11" ht="18" x14ac:dyDescent="0.35">
      <c r="B27" s="112" t="s">
        <v>319</v>
      </c>
      <c r="C27" s="113">
        <v>70</v>
      </c>
      <c r="D27" s="114" t="s">
        <v>345</v>
      </c>
      <c r="F27" s="112">
        <v>25</v>
      </c>
      <c r="G27" s="114" t="s">
        <v>340</v>
      </c>
      <c r="H27" s="115" t="s">
        <v>325</v>
      </c>
      <c r="I27" s="117"/>
      <c r="J27" s="112" t="str">
        <f t="shared" si="0"/>
        <v>twentyfive</v>
      </c>
      <c r="K27" s="112" t="s">
        <v>457</v>
      </c>
    </row>
    <row r="28" spans="2:11" ht="18" x14ac:dyDescent="0.35">
      <c r="B28" s="112" t="s">
        <v>319</v>
      </c>
      <c r="C28" s="113">
        <v>80</v>
      </c>
      <c r="D28" s="114" t="s">
        <v>346</v>
      </c>
      <c r="F28" s="112">
        <v>26</v>
      </c>
      <c r="G28" s="114" t="s">
        <v>340</v>
      </c>
      <c r="H28" s="115" t="s">
        <v>326</v>
      </c>
      <c r="I28" s="117"/>
      <c r="J28" s="112" t="str">
        <f t="shared" si="0"/>
        <v>twentysix</v>
      </c>
      <c r="K28" s="112" t="s">
        <v>458</v>
      </c>
    </row>
    <row r="29" spans="2:11" ht="18" x14ac:dyDescent="0.35">
      <c r="B29" s="112" t="s">
        <v>319</v>
      </c>
      <c r="C29" s="113">
        <v>90</v>
      </c>
      <c r="D29" s="114" t="s">
        <v>347</v>
      </c>
      <c r="F29" s="112">
        <v>27</v>
      </c>
      <c r="G29" s="114" t="s">
        <v>340</v>
      </c>
      <c r="H29" s="115" t="s">
        <v>327</v>
      </c>
      <c r="I29" s="117"/>
      <c r="J29" s="112" t="str">
        <f t="shared" si="0"/>
        <v>twentyseven</v>
      </c>
      <c r="K29" s="112" t="s">
        <v>459</v>
      </c>
    </row>
    <row r="30" spans="2:11" ht="18" x14ac:dyDescent="0.35">
      <c r="B30" s="112" t="s">
        <v>319</v>
      </c>
      <c r="C30" s="113">
        <v>100</v>
      </c>
      <c r="D30" s="114" t="s">
        <v>348</v>
      </c>
      <c r="F30" s="112">
        <v>28</v>
      </c>
      <c r="G30" s="114" t="s">
        <v>340</v>
      </c>
      <c r="H30" s="115" t="s">
        <v>328</v>
      </c>
      <c r="I30" s="117"/>
      <c r="J30" s="112" t="str">
        <f t="shared" si="0"/>
        <v>twentyeight</v>
      </c>
      <c r="K30" s="112" t="s">
        <v>460</v>
      </c>
    </row>
    <row r="31" spans="2:11" ht="18"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BN83"/>
  <sheetViews>
    <sheetView tabSelected="1" topLeftCell="A9" zoomScale="60" zoomScaleNormal="60" workbookViewId="0">
      <pane xSplit="6" topLeftCell="G1" activePane="topRight" state="frozen"/>
      <selection pane="topRight" activeCell="M68" sqref="M68"/>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7265625" style="159" customWidth="1"/>
    <col min="9" max="9" width="65.453125" style="130" customWidth="1"/>
    <col min="10" max="11" width="39.7265625" style="159" customWidth="1"/>
    <col min="12" max="12" width="65.453125" style="130" customWidth="1"/>
    <col min="13" max="66" width="9.1796875" style="213"/>
    <col min="67" max="16384" width="9.1796875" style="130"/>
  </cols>
  <sheetData>
    <row r="1" spans="1:12" ht="18.5" thickBot="1" x14ac:dyDescent="0.4">
      <c r="A1" s="123" t="s">
        <v>17</v>
      </c>
      <c r="B1" s="124"/>
      <c r="C1" s="125" t="s">
        <v>18</v>
      </c>
      <c r="D1" s="126" t="s">
        <v>18</v>
      </c>
      <c r="E1" s="127" t="s">
        <v>19</v>
      </c>
      <c r="F1" s="128" t="s">
        <v>20</v>
      </c>
      <c r="G1" s="129" t="s">
        <v>21</v>
      </c>
      <c r="H1" s="129" t="s">
        <v>22</v>
      </c>
      <c r="I1" s="129" t="s">
        <v>23</v>
      </c>
      <c r="J1" s="129" t="s">
        <v>24</v>
      </c>
      <c r="K1" s="129" t="s">
        <v>25</v>
      </c>
      <c r="L1" s="129" t="s">
        <v>1241</v>
      </c>
    </row>
    <row r="2" spans="1:12" ht="18.5" thickBot="1" x14ac:dyDescent="0.4">
      <c r="A2" s="123" t="s">
        <v>2</v>
      </c>
      <c r="B2" s="124"/>
      <c r="C2" s="125" t="s">
        <v>26</v>
      </c>
      <c r="D2" s="131"/>
      <c r="E2" s="132"/>
      <c r="F2" s="133"/>
      <c r="G2" s="134">
        <v>1</v>
      </c>
      <c r="H2" s="134">
        <v>2</v>
      </c>
      <c r="I2" s="134">
        <v>3</v>
      </c>
      <c r="J2" s="134">
        <v>4</v>
      </c>
      <c r="K2" s="134">
        <v>5</v>
      </c>
      <c r="L2" s="134">
        <v>6</v>
      </c>
    </row>
    <row r="3" spans="1:12" ht="44.5" customHeight="1" x14ac:dyDescent="0.35">
      <c r="A3" s="123"/>
      <c r="B3" s="124"/>
      <c r="C3" s="135" t="s">
        <v>27</v>
      </c>
      <c r="D3" s="126" t="s">
        <v>27</v>
      </c>
      <c r="E3" s="127" t="s">
        <v>28</v>
      </c>
      <c r="F3" s="136" t="s">
        <v>29</v>
      </c>
      <c r="G3" s="137" t="s">
        <v>30</v>
      </c>
      <c r="H3" s="137" t="s">
        <v>30</v>
      </c>
      <c r="I3" s="137" t="s">
        <v>30</v>
      </c>
      <c r="J3" s="137" t="s">
        <v>30</v>
      </c>
      <c r="K3" s="137" t="s">
        <v>30</v>
      </c>
      <c r="L3" s="137" t="s">
        <v>30</v>
      </c>
    </row>
    <row r="4" spans="1:12" ht="18" x14ac:dyDescent="0.35">
      <c r="A4" s="124"/>
      <c r="B4" s="124"/>
      <c r="C4" s="138" t="s">
        <v>32</v>
      </c>
      <c r="D4" s="139" t="s">
        <v>33</v>
      </c>
      <c r="E4" s="140" t="s">
        <v>34</v>
      </c>
      <c r="F4" s="138" t="s">
        <v>35</v>
      </c>
      <c r="G4" s="208" t="s">
        <v>212</v>
      </c>
      <c r="H4" s="208" t="s">
        <v>212</v>
      </c>
      <c r="I4" s="208" t="s">
        <v>212</v>
      </c>
      <c r="J4" s="208" t="s">
        <v>212</v>
      </c>
      <c r="K4" s="208" t="s">
        <v>212</v>
      </c>
      <c r="L4" s="208" t="s">
        <v>212</v>
      </c>
    </row>
    <row r="5" spans="1:12" ht="18" x14ac:dyDescent="0.35">
      <c r="A5" s="124"/>
      <c r="B5" s="124"/>
      <c r="C5" s="138" t="s">
        <v>37</v>
      </c>
      <c r="D5" s="139" t="s">
        <v>38</v>
      </c>
      <c r="E5" s="140" t="s">
        <v>39</v>
      </c>
      <c r="F5" s="138"/>
      <c r="G5" s="141" t="b">
        <v>1</v>
      </c>
      <c r="H5" s="141" t="b">
        <v>1</v>
      </c>
      <c r="I5" s="141" t="b">
        <v>1</v>
      </c>
      <c r="J5" s="141" t="b">
        <v>1</v>
      </c>
      <c r="K5" s="141" t="b">
        <v>1</v>
      </c>
      <c r="L5" s="141" t="b">
        <v>1</v>
      </c>
    </row>
    <row r="6" spans="1:12" ht="18" x14ac:dyDescent="0.35">
      <c r="A6" s="124"/>
      <c r="B6" s="124"/>
      <c r="C6" s="138" t="s">
        <v>40</v>
      </c>
      <c r="D6" s="139" t="s">
        <v>41</v>
      </c>
      <c r="E6" s="140" t="s">
        <v>42</v>
      </c>
      <c r="F6" s="138"/>
      <c r="G6" s="141" t="b">
        <v>1</v>
      </c>
      <c r="H6" s="141" t="b">
        <v>1</v>
      </c>
      <c r="I6" s="141" t="b">
        <v>1</v>
      </c>
      <c r="J6" s="141" t="b">
        <v>1</v>
      </c>
      <c r="K6" s="141" t="b">
        <v>1</v>
      </c>
      <c r="L6" s="141" t="b">
        <v>1</v>
      </c>
    </row>
    <row r="7" spans="1:12" ht="18" x14ac:dyDescent="0.35">
      <c r="A7" s="124"/>
      <c r="B7" s="124"/>
      <c r="C7" s="138"/>
      <c r="D7" s="139"/>
      <c r="E7" s="140"/>
      <c r="F7" s="142"/>
      <c r="G7" s="141"/>
      <c r="H7" s="141"/>
      <c r="I7" s="141"/>
      <c r="J7" s="141"/>
      <c r="K7" s="141"/>
      <c r="L7" s="141"/>
    </row>
    <row r="8" spans="1:12" ht="30" customHeight="1" x14ac:dyDescent="0.35">
      <c r="A8" s="124"/>
      <c r="B8" s="124"/>
      <c r="C8" s="138"/>
      <c r="D8" s="139"/>
      <c r="E8" s="140"/>
      <c r="F8" s="143"/>
      <c r="G8" s="145"/>
      <c r="H8" s="145"/>
      <c r="I8" s="145"/>
      <c r="J8" s="145"/>
      <c r="K8" s="145"/>
      <c r="L8" s="145"/>
    </row>
    <row r="9" spans="1:12" ht="144" customHeight="1" x14ac:dyDescent="0.35">
      <c r="A9" s="124"/>
      <c r="B9" s="124"/>
      <c r="C9" s="138" t="s">
        <v>43</v>
      </c>
      <c r="D9" s="139" t="s">
        <v>44</v>
      </c>
      <c r="E9" s="144" t="s">
        <v>45</v>
      </c>
      <c r="F9" s="138" t="s">
        <v>46</v>
      </c>
      <c r="G9" s="145"/>
      <c r="H9" s="145"/>
      <c r="I9" s="145"/>
      <c r="J9" s="145"/>
      <c r="K9" s="145"/>
      <c r="L9" s="145"/>
    </row>
    <row r="10" spans="1:12" ht="31.5" customHeight="1" x14ac:dyDescent="0.35">
      <c r="A10" s="124"/>
      <c r="B10" s="124"/>
      <c r="C10" s="138" t="s">
        <v>47</v>
      </c>
      <c r="D10" s="139" t="s">
        <v>48</v>
      </c>
      <c r="E10" s="140" t="s">
        <v>49</v>
      </c>
      <c r="F10" s="142" t="s">
        <v>50</v>
      </c>
      <c r="G10" s="146"/>
      <c r="H10" s="146"/>
      <c r="I10" s="146"/>
      <c r="J10" s="146"/>
      <c r="K10" s="146"/>
      <c r="L10" s="146"/>
    </row>
    <row r="11" spans="1:12" ht="62.25" customHeight="1" x14ac:dyDescent="0.35">
      <c r="A11" s="124"/>
      <c r="B11" s="124"/>
      <c r="C11" s="138" t="s">
        <v>51</v>
      </c>
      <c r="D11" s="139" t="s">
        <v>52</v>
      </c>
      <c r="E11" s="140" t="s">
        <v>53</v>
      </c>
      <c r="F11" s="138" t="s">
        <v>54</v>
      </c>
      <c r="G11" s="145"/>
      <c r="H11" s="145"/>
      <c r="I11" s="145"/>
      <c r="J11" s="145"/>
      <c r="K11" s="145"/>
      <c r="L11" s="145"/>
    </row>
    <row r="12" spans="1:12" ht="18.5" thickBot="1" x14ac:dyDescent="0.4">
      <c r="A12" s="124"/>
      <c r="B12" s="124"/>
      <c r="C12" s="147" t="s">
        <v>55</v>
      </c>
      <c r="D12" s="148" t="s">
        <v>56</v>
      </c>
      <c r="E12" s="149" t="s">
        <v>57</v>
      </c>
      <c r="F12" s="147" t="s">
        <v>58</v>
      </c>
      <c r="G12" s="150"/>
      <c r="H12" s="150"/>
      <c r="I12" s="150"/>
      <c r="J12" s="150"/>
      <c r="K12" s="150"/>
      <c r="L12" s="150"/>
    </row>
    <row r="13" spans="1:12" ht="31.5" customHeight="1" thickBot="1" x14ac:dyDescent="0.4">
      <c r="A13" s="124"/>
      <c r="B13" s="124"/>
      <c r="C13" s="151"/>
      <c r="D13" s="151"/>
      <c r="E13" s="151"/>
      <c r="F13" s="151"/>
      <c r="G13" s="152"/>
      <c r="H13" s="152"/>
      <c r="I13" s="152"/>
      <c r="J13" s="152"/>
      <c r="K13" s="152"/>
      <c r="L13" s="152"/>
    </row>
    <row r="14" spans="1:12" ht="18.5" thickBot="1" x14ac:dyDescent="0.4">
      <c r="A14" s="153" t="s">
        <v>59</v>
      </c>
      <c r="B14" s="154" t="s">
        <v>60</v>
      </c>
      <c r="C14" s="155" t="s">
        <v>61</v>
      </c>
      <c r="D14" s="156" t="s">
        <v>62</v>
      </c>
      <c r="E14" s="157" t="s">
        <v>63</v>
      </c>
      <c r="F14" s="157" t="s">
        <v>20</v>
      </c>
      <c r="G14" s="129" t="s">
        <v>21</v>
      </c>
      <c r="H14" s="129" t="s">
        <v>22</v>
      </c>
      <c r="I14" s="129" t="s">
        <v>23</v>
      </c>
      <c r="J14" s="129" t="s">
        <v>24</v>
      </c>
      <c r="K14" s="129" t="s">
        <v>25</v>
      </c>
      <c r="L14" s="129" t="s">
        <v>1241</v>
      </c>
    </row>
    <row r="15" spans="1:12" x14ac:dyDescent="0.35">
      <c r="A15" s="190" t="s">
        <v>64</v>
      </c>
      <c r="B15" s="190" t="s">
        <v>65</v>
      </c>
      <c r="C15" s="190" t="s">
        <v>66</v>
      </c>
      <c r="D15" s="158" t="str">
        <f>SUBSTITUTE(A15," ","") &amp; "_" &amp; SUBSTITUTE(IF(B15="N/A","",B15&amp; "_")," ","")  &amp; SUBSTITUTE(SUBSTITUTE(C15," ",""),"/","")</f>
        <v>Login_Username</v>
      </c>
      <c r="E15" s="158" t="str">
        <f>D15&amp;2</f>
        <v>Login_Username2</v>
      </c>
      <c r="F15" s="171" t="s">
        <v>67</v>
      </c>
      <c r="G15" s="174">
        <v>90002195</v>
      </c>
      <c r="H15" s="174">
        <v>90002195</v>
      </c>
      <c r="I15" s="174">
        <v>90002195</v>
      </c>
      <c r="J15" s="174">
        <v>90002195</v>
      </c>
      <c r="K15" s="174">
        <v>90002195</v>
      </c>
      <c r="L15" s="174">
        <v>90002195</v>
      </c>
    </row>
    <row r="16" spans="1:12" x14ac:dyDescent="0.35">
      <c r="A16" s="190" t="s">
        <v>64</v>
      </c>
      <c r="B16" s="190" t="s">
        <v>65</v>
      </c>
      <c r="C16" s="190" t="s">
        <v>68</v>
      </c>
      <c r="D16" s="158" t="str">
        <f>SUBSTITUTE(A16," ","") &amp; "_" &amp; SUBSTITUTE(IF(B16="N/A","",B16&amp; "_")," ","")  &amp; SUBSTITUTE(SUBSTITUTE(C16," ",""),"/","")</f>
        <v>Login_Password</v>
      </c>
      <c r="E16" s="158" t="str">
        <f>D16&amp;2</f>
        <v>Login_Password2</v>
      </c>
      <c r="F16" s="171" t="s">
        <v>69</v>
      </c>
      <c r="G16" s="175" t="s">
        <v>1245</v>
      </c>
      <c r="H16" s="175" t="s">
        <v>1245</v>
      </c>
      <c r="I16" s="175" t="s">
        <v>1245</v>
      </c>
      <c r="J16" s="175" t="s">
        <v>1245</v>
      </c>
      <c r="K16" s="175" t="s">
        <v>1245</v>
      </c>
      <c r="L16" s="175" t="s">
        <v>1245</v>
      </c>
    </row>
    <row r="17" spans="1:66" ht="16.5" customHeight="1" x14ac:dyDescent="0.35">
      <c r="A17" s="190" t="s">
        <v>70</v>
      </c>
      <c r="B17" s="190" t="s">
        <v>65</v>
      </c>
      <c r="C17" s="199" t="s">
        <v>70</v>
      </c>
      <c r="D17" s="203" t="str">
        <f>SUBSTITUTE(A17," ","") &amp; "_" &amp; SUBSTITUTE(IF(B17="N/A","",B17&amp; "_")," ","")  &amp; SUBSTITUTE(SUBSTITUTE(C17," ",""),"/","")</f>
        <v>SupervisoryOrganisation_SupervisoryOrganisation</v>
      </c>
      <c r="E17" s="203" t="str">
        <f>D17&amp;2</f>
        <v>SupervisoryOrganisation_SupervisoryOrganisation2</v>
      </c>
      <c r="F17" s="206"/>
      <c r="G17" s="207" t="s">
        <v>1249</v>
      </c>
      <c r="H17" s="207" t="s">
        <v>1249</v>
      </c>
      <c r="I17" s="207" t="s">
        <v>1249</v>
      </c>
      <c r="J17" s="207" t="s">
        <v>1249</v>
      </c>
      <c r="K17" s="207" t="s">
        <v>1249</v>
      </c>
      <c r="L17" s="207" t="s">
        <v>1249</v>
      </c>
    </row>
    <row r="18" spans="1:66" ht="19" customHeight="1" x14ac:dyDescent="0.35">
      <c r="A18" s="190" t="s">
        <v>72</v>
      </c>
      <c r="B18" s="190" t="s">
        <v>65</v>
      </c>
      <c r="C18" s="190" t="s">
        <v>73</v>
      </c>
      <c r="D18" s="158" t="str">
        <f>SUBSTITUTE(A18," ","") &amp; "_" &amp; SUBSTITUTE(IF(B18="N/A","",B18&amp; "_")," ","")  &amp; SUBSTITUTE(SUBSTITUTE(C18," ",""),"/","")</f>
        <v>LegalNameInformation_Country</v>
      </c>
      <c r="E18" s="158" t="str">
        <f>D18&amp;2</f>
        <v>LegalNameInformation_Country2</v>
      </c>
      <c r="F18" s="171" t="s">
        <v>75</v>
      </c>
      <c r="G18" s="165" t="s">
        <v>214</v>
      </c>
      <c r="H18" s="165" t="s">
        <v>214</v>
      </c>
      <c r="I18" s="165" t="s">
        <v>214</v>
      </c>
      <c r="J18" s="165" t="s">
        <v>214</v>
      </c>
      <c r="K18" s="165" t="s">
        <v>214</v>
      </c>
      <c r="L18" s="165" t="s">
        <v>214</v>
      </c>
    </row>
    <row r="19" spans="1:66" x14ac:dyDescent="0.35">
      <c r="A19" s="190" t="s">
        <v>72</v>
      </c>
      <c r="B19" s="190" t="s">
        <v>65</v>
      </c>
      <c r="C19" s="179" t="s">
        <v>76</v>
      </c>
      <c r="D19" s="158" t="str">
        <f>SUBSTITUTE(A19," ","") &amp; "_" &amp; SUBSTITUTE(IF(B19="N/A","",B19&amp; "_")," ","")  &amp; SUBSTITUTE(SUBSTITUTE(C19," ",""),"/","")</f>
        <v>LegalNameInformation_GivenName</v>
      </c>
      <c r="E19" s="158" t="str">
        <f>D19&amp;2</f>
        <v>LegalNameInformation_GivenName2</v>
      </c>
      <c r="F19" s="171" t="s">
        <v>77</v>
      </c>
      <c r="G19" s="196" t="s">
        <v>1260</v>
      </c>
      <c r="H19" s="196" t="s">
        <v>1261</v>
      </c>
      <c r="I19" s="196" t="s">
        <v>1262</v>
      </c>
      <c r="J19" s="196" t="s">
        <v>1263</v>
      </c>
      <c r="K19" s="196" t="s">
        <v>1264</v>
      </c>
      <c r="L19" s="196" t="s">
        <v>1265</v>
      </c>
    </row>
    <row r="20" spans="1:66" x14ac:dyDescent="0.35">
      <c r="A20" s="190" t="s">
        <v>72</v>
      </c>
      <c r="B20" s="190" t="s">
        <v>65</v>
      </c>
      <c r="C20" s="179" t="s">
        <v>1176</v>
      </c>
      <c r="D20" s="158" t="str">
        <f t="shared" ref="D20:D83" si="0">SUBSTITUTE(A20," ","") &amp; "_" &amp; SUBSTITUTE(IF(B20="N/A","",B20&amp; "_")," ","")  &amp; SUBSTITUTE(SUBSTITUTE(C20," ",""),"/","")</f>
        <v>LegalNameInformation_FamilyName</v>
      </c>
      <c r="E20" s="158" t="str">
        <f t="shared" ref="E20:E83" si="1">D20&amp;2</f>
        <v>LegalNameInformation_FamilyName2</v>
      </c>
      <c r="F20" s="171" t="s">
        <v>77</v>
      </c>
      <c r="G20" s="197" t="s">
        <v>1254</v>
      </c>
      <c r="H20" s="197" t="s">
        <v>1255</v>
      </c>
      <c r="I20" s="197" t="s">
        <v>1256</v>
      </c>
      <c r="J20" s="197" t="s">
        <v>1257</v>
      </c>
      <c r="K20" s="197" t="s">
        <v>1258</v>
      </c>
      <c r="L20" s="197" t="s">
        <v>1259</v>
      </c>
    </row>
    <row r="21" spans="1:66" x14ac:dyDescent="0.35">
      <c r="A21" s="190" t="s">
        <v>78</v>
      </c>
      <c r="B21" s="190" t="s">
        <v>79</v>
      </c>
      <c r="C21" s="190" t="s">
        <v>80</v>
      </c>
      <c r="D21" s="158" t="str">
        <f t="shared" si="0"/>
        <v>ContactInformation_Phone_PhoneNumber</v>
      </c>
      <c r="E21" s="158" t="str">
        <f t="shared" si="1"/>
        <v>ContactInformation_Phone_PhoneNumber2</v>
      </c>
      <c r="F21" s="171"/>
      <c r="G21" s="166" t="s">
        <v>1202</v>
      </c>
      <c r="H21" s="166" t="s">
        <v>1202</v>
      </c>
      <c r="I21" s="166" t="s">
        <v>1242</v>
      </c>
      <c r="J21" s="166" t="s">
        <v>1202</v>
      </c>
      <c r="K21" s="166" t="s">
        <v>1202</v>
      </c>
      <c r="L21" s="166" t="s">
        <v>1242</v>
      </c>
    </row>
    <row r="22" spans="1:66" x14ac:dyDescent="0.35">
      <c r="A22" s="190" t="s">
        <v>78</v>
      </c>
      <c r="B22" s="190" t="s">
        <v>79</v>
      </c>
      <c r="C22" s="190" t="s">
        <v>81</v>
      </c>
      <c r="D22" s="158" t="str">
        <f t="shared" si="0"/>
        <v>ContactInformation_Phone_PhoneDevice</v>
      </c>
      <c r="E22" s="158" t="str">
        <f t="shared" si="1"/>
        <v>ContactInformation_Phone_PhoneDevice2</v>
      </c>
      <c r="F22" s="171"/>
      <c r="G22" s="166" t="s">
        <v>216</v>
      </c>
      <c r="H22" s="166" t="s">
        <v>216</v>
      </c>
      <c r="I22" s="166" t="s">
        <v>216</v>
      </c>
      <c r="J22" s="166" t="s">
        <v>216</v>
      </c>
      <c r="K22" s="166" t="s">
        <v>216</v>
      </c>
      <c r="L22" s="166" t="s">
        <v>216</v>
      </c>
    </row>
    <row r="23" spans="1:66" x14ac:dyDescent="0.35">
      <c r="A23" s="190" t="s">
        <v>78</v>
      </c>
      <c r="B23" s="190" t="s">
        <v>79</v>
      </c>
      <c r="C23" s="190" t="s">
        <v>84</v>
      </c>
      <c r="D23" s="158" t="str">
        <f t="shared" si="0"/>
        <v>ContactInformation_Phone_Type</v>
      </c>
      <c r="E23" s="158" t="str">
        <f t="shared" si="1"/>
        <v>ContactInformation_Phone_Type2</v>
      </c>
      <c r="F23" s="171"/>
      <c r="G23" s="166" t="s">
        <v>86</v>
      </c>
      <c r="H23" s="166" t="s">
        <v>86</v>
      </c>
      <c r="I23" s="166" t="s">
        <v>86</v>
      </c>
      <c r="J23" s="166" t="s">
        <v>86</v>
      </c>
      <c r="K23" s="166" t="s">
        <v>86</v>
      </c>
      <c r="L23" s="166" t="s">
        <v>86</v>
      </c>
    </row>
    <row r="24" spans="1:66" s="160" customFormat="1" x14ac:dyDescent="0.35">
      <c r="A24" s="190" t="s">
        <v>78</v>
      </c>
      <c r="B24" s="190" t="s">
        <v>87</v>
      </c>
      <c r="C24" s="199" t="s">
        <v>88</v>
      </c>
      <c r="D24" s="158" t="str">
        <f t="shared" si="0"/>
        <v>ContactInformation_Address_EffectiveDate</v>
      </c>
      <c r="E24" s="158" t="str">
        <f t="shared" si="1"/>
        <v>ContactInformation_Address_EffectiveDate2</v>
      </c>
      <c r="F24" s="171"/>
      <c r="G24" s="198">
        <f t="shared" ref="G24:L24" ca="1" si="2">TODAY()-61</f>
        <v>45632</v>
      </c>
      <c r="H24" s="198">
        <f t="shared" ca="1" si="2"/>
        <v>45632</v>
      </c>
      <c r="I24" s="198">
        <f t="shared" ca="1" si="2"/>
        <v>45632</v>
      </c>
      <c r="J24" s="198">
        <f t="shared" ca="1" si="2"/>
        <v>45632</v>
      </c>
      <c r="K24" s="198">
        <f t="shared" ca="1" si="2"/>
        <v>45632</v>
      </c>
      <c r="L24" s="198">
        <f t="shared" ca="1" si="2"/>
        <v>45632</v>
      </c>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row>
    <row r="25" spans="1:66" x14ac:dyDescent="0.35">
      <c r="A25" s="190" t="s">
        <v>78</v>
      </c>
      <c r="B25" s="190" t="s">
        <v>87</v>
      </c>
      <c r="C25" s="190" t="s">
        <v>73</v>
      </c>
      <c r="D25" s="158" t="str">
        <f t="shared" si="0"/>
        <v>ContactInformation_Address_Country</v>
      </c>
      <c r="E25" s="158" t="str">
        <f t="shared" si="1"/>
        <v>ContactInformation_Address_Country2</v>
      </c>
      <c r="F25" s="171"/>
      <c r="G25" s="165" t="s">
        <v>214</v>
      </c>
      <c r="H25" s="165" t="s">
        <v>214</v>
      </c>
      <c r="I25" s="165" t="s">
        <v>214</v>
      </c>
      <c r="J25" s="165" t="s">
        <v>214</v>
      </c>
      <c r="K25" s="165" t="s">
        <v>214</v>
      </c>
      <c r="L25" s="165" t="s">
        <v>214</v>
      </c>
    </row>
    <row r="26" spans="1:66" x14ac:dyDescent="0.35">
      <c r="A26" s="190" t="s">
        <v>78</v>
      </c>
      <c r="B26" s="190" t="s">
        <v>87</v>
      </c>
      <c r="C26" s="190" t="s">
        <v>1230</v>
      </c>
      <c r="D26" s="158" t="str">
        <f t="shared" si="0"/>
        <v>ContactInformation_Address_StreetName</v>
      </c>
      <c r="E26" s="158" t="str">
        <f t="shared" si="1"/>
        <v>ContactInformation_Address_StreetName2</v>
      </c>
      <c r="F26" s="171"/>
      <c r="G26" s="165" t="s">
        <v>1182</v>
      </c>
      <c r="H26" s="165" t="s">
        <v>1182</v>
      </c>
      <c r="I26" s="165" t="s">
        <v>1182</v>
      </c>
      <c r="J26" s="165" t="s">
        <v>1182</v>
      </c>
      <c r="K26" s="165" t="s">
        <v>1182</v>
      </c>
      <c r="L26" s="165" t="s">
        <v>1182</v>
      </c>
    </row>
    <row r="27" spans="1:66" x14ac:dyDescent="0.35">
      <c r="A27" s="190" t="s">
        <v>78</v>
      </c>
      <c r="B27" s="190" t="s">
        <v>87</v>
      </c>
      <c r="C27" s="190" t="s">
        <v>1203</v>
      </c>
      <c r="D27" s="158" t="str">
        <f t="shared" si="0"/>
        <v>ContactInformation_Address_HouseNumber</v>
      </c>
      <c r="E27" s="158" t="str">
        <f t="shared" si="1"/>
        <v>ContactInformation_Address_HouseNumber2</v>
      </c>
      <c r="F27" s="171"/>
      <c r="G27" s="165">
        <v>1</v>
      </c>
      <c r="H27" s="165">
        <v>1</v>
      </c>
      <c r="I27" s="165">
        <v>1</v>
      </c>
      <c r="J27" s="165">
        <v>1</v>
      </c>
      <c r="K27" s="165">
        <v>1</v>
      </c>
      <c r="L27" s="165">
        <v>1</v>
      </c>
    </row>
    <row r="28" spans="1:66" s="160" customFormat="1" x14ac:dyDescent="0.35">
      <c r="A28" s="190" t="s">
        <v>78</v>
      </c>
      <c r="B28" s="190" t="s">
        <v>87</v>
      </c>
      <c r="C28" s="190" t="s">
        <v>1204</v>
      </c>
      <c r="D28" s="158" t="str">
        <f t="shared" si="0"/>
        <v>ContactInformation_Address_Locality</v>
      </c>
      <c r="E28" s="158" t="str">
        <f t="shared" si="1"/>
        <v>ContactInformation_Address_Locality2</v>
      </c>
      <c r="F28" s="171"/>
      <c r="G28" s="166" t="s">
        <v>1206</v>
      </c>
      <c r="H28" s="166" t="s">
        <v>1206</v>
      </c>
      <c r="I28" s="166" t="s">
        <v>1206</v>
      </c>
      <c r="J28" s="166" t="s">
        <v>1206</v>
      </c>
      <c r="K28" s="166" t="s">
        <v>1206</v>
      </c>
      <c r="L28" s="166" t="s">
        <v>1206</v>
      </c>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row>
    <row r="29" spans="1:66" s="160" customFormat="1" x14ac:dyDescent="0.35">
      <c r="A29" s="190" t="s">
        <v>78</v>
      </c>
      <c r="B29" s="190" t="s">
        <v>87</v>
      </c>
      <c r="C29" s="190" t="s">
        <v>89</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row>
    <row r="30" spans="1:66" s="160" customFormat="1" x14ac:dyDescent="0.35">
      <c r="A30" s="190" t="s">
        <v>78</v>
      </c>
      <c r="B30" s="190" t="s">
        <v>87</v>
      </c>
      <c r="C30" s="190" t="s">
        <v>90</v>
      </c>
      <c r="D30" s="158" t="str">
        <f t="shared" si="0"/>
        <v>ContactInformation_Address_City</v>
      </c>
      <c r="E30" s="158" t="str">
        <f t="shared" si="1"/>
        <v>ContactInformation_Address_City2</v>
      </c>
      <c r="F30" s="171"/>
      <c r="G30" s="166" t="s">
        <v>1206</v>
      </c>
      <c r="H30" s="166" t="s">
        <v>1206</v>
      </c>
      <c r="I30" s="166" t="s">
        <v>1206</v>
      </c>
      <c r="J30" s="166" t="s">
        <v>1206</v>
      </c>
      <c r="K30" s="166" t="s">
        <v>1206</v>
      </c>
      <c r="L30" s="166" t="s">
        <v>1206</v>
      </c>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row>
    <row r="31" spans="1:66" s="160" customFormat="1" x14ac:dyDescent="0.35">
      <c r="A31" s="190" t="s">
        <v>78</v>
      </c>
      <c r="B31" s="190" t="s">
        <v>87</v>
      </c>
      <c r="C31" s="190" t="s">
        <v>1205</v>
      </c>
      <c r="D31" s="158" t="str">
        <f t="shared" si="0"/>
        <v>ContactInformation_Address_Region</v>
      </c>
      <c r="E31" s="158" t="str">
        <f t="shared" si="1"/>
        <v>ContactInformation_Address_Region2</v>
      </c>
      <c r="F31" s="171"/>
      <c r="G31" s="166" t="s">
        <v>1232</v>
      </c>
      <c r="H31" s="166" t="s">
        <v>1232</v>
      </c>
      <c r="I31" s="166" t="s">
        <v>1232</v>
      </c>
      <c r="J31" s="166" t="s">
        <v>1232</v>
      </c>
      <c r="K31" s="166" t="s">
        <v>1232</v>
      </c>
      <c r="L31" s="166" t="s">
        <v>1232</v>
      </c>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row>
    <row r="32" spans="1:66" x14ac:dyDescent="0.35">
      <c r="A32" s="190" t="s">
        <v>78</v>
      </c>
      <c r="B32" s="190" t="s">
        <v>87</v>
      </c>
      <c r="C32" s="190" t="s">
        <v>84</v>
      </c>
      <c r="D32" s="158" t="str">
        <f t="shared" si="0"/>
        <v>ContactInformation_Address_Type</v>
      </c>
      <c r="E32" s="158" t="str">
        <f t="shared" si="1"/>
        <v>ContactInformation_Address_Type2</v>
      </c>
      <c r="F32" s="171"/>
      <c r="G32" s="166" t="s">
        <v>86</v>
      </c>
      <c r="H32" s="166" t="s">
        <v>86</v>
      </c>
      <c r="I32" s="166" t="s">
        <v>86</v>
      </c>
      <c r="J32" s="166" t="s">
        <v>86</v>
      </c>
      <c r="K32" s="166" t="s">
        <v>86</v>
      </c>
      <c r="L32" s="166" t="s">
        <v>86</v>
      </c>
    </row>
    <row r="33" spans="1:66" x14ac:dyDescent="0.35">
      <c r="A33" s="190" t="s">
        <v>78</v>
      </c>
      <c r="B33" s="190" t="s">
        <v>87</v>
      </c>
      <c r="C33" s="190" t="s">
        <v>94</v>
      </c>
      <c r="D33" s="158" t="str">
        <f t="shared" si="0"/>
        <v>ContactInformation_Address_UseFor</v>
      </c>
      <c r="E33" s="158" t="str">
        <f t="shared" si="1"/>
        <v>ContactInformation_Address_UseFor2</v>
      </c>
      <c r="F33" s="171" t="s">
        <v>95</v>
      </c>
      <c r="G33" s="167" t="s">
        <v>96</v>
      </c>
      <c r="H33" s="167" t="s">
        <v>96</v>
      </c>
      <c r="I33" s="167" t="s">
        <v>96</v>
      </c>
      <c r="J33" s="167" t="s">
        <v>96</v>
      </c>
      <c r="K33" s="167" t="s">
        <v>96</v>
      </c>
      <c r="L33" s="167" t="s">
        <v>96</v>
      </c>
    </row>
    <row r="34" spans="1:66" x14ac:dyDescent="0.35">
      <c r="A34" s="190" t="s">
        <v>78</v>
      </c>
      <c r="B34" s="190" t="s">
        <v>97</v>
      </c>
      <c r="C34" s="190" t="s">
        <v>98</v>
      </c>
      <c r="D34" s="158" t="str">
        <f t="shared" si="0"/>
        <v>ContactInformation_Email_EmailAddress</v>
      </c>
      <c r="E34" s="158" t="str">
        <f t="shared" si="1"/>
        <v>ContactInformation_Email_EmailAddress2</v>
      </c>
      <c r="F34" s="171"/>
      <c r="G34" s="168" t="s">
        <v>1244</v>
      </c>
      <c r="H34" s="168" t="s">
        <v>1244</v>
      </c>
      <c r="I34" s="168" t="s">
        <v>1244</v>
      </c>
      <c r="J34" s="168" t="s">
        <v>1244</v>
      </c>
      <c r="K34" s="168" t="s">
        <v>1244</v>
      </c>
      <c r="L34" s="168" t="s">
        <v>1244</v>
      </c>
    </row>
    <row r="35" spans="1:66" x14ac:dyDescent="0.35">
      <c r="A35" s="190" t="s">
        <v>78</v>
      </c>
      <c r="B35" s="190" t="s">
        <v>97</v>
      </c>
      <c r="C35" s="190" t="s">
        <v>84</v>
      </c>
      <c r="D35" s="158" t="str">
        <f t="shared" si="0"/>
        <v>ContactInformation_Email_Type</v>
      </c>
      <c r="E35" s="158" t="str">
        <f t="shared" si="1"/>
        <v>ContactInformation_Email_Type2</v>
      </c>
      <c r="F35" s="171"/>
      <c r="G35" s="166" t="s">
        <v>86</v>
      </c>
      <c r="H35" s="166" t="s">
        <v>86</v>
      </c>
      <c r="I35" s="166" t="s">
        <v>86</v>
      </c>
      <c r="J35" s="166" t="s">
        <v>86</v>
      </c>
      <c r="K35" s="166" t="s">
        <v>86</v>
      </c>
      <c r="L35" s="166" t="s">
        <v>86</v>
      </c>
    </row>
    <row r="36" spans="1:66" s="160" customFormat="1" x14ac:dyDescent="0.35">
      <c r="A36" s="190" t="s">
        <v>100</v>
      </c>
      <c r="B36" s="190" t="s">
        <v>65</v>
      </c>
      <c r="C36" s="199" t="s">
        <v>101</v>
      </c>
      <c r="D36" s="200" t="str">
        <f t="shared" si="0"/>
        <v>JobDetails_HireDate</v>
      </c>
      <c r="E36" s="200" t="str">
        <f t="shared" si="1"/>
        <v>JobDetails_HireDate2</v>
      </c>
      <c r="F36" s="201"/>
      <c r="G36" s="198">
        <f ca="1">G24</f>
        <v>45632</v>
      </c>
      <c r="H36" s="198">
        <f ca="1">H24</f>
        <v>45632</v>
      </c>
      <c r="I36" s="198">
        <f t="shared" ref="I36" ca="1" si="3">I24</f>
        <v>45632</v>
      </c>
      <c r="J36" s="198">
        <f ca="1">J24</f>
        <v>45632</v>
      </c>
      <c r="K36" s="198">
        <f ca="1">K24</f>
        <v>45632</v>
      </c>
      <c r="L36" s="198">
        <f t="shared" ref="L36" ca="1" si="4">L24</f>
        <v>45632</v>
      </c>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row>
    <row r="37" spans="1:66" x14ac:dyDescent="0.35">
      <c r="A37" s="190" t="s">
        <v>100</v>
      </c>
      <c r="B37" s="190" t="s">
        <v>65</v>
      </c>
      <c r="C37" s="190" t="s">
        <v>103</v>
      </c>
      <c r="D37" s="158" t="str">
        <f t="shared" si="0"/>
        <v>JobDetails_Reason</v>
      </c>
      <c r="E37" s="158" t="str">
        <f t="shared" si="1"/>
        <v>JobDetails_Reason2</v>
      </c>
      <c r="F37" s="171"/>
      <c r="G37" s="166" t="s">
        <v>30</v>
      </c>
      <c r="H37" s="166" t="s">
        <v>30</v>
      </c>
      <c r="I37" s="166" t="s">
        <v>30</v>
      </c>
      <c r="J37" s="166" t="s">
        <v>30</v>
      </c>
      <c r="K37" s="166" t="s">
        <v>30</v>
      </c>
      <c r="L37" s="166" t="s">
        <v>30</v>
      </c>
    </row>
    <row r="38" spans="1:66" ht="20.149999999999999" customHeight="1" x14ac:dyDescent="0.35">
      <c r="A38" s="190" t="s">
        <v>100</v>
      </c>
      <c r="B38" s="190" t="s">
        <v>65</v>
      </c>
      <c r="C38" s="179" t="s">
        <v>105</v>
      </c>
      <c r="D38" s="180" t="str">
        <f t="shared" si="0"/>
        <v>JobDetails_Position</v>
      </c>
      <c r="E38" s="180" t="str">
        <f t="shared" si="1"/>
        <v>JobDetails_Position2</v>
      </c>
      <c r="F38" s="181" t="s">
        <v>107</v>
      </c>
      <c r="G38" s="196" t="s">
        <v>1246</v>
      </c>
      <c r="H38" s="196" t="s">
        <v>36</v>
      </c>
      <c r="I38" s="196" t="s">
        <v>1247</v>
      </c>
      <c r="J38" s="196" t="s">
        <v>1246</v>
      </c>
      <c r="K38" s="196" t="s">
        <v>36</v>
      </c>
      <c r="L38" s="196" t="s">
        <v>1247</v>
      </c>
    </row>
    <row r="39" spans="1:66" x14ac:dyDescent="0.35">
      <c r="A39" s="190" t="s">
        <v>100</v>
      </c>
      <c r="B39" s="190" t="s">
        <v>65</v>
      </c>
      <c r="C39" s="190" t="s">
        <v>108</v>
      </c>
      <c r="D39" s="180" t="str">
        <f t="shared" si="0"/>
        <v>JobDetails_EmployeeType</v>
      </c>
      <c r="E39" s="180" t="str">
        <f t="shared" si="1"/>
        <v>JobDetails_EmployeeType2</v>
      </c>
      <c r="F39" s="181" t="s">
        <v>110</v>
      </c>
      <c r="G39" s="182" t="s">
        <v>112</v>
      </c>
      <c r="H39" s="182" t="s">
        <v>112</v>
      </c>
      <c r="I39" s="182" t="s">
        <v>112</v>
      </c>
      <c r="J39" s="182" t="s">
        <v>112</v>
      </c>
      <c r="K39" s="182" t="s">
        <v>112</v>
      </c>
      <c r="L39" s="182" t="s">
        <v>112</v>
      </c>
    </row>
    <row r="40" spans="1:66" x14ac:dyDescent="0.35">
      <c r="A40" s="190" t="s">
        <v>100</v>
      </c>
      <c r="B40" s="190" t="s">
        <v>65</v>
      </c>
      <c r="C40" s="190" t="s">
        <v>113</v>
      </c>
      <c r="D40" s="180" t="str">
        <f t="shared" si="0"/>
        <v>JobDetails_JobProfile</v>
      </c>
      <c r="E40" s="180" t="str">
        <f t="shared" si="1"/>
        <v>JobDetails_JobProfile2</v>
      </c>
      <c r="F40" s="181"/>
      <c r="G40" s="182" t="s">
        <v>1207</v>
      </c>
      <c r="H40" s="182" t="s">
        <v>1207</v>
      </c>
      <c r="I40" s="182" t="s">
        <v>1207</v>
      </c>
      <c r="J40" s="182" t="s">
        <v>1207</v>
      </c>
      <c r="K40" s="182" t="s">
        <v>1207</v>
      </c>
      <c r="L40" s="182" t="s">
        <v>1207</v>
      </c>
    </row>
    <row r="41" spans="1:66" x14ac:dyDescent="0.35">
      <c r="A41" s="190" t="s">
        <v>100</v>
      </c>
      <c r="B41" s="190" t="s">
        <v>65</v>
      </c>
      <c r="C41" s="190" t="s">
        <v>120</v>
      </c>
      <c r="D41" s="180" t="str">
        <f t="shared" si="0"/>
        <v>JobDetails_TimeType</v>
      </c>
      <c r="E41" s="180" t="str">
        <f t="shared" si="1"/>
        <v>JobDetails_TimeType2</v>
      </c>
      <c r="F41" s="181"/>
      <c r="G41" s="182" t="s">
        <v>1250</v>
      </c>
      <c r="H41" s="182" t="s">
        <v>1250</v>
      </c>
      <c r="I41" s="182" t="s">
        <v>1250</v>
      </c>
      <c r="J41" s="182" t="s">
        <v>1250</v>
      </c>
      <c r="K41" s="182" t="s">
        <v>1250</v>
      </c>
      <c r="L41" s="182" t="s">
        <v>1250</v>
      </c>
    </row>
    <row r="42" spans="1:66" x14ac:dyDescent="0.35">
      <c r="A42" s="190" t="s">
        <v>100</v>
      </c>
      <c r="B42" s="190" t="s">
        <v>65</v>
      </c>
      <c r="C42" s="190" t="s">
        <v>124</v>
      </c>
      <c r="D42" s="158" t="str">
        <f t="shared" si="0"/>
        <v>JobDetails_Location</v>
      </c>
      <c r="E42" s="158" t="str">
        <f t="shared" si="1"/>
        <v>JobDetails_Location2</v>
      </c>
      <c r="F42" s="171"/>
      <c r="G42" s="188" t="s">
        <v>1248</v>
      </c>
      <c r="H42" s="188" t="s">
        <v>1248</v>
      </c>
      <c r="I42" s="188" t="s">
        <v>1248</v>
      </c>
      <c r="J42" s="188" t="s">
        <v>1248</v>
      </c>
      <c r="K42" s="188" t="s">
        <v>1248</v>
      </c>
      <c r="L42" s="188" t="s">
        <v>1248</v>
      </c>
    </row>
    <row r="43" spans="1:66" s="164" customFormat="1" x14ac:dyDescent="0.35">
      <c r="A43" s="190" t="s">
        <v>100</v>
      </c>
      <c r="B43" s="190" t="s">
        <v>65</v>
      </c>
      <c r="C43" s="190" t="s">
        <v>1177</v>
      </c>
      <c r="D43" s="158" t="str">
        <f t="shared" si="0"/>
        <v>JobDetails_PayRateType</v>
      </c>
      <c r="E43" s="158" t="str">
        <f t="shared" si="1"/>
        <v>JobDetails_PayRateType2</v>
      </c>
      <c r="F43" s="171"/>
      <c r="G43" s="189" t="s">
        <v>1208</v>
      </c>
      <c r="H43" s="189" t="s">
        <v>1208</v>
      </c>
      <c r="I43" s="189" t="s">
        <v>1208</v>
      </c>
      <c r="J43" s="189" t="s">
        <v>1208</v>
      </c>
      <c r="K43" s="189" t="s">
        <v>1208</v>
      </c>
      <c r="L43" s="189" t="s">
        <v>1208</v>
      </c>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row>
    <row r="44" spans="1:66" x14ac:dyDescent="0.35">
      <c r="A44" s="190" t="s">
        <v>100</v>
      </c>
      <c r="B44" s="190" t="s">
        <v>126</v>
      </c>
      <c r="C44" s="190" t="s">
        <v>127</v>
      </c>
      <c r="D44" s="180" t="str">
        <f t="shared" si="0"/>
        <v>JobDetails_AdditionalInformation_WorkShift</v>
      </c>
      <c r="E44" s="180" t="str">
        <f t="shared" si="1"/>
        <v>JobDetails_AdditionalInformation_WorkShift2</v>
      </c>
      <c r="F44" s="181"/>
      <c r="G44" s="182" t="s">
        <v>129</v>
      </c>
      <c r="H44" s="182" t="s">
        <v>129</v>
      </c>
      <c r="I44" s="182" t="s">
        <v>129</v>
      </c>
      <c r="J44" s="182" t="s">
        <v>129</v>
      </c>
      <c r="K44" s="182" t="s">
        <v>129</v>
      </c>
      <c r="L44" s="182" t="s">
        <v>129</v>
      </c>
    </row>
    <row r="45" spans="1:66" ht="18" x14ac:dyDescent="0.35">
      <c r="A45" s="190" t="s">
        <v>100</v>
      </c>
      <c r="B45" s="191" t="s">
        <v>126</v>
      </c>
      <c r="C45" s="192" t="s">
        <v>1236</v>
      </c>
      <c r="D45" s="180" t="str">
        <f t="shared" si="0"/>
        <v>JobDetails_AdditionalInformation_ScheduledWeeklyHours</v>
      </c>
      <c r="E45" s="180" t="str">
        <f t="shared" si="1"/>
        <v>JobDetails_AdditionalInformation_ScheduledWeeklyHours2</v>
      </c>
      <c r="F45" s="184"/>
      <c r="G45" s="186">
        <v>20</v>
      </c>
      <c r="H45" s="186">
        <v>20</v>
      </c>
      <c r="I45" s="186">
        <v>20</v>
      </c>
      <c r="J45" s="186">
        <v>20</v>
      </c>
      <c r="K45" s="186">
        <v>20</v>
      </c>
      <c r="L45" s="186">
        <v>20</v>
      </c>
    </row>
    <row r="46" spans="1:66" ht="18" x14ac:dyDescent="0.35">
      <c r="A46" s="190" t="s">
        <v>100</v>
      </c>
      <c r="B46" s="191" t="s">
        <v>126</v>
      </c>
      <c r="C46" s="202" t="s">
        <v>1237</v>
      </c>
      <c r="D46" s="203" t="str">
        <f t="shared" si="0"/>
        <v>JobDetails_AdditionalInformation_EndEmploymentDate</v>
      </c>
      <c r="E46" s="203" t="str">
        <f t="shared" si="1"/>
        <v>JobDetails_AdditionalInformation_EndEmploymentDate2</v>
      </c>
      <c r="F46" s="204"/>
      <c r="G46" s="205">
        <f ca="1">TODAY()+365</f>
        <v>46058</v>
      </c>
      <c r="H46" s="205">
        <f ca="1">TODAY()+365</f>
        <v>46058</v>
      </c>
      <c r="I46" s="205">
        <f t="shared" ref="I46" ca="1" si="5">TODAY()+365</f>
        <v>46058</v>
      </c>
      <c r="J46" s="205">
        <f ca="1">TODAY()+365</f>
        <v>46058</v>
      </c>
      <c r="K46" s="205">
        <f ca="1">TODAY()+365</f>
        <v>46058</v>
      </c>
      <c r="L46" s="205">
        <f t="shared" ref="L46" ca="1" si="6">TODAY()+365</f>
        <v>46058</v>
      </c>
    </row>
    <row r="47" spans="1:66" x14ac:dyDescent="0.35">
      <c r="A47" s="190" t="s">
        <v>1188</v>
      </c>
      <c r="B47" s="190" t="s">
        <v>65</v>
      </c>
      <c r="C47" s="190" t="s">
        <v>1189</v>
      </c>
      <c r="D47" s="180" t="str">
        <f t="shared" si="0"/>
        <v>MaintainEmployeeContract_ContractType</v>
      </c>
      <c r="E47" s="180" t="str">
        <f t="shared" si="1"/>
        <v>MaintainEmployeeContract_ContractType2</v>
      </c>
      <c r="F47" s="181"/>
      <c r="G47" s="183" t="s">
        <v>226</v>
      </c>
      <c r="H47" s="183" t="s">
        <v>226</v>
      </c>
      <c r="I47" s="183" t="s">
        <v>226</v>
      </c>
      <c r="J47" s="183" t="s">
        <v>226</v>
      </c>
      <c r="K47" s="183" t="s">
        <v>226</v>
      </c>
      <c r="L47" s="183" t="s">
        <v>226</v>
      </c>
    </row>
    <row r="48" spans="1:66" x14ac:dyDescent="0.35">
      <c r="A48" s="190" t="s">
        <v>1188</v>
      </c>
      <c r="B48" s="190" t="s">
        <v>65</v>
      </c>
      <c r="C48" s="190" t="s">
        <v>1190</v>
      </c>
      <c r="D48" s="180" t="str">
        <f t="shared" si="0"/>
        <v>MaintainEmployeeContract_Status</v>
      </c>
      <c r="E48" s="180" t="str">
        <f t="shared" si="1"/>
        <v>MaintainEmployeeContract_Status2</v>
      </c>
      <c r="F48" s="181" t="s">
        <v>133</v>
      </c>
      <c r="G48" s="183" t="s">
        <v>148</v>
      </c>
      <c r="H48" s="183" t="s">
        <v>148</v>
      </c>
      <c r="I48" s="183" t="s">
        <v>148</v>
      </c>
      <c r="J48" s="183" t="s">
        <v>148</v>
      </c>
      <c r="K48" s="183" t="s">
        <v>148</v>
      </c>
      <c r="L48" s="183" t="s">
        <v>148</v>
      </c>
    </row>
    <row r="49" spans="1:66" x14ac:dyDescent="0.35">
      <c r="A49" s="190" t="s">
        <v>1188</v>
      </c>
      <c r="B49" s="190" t="s">
        <v>65</v>
      </c>
      <c r="C49" s="190" t="s">
        <v>1191</v>
      </c>
      <c r="D49" s="180" t="str">
        <f t="shared" si="0"/>
        <v>MaintainEmployeeContract_ContractStartDate</v>
      </c>
      <c r="E49" s="180" t="str">
        <f t="shared" si="1"/>
        <v>MaintainEmployeeContract_ContractStartDate2</v>
      </c>
      <c r="F49" s="181"/>
      <c r="G49" s="185">
        <f ca="1">G24</f>
        <v>45632</v>
      </c>
      <c r="H49" s="185">
        <f ca="1">H24</f>
        <v>45632</v>
      </c>
      <c r="I49" s="185">
        <f t="shared" ref="I49" ca="1" si="7">I24</f>
        <v>45632</v>
      </c>
      <c r="J49" s="185">
        <f ca="1">J24</f>
        <v>45632</v>
      </c>
      <c r="K49" s="185">
        <f ca="1">K24</f>
        <v>45632</v>
      </c>
      <c r="L49" s="185">
        <f t="shared" ref="L49" ca="1" si="8">L24</f>
        <v>45632</v>
      </c>
    </row>
    <row r="50" spans="1:66" x14ac:dyDescent="0.35">
      <c r="A50" s="190" t="s">
        <v>1188</v>
      </c>
      <c r="B50" s="190" t="s">
        <v>65</v>
      </c>
      <c r="C50" s="199" t="s">
        <v>1238</v>
      </c>
      <c r="D50" s="203" t="str">
        <f>SUBSTITUTE(A50," ","") &amp; "_" &amp; SUBSTITUTE(IF(B50="N/A","",B50&amp; "_")," ","")  &amp; SUBSTITUTE(SUBSTITUTE(C50," ",""),"/","")</f>
        <v>MaintainEmployeeContract_ContractEndDate</v>
      </c>
      <c r="E50" s="203" t="str">
        <f>D50&amp;2</f>
        <v>MaintainEmployeeContract_ContractEndDate2</v>
      </c>
      <c r="F50" s="206"/>
      <c r="G50" s="205">
        <f t="shared" ref="G50:I50" ca="1" si="9">G46</f>
        <v>46058</v>
      </c>
      <c r="H50" s="205">
        <f t="shared" ca="1" si="9"/>
        <v>46058</v>
      </c>
      <c r="I50" s="205">
        <f t="shared" ca="1" si="9"/>
        <v>46058</v>
      </c>
      <c r="J50" s="205">
        <f t="shared" ref="J50:L50" ca="1" si="10">J46</f>
        <v>46058</v>
      </c>
      <c r="K50" s="205">
        <f t="shared" ca="1" si="10"/>
        <v>46058</v>
      </c>
      <c r="L50" s="205">
        <f t="shared" ca="1" si="10"/>
        <v>46058</v>
      </c>
    </row>
    <row r="51" spans="1:66" x14ac:dyDescent="0.35">
      <c r="A51" s="190" t="s">
        <v>1188</v>
      </c>
      <c r="B51" s="190" t="s">
        <v>65</v>
      </c>
      <c r="C51" s="190" t="s">
        <v>1192</v>
      </c>
      <c r="D51" s="158" t="str">
        <f t="shared" si="0"/>
        <v>MaintainEmployeeContract_DateEmployeeSigned</v>
      </c>
      <c r="E51" s="158" t="str">
        <f t="shared" si="1"/>
        <v>MaintainEmployeeContract_DateEmployeeSigned2</v>
      </c>
      <c r="F51" s="171"/>
      <c r="G51" s="173">
        <f ca="1">G24</f>
        <v>45632</v>
      </c>
      <c r="H51" s="173">
        <f ca="1">H24</f>
        <v>45632</v>
      </c>
      <c r="I51" s="173">
        <f t="shared" ref="I51" ca="1" si="11">I24</f>
        <v>45632</v>
      </c>
      <c r="J51" s="173">
        <f ca="1">J24</f>
        <v>45632</v>
      </c>
      <c r="K51" s="173">
        <f ca="1">K24</f>
        <v>45632</v>
      </c>
      <c r="L51" s="173">
        <f t="shared" ref="L51" ca="1" si="12">L24</f>
        <v>45632</v>
      </c>
    </row>
    <row r="52" spans="1:66" x14ac:dyDescent="0.35">
      <c r="A52" s="190" t="s">
        <v>1188</v>
      </c>
      <c r="B52" s="190" t="s">
        <v>65</v>
      </c>
      <c r="C52" s="190" t="s">
        <v>1193</v>
      </c>
      <c r="D52" s="158" t="str">
        <f t="shared" si="0"/>
        <v>MaintainEmployeeContract_DateEmployerSigned</v>
      </c>
      <c r="E52" s="158" t="str">
        <f t="shared" si="1"/>
        <v>MaintainEmployeeContract_DateEmployerSigned2</v>
      </c>
      <c r="F52" s="171"/>
      <c r="G52" s="173">
        <f ca="1">G24</f>
        <v>45632</v>
      </c>
      <c r="H52" s="173">
        <f ca="1">H24</f>
        <v>45632</v>
      </c>
      <c r="I52" s="173">
        <f t="shared" ref="I52" ca="1" si="13">I24</f>
        <v>45632</v>
      </c>
      <c r="J52" s="173">
        <f ca="1">J24</f>
        <v>45632</v>
      </c>
      <c r="K52" s="173">
        <f ca="1">K24</f>
        <v>45632</v>
      </c>
      <c r="L52" s="173">
        <f t="shared" ref="L52" ca="1" si="14">L24</f>
        <v>45632</v>
      </c>
    </row>
    <row r="53" spans="1:66" x14ac:dyDescent="0.35">
      <c r="A53" s="190" t="s">
        <v>134</v>
      </c>
      <c r="B53" s="190" t="s">
        <v>65</v>
      </c>
      <c r="C53" s="190" t="s">
        <v>135</v>
      </c>
      <c r="D53" s="180" t="str">
        <f t="shared" si="0"/>
        <v>ChangeOrganizationAssignments_CostCenter</v>
      </c>
      <c r="E53" s="180" t="str">
        <f t="shared" si="1"/>
        <v>ChangeOrganizationAssignments_CostCenter2</v>
      </c>
      <c r="F53" s="181"/>
      <c r="G53" s="183" t="s">
        <v>1200</v>
      </c>
      <c r="H53" s="183" t="s">
        <v>1200</v>
      </c>
      <c r="I53" s="183" t="s">
        <v>1200</v>
      </c>
      <c r="J53" s="183" t="s">
        <v>1200</v>
      </c>
      <c r="K53" s="183" t="s">
        <v>1200</v>
      </c>
      <c r="L53" s="183" t="s">
        <v>1200</v>
      </c>
    </row>
    <row r="54" spans="1:66" x14ac:dyDescent="0.35">
      <c r="A54" s="190" t="s">
        <v>134</v>
      </c>
      <c r="B54" s="190" t="s">
        <v>65</v>
      </c>
      <c r="C54" s="190" t="s">
        <v>137</v>
      </c>
      <c r="D54" s="180" t="str">
        <f t="shared" si="0"/>
        <v>ChangeOrganizationAssignments_DepartmentSection</v>
      </c>
      <c r="E54" s="180" t="str">
        <f t="shared" si="1"/>
        <v>ChangeOrganizationAssignments_DepartmentSection2</v>
      </c>
      <c r="F54" s="181"/>
      <c r="G54" s="187" t="s">
        <v>1243</v>
      </c>
      <c r="H54" s="187" t="s">
        <v>1243</v>
      </c>
      <c r="I54" s="187" t="s">
        <v>1243</v>
      </c>
      <c r="J54" s="187" t="s">
        <v>1243</v>
      </c>
      <c r="K54" s="187" t="s">
        <v>1243</v>
      </c>
      <c r="L54" s="187" t="s">
        <v>1243</v>
      </c>
    </row>
    <row r="55" spans="1:66" x14ac:dyDescent="0.35">
      <c r="A55" s="190" t="s">
        <v>151</v>
      </c>
      <c r="B55" s="190" t="s">
        <v>65</v>
      </c>
      <c r="C55" s="190" t="s">
        <v>1233</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row>
    <row r="56" spans="1:66" x14ac:dyDescent="0.35">
      <c r="A56" s="190" t="s">
        <v>1201</v>
      </c>
      <c r="B56" s="190" t="s">
        <v>65</v>
      </c>
      <c r="C56" s="190" t="s">
        <v>1194</v>
      </c>
      <c r="D56" s="158" t="str">
        <f t="shared" si="0"/>
        <v>ManageProbationPeriod_ProbationEndDate</v>
      </c>
      <c r="E56" s="158" t="str">
        <f t="shared" si="1"/>
        <v>ManageProbationPeriod_ProbationEndDate2</v>
      </c>
      <c r="F56" s="171"/>
      <c r="G56" s="173">
        <f t="shared" ref="G56:L56" ca="1" si="15">TODAY()+20</f>
        <v>45713</v>
      </c>
      <c r="H56" s="173">
        <f t="shared" ca="1" si="15"/>
        <v>45713</v>
      </c>
      <c r="I56" s="173">
        <f t="shared" ca="1" si="15"/>
        <v>45713</v>
      </c>
      <c r="J56" s="173">
        <f t="shared" ca="1" si="15"/>
        <v>45713</v>
      </c>
      <c r="K56" s="173">
        <f t="shared" ca="1" si="15"/>
        <v>45713</v>
      </c>
      <c r="L56" s="173">
        <f t="shared" ca="1" si="15"/>
        <v>45713</v>
      </c>
    </row>
    <row r="57" spans="1:66" x14ac:dyDescent="0.35">
      <c r="A57" s="190" t="s">
        <v>157</v>
      </c>
      <c r="B57" s="190" t="s">
        <v>158</v>
      </c>
      <c r="C57" s="190" t="s">
        <v>159</v>
      </c>
      <c r="D57" s="158" t="str">
        <f t="shared" si="0"/>
        <v>ChangeMyGovernmentIDs_NationalIDs_Country1</v>
      </c>
      <c r="E57" s="158" t="str">
        <f t="shared" si="1"/>
        <v>ChangeMyGovernmentIDs_NationalIDs_Country12</v>
      </c>
      <c r="F57" s="171"/>
      <c r="G57" s="165" t="s">
        <v>214</v>
      </c>
      <c r="H57" s="165" t="s">
        <v>214</v>
      </c>
      <c r="I57" s="165" t="s">
        <v>214</v>
      </c>
      <c r="J57" s="165" t="s">
        <v>214</v>
      </c>
      <c r="K57" s="165" t="s">
        <v>214</v>
      </c>
      <c r="L57" s="165" t="s">
        <v>214</v>
      </c>
    </row>
    <row r="58" spans="1:66" x14ac:dyDescent="0.35">
      <c r="A58" s="190" t="s">
        <v>157</v>
      </c>
      <c r="B58" s="190" t="s">
        <v>158</v>
      </c>
      <c r="C58" s="190" t="s">
        <v>160</v>
      </c>
      <c r="D58" s="158" t="str">
        <f t="shared" si="0"/>
        <v>ChangeMyGovernmentIDs_NationalIDs_NationalIDType1</v>
      </c>
      <c r="E58" s="158" t="str">
        <f t="shared" si="1"/>
        <v>ChangeMyGovernmentIDs_NationalIDs_NationalIDType12</v>
      </c>
      <c r="F58" s="171"/>
      <c r="G58" s="169" t="s">
        <v>1216</v>
      </c>
      <c r="H58" s="169" t="s">
        <v>1216</v>
      </c>
      <c r="I58" s="169" t="s">
        <v>1216</v>
      </c>
      <c r="J58" s="169" t="s">
        <v>1216</v>
      </c>
      <c r="K58" s="169" t="s">
        <v>1216</v>
      </c>
      <c r="L58" s="169" t="s">
        <v>1216</v>
      </c>
    </row>
    <row r="59" spans="1:66" s="161" customFormat="1" x14ac:dyDescent="0.35">
      <c r="A59" s="209" t="s">
        <v>157</v>
      </c>
      <c r="B59" s="209" t="s">
        <v>158</v>
      </c>
      <c r="C59" s="210" t="s">
        <v>163</v>
      </c>
      <c r="D59" s="210" t="str">
        <f t="shared" si="0"/>
        <v>ChangeMyGovernmentIDs_NationalIDs_AddEditID1</v>
      </c>
      <c r="E59" s="210" t="str">
        <f t="shared" si="1"/>
        <v>ChangeMyGovernmentIDs_NationalIDs_AddEditID12</v>
      </c>
      <c r="F59" s="211" t="s">
        <v>77</v>
      </c>
      <c r="G59" s="212">
        <v>686019406</v>
      </c>
      <c r="H59" s="212">
        <v>686019407</v>
      </c>
      <c r="I59" s="212">
        <v>686019408</v>
      </c>
      <c r="J59" s="212">
        <v>686019409</v>
      </c>
      <c r="K59" s="212">
        <v>686019410</v>
      </c>
      <c r="L59" s="212">
        <v>686019411</v>
      </c>
      <c r="M59" s="214"/>
      <c r="N59" s="214"/>
      <c r="O59" s="214"/>
      <c r="P59" s="214"/>
      <c r="Q59" s="214"/>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row>
    <row r="60" spans="1:66" s="161" customFormat="1" x14ac:dyDescent="0.35">
      <c r="A60" s="190" t="s">
        <v>157</v>
      </c>
      <c r="B60" s="190" t="s">
        <v>158</v>
      </c>
      <c r="C60" s="190" t="s">
        <v>1224</v>
      </c>
      <c r="D60" s="158" t="str">
        <f t="shared" si="0"/>
        <v>ChangeMyGovernmentIDs_NationalIDs_IssuedDate1</v>
      </c>
      <c r="E60" s="158" t="str">
        <f t="shared" si="1"/>
        <v>ChangeMyGovernmentIDs_NationalIDs_IssuedDate12</v>
      </c>
      <c r="F60" s="171"/>
      <c r="G60" s="173" t="s">
        <v>1213</v>
      </c>
      <c r="H60" s="173" t="s">
        <v>1213</v>
      </c>
      <c r="I60" s="173" t="s">
        <v>1213</v>
      </c>
      <c r="J60" s="173" t="s">
        <v>1213</v>
      </c>
      <c r="K60" s="173" t="s">
        <v>1213</v>
      </c>
      <c r="L60" s="173" t="s">
        <v>1213</v>
      </c>
      <c r="M60" s="214"/>
      <c r="N60" s="214"/>
      <c r="O60" s="214"/>
      <c r="P60" s="214"/>
      <c r="Q60" s="214"/>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row>
    <row r="61" spans="1:66" s="161" customFormat="1" x14ac:dyDescent="0.35">
      <c r="A61" s="190" t="s">
        <v>157</v>
      </c>
      <c r="B61" s="190" t="s">
        <v>158</v>
      </c>
      <c r="C61" s="190" t="s">
        <v>1225</v>
      </c>
      <c r="D61" s="158" t="str">
        <f t="shared" si="0"/>
        <v>ChangeMyGovernmentIDs_NationalIDs_ExpirationDate1</v>
      </c>
      <c r="E61" s="158" t="str">
        <f t="shared" si="1"/>
        <v>ChangeMyGovernmentIDs_NationalIDs_ExpirationDate12</v>
      </c>
      <c r="F61" s="171"/>
      <c r="G61" s="173" t="s">
        <v>1217</v>
      </c>
      <c r="H61" s="173" t="s">
        <v>1217</v>
      </c>
      <c r="I61" s="173" t="s">
        <v>1217</v>
      </c>
      <c r="J61" s="173" t="s">
        <v>1217</v>
      </c>
      <c r="K61" s="173" t="s">
        <v>1217</v>
      </c>
      <c r="L61" s="173" t="s">
        <v>1217</v>
      </c>
      <c r="M61" s="214"/>
      <c r="N61" s="214"/>
      <c r="O61" s="214"/>
      <c r="P61" s="214"/>
      <c r="Q61" s="214"/>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row>
    <row r="62" spans="1:66" s="161" customFormat="1" x14ac:dyDescent="0.35">
      <c r="A62" s="190" t="s">
        <v>157</v>
      </c>
      <c r="B62" s="190" t="s">
        <v>158</v>
      </c>
      <c r="C62" s="190" t="s">
        <v>1226</v>
      </c>
      <c r="D62" s="158" t="str">
        <f t="shared" si="0"/>
        <v>ChangeMyGovernmentIDs_NationalIDs_Country2</v>
      </c>
      <c r="E62" s="158" t="str">
        <f t="shared" si="1"/>
        <v>ChangeMyGovernmentIDs_NationalIDs_Country22</v>
      </c>
      <c r="F62" s="171"/>
      <c r="G62" s="165" t="s">
        <v>214</v>
      </c>
      <c r="H62" s="165" t="s">
        <v>214</v>
      </c>
      <c r="I62" s="165" t="s">
        <v>214</v>
      </c>
      <c r="J62" s="165" t="s">
        <v>214</v>
      </c>
      <c r="K62" s="165" t="s">
        <v>214</v>
      </c>
      <c r="L62" s="165" t="s">
        <v>214</v>
      </c>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row>
    <row r="63" spans="1:66" s="161" customFormat="1" x14ac:dyDescent="0.35">
      <c r="A63" s="190" t="s">
        <v>157</v>
      </c>
      <c r="B63" s="190" t="s">
        <v>158</v>
      </c>
      <c r="C63" s="190" t="s">
        <v>1227</v>
      </c>
      <c r="D63" s="158" t="str">
        <f t="shared" si="0"/>
        <v>ChangeMyGovernmentIDs_NationalIDs_NationalIDType2</v>
      </c>
      <c r="E63" s="158" t="str">
        <f t="shared" si="1"/>
        <v>ChangeMyGovernmentIDs_NationalIDs_NationalIDType22</v>
      </c>
      <c r="F63" s="171"/>
      <c r="G63" s="169" t="s">
        <v>1218</v>
      </c>
      <c r="H63" s="169" t="s">
        <v>1218</v>
      </c>
      <c r="I63" s="169" t="s">
        <v>1218</v>
      </c>
      <c r="J63" s="169" t="s">
        <v>1218</v>
      </c>
      <c r="K63" s="169" t="s">
        <v>1218</v>
      </c>
      <c r="L63" s="169" t="s">
        <v>1218</v>
      </c>
      <c r="M63" s="214"/>
      <c r="N63" s="214"/>
      <c r="O63" s="214"/>
      <c r="P63" s="214"/>
      <c r="Q63" s="214"/>
      <c r="R63" s="214"/>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row>
    <row r="64" spans="1:66" s="161" customFormat="1" x14ac:dyDescent="0.35">
      <c r="A64" s="209" t="s">
        <v>157</v>
      </c>
      <c r="B64" s="209" t="s">
        <v>158</v>
      </c>
      <c r="C64" s="210" t="s">
        <v>1231</v>
      </c>
      <c r="D64" s="210" t="str">
        <f t="shared" si="0"/>
        <v>ChangeMyGovernmentIDs_NationalIDs_AddEditID2</v>
      </c>
      <c r="E64" s="210" t="str">
        <f t="shared" si="1"/>
        <v>ChangeMyGovernmentIDs_NationalIDs_AddEditID22</v>
      </c>
      <c r="F64" s="211"/>
      <c r="G64" s="212">
        <v>594288536</v>
      </c>
      <c r="H64" s="212">
        <v>594288537</v>
      </c>
      <c r="I64" s="212">
        <v>594288538</v>
      </c>
      <c r="J64" s="212">
        <v>594288539</v>
      </c>
      <c r="K64" s="212">
        <v>594288540</v>
      </c>
      <c r="L64" s="212">
        <v>594288541</v>
      </c>
      <c r="M64" s="214"/>
      <c r="N64" s="214"/>
      <c r="O64" s="214"/>
      <c r="P64" s="214"/>
      <c r="Q64" s="214"/>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row>
    <row r="65" spans="1:66" s="161" customFormat="1" x14ac:dyDescent="0.35">
      <c r="A65" s="190" t="s">
        <v>157</v>
      </c>
      <c r="B65" s="190" t="s">
        <v>158</v>
      </c>
      <c r="C65" s="190" t="s">
        <v>1228</v>
      </c>
      <c r="D65" s="158" t="str">
        <f t="shared" si="0"/>
        <v>ChangeMyGovernmentIDs_NationalIDs_IssuedDate2</v>
      </c>
      <c r="E65" s="158" t="str">
        <f t="shared" si="1"/>
        <v>ChangeMyGovernmentIDs_NationalIDs_IssuedDate22</v>
      </c>
      <c r="F65" s="171"/>
      <c r="G65" s="173" t="s">
        <v>1213</v>
      </c>
      <c r="H65" s="173" t="s">
        <v>1213</v>
      </c>
      <c r="I65" s="173" t="s">
        <v>1213</v>
      </c>
      <c r="J65" s="173" t="s">
        <v>1213</v>
      </c>
      <c r="K65" s="173" t="s">
        <v>1213</v>
      </c>
      <c r="L65" s="173" t="s">
        <v>1213</v>
      </c>
      <c r="M65" s="214"/>
      <c r="N65" s="214"/>
      <c r="O65" s="214"/>
      <c r="P65" s="214"/>
      <c r="Q65" s="214"/>
      <c r="R65" s="214"/>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row>
    <row r="66" spans="1:66" s="161" customFormat="1" x14ac:dyDescent="0.35">
      <c r="A66" s="190" t="s">
        <v>157</v>
      </c>
      <c r="B66" s="190" t="s">
        <v>158</v>
      </c>
      <c r="C66" s="190" t="s">
        <v>1229</v>
      </c>
      <c r="D66" s="158" t="str">
        <f t="shared" si="0"/>
        <v>ChangeMyGovernmentIDs_NationalIDs_ExpirationDate2</v>
      </c>
      <c r="E66" s="158" t="str">
        <f t="shared" si="1"/>
        <v>ChangeMyGovernmentIDs_NationalIDs_ExpirationDate22</v>
      </c>
      <c r="F66" s="171"/>
      <c r="G66" s="173" t="s">
        <v>1217</v>
      </c>
      <c r="H66" s="173" t="s">
        <v>1217</v>
      </c>
      <c r="I66" s="173" t="s">
        <v>1217</v>
      </c>
      <c r="J66" s="173" t="s">
        <v>1217</v>
      </c>
      <c r="K66" s="173" t="s">
        <v>1217</v>
      </c>
      <c r="L66" s="173" t="s">
        <v>1217</v>
      </c>
      <c r="M66" s="214"/>
      <c r="N66" s="214"/>
      <c r="O66" s="214"/>
      <c r="P66" s="214"/>
      <c r="Q66" s="214"/>
      <c r="R66" s="214"/>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row>
    <row r="67" spans="1:66" x14ac:dyDescent="0.35">
      <c r="A67" s="190" t="s">
        <v>152</v>
      </c>
      <c r="B67" s="190" t="s">
        <v>65</v>
      </c>
      <c r="C67" s="190" t="s">
        <v>153</v>
      </c>
      <c r="D67" s="158" t="str">
        <f t="shared" si="0"/>
        <v>ChangeMyPersonalInformation_Gender</v>
      </c>
      <c r="E67" s="158" t="str">
        <f t="shared" si="1"/>
        <v>ChangeMyPersonalInformation_Gender2</v>
      </c>
      <c r="F67" s="171"/>
      <c r="G67" s="172" t="s">
        <v>1251</v>
      </c>
      <c r="H67" s="172" t="s">
        <v>1251</v>
      </c>
      <c r="I67" s="172" t="s">
        <v>1251</v>
      </c>
      <c r="J67" s="172" t="s">
        <v>1251</v>
      </c>
      <c r="K67" s="172" t="s">
        <v>1251</v>
      </c>
      <c r="L67" s="172" t="s">
        <v>1251</v>
      </c>
    </row>
    <row r="68" spans="1:66" x14ac:dyDescent="0.35">
      <c r="A68" s="190" t="s">
        <v>152</v>
      </c>
      <c r="B68" s="190" t="s">
        <v>65</v>
      </c>
      <c r="C68" s="190" t="s">
        <v>154</v>
      </c>
      <c r="D68" s="158" t="str">
        <f t="shared" si="0"/>
        <v>ChangeMyPersonalInformation_DateOfBirth</v>
      </c>
      <c r="E68" s="158" t="str">
        <f t="shared" si="1"/>
        <v>ChangeMyPersonalInformation_DateOfBirth2</v>
      </c>
      <c r="F68" s="171"/>
      <c r="G68" s="173" t="s">
        <v>1253</v>
      </c>
      <c r="H68" s="173" t="s">
        <v>1253</v>
      </c>
      <c r="I68" s="173" t="s">
        <v>1253</v>
      </c>
      <c r="J68" s="173" t="s">
        <v>1252</v>
      </c>
      <c r="K68" s="173" t="s">
        <v>1252</v>
      </c>
      <c r="L68" s="173" t="s">
        <v>1252</v>
      </c>
    </row>
    <row r="69" spans="1:66" x14ac:dyDescent="0.35">
      <c r="A69" s="190" t="s">
        <v>152</v>
      </c>
      <c r="B69" s="190" t="s">
        <v>65</v>
      </c>
      <c r="C69" s="190" t="s">
        <v>1195</v>
      </c>
      <c r="D69" s="158" t="str">
        <f t="shared" si="0"/>
        <v>ChangeMyPersonalInformation_CityofBirth</v>
      </c>
      <c r="E69" s="158" t="str">
        <f t="shared" si="1"/>
        <v>ChangeMyPersonalInformation_CityofBirth2</v>
      </c>
      <c r="F69" s="171"/>
      <c r="G69" s="169" t="s">
        <v>1206</v>
      </c>
      <c r="H69" s="169" t="s">
        <v>1206</v>
      </c>
      <c r="I69" s="169" t="s">
        <v>1206</v>
      </c>
      <c r="J69" s="169" t="s">
        <v>1206</v>
      </c>
      <c r="K69" s="169" t="s">
        <v>1206</v>
      </c>
      <c r="L69" s="169" t="s">
        <v>1206</v>
      </c>
    </row>
    <row r="70" spans="1:66" customFormat="1" ht="19.899999999999999" customHeight="1" x14ac:dyDescent="0.35">
      <c r="A70" s="190" t="s">
        <v>152</v>
      </c>
      <c r="B70" s="190" t="s">
        <v>65</v>
      </c>
      <c r="C70" s="190" t="s">
        <v>1187</v>
      </c>
      <c r="D70" s="158" t="str">
        <f t="shared" si="0"/>
        <v>ChangeMyPersonalInformation_MaritalStatus</v>
      </c>
      <c r="E70" s="158" t="str">
        <f t="shared" si="1"/>
        <v>ChangeMyPersonalInformation_MaritalStatus2</v>
      </c>
      <c r="F70" s="171"/>
      <c r="G70" s="169" t="s">
        <v>1215</v>
      </c>
      <c r="H70" s="169" t="s">
        <v>1215</v>
      </c>
      <c r="I70" s="169" t="s">
        <v>1215</v>
      </c>
      <c r="J70" s="169" t="s">
        <v>1215</v>
      </c>
      <c r="K70" s="169" t="s">
        <v>1215</v>
      </c>
      <c r="L70" s="169" t="s">
        <v>1215</v>
      </c>
      <c r="M70" s="215"/>
      <c r="N70" s="215"/>
      <c r="O70" s="215"/>
      <c r="P70" s="215"/>
      <c r="Q70" s="215"/>
      <c r="R70" s="215"/>
      <c r="S70" s="215"/>
      <c r="T70" s="215"/>
      <c r="U70" s="215"/>
      <c r="V70" s="215"/>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row>
    <row r="71" spans="1:66" customFormat="1" ht="19.899999999999999" customHeight="1" x14ac:dyDescent="0.35">
      <c r="A71" s="190" t="s">
        <v>152</v>
      </c>
      <c r="B71" s="190" t="s">
        <v>65</v>
      </c>
      <c r="C71" s="190" t="s">
        <v>1234</v>
      </c>
      <c r="D71" s="158" t="str">
        <f t="shared" si="0"/>
        <v>ChangeMyPersonalInformation_CitizenshipStatus</v>
      </c>
      <c r="E71" s="158" t="str">
        <f t="shared" si="1"/>
        <v>ChangeMyPersonalInformation_CitizenshipStatus2</v>
      </c>
      <c r="F71" s="171"/>
      <c r="G71" s="169" t="s">
        <v>1214</v>
      </c>
      <c r="H71" s="169" t="s">
        <v>1214</v>
      </c>
      <c r="I71" s="169" t="s">
        <v>1214</v>
      </c>
      <c r="J71" s="169" t="s">
        <v>1214</v>
      </c>
      <c r="K71" s="169" t="s">
        <v>1214</v>
      </c>
      <c r="L71" s="169" t="s">
        <v>1214</v>
      </c>
      <c r="M71" s="215"/>
      <c r="N71" s="215"/>
      <c r="O71" s="215"/>
      <c r="P71" s="215"/>
      <c r="Q71" s="215"/>
      <c r="R71" s="215"/>
      <c r="S71" s="215"/>
      <c r="T71" s="215"/>
      <c r="U71" s="215"/>
      <c r="V71" s="215"/>
      <c r="W71" s="215"/>
      <c r="X71" s="215"/>
      <c r="Y71" s="215"/>
      <c r="Z71" s="215"/>
      <c r="AA71" s="215"/>
      <c r="AB71" s="215"/>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row>
    <row r="72" spans="1:66" customFormat="1" ht="19.899999999999999" customHeight="1" x14ac:dyDescent="0.35">
      <c r="A72" s="190" t="s">
        <v>1183</v>
      </c>
      <c r="B72" s="190" t="s">
        <v>65</v>
      </c>
      <c r="C72" s="190" t="s">
        <v>1184</v>
      </c>
      <c r="D72" s="158" t="str">
        <f t="shared" si="0"/>
        <v>PaymentElectionOption_BankName</v>
      </c>
      <c r="E72" s="158" t="str">
        <f t="shared" si="1"/>
        <v>PaymentElectionOption_BankName2</v>
      </c>
      <c r="F72" s="171"/>
      <c r="G72" s="165" t="s">
        <v>1211</v>
      </c>
      <c r="H72" s="165" t="s">
        <v>1211</v>
      </c>
      <c r="I72" s="165" t="s">
        <v>1211</v>
      </c>
      <c r="J72" s="165" t="s">
        <v>1211</v>
      </c>
      <c r="K72" s="165" t="s">
        <v>1211</v>
      </c>
      <c r="L72" s="165" t="s">
        <v>1211</v>
      </c>
      <c r="M72" s="215"/>
      <c r="N72" s="215"/>
      <c r="O72" s="215"/>
      <c r="P72" s="215"/>
      <c r="Q72" s="215"/>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row>
    <row r="73" spans="1:66" customFormat="1" ht="19.899999999999999" customHeight="1" x14ac:dyDescent="0.35">
      <c r="A73" s="190" t="s">
        <v>1183</v>
      </c>
      <c r="B73" s="190" t="s">
        <v>65</v>
      </c>
      <c r="C73" s="190" t="s">
        <v>1185</v>
      </c>
      <c r="D73" s="158" t="str">
        <f t="shared" si="0"/>
        <v>PaymentElectionOption_AccountType</v>
      </c>
      <c r="E73" s="158" t="str">
        <f t="shared" si="1"/>
        <v>PaymentElectionOption_AccountType2</v>
      </c>
      <c r="F73" s="171"/>
      <c r="G73" s="165" t="s">
        <v>169</v>
      </c>
      <c r="H73" s="165" t="s">
        <v>169</v>
      </c>
      <c r="I73" s="165" t="s">
        <v>169</v>
      </c>
      <c r="J73" s="165" t="s">
        <v>169</v>
      </c>
      <c r="K73" s="165" t="s">
        <v>169</v>
      </c>
      <c r="L73" s="165" t="s">
        <v>169</v>
      </c>
      <c r="M73" s="215"/>
      <c r="N73" s="215"/>
      <c r="O73" s="215"/>
      <c r="P73" s="215"/>
      <c r="Q73" s="215"/>
      <c r="R73" s="215"/>
      <c r="S73" s="215"/>
      <c r="T73" s="215"/>
      <c r="U73" s="215"/>
      <c r="V73" s="215"/>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row>
    <row r="74" spans="1:66" customFormat="1" ht="19.5" customHeight="1" thickBot="1" x14ac:dyDescent="0.4">
      <c r="A74" s="190" t="s">
        <v>1183</v>
      </c>
      <c r="B74" s="190" t="s">
        <v>65</v>
      </c>
      <c r="C74" s="190" t="s">
        <v>1186</v>
      </c>
      <c r="D74" s="158" t="str">
        <f t="shared" si="0"/>
        <v>PaymentElectionOption_IBAN</v>
      </c>
      <c r="E74" s="158" t="str">
        <f t="shared" si="1"/>
        <v>PaymentElectionOption_IBAN2</v>
      </c>
      <c r="F74" s="171"/>
      <c r="G74" s="170" t="s">
        <v>1212</v>
      </c>
      <c r="H74" s="170" t="s">
        <v>1212</v>
      </c>
      <c r="I74" s="170" t="s">
        <v>1212</v>
      </c>
      <c r="J74" s="170" t="s">
        <v>1212</v>
      </c>
      <c r="K74" s="170" t="s">
        <v>1212</v>
      </c>
      <c r="L74" s="170" t="s">
        <v>1212</v>
      </c>
      <c r="M74" s="215"/>
      <c r="N74" s="215"/>
      <c r="O74" s="215"/>
      <c r="P74" s="215"/>
      <c r="Q74" s="215"/>
      <c r="R74" s="215"/>
      <c r="S74" s="215"/>
      <c r="T74" s="215"/>
      <c r="U74" s="215"/>
      <c r="V74" s="215"/>
      <c r="W74" s="215"/>
      <c r="X74" s="215"/>
      <c r="Y74" s="215"/>
      <c r="Z74" s="215"/>
      <c r="AA74" s="215"/>
      <c r="AB74" s="215"/>
      <c r="AC74" s="215"/>
      <c r="AD74" s="215"/>
      <c r="AE74" s="215"/>
      <c r="AF74" s="215"/>
      <c r="AG74" s="215"/>
      <c r="AH74" s="215"/>
      <c r="AI74" s="215"/>
      <c r="AJ74" s="215"/>
      <c r="AK74" s="215"/>
      <c r="AL74" s="215"/>
      <c r="AM74" s="215"/>
      <c r="AN74" s="215"/>
      <c r="AO74" s="215"/>
      <c r="AP74" s="215"/>
      <c r="AQ74" s="215"/>
      <c r="AR74" s="215"/>
      <c r="AS74" s="215"/>
      <c r="AT74" s="215"/>
      <c r="AU74" s="215"/>
      <c r="AV74" s="215"/>
      <c r="AW74" s="215"/>
      <c r="AX74" s="215"/>
      <c r="AY74" s="215"/>
      <c r="AZ74" s="215"/>
      <c r="BA74" s="215"/>
      <c r="BB74" s="215"/>
      <c r="BC74" s="215"/>
      <c r="BD74" s="215"/>
      <c r="BE74" s="215"/>
      <c r="BF74" s="215"/>
      <c r="BG74" s="215"/>
      <c r="BH74" s="215"/>
      <c r="BI74" s="215"/>
      <c r="BJ74" s="215"/>
      <c r="BK74" s="215"/>
      <c r="BL74" s="215"/>
      <c r="BM74" s="215"/>
      <c r="BN74" s="215"/>
    </row>
    <row r="75" spans="1:66" s="19" customFormat="1" ht="14.5" x14ac:dyDescent="0.35">
      <c r="A75" s="193" t="s">
        <v>1183</v>
      </c>
      <c r="B75" s="194" t="s">
        <v>65</v>
      </c>
      <c r="C75" s="195" t="s">
        <v>1239</v>
      </c>
      <c r="D75" s="176" t="str">
        <f t="shared" si="0"/>
        <v>PaymentElectionOption_BankIdentificationCode</v>
      </c>
      <c r="E75" s="177" t="str">
        <f t="shared" si="1"/>
        <v>PaymentElectionOption_BankIdentificationCode2</v>
      </c>
      <c r="F75" s="178"/>
      <c r="G75" t="s">
        <v>1240</v>
      </c>
      <c r="H75" t="s">
        <v>1240</v>
      </c>
      <c r="I75" t="s">
        <v>1240</v>
      </c>
      <c r="J75" t="s">
        <v>1240</v>
      </c>
      <c r="K75" t="s">
        <v>1240</v>
      </c>
      <c r="L75" t="s">
        <v>1240</v>
      </c>
      <c r="M75" s="215"/>
      <c r="N75" s="215"/>
      <c r="O75" s="215"/>
      <c r="P75" s="215"/>
      <c r="Q75" s="215"/>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5"/>
      <c r="BN75" s="215"/>
    </row>
    <row r="76" spans="1:66" customFormat="1" ht="19.5" customHeight="1" x14ac:dyDescent="0.35">
      <c r="A76" s="190" t="s">
        <v>1196</v>
      </c>
      <c r="B76" s="190" t="s">
        <v>65</v>
      </c>
      <c r="C76" s="190" t="s">
        <v>1197</v>
      </c>
      <c r="D76" s="158" t="str">
        <f t="shared" si="0"/>
        <v>AddAdditonalName_NameType</v>
      </c>
      <c r="E76" s="158" t="str">
        <f t="shared" si="1"/>
        <v>AddAdditonalName_NameType2</v>
      </c>
      <c r="F76" s="171"/>
      <c r="G76" s="165" t="s">
        <v>1198</v>
      </c>
      <c r="H76" s="165" t="s">
        <v>1198</v>
      </c>
      <c r="I76" s="165" t="s">
        <v>1198</v>
      </c>
      <c r="J76" s="165" t="s">
        <v>1198</v>
      </c>
      <c r="K76" s="165" t="s">
        <v>1198</v>
      </c>
      <c r="L76" s="165" t="s">
        <v>1198</v>
      </c>
      <c r="M76" s="215"/>
      <c r="N76" s="215"/>
      <c r="O76" s="215"/>
      <c r="P76" s="215"/>
      <c r="Q76" s="215"/>
      <c r="R76" s="215"/>
      <c r="S76" s="215"/>
      <c r="T76" s="215"/>
      <c r="U76" s="215"/>
      <c r="V76" s="215"/>
      <c r="W76" s="215"/>
      <c r="X76" s="215"/>
      <c r="Y76" s="215"/>
      <c r="Z76" s="215"/>
      <c r="AA76" s="215"/>
      <c r="AB76" s="215"/>
      <c r="AC76" s="215"/>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5"/>
      <c r="AZ76" s="215"/>
      <c r="BA76" s="215"/>
      <c r="BB76" s="215"/>
      <c r="BC76" s="215"/>
      <c r="BD76" s="215"/>
      <c r="BE76" s="215"/>
      <c r="BF76" s="215"/>
      <c r="BG76" s="215"/>
      <c r="BH76" s="215"/>
      <c r="BI76" s="215"/>
      <c r="BJ76" s="215"/>
      <c r="BK76" s="215"/>
      <c r="BL76" s="215"/>
      <c r="BM76" s="215"/>
      <c r="BN76" s="215"/>
    </row>
    <row r="77" spans="1:66" customFormat="1" ht="19.5" customHeight="1" x14ac:dyDescent="0.35">
      <c r="A77" s="190" t="s">
        <v>1196</v>
      </c>
      <c r="B77" s="190" t="s">
        <v>65</v>
      </c>
      <c r="C77" s="190" t="s">
        <v>73</v>
      </c>
      <c r="D77" s="158" t="str">
        <f t="shared" si="0"/>
        <v>AddAdditonalName_Country</v>
      </c>
      <c r="E77" s="158" t="str">
        <f t="shared" si="1"/>
        <v>AddAdditonalName_Country2</v>
      </c>
      <c r="F77" s="171"/>
      <c r="G77" s="165" t="s">
        <v>214</v>
      </c>
      <c r="H77" s="165" t="s">
        <v>214</v>
      </c>
      <c r="I77" s="165" t="s">
        <v>214</v>
      </c>
      <c r="J77" s="165" t="s">
        <v>214</v>
      </c>
      <c r="K77" s="165" t="s">
        <v>214</v>
      </c>
      <c r="L77" s="165" t="s">
        <v>214</v>
      </c>
      <c r="M77" s="215"/>
      <c r="N77" s="215"/>
      <c r="O77" s="215"/>
      <c r="P77" s="215"/>
      <c r="Q77" s="215"/>
      <c r="R77" s="215"/>
      <c r="S77" s="215"/>
      <c r="T77" s="215"/>
      <c r="U77" s="215"/>
      <c r="V77" s="215"/>
      <c r="W77" s="215"/>
      <c r="X77" s="215"/>
      <c r="Y77" s="215"/>
      <c r="Z77" s="215"/>
      <c r="AA77" s="215"/>
      <c r="AB77" s="215"/>
      <c r="AC77" s="215"/>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row>
    <row r="78" spans="1:66" customFormat="1" ht="19.5" customHeight="1" x14ac:dyDescent="0.35">
      <c r="A78" s="190" t="s">
        <v>1196</v>
      </c>
      <c r="B78" s="190" t="s">
        <v>65</v>
      </c>
      <c r="C78" s="190" t="s">
        <v>76</v>
      </c>
      <c r="D78" s="158" t="str">
        <f t="shared" si="0"/>
        <v>AddAdditonalName_GivenName</v>
      </c>
      <c r="E78" s="158" t="str">
        <f t="shared" si="1"/>
        <v>AddAdditonalName_GivenName2</v>
      </c>
      <c r="F78" s="171"/>
      <c r="G78" s="165" t="s">
        <v>1182</v>
      </c>
      <c r="H78" s="165" t="s">
        <v>1182</v>
      </c>
      <c r="I78" s="165" t="s">
        <v>1182</v>
      </c>
      <c r="J78" s="165" t="s">
        <v>1182</v>
      </c>
      <c r="K78" s="165" t="s">
        <v>1182</v>
      </c>
      <c r="L78" s="165" t="s">
        <v>1182</v>
      </c>
      <c r="M78" s="215"/>
      <c r="N78" s="215"/>
      <c r="O78" s="215"/>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5"/>
      <c r="AZ78" s="215"/>
      <c r="BA78" s="215"/>
      <c r="BB78" s="215"/>
      <c r="BC78" s="215"/>
      <c r="BD78" s="215"/>
      <c r="BE78" s="215"/>
      <c r="BF78" s="215"/>
      <c r="BG78" s="215"/>
      <c r="BH78" s="215"/>
      <c r="BI78" s="215"/>
      <c r="BJ78" s="215"/>
      <c r="BK78" s="215"/>
      <c r="BL78" s="215"/>
      <c r="BM78" s="215"/>
      <c r="BN78" s="215"/>
    </row>
    <row r="79" spans="1:66" customFormat="1" ht="19.5" customHeight="1" x14ac:dyDescent="0.35">
      <c r="A79" s="190" t="s">
        <v>1196</v>
      </c>
      <c r="B79" s="190" t="s">
        <v>65</v>
      </c>
      <c r="C79" s="190" t="s">
        <v>1176</v>
      </c>
      <c r="D79" s="158" t="str">
        <f t="shared" si="0"/>
        <v>AddAdditonalName_FamilyName</v>
      </c>
      <c r="E79" s="158" t="str">
        <f t="shared" si="1"/>
        <v>AddAdditonalName_FamilyName2</v>
      </c>
      <c r="F79" s="171"/>
      <c r="G79" s="165" t="s">
        <v>1182</v>
      </c>
      <c r="H79" s="165" t="s">
        <v>1182</v>
      </c>
      <c r="I79" s="165" t="s">
        <v>1182</v>
      </c>
      <c r="J79" s="165" t="s">
        <v>1182</v>
      </c>
      <c r="K79" s="165" t="s">
        <v>1182</v>
      </c>
      <c r="L79" s="165" t="s">
        <v>1182</v>
      </c>
      <c r="M79" s="215"/>
      <c r="N79" s="215"/>
      <c r="O79" s="215"/>
      <c r="P79" s="215"/>
      <c r="Q79" s="215"/>
      <c r="R79" s="215"/>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row>
    <row r="80" spans="1:66" customFormat="1" ht="19.5" customHeight="1" x14ac:dyDescent="0.35">
      <c r="A80" s="190" t="s">
        <v>1219</v>
      </c>
      <c r="B80" s="190" t="s">
        <v>65</v>
      </c>
      <c r="C80" s="190" t="s">
        <v>1220</v>
      </c>
      <c r="D80" s="158" t="str">
        <f t="shared" si="0"/>
        <v>HealthCareProvider_HealthInsuranceCompany</v>
      </c>
      <c r="E80" s="158" t="str">
        <f t="shared" si="1"/>
        <v>HealthCareProvider_HealthInsuranceCompany2</v>
      </c>
      <c r="F80" s="171"/>
      <c r="G80" s="165" t="s">
        <v>1235</v>
      </c>
      <c r="H80" s="165" t="s">
        <v>1235</v>
      </c>
      <c r="I80" s="165" t="s">
        <v>1235</v>
      </c>
      <c r="J80" s="165" t="s">
        <v>1235</v>
      </c>
      <c r="K80" s="165" t="s">
        <v>1235</v>
      </c>
      <c r="L80" s="165" t="s">
        <v>1235</v>
      </c>
      <c r="M80" s="215"/>
      <c r="N80" s="215"/>
      <c r="O80" s="215"/>
      <c r="P80" s="215"/>
      <c r="Q80" s="215"/>
      <c r="R80" s="215"/>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row>
    <row r="81" spans="1:66" customFormat="1" ht="19.5" customHeight="1" x14ac:dyDescent="0.35">
      <c r="A81" s="190" t="s">
        <v>1219</v>
      </c>
      <c r="B81" s="190" t="s">
        <v>65</v>
      </c>
      <c r="C81" s="190" t="s">
        <v>1221</v>
      </c>
      <c r="D81" s="158" t="str">
        <f t="shared" si="0"/>
        <v>HealthCareProvider_MealVoucher</v>
      </c>
      <c r="E81" s="158" t="str">
        <f t="shared" si="1"/>
        <v>HealthCareProvider_MealVoucher2</v>
      </c>
      <c r="F81" s="171"/>
      <c r="G81" s="165" t="s">
        <v>1222</v>
      </c>
      <c r="H81" s="165" t="s">
        <v>1222</v>
      </c>
      <c r="I81" s="165" t="s">
        <v>1222</v>
      </c>
      <c r="J81" s="165" t="s">
        <v>1222</v>
      </c>
      <c r="K81" s="165" t="s">
        <v>1222</v>
      </c>
      <c r="L81" s="165" t="s">
        <v>1222</v>
      </c>
      <c r="M81" s="215"/>
      <c r="N81" s="215"/>
      <c r="O81" s="215"/>
      <c r="P81" s="215"/>
      <c r="Q81" s="215"/>
      <c r="R81" s="215"/>
      <c r="S81" s="215"/>
      <c r="T81" s="215"/>
      <c r="U81" s="215"/>
      <c r="V81" s="215"/>
      <c r="W81" s="215"/>
      <c r="X81" s="215"/>
      <c r="Y81" s="215"/>
      <c r="Z81" s="215"/>
      <c r="AA81" s="215"/>
      <c r="AB81" s="215"/>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5"/>
      <c r="BN81" s="215"/>
    </row>
    <row r="82" spans="1:66" customFormat="1" ht="19.5" customHeight="1" x14ac:dyDescent="0.35">
      <c r="A82" s="190" t="s">
        <v>139</v>
      </c>
      <c r="B82" s="190" t="s">
        <v>65</v>
      </c>
      <c r="C82" s="190" t="s">
        <v>1209</v>
      </c>
      <c r="D82" s="158" t="str">
        <f t="shared" si="0"/>
        <v>AssignPayGroup_ProposedPayGroupInitial</v>
      </c>
      <c r="E82" s="158" t="str">
        <f t="shared" si="1"/>
        <v>AssignPayGroup_ProposedPayGroupInitial2</v>
      </c>
      <c r="F82" s="171"/>
      <c r="G82" s="166" t="s">
        <v>1210</v>
      </c>
      <c r="H82" s="166" t="s">
        <v>1210</v>
      </c>
      <c r="I82" s="166" t="s">
        <v>1210</v>
      </c>
      <c r="J82" s="166" t="s">
        <v>1210</v>
      </c>
      <c r="K82" s="166" t="s">
        <v>1210</v>
      </c>
      <c r="L82" s="166" t="s">
        <v>1210</v>
      </c>
      <c r="M82" s="215"/>
      <c r="N82" s="215"/>
      <c r="O82" s="215"/>
      <c r="P82" s="215"/>
      <c r="Q82" s="215"/>
      <c r="R82" s="215"/>
      <c r="S82" s="215"/>
      <c r="T82" s="215"/>
      <c r="U82" s="215"/>
      <c r="V82" s="215"/>
      <c r="W82" s="215"/>
      <c r="X82" s="215"/>
      <c r="Y82" s="215"/>
      <c r="Z82" s="215"/>
      <c r="AA82" s="215"/>
      <c r="AB82" s="215"/>
      <c r="AC82" s="215"/>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5"/>
      <c r="AZ82" s="215"/>
      <c r="BA82" s="215"/>
      <c r="BB82" s="215"/>
      <c r="BC82" s="215"/>
      <c r="BD82" s="215"/>
      <c r="BE82" s="215"/>
      <c r="BF82" s="215"/>
      <c r="BG82" s="215"/>
      <c r="BH82" s="215"/>
      <c r="BI82" s="215"/>
      <c r="BJ82" s="215"/>
      <c r="BK82" s="215"/>
      <c r="BL82" s="215"/>
      <c r="BM82" s="215"/>
      <c r="BN82" s="215"/>
    </row>
    <row r="83" spans="1:66" s="160" customFormat="1" ht="19.899999999999999" customHeight="1" x14ac:dyDescent="0.35">
      <c r="A83" s="190" t="s">
        <v>139</v>
      </c>
      <c r="B83" s="190" t="s">
        <v>65</v>
      </c>
      <c r="C83" s="190" t="s">
        <v>1199</v>
      </c>
      <c r="D83" s="158" t="str">
        <f t="shared" si="0"/>
        <v>AssignPayGroup_ProposedPayGroupFinal</v>
      </c>
      <c r="E83" s="158" t="str">
        <f t="shared" si="1"/>
        <v>AssignPayGroup_ProposedPayGroupFinal2</v>
      </c>
      <c r="F83" s="171"/>
      <c r="G83" s="166" t="s">
        <v>1223</v>
      </c>
      <c r="H83" s="166" t="s">
        <v>1223</v>
      </c>
      <c r="I83" s="166" t="s">
        <v>1223</v>
      </c>
      <c r="J83" s="166" t="s">
        <v>1223</v>
      </c>
      <c r="K83" s="166" t="s">
        <v>1223</v>
      </c>
      <c r="L83" s="166" t="s">
        <v>1223</v>
      </c>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row>
  </sheetData>
  <phoneticPr fontId="9" type="noConversion"/>
  <conditionalFormatting sqref="G5:I7">
    <cfRule type="containsText" dxfId="3" priority="27" operator="containsText" text="Pass">
      <formula>NOT(ISERROR(SEARCH("Pass",G5)))</formula>
    </cfRule>
    <cfRule type="containsText" dxfId="2" priority="28" operator="containsText" text="Fail">
      <formula>NOT(ISERROR(SEARCH("Fail",G5)))</formula>
    </cfRule>
  </conditionalFormatting>
  <conditionalFormatting sqref="J5:L7">
    <cfRule type="containsText" dxfId="1" priority="1" operator="containsText" text="Pass">
      <formula>NOT(ISERROR(SEARCH("Pass",J5)))</formula>
    </cfRule>
    <cfRule type="containsText" dxfId="0" priority="2" operator="containsText" text="Fail">
      <formula>NOT(ISERROR(SEARCH("Fail",J5)))</formula>
    </cfRule>
  </conditionalFormatting>
  <dataValidations count="1">
    <dataValidation type="list" allowBlank="1" showInputMessage="1" showErrorMessage="1" sqref="G73:L73 G3:L4 G37:L37 G23:L23 G48:L48 G35:L35 G32:L32" xr:uid="{00000000-0002-0000-0700-000000000000}">
      <formula1>INDIRECT($E3)</formula1>
    </dataValidation>
  </dataValidations>
  <hyperlinks>
    <hyperlink ref="G34:I34" r:id="rId1" display="Test@primark.com" xr:uid="{1ECC7B69-C274-4157-8D4A-FE9DFA9F2F82}"/>
    <hyperlink ref="J34:L34" r:id="rId2" display="Test@primark.com" xr:uid="{6277C694-4628-490B-A8ED-36194C21F37C}"/>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Phani Kusam</cp:lastModifiedBy>
  <cp:revision/>
  <dcterms:created xsi:type="dcterms:W3CDTF">2018-11-23T13:00:49Z</dcterms:created>
  <dcterms:modified xsi:type="dcterms:W3CDTF">2025-02-05T11:28:47Z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