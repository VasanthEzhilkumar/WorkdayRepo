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7328"/>
  <workbookPr filterPrivacy="1"/>
  <xr:revisionPtr revIDLastSave="0" documentId="13_ncr:1_{9291A4D1-FC23-46E1-8293-8E8D7A3E7DD2}" xr6:coauthVersionLast="47" xr6:coauthVersionMax="47" xr10:uidLastSave="{00000000-0000-0000-0000-000000000000}"/>
  <bookViews>
    <workbookView xWindow="-110" yWindow="-110" windowWidth="19420" windowHeight="10420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Q20" i="1" l="1"/>
  <c r="AG20" i="1"/>
  <c r="AK20" i="1" s="1"/>
  <c r="K20" i="1"/>
  <c r="AJ20" i="1" s="1"/>
  <c r="AQ19" i="1"/>
  <c r="AG19" i="1"/>
  <c r="AK19" i="1" s="1"/>
  <c r="K19" i="1"/>
  <c r="AJ19" i="1" s="1"/>
  <c r="AQ18" i="1"/>
  <c r="AG18" i="1"/>
  <c r="AK18" i="1" s="1"/>
  <c r="K18" i="1"/>
  <c r="AJ18" i="1" s="1"/>
  <c r="AQ17" i="1"/>
  <c r="AG17" i="1"/>
  <c r="AK17" i="1" s="1"/>
  <c r="K17" i="1"/>
  <c r="AJ17" i="1" s="1"/>
  <c r="AQ16" i="1"/>
  <c r="AG16" i="1"/>
  <c r="AK16" i="1" s="1"/>
  <c r="K16" i="1"/>
  <c r="AJ16" i="1" s="1"/>
  <c r="AQ15" i="1"/>
  <c r="AG15" i="1"/>
  <c r="AK15" i="1" s="1"/>
  <c r="K15" i="1"/>
  <c r="AJ15" i="1" s="1"/>
  <c r="AQ14" i="1"/>
  <c r="AG14" i="1"/>
  <c r="AK14" i="1" s="1"/>
  <c r="K14" i="1"/>
  <c r="AJ14" i="1" s="1"/>
  <c r="AQ13" i="1"/>
  <c r="AG13" i="1"/>
  <c r="AK13" i="1" s="1"/>
  <c r="K13" i="1"/>
  <c r="AJ13" i="1" s="1"/>
  <c r="AQ12" i="1"/>
  <c r="AG12" i="1"/>
  <c r="AK12" i="1" s="1"/>
  <c r="K12" i="1"/>
  <c r="AJ12" i="1" s="1"/>
  <c r="AQ11" i="1"/>
  <c r="AG11" i="1"/>
  <c r="AK11" i="1" s="1"/>
  <c r="K11" i="1"/>
  <c r="AJ11" i="1" s="1"/>
  <c r="AQ10" i="1"/>
  <c r="AG10" i="1"/>
  <c r="AK10" i="1" s="1"/>
  <c r="K10" i="1"/>
  <c r="AJ10" i="1" s="1"/>
  <c r="AQ9" i="1"/>
  <c r="AG9" i="1"/>
  <c r="AK9" i="1" s="1"/>
  <c r="K9" i="1"/>
  <c r="AJ9" i="1" s="1"/>
  <c r="AQ8" i="1"/>
  <c r="AG8" i="1"/>
  <c r="AK8" i="1" s="1"/>
  <c r="K8" i="1"/>
  <c r="AJ8" i="1" s="1"/>
  <c r="AQ7" i="1"/>
  <c r="AG7" i="1"/>
  <c r="AK7" i="1" s="1"/>
  <c r="K7" i="1"/>
  <c r="AJ7" i="1" s="1"/>
  <c r="AQ6" i="1"/>
  <c r="AG6" i="1"/>
  <c r="AK6" i="1" s="1"/>
  <c r="K6" i="1"/>
  <c r="AJ6" i="1" s="1"/>
  <c r="AQ5" i="1"/>
  <c r="AG5" i="1"/>
  <c r="AK5" i="1" s="1"/>
  <c r="K5" i="1"/>
  <c r="AJ5" i="1" s="1"/>
  <c r="AQ4" i="1"/>
  <c r="AG4" i="1"/>
  <c r="AK4" i="1" s="1"/>
  <c r="K4" i="1"/>
  <c r="AJ4" i="1" s="1"/>
  <c r="AQ3" i="1"/>
  <c r="AG3" i="1"/>
  <c r="AK3" i="1" s="1"/>
  <c r="K3" i="1"/>
  <c r="AJ3" i="1" s="1"/>
  <c r="AQ2" i="1"/>
  <c r="AG2" i="1"/>
  <c r="AK2" i="1" s="1"/>
  <c r="K2" i="1"/>
  <c r="AJ2" i="1" s="1"/>
  <c r="W2" i="1" l="1"/>
  <c r="AL2" i="1"/>
  <c r="W3" i="1"/>
  <c r="AL3" i="1"/>
  <c r="W4" i="1"/>
  <c r="AL4" i="1"/>
  <c r="W5" i="1"/>
  <c r="AL5" i="1"/>
  <c r="W6" i="1"/>
  <c r="AL6" i="1"/>
  <c r="W7" i="1"/>
  <c r="AL7" i="1"/>
  <c r="W8" i="1"/>
  <c r="AL8" i="1"/>
  <c r="W9" i="1"/>
  <c r="AL9" i="1"/>
  <c r="W10" i="1"/>
  <c r="AL10" i="1"/>
  <c r="W11" i="1"/>
  <c r="AL11" i="1"/>
  <c r="W12" i="1"/>
  <c r="AL12" i="1"/>
  <c r="W13" i="1"/>
  <c r="AL13" i="1"/>
  <c r="W14" i="1"/>
  <c r="AL14" i="1"/>
  <c r="W15" i="1"/>
  <c r="AL15" i="1"/>
  <c r="W16" i="1"/>
  <c r="AL16" i="1"/>
  <c r="W17" i="1"/>
  <c r="AL17" i="1"/>
  <c r="W18" i="1"/>
  <c r="AL18" i="1"/>
  <c r="W19" i="1"/>
  <c r="AL19" i="1"/>
  <c r="W20" i="1"/>
  <c r="AL20" i="1"/>
  <c r="AM2" i="1"/>
  <c r="AM3" i="1"/>
  <c r="AM4" i="1"/>
  <c r="AM5" i="1"/>
  <c r="AM6" i="1"/>
  <c r="AM7" i="1"/>
  <c r="AM8" i="1"/>
  <c r="AM9" i="1"/>
  <c r="AM10" i="1"/>
  <c r="AM11" i="1"/>
  <c r="AM12" i="1"/>
  <c r="AM13" i="1"/>
  <c r="AM14" i="1"/>
  <c r="AM15" i="1"/>
  <c r="AM16" i="1"/>
  <c r="AM17" i="1"/>
  <c r="AM18" i="1"/>
  <c r="AM19" i="1"/>
  <c r="AM20" i="1"/>
</calcChain>
</file>

<file path=xl/sharedStrings.xml><?xml version="1.0" encoding="utf-8"?>
<sst xmlns="http://schemas.openxmlformats.org/spreadsheetml/2006/main" count="1148" uniqueCount="174">
  <si>
    <t>TestCaseIDs</t>
  </si>
  <si>
    <t>EmployeeID</t>
  </si>
  <si>
    <t>TestStatus</t>
  </si>
  <si>
    <t>SupervisoryOrganisation</t>
  </si>
  <si>
    <t>Country</t>
  </si>
  <si>
    <t>GivenName</t>
  </si>
  <si>
    <t>FamilyName</t>
  </si>
  <si>
    <t>PhoneNumber</t>
  </si>
  <si>
    <t>PhoneDevice</t>
  </si>
  <si>
    <t>Type</t>
  </si>
  <si>
    <t>EffectiveDate</t>
  </si>
  <si>
    <t>StreetName</t>
  </si>
  <si>
    <t>HouseNumber</t>
  </si>
  <si>
    <t>Locality</t>
  </si>
  <si>
    <t>PostalCode</t>
  </si>
  <si>
    <t>City</t>
  </si>
  <si>
    <t>Region</t>
  </si>
  <si>
    <t>UseFor</t>
  </si>
  <si>
    <t>EmailAddress</t>
  </si>
  <si>
    <t>HireDate</t>
  </si>
  <si>
    <t>Reason</t>
  </si>
  <si>
    <t>Position</t>
  </si>
  <si>
    <t>EmployeeType</t>
  </si>
  <si>
    <t>JobProfile</t>
  </si>
  <si>
    <t>TimeType</t>
  </si>
  <si>
    <t>Location</t>
  </si>
  <si>
    <t>PayRateType</t>
  </si>
  <si>
    <t>WorkShift</t>
  </si>
  <si>
    <t>ScheduledWeeklyHours</t>
  </si>
  <si>
    <t>EndEmploymentDate</t>
  </si>
  <si>
    <t>ContractType</t>
  </si>
  <si>
    <t>Status</t>
  </si>
  <si>
    <t>ContractStartDate</t>
  </si>
  <si>
    <t>ContractEndDate</t>
  </si>
  <si>
    <t>DateEmployeeSigned</t>
  </si>
  <si>
    <t>DateEmployerSigned</t>
  </si>
  <si>
    <t>CostCenter</t>
  </si>
  <si>
    <t>DepartmentSection</t>
  </si>
  <si>
    <t>AllowanceAmount</t>
  </si>
  <si>
    <t>ProbationEndDate</t>
  </si>
  <si>
    <t>Country1</t>
  </si>
  <si>
    <t>NationalIDType1</t>
  </si>
  <si>
    <t>AddEditID1</t>
  </si>
  <si>
    <t>IssuedDate1</t>
  </si>
  <si>
    <t>ExpirationDate1</t>
  </si>
  <si>
    <t>Country2</t>
  </si>
  <si>
    <t>NationalIDType2</t>
  </si>
  <si>
    <t>AddEditID2</t>
  </si>
  <si>
    <t>IssuedDate2</t>
  </si>
  <si>
    <t>ExpirationDate2</t>
  </si>
  <si>
    <t>Gender</t>
  </si>
  <si>
    <t>DateOfBirth</t>
  </si>
  <si>
    <t>CityofBirth</t>
  </si>
  <si>
    <t>MaritalStatus</t>
  </si>
  <si>
    <t>CitizenshipStatus</t>
  </si>
  <si>
    <t>BankName</t>
  </si>
  <si>
    <t>AccountType</t>
  </si>
  <si>
    <t>IBAN</t>
  </si>
  <si>
    <t>BankIdentificationCode</t>
  </si>
  <si>
    <t>NameType</t>
  </si>
  <si>
    <t>HealthInsuranceCompany</t>
  </si>
  <si>
    <t>MealVoucher</t>
  </si>
  <si>
    <t>ProposedPayGroupInitial</t>
  </si>
  <si>
    <t>ProposedPayGroupFinal</t>
  </si>
  <si>
    <t>defaultHours</t>
  </si>
  <si>
    <t>ReferenceNumber</t>
  </si>
  <si>
    <t>Test7</t>
  </si>
  <si>
    <t>10652763</t>
  </si>
  <si>
    <t>Passed</t>
  </si>
  <si>
    <t>896 Recruitment (Mypez Luzezu (10550474))</t>
  </si>
  <si>
    <t>Czechia</t>
  </si>
  <si>
    <t>CZSITPWNFA</t>
  </si>
  <si>
    <t>CzechPWFN</t>
  </si>
  <si>
    <t>771 272 784</t>
  </si>
  <si>
    <t>Mobile</t>
  </si>
  <si>
    <t>Home</t>
  </si>
  <si>
    <t>Test</t>
  </si>
  <si>
    <t>Prague</t>
  </si>
  <si>
    <t>26401</t>
  </si>
  <si>
    <t>Pardubic</t>
  </si>
  <si>
    <t>Street Address</t>
  </si>
  <si>
    <t>Test@primark.com</t>
  </si>
  <si>
    <t>New Hire</t>
  </si>
  <si>
    <t>No</t>
  </si>
  <si>
    <t>Agreement</t>
  </si>
  <si>
    <t>Retail Assistant Special Contracts_NEW</t>
  </si>
  <si>
    <t>Part Time</t>
  </si>
  <si>
    <t>896 Brno</t>
  </si>
  <si>
    <t>Hourly</t>
  </si>
  <si>
    <t>DPP/DPC (Czechia)</t>
  </si>
  <si>
    <t>DPC - Agreement to perform work</t>
  </si>
  <si>
    <t>Active</t>
  </si>
  <si>
    <t>94 Retail Operatives</t>
  </si>
  <si>
    <t>08 Ladieswear</t>
  </si>
  <si>
    <t>Personal Number</t>
  </si>
  <si>
    <t>11/11/1999</t>
  </si>
  <si>
    <t>11/11/2055</t>
  </si>
  <si>
    <t>Citizen ID Number</t>
  </si>
  <si>
    <t>Male</t>
  </si>
  <si>
    <t>11/11/2001</t>
  </si>
  <si>
    <t>Single (Czechia)</t>
  </si>
  <si>
    <t>Citizen (Czechia)</t>
  </si>
  <si>
    <t>Air Bank</t>
  </si>
  <si>
    <t>Checking</t>
  </si>
  <si>
    <t>CZ6508000000192000145399</t>
  </si>
  <si>
    <t>AIRACZPPXXX</t>
  </si>
  <si>
    <t>Maiden</t>
  </si>
  <si>
    <t>(VZP) – code No. 111</t>
  </si>
  <si>
    <t>Ne</t>
  </si>
  <si>
    <t>Please select a Czech Republic Pay Group</t>
  </si>
  <si>
    <t>CZ Monthly</t>
  </si>
  <si>
    <t>40</t>
  </si>
  <si>
    <t>Test8</t>
  </si>
  <si>
    <t>10652766</t>
  </si>
  <si>
    <t>CZSITPWNG</t>
  </si>
  <si>
    <t>CzechPWGN</t>
  </si>
  <si>
    <t>770 272 784</t>
  </si>
  <si>
    <t>Test9</t>
  </si>
  <si>
    <t>10652769</t>
  </si>
  <si>
    <t>CZSITPWNH</t>
  </si>
  <si>
    <t>CzechPWHN</t>
  </si>
  <si>
    <t>Test10</t>
  </si>
  <si>
    <t>10652771</t>
  </si>
  <si>
    <t>CZSITPWNI</t>
  </si>
  <si>
    <t>CzechPWIN</t>
  </si>
  <si>
    <t>Test11</t>
  </si>
  <si>
    <t>10652774</t>
  </si>
  <si>
    <t>CZSITPWNJ</t>
  </si>
  <si>
    <t>CzechPWJN</t>
  </si>
  <si>
    <t>Test12</t>
  </si>
  <si>
    <t>10652776</t>
  </si>
  <si>
    <t>CZSITPWNK</t>
  </si>
  <si>
    <t>CzechPWKN</t>
  </si>
  <si>
    <t>Test13</t>
  </si>
  <si>
    <t>CZSITPWL</t>
  </si>
  <si>
    <t>CzechPWLN</t>
  </si>
  <si>
    <t>Test14</t>
  </si>
  <si>
    <t>CZSITCJNA</t>
  </si>
  <si>
    <t>CzechARN</t>
  </si>
  <si>
    <t>DPP - Agreement to Complete a Job</t>
  </si>
  <si>
    <t>11/11/2000</t>
  </si>
  <si>
    <t>Test15</t>
  </si>
  <si>
    <t>CZSITCJNB</t>
  </si>
  <si>
    <t>CzechBRN</t>
  </si>
  <si>
    <t>Test16</t>
  </si>
  <si>
    <t>CZSITCJNC</t>
  </si>
  <si>
    <t>CzechCRN</t>
  </si>
  <si>
    <t>Test17</t>
  </si>
  <si>
    <t>CZSITCJND</t>
  </si>
  <si>
    <t>CzechMAN</t>
  </si>
  <si>
    <t>Test18</t>
  </si>
  <si>
    <t>CZSITCJNE</t>
  </si>
  <si>
    <t>CzechMBN</t>
  </si>
  <si>
    <t>Test19</t>
  </si>
  <si>
    <t>CZSITCJNF</t>
  </si>
  <si>
    <t>CzechMCN</t>
  </si>
  <si>
    <t>Test20</t>
  </si>
  <si>
    <t>CZSITCJNG</t>
  </si>
  <si>
    <t>CzechMANH</t>
  </si>
  <si>
    <t>Test21</t>
  </si>
  <si>
    <t>CZSITCJNH</t>
  </si>
  <si>
    <t>CzechMHN</t>
  </si>
  <si>
    <t>Test22</t>
  </si>
  <si>
    <t>CZSITCJNI</t>
  </si>
  <si>
    <t>CzechMJN</t>
  </si>
  <si>
    <t>Test23</t>
  </si>
  <si>
    <t>CZSITCJNJ</t>
  </si>
  <si>
    <t>CzechMGN</t>
  </si>
  <si>
    <t>Test24</t>
  </si>
  <si>
    <t>CZSITCJMK</t>
  </si>
  <si>
    <t>CzechMIN</t>
  </si>
  <si>
    <t>Test25</t>
  </si>
  <si>
    <t>CZSITCJNL</t>
  </si>
  <si>
    <t>CzechMRF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</si>
</sst>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mm/dd/yyyy"/>
  </numFmts>
  <fonts count="9" x14ac:knownFonts="1">
    <font>
      <sz val="11"/>
      <color theme="1"/>
      <name val="Calibri"/>
      <family val="2"/>
      <scheme val="minor"/>
    </font>
    <font>
      <sz val="14"/>
      <color rgb="FFFF0000"/>
      <name val="Arial"/>
      <family val="2"/>
    </font>
    <font>
      <sz val="14"/>
      <color theme="1"/>
      <name val="Arial"/>
      <family val="2"/>
    </font>
    <font>
      <sz val="14"/>
      <name val="Arial"/>
      <family val="2"/>
    </font>
    <font>
      <sz val="11"/>
      <color rgb="FFFF0000"/>
      <name val="Calibri"/>
      <family val="2"/>
      <scheme val="minor"/>
    </font>
    <font>
      <u/>
      <sz val="11"/>
      <color theme="10"/>
      <name val="Calibri"/>
      <family val="2"/>
      <scheme val="minor"/>
    </font>
    <font>
      <sz val="14"/>
      <color rgb="FF000000"/>
      <name val="Arial"/>
      <family val="2"/>
    </font>
    <font>
      <sz val="11"/>
      <name val="Calibri"/>
      <family val="2"/>
      <scheme val="minor"/>
    </font>
    <font>
      <sz val="10"/>
      <color rgb="FF000000"/>
      <name val="Arial"/>
      <family val="2"/>
    </font>
  </fonts>
  <fills count="10">
    <fill>
      <patternFill patternType="none"/>
    </fill>
    <fill>
      <patternFill patternType="gray125"/>
    </fill>
    <fill>
      <patternFill patternType="solid">
        <fgColor theme="0" tint="-0.249977111117893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rgb="FF00FF00"/>
      </patternFill>
    </fill>
    <fill>
      <patternFill patternType="solid">
        <fgColor theme="0"/>
        <bgColor indexed="64"/>
      </patternFill>
    </fill>
    <fill>
      <patternFill patternType="solid">
        <fgColor theme="0" tint="-4.9989318521683403E-2"/>
        <bgColor rgb="FF000000"/>
      </patternFill>
    </fill>
  </fills>
  <borders count="4">
    <border>
      <left/>
      <right/>
      <top/>
      <bottom/>
      <diagonal/>
    </border>
    <border>
      <left style="medium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indexed="64"/>
      </left>
      <right style="medium">
        <color indexed="64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5">
    <xf numFmtId="0" fontId="0" fillId="0" borderId="0" xfId="0"/>
    <xf numFmtId="49" fontId="0" fillId="0" borderId="0" xfId="0" applyNumberFormat="1" applyAlignment="1">
      <alignment horizontal="left"/>
    </xf>
    <xf numFmtId="0" fontId="1" fillId="2" borderId="1" xfId="0" applyFont="1" applyFill="1" applyBorder="1" applyAlignment="1">
      <alignment horizontal="left"/>
    </xf>
    <xf numFmtId="0" fontId="2" fillId="2" borderId="1" xfId="0" applyFont="1" applyFill="1" applyBorder="1" applyAlignment="1">
      <alignment horizontal="left"/>
    </xf>
    <xf numFmtId="0" fontId="2" fillId="3" borderId="1" xfId="0" applyFont="1" applyFill="1" applyBorder="1" applyAlignment="1">
      <alignment horizontal="left"/>
    </xf>
    <xf numFmtId="0" fontId="2" fillId="2" borderId="2" xfId="0" applyFont="1" applyFill="1" applyBorder="1" applyAlignment="1">
      <alignment horizontal="left"/>
    </xf>
    <xf numFmtId="0" fontId="1" fillId="2" borderId="2" xfId="0" applyFont="1" applyFill="1" applyBorder="1" applyAlignment="1">
      <alignment horizontal="left"/>
    </xf>
    <xf numFmtId="0" fontId="3" fillId="4" borderId="1" xfId="0" applyFont="1" applyFill="1" applyBorder="1" applyAlignment="1">
      <alignment horizontal="left"/>
    </xf>
    <xf numFmtId="0" fontId="0" fillId="2" borderId="1" xfId="0" applyFill="1" applyBorder="1" applyAlignment="1">
      <alignment horizontal="left"/>
    </xf>
    <xf numFmtId="0" fontId="2" fillId="5" borderId="1" xfId="0" applyFont="1" applyFill="1" applyBorder="1" applyAlignment="1">
      <alignment horizontal="left"/>
    </xf>
    <xf numFmtId="0" fontId="2" fillId="4" borderId="1" xfId="0" applyFont="1" applyFill="1" applyBorder="1" applyAlignment="1">
      <alignment horizontal="left"/>
    </xf>
    <xf numFmtId="0" fontId="2" fillId="6" borderId="1" xfId="0" applyFont="1" applyFill="1" applyBorder="1" applyAlignment="1">
      <alignment horizontal="left"/>
    </xf>
    <xf numFmtId="0" fontId="0" fillId="0" borderId="0" xfId="0" applyAlignment="1">
      <alignment horizontal="left"/>
    </xf>
    <xf numFmtId="0" fontId="0" fillId="7" borderId="0" xfId="0" applyFill="1"/>
    <xf numFmtId="0" fontId="1" fillId="0" borderId="3" xfId="0" applyFont="1" applyBorder="1" applyAlignment="1">
      <alignment vertical="center" wrapText="1"/>
    </xf>
    <xf numFmtId="0" fontId="2" fillId="8" borderId="3" xfId="0" applyFont="1" applyFill="1" applyBorder="1" applyAlignment="1">
      <alignment horizontal="left"/>
    </xf>
    <xf numFmtId="0" fontId="2" fillId="3" borderId="3" xfId="0" applyFont="1" applyFill="1" applyBorder="1" applyAlignment="1" applyProtection="1">
      <alignment horizontal="left"/>
      <protection locked="0"/>
    </xf>
    <xf numFmtId="0" fontId="0" fillId="3" borderId="0" xfId="0" applyFill="1"/>
    <xf numFmtId="0" fontId="2" fillId="8" borderId="3" xfId="0" applyFont="1" applyFill="1" applyBorder="1" applyAlignment="1" applyProtection="1">
      <alignment horizontal="left"/>
      <protection locked="0"/>
    </xf>
    <xf numFmtId="14" fontId="4" fillId="8" borderId="3" xfId="0" applyNumberFormat="1" applyFont="1" applyFill="1" applyBorder="1" applyAlignment="1">
      <alignment horizontal="left"/>
    </xf>
    <xf numFmtId="14" fontId="2" fillId="8" borderId="3" xfId="0" applyNumberFormat="1" applyFont="1" applyFill="1" applyBorder="1" applyAlignment="1">
      <alignment horizontal="left"/>
    </xf>
    <xf numFmtId="0" fontId="5" fillId="8" borderId="3" xfId="0" applyFont="1" applyFill="1" applyBorder="1" applyProtection="1">
      <protection locked="0"/>
    </xf>
    <xf numFmtId="0" fontId="2" fillId="0" borderId="3" xfId="0" applyFont="1" applyBorder="1"/>
    <xf numFmtId="0" fontId="6" fillId="0" borderId="3" xfId="0" applyFont="1" applyBorder="1"/>
    <xf numFmtId="0" fontId="2" fillId="0" borderId="3" xfId="0" applyFont="1" applyBorder="1" applyAlignment="1">
      <alignment horizontal="left"/>
    </xf>
    <xf numFmtId="0" fontId="2" fillId="0" borderId="3" xfId="0" applyFont="1" applyBorder="1" applyAlignment="1" applyProtection="1">
      <alignment horizontal="left" wrapText="1"/>
      <protection locked="0"/>
    </xf>
    <xf numFmtId="14" fontId="4" fillId="0" borderId="3" xfId="0" applyNumberFormat="1" applyFont="1" applyBorder="1" applyAlignment="1">
      <alignment horizontal="left"/>
    </xf>
    <xf numFmtId="0" fontId="2" fillId="0" borderId="3" xfId="0" applyFont="1" applyBorder="1" applyAlignment="1" applyProtection="1">
      <alignment horizontal="left"/>
      <protection locked="0"/>
    </xf>
    <xf numFmtId="14" fontId="7" fillId="0" borderId="3" xfId="0" applyNumberFormat="1" applyFont="1" applyBorder="1" applyAlignment="1">
      <alignment horizontal="left"/>
    </xf>
    <xf numFmtId="14" fontId="7" fillId="8" borderId="3" xfId="0" applyNumberFormat="1" applyFont="1" applyFill="1" applyBorder="1" applyAlignment="1">
      <alignment horizontal="left"/>
    </xf>
    <xf numFmtId="164" fontId="2" fillId="8" borderId="3" xfId="0" applyNumberFormat="1" applyFont="1" applyFill="1" applyBorder="1" applyAlignment="1" applyProtection="1">
      <alignment horizontal="left"/>
      <protection locked="0"/>
    </xf>
    <xf numFmtId="0" fontId="3" fillId="4" borderId="3" xfId="0" applyFont="1" applyFill="1" applyBorder="1" applyAlignment="1">
      <alignment horizontal="left"/>
    </xf>
    <xf numFmtId="0" fontId="2" fillId="8" borderId="3" xfId="0" applyFont="1" applyFill="1" applyBorder="1"/>
    <xf numFmtId="164" fontId="7" fillId="8" borderId="3" xfId="0" applyNumberFormat="1" applyFont="1" applyFill="1" applyBorder="1" applyAlignment="1" applyProtection="1">
      <alignment horizontal="left"/>
      <protection locked="0"/>
    </xf>
    <xf numFmtId="0" fontId="8" fillId="9" borderId="3" xfId="0" applyFont="1" applyFill="1" applyBorder="1" applyAlignment="1">
      <alignment horizontal="lef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mailto:Test@primark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X20"/>
  <sheetViews>
    <sheetView tabSelected="1" zoomScale="110" zoomScaleNormal="110" workbookViewId="0">
      <selection activeCell="B2" sqref="B2:C7"/>
    </sheetView>
  </sheetViews>
  <sheetFormatPr defaultRowHeight="14.4" customHeight="1" x14ac:dyDescent="0.35"/>
  <cols>
    <col min="4" max="102" width="17" customWidth="1"/>
  </cols>
  <sheetData>
    <row r="1" spans="1:102" ht="18" customHeight="1" x14ac:dyDescent="0.25">
      <c r="A1" s="1" t="s">
        <v>0</v>
      </c>
      <c r="B1" s="1" t="s">
        <v>1</v>
      </c>
      <c r="C1" s="1" t="s">
        <v>2</v>
      </c>
      <c r="D1" s="2" t="s">
        <v>3</v>
      </c>
      <c r="E1" s="3" t="s">
        <v>4</v>
      </c>
      <c r="F1" s="4" t="s">
        <v>5</v>
      </c>
      <c r="G1" s="4" t="s">
        <v>6</v>
      </c>
      <c r="H1" s="3" t="s">
        <v>7</v>
      </c>
      <c r="I1" s="3" t="s">
        <v>8</v>
      </c>
      <c r="J1" s="3" t="s">
        <v>9</v>
      </c>
      <c r="K1" s="2" t="s">
        <v>10</v>
      </c>
      <c r="L1" s="3" t="s">
        <v>4</v>
      </c>
      <c r="M1" s="3" t="s">
        <v>11</v>
      </c>
      <c r="N1" s="3" t="s">
        <v>12</v>
      </c>
      <c r="O1" s="3" t="s">
        <v>13</v>
      </c>
      <c r="P1" s="3" t="s">
        <v>14</v>
      </c>
      <c r="Q1" s="3" t="s">
        <v>15</v>
      </c>
      <c r="R1" s="3" t="s">
        <v>16</v>
      </c>
      <c r="S1" s="3" t="s">
        <v>9</v>
      </c>
      <c r="T1" s="3" t="s">
        <v>17</v>
      </c>
      <c r="U1" s="3" t="s">
        <v>18</v>
      </c>
      <c r="V1" s="3" t="s">
        <v>9</v>
      </c>
      <c r="W1" s="2" t="s">
        <v>19</v>
      </c>
      <c r="X1" s="3" t="s">
        <v>20</v>
      </c>
      <c r="Y1" s="4" t="s">
        <v>21</v>
      </c>
      <c r="Z1" s="3" t="s">
        <v>22</v>
      </c>
      <c r="AA1" s="3" t="s">
        <v>23</v>
      </c>
      <c r="AB1" s="3" t="s">
        <v>24</v>
      </c>
      <c r="AC1" s="3" t="s">
        <v>25</v>
      </c>
      <c r="AD1" s="3" t="s">
        <v>26</v>
      </c>
      <c r="AE1" s="3" t="s">
        <v>27</v>
      </c>
      <c r="AF1" s="5" t="s">
        <v>28</v>
      </c>
      <c r="AG1" s="6" t="s">
        <v>29</v>
      </c>
      <c r="AH1" s="3" t="s">
        <v>30</v>
      </c>
      <c r="AI1" s="3" t="s">
        <v>31</v>
      </c>
      <c r="AJ1" s="3" t="s">
        <v>32</v>
      </c>
      <c r="AK1" s="2" t="s">
        <v>33</v>
      </c>
      <c r="AL1" s="3" t="s">
        <v>34</v>
      </c>
      <c r="AM1" s="3" t="s">
        <v>35</v>
      </c>
      <c r="AN1" s="3" t="s">
        <v>36</v>
      </c>
      <c r="AO1" s="3" t="s">
        <v>37</v>
      </c>
      <c r="AP1" s="3" t="s">
        <v>38</v>
      </c>
      <c r="AQ1" s="3" t="s">
        <v>39</v>
      </c>
      <c r="AR1" s="3" t="s">
        <v>40</v>
      </c>
      <c r="AS1" s="3" t="s">
        <v>41</v>
      </c>
      <c r="AT1" s="7" t="s">
        <v>42</v>
      </c>
      <c r="AU1" s="3" t="s">
        <v>43</v>
      </c>
      <c r="AV1" s="3" t="s">
        <v>44</v>
      </c>
      <c r="AW1" s="3" t="s">
        <v>45</v>
      </c>
      <c r="AX1" s="3" t="s">
        <v>46</v>
      </c>
      <c r="AY1" s="7" t="s">
        <v>47</v>
      </c>
      <c r="AZ1" s="3" t="s">
        <v>48</v>
      </c>
      <c r="BA1" s="3" t="s">
        <v>49</v>
      </c>
      <c r="BB1" s="3" t="s">
        <v>50</v>
      </c>
      <c r="BC1" s="3" t="s">
        <v>51</v>
      </c>
      <c r="BD1" s="3" t="s">
        <v>52</v>
      </c>
      <c r="BE1" s="3" t="s">
        <v>53</v>
      </c>
      <c r="BF1" s="3" t="s">
        <v>54</v>
      </c>
      <c r="BG1" s="3" t="s">
        <v>55</v>
      </c>
      <c r="BH1" s="3" t="s">
        <v>56</v>
      </c>
      <c r="BI1" s="3" t="s">
        <v>57</v>
      </c>
      <c r="BJ1" s="8" t="s">
        <v>58</v>
      </c>
      <c r="BK1" s="3" t="s">
        <v>59</v>
      </c>
      <c r="BL1" s="3" t="s">
        <v>4</v>
      </c>
      <c r="BM1" s="3" t="s">
        <v>5</v>
      </c>
      <c r="BN1" s="3" t="s">
        <v>6</v>
      </c>
      <c r="BO1" s="3" t="s">
        <v>60</v>
      </c>
      <c r="BP1" s="3" t="s">
        <v>61</v>
      </c>
      <c r="BQ1" s="3" t="s">
        <v>62</v>
      </c>
      <c r="BR1" s="3" t="s">
        <v>63</v>
      </c>
      <c r="BS1" s="3" t="s">
        <v>64</v>
      </c>
      <c r="BT1" s="3" t="s">
        <v>65</v>
      </c>
      <c r="BU1" s="9"/>
      <c r="BV1" s="9"/>
      <c r="BW1" s="9"/>
      <c r="BX1" s="9"/>
      <c r="BY1" s="9"/>
      <c r="BZ1" s="10"/>
      <c r="CA1" s="9"/>
      <c r="CB1" s="9"/>
      <c r="CC1" s="9"/>
      <c r="CD1" s="9"/>
      <c r="CE1" s="10"/>
      <c r="CF1" s="9"/>
      <c r="CG1" s="9"/>
      <c r="CH1" s="11"/>
      <c r="CI1" s="10"/>
      <c r="CJ1" s="9"/>
      <c r="CK1" s="10"/>
      <c r="CL1" s="10"/>
      <c r="CM1" s="9"/>
      <c r="CN1" s="9"/>
      <c r="CO1" s="9"/>
      <c r="CP1" s="9"/>
      <c r="CQ1" s="9"/>
      <c r="CR1" s="9"/>
      <c r="CS1" s="9"/>
      <c r="CT1" s="9"/>
      <c r="CU1" s="10"/>
      <c r="CV1" s="10"/>
      <c r="CW1" s="9"/>
      <c r="CX1" s="10"/>
    </row>
    <row r="2" spans="1:102" ht="14.4" customHeight="1" x14ac:dyDescent="0.35">
      <c r="A2" s="12" t="s">
        <v>66</v>
      </c>
      <c r="B2" t="s">
        <v>67</v>
      </c>
      <c r="C2" s="13" t="s">
        <v>68</v>
      </c>
      <c r="D2" s="14" t="s">
        <v>69</v>
      </c>
      <c r="E2" s="15" t="s">
        <v>70</v>
      </c>
      <c r="F2" s="16" t="s">
        <v>71</v>
      </c>
      <c r="G2" s="17" t="s">
        <v>72</v>
      </c>
      <c r="H2" s="18" t="s">
        <v>73</v>
      </c>
      <c r="I2" s="18" t="s">
        <v>74</v>
      </c>
      <c r="J2" s="18" t="s">
        <v>75</v>
      </c>
      <c r="K2" s="19">
        <f t="shared" ref="K2:K20" ca="1" si="0">TODAY()-61</f>
        <v>45626</v>
      </c>
      <c r="L2" s="15" t="s">
        <v>70</v>
      </c>
      <c r="M2" s="15" t="s">
        <v>76</v>
      </c>
      <c r="N2" s="15">
        <v>1</v>
      </c>
      <c r="O2" s="18" t="s">
        <v>77</v>
      </c>
      <c r="P2" s="18" t="s">
        <v>78</v>
      </c>
      <c r="Q2" s="18" t="s">
        <v>77</v>
      </c>
      <c r="R2" s="18" t="s">
        <v>79</v>
      </c>
      <c r="S2" s="18" t="s">
        <v>75</v>
      </c>
      <c r="T2" s="20" t="s">
        <v>80</v>
      </c>
      <c r="U2" s="21" t="s">
        <v>81</v>
      </c>
      <c r="V2" s="18" t="s">
        <v>75</v>
      </c>
      <c r="W2" s="19">
        <f t="shared" ref="W2:W20" ca="1" si="1">K2</f>
        <v>45626</v>
      </c>
      <c r="X2" s="18" t="s">
        <v>82</v>
      </c>
      <c r="Y2" s="16" t="s">
        <v>83</v>
      </c>
      <c r="Z2" s="22" t="s">
        <v>84</v>
      </c>
      <c r="AA2" s="23" t="s">
        <v>85</v>
      </c>
      <c r="AB2" s="22" t="s">
        <v>86</v>
      </c>
      <c r="AC2" s="24" t="s">
        <v>87</v>
      </c>
      <c r="AD2" s="24" t="s">
        <v>88</v>
      </c>
      <c r="AE2" s="22" t="s">
        <v>89</v>
      </c>
      <c r="AF2" s="25">
        <v>20</v>
      </c>
      <c r="AG2" s="26">
        <f t="shared" ref="AG2:AG20" ca="1" si="2">TODAY()+365</f>
        <v>46052</v>
      </c>
      <c r="AH2" s="27" t="s">
        <v>90</v>
      </c>
      <c r="AI2" s="27" t="s">
        <v>91</v>
      </c>
      <c r="AJ2" s="28">
        <f t="shared" ref="AJ2:AJ20" ca="1" si="3">K2</f>
        <v>45626</v>
      </c>
      <c r="AK2" s="26">
        <f t="shared" ref="AK2:AK20" ca="1" si="4">AG2</f>
        <v>46052</v>
      </c>
      <c r="AL2" s="29">
        <f t="shared" ref="AL2:AL20" ca="1" si="5">K2</f>
        <v>45626</v>
      </c>
      <c r="AM2" s="29">
        <f t="shared" ref="AM2:AM20" ca="1" si="6">K2</f>
        <v>45626</v>
      </c>
      <c r="AN2" s="27" t="s">
        <v>92</v>
      </c>
      <c r="AO2" s="22" t="s">
        <v>93</v>
      </c>
      <c r="AP2" s="15">
        <v>100</v>
      </c>
      <c r="AQ2" s="29">
        <f t="shared" ref="AQ2:AQ20" ca="1" si="7">TODAY()+20</f>
        <v>45707</v>
      </c>
      <c r="AR2" s="15" t="s">
        <v>70</v>
      </c>
      <c r="AS2" s="30" t="s">
        <v>94</v>
      </c>
      <c r="AT2" s="31">
        <v>584427426</v>
      </c>
      <c r="AU2" s="29" t="s">
        <v>95</v>
      </c>
      <c r="AV2" s="29" t="s">
        <v>96</v>
      </c>
      <c r="AW2" s="15" t="s">
        <v>70</v>
      </c>
      <c r="AX2" s="30" t="s">
        <v>97</v>
      </c>
      <c r="AY2" s="31">
        <v>694247556</v>
      </c>
      <c r="AZ2" s="29" t="s">
        <v>95</v>
      </c>
      <c r="BA2" s="29" t="s">
        <v>96</v>
      </c>
      <c r="BB2" s="32" t="s">
        <v>98</v>
      </c>
      <c r="BC2" s="29" t="s">
        <v>99</v>
      </c>
      <c r="BD2" s="30" t="s">
        <v>77</v>
      </c>
      <c r="BE2" s="30" t="s">
        <v>100</v>
      </c>
      <c r="BF2" s="30" t="s">
        <v>101</v>
      </c>
      <c r="BG2" s="15" t="s">
        <v>102</v>
      </c>
      <c r="BH2" s="15" t="s">
        <v>103</v>
      </c>
      <c r="BI2" s="33" t="s">
        <v>104</v>
      </c>
      <c r="BJ2" t="s">
        <v>105</v>
      </c>
      <c r="BK2" s="15" t="s">
        <v>106</v>
      </c>
      <c r="BL2" s="15" t="s">
        <v>70</v>
      </c>
      <c r="BM2" s="15" t="s">
        <v>71</v>
      </c>
      <c r="BN2" s="15" t="s">
        <v>72</v>
      </c>
      <c r="BO2" s="15" t="s">
        <v>107</v>
      </c>
      <c r="BP2" s="15" t="s">
        <v>108</v>
      </c>
      <c r="BQ2" s="18" t="s">
        <v>109</v>
      </c>
      <c r="BR2" s="18" t="s">
        <v>110</v>
      </c>
      <c r="BS2" t="s">
        <v>111</v>
      </c>
      <c r="BT2" s="34">
        <v>213111231</v>
      </c>
    </row>
    <row r="3" spans="1:102" ht="14.4" customHeight="1" x14ac:dyDescent="0.35">
      <c r="A3" s="12" t="s">
        <v>112</v>
      </c>
      <c r="B3" t="s">
        <v>113</v>
      </c>
      <c r="C3" s="13" t="s">
        <v>68</v>
      </c>
      <c r="D3" s="14" t="s">
        <v>69</v>
      </c>
      <c r="E3" s="15" t="s">
        <v>70</v>
      </c>
      <c r="F3" s="16" t="s">
        <v>114</v>
      </c>
      <c r="G3" s="17" t="s">
        <v>115</v>
      </c>
      <c r="H3" s="18" t="s">
        <v>116</v>
      </c>
      <c r="I3" s="18" t="s">
        <v>74</v>
      </c>
      <c r="J3" s="18" t="s">
        <v>75</v>
      </c>
      <c r="K3" s="19">
        <f t="shared" ca="1" si="0"/>
        <v>45626</v>
      </c>
      <c r="L3" s="15" t="s">
        <v>70</v>
      </c>
      <c r="M3" s="15" t="s">
        <v>76</v>
      </c>
      <c r="N3" s="15">
        <v>1</v>
      </c>
      <c r="O3" s="18" t="s">
        <v>77</v>
      </c>
      <c r="P3" s="18" t="s">
        <v>78</v>
      </c>
      <c r="Q3" s="18" t="s">
        <v>77</v>
      </c>
      <c r="R3" s="18" t="s">
        <v>79</v>
      </c>
      <c r="S3" s="18" t="s">
        <v>75</v>
      </c>
      <c r="T3" s="20" t="s">
        <v>80</v>
      </c>
      <c r="U3" s="21" t="s">
        <v>81</v>
      </c>
      <c r="V3" s="18" t="s">
        <v>75</v>
      </c>
      <c r="W3" s="19">
        <f t="shared" ca="1" si="1"/>
        <v>45626</v>
      </c>
      <c r="X3" s="18" t="s">
        <v>82</v>
      </c>
      <c r="Y3" s="16" t="s">
        <v>83</v>
      </c>
      <c r="Z3" s="22" t="s">
        <v>84</v>
      </c>
      <c r="AA3" s="23" t="s">
        <v>85</v>
      </c>
      <c r="AB3" s="22" t="s">
        <v>86</v>
      </c>
      <c r="AC3" s="24" t="s">
        <v>87</v>
      </c>
      <c r="AD3" s="24" t="s">
        <v>88</v>
      </c>
      <c r="AE3" s="22" t="s">
        <v>89</v>
      </c>
      <c r="AF3" s="25">
        <v>20</v>
      </c>
      <c r="AG3" s="26">
        <f t="shared" ca="1" si="2"/>
        <v>46052</v>
      </c>
      <c r="AH3" s="27" t="s">
        <v>90</v>
      </c>
      <c r="AI3" s="27" t="s">
        <v>91</v>
      </c>
      <c r="AJ3" s="28">
        <f t="shared" ca="1" si="3"/>
        <v>45626</v>
      </c>
      <c r="AK3" s="26">
        <f t="shared" ca="1" si="4"/>
        <v>46052</v>
      </c>
      <c r="AL3" s="29">
        <f t="shared" ca="1" si="5"/>
        <v>45626</v>
      </c>
      <c r="AM3" s="29">
        <f t="shared" ca="1" si="6"/>
        <v>45626</v>
      </c>
      <c r="AN3" s="27" t="s">
        <v>92</v>
      </c>
      <c r="AO3" s="22" t="s">
        <v>93</v>
      </c>
      <c r="AP3" s="15">
        <v>100</v>
      </c>
      <c r="AQ3" s="29">
        <f t="shared" ca="1" si="7"/>
        <v>45707</v>
      </c>
      <c r="AR3" s="15" t="s">
        <v>70</v>
      </c>
      <c r="AS3" s="30" t="s">
        <v>94</v>
      </c>
      <c r="AT3" s="31">
        <v>583427427</v>
      </c>
      <c r="AU3" s="29" t="s">
        <v>95</v>
      </c>
      <c r="AV3" s="29" t="s">
        <v>96</v>
      </c>
      <c r="AW3" s="15" t="s">
        <v>70</v>
      </c>
      <c r="AX3" s="30" t="s">
        <v>97</v>
      </c>
      <c r="AY3" s="31">
        <v>693247557</v>
      </c>
      <c r="AZ3" s="29" t="s">
        <v>95</v>
      </c>
      <c r="BA3" s="29" t="s">
        <v>96</v>
      </c>
      <c r="BB3" s="32" t="s">
        <v>98</v>
      </c>
      <c r="BC3" s="29" t="s">
        <v>99</v>
      </c>
      <c r="BD3" s="30" t="s">
        <v>77</v>
      </c>
      <c r="BE3" s="30" t="s">
        <v>100</v>
      </c>
      <c r="BF3" s="30" t="s">
        <v>101</v>
      </c>
      <c r="BG3" s="15" t="s">
        <v>102</v>
      </c>
      <c r="BH3" s="15" t="s">
        <v>103</v>
      </c>
      <c r="BI3" s="33" t="s">
        <v>104</v>
      </c>
      <c r="BJ3" t="s">
        <v>105</v>
      </c>
      <c r="BK3" s="15" t="s">
        <v>106</v>
      </c>
      <c r="BL3" s="15" t="s">
        <v>70</v>
      </c>
      <c r="BM3" s="15" t="s">
        <v>114</v>
      </c>
      <c r="BN3" s="15" t="s">
        <v>115</v>
      </c>
      <c r="BO3" s="15" t="s">
        <v>107</v>
      </c>
      <c r="BP3" s="15" t="s">
        <v>108</v>
      </c>
      <c r="BQ3" s="18" t="s">
        <v>109</v>
      </c>
      <c r="BR3" s="18" t="s">
        <v>110</v>
      </c>
      <c r="BS3" t="s">
        <v>111</v>
      </c>
      <c r="BT3" s="34">
        <v>213111231</v>
      </c>
    </row>
    <row r="4" spans="1:102" ht="14.4" customHeight="1" x14ac:dyDescent="0.35">
      <c r="A4" s="12" t="s">
        <v>117</v>
      </c>
      <c r="B4" t="s">
        <v>118</v>
      </c>
      <c r="C4" s="13" t="s">
        <v>68</v>
      </c>
      <c r="D4" s="14" t="s">
        <v>69</v>
      </c>
      <c r="E4" s="15" t="s">
        <v>70</v>
      </c>
      <c r="F4" s="16" t="s">
        <v>119</v>
      </c>
      <c r="G4" s="17" t="s">
        <v>120</v>
      </c>
      <c r="H4" s="18" t="s">
        <v>116</v>
      </c>
      <c r="I4" s="18" t="s">
        <v>74</v>
      </c>
      <c r="J4" s="18" t="s">
        <v>75</v>
      </c>
      <c r="K4" s="19">
        <f t="shared" ca="1" si="0"/>
        <v>45626</v>
      </c>
      <c r="L4" s="15" t="s">
        <v>70</v>
      </c>
      <c r="M4" s="15" t="s">
        <v>76</v>
      </c>
      <c r="N4" s="15">
        <v>1</v>
      </c>
      <c r="O4" s="18" t="s">
        <v>77</v>
      </c>
      <c r="P4" s="18" t="s">
        <v>78</v>
      </c>
      <c r="Q4" s="18" t="s">
        <v>77</v>
      </c>
      <c r="R4" s="18" t="s">
        <v>79</v>
      </c>
      <c r="S4" s="18" t="s">
        <v>75</v>
      </c>
      <c r="T4" s="20" t="s">
        <v>80</v>
      </c>
      <c r="U4" s="21" t="s">
        <v>81</v>
      </c>
      <c r="V4" s="18" t="s">
        <v>75</v>
      </c>
      <c r="W4" s="19">
        <f t="shared" ca="1" si="1"/>
        <v>45626</v>
      </c>
      <c r="X4" s="18" t="s">
        <v>82</v>
      </c>
      <c r="Y4" s="16" t="s">
        <v>83</v>
      </c>
      <c r="Z4" s="22" t="s">
        <v>84</v>
      </c>
      <c r="AA4" s="23" t="s">
        <v>85</v>
      </c>
      <c r="AB4" s="22" t="s">
        <v>86</v>
      </c>
      <c r="AC4" s="24" t="s">
        <v>87</v>
      </c>
      <c r="AD4" s="24" t="s">
        <v>88</v>
      </c>
      <c r="AE4" s="22" t="s">
        <v>89</v>
      </c>
      <c r="AF4" s="25">
        <v>20</v>
      </c>
      <c r="AG4" s="26">
        <f t="shared" ca="1" si="2"/>
        <v>46052</v>
      </c>
      <c r="AH4" s="27" t="s">
        <v>90</v>
      </c>
      <c r="AI4" s="27" t="s">
        <v>91</v>
      </c>
      <c r="AJ4" s="28">
        <f t="shared" ca="1" si="3"/>
        <v>45626</v>
      </c>
      <c r="AK4" s="26">
        <f t="shared" ca="1" si="4"/>
        <v>46052</v>
      </c>
      <c r="AL4" s="29">
        <f t="shared" ca="1" si="5"/>
        <v>45626</v>
      </c>
      <c r="AM4" s="29">
        <f t="shared" ca="1" si="6"/>
        <v>45626</v>
      </c>
      <c r="AN4" s="27" t="s">
        <v>92</v>
      </c>
      <c r="AO4" s="22" t="s">
        <v>93</v>
      </c>
      <c r="AP4" s="15">
        <v>100</v>
      </c>
      <c r="AQ4" s="29">
        <f t="shared" ca="1" si="7"/>
        <v>45707</v>
      </c>
      <c r="AR4" s="15" t="s">
        <v>70</v>
      </c>
      <c r="AS4" s="30" t="s">
        <v>94</v>
      </c>
      <c r="AT4" s="31">
        <v>583427428</v>
      </c>
      <c r="AU4" s="29" t="s">
        <v>95</v>
      </c>
      <c r="AV4" s="29" t="s">
        <v>96</v>
      </c>
      <c r="AW4" s="15" t="s">
        <v>70</v>
      </c>
      <c r="AX4" s="30" t="s">
        <v>97</v>
      </c>
      <c r="AY4" s="31">
        <v>693247558</v>
      </c>
      <c r="AZ4" s="29" t="s">
        <v>95</v>
      </c>
      <c r="BA4" s="29" t="s">
        <v>96</v>
      </c>
      <c r="BB4" s="32" t="s">
        <v>98</v>
      </c>
      <c r="BC4" s="29" t="s">
        <v>99</v>
      </c>
      <c r="BD4" s="30" t="s">
        <v>77</v>
      </c>
      <c r="BE4" s="30" t="s">
        <v>100</v>
      </c>
      <c r="BF4" s="30" t="s">
        <v>101</v>
      </c>
      <c r="BG4" s="15" t="s">
        <v>102</v>
      </c>
      <c r="BH4" s="15" t="s">
        <v>103</v>
      </c>
      <c r="BI4" s="33" t="s">
        <v>104</v>
      </c>
      <c r="BJ4" t="s">
        <v>105</v>
      </c>
      <c r="BK4" s="15" t="s">
        <v>106</v>
      </c>
      <c r="BL4" s="15" t="s">
        <v>70</v>
      </c>
      <c r="BM4" s="15" t="s">
        <v>119</v>
      </c>
      <c r="BN4" s="15" t="s">
        <v>120</v>
      </c>
      <c r="BO4" s="15" t="s">
        <v>107</v>
      </c>
      <c r="BP4" s="15" t="s">
        <v>108</v>
      </c>
      <c r="BQ4" s="18" t="s">
        <v>109</v>
      </c>
      <c r="BR4" s="18" t="s">
        <v>110</v>
      </c>
      <c r="BS4" t="s">
        <v>111</v>
      </c>
      <c r="BT4" s="34">
        <v>213111231</v>
      </c>
    </row>
    <row r="5" spans="1:102" ht="14.4" customHeight="1" x14ac:dyDescent="0.35">
      <c r="A5" s="12" t="s">
        <v>121</v>
      </c>
      <c r="B5" t="s">
        <v>122</v>
      </c>
      <c r="C5" s="13" t="s">
        <v>68</v>
      </c>
      <c r="D5" s="14" t="s">
        <v>69</v>
      </c>
      <c r="E5" s="15" t="s">
        <v>70</v>
      </c>
      <c r="F5" s="16" t="s">
        <v>123</v>
      </c>
      <c r="G5" s="17" t="s">
        <v>124</v>
      </c>
      <c r="H5" s="18" t="s">
        <v>73</v>
      </c>
      <c r="I5" s="18" t="s">
        <v>74</v>
      </c>
      <c r="J5" s="18" t="s">
        <v>75</v>
      </c>
      <c r="K5" s="19">
        <f t="shared" ca="1" si="0"/>
        <v>45626</v>
      </c>
      <c r="L5" s="15" t="s">
        <v>70</v>
      </c>
      <c r="M5" s="15" t="s">
        <v>76</v>
      </c>
      <c r="N5" s="15">
        <v>1</v>
      </c>
      <c r="O5" s="18" t="s">
        <v>77</v>
      </c>
      <c r="P5" s="18" t="s">
        <v>78</v>
      </c>
      <c r="Q5" s="18" t="s">
        <v>77</v>
      </c>
      <c r="R5" s="18" t="s">
        <v>79</v>
      </c>
      <c r="S5" s="18" t="s">
        <v>75</v>
      </c>
      <c r="T5" s="20" t="s">
        <v>80</v>
      </c>
      <c r="U5" s="21" t="s">
        <v>81</v>
      </c>
      <c r="V5" s="18" t="s">
        <v>75</v>
      </c>
      <c r="W5" s="19">
        <f t="shared" ca="1" si="1"/>
        <v>45626</v>
      </c>
      <c r="X5" s="18" t="s">
        <v>82</v>
      </c>
      <c r="Y5" s="16" t="s">
        <v>83</v>
      </c>
      <c r="Z5" s="22" t="s">
        <v>84</v>
      </c>
      <c r="AA5" s="23" t="s">
        <v>85</v>
      </c>
      <c r="AB5" s="22" t="s">
        <v>86</v>
      </c>
      <c r="AC5" s="24" t="s">
        <v>87</v>
      </c>
      <c r="AD5" s="24" t="s">
        <v>88</v>
      </c>
      <c r="AE5" s="22" t="s">
        <v>89</v>
      </c>
      <c r="AF5" s="25">
        <v>20</v>
      </c>
      <c r="AG5" s="26">
        <f t="shared" ca="1" si="2"/>
        <v>46052</v>
      </c>
      <c r="AH5" s="27" t="s">
        <v>90</v>
      </c>
      <c r="AI5" s="27" t="s">
        <v>91</v>
      </c>
      <c r="AJ5" s="28">
        <f t="shared" ca="1" si="3"/>
        <v>45626</v>
      </c>
      <c r="AK5" s="26">
        <f t="shared" ca="1" si="4"/>
        <v>46052</v>
      </c>
      <c r="AL5" s="29">
        <f t="shared" ca="1" si="5"/>
        <v>45626</v>
      </c>
      <c r="AM5" s="29">
        <f t="shared" ca="1" si="6"/>
        <v>45626</v>
      </c>
      <c r="AN5" s="27" t="s">
        <v>92</v>
      </c>
      <c r="AO5" s="22" t="s">
        <v>93</v>
      </c>
      <c r="AP5" s="15">
        <v>100</v>
      </c>
      <c r="AQ5" s="29">
        <f t="shared" ca="1" si="7"/>
        <v>45707</v>
      </c>
      <c r="AR5" s="15" t="s">
        <v>70</v>
      </c>
      <c r="AS5" s="30" t="s">
        <v>94</v>
      </c>
      <c r="AT5" s="31">
        <v>583427429</v>
      </c>
      <c r="AU5" s="29" t="s">
        <v>95</v>
      </c>
      <c r="AV5" s="29" t="s">
        <v>96</v>
      </c>
      <c r="AW5" s="15" t="s">
        <v>70</v>
      </c>
      <c r="AX5" s="30" t="s">
        <v>97</v>
      </c>
      <c r="AY5" s="31">
        <v>693247559</v>
      </c>
      <c r="AZ5" s="29" t="s">
        <v>95</v>
      </c>
      <c r="BA5" s="29" t="s">
        <v>96</v>
      </c>
      <c r="BB5" s="32" t="s">
        <v>98</v>
      </c>
      <c r="BC5" s="29" t="s">
        <v>99</v>
      </c>
      <c r="BD5" s="30" t="s">
        <v>77</v>
      </c>
      <c r="BE5" s="30" t="s">
        <v>100</v>
      </c>
      <c r="BF5" s="30" t="s">
        <v>101</v>
      </c>
      <c r="BG5" s="15" t="s">
        <v>102</v>
      </c>
      <c r="BH5" s="15" t="s">
        <v>103</v>
      </c>
      <c r="BI5" s="33" t="s">
        <v>104</v>
      </c>
      <c r="BJ5" t="s">
        <v>105</v>
      </c>
      <c r="BK5" s="15" t="s">
        <v>106</v>
      </c>
      <c r="BL5" s="15" t="s">
        <v>70</v>
      </c>
      <c r="BM5" s="15" t="s">
        <v>123</v>
      </c>
      <c r="BN5" s="15" t="s">
        <v>124</v>
      </c>
      <c r="BO5" s="15" t="s">
        <v>107</v>
      </c>
      <c r="BP5" s="15" t="s">
        <v>108</v>
      </c>
      <c r="BQ5" s="18" t="s">
        <v>109</v>
      </c>
      <c r="BR5" s="18" t="s">
        <v>110</v>
      </c>
      <c r="BS5" t="s">
        <v>111</v>
      </c>
      <c r="BT5" s="34">
        <v>213111231</v>
      </c>
    </row>
    <row r="6" spans="1:102" ht="14.4" customHeight="1" x14ac:dyDescent="0.35">
      <c r="A6" s="12" t="s">
        <v>125</v>
      </c>
      <c r="B6" t="s">
        <v>126</v>
      </c>
      <c r="C6" s="13" t="s">
        <v>68</v>
      </c>
      <c r="D6" s="14" t="s">
        <v>69</v>
      </c>
      <c r="E6" s="15" t="s">
        <v>70</v>
      </c>
      <c r="F6" s="16" t="s">
        <v>127</v>
      </c>
      <c r="G6" s="17" t="s">
        <v>128</v>
      </c>
      <c r="H6" s="18" t="s">
        <v>116</v>
      </c>
      <c r="I6" s="18" t="s">
        <v>74</v>
      </c>
      <c r="J6" s="18" t="s">
        <v>75</v>
      </c>
      <c r="K6" s="19">
        <f t="shared" ca="1" si="0"/>
        <v>45626</v>
      </c>
      <c r="L6" s="15" t="s">
        <v>70</v>
      </c>
      <c r="M6" s="15" t="s">
        <v>76</v>
      </c>
      <c r="N6" s="15">
        <v>1</v>
      </c>
      <c r="O6" s="18" t="s">
        <v>77</v>
      </c>
      <c r="P6" s="18" t="s">
        <v>78</v>
      </c>
      <c r="Q6" s="18" t="s">
        <v>77</v>
      </c>
      <c r="R6" s="18" t="s">
        <v>79</v>
      </c>
      <c r="S6" s="18" t="s">
        <v>75</v>
      </c>
      <c r="T6" s="20" t="s">
        <v>80</v>
      </c>
      <c r="U6" s="21" t="s">
        <v>81</v>
      </c>
      <c r="V6" s="18" t="s">
        <v>75</v>
      </c>
      <c r="W6" s="19">
        <f t="shared" ca="1" si="1"/>
        <v>45626</v>
      </c>
      <c r="X6" s="18" t="s">
        <v>82</v>
      </c>
      <c r="Y6" s="16" t="s">
        <v>83</v>
      </c>
      <c r="Z6" s="22" t="s">
        <v>84</v>
      </c>
      <c r="AA6" s="23" t="s">
        <v>85</v>
      </c>
      <c r="AB6" s="22" t="s">
        <v>86</v>
      </c>
      <c r="AC6" s="24" t="s">
        <v>87</v>
      </c>
      <c r="AD6" s="24" t="s">
        <v>88</v>
      </c>
      <c r="AE6" s="22" t="s">
        <v>89</v>
      </c>
      <c r="AF6" s="25">
        <v>20</v>
      </c>
      <c r="AG6" s="26">
        <f t="shared" ca="1" si="2"/>
        <v>46052</v>
      </c>
      <c r="AH6" s="27" t="s">
        <v>90</v>
      </c>
      <c r="AI6" s="27" t="s">
        <v>91</v>
      </c>
      <c r="AJ6" s="28">
        <f t="shared" ca="1" si="3"/>
        <v>45626</v>
      </c>
      <c r="AK6" s="26">
        <f t="shared" ca="1" si="4"/>
        <v>46052</v>
      </c>
      <c r="AL6" s="29">
        <f t="shared" ca="1" si="5"/>
        <v>45626</v>
      </c>
      <c r="AM6" s="29">
        <f t="shared" ca="1" si="6"/>
        <v>45626</v>
      </c>
      <c r="AN6" s="27" t="s">
        <v>92</v>
      </c>
      <c r="AO6" s="22" t="s">
        <v>93</v>
      </c>
      <c r="AP6" s="15">
        <v>100</v>
      </c>
      <c r="AQ6" s="29">
        <f t="shared" ca="1" si="7"/>
        <v>45707</v>
      </c>
      <c r="AR6" s="15" t="s">
        <v>70</v>
      </c>
      <c r="AS6" s="30" t="s">
        <v>94</v>
      </c>
      <c r="AT6" s="31">
        <v>583427430</v>
      </c>
      <c r="AU6" s="29" t="s">
        <v>95</v>
      </c>
      <c r="AV6" s="29" t="s">
        <v>96</v>
      </c>
      <c r="AW6" s="15" t="s">
        <v>70</v>
      </c>
      <c r="AX6" s="30" t="s">
        <v>97</v>
      </c>
      <c r="AY6" s="31">
        <v>693247560</v>
      </c>
      <c r="AZ6" s="29" t="s">
        <v>95</v>
      </c>
      <c r="BA6" s="29" t="s">
        <v>96</v>
      </c>
      <c r="BB6" s="32" t="s">
        <v>98</v>
      </c>
      <c r="BC6" s="29" t="s">
        <v>99</v>
      </c>
      <c r="BD6" s="30" t="s">
        <v>77</v>
      </c>
      <c r="BE6" s="30" t="s">
        <v>100</v>
      </c>
      <c r="BF6" s="30" t="s">
        <v>101</v>
      </c>
      <c r="BG6" s="15" t="s">
        <v>102</v>
      </c>
      <c r="BH6" s="15" t="s">
        <v>103</v>
      </c>
      <c r="BI6" s="33" t="s">
        <v>104</v>
      </c>
      <c r="BJ6" t="s">
        <v>105</v>
      </c>
      <c r="BK6" s="15" t="s">
        <v>106</v>
      </c>
      <c r="BL6" s="15" t="s">
        <v>70</v>
      </c>
      <c r="BM6" s="15" t="s">
        <v>127</v>
      </c>
      <c r="BN6" s="15" t="s">
        <v>128</v>
      </c>
      <c r="BO6" s="15" t="s">
        <v>107</v>
      </c>
      <c r="BP6" s="15" t="s">
        <v>108</v>
      </c>
      <c r="BQ6" s="18" t="s">
        <v>109</v>
      </c>
      <c r="BR6" s="18" t="s">
        <v>110</v>
      </c>
      <c r="BS6" t="s">
        <v>111</v>
      </c>
      <c r="BT6" s="34">
        <v>213111231</v>
      </c>
    </row>
    <row r="7" spans="1:102" ht="14.4" customHeight="1" x14ac:dyDescent="0.35">
      <c r="A7" s="12" t="s">
        <v>129</v>
      </c>
      <c r="B7" t="s">
        <v>130</v>
      </c>
      <c r="C7" s="13" t="s">
        <v>68</v>
      </c>
      <c r="D7" s="14" t="s">
        <v>69</v>
      </c>
      <c r="E7" s="15" t="s">
        <v>70</v>
      </c>
      <c r="F7" s="16" t="s">
        <v>131</v>
      </c>
      <c r="G7" s="17" t="s">
        <v>132</v>
      </c>
      <c r="H7" s="18" t="s">
        <v>116</v>
      </c>
      <c r="I7" s="18" t="s">
        <v>74</v>
      </c>
      <c r="J7" s="18" t="s">
        <v>75</v>
      </c>
      <c r="K7" s="19">
        <f t="shared" ca="1" si="0"/>
        <v>45626</v>
      </c>
      <c r="L7" s="15" t="s">
        <v>70</v>
      </c>
      <c r="M7" s="15" t="s">
        <v>76</v>
      </c>
      <c r="N7" s="15">
        <v>1</v>
      </c>
      <c r="O7" s="18" t="s">
        <v>77</v>
      </c>
      <c r="P7" s="18" t="s">
        <v>78</v>
      </c>
      <c r="Q7" s="18" t="s">
        <v>77</v>
      </c>
      <c r="R7" s="18" t="s">
        <v>79</v>
      </c>
      <c r="S7" s="18" t="s">
        <v>75</v>
      </c>
      <c r="T7" s="20" t="s">
        <v>80</v>
      </c>
      <c r="U7" s="21" t="s">
        <v>81</v>
      </c>
      <c r="V7" s="18" t="s">
        <v>75</v>
      </c>
      <c r="W7" s="19">
        <f t="shared" ca="1" si="1"/>
        <v>45626</v>
      </c>
      <c r="X7" s="18" t="s">
        <v>82</v>
      </c>
      <c r="Y7" s="16" t="s">
        <v>83</v>
      </c>
      <c r="Z7" s="22" t="s">
        <v>84</v>
      </c>
      <c r="AA7" s="23" t="s">
        <v>85</v>
      </c>
      <c r="AB7" s="22" t="s">
        <v>86</v>
      </c>
      <c r="AC7" s="24" t="s">
        <v>87</v>
      </c>
      <c r="AD7" s="24" t="s">
        <v>88</v>
      </c>
      <c r="AE7" s="22" t="s">
        <v>89</v>
      </c>
      <c r="AF7" s="25">
        <v>20</v>
      </c>
      <c r="AG7" s="26">
        <f t="shared" ca="1" si="2"/>
        <v>46052</v>
      </c>
      <c r="AH7" s="27" t="s">
        <v>90</v>
      </c>
      <c r="AI7" s="27" t="s">
        <v>91</v>
      </c>
      <c r="AJ7" s="28">
        <f t="shared" ca="1" si="3"/>
        <v>45626</v>
      </c>
      <c r="AK7" s="26">
        <f t="shared" ca="1" si="4"/>
        <v>46052</v>
      </c>
      <c r="AL7" s="29">
        <f t="shared" ca="1" si="5"/>
        <v>45626</v>
      </c>
      <c r="AM7" s="29">
        <f t="shared" ca="1" si="6"/>
        <v>45626</v>
      </c>
      <c r="AN7" s="27" t="s">
        <v>92</v>
      </c>
      <c r="AO7" s="22" t="s">
        <v>93</v>
      </c>
      <c r="AP7" s="15">
        <v>100</v>
      </c>
      <c r="AQ7" s="29">
        <f t="shared" ca="1" si="7"/>
        <v>45707</v>
      </c>
      <c r="AR7" s="15" t="s">
        <v>70</v>
      </c>
      <c r="AS7" s="30" t="s">
        <v>94</v>
      </c>
      <c r="AT7" s="31">
        <v>583427431</v>
      </c>
      <c r="AU7" s="29" t="s">
        <v>95</v>
      </c>
      <c r="AV7" s="29" t="s">
        <v>96</v>
      </c>
      <c r="AW7" s="15" t="s">
        <v>70</v>
      </c>
      <c r="AX7" s="30" t="s">
        <v>97</v>
      </c>
      <c r="AY7" s="31">
        <v>693247561</v>
      </c>
      <c r="AZ7" s="29" t="s">
        <v>95</v>
      </c>
      <c r="BA7" s="29" t="s">
        <v>96</v>
      </c>
      <c r="BB7" s="32" t="s">
        <v>98</v>
      </c>
      <c r="BC7" s="29" t="s">
        <v>99</v>
      </c>
      <c r="BD7" s="30" t="s">
        <v>77</v>
      </c>
      <c r="BE7" s="30" t="s">
        <v>100</v>
      </c>
      <c r="BF7" s="30" t="s">
        <v>101</v>
      </c>
      <c r="BG7" s="15" t="s">
        <v>102</v>
      </c>
      <c r="BH7" s="15" t="s">
        <v>103</v>
      </c>
      <c r="BI7" s="33" t="s">
        <v>104</v>
      </c>
      <c r="BJ7" t="s">
        <v>105</v>
      </c>
      <c r="BK7" s="15" t="s">
        <v>106</v>
      </c>
      <c r="BL7" s="15" t="s">
        <v>70</v>
      </c>
      <c r="BM7" s="15" t="s">
        <v>131</v>
      </c>
      <c r="BN7" s="15" t="s">
        <v>132</v>
      </c>
      <c r="BO7" s="15" t="s">
        <v>107</v>
      </c>
      <c r="BP7" s="15" t="s">
        <v>108</v>
      </c>
      <c r="BQ7" s="18" t="s">
        <v>109</v>
      </c>
      <c r="BR7" s="18" t="s">
        <v>110</v>
      </c>
      <c r="BS7" t="s">
        <v>111</v>
      </c>
      <c r="BT7" s="34">
        <v>213111231</v>
      </c>
    </row>
    <row r="8" spans="1:102" ht="14.4" customHeight="1" x14ac:dyDescent="0.35">
      <c r="A8" s="12" t="s">
        <v>133</v>
      </c>
      <c r="D8" s="14" t="s">
        <v>69</v>
      </c>
      <c r="E8" s="15" t="s">
        <v>70</v>
      </c>
      <c r="F8" s="16" t="s">
        <v>134</v>
      </c>
      <c r="G8" s="17" t="s">
        <v>135</v>
      </c>
      <c r="H8" s="18" t="s">
        <v>73</v>
      </c>
      <c r="I8" s="18" t="s">
        <v>74</v>
      </c>
      <c r="J8" s="18" t="s">
        <v>75</v>
      </c>
      <c r="K8" s="19">
        <f t="shared" ca="1" si="0"/>
        <v>45626</v>
      </c>
      <c r="L8" s="15" t="s">
        <v>70</v>
      </c>
      <c r="M8" s="15" t="s">
        <v>76</v>
      </c>
      <c r="N8" s="15">
        <v>1</v>
      </c>
      <c r="O8" s="18" t="s">
        <v>77</v>
      </c>
      <c r="P8" s="18" t="s">
        <v>78</v>
      </c>
      <c r="Q8" s="18" t="s">
        <v>77</v>
      </c>
      <c r="R8" s="18" t="s">
        <v>79</v>
      </c>
      <c r="S8" s="18" t="s">
        <v>75</v>
      </c>
      <c r="T8" s="20" t="s">
        <v>80</v>
      </c>
      <c r="U8" s="21" t="s">
        <v>81</v>
      </c>
      <c r="V8" s="18" t="s">
        <v>75</v>
      </c>
      <c r="W8" s="19">
        <f t="shared" ca="1" si="1"/>
        <v>45626</v>
      </c>
      <c r="X8" s="18" t="s">
        <v>82</v>
      </c>
      <c r="Y8" s="16" t="s">
        <v>83</v>
      </c>
      <c r="Z8" s="22" t="s">
        <v>84</v>
      </c>
      <c r="AA8" s="23" t="s">
        <v>85</v>
      </c>
      <c r="AB8" s="22" t="s">
        <v>86</v>
      </c>
      <c r="AC8" s="24" t="s">
        <v>87</v>
      </c>
      <c r="AD8" s="24" t="s">
        <v>88</v>
      </c>
      <c r="AE8" s="22" t="s">
        <v>89</v>
      </c>
      <c r="AF8" s="25">
        <v>20</v>
      </c>
      <c r="AG8" s="26">
        <f t="shared" ca="1" si="2"/>
        <v>46052</v>
      </c>
      <c r="AH8" s="27" t="s">
        <v>90</v>
      </c>
      <c r="AI8" s="27" t="s">
        <v>91</v>
      </c>
      <c r="AJ8" s="28">
        <f t="shared" ca="1" si="3"/>
        <v>45626</v>
      </c>
      <c r="AK8" s="26">
        <f t="shared" ca="1" si="4"/>
        <v>46052</v>
      </c>
      <c r="AL8" s="29">
        <f t="shared" ca="1" si="5"/>
        <v>45626</v>
      </c>
      <c r="AM8" s="29">
        <f t="shared" ca="1" si="6"/>
        <v>45626</v>
      </c>
      <c r="AN8" s="27" t="s">
        <v>92</v>
      </c>
      <c r="AO8" s="22" t="s">
        <v>93</v>
      </c>
      <c r="AP8" s="15">
        <v>100</v>
      </c>
      <c r="AQ8" s="29">
        <f t="shared" ca="1" si="7"/>
        <v>45707</v>
      </c>
      <c r="AR8" s="15" t="s">
        <v>70</v>
      </c>
      <c r="AS8" s="30" t="s">
        <v>94</v>
      </c>
      <c r="AT8" s="31">
        <v>583427432</v>
      </c>
      <c r="AU8" s="29" t="s">
        <v>95</v>
      </c>
      <c r="AV8" s="29" t="s">
        <v>96</v>
      </c>
      <c r="AW8" s="15" t="s">
        <v>70</v>
      </c>
      <c r="AX8" s="30" t="s">
        <v>97</v>
      </c>
      <c r="AY8" s="31">
        <v>693247562</v>
      </c>
      <c r="AZ8" s="29" t="s">
        <v>95</v>
      </c>
      <c r="BA8" s="29" t="s">
        <v>96</v>
      </c>
      <c r="BB8" s="32" t="s">
        <v>98</v>
      </c>
      <c r="BC8" s="29" t="s">
        <v>99</v>
      </c>
      <c r="BD8" s="30" t="s">
        <v>77</v>
      </c>
      <c r="BE8" s="30" t="s">
        <v>100</v>
      </c>
      <c r="BF8" s="30" t="s">
        <v>101</v>
      </c>
      <c r="BG8" s="15" t="s">
        <v>102</v>
      </c>
      <c r="BH8" s="15" t="s">
        <v>103</v>
      </c>
      <c r="BI8" s="33" t="s">
        <v>104</v>
      </c>
      <c r="BJ8" t="s">
        <v>105</v>
      </c>
      <c r="BK8" s="15" t="s">
        <v>106</v>
      </c>
      <c r="BL8" s="15" t="s">
        <v>70</v>
      </c>
      <c r="BM8" s="15" t="s">
        <v>76</v>
      </c>
      <c r="BN8" s="15" t="s">
        <v>76</v>
      </c>
      <c r="BO8" s="15" t="s">
        <v>107</v>
      </c>
      <c r="BP8" s="15" t="s">
        <v>108</v>
      </c>
      <c r="BQ8" s="18" t="s">
        <v>109</v>
      </c>
      <c r="BR8" s="18" t="s">
        <v>110</v>
      </c>
      <c r="BS8" t="s">
        <v>111</v>
      </c>
      <c r="BT8" s="34">
        <v>213111231</v>
      </c>
    </row>
    <row r="9" spans="1:102" ht="14.4" customHeight="1" x14ac:dyDescent="0.35">
      <c r="A9" s="12" t="s">
        <v>136</v>
      </c>
      <c r="D9" s="14" t="s">
        <v>69</v>
      </c>
      <c r="E9" s="15" t="s">
        <v>70</v>
      </c>
      <c r="F9" s="16" t="s">
        <v>137</v>
      </c>
      <c r="G9" s="17" t="s">
        <v>138</v>
      </c>
      <c r="H9" s="18" t="s">
        <v>116</v>
      </c>
      <c r="I9" s="18" t="s">
        <v>74</v>
      </c>
      <c r="J9" s="18" t="s">
        <v>75</v>
      </c>
      <c r="K9" s="19">
        <f t="shared" ca="1" si="0"/>
        <v>45626</v>
      </c>
      <c r="L9" s="15" t="s">
        <v>70</v>
      </c>
      <c r="M9" s="15" t="s">
        <v>76</v>
      </c>
      <c r="N9" s="15">
        <v>1</v>
      </c>
      <c r="O9" s="18" t="s">
        <v>77</v>
      </c>
      <c r="P9" s="18" t="s">
        <v>78</v>
      </c>
      <c r="Q9" s="18" t="s">
        <v>77</v>
      </c>
      <c r="R9" s="18" t="s">
        <v>79</v>
      </c>
      <c r="S9" s="18" t="s">
        <v>75</v>
      </c>
      <c r="T9" s="20" t="s">
        <v>80</v>
      </c>
      <c r="U9" s="21" t="s">
        <v>81</v>
      </c>
      <c r="V9" s="18" t="s">
        <v>75</v>
      </c>
      <c r="W9" s="19">
        <f t="shared" ca="1" si="1"/>
        <v>45626</v>
      </c>
      <c r="X9" s="18" t="s">
        <v>82</v>
      </c>
      <c r="Y9" s="16" t="s">
        <v>83</v>
      </c>
      <c r="Z9" s="22" t="s">
        <v>84</v>
      </c>
      <c r="AA9" s="23" t="s">
        <v>85</v>
      </c>
      <c r="AB9" s="22" t="s">
        <v>86</v>
      </c>
      <c r="AC9" s="24" t="s">
        <v>87</v>
      </c>
      <c r="AD9" s="24" t="s">
        <v>88</v>
      </c>
      <c r="AE9" s="22" t="s">
        <v>89</v>
      </c>
      <c r="AF9" s="25">
        <v>20</v>
      </c>
      <c r="AG9" s="26">
        <f t="shared" ca="1" si="2"/>
        <v>46052</v>
      </c>
      <c r="AH9" s="27" t="s">
        <v>139</v>
      </c>
      <c r="AI9" s="27" t="s">
        <v>91</v>
      </c>
      <c r="AJ9" s="28">
        <f t="shared" ca="1" si="3"/>
        <v>45626</v>
      </c>
      <c r="AK9" s="26">
        <f t="shared" ca="1" si="4"/>
        <v>46052</v>
      </c>
      <c r="AL9" s="29">
        <f t="shared" ca="1" si="5"/>
        <v>45626</v>
      </c>
      <c r="AM9" s="29">
        <f t="shared" ca="1" si="6"/>
        <v>45626</v>
      </c>
      <c r="AN9" s="27" t="s">
        <v>92</v>
      </c>
      <c r="AO9" s="22" t="s">
        <v>93</v>
      </c>
      <c r="AP9" s="15">
        <v>100</v>
      </c>
      <c r="AQ9" s="29">
        <f t="shared" ca="1" si="7"/>
        <v>45707</v>
      </c>
      <c r="AR9" s="15" t="s">
        <v>70</v>
      </c>
      <c r="AS9" s="30" t="s">
        <v>94</v>
      </c>
      <c r="AT9" s="31">
        <v>583427433</v>
      </c>
      <c r="AU9" s="29" t="s">
        <v>95</v>
      </c>
      <c r="AV9" s="29" t="s">
        <v>96</v>
      </c>
      <c r="AW9" s="15" t="s">
        <v>70</v>
      </c>
      <c r="AX9" s="30" t="s">
        <v>97</v>
      </c>
      <c r="AY9" s="31">
        <v>693247563</v>
      </c>
      <c r="AZ9" s="29" t="s">
        <v>95</v>
      </c>
      <c r="BA9" s="29" t="s">
        <v>96</v>
      </c>
      <c r="BB9" s="32" t="s">
        <v>98</v>
      </c>
      <c r="BC9" s="29" t="s">
        <v>140</v>
      </c>
      <c r="BD9" s="30" t="s">
        <v>77</v>
      </c>
      <c r="BE9" s="30" t="s">
        <v>100</v>
      </c>
      <c r="BF9" s="30" t="s">
        <v>101</v>
      </c>
      <c r="BG9" s="15" t="s">
        <v>102</v>
      </c>
      <c r="BH9" s="15" t="s">
        <v>103</v>
      </c>
      <c r="BI9" s="33" t="s">
        <v>104</v>
      </c>
      <c r="BJ9" t="s">
        <v>105</v>
      </c>
      <c r="BK9" s="15" t="s">
        <v>106</v>
      </c>
      <c r="BL9" s="15" t="s">
        <v>70</v>
      </c>
      <c r="BM9" s="15" t="s">
        <v>76</v>
      </c>
      <c r="BN9" s="15" t="s">
        <v>76</v>
      </c>
      <c r="BO9" s="15" t="s">
        <v>107</v>
      </c>
      <c r="BP9" s="15" t="s">
        <v>108</v>
      </c>
      <c r="BQ9" s="18" t="s">
        <v>109</v>
      </c>
      <c r="BR9" s="18" t="s">
        <v>110</v>
      </c>
      <c r="BS9" t="s">
        <v>111</v>
      </c>
      <c r="BT9" s="34">
        <v>213111231</v>
      </c>
    </row>
    <row r="10" spans="1:102" ht="14.4" customHeight="1" x14ac:dyDescent="0.35">
      <c r="A10" s="12" t="s">
        <v>141</v>
      </c>
      <c r="D10" s="14" t="s">
        <v>69</v>
      </c>
      <c r="E10" s="15" t="s">
        <v>70</v>
      </c>
      <c r="F10" s="16" t="s">
        <v>142</v>
      </c>
      <c r="G10" s="17" t="s">
        <v>143</v>
      </c>
      <c r="H10" s="18" t="s">
        <v>116</v>
      </c>
      <c r="I10" s="18" t="s">
        <v>74</v>
      </c>
      <c r="J10" s="18" t="s">
        <v>75</v>
      </c>
      <c r="K10" s="19">
        <f t="shared" ca="1" si="0"/>
        <v>45626</v>
      </c>
      <c r="L10" s="15" t="s">
        <v>70</v>
      </c>
      <c r="M10" s="15" t="s">
        <v>76</v>
      </c>
      <c r="N10" s="15">
        <v>1</v>
      </c>
      <c r="O10" s="18" t="s">
        <v>77</v>
      </c>
      <c r="P10" s="18" t="s">
        <v>78</v>
      </c>
      <c r="Q10" s="18" t="s">
        <v>77</v>
      </c>
      <c r="R10" s="18" t="s">
        <v>79</v>
      </c>
      <c r="S10" s="18" t="s">
        <v>75</v>
      </c>
      <c r="T10" s="20" t="s">
        <v>80</v>
      </c>
      <c r="U10" s="21" t="s">
        <v>81</v>
      </c>
      <c r="V10" s="18" t="s">
        <v>75</v>
      </c>
      <c r="W10" s="19">
        <f t="shared" ca="1" si="1"/>
        <v>45626</v>
      </c>
      <c r="X10" s="18" t="s">
        <v>82</v>
      </c>
      <c r="Y10" s="16" t="s">
        <v>83</v>
      </c>
      <c r="Z10" s="22" t="s">
        <v>84</v>
      </c>
      <c r="AA10" s="23" t="s">
        <v>85</v>
      </c>
      <c r="AB10" s="22" t="s">
        <v>86</v>
      </c>
      <c r="AC10" s="24" t="s">
        <v>87</v>
      </c>
      <c r="AD10" s="24" t="s">
        <v>88</v>
      </c>
      <c r="AE10" s="22" t="s">
        <v>89</v>
      </c>
      <c r="AF10" s="25">
        <v>20</v>
      </c>
      <c r="AG10" s="26">
        <f t="shared" ca="1" si="2"/>
        <v>46052</v>
      </c>
      <c r="AH10" s="27" t="s">
        <v>139</v>
      </c>
      <c r="AI10" s="27" t="s">
        <v>91</v>
      </c>
      <c r="AJ10" s="28">
        <f t="shared" ca="1" si="3"/>
        <v>45626</v>
      </c>
      <c r="AK10" s="26">
        <f t="shared" ca="1" si="4"/>
        <v>46052</v>
      </c>
      <c r="AL10" s="29">
        <f t="shared" ca="1" si="5"/>
        <v>45626</v>
      </c>
      <c r="AM10" s="29">
        <f t="shared" ca="1" si="6"/>
        <v>45626</v>
      </c>
      <c r="AN10" s="27" t="s">
        <v>92</v>
      </c>
      <c r="AO10" s="22" t="s">
        <v>93</v>
      </c>
      <c r="AP10" s="15">
        <v>100</v>
      </c>
      <c r="AQ10" s="29">
        <f t="shared" ca="1" si="7"/>
        <v>45707</v>
      </c>
      <c r="AR10" s="15" t="s">
        <v>70</v>
      </c>
      <c r="AS10" s="30" t="s">
        <v>94</v>
      </c>
      <c r="AT10" s="31">
        <v>583427434</v>
      </c>
      <c r="AU10" s="29" t="s">
        <v>95</v>
      </c>
      <c r="AV10" s="29" t="s">
        <v>96</v>
      </c>
      <c r="AW10" s="15" t="s">
        <v>70</v>
      </c>
      <c r="AX10" s="30" t="s">
        <v>97</v>
      </c>
      <c r="AY10" s="31">
        <v>693247564</v>
      </c>
      <c r="AZ10" s="29" t="s">
        <v>95</v>
      </c>
      <c r="BA10" s="29" t="s">
        <v>96</v>
      </c>
      <c r="BB10" s="32" t="s">
        <v>98</v>
      </c>
      <c r="BC10" s="29" t="s">
        <v>140</v>
      </c>
      <c r="BD10" s="30" t="s">
        <v>77</v>
      </c>
      <c r="BE10" s="30" t="s">
        <v>100</v>
      </c>
      <c r="BF10" s="30" t="s">
        <v>101</v>
      </c>
      <c r="BG10" s="15" t="s">
        <v>102</v>
      </c>
      <c r="BH10" s="15" t="s">
        <v>103</v>
      </c>
      <c r="BI10" s="33" t="s">
        <v>104</v>
      </c>
      <c r="BJ10" t="s">
        <v>105</v>
      </c>
      <c r="BK10" s="15" t="s">
        <v>106</v>
      </c>
      <c r="BL10" s="15" t="s">
        <v>70</v>
      </c>
      <c r="BM10" s="15" t="s">
        <v>76</v>
      </c>
      <c r="BN10" s="15" t="s">
        <v>76</v>
      </c>
      <c r="BO10" s="15" t="s">
        <v>107</v>
      </c>
      <c r="BP10" s="15" t="s">
        <v>108</v>
      </c>
      <c r="BQ10" s="18" t="s">
        <v>109</v>
      </c>
      <c r="BR10" s="18" t="s">
        <v>110</v>
      </c>
      <c r="BS10" t="s">
        <v>111</v>
      </c>
      <c r="BT10" s="34">
        <v>213111231</v>
      </c>
    </row>
    <row r="11" spans="1:102" ht="14.4" customHeight="1" x14ac:dyDescent="0.35">
      <c r="A11" s="12" t="s">
        <v>144</v>
      </c>
      <c r="D11" s="14" t="s">
        <v>69</v>
      </c>
      <c r="E11" s="15" t="s">
        <v>70</v>
      </c>
      <c r="F11" s="16" t="s">
        <v>145</v>
      </c>
      <c r="G11" s="17" t="s">
        <v>146</v>
      </c>
      <c r="H11" s="18" t="s">
        <v>73</v>
      </c>
      <c r="I11" s="18" t="s">
        <v>74</v>
      </c>
      <c r="J11" s="18" t="s">
        <v>75</v>
      </c>
      <c r="K11" s="19">
        <f t="shared" ca="1" si="0"/>
        <v>45626</v>
      </c>
      <c r="L11" s="15" t="s">
        <v>70</v>
      </c>
      <c r="M11" s="15" t="s">
        <v>76</v>
      </c>
      <c r="N11" s="15">
        <v>1</v>
      </c>
      <c r="O11" s="18" t="s">
        <v>77</v>
      </c>
      <c r="P11" s="18" t="s">
        <v>78</v>
      </c>
      <c r="Q11" s="18" t="s">
        <v>77</v>
      </c>
      <c r="R11" s="18" t="s">
        <v>79</v>
      </c>
      <c r="S11" s="18" t="s">
        <v>75</v>
      </c>
      <c r="T11" s="20" t="s">
        <v>80</v>
      </c>
      <c r="U11" s="21" t="s">
        <v>81</v>
      </c>
      <c r="V11" s="18" t="s">
        <v>75</v>
      </c>
      <c r="W11" s="19">
        <f t="shared" ca="1" si="1"/>
        <v>45626</v>
      </c>
      <c r="X11" s="18" t="s">
        <v>82</v>
      </c>
      <c r="Y11" s="16" t="s">
        <v>83</v>
      </c>
      <c r="Z11" s="22" t="s">
        <v>84</v>
      </c>
      <c r="AA11" s="23" t="s">
        <v>85</v>
      </c>
      <c r="AB11" s="22" t="s">
        <v>86</v>
      </c>
      <c r="AC11" s="24" t="s">
        <v>87</v>
      </c>
      <c r="AD11" s="24" t="s">
        <v>88</v>
      </c>
      <c r="AE11" s="22" t="s">
        <v>89</v>
      </c>
      <c r="AF11" s="25">
        <v>20</v>
      </c>
      <c r="AG11" s="26">
        <f t="shared" ca="1" si="2"/>
        <v>46052</v>
      </c>
      <c r="AH11" s="27" t="s">
        <v>139</v>
      </c>
      <c r="AI11" s="27" t="s">
        <v>91</v>
      </c>
      <c r="AJ11" s="28">
        <f t="shared" ca="1" si="3"/>
        <v>45626</v>
      </c>
      <c r="AK11" s="26">
        <f t="shared" ca="1" si="4"/>
        <v>46052</v>
      </c>
      <c r="AL11" s="29">
        <f t="shared" ca="1" si="5"/>
        <v>45626</v>
      </c>
      <c r="AM11" s="29">
        <f t="shared" ca="1" si="6"/>
        <v>45626</v>
      </c>
      <c r="AN11" s="27" t="s">
        <v>92</v>
      </c>
      <c r="AO11" s="22" t="s">
        <v>93</v>
      </c>
      <c r="AP11" s="15">
        <v>100</v>
      </c>
      <c r="AQ11" s="29">
        <f t="shared" ca="1" si="7"/>
        <v>45707</v>
      </c>
      <c r="AR11" s="15" t="s">
        <v>70</v>
      </c>
      <c r="AS11" s="30" t="s">
        <v>94</v>
      </c>
      <c r="AT11" s="31">
        <v>583427435</v>
      </c>
      <c r="AU11" s="29" t="s">
        <v>95</v>
      </c>
      <c r="AV11" s="29" t="s">
        <v>96</v>
      </c>
      <c r="AW11" s="15" t="s">
        <v>70</v>
      </c>
      <c r="AX11" s="30" t="s">
        <v>97</v>
      </c>
      <c r="AY11" s="31">
        <v>693247565</v>
      </c>
      <c r="AZ11" s="29" t="s">
        <v>95</v>
      </c>
      <c r="BA11" s="29" t="s">
        <v>96</v>
      </c>
      <c r="BB11" s="32" t="s">
        <v>98</v>
      </c>
      <c r="BC11" s="29" t="s">
        <v>140</v>
      </c>
      <c r="BD11" s="30" t="s">
        <v>77</v>
      </c>
      <c r="BE11" s="30" t="s">
        <v>100</v>
      </c>
      <c r="BF11" s="30" t="s">
        <v>101</v>
      </c>
      <c r="BG11" s="15" t="s">
        <v>102</v>
      </c>
      <c r="BH11" s="15" t="s">
        <v>103</v>
      </c>
      <c r="BI11" s="33" t="s">
        <v>104</v>
      </c>
      <c r="BJ11" t="s">
        <v>105</v>
      </c>
      <c r="BK11" s="15" t="s">
        <v>106</v>
      </c>
      <c r="BL11" s="15" t="s">
        <v>70</v>
      </c>
      <c r="BM11" s="15" t="s">
        <v>76</v>
      </c>
      <c r="BN11" s="15" t="s">
        <v>76</v>
      </c>
      <c r="BO11" s="15" t="s">
        <v>107</v>
      </c>
      <c r="BP11" s="15" t="s">
        <v>108</v>
      </c>
      <c r="BQ11" s="18" t="s">
        <v>109</v>
      </c>
      <c r="BR11" s="18" t="s">
        <v>110</v>
      </c>
      <c r="BS11" t="s">
        <v>111</v>
      </c>
      <c r="BT11" s="34">
        <v>213111231</v>
      </c>
    </row>
    <row r="12" spans="1:102" ht="14.4" customHeight="1" x14ac:dyDescent="0.35">
      <c r="A12" s="12" t="s">
        <v>147</v>
      </c>
      <c r="D12" s="14" t="s">
        <v>69</v>
      </c>
      <c r="E12" s="15" t="s">
        <v>70</v>
      </c>
      <c r="F12" s="16" t="s">
        <v>148</v>
      </c>
      <c r="G12" s="17" t="s">
        <v>149</v>
      </c>
      <c r="H12" s="18" t="s">
        <v>116</v>
      </c>
      <c r="I12" s="18" t="s">
        <v>74</v>
      </c>
      <c r="J12" s="18" t="s">
        <v>75</v>
      </c>
      <c r="K12" s="19">
        <f t="shared" ca="1" si="0"/>
        <v>45626</v>
      </c>
      <c r="L12" s="15" t="s">
        <v>70</v>
      </c>
      <c r="M12" s="15" t="s">
        <v>76</v>
      </c>
      <c r="N12" s="15">
        <v>1</v>
      </c>
      <c r="O12" s="18" t="s">
        <v>77</v>
      </c>
      <c r="P12" s="18" t="s">
        <v>78</v>
      </c>
      <c r="Q12" s="18" t="s">
        <v>77</v>
      </c>
      <c r="R12" s="18" t="s">
        <v>79</v>
      </c>
      <c r="S12" s="18" t="s">
        <v>75</v>
      </c>
      <c r="T12" s="20" t="s">
        <v>80</v>
      </c>
      <c r="U12" s="21" t="s">
        <v>81</v>
      </c>
      <c r="V12" s="18" t="s">
        <v>75</v>
      </c>
      <c r="W12" s="19">
        <f t="shared" ca="1" si="1"/>
        <v>45626</v>
      </c>
      <c r="X12" s="18" t="s">
        <v>82</v>
      </c>
      <c r="Y12" s="16" t="s">
        <v>83</v>
      </c>
      <c r="Z12" s="22" t="s">
        <v>84</v>
      </c>
      <c r="AA12" s="23" t="s">
        <v>85</v>
      </c>
      <c r="AB12" s="22" t="s">
        <v>86</v>
      </c>
      <c r="AC12" s="24" t="s">
        <v>87</v>
      </c>
      <c r="AD12" s="24" t="s">
        <v>88</v>
      </c>
      <c r="AE12" s="22" t="s">
        <v>89</v>
      </c>
      <c r="AF12" s="25">
        <v>20</v>
      </c>
      <c r="AG12" s="26">
        <f t="shared" ca="1" si="2"/>
        <v>46052</v>
      </c>
      <c r="AH12" s="27" t="s">
        <v>139</v>
      </c>
      <c r="AI12" s="27" t="s">
        <v>91</v>
      </c>
      <c r="AJ12" s="28">
        <f t="shared" ca="1" si="3"/>
        <v>45626</v>
      </c>
      <c r="AK12" s="26">
        <f t="shared" ca="1" si="4"/>
        <v>46052</v>
      </c>
      <c r="AL12" s="29">
        <f t="shared" ca="1" si="5"/>
        <v>45626</v>
      </c>
      <c r="AM12" s="29">
        <f t="shared" ca="1" si="6"/>
        <v>45626</v>
      </c>
      <c r="AN12" s="27" t="s">
        <v>92</v>
      </c>
      <c r="AO12" s="22" t="s">
        <v>93</v>
      </c>
      <c r="AP12" s="15">
        <v>100</v>
      </c>
      <c r="AQ12" s="29">
        <f t="shared" ca="1" si="7"/>
        <v>45707</v>
      </c>
      <c r="AR12" s="15" t="s">
        <v>70</v>
      </c>
      <c r="AS12" s="30" t="s">
        <v>94</v>
      </c>
      <c r="AT12" s="31">
        <v>583427436</v>
      </c>
      <c r="AU12" s="29" t="s">
        <v>95</v>
      </c>
      <c r="AV12" s="29" t="s">
        <v>96</v>
      </c>
      <c r="AW12" s="15" t="s">
        <v>70</v>
      </c>
      <c r="AX12" s="30" t="s">
        <v>97</v>
      </c>
      <c r="AY12" s="31">
        <v>693247566</v>
      </c>
      <c r="AZ12" s="29" t="s">
        <v>95</v>
      </c>
      <c r="BA12" s="29" t="s">
        <v>96</v>
      </c>
      <c r="BB12" s="32" t="s">
        <v>98</v>
      </c>
      <c r="BC12" s="29" t="s">
        <v>140</v>
      </c>
      <c r="BD12" s="30" t="s">
        <v>77</v>
      </c>
      <c r="BE12" s="30" t="s">
        <v>100</v>
      </c>
      <c r="BF12" s="30" t="s">
        <v>101</v>
      </c>
      <c r="BG12" s="15" t="s">
        <v>102</v>
      </c>
      <c r="BH12" s="15" t="s">
        <v>103</v>
      </c>
      <c r="BI12" s="33" t="s">
        <v>104</v>
      </c>
      <c r="BJ12" t="s">
        <v>105</v>
      </c>
      <c r="BK12" s="15" t="s">
        <v>106</v>
      </c>
      <c r="BL12" s="15" t="s">
        <v>70</v>
      </c>
      <c r="BM12" s="15" t="s">
        <v>76</v>
      </c>
      <c r="BN12" s="15" t="s">
        <v>76</v>
      </c>
      <c r="BO12" s="15" t="s">
        <v>107</v>
      </c>
      <c r="BP12" s="15" t="s">
        <v>108</v>
      </c>
      <c r="BQ12" s="18" t="s">
        <v>109</v>
      </c>
      <c r="BR12" s="18" t="s">
        <v>110</v>
      </c>
      <c r="BS12" t="s">
        <v>111</v>
      </c>
      <c r="BT12" s="34">
        <v>213111231</v>
      </c>
    </row>
    <row r="13" spans="1:102" ht="14.4" customHeight="1" x14ac:dyDescent="0.35">
      <c r="A13" s="12" t="s">
        <v>150</v>
      </c>
      <c r="D13" s="14" t="s">
        <v>69</v>
      </c>
      <c r="E13" s="15" t="s">
        <v>70</v>
      </c>
      <c r="F13" s="16" t="s">
        <v>151</v>
      </c>
      <c r="G13" s="17" t="s">
        <v>152</v>
      </c>
      <c r="H13" s="18" t="s">
        <v>116</v>
      </c>
      <c r="I13" s="18" t="s">
        <v>74</v>
      </c>
      <c r="J13" s="18" t="s">
        <v>75</v>
      </c>
      <c r="K13" s="19">
        <f t="shared" ca="1" si="0"/>
        <v>45626</v>
      </c>
      <c r="L13" s="15" t="s">
        <v>70</v>
      </c>
      <c r="M13" s="15" t="s">
        <v>76</v>
      </c>
      <c r="N13" s="15">
        <v>1</v>
      </c>
      <c r="O13" s="18" t="s">
        <v>77</v>
      </c>
      <c r="P13" s="18" t="s">
        <v>78</v>
      </c>
      <c r="Q13" s="18" t="s">
        <v>77</v>
      </c>
      <c r="R13" s="18" t="s">
        <v>79</v>
      </c>
      <c r="S13" s="18" t="s">
        <v>75</v>
      </c>
      <c r="T13" s="20" t="s">
        <v>80</v>
      </c>
      <c r="U13" s="21" t="s">
        <v>81</v>
      </c>
      <c r="V13" s="18" t="s">
        <v>75</v>
      </c>
      <c r="W13" s="19">
        <f t="shared" ca="1" si="1"/>
        <v>45626</v>
      </c>
      <c r="X13" s="18" t="s">
        <v>82</v>
      </c>
      <c r="Y13" s="16" t="s">
        <v>83</v>
      </c>
      <c r="Z13" s="22" t="s">
        <v>84</v>
      </c>
      <c r="AA13" s="23" t="s">
        <v>85</v>
      </c>
      <c r="AB13" s="22" t="s">
        <v>86</v>
      </c>
      <c r="AC13" s="24" t="s">
        <v>87</v>
      </c>
      <c r="AD13" s="24" t="s">
        <v>88</v>
      </c>
      <c r="AE13" s="22" t="s">
        <v>89</v>
      </c>
      <c r="AF13" s="25">
        <v>20</v>
      </c>
      <c r="AG13" s="26">
        <f t="shared" ca="1" si="2"/>
        <v>46052</v>
      </c>
      <c r="AH13" s="27" t="s">
        <v>139</v>
      </c>
      <c r="AI13" s="27" t="s">
        <v>91</v>
      </c>
      <c r="AJ13" s="28">
        <f t="shared" ca="1" si="3"/>
        <v>45626</v>
      </c>
      <c r="AK13" s="26">
        <f t="shared" ca="1" si="4"/>
        <v>46052</v>
      </c>
      <c r="AL13" s="29">
        <f t="shared" ca="1" si="5"/>
        <v>45626</v>
      </c>
      <c r="AM13" s="29">
        <f t="shared" ca="1" si="6"/>
        <v>45626</v>
      </c>
      <c r="AN13" s="27" t="s">
        <v>92</v>
      </c>
      <c r="AO13" s="22" t="s">
        <v>93</v>
      </c>
      <c r="AP13" s="15">
        <v>100</v>
      </c>
      <c r="AQ13" s="29">
        <f t="shared" ca="1" si="7"/>
        <v>45707</v>
      </c>
      <c r="AR13" s="15" t="s">
        <v>70</v>
      </c>
      <c r="AS13" s="30" t="s">
        <v>94</v>
      </c>
      <c r="AT13" s="31">
        <v>583427437</v>
      </c>
      <c r="AU13" s="29" t="s">
        <v>95</v>
      </c>
      <c r="AV13" s="29" t="s">
        <v>96</v>
      </c>
      <c r="AW13" s="15" t="s">
        <v>70</v>
      </c>
      <c r="AX13" s="30" t="s">
        <v>97</v>
      </c>
      <c r="AY13" s="31">
        <v>693247567</v>
      </c>
      <c r="AZ13" s="29" t="s">
        <v>95</v>
      </c>
      <c r="BA13" s="29" t="s">
        <v>96</v>
      </c>
      <c r="BB13" s="32" t="s">
        <v>98</v>
      </c>
      <c r="BC13" s="29" t="s">
        <v>140</v>
      </c>
      <c r="BD13" s="30" t="s">
        <v>77</v>
      </c>
      <c r="BE13" s="30" t="s">
        <v>100</v>
      </c>
      <c r="BF13" s="30" t="s">
        <v>101</v>
      </c>
      <c r="BG13" s="15" t="s">
        <v>102</v>
      </c>
      <c r="BH13" s="15" t="s">
        <v>103</v>
      </c>
      <c r="BI13" s="33" t="s">
        <v>104</v>
      </c>
      <c r="BJ13" t="s">
        <v>105</v>
      </c>
      <c r="BK13" s="15" t="s">
        <v>106</v>
      </c>
      <c r="BL13" s="15" t="s">
        <v>70</v>
      </c>
      <c r="BM13" s="15" t="s">
        <v>76</v>
      </c>
      <c r="BN13" s="15" t="s">
        <v>76</v>
      </c>
      <c r="BO13" s="15" t="s">
        <v>107</v>
      </c>
      <c r="BP13" s="15" t="s">
        <v>108</v>
      </c>
      <c r="BQ13" s="18" t="s">
        <v>109</v>
      </c>
      <c r="BR13" s="18" t="s">
        <v>110</v>
      </c>
      <c r="BS13" t="s">
        <v>111</v>
      </c>
      <c r="BT13" s="34">
        <v>213111231</v>
      </c>
    </row>
    <row r="14" spans="1:102" ht="14.4" customHeight="1" x14ac:dyDescent="0.35">
      <c r="A14" s="12" t="s">
        <v>153</v>
      </c>
      <c r="D14" s="14" t="s">
        <v>69</v>
      </c>
      <c r="E14" s="15" t="s">
        <v>70</v>
      </c>
      <c r="F14" s="16" t="s">
        <v>154</v>
      </c>
      <c r="G14" s="17" t="s">
        <v>155</v>
      </c>
      <c r="H14" s="18" t="s">
        <v>73</v>
      </c>
      <c r="I14" s="18" t="s">
        <v>74</v>
      </c>
      <c r="J14" s="18" t="s">
        <v>75</v>
      </c>
      <c r="K14" s="19">
        <f t="shared" ca="1" si="0"/>
        <v>45626</v>
      </c>
      <c r="L14" s="15" t="s">
        <v>70</v>
      </c>
      <c r="M14" s="15" t="s">
        <v>76</v>
      </c>
      <c r="N14" s="15">
        <v>1</v>
      </c>
      <c r="O14" s="18" t="s">
        <v>77</v>
      </c>
      <c r="P14" s="18" t="s">
        <v>78</v>
      </c>
      <c r="Q14" s="18" t="s">
        <v>77</v>
      </c>
      <c r="R14" s="18" t="s">
        <v>79</v>
      </c>
      <c r="S14" s="18" t="s">
        <v>75</v>
      </c>
      <c r="T14" s="20" t="s">
        <v>80</v>
      </c>
      <c r="U14" s="21" t="s">
        <v>81</v>
      </c>
      <c r="V14" s="18" t="s">
        <v>75</v>
      </c>
      <c r="W14" s="19">
        <f t="shared" ca="1" si="1"/>
        <v>45626</v>
      </c>
      <c r="X14" s="18" t="s">
        <v>82</v>
      </c>
      <c r="Y14" s="16" t="s">
        <v>83</v>
      </c>
      <c r="Z14" s="22" t="s">
        <v>84</v>
      </c>
      <c r="AA14" s="23" t="s">
        <v>85</v>
      </c>
      <c r="AB14" s="22" t="s">
        <v>86</v>
      </c>
      <c r="AC14" s="24" t="s">
        <v>87</v>
      </c>
      <c r="AD14" s="24" t="s">
        <v>88</v>
      </c>
      <c r="AE14" s="22" t="s">
        <v>89</v>
      </c>
      <c r="AF14" s="25">
        <v>20</v>
      </c>
      <c r="AG14" s="26">
        <f t="shared" ca="1" si="2"/>
        <v>46052</v>
      </c>
      <c r="AH14" s="27" t="s">
        <v>139</v>
      </c>
      <c r="AI14" s="27" t="s">
        <v>91</v>
      </c>
      <c r="AJ14" s="28">
        <f t="shared" ca="1" si="3"/>
        <v>45626</v>
      </c>
      <c r="AK14" s="26">
        <f t="shared" ca="1" si="4"/>
        <v>46052</v>
      </c>
      <c r="AL14" s="29">
        <f t="shared" ca="1" si="5"/>
        <v>45626</v>
      </c>
      <c r="AM14" s="29">
        <f t="shared" ca="1" si="6"/>
        <v>45626</v>
      </c>
      <c r="AN14" s="27" t="s">
        <v>92</v>
      </c>
      <c r="AO14" s="22" t="s">
        <v>93</v>
      </c>
      <c r="AP14" s="15">
        <v>100</v>
      </c>
      <c r="AQ14" s="29">
        <f t="shared" ca="1" si="7"/>
        <v>45707</v>
      </c>
      <c r="AR14" s="15" t="s">
        <v>70</v>
      </c>
      <c r="AS14" s="30" t="s">
        <v>94</v>
      </c>
      <c r="AT14" s="31">
        <v>583427438</v>
      </c>
      <c r="AU14" s="29" t="s">
        <v>95</v>
      </c>
      <c r="AV14" s="29" t="s">
        <v>96</v>
      </c>
      <c r="AW14" s="15" t="s">
        <v>70</v>
      </c>
      <c r="AX14" s="30" t="s">
        <v>97</v>
      </c>
      <c r="AY14" s="31">
        <v>693247568</v>
      </c>
      <c r="AZ14" s="29" t="s">
        <v>95</v>
      </c>
      <c r="BA14" s="29" t="s">
        <v>96</v>
      </c>
      <c r="BB14" s="32" t="s">
        <v>98</v>
      </c>
      <c r="BC14" s="29" t="s">
        <v>140</v>
      </c>
      <c r="BD14" s="30" t="s">
        <v>77</v>
      </c>
      <c r="BE14" s="30" t="s">
        <v>100</v>
      </c>
      <c r="BF14" s="30" t="s">
        <v>101</v>
      </c>
      <c r="BG14" s="15" t="s">
        <v>102</v>
      </c>
      <c r="BH14" s="15" t="s">
        <v>103</v>
      </c>
      <c r="BI14" s="33" t="s">
        <v>104</v>
      </c>
      <c r="BJ14" t="s">
        <v>105</v>
      </c>
      <c r="BK14" s="15" t="s">
        <v>106</v>
      </c>
      <c r="BL14" s="15" t="s">
        <v>70</v>
      </c>
      <c r="BM14" s="15" t="s">
        <v>76</v>
      </c>
      <c r="BN14" s="15" t="s">
        <v>76</v>
      </c>
      <c r="BO14" s="15" t="s">
        <v>107</v>
      </c>
      <c r="BP14" s="15" t="s">
        <v>108</v>
      </c>
      <c r="BQ14" s="18" t="s">
        <v>109</v>
      </c>
      <c r="BR14" s="18" t="s">
        <v>110</v>
      </c>
      <c r="BS14" t="s">
        <v>111</v>
      </c>
      <c r="BT14" s="34">
        <v>213111231</v>
      </c>
    </row>
    <row r="15" spans="1:102" ht="14.4" customHeight="1" x14ac:dyDescent="0.35">
      <c r="A15" s="12" t="s">
        <v>156</v>
      </c>
      <c r="D15" s="14" t="s">
        <v>69</v>
      </c>
      <c r="E15" s="15" t="s">
        <v>70</v>
      </c>
      <c r="F15" s="16" t="s">
        <v>157</v>
      </c>
      <c r="G15" s="17" t="s">
        <v>158</v>
      </c>
      <c r="H15" s="18" t="s">
        <v>116</v>
      </c>
      <c r="I15" s="18" t="s">
        <v>74</v>
      </c>
      <c r="J15" s="18" t="s">
        <v>75</v>
      </c>
      <c r="K15" s="19">
        <f t="shared" ca="1" si="0"/>
        <v>45626</v>
      </c>
      <c r="L15" s="15" t="s">
        <v>70</v>
      </c>
      <c r="M15" s="15" t="s">
        <v>76</v>
      </c>
      <c r="N15" s="15">
        <v>1</v>
      </c>
      <c r="O15" s="18" t="s">
        <v>77</v>
      </c>
      <c r="P15" s="18" t="s">
        <v>78</v>
      </c>
      <c r="Q15" s="18" t="s">
        <v>77</v>
      </c>
      <c r="R15" s="18" t="s">
        <v>79</v>
      </c>
      <c r="S15" s="18" t="s">
        <v>75</v>
      </c>
      <c r="T15" s="20" t="s">
        <v>80</v>
      </c>
      <c r="U15" s="21" t="s">
        <v>81</v>
      </c>
      <c r="V15" s="18" t="s">
        <v>75</v>
      </c>
      <c r="W15" s="19">
        <f t="shared" ca="1" si="1"/>
        <v>45626</v>
      </c>
      <c r="X15" s="18" t="s">
        <v>82</v>
      </c>
      <c r="Y15" s="16" t="s">
        <v>83</v>
      </c>
      <c r="Z15" s="22" t="s">
        <v>84</v>
      </c>
      <c r="AA15" s="23" t="s">
        <v>85</v>
      </c>
      <c r="AB15" s="22" t="s">
        <v>86</v>
      </c>
      <c r="AC15" s="24" t="s">
        <v>87</v>
      </c>
      <c r="AD15" s="24" t="s">
        <v>88</v>
      </c>
      <c r="AE15" s="22" t="s">
        <v>89</v>
      </c>
      <c r="AF15" s="25">
        <v>20</v>
      </c>
      <c r="AG15" s="26">
        <f t="shared" ca="1" si="2"/>
        <v>46052</v>
      </c>
      <c r="AH15" s="27" t="s">
        <v>139</v>
      </c>
      <c r="AI15" s="27" t="s">
        <v>91</v>
      </c>
      <c r="AJ15" s="28">
        <f t="shared" ca="1" si="3"/>
        <v>45626</v>
      </c>
      <c r="AK15" s="26">
        <f t="shared" ca="1" si="4"/>
        <v>46052</v>
      </c>
      <c r="AL15" s="29">
        <f t="shared" ca="1" si="5"/>
        <v>45626</v>
      </c>
      <c r="AM15" s="29">
        <f t="shared" ca="1" si="6"/>
        <v>45626</v>
      </c>
      <c r="AN15" s="27" t="s">
        <v>92</v>
      </c>
      <c r="AO15" s="22" t="s">
        <v>93</v>
      </c>
      <c r="AP15" s="15">
        <v>100</v>
      </c>
      <c r="AQ15" s="29">
        <f t="shared" ca="1" si="7"/>
        <v>45707</v>
      </c>
      <c r="AR15" s="15" t="s">
        <v>70</v>
      </c>
      <c r="AS15" s="30" t="s">
        <v>94</v>
      </c>
      <c r="AT15" s="31">
        <v>583427439</v>
      </c>
      <c r="AU15" s="29" t="s">
        <v>95</v>
      </c>
      <c r="AV15" s="29" t="s">
        <v>96</v>
      </c>
      <c r="AW15" s="15" t="s">
        <v>70</v>
      </c>
      <c r="AX15" s="30" t="s">
        <v>97</v>
      </c>
      <c r="AY15" s="31">
        <v>693247569</v>
      </c>
      <c r="AZ15" s="29" t="s">
        <v>95</v>
      </c>
      <c r="BA15" s="29" t="s">
        <v>96</v>
      </c>
      <c r="BB15" s="32" t="s">
        <v>98</v>
      </c>
      <c r="BC15" s="29" t="s">
        <v>140</v>
      </c>
      <c r="BD15" s="30" t="s">
        <v>77</v>
      </c>
      <c r="BE15" s="30" t="s">
        <v>100</v>
      </c>
      <c r="BF15" s="30" t="s">
        <v>101</v>
      </c>
      <c r="BG15" s="15" t="s">
        <v>102</v>
      </c>
      <c r="BH15" s="15" t="s">
        <v>103</v>
      </c>
      <c r="BI15" s="33" t="s">
        <v>104</v>
      </c>
      <c r="BJ15" t="s">
        <v>105</v>
      </c>
      <c r="BK15" s="15" t="s">
        <v>106</v>
      </c>
      <c r="BL15" s="15" t="s">
        <v>70</v>
      </c>
      <c r="BM15" s="15" t="s">
        <v>76</v>
      </c>
      <c r="BN15" s="15" t="s">
        <v>76</v>
      </c>
      <c r="BO15" s="15" t="s">
        <v>107</v>
      </c>
      <c r="BP15" s="15" t="s">
        <v>108</v>
      </c>
      <c r="BQ15" s="18" t="s">
        <v>109</v>
      </c>
      <c r="BR15" s="18" t="s">
        <v>110</v>
      </c>
      <c r="BS15" t="s">
        <v>111</v>
      </c>
      <c r="BT15" s="34">
        <v>213111231</v>
      </c>
    </row>
    <row r="16" spans="1:102" ht="14.4" customHeight="1" x14ac:dyDescent="0.35">
      <c r="A16" s="12" t="s">
        <v>159</v>
      </c>
      <c r="D16" s="14" t="s">
        <v>69</v>
      </c>
      <c r="E16" s="15" t="s">
        <v>70</v>
      </c>
      <c r="F16" s="16" t="s">
        <v>160</v>
      </c>
      <c r="G16" s="17" t="s">
        <v>161</v>
      </c>
      <c r="H16" s="18" t="s">
        <v>116</v>
      </c>
      <c r="I16" s="18" t="s">
        <v>74</v>
      </c>
      <c r="J16" s="18" t="s">
        <v>75</v>
      </c>
      <c r="K16" s="19">
        <f t="shared" ca="1" si="0"/>
        <v>45626</v>
      </c>
      <c r="L16" s="15" t="s">
        <v>70</v>
      </c>
      <c r="M16" s="15" t="s">
        <v>76</v>
      </c>
      <c r="N16" s="15">
        <v>1</v>
      </c>
      <c r="O16" s="18" t="s">
        <v>77</v>
      </c>
      <c r="P16" s="18" t="s">
        <v>78</v>
      </c>
      <c r="Q16" s="18" t="s">
        <v>77</v>
      </c>
      <c r="R16" s="18" t="s">
        <v>79</v>
      </c>
      <c r="S16" s="18" t="s">
        <v>75</v>
      </c>
      <c r="T16" s="20" t="s">
        <v>80</v>
      </c>
      <c r="U16" s="21" t="s">
        <v>81</v>
      </c>
      <c r="V16" s="18" t="s">
        <v>75</v>
      </c>
      <c r="W16" s="19">
        <f t="shared" ca="1" si="1"/>
        <v>45626</v>
      </c>
      <c r="X16" s="18" t="s">
        <v>82</v>
      </c>
      <c r="Y16" s="16" t="s">
        <v>83</v>
      </c>
      <c r="Z16" s="22" t="s">
        <v>84</v>
      </c>
      <c r="AA16" s="23" t="s">
        <v>85</v>
      </c>
      <c r="AB16" s="22" t="s">
        <v>86</v>
      </c>
      <c r="AC16" s="24" t="s">
        <v>87</v>
      </c>
      <c r="AD16" s="24" t="s">
        <v>88</v>
      </c>
      <c r="AE16" s="22" t="s">
        <v>89</v>
      </c>
      <c r="AF16" s="25">
        <v>20</v>
      </c>
      <c r="AG16" s="26">
        <f t="shared" ca="1" si="2"/>
        <v>46052</v>
      </c>
      <c r="AH16" s="27" t="s">
        <v>139</v>
      </c>
      <c r="AI16" s="27" t="s">
        <v>91</v>
      </c>
      <c r="AJ16" s="28">
        <f t="shared" ca="1" si="3"/>
        <v>45626</v>
      </c>
      <c r="AK16" s="26">
        <f t="shared" ca="1" si="4"/>
        <v>46052</v>
      </c>
      <c r="AL16" s="29">
        <f t="shared" ca="1" si="5"/>
        <v>45626</v>
      </c>
      <c r="AM16" s="29">
        <f t="shared" ca="1" si="6"/>
        <v>45626</v>
      </c>
      <c r="AN16" s="27" t="s">
        <v>92</v>
      </c>
      <c r="AO16" s="22" t="s">
        <v>93</v>
      </c>
      <c r="AP16" s="15">
        <v>100</v>
      </c>
      <c r="AQ16" s="29">
        <f t="shared" ca="1" si="7"/>
        <v>45707</v>
      </c>
      <c r="AR16" s="15" t="s">
        <v>70</v>
      </c>
      <c r="AS16" s="30" t="s">
        <v>94</v>
      </c>
      <c r="AT16" s="31">
        <v>583427440</v>
      </c>
      <c r="AU16" s="29" t="s">
        <v>95</v>
      </c>
      <c r="AV16" s="29" t="s">
        <v>96</v>
      </c>
      <c r="AW16" s="15" t="s">
        <v>70</v>
      </c>
      <c r="AX16" s="30" t="s">
        <v>97</v>
      </c>
      <c r="AY16" s="31">
        <v>693247570</v>
      </c>
      <c r="AZ16" s="29" t="s">
        <v>95</v>
      </c>
      <c r="BA16" s="29" t="s">
        <v>96</v>
      </c>
      <c r="BB16" s="32" t="s">
        <v>98</v>
      </c>
      <c r="BC16" s="29" t="s">
        <v>140</v>
      </c>
      <c r="BD16" s="30" t="s">
        <v>77</v>
      </c>
      <c r="BE16" s="30" t="s">
        <v>100</v>
      </c>
      <c r="BF16" s="30" t="s">
        <v>101</v>
      </c>
      <c r="BG16" s="15" t="s">
        <v>102</v>
      </c>
      <c r="BH16" s="15" t="s">
        <v>103</v>
      </c>
      <c r="BI16" s="33" t="s">
        <v>104</v>
      </c>
      <c r="BJ16" t="s">
        <v>105</v>
      </c>
      <c r="BK16" s="15" t="s">
        <v>106</v>
      </c>
      <c r="BL16" s="15" t="s">
        <v>70</v>
      </c>
      <c r="BM16" s="15" t="s">
        <v>76</v>
      </c>
      <c r="BN16" s="15" t="s">
        <v>76</v>
      </c>
      <c r="BO16" s="15" t="s">
        <v>107</v>
      </c>
      <c r="BP16" s="15" t="s">
        <v>108</v>
      </c>
      <c r="BQ16" s="18" t="s">
        <v>109</v>
      </c>
      <c r="BR16" s="18" t="s">
        <v>110</v>
      </c>
      <c r="BS16" t="s">
        <v>111</v>
      </c>
      <c r="BT16" s="34">
        <v>213111231</v>
      </c>
    </row>
    <row r="17" spans="1:72" ht="14.4" customHeight="1" x14ac:dyDescent="0.35">
      <c r="A17" s="12" t="s">
        <v>162</v>
      </c>
      <c r="D17" s="14" t="s">
        <v>69</v>
      </c>
      <c r="E17" s="15" t="s">
        <v>70</v>
      </c>
      <c r="F17" s="16" t="s">
        <v>163</v>
      </c>
      <c r="G17" s="17" t="s">
        <v>164</v>
      </c>
      <c r="H17" s="18" t="s">
        <v>73</v>
      </c>
      <c r="I17" s="18" t="s">
        <v>74</v>
      </c>
      <c r="J17" s="18" t="s">
        <v>75</v>
      </c>
      <c r="K17" s="19">
        <f t="shared" ca="1" si="0"/>
        <v>45626</v>
      </c>
      <c r="L17" s="15" t="s">
        <v>70</v>
      </c>
      <c r="M17" s="15" t="s">
        <v>76</v>
      </c>
      <c r="N17" s="15">
        <v>1</v>
      </c>
      <c r="O17" s="18" t="s">
        <v>77</v>
      </c>
      <c r="P17" s="18" t="s">
        <v>78</v>
      </c>
      <c r="Q17" s="18" t="s">
        <v>77</v>
      </c>
      <c r="R17" s="18" t="s">
        <v>79</v>
      </c>
      <c r="S17" s="18" t="s">
        <v>75</v>
      </c>
      <c r="T17" s="20" t="s">
        <v>80</v>
      </c>
      <c r="U17" s="21" t="s">
        <v>81</v>
      </c>
      <c r="V17" s="18" t="s">
        <v>75</v>
      </c>
      <c r="W17" s="19">
        <f t="shared" ca="1" si="1"/>
        <v>45626</v>
      </c>
      <c r="X17" s="18" t="s">
        <v>82</v>
      </c>
      <c r="Y17" s="16" t="s">
        <v>83</v>
      </c>
      <c r="Z17" s="22" t="s">
        <v>84</v>
      </c>
      <c r="AA17" s="23" t="s">
        <v>85</v>
      </c>
      <c r="AB17" s="22" t="s">
        <v>86</v>
      </c>
      <c r="AC17" s="24" t="s">
        <v>87</v>
      </c>
      <c r="AD17" s="24" t="s">
        <v>88</v>
      </c>
      <c r="AE17" s="22" t="s">
        <v>89</v>
      </c>
      <c r="AF17" s="25">
        <v>20</v>
      </c>
      <c r="AG17" s="26">
        <f t="shared" ca="1" si="2"/>
        <v>46052</v>
      </c>
      <c r="AH17" s="27" t="s">
        <v>139</v>
      </c>
      <c r="AI17" s="27" t="s">
        <v>91</v>
      </c>
      <c r="AJ17" s="28">
        <f t="shared" ca="1" si="3"/>
        <v>45626</v>
      </c>
      <c r="AK17" s="26">
        <f t="shared" ca="1" si="4"/>
        <v>46052</v>
      </c>
      <c r="AL17" s="29">
        <f t="shared" ca="1" si="5"/>
        <v>45626</v>
      </c>
      <c r="AM17" s="29">
        <f t="shared" ca="1" si="6"/>
        <v>45626</v>
      </c>
      <c r="AN17" s="27" t="s">
        <v>92</v>
      </c>
      <c r="AO17" s="22" t="s">
        <v>93</v>
      </c>
      <c r="AP17" s="15">
        <v>100</v>
      </c>
      <c r="AQ17" s="29">
        <f t="shared" ca="1" si="7"/>
        <v>45707</v>
      </c>
      <c r="AR17" s="15" t="s">
        <v>70</v>
      </c>
      <c r="AS17" s="30" t="s">
        <v>94</v>
      </c>
      <c r="AT17" s="31">
        <v>583427441</v>
      </c>
      <c r="AU17" s="29" t="s">
        <v>95</v>
      </c>
      <c r="AV17" s="29" t="s">
        <v>96</v>
      </c>
      <c r="AW17" s="15" t="s">
        <v>70</v>
      </c>
      <c r="AX17" s="30" t="s">
        <v>97</v>
      </c>
      <c r="AY17" s="31">
        <v>693247571</v>
      </c>
      <c r="AZ17" s="29" t="s">
        <v>95</v>
      </c>
      <c r="BA17" s="29" t="s">
        <v>96</v>
      </c>
      <c r="BB17" s="32" t="s">
        <v>98</v>
      </c>
      <c r="BC17" s="29" t="s">
        <v>140</v>
      </c>
      <c r="BD17" s="30" t="s">
        <v>77</v>
      </c>
      <c r="BE17" s="30" t="s">
        <v>100</v>
      </c>
      <c r="BF17" s="30" t="s">
        <v>101</v>
      </c>
      <c r="BG17" s="15" t="s">
        <v>102</v>
      </c>
      <c r="BH17" s="15" t="s">
        <v>103</v>
      </c>
      <c r="BI17" s="33" t="s">
        <v>104</v>
      </c>
      <c r="BJ17" t="s">
        <v>105</v>
      </c>
      <c r="BK17" s="15" t="s">
        <v>106</v>
      </c>
      <c r="BL17" s="15" t="s">
        <v>70</v>
      </c>
      <c r="BM17" s="15" t="s">
        <v>76</v>
      </c>
      <c r="BN17" s="15" t="s">
        <v>76</v>
      </c>
      <c r="BO17" s="15" t="s">
        <v>107</v>
      </c>
      <c r="BP17" s="15" t="s">
        <v>108</v>
      </c>
      <c r="BQ17" s="18" t="s">
        <v>109</v>
      </c>
      <c r="BR17" s="18" t="s">
        <v>110</v>
      </c>
      <c r="BS17" t="s">
        <v>111</v>
      </c>
      <c r="BT17" s="34">
        <v>213111231</v>
      </c>
    </row>
    <row r="18" spans="1:72" ht="14.4" customHeight="1" x14ac:dyDescent="0.35">
      <c r="A18" s="12" t="s">
        <v>165</v>
      </c>
      <c r="D18" s="14" t="s">
        <v>69</v>
      </c>
      <c r="E18" s="15" t="s">
        <v>70</v>
      </c>
      <c r="F18" s="16" t="s">
        <v>166</v>
      </c>
      <c r="G18" s="17" t="s">
        <v>167</v>
      </c>
      <c r="H18" s="18" t="s">
        <v>116</v>
      </c>
      <c r="I18" s="18" t="s">
        <v>74</v>
      </c>
      <c r="J18" s="18" t="s">
        <v>75</v>
      </c>
      <c r="K18" s="19">
        <f t="shared" ca="1" si="0"/>
        <v>45626</v>
      </c>
      <c r="L18" s="15" t="s">
        <v>70</v>
      </c>
      <c r="M18" s="15" t="s">
        <v>76</v>
      </c>
      <c r="N18" s="15">
        <v>1</v>
      </c>
      <c r="O18" s="18" t="s">
        <v>77</v>
      </c>
      <c r="P18" s="18" t="s">
        <v>78</v>
      </c>
      <c r="Q18" s="18" t="s">
        <v>77</v>
      </c>
      <c r="R18" s="18" t="s">
        <v>79</v>
      </c>
      <c r="S18" s="18" t="s">
        <v>75</v>
      </c>
      <c r="T18" s="20" t="s">
        <v>80</v>
      </c>
      <c r="U18" s="21" t="s">
        <v>81</v>
      </c>
      <c r="V18" s="18" t="s">
        <v>75</v>
      </c>
      <c r="W18" s="19">
        <f t="shared" ca="1" si="1"/>
        <v>45626</v>
      </c>
      <c r="X18" s="18" t="s">
        <v>82</v>
      </c>
      <c r="Y18" s="16" t="s">
        <v>83</v>
      </c>
      <c r="Z18" s="22" t="s">
        <v>84</v>
      </c>
      <c r="AA18" s="23" t="s">
        <v>85</v>
      </c>
      <c r="AB18" s="22" t="s">
        <v>86</v>
      </c>
      <c r="AC18" s="24" t="s">
        <v>87</v>
      </c>
      <c r="AD18" s="24" t="s">
        <v>88</v>
      </c>
      <c r="AE18" s="22" t="s">
        <v>89</v>
      </c>
      <c r="AF18" s="25">
        <v>20</v>
      </c>
      <c r="AG18" s="26">
        <f t="shared" ca="1" si="2"/>
        <v>46052</v>
      </c>
      <c r="AH18" s="27" t="s">
        <v>139</v>
      </c>
      <c r="AI18" s="27" t="s">
        <v>91</v>
      </c>
      <c r="AJ18" s="28">
        <f t="shared" ca="1" si="3"/>
        <v>45626</v>
      </c>
      <c r="AK18" s="26">
        <f t="shared" ca="1" si="4"/>
        <v>46052</v>
      </c>
      <c r="AL18" s="29">
        <f t="shared" ca="1" si="5"/>
        <v>45626</v>
      </c>
      <c r="AM18" s="29">
        <f t="shared" ca="1" si="6"/>
        <v>45626</v>
      </c>
      <c r="AN18" s="27" t="s">
        <v>92</v>
      </c>
      <c r="AO18" s="22" t="s">
        <v>93</v>
      </c>
      <c r="AP18" s="15">
        <v>100</v>
      </c>
      <c r="AQ18" s="29">
        <f t="shared" ca="1" si="7"/>
        <v>45707</v>
      </c>
      <c r="AR18" s="15" t="s">
        <v>70</v>
      </c>
      <c r="AS18" s="30" t="s">
        <v>94</v>
      </c>
      <c r="AT18" s="31">
        <v>583427442</v>
      </c>
      <c r="AU18" s="29" t="s">
        <v>95</v>
      </c>
      <c r="AV18" s="29" t="s">
        <v>96</v>
      </c>
      <c r="AW18" s="15" t="s">
        <v>70</v>
      </c>
      <c r="AX18" s="30" t="s">
        <v>97</v>
      </c>
      <c r="AY18" s="31">
        <v>693247572</v>
      </c>
      <c r="AZ18" s="29" t="s">
        <v>95</v>
      </c>
      <c r="BA18" s="29" t="s">
        <v>96</v>
      </c>
      <c r="BB18" s="32" t="s">
        <v>98</v>
      </c>
      <c r="BC18" s="29" t="s">
        <v>140</v>
      </c>
      <c r="BD18" s="30" t="s">
        <v>77</v>
      </c>
      <c r="BE18" s="30" t="s">
        <v>100</v>
      </c>
      <c r="BF18" s="30" t="s">
        <v>101</v>
      </c>
      <c r="BG18" s="15" t="s">
        <v>102</v>
      </c>
      <c r="BH18" s="15" t="s">
        <v>103</v>
      </c>
      <c r="BI18" s="33" t="s">
        <v>104</v>
      </c>
      <c r="BJ18" t="s">
        <v>105</v>
      </c>
      <c r="BK18" s="15" t="s">
        <v>106</v>
      </c>
      <c r="BL18" s="15" t="s">
        <v>70</v>
      </c>
      <c r="BM18" s="15" t="s">
        <v>76</v>
      </c>
      <c r="BN18" s="15" t="s">
        <v>76</v>
      </c>
      <c r="BO18" s="15" t="s">
        <v>107</v>
      </c>
      <c r="BP18" s="15" t="s">
        <v>108</v>
      </c>
      <c r="BQ18" s="18" t="s">
        <v>109</v>
      </c>
      <c r="BR18" s="18" t="s">
        <v>110</v>
      </c>
      <c r="BS18" t="s">
        <v>111</v>
      </c>
      <c r="BT18" s="34">
        <v>213111231</v>
      </c>
    </row>
    <row r="19" spans="1:72" ht="14.4" customHeight="1" x14ac:dyDescent="0.35">
      <c r="A19" s="12" t="s">
        <v>168</v>
      </c>
      <c r="D19" s="14" t="s">
        <v>69</v>
      </c>
      <c r="E19" s="15" t="s">
        <v>70</v>
      </c>
      <c r="F19" s="16" t="s">
        <v>169</v>
      </c>
      <c r="G19" s="17" t="s">
        <v>170</v>
      </c>
      <c r="H19" s="18" t="s">
        <v>116</v>
      </c>
      <c r="I19" s="18" t="s">
        <v>74</v>
      </c>
      <c r="J19" s="18" t="s">
        <v>75</v>
      </c>
      <c r="K19" s="19">
        <f t="shared" ca="1" si="0"/>
        <v>45626</v>
      </c>
      <c r="L19" s="15" t="s">
        <v>70</v>
      </c>
      <c r="M19" s="15" t="s">
        <v>76</v>
      </c>
      <c r="N19" s="15">
        <v>1</v>
      </c>
      <c r="O19" s="18" t="s">
        <v>77</v>
      </c>
      <c r="P19" s="18" t="s">
        <v>78</v>
      </c>
      <c r="Q19" s="18" t="s">
        <v>77</v>
      </c>
      <c r="R19" s="18" t="s">
        <v>79</v>
      </c>
      <c r="S19" s="18" t="s">
        <v>75</v>
      </c>
      <c r="T19" s="20" t="s">
        <v>80</v>
      </c>
      <c r="U19" s="21" t="s">
        <v>81</v>
      </c>
      <c r="V19" s="18" t="s">
        <v>75</v>
      </c>
      <c r="W19" s="19">
        <f t="shared" ca="1" si="1"/>
        <v>45626</v>
      </c>
      <c r="X19" s="18" t="s">
        <v>82</v>
      </c>
      <c r="Y19" s="16" t="s">
        <v>83</v>
      </c>
      <c r="Z19" s="22" t="s">
        <v>84</v>
      </c>
      <c r="AA19" s="23" t="s">
        <v>85</v>
      </c>
      <c r="AB19" s="22" t="s">
        <v>86</v>
      </c>
      <c r="AC19" s="24" t="s">
        <v>87</v>
      </c>
      <c r="AD19" s="24" t="s">
        <v>88</v>
      </c>
      <c r="AE19" s="22" t="s">
        <v>89</v>
      </c>
      <c r="AF19" s="25">
        <v>20</v>
      </c>
      <c r="AG19" s="26">
        <f t="shared" ca="1" si="2"/>
        <v>46052</v>
      </c>
      <c r="AH19" s="27" t="s">
        <v>139</v>
      </c>
      <c r="AI19" s="27" t="s">
        <v>91</v>
      </c>
      <c r="AJ19" s="28">
        <f t="shared" ca="1" si="3"/>
        <v>45626</v>
      </c>
      <c r="AK19" s="26">
        <f t="shared" ca="1" si="4"/>
        <v>46052</v>
      </c>
      <c r="AL19" s="29">
        <f t="shared" ca="1" si="5"/>
        <v>45626</v>
      </c>
      <c r="AM19" s="29">
        <f t="shared" ca="1" si="6"/>
        <v>45626</v>
      </c>
      <c r="AN19" s="27" t="s">
        <v>92</v>
      </c>
      <c r="AO19" s="22" t="s">
        <v>93</v>
      </c>
      <c r="AP19" s="15">
        <v>100</v>
      </c>
      <c r="AQ19" s="29">
        <f t="shared" ca="1" si="7"/>
        <v>45707</v>
      </c>
      <c r="AR19" s="15" t="s">
        <v>70</v>
      </c>
      <c r="AS19" s="30" t="s">
        <v>94</v>
      </c>
      <c r="AT19" s="31">
        <v>583427443</v>
      </c>
      <c r="AU19" s="29" t="s">
        <v>95</v>
      </c>
      <c r="AV19" s="29" t="s">
        <v>96</v>
      </c>
      <c r="AW19" s="15" t="s">
        <v>70</v>
      </c>
      <c r="AX19" s="30" t="s">
        <v>97</v>
      </c>
      <c r="AY19" s="31">
        <v>693247573</v>
      </c>
      <c r="AZ19" s="29" t="s">
        <v>95</v>
      </c>
      <c r="BA19" s="29" t="s">
        <v>96</v>
      </c>
      <c r="BB19" s="32" t="s">
        <v>98</v>
      </c>
      <c r="BC19" s="29" t="s">
        <v>140</v>
      </c>
      <c r="BD19" s="30" t="s">
        <v>77</v>
      </c>
      <c r="BE19" s="30" t="s">
        <v>100</v>
      </c>
      <c r="BF19" s="30" t="s">
        <v>101</v>
      </c>
      <c r="BG19" s="15" t="s">
        <v>102</v>
      </c>
      <c r="BH19" s="15" t="s">
        <v>103</v>
      </c>
      <c r="BI19" s="33" t="s">
        <v>104</v>
      </c>
      <c r="BJ19" t="s">
        <v>105</v>
      </c>
      <c r="BK19" s="15" t="s">
        <v>106</v>
      </c>
      <c r="BL19" s="15" t="s">
        <v>70</v>
      </c>
      <c r="BM19" s="15" t="s">
        <v>76</v>
      </c>
      <c r="BN19" s="15" t="s">
        <v>76</v>
      </c>
      <c r="BO19" s="15" t="s">
        <v>107</v>
      </c>
      <c r="BP19" s="15" t="s">
        <v>108</v>
      </c>
      <c r="BQ19" s="18" t="s">
        <v>109</v>
      </c>
      <c r="BR19" s="18" t="s">
        <v>110</v>
      </c>
      <c r="BS19" t="s">
        <v>111</v>
      </c>
      <c r="BT19" s="34">
        <v>213111231</v>
      </c>
    </row>
    <row r="20" spans="1:72" ht="14.4" customHeight="1" x14ac:dyDescent="0.35">
      <c r="A20" s="12" t="s">
        <v>171</v>
      </c>
      <c r="D20" s="14" t="s">
        <v>69</v>
      </c>
      <c r="E20" s="15" t="s">
        <v>70</v>
      </c>
      <c r="F20" s="16" t="s">
        <v>172</v>
      </c>
      <c r="G20" s="17" t="s">
        <v>173</v>
      </c>
      <c r="H20" s="18" t="s">
        <v>73</v>
      </c>
      <c r="I20" s="18" t="s">
        <v>74</v>
      </c>
      <c r="J20" s="18" t="s">
        <v>75</v>
      </c>
      <c r="K20" s="19">
        <f t="shared" ca="1" si="0"/>
        <v>45626</v>
      </c>
      <c r="L20" s="15" t="s">
        <v>70</v>
      </c>
      <c r="M20" s="15" t="s">
        <v>76</v>
      </c>
      <c r="N20" s="15">
        <v>1</v>
      </c>
      <c r="O20" s="18" t="s">
        <v>77</v>
      </c>
      <c r="P20" s="18" t="s">
        <v>78</v>
      </c>
      <c r="Q20" s="18" t="s">
        <v>77</v>
      </c>
      <c r="R20" s="18" t="s">
        <v>79</v>
      </c>
      <c r="S20" s="18" t="s">
        <v>75</v>
      </c>
      <c r="T20" s="20" t="s">
        <v>80</v>
      </c>
      <c r="U20" s="21" t="s">
        <v>81</v>
      </c>
      <c r="V20" s="18" t="s">
        <v>75</v>
      </c>
      <c r="W20" s="19">
        <f t="shared" ca="1" si="1"/>
        <v>45626</v>
      </c>
      <c r="X20" s="18" t="s">
        <v>82</v>
      </c>
      <c r="Y20" s="16" t="s">
        <v>83</v>
      </c>
      <c r="Z20" s="22" t="s">
        <v>84</v>
      </c>
      <c r="AA20" s="23" t="s">
        <v>85</v>
      </c>
      <c r="AB20" s="22" t="s">
        <v>86</v>
      </c>
      <c r="AC20" s="24" t="s">
        <v>87</v>
      </c>
      <c r="AD20" s="24" t="s">
        <v>88</v>
      </c>
      <c r="AE20" s="22" t="s">
        <v>89</v>
      </c>
      <c r="AF20" s="25">
        <v>20</v>
      </c>
      <c r="AG20" s="26">
        <f t="shared" ca="1" si="2"/>
        <v>46052</v>
      </c>
      <c r="AH20" s="27" t="s">
        <v>139</v>
      </c>
      <c r="AI20" s="27" t="s">
        <v>91</v>
      </c>
      <c r="AJ20" s="28">
        <f t="shared" ca="1" si="3"/>
        <v>45626</v>
      </c>
      <c r="AK20" s="26">
        <f t="shared" ca="1" si="4"/>
        <v>46052</v>
      </c>
      <c r="AL20" s="29">
        <f t="shared" ca="1" si="5"/>
        <v>45626</v>
      </c>
      <c r="AM20" s="29">
        <f t="shared" ca="1" si="6"/>
        <v>45626</v>
      </c>
      <c r="AN20" s="27" t="s">
        <v>92</v>
      </c>
      <c r="AO20" s="22" t="s">
        <v>93</v>
      </c>
      <c r="AP20" s="15">
        <v>100</v>
      </c>
      <c r="AQ20" s="29">
        <f t="shared" ca="1" si="7"/>
        <v>45707</v>
      </c>
      <c r="AR20" s="15" t="s">
        <v>70</v>
      </c>
      <c r="AS20" s="30" t="s">
        <v>94</v>
      </c>
      <c r="AT20" s="31">
        <v>583427444</v>
      </c>
      <c r="AU20" s="29" t="s">
        <v>95</v>
      </c>
      <c r="AV20" s="29" t="s">
        <v>96</v>
      </c>
      <c r="AW20" s="15" t="s">
        <v>70</v>
      </c>
      <c r="AX20" s="30" t="s">
        <v>97</v>
      </c>
      <c r="AY20" s="31">
        <v>693247574</v>
      </c>
      <c r="AZ20" s="29" t="s">
        <v>95</v>
      </c>
      <c r="BA20" s="29" t="s">
        <v>96</v>
      </c>
      <c r="BB20" s="32" t="s">
        <v>98</v>
      </c>
      <c r="BC20" s="29" t="s">
        <v>140</v>
      </c>
      <c r="BD20" s="30" t="s">
        <v>77</v>
      </c>
      <c r="BE20" s="30" t="s">
        <v>100</v>
      </c>
      <c r="BF20" s="30" t="s">
        <v>101</v>
      </c>
      <c r="BG20" s="15" t="s">
        <v>102</v>
      </c>
      <c r="BH20" s="15" t="s">
        <v>103</v>
      </c>
      <c r="BI20" s="33" t="s">
        <v>104</v>
      </c>
      <c r="BJ20" t="s">
        <v>105</v>
      </c>
      <c r="BK20" s="15" t="s">
        <v>106</v>
      </c>
      <c r="BL20" s="15" t="s">
        <v>70</v>
      </c>
      <c r="BM20" s="15" t="s">
        <v>76</v>
      </c>
      <c r="BN20" s="15" t="s">
        <v>76</v>
      </c>
      <c r="BO20" s="15" t="s">
        <v>107</v>
      </c>
      <c r="BP20" s="15" t="s">
        <v>108</v>
      </c>
      <c r="BQ20" s="18" t="s">
        <v>109</v>
      </c>
      <c r="BR20" s="18" t="s">
        <v>110</v>
      </c>
      <c r="BS20" t="s">
        <v>111</v>
      </c>
      <c r="BT20" s="34">
        <v>213111231</v>
      </c>
    </row>
  </sheetData>
  <dataValidations count="2">
    <dataValidation type="list" allowBlank="1" showInputMessage="1" showErrorMessage="1" sqref="AI10:AI20 X10:X20 V10:V20 S10:S20 J10:J20 BH10:BH20" xr:uid="{00000000-0002-0000-0000-000000000000}">
      <formula1>INDIRECT($E2)</formula1>
    </dataValidation>
    <dataValidation type="list" allowBlank="1" showInputMessage="1" showErrorMessage="1" sqref="AI2:AI20 X2:X20 V2:V20 S2:S20 J2:J20 BH2:BH20" xr:uid="{00000000-0002-0000-0000-000001000000}">
      <formula1>INDIRECT($E2)</formula1>
    </dataValidation>
  </dataValidations>
  <hyperlinks>
    <hyperlink ref="U2" r:id="rId1" xr:uid="{00000000-0004-0000-0000-000000000000}"/>
  </hyperlinks>
  <pageMargins left="0.7" right="0.7" top="0.75" bottom="0.75" header="0.3" footer="0.3"/>
  <pageSetup orientation="portrait" useFirstPageNumber="1" horizontalDpi="4294967295" verticalDpi="429496729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2015-06-05T18:17:20Z</dcterms:created>
  <dcterms:modified xsi:type="dcterms:W3CDTF">2025-01-30T09:33:26Z</dcterms:modified>
</cp:coreProperties>
</file>