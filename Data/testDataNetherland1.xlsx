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<sst xmlns="http://schemas.openxmlformats.org/spreadsheetml/2006/main" count="856" uniqueCount="157">
  <si>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</si>
  <si>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</si>
  <si>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</si>
  <si>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</si>
  <si>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</si>
  <si>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</si>
  <si>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</si>
  <si>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</si>
  <si>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</si>
  <si>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</si>
  <si>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</si>
  <si>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</si>
  <si>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</si>
  <si>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</si>
  <si>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</si>
  <si>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</si>
  <si>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</si>
  <si>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</si>
  <si>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</si>
  <si>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</si>
  <si>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</si>
  <si>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</si>
  <si>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</si>
  <si>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</si>
  <si>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</si>
  <si>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</si>
  <si>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</si>
  <si>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</si>
  <si>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</si>
  <si>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</si>
  <si>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</si>
  <si>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</si>
  <si>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</si>
  <si>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</si>
  <si>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</si>
  <si>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</si>
  <si>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</si>
  <si>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</si>
  <si>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</si>
  <si>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</si>
  <si>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</si>
  <si>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</si>
  <si>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</si>
  <si>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</si>
  <si>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</si>
  <si>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</si>
  <si>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</si>
  <si>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</si>
  <si>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</si>
  <si>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</si>
  <si>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</si>
  <si>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</si>
  <si>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</si>
  <si>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</si>
  <si>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</si>
  <si>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</si>
  <si>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</si>
  <si>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</si>
  <si>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</si>
  <si>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</si>
  <si>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</si>
  <si>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</si>
  <si>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</si>
  <si>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10698625</t>
  </si>
  <si>
    <t>Passed</t>
  </si>
  <si>
    <t>701 Recruitment (Vulam Syhohu (8701689))</t>
  </si>
  <si>
    <t>Mevr</t>
  </si>
  <si>
    <t>Karson</t>
  </si>
  <si>
    <t>Test</t>
  </si>
  <si>
    <t>Toy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</si>
  <si>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</si>
  <si>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</si>
  <si>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</si>
  <si>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</si>
  <si>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</si>
  <si>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</si>
  <si>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</si>
  <si>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</si>
  <si>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</si>
  <si>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</si>
  <si>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</si>
  <si>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</si>
  <si>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</si>
  <si>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</si>
  <si>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</si>
  <si>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</si>
  <si>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</si>
  <si>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</si>
  <si>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</si>
  <si>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</si>
  <si>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</si>
  <si>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</si>
  <si>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</si>
  <si>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</si>
  <si>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</si>
  <si>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</si>
  <si>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</si>
  <si>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</si>
  <si>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</si>
  <si>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</si>
  <si>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</si>
  <si>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</si>
  <si>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</si>
  <si>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</si>
  <si>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</si>
  <si>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</si>
  <si>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</si>
  <si>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</si>
  <si>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</si>
  <si>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</si>
  <si>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Charlotte</t>
  </si>
  <si>
    <t>Quitzon</t>
  </si>
  <si>
    <t>Full-time( FT. )</t>
  </si>
  <si>
    <t>New</t>
  </si>
  <si>
    <t>Auto 83807558</t>
  </si>
  <si>
    <t>Store Manager</t>
  </si>
  <si>
    <t>Full time</t>
  </si>
  <si>
    <t>92 Retail Management</t>
  </si>
  <si>
    <t>NL Management</t>
  </si>
  <si>
    <t>Defined contract end date (Determined)</t>
  </si>
  <si>
    <t>Team Manager - Retail</t>
  </si>
  <si>
    <t>Initial Step - NL TM</t>
  </si>
  <si>
    <t>Auto 10112024 113738</t>
  </si>
  <si>
    <t>Fixed Term</t>
  </si>
  <si>
    <t>Auto 10112024 114703</t>
  </si>
  <si>
    <t>Department Manager</t>
  </si>
  <si>
    <t>Auto 10112024 115614</t>
  </si>
  <si>
    <t>Auto 10112024 121138</t>
  </si>
  <si>
    <t>Assistant Manager</t>
  </si>
  <si>
    <t>Auto 10112024 122050</t>
  </si>
  <si>
    <t>Senior Department Manager</t>
  </si>
  <si>
    <t>Auto 10112024 123622</t>
  </si>
  <si>
    <t>P&amp;C Manager Stores</t>
  </si>
  <si>
    <t>Netherlands Stockroom Operative</t>
  </si>
  <si>
    <t xml:space="preserve">Stockroom Operative (21) </t>
  </si>
  <si>
    <t>Stockroom Operative</t>
  </si>
  <si>
    <t>255 Stockroom</t>
  </si>
  <si>
    <t>Netherlands Visual Merchandiser</t>
  </si>
  <si>
    <t>Initial Step - NL VM</t>
  </si>
  <si>
    <t>Visual Merchandiser</t>
  </si>
  <si>
    <t>256 Visual Merchandising</t>
  </si>
  <si>
    <t>Netherlands Supervisor</t>
  </si>
  <si>
    <t xml:space="preserve">Netherlands Supervisor (23+) </t>
  </si>
  <si>
    <t>Supervisor</t>
  </si>
  <si>
    <t>253 Supervisors</t>
  </si>
  <si>
    <t>Netherlands Cash Office Operative</t>
  </si>
  <si>
    <t>Initial Step NL Cash Office Operative</t>
  </si>
  <si>
    <t>Cash Office Operative</t>
  </si>
  <si>
    <t>258 Cash Office</t>
  </si>
  <si>
    <t>Netherlands P&amp;C Assistant</t>
  </si>
  <si>
    <t>P&amp;C Assistant (NLD/FRA/USA/ITA/PL/CZ ONLY)</t>
  </si>
  <si>
    <t>250 Human Resources Retail</t>
  </si>
  <si>
    <t>Intern</t>
  </si>
  <si>
    <t>AS</t>
  </si>
  <si>
    <t>Retail Assistant (21)</t>
  </si>
  <si>
    <t>Temporary</t>
  </si>
  <si>
    <t>37.5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</si>
</sst>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color theme="9" tint="-0.249977111117893"/>
      <family val="2"/>
      <scheme val="minor"/>
      <sz val="11"/>
      <name val="Calibri"/>
    </font>
    <font>
      <color rgb="FF040C28"/>
      <family val="2"/>
      <sz val="10"/>
      <name val="Arial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b/>
      <color rgb="FF4A4A4A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31"/>
  <sheetViews>
    <sheetView workbookViewId="0" zoomScale="100" zoomScaleNormal="100">
      <selection activeCell="AH5" sqref="AH5"/>
    </sheetView>
  </sheetViews>
  <sheetFormatPr defaultRowHeight="14.5" outlineLevelRow="0" outlineLevelCol="0" x14ac:dyDescent="0.35" customHeight="1"/>
  <cols>
    <col min="2" max="2" width="58.1796875" customWidth="1"/>
    <col min="4" max="4" width="27.08984375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</cols>
  <sheetData>
    <row r="1" ht="51" customHeight="1" spans="1:6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4" t="s">
        <v>20</v>
      </c>
      <c r="X1" s="4" t="s">
        <v>21</v>
      </c>
      <c r="Y1" s="2" t="s">
        <v>22</v>
      </c>
      <c r="Z1" s="2" t="s">
        <v>23</v>
      </c>
      <c r="AA1" s="2" t="s">
        <v>24</v>
      </c>
      <c r="AB1" s="4" t="s">
        <v>25</v>
      </c>
      <c r="AC1" s="5" t="s">
        <v>26</v>
      </c>
      <c r="AD1" s="6" t="s">
        <v>27</v>
      </c>
      <c r="AE1" s="7" t="s">
        <v>28</v>
      </c>
      <c r="AF1" s="7" t="s">
        <v>29</v>
      </c>
      <c r="AG1" s="8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9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9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</row>
    <row r="2" ht="87.5" customHeight="1" spans="2:65" x14ac:dyDescent="0.25">
      <c r="B2" s="12" t="s">
        <v>63</v>
      </c>
      <c r="C2" s="13" t="s">
        <v>64</v>
      </c>
      <c r="D2" s="14" t="s">
        <v>65</v>
      </c>
      <c r="E2" t="s">
        <v>66</v>
      </c>
      <c r="F2" s="15" t="s">
        <v>67</v>
      </c>
      <c r="G2" t="s">
        <v>68</v>
      </c>
      <c r="H2" s="15" t="s">
        <v>69</v>
      </c>
      <c r="I2" s="16" t="s">
        <v>70</v>
      </c>
      <c r="J2" s="16" t="s">
        <v>71</v>
      </c>
      <c r="K2" s="16" t="s">
        <v>72</v>
      </c>
      <c r="L2" s="17">
        <f t="shared" ref="L2:L16" si="0">TODAY()-31</f>
        <v>45739</v>
      </c>
      <c r="M2" s="18" t="s">
        <v>73</v>
      </c>
      <c r="N2" t="s">
        <v>74</v>
      </c>
      <c r="O2" s="19" t="s">
        <v>75</v>
      </c>
      <c r="P2" s="16" t="s">
        <v>76</v>
      </c>
      <c r="Q2" s="20" t="s">
        <v>77</v>
      </c>
      <c r="R2" t="s">
        <v>74</v>
      </c>
      <c r="S2" s="16" t="s">
        <v>72</v>
      </c>
      <c r="T2" s="21" t="s">
        <v>78</v>
      </c>
      <c r="U2" s="22" t="s">
        <v>79</v>
      </c>
      <c r="V2" s="16" t="s">
        <v>72</v>
      </c>
      <c r="W2" t="s">
        <v>80</v>
      </c>
      <c r="X2" t="s">
        <v>81</v>
      </c>
      <c r="Y2" s="23" t="s">
        <v>82</v>
      </c>
      <c r="Z2" s="24" t="s">
        <v>83</v>
      </c>
      <c r="AA2" s="25" t="s">
        <v>84</v>
      </c>
      <c r="AB2" s="21">
        <f t="shared" ref="AB2:AB16" si="1">AG2</f>
        <v>45739</v>
      </c>
      <c r="AC2" s="26">
        <f t="shared" ref="AC2:AC16" si="2">AG2</f>
        <v>45739</v>
      </c>
      <c r="AD2" s="27" t="s">
        <v>85</v>
      </c>
      <c r="AE2" s="28" t="s">
        <v>86</v>
      </c>
      <c r="AF2" s="28" t="s">
        <v>87</v>
      </c>
      <c r="AG2" s="29">
        <f t="shared" ref="AG2:AG16" si="3">L2</f>
        <v>45739</v>
      </c>
      <c r="AH2" s="21">
        <v>44986</v>
      </c>
      <c r="AI2" s="16" t="s">
        <v>88</v>
      </c>
      <c r="AJ2" s="16" t="s">
        <v>85</v>
      </c>
      <c r="AK2" s="30" t="s">
        <v>89</v>
      </c>
      <c r="AL2" s="31" t="s">
        <v>90</v>
      </c>
      <c r="AM2" s="30" t="s">
        <v>91</v>
      </c>
      <c r="AN2" s="18" t="s">
        <v>92</v>
      </c>
      <c r="AO2" s="18" t="s">
        <v>93</v>
      </c>
      <c r="AP2" s="32">
        <v>25</v>
      </c>
      <c r="AQ2" s="18" t="s">
        <v>85</v>
      </c>
      <c r="AR2" t="s">
        <v>94</v>
      </c>
      <c r="AS2" s="33" t="s">
        <v>85</v>
      </c>
      <c r="AT2" s="16" t="s">
        <v>95</v>
      </c>
      <c r="AU2" s="16" t="s">
        <v>96</v>
      </c>
      <c r="AV2" t="s">
        <v>97</v>
      </c>
      <c r="AW2" s="18" t="s">
        <v>73</v>
      </c>
      <c r="AX2" s="34" t="s">
        <v>98</v>
      </c>
      <c r="AY2" s="35">
        <v>645667205</v>
      </c>
      <c r="AZ2" t="s">
        <v>99</v>
      </c>
      <c r="BA2" s="36" t="s">
        <v>100</v>
      </c>
      <c r="BB2" s="18" t="s">
        <v>73</v>
      </c>
      <c r="BC2" t="s">
        <v>74</v>
      </c>
      <c r="BD2" t="s">
        <v>74</v>
      </c>
      <c r="BE2" s="18" t="s">
        <v>73</v>
      </c>
      <c r="BF2" t="s">
        <v>101</v>
      </c>
      <c r="BG2" s="18" t="s">
        <v>102</v>
      </c>
      <c r="BH2" s="34" t="s">
        <v>103</v>
      </c>
      <c r="BI2" s="34" t="s">
        <v>104</v>
      </c>
      <c r="BJ2" s="34" t="s">
        <v>105</v>
      </c>
      <c r="BK2" s="34" t="s">
        <v>106</v>
      </c>
      <c r="BL2" s="16" t="s">
        <v>107</v>
      </c>
      <c r="BM2" t="s">
        <v>108</v>
      </c>
    </row>
    <row r="3" ht="14.5" customHeight="1" spans="2:65" x14ac:dyDescent="0.25">
      <c r="B3" s="12"/>
      <c r="C3" s="13"/>
      <c r="D3" s="14" t="s">
        <v>109</v>
      </c>
      <c r="E3" t="s">
        <v>66</v>
      </c>
      <c r="F3" s="15" t="s">
        <v>110</v>
      </c>
      <c r="G3" t="s">
        <v>68</v>
      </c>
      <c r="H3" s="15" t="s">
        <v>111</v>
      </c>
      <c r="I3" s="16" t="s">
        <v>70</v>
      </c>
      <c r="J3" s="16" t="s">
        <v>71</v>
      </c>
      <c r="K3" s="16" t="s">
        <v>72</v>
      </c>
      <c r="L3" s="17">
        <f t="shared" si="0"/>
        <v>45739</v>
      </c>
      <c r="M3" s="18" t="s">
        <v>73</v>
      </c>
      <c r="N3" t="s">
        <v>74</v>
      </c>
      <c r="O3" s="19" t="s">
        <v>75</v>
      </c>
      <c r="P3" s="16" t="s">
        <v>76</v>
      </c>
      <c r="Q3" s="20" t="s">
        <v>77</v>
      </c>
      <c r="R3" t="s">
        <v>74</v>
      </c>
      <c r="S3" s="16" t="s">
        <v>72</v>
      </c>
      <c r="T3" s="21" t="s">
        <v>78</v>
      </c>
      <c r="U3" s="22" t="s">
        <v>79</v>
      </c>
      <c r="V3" s="16" t="s">
        <v>72</v>
      </c>
      <c r="W3" t="s">
        <v>80</v>
      </c>
      <c r="X3" t="s">
        <v>81</v>
      </c>
      <c r="Y3" s="23" t="s">
        <v>82</v>
      </c>
      <c r="Z3" s="23" t="s">
        <v>112</v>
      </c>
      <c r="AA3" s="25" t="s">
        <v>84</v>
      </c>
      <c r="AB3" s="21">
        <f t="shared" si="1"/>
        <v>45739</v>
      </c>
      <c r="AC3" s="26">
        <f t="shared" si="2"/>
        <v>45739</v>
      </c>
      <c r="AD3" s="27" t="s">
        <v>85</v>
      </c>
      <c r="AE3" s="24" t="s">
        <v>85</v>
      </c>
      <c r="AF3" s="24" t="s">
        <v>85</v>
      </c>
      <c r="AG3" s="29">
        <f t="shared" si="3"/>
        <v>45739</v>
      </c>
      <c r="AH3" s="24" t="s">
        <v>85</v>
      </c>
      <c r="AI3" s="16" t="s">
        <v>113</v>
      </c>
      <c r="AJ3" s="16" t="s">
        <v>114</v>
      </c>
      <c r="AK3" s="30" t="s">
        <v>89</v>
      </c>
      <c r="AL3" s="31" t="s">
        <v>115</v>
      </c>
      <c r="AM3" s="30" t="s">
        <v>116</v>
      </c>
      <c r="AN3" s="18" t="s">
        <v>92</v>
      </c>
      <c r="AO3" s="18" t="s">
        <v>56</v>
      </c>
      <c r="AP3" s="32">
        <v>40</v>
      </c>
      <c r="AQ3" s="18" t="s">
        <v>85</v>
      </c>
      <c r="AR3" t="s">
        <v>94</v>
      </c>
      <c r="AS3" s="33" t="s">
        <v>85</v>
      </c>
      <c r="AT3" s="16" t="s">
        <v>95</v>
      </c>
      <c r="AU3" s="16" t="s">
        <v>117</v>
      </c>
      <c r="AV3" s="37">
        <v>251</v>
      </c>
      <c r="AW3" s="18" t="s">
        <v>73</v>
      </c>
      <c r="AX3" s="34" t="s">
        <v>98</v>
      </c>
      <c r="AY3" s="35">
        <v>645667206</v>
      </c>
      <c r="AZ3" t="s">
        <v>99</v>
      </c>
      <c r="BA3" s="36">
        <v>35591</v>
      </c>
      <c r="BB3" s="18" t="s">
        <v>73</v>
      </c>
      <c r="BC3" t="s">
        <v>74</v>
      </c>
      <c r="BD3" t="s">
        <v>74</v>
      </c>
      <c r="BE3" s="18" t="s">
        <v>73</v>
      </c>
      <c r="BF3" t="s">
        <v>101</v>
      </c>
      <c r="BG3" s="18" t="s">
        <v>102</v>
      </c>
      <c r="BH3" s="34" t="s">
        <v>103</v>
      </c>
      <c r="BI3" s="34" t="s">
        <v>104</v>
      </c>
      <c r="BJ3" s="34" t="s">
        <v>105</v>
      </c>
      <c r="BK3" s="34" t="s">
        <v>106</v>
      </c>
      <c r="BL3" s="38" t="s">
        <v>118</v>
      </c>
      <c r="BM3" t="s">
        <v>108</v>
      </c>
    </row>
    <row r="4" ht="14.5" customHeight="1" spans="5:65" x14ac:dyDescent="0.25">
      <c r="E4" t="s">
        <v>66</v>
      </c>
      <c r="G4" t="s">
        <v>68</v>
      </c>
      <c r="I4" s="16" t="s">
        <v>70</v>
      </c>
      <c r="J4" s="16" t="s">
        <v>71</v>
      </c>
      <c r="K4" s="16" t="s">
        <v>72</v>
      </c>
      <c r="L4" s="17">
        <f t="shared" si="0"/>
        <v>45739</v>
      </c>
      <c r="M4" s="18" t="s">
        <v>73</v>
      </c>
      <c r="N4" t="s">
        <v>74</v>
      </c>
      <c r="O4" s="19" t="s">
        <v>75</v>
      </c>
      <c r="P4" s="16" t="s">
        <v>76</v>
      </c>
      <c r="Q4" s="20" t="s">
        <v>77</v>
      </c>
      <c r="R4" t="s">
        <v>74</v>
      </c>
      <c r="S4" s="16" t="s">
        <v>72</v>
      </c>
      <c r="T4" s="21" t="s">
        <v>78</v>
      </c>
      <c r="U4" s="22" t="s">
        <v>79</v>
      </c>
      <c r="V4" s="16" t="s">
        <v>72</v>
      </c>
      <c r="W4" t="s">
        <v>80</v>
      </c>
      <c r="X4" t="s">
        <v>81</v>
      </c>
      <c r="Y4" s="23" t="s">
        <v>119</v>
      </c>
      <c r="Z4" s="24" t="s">
        <v>83</v>
      </c>
      <c r="AA4" s="25" t="s">
        <v>84</v>
      </c>
      <c r="AB4" s="21">
        <f t="shared" si="1"/>
        <v>45739</v>
      </c>
      <c r="AC4" s="26">
        <f t="shared" si="2"/>
        <v>45739</v>
      </c>
      <c r="AD4" s="27" t="s">
        <v>85</v>
      </c>
      <c r="AE4" s="28" t="s">
        <v>120</v>
      </c>
      <c r="AF4" s="28" t="s">
        <v>121</v>
      </c>
      <c r="AG4" s="29">
        <f t="shared" si="3"/>
        <v>45739</v>
      </c>
      <c r="AH4" s="21">
        <v>44986</v>
      </c>
      <c r="AI4" s="16" t="s">
        <v>88</v>
      </c>
      <c r="AJ4" s="16" t="s">
        <v>122</v>
      </c>
      <c r="AK4" s="30" t="s">
        <v>123</v>
      </c>
      <c r="AL4" s="31" t="s">
        <v>120</v>
      </c>
      <c r="AM4" s="30" t="s">
        <v>91</v>
      </c>
      <c r="AN4" s="18" t="s">
        <v>92</v>
      </c>
      <c r="AO4" s="18" t="s">
        <v>56</v>
      </c>
      <c r="AP4" s="32">
        <v>25</v>
      </c>
      <c r="AQ4" s="18" t="s">
        <v>85</v>
      </c>
      <c r="AR4" t="s">
        <v>94</v>
      </c>
      <c r="AS4" s="33">
        <f>TODAY()+365</f>
        <v>46135</v>
      </c>
      <c r="AT4" s="16" t="s">
        <v>95</v>
      </c>
      <c r="AU4" s="16" t="s">
        <v>117</v>
      </c>
      <c r="AV4" s="37">
        <v>251</v>
      </c>
      <c r="AW4" s="18" t="s">
        <v>73</v>
      </c>
      <c r="AX4" s="34" t="s">
        <v>98</v>
      </c>
      <c r="AY4" s="35">
        <v>645667207</v>
      </c>
      <c r="AZ4" t="s">
        <v>99</v>
      </c>
      <c r="BA4" s="36" t="s">
        <v>100</v>
      </c>
      <c r="BB4" s="18" t="s">
        <v>73</v>
      </c>
      <c r="BC4" t="s">
        <v>74</v>
      </c>
      <c r="BD4" t="s">
        <v>74</v>
      </c>
      <c r="BE4" s="18" t="s">
        <v>73</v>
      </c>
      <c r="BF4" t="s">
        <v>101</v>
      </c>
      <c r="BG4" s="18" t="s">
        <v>102</v>
      </c>
      <c r="BH4" s="34" t="s">
        <v>103</v>
      </c>
      <c r="BI4" s="34" t="s">
        <v>104</v>
      </c>
      <c r="BJ4" s="34" t="s">
        <v>105</v>
      </c>
      <c r="BK4" s="34" t="s">
        <v>106</v>
      </c>
      <c r="BL4" s="38" t="s">
        <v>118</v>
      </c>
      <c r="BM4" t="s">
        <v>108</v>
      </c>
    </row>
    <row r="5" ht="14.5" customHeight="1" spans="5:65" x14ac:dyDescent="0.25">
      <c r="E5" t="s">
        <v>66</v>
      </c>
      <c r="G5" t="s">
        <v>68</v>
      </c>
      <c r="I5" s="16" t="s">
        <v>70</v>
      </c>
      <c r="J5" s="16" t="s">
        <v>71</v>
      </c>
      <c r="K5" s="16" t="s">
        <v>72</v>
      </c>
      <c r="L5" s="17">
        <f t="shared" si="0"/>
        <v>45739</v>
      </c>
      <c r="M5" s="18" t="s">
        <v>73</v>
      </c>
      <c r="N5" t="s">
        <v>74</v>
      </c>
      <c r="O5" s="19" t="s">
        <v>75</v>
      </c>
      <c r="P5" s="16" t="s">
        <v>76</v>
      </c>
      <c r="Q5" s="20" t="s">
        <v>77</v>
      </c>
      <c r="R5" t="s">
        <v>74</v>
      </c>
      <c r="S5" s="16" t="s">
        <v>72</v>
      </c>
      <c r="T5" s="21" t="s">
        <v>78</v>
      </c>
      <c r="U5" s="22" t="s">
        <v>79</v>
      </c>
      <c r="V5" s="16" t="s">
        <v>72</v>
      </c>
      <c r="W5" t="s">
        <v>80</v>
      </c>
      <c r="X5" t="s">
        <v>81</v>
      </c>
      <c r="Y5" s="23" t="s">
        <v>82</v>
      </c>
      <c r="Z5" s="23" t="s">
        <v>112</v>
      </c>
      <c r="AA5" s="25" t="s">
        <v>84</v>
      </c>
      <c r="AB5" s="21">
        <f t="shared" si="1"/>
        <v>45739</v>
      </c>
      <c r="AC5" s="26">
        <f t="shared" si="2"/>
        <v>45739</v>
      </c>
      <c r="AD5" s="27" t="s">
        <v>85</v>
      </c>
      <c r="AE5" s="24" t="s">
        <v>85</v>
      </c>
      <c r="AF5" s="24" t="s">
        <v>85</v>
      </c>
      <c r="AG5" s="29">
        <f t="shared" si="3"/>
        <v>45739</v>
      </c>
      <c r="AH5" s="24" t="s">
        <v>85</v>
      </c>
      <c r="AI5" s="16" t="s">
        <v>113</v>
      </c>
      <c r="AJ5" s="16" t="s">
        <v>124</v>
      </c>
      <c r="AK5" s="30" t="s">
        <v>89</v>
      </c>
      <c r="AL5" s="31" t="s">
        <v>125</v>
      </c>
      <c r="AM5" s="30" t="s">
        <v>116</v>
      </c>
      <c r="AN5" s="18" t="s">
        <v>92</v>
      </c>
      <c r="AO5" s="18" t="s">
        <v>56</v>
      </c>
      <c r="AP5" s="32">
        <v>40</v>
      </c>
      <c r="AQ5" s="18" t="s">
        <v>85</v>
      </c>
      <c r="AR5" t="s">
        <v>94</v>
      </c>
      <c r="AS5" s="33" t="s">
        <v>85</v>
      </c>
      <c r="AT5" s="16" t="s">
        <v>95</v>
      </c>
      <c r="AU5" s="16" t="s">
        <v>117</v>
      </c>
      <c r="AV5" s="37">
        <v>251</v>
      </c>
      <c r="AW5" s="18" t="s">
        <v>73</v>
      </c>
      <c r="AX5" s="34" t="s">
        <v>98</v>
      </c>
      <c r="AY5" s="35">
        <v>645667208</v>
      </c>
      <c r="AZ5" t="s">
        <v>99</v>
      </c>
      <c r="BA5" s="36">
        <v>35591</v>
      </c>
      <c r="BB5" s="18" t="s">
        <v>73</v>
      </c>
      <c r="BC5" t="s">
        <v>74</v>
      </c>
      <c r="BD5" t="s">
        <v>74</v>
      </c>
      <c r="BE5" s="18" t="s">
        <v>73</v>
      </c>
      <c r="BF5" t="s">
        <v>101</v>
      </c>
      <c r="BG5" s="18" t="s">
        <v>102</v>
      </c>
      <c r="BH5" s="34" t="s">
        <v>103</v>
      </c>
      <c r="BI5" s="34" t="s">
        <v>104</v>
      </c>
      <c r="BJ5" s="34" t="s">
        <v>105</v>
      </c>
      <c r="BK5" s="34" t="s">
        <v>106</v>
      </c>
      <c r="BL5" s="38" t="s">
        <v>118</v>
      </c>
      <c r="BM5" t="s">
        <v>108</v>
      </c>
    </row>
    <row r="6" ht="14.5" customHeight="1" spans="5:65" x14ac:dyDescent="0.25">
      <c r="E6" t="s">
        <v>66</v>
      </c>
      <c r="G6" t="s">
        <v>68</v>
      </c>
      <c r="I6" s="16" t="s">
        <v>70</v>
      </c>
      <c r="J6" s="16" t="s">
        <v>71</v>
      </c>
      <c r="K6" s="16" t="s">
        <v>72</v>
      </c>
      <c r="L6" s="17">
        <f t="shared" si="0"/>
        <v>45739</v>
      </c>
      <c r="M6" s="18" t="s">
        <v>73</v>
      </c>
      <c r="N6" t="s">
        <v>74</v>
      </c>
      <c r="O6" s="19" t="s">
        <v>75</v>
      </c>
      <c r="P6" s="16" t="s">
        <v>76</v>
      </c>
      <c r="Q6" s="20" t="s">
        <v>77</v>
      </c>
      <c r="R6" t="s">
        <v>74</v>
      </c>
      <c r="S6" s="16" t="s">
        <v>72</v>
      </c>
      <c r="T6" s="21" t="s">
        <v>78</v>
      </c>
      <c r="U6" s="22" t="s">
        <v>79</v>
      </c>
      <c r="V6" s="16" t="s">
        <v>72</v>
      </c>
      <c r="W6" t="s">
        <v>80</v>
      </c>
      <c r="X6" t="s">
        <v>81</v>
      </c>
      <c r="Y6" s="23" t="s">
        <v>82</v>
      </c>
      <c r="Z6" s="24" t="s">
        <v>83</v>
      </c>
      <c r="AA6" s="25" t="s">
        <v>84</v>
      </c>
      <c r="AB6" s="21">
        <f t="shared" si="1"/>
        <v>45739</v>
      </c>
      <c r="AC6" s="26">
        <f t="shared" si="2"/>
        <v>45739</v>
      </c>
      <c r="AD6" s="27" t="s">
        <v>85</v>
      </c>
      <c r="AE6" s="24" t="s">
        <v>85</v>
      </c>
      <c r="AF6" s="24" t="s">
        <v>85</v>
      </c>
      <c r="AG6" s="29">
        <f t="shared" si="3"/>
        <v>45739</v>
      </c>
      <c r="AH6" s="21">
        <v>44986</v>
      </c>
      <c r="AI6" s="16" t="s">
        <v>88</v>
      </c>
      <c r="AJ6" s="16" t="s">
        <v>126</v>
      </c>
      <c r="AK6" s="30" t="s">
        <v>89</v>
      </c>
      <c r="AL6" s="31" t="s">
        <v>115</v>
      </c>
      <c r="AM6" s="30" t="s">
        <v>91</v>
      </c>
      <c r="AN6" s="18" t="s">
        <v>92</v>
      </c>
      <c r="AO6" s="18" t="s">
        <v>56</v>
      </c>
      <c r="AP6" s="32">
        <v>25</v>
      </c>
      <c r="AQ6" s="18" t="s">
        <v>85</v>
      </c>
      <c r="AR6" t="s">
        <v>94</v>
      </c>
      <c r="AS6" s="33" t="s">
        <v>85</v>
      </c>
      <c r="AT6" s="16" t="s">
        <v>95</v>
      </c>
      <c r="AU6" s="16" t="s">
        <v>117</v>
      </c>
      <c r="AV6" s="37">
        <v>251</v>
      </c>
      <c r="AW6" s="18" t="s">
        <v>73</v>
      </c>
      <c r="AX6" s="34" t="s">
        <v>98</v>
      </c>
      <c r="AY6" s="35">
        <v>645667209</v>
      </c>
      <c r="AZ6" t="s">
        <v>99</v>
      </c>
      <c r="BA6" s="36" t="s">
        <v>100</v>
      </c>
      <c r="BB6" s="18" t="s">
        <v>73</v>
      </c>
      <c r="BC6" t="s">
        <v>74</v>
      </c>
      <c r="BD6" t="s">
        <v>74</v>
      </c>
      <c r="BE6" s="18" t="s">
        <v>73</v>
      </c>
      <c r="BF6" t="s">
        <v>101</v>
      </c>
      <c r="BG6" s="18" t="s">
        <v>102</v>
      </c>
      <c r="BH6" s="34" t="s">
        <v>103</v>
      </c>
      <c r="BI6" s="34" t="s">
        <v>104</v>
      </c>
      <c r="BJ6" s="34" t="s">
        <v>105</v>
      </c>
      <c r="BK6" s="34" t="s">
        <v>106</v>
      </c>
      <c r="BL6" s="38" t="s">
        <v>118</v>
      </c>
      <c r="BM6" t="s">
        <v>108</v>
      </c>
    </row>
    <row r="7" ht="14.5" customHeight="1" spans="5:65" x14ac:dyDescent="0.25">
      <c r="E7" t="s">
        <v>66</v>
      </c>
      <c r="G7" t="s">
        <v>68</v>
      </c>
      <c r="I7" s="16" t="s">
        <v>70</v>
      </c>
      <c r="J7" s="16" t="s">
        <v>71</v>
      </c>
      <c r="K7" s="16" t="s">
        <v>72</v>
      </c>
      <c r="L7" s="17">
        <f t="shared" si="0"/>
        <v>45739</v>
      </c>
      <c r="M7" s="18" t="s">
        <v>73</v>
      </c>
      <c r="N7" t="s">
        <v>74</v>
      </c>
      <c r="O7" s="19" t="s">
        <v>75</v>
      </c>
      <c r="P7" s="16" t="s">
        <v>76</v>
      </c>
      <c r="Q7" s="20" t="s">
        <v>77</v>
      </c>
      <c r="R7" t="s">
        <v>74</v>
      </c>
      <c r="S7" s="16" t="s">
        <v>72</v>
      </c>
      <c r="T7" s="21" t="s">
        <v>78</v>
      </c>
      <c r="U7" s="22" t="s">
        <v>79</v>
      </c>
      <c r="V7" s="16" t="s">
        <v>72</v>
      </c>
      <c r="W7" t="s">
        <v>80</v>
      </c>
      <c r="X7" t="s">
        <v>81</v>
      </c>
      <c r="Y7" s="23" t="s">
        <v>119</v>
      </c>
      <c r="Z7" s="23" t="s">
        <v>112</v>
      </c>
      <c r="AA7" s="25" t="s">
        <v>84</v>
      </c>
      <c r="AB7" s="21">
        <f t="shared" si="1"/>
        <v>45739</v>
      </c>
      <c r="AC7" s="26">
        <f t="shared" si="2"/>
        <v>45739</v>
      </c>
      <c r="AD7" s="27" t="s">
        <v>85</v>
      </c>
      <c r="AE7" s="24" t="s">
        <v>85</v>
      </c>
      <c r="AF7" s="24" t="s">
        <v>85</v>
      </c>
      <c r="AG7" s="29">
        <f t="shared" si="3"/>
        <v>45739</v>
      </c>
      <c r="AH7" s="21">
        <v>44987</v>
      </c>
      <c r="AI7" s="16" t="s">
        <v>88</v>
      </c>
      <c r="AJ7" s="16" t="s">
        <v>127</v>
      </c>
      <c r="AK7" s="30" t="s">
        <v>123</v>
      </c>
      <c r="AL7" s="31" t="s">
        <v>128</v>
      </c>
      <c r="AM7" s="30" t="s">
        <v>116</v>
      </c>
      <c r="AN7" s="18" t="s">
        <v>92</v>
      </c>
      <c r="AO7" s="18" t="s">
        <v>56</v>
      </c>
      <c r="AP7" s="32">
        <v>40</v>
      </c>
      <c r="AQ7" s="18" t="s">
        <v>85</v>
      </c>
      <c r="AR7" t="s">
        <v>94</v>
      </c>
      <c r="AS7" s="33">
        <f>TODAY()+365</f>
        <v>46135</v>
      </c>
      <c r="AT7" s="16" t="s">
        <v>95</v>
      </c>
      <c r="AU7" s="16" t="s">
        <v>117</v>
      </c>
      <c r="AV7" s="37">
        <v>251</v>
      </c>
      <c r="AW7" s="18" t="s">
        <v>73</v>
      </c>
      <c r="AX7" s="34" t="s">
        <v>98</v>
      </c>
      <c r="AY7" s="35">
        <v>645667210</v>
      </c>
      <c r="AZ7" t="s">
        <v>99</v>
      </c>
      <c r="BA7" s="36" t="s">
        <v>100</v>
      </c>
      <c r="BB7" s="18" t="s">
        <v>73</v>
      </c>
      <c r="BC7" t="s">
        <v>74</v>
      </c>
      <c r="BD7" t="s">
        <v>74</v>
      </c>
      <c r="BE7" s="18" t="s">
        <v>73</v>
      </c>
      <c r="BF7" t="s">
        <v>101</v>
      </c>
      <c r="BG7" s="18" t="s">
        <v>102</v>
      </c>
      <c r="BH7" s="34" t="s">
        <v>103</v>
      </c>
      <c r="BI7" s="34" t="s">
        <v>104</v>
      </c>
      <c r="BJ7" s="34" t="s">
        <v>105</v>
      </c>
      <c r="BK7" s="34" t="s">
        <v>106</v>
      </c>
      <c r="BL7" s="38" t="s">
        <v>118</v>
      </c>
      <c r="BM7" t="s">
        <v>108</v>
      </c>
    </row>
    <row r="8" ht="14.5" customHeight="1" spans="5:65" x14ac:dyDescent="0.25">
      <c r="E8" t="s">
        <v>66</v>
      </c>
      <c r="G8" t="s">
        <v>68</v>
      </c>
      <c r="I8" s="16" t="s">
        <v>70</v>
      </c>
      <c r="J8" s="16" t="s">
        <v>71</v>
      </c>
      <c r="K8" s="16" t="s">
        <v>72</v>
      </c>
      <c r="L8" s="17">
        <f t="shared" si="0"/>
        <v>45739</v>
      </c>
      <c r="M8" s="18" t="s">
        <v>73</v>
      </c>
      <c r="N8" t="s">
        <v>74</v>
      </c>
      <c r="O8" s="19" t="s">
        <v>75</v>
      </c>
      <c r="P8" s="16" t="s">
        <v>76</v>
      </c>
      <c r="Q8" s="20" t="s">
        <v>77</v>
      </c>
      <c r="R8" t="s">
        <v>74</v>
      </c>
      <c r="S8" s="16" t="s">
        <v>72</v>
      </c>
      <c r="T8" s="21" t="s">
        <v>78</v>
      </c>
      <c r="U8" s="22" t="s">
        <v>79</v>
      </c>
      <c r="V8" s="16" t="s">
        <v>72</v>
      </c>
      <c r="W8" t="s">
        <v>80</v>
      </c>
      <c r="X8" t="s">
        <v>81</v>
      </c>
      <c r="Y8" s="23" t="s">
        <v>119</v>
      </c>
      <c r="Z8" s="23" t="s">
        <v>112</v>
      </c>
      <c r="AA8" s="25" t="s">
        <v>84</v>
      </c>
      <c r="AB8" s="21">
        <f t="shared" si="1"/>
        <v>45739</v>
      </c>
      <c r="AC8" s="26">
        <f t="shared" si="2"/>
        <v>45739</v>
      </c>
      <c r="AD8" s="27" t="s">
        <v>85</v>
      </c>
      <c r="AE8" s="24" t="s">
        <v>85</v>
      </c>
      <c r="AF8" s="24" t="s">
        <v>85</v>
      </c>
      <c r="AG8" s="29">
        <f t="shared" si="3"/>
        <v>45739</v>
      </c>
      <c r="AH8" s="21">
        <v>44988</v>
      </c>
      <c r="AI8" s="16" t="s">
        <v>88</v>
      </c>
      <c r="AJ8" s="16" t="s">
        <v>129</v>
      </c>
      <c r="AK8" s="30" t="s">
        <v>123</v>
      </c>
      <c r="AL8" s="31" t="s">
        <v>130</v>
      </c>
      <c r="AM8" s="30" t="s">
        <v>116</v>
      </c>
      <c r="AN8" s="18" t="s">
        <v>92</v>
      </c>
      <c r="AO8" s="18" t="s">
        <v>56</v>
      </c>
      <c r="AP8" s="32">
        <v>40</v>
      </c>
      <c r="AQ8" s="18" t="s">
        <v>85</v>
      </c>
      <c r="AR8" t="s">
        <v>94</v>
      </c>
      <c r="AS8" s="33">
        <f>TODAY()+365</f>
        <v>46135</v>
      </c>
      <c r="AT8" s="16" t="s">
        <v>95</v>
      </c>
      <c r="AU8" s="16" t="s">
        <v>117</v>
      </c>
      <c r="AV8" s="37">
        <v>251</v>
      </c>
      <c r="AW8" s="18" t="s">
        <v>73</v>
      </c>
      <c r="AX8" s="34" t="s">
        <v>98</v>
      </c>
      <c r="AY8" s="35">
        <v>645667211</v>
      </c>
      <c r="AZ8" t="s">
        <v>99</v>
      </c>
      <c r="BA8" s="36" t="s">
        <v>100</v>
      </c>
      <c r="BB8" s="18" t="s">
        <v>73</v>
      </c>
      <c r="BC8" t="s">
        <v>74</v>
      </c>
      <c r="BD8" t="s">
        <v>74</v>
      </c>
      <c r="BE8" s="18" t="s">
        <v>73</v>
      </c>
      <c r="BF8" t="s">
        <v>101</v>
      </c>
      <c r="BG8" s="18" t="s">
        <v>102</v>
      </c>
      <c r="BH8" s="34" t="s">
        <v>103</v>
      </c>
      <c r="BI8" s="34" t="s">
        <v>104</v>
      </c>
      <c r="BJ8" s="34" t="s">
        <v>105</v>
      </c>
      <c r="BK8" s="34" t="s">
        <v>106</v>
      </c>
      <c r="BL8" s="38" t="s">
        <v>118</v>
      </c>
      <c r="BM8" t="s">
        <v>108</v>
      </c>
    </row>
    <row r="9" ht="14.5" customHeight="1" spans="5:65" x14ac:dyDescent="0.25">
      <c r="E9" t="s">
        <v>66</v>
      </c>
      <c r="G9" t="s">
        <v>68</v>
      </c>
      <c r="I9" s="16" t="s">
        <v>70</v>
      </c>
      <c r="J9" s="16" t="s">
        <v>71</v>
      </c>
      <c r="K9" s="16" t="s">
        <v>72</v>
      </c>
      <c r="L9" s="17">
        <f t="shared" si="0"/>
        <v>45739</v>
      </c>
      <c r="M9" s="18" t="s">
        <v>73</v>
      </c>
      <c r="N9" t="s">
        <v>74</v>
      </c>
      <c r="O9" s="19" t="s">
        <v>75</v>
      </c>
      <c r="P9" s="16" t="s">
        <v>76</v>
      </c>
      <c r="Q9" s="20" t="s">
        <v>77</v>
      </c>
      <c r="R9" t="s">
        <v>74</v>
      </c>
      <c r="S9" s="16" t="s">
        <v>72</v>
      </c>
      <c r="T9" s="21" t="s">
        <v>78</v>
      </c>
      <c r="U9" s="22" t="s">
        <v>79</v>
      </c>
      <c r="V9" s="16" t="s">
        <v>72</v>
      </c>
      <c r="W9" t="s">
        <v>80</v>
      </c>
      <c r="X9" t="s">
        <v>81</v>
      </c>
      <c r="Y9" s="23" t="s">
        <v>82</v>
      </c>
      <c r="Z9" s="24" t="s">
        <v>83</v>
      </c>
      <c r="AA9" s="25" t="s">
        <v>84</v>
      </c>
      <c r="AB9" s="21">
        <f t="shared" si="1"/>
        <v>45739</v>
      </c>
      <c r="AC9" s="26">
        <f t="shared" si="2"/>
        <v>45739</v>
      </c>
      <c r="AD9" s="27" t="s">
        <v>85</v>
      </c>
      <c r="AE9" s="24" t="s">
        <v>85</v>
      </c>
      <c r="AF9" s="24" t="s">
        <v>85</v>
      </c>
      <c r="AG9" s="29">
        <f t="shared" si="3"/>
        <v>45739</v>
      </c>
      <c r="AH9" s="21">
        <v>44989</v>
      </c>
      <c r="AI9" s="16" t="s">
        <v>88</v>
      </c>
      <c r="AJ9" s="16" t="s">
        <v>131</v>
      </c>
      <c r="AK9" s="30" t="s">
        <v>89</v>
      </c>
      <c r="AL9" s="31" t="s">
        <v>132</v>
      </c>
      <c r="AM9" s="30" t="s">
        <v>91</v>
      </c>
      <c r="AN9" s="18" t="s">
        <v>92</v>
      </c>
      <c r="AO9" s="18" t="s">
        <v>56</v>
      </c>
      <c r="AP9" s="32">
        <v>25</v>
      </c>
      <c r="AQ9" s="18" t="s">
        <v>85</v>
      </c>
      <c r="AR9" t="s">
        <v>94</v>
      </c>
      <c r="AS9" s="33" t="s">
        <v>85</v>
      </c>
      <c r="AT9" s="16" t="s">
        <v>95</v>
      </c>
      <c r="AU9" s="16" t="s">
        <v>117</v>
      </c>
      <c r="AV9" s="37">
        <v>251</v>
      </c>
      <c r="AW9" s="18" t="s">
        <v>73</v>
      </c>
      <c r="AX9" s="34" t="s">
        <v>98</v>
      </c>
      <c r="AY9" s="35">
        <v>645667212</v>
      </c>
      <c r="AZ9" t="s">
        <v>99</v>
      </c>
      <c r="BA9" s="36" t="s">
        <v>100</v>
      </c>
      <c r="BB9" s="18" t="s">
        <v>73</v>
      </c>
      <c r="BC9" t="s">
        <v>74</v>
      </c>
      <c r="BD9" t="s">
        <v>74</v>
      </c>
      <c r="BE9" s="18" t="s">
        <v>73</v>
      </c>
      <c r="BF9" t="s">
        <v>101</v>
      </c>
      <c r="BG9" s="18" t="s">
        <v>102</v>
      </c>
      <c r="BH9" s="34" t="s">
        <v>103</v>
      </c>
      <c r="BI9" s="34" t="s">
        <v>104</v>
      </c>
      <c r="BJ9" s="34" t="s">
        <v>105</v>
      </c>
      <c r="BK9" s="34" t="s">
        <v>106</v>
      </c>
      <c r="BL9" s="38" t="s">
        <v>118</v>
      </c>
      <c r="BM9" t="s">
        <v>108</v>
      </c>
    </row>
    <row r="10" ht="14.5" customHeight="1" spans="5:65" x14ac:dyDescent="0.25">
      <c r="E10" t="s">
        <v>66</v>
      </c>
      <c r="G10" t="s">
        <v>68</v>
      </c>
      <c r="I10" s="16" t="s">
        <v>70</v>
      </c>
      <c r="J10" s="16" t="s">
        <v>71</v>
      </c>
      <c r="K10" s="16" t="s">
        <v>72</v>
      </c>
      <c r="L10" s="17">
        <f t="shared" si="0"/>
        <v>45739</v>
      </c>
      <c r="M10" s="18" t="s">
        <v>73</v>
      </c>
      <c r="N10" t="s">
        <v>74</v>
      </c>
      <c r="O10" s="19" t="s">
        <v>75</v>
      </c>
      <c r="P10" s="16" t="s">
        <v>76</v>
      </c>
      <c r="Q10" s="20" t="s">
        <v>77</v>
      </c>
      <c r="R10" t="s">
        <v>74</v>
      </c>
      <c r="S10" s="16" t="s">
        <v>72</v>
      </c>
      <c r="T10" s="21" t="s">
        <v>78</v>
      </c>
      <c r="U10" s="22" t="s">
        <v>79</v>
      </c>
      <c r="V10" s="16" t="s">
        <v>72</v>
      </c>
      <c r="W10" t="s">
        <v>80</v>
      </c>
      <c r="X10" t="s">
        <v>81</v>
      </c>
      <c r="Y10" s="23" t="s">
        <v>82</v>
      </c>
      <c r="Z10" s="23" t="s">
        <v>112</v>
      </c>
      <c r="AA10" s="25" t="s">
        <v>84</v>
      </c>
      <c r="AB10" s="21">
        <f t="shared" si="1"/>
        <v>45739</v>
      </c>
      <c r="AC10" s="26">
        <f t="shared" si="2"/>
        <v>45739</v>
      </c>
      <c r="AD10" s="27" t="s">
        <v>85</v>
      </c>
      <c r="AE10" s="28" t="s">
        <v>86</v>
      </c>
      <c r="AF10" s="28" t="s">
        <v>87</v>
      </c>
      <c r="AG10" s="29">
        <f t="shared" si="3"/>
        <v>45739</v>
      </c>
      <c r="AH10" s="21">
        <v>44990</v>
      </c>
      <c r="AI10" s="16" t="s">
        <v>88</v>
      </c>
      <c r="AJ10" s="16" t="s">
        <v>85</v>
      </c>
      <c r="AK10" s="30" t="s">
        <v>89</v>
      </c>
      <c r="AL10" s="31" t="s">
        <v>90</v>
      </c>
      <c r="AM10" s="30" t="s">
        <v>116</v>
      </c>
      <c r="AN10" s="18" t="s">
        <v>92</v>
      </c>
      <c r="AO10" s="18" t="s">
        <v>93</v>
      </c>
      <c r="AP10" s="32">
        <v>38</v>
      </c>
      <c r="AQ10" s="18" t="s">
        <v>85</v>
      </c>
      <c r="AR10" t="s">
        <v>94</v>
      </c>
      <c r="AS10" s="33" t="s">
        <v>85</v>
      </c>
      <c r="AT10" s="16" t="s">
        <v>95</v>
      </c>
      <c r="AU10" s="16" t="s">
        <v>96</v>
      </c>
      <c r="AV10" t="s">
        <v>97</v>
      </c>
      <c r="AW10" s="18" t="s">
        <v>73</v>
      </c>
      <c r="AX10" s="34" t="s">
        <v>98</v>
      </c>
      <c r="AY10" s="35">
        <v>645667213</v>
      </c>
      <c r="AZ10" t="s">
        <v>99</v>
      </c>
      <c r="BA10" s="36" t="s">
        <v>100</v>
      </c>
      <c r="BB10" s="18" t="s">
        <v>73</v>
      </c>
      <c r="BC10" t="s">
        <v>74</v>
      </c>
      <c r="BD10" t="s">
        <v>74</v>
      </c>
      <c r="BE10" s="18" t="s">
        <v>73</v>
      </c>
      <c r="BF10" t="s">
        <v>101</v>
      </c>
      <c r="BG10" s="18" t="s">
        <v>102</v>
      </c>
      <c r="BH10" s="34" t="s">
        <v>103</v>
      </c>
      <c r="BI10" s="34" t="s">
        <v>104</v>
      </c>
      <c r="BJ10" s="34" t="s">
        <v>105</v>
      </c>
      <c r="BK10" s="34" t="s">
        <v>106</v>
      </c>
      <c r="BL10" s="16" t="s">
        <v>107</v>
      </c>
      <c r="BM10" t="s">
        <v>108</v>
      </c>
    </row>
    <row r="11" ht="14.5" customHeight="1" spans="5:65" x14ac:dyDescent="0.25">
      <c r="E11" t="s">
        <v>66</v>
      </c>
      <c r="G11" t="s">
        <v>68</v>
      </c>
      <c r="I11" s="16" t="s">
        <v>70</v>
      </c>
      <c r="J11" s="16" t="s">
        <v>71</v>
      </c>
      <c r="K11" s="16" t="s">
        <v>72</v>
      </c>
      <c r="L11" s="17">
        <f t="shared" si="0"/>
        <v>45739</v>
      </c>
      <c r="M11" s="18" t="s">
        <v>73</v>
      </c>
      <c r="N11" t="s">
        <v>74</v>
      </c>
      <c r="O11" s="19" t="s">
        <v>75</v>
      </c>
      <c r="P11" s="16" t="s">
        <v>76</v>
      </c>
      <c r="Q11" s="20" t="s">
        <v>77</v>
      </c>
      <c r="R11" t="s">
        <v>74</v>
      </c>
      <c r="S11" s="16" t="s">
        <v>72</v>
      </c>
      <c r="T11" s="21" t="s">
        <v>78</v>
      </c>
      <c r="U11" s="22" t="s">
        <v>79</v>
      </c>
      <c r="V11" s="16" t="s">
        <v>72</v>
      </c>
      <c r="W11" t="s">
        <v>80</v>
      </c>
      <c r="X11" t="s">
        <v>81</v>
      </c>
      <c r="Y11" s="23" t="s">
        <v>119</v>
      </c>
      <c r="Z11" s="24" t="s">
        <v>83</v>
      </c>
      <c r="AA11" s="25" t="s">
        <v>84</v>
      </c>
      <c r="AB11" s="21">
        <f t="shared" si="1"/>
        <v>45739</v>
      </c>
      <c r="AC11" s="26">
        <f t="shared" si="2"/>
        <v>45739</v>
      </c>
      <c r="AD11" s="27" t="s">
        <v>85</v>
      </c>
      <c r="AE11" s="28" t="s">
        <v>133</v>
      </c>
      <c r="AF11" s="28" t="s">
        <v>134</v>
      </c>
      <c r="AG11" s="29">
        <f t="shared" si="3"/>
        <v>45739</v>
      </c>
      <c r="AH11" s="21">
        <v>44991</v>
      </c>
      <c r="AI11" s="16" t="s">
        <v>88</v>
      </c>
      <c r="AJ11" s="16" t="s">
        <v>85</v>
      </c>
      <c r="AK11" s="30" t="s">
        <v>123</v>
      </c>
      <c r="AL11" s="31" t="s">
        <v>135</v>
      </c>
      <c r="AM11" s="30" t="s">
        <v>91</v>
      </c>
      <c r="AN11" s="18" t="s">
        <v>92</v>
      </c>
      <c r="AO11" s="18" t="s">
        <v>93</v>
      </c>
      <c r="AP11" s="32">
        <v>20</v>
      </c>
      <c r="AQ11" s="18" t="s">
        <v>85</v>
      </c>
      <c r="AR11" t="s">
        <v>94</v>
      </c>
      <c r="AS11" s="33">
        <f>TODAY()+365</f>
        <v>46135</v>
      </c>
      <c r="AT11" s="16" t="s">
        <v>95</v>
      </c>
      <c r="AU11" s="16" t="s">
        <v>96</v>
      </c>
      <c r="AV11" t="s">
        <v>136</v>
      </c>
      <c r="AW11" s="18" t="s">
        <v>73</v>
      </c>
      <c r="AX11" s="34" t="s">
        <v>98</v>
      </c>
      <c r="AY11" s="35">
        <v>645667214</v>
      </c>
      <c r="AZ11" t="s">
        <v>99</v>
      </c>
      <c r="BA11" s="36" t="s">
        <v>100</v>
      </c>
      <c r="BB11" s="18" t="s">
        <v>73</v>
      </c>
      <c r="BC11" t="s">
        <v>74</v>
      </c>
      <c r="BD11" t="s">
        <v>74</v>
      </c>
      <c r="BE11" s="18" t="s">
        <v>73</v>
      </c>
      <c r="BF11" t="s">
        <v>101</v>
      </c>
      <c r="BG11" s="18" t="s">
        <v>102</v>
      </c>
      <c r="BH11" s="34" t="s">
        <v>103</v>
      </c>
      <c r="BI11" s="34" t="s">
        <v>104</v>
      </c>
      <c r="BJ11" s="34" t="s">
        <v>105</v>
      </c>
      <c r="BK11" s="34" t="s">
        <v>106</v>
      </c>
      <c r="BL11" s="16" t="s">
        <v>107</v>
      </c>
      <c r="BM11" t="s">
        <v>108</v>
      </c>
    </row>
    <row r="12" ht="14.5" customHeight="1" spans="5:65" x14ac:dyDescent="0.25">
      <c r="E12" t="s">
        <v>66</v>
      </c>
      <c r="G12" t="s">
        <v>68</v>
      </c>
      <c r="I12" s="16" t="s">
        <v>70</v>
      </c>
      <c r="J12" s="16" t="s">
        <v>71</v>
      </c>
      <c r="K12" s="16" t="s">
        <v>72</v>
      </c>
      <c r="L12" s="17">
        <f t="shared" si="0"/>
        <v>45739</v>
      </c>
      <c r="M12" s="18" t="s">
        <v>73</v>
      </c>
      <c r="N12" t="s">
        <v>74</v>
      </c>
      <c r="O12" s="19" t="s">
        <v>75</v>
      </c>
      <c r="P12" s="16" t="s">
        <v>76</v>
      </c>
      <c r="Q12" s="20" t="s">
        <v>77</v>
      </c>
      <c r="R12" t="s">
        <v>74</v>
      </c>
      <c r="S12" s="16" t="s">
        <v>72</v>
      </c>
      <c r="T12" s="21" t="s">
        <v>78</v>
      </c>
      <c r="U12" s="22" t="s">
        <v>79</v>
      </c>
      <c r="V12" s="16" t="s">
        <v>72</v>
      </c>
      <c r="W12" t="s">
        <v>80</v>
      </c>
      <c r="X12" t="s">
        <v>81</v>
      </c>
      <c r="Y12" s="23" t="s">
        <v>82</v>
      </c>
      <c r="Z12" s="23" t="s">
        <v>112</v>
      </c>
      <c r="AA12" s="25" t="s">
        <v>84</v>
      </c>
      <c r="AB12" s="21">
        <f t="shared" si="1"/>
        <v>45739</v>
      </c>
      <c r="AC12" s="26">
        <f t="shared" si="2"/>
        <v>45739</v>
      </c>
      <c r="AD12" s="27" t="s">
        <v>85</v>
      </c>
      <c r="AE12" s="28" t="s">
        <v>137</v>
      </c>
      <c r="AF12" s="28" t="s">
        <v>138</v>
      </c>
      <c r="AG12" s="29">
        <f t="shared" si="3"/>
        <v>45739</v>
      </c>
      <c r="AH12" s="21">
        <v>44992</v>
      </c>
      <c r="AI12" s="16" t="s">
        <v>88</v>
      </c>
      <c r="AJ12" s="16" t="s">
        <v>85</v>
      </c>
      <c r="AK12" s="30" t="s">
        <v>89</v>
      </c>
      <c r="AL12" s="31" t="s">
        <v>139</v>
      </c>
      <c r="AM12" s="30" t="s">
        <v>116</v>
      </c>
      <c r="AN12" s="18" t="s">
        <v>92</v>
      </c>
      <c r="AO12" s="18" t="s">
        <v>93</v>
      </c>
      <c r="AP12" s="32">
        <v>38</v>
      </c>
      <c r="AQ12" s="18" t="s">
        <v>85</v>
      </c>
      <c r="AR12" t="s">
        <v>94</v>
      </c>
      <c r="AS12" s="33" t="s">
        <v>85</v>
      </c>
      <c r="AT12" s="16" t="s">
        <v>95</v>
      </c>
      <c r="AU12" s="16" t="s">
        <v>96</v>
      </c>
      <c r="AV12" t="s">
        <v>140</v>
      </c>
      <c r="AW12" s="18" t="s">
        <v>73</v>
      </c>
      <c r="AX12" s="34" t="s">
        <v>98</v>
      </c>
      <c r="AY12" s="35">
        <v>645667215</v>
      </c>
      <c r="AZ12" t="s">
        <v>99</v>
      </c>
      <c r="BA12" s="36" t="s">
        <v>100</v>
      </c>
      <c r="BB12" s="18" t="s">
        <v>73</v>
      </c>
      <c r="BC12" t="s">
        <v>74</v>
      </c>
      <c r="BD12" t="s">
        <v>74</v>
      </c>
      <c r="BE12" s="18" t="s">
        <v>73</v>
      </c>
      <c r="BF12" t="s">
        <v>101</v>
      </c>
      <c r="BG12" s="18" t="s">
        <v>102</v>
      </c>
      <c r="BH12" s="34" t="s">
        <v>103</v>
      </c>
      <c r="BI12" s="34" t="s">
        <v>104</v>
      </c>
      <c r="BJ12" s="34" t="s">
        <v>105</v>
      </c>
      <c r="BK12" s="34" t="s">
        <v>106</v>
      </c>
      <c r="BL12" s="16" t="s">
        <v>107</v>
      </c>
      <c r="BM12" t="s">
        <v>108</v>
      </c>
    </row>
    <row r="13" ht="14.5" customHeight="1" spans="5:65" x14ac:dyDescent="0.25">
      <c r="E13" t="s">
        <v>66</v>
      </c>
      <c r="G13" t="s">
        <v>68</v>
      </c>
      <c r="I13" s="16" t="s">
        <v>70</v>
      </c>
      <c r="J13" s="16" t="s">
        <v>71</v>
      </c>
      <c r="K13" s="16" t="s">
        <v>72</v>
      </c>
      <c r="L13" s="17">
        <f t="shared" si="0"/>
        <v>45739</v>
      </c>
      <c r="M13" s="18" t="s">
        <v>73</v>
      </c>
      <c r="N13" t="s">
        <v>74</v>
      </c>
      <c r="O13" s="19" t="s">
        <v>75</v>
      </c>
      <c r="P13" s="16" t="s">
        <v>76</v>
      </c>
      <c r="Q13" s="20" t="s">
        <v>77</v>
      </c>
      <c r="R13" t="s">
        <v>74</v>
      </c>
      <c r="S13" s="16" t="s">
        <v>72</v>
      </c>
      <c r="T13" s="21" t="s">
        <v>78</v>
      </c>
      <c r="U13" s="22" t="s">
        <v>79</v>
      </c>
      <c r="V13" s="16" t="s">
        <v>72</v>
      </c>
      <c r="W13" t="s">
        <v>80</v>
      </c>
      <c r="X13" t="s">
        <v>81</v>
      </c>
      <c r="Y13" s="23" t="s">
        <v>82</v>
      </c>
      <c r="Z13" s="24" t="s">
        <v>83</v>
      </c>
      <c r="AA13" s="25" t="s">
        <v>84</v>
      </c>
      <c r="AB13" s="21">
        <f t="shared" si="1"/>
        <v>45739</v>
      </c>
      <c r="AC13" s="26">
        <f t="shared" si="2"/>
        <v>45739</v>
      </c>
      <c r="AD13" s="27" t="s">
        <v>85</v>
      </c>
      <c r="AE13" s="28" t="s">
        <v>141</v>
      </c>
      <c r="AF13" s="28" t="s">
        <v>142</v>
      </c>
      <c r="AG13" s="29">
        <f t="shared" si="3"/>
        <v>45739</v>
      </c>
      <c r="AH13" s="21">
        <v>44993</v>
      </c>
      <c r="AI13" s="16" t="s">
        <v>88</v>
      </c>
      <c r="AJ13" s="16" t="s">
        <v>85</v>
      </c>
      <c r="AK13" s="30" t="s">
        <v>89</v>
      </c>
      <c r="AL13" s="31" t="s">
        <v>143</v>
      </c>
      <c r="AM13" s="30" t="s">
        <v>91</v>
      </c>
      <c r="AN13" s="18" t="s">
        <v>92</v>
      </c>
      <c r="AO13" s="18" t="s">
        <v>93</v>
      </c>
      <c r="AP13" s="32">
        <v>29</v>
      </c>
      <c r="AQ13" s="18" t="s">
        <v>85</v>
      </c>
      <c r="AR13" t="s">
        <v>94</v>
      </c>
      <c r="AS13" s="33" t="s">
        <v>85</v>
      </c>
      <c r="AT13" s="16" t="s">
        <v>95</v>
      </c>
      <c r="AU13" s="16" t="s">
        <v>96</v>
      </c>
      <c r="AV13" t="s">
        <v>144</v>
      </c>
      <c r="AW13" s="18" t="s">
        <v>73</v>
      </c>
      <c r="AX13" s="34" t="s">
        <v>98</v>
      </c>
      <c r="AY13" s="35">
        <v>645667216</v>
      </c>
      <c r="AZ13" t="s">
        <v>99</v>
      </c>
      <c r="BA13" s="36" t="s">
        <v>100</v>
      </c>
      <c r="BB13" s="18" t="s">
        <v>73</v>
      </c>
      <c r="BC13" t="s">
        <v>74</v>
      </c>
      <c r="BD13" t="s">
        <v>74</v>
      </c>
      <c r="BE13" s="18" t="s">
        <v>73</v>
      </c>
      <c r="BF13" t="s">
        <v>101</v>
      </c>
      <c r="BG13" s="18" t="s">
        <v>102</v>
      </c>
      <c r="BH13" s="34" t="s">
        <v>103</v>
      </c>
      <c r="BI13" s="34" t="s">
        <v>104</v>
      </c>
      <c r="BJ13" s="34" t="s">
        <v>105</v>
      </c>
      <c r="BK13" s="34" t="s">
        <v>106</v>
      </c>
      <c r="BL13" s="16" t="s">
        <v>107</v>
      </c>
      <c r="BM13" t="s">
        <v>108</v>
      </c>
    </row>
    <row r="14" ht="14.5" customHeight="1" spans="5:65" x14ac:dyDescent="0.25">
      <c r="E14" t="s">
        <v>66</v>
      </c>
      <c r="G14" t="s">
        <v>68</v>
      </c>
      <c r="I14" s="16" t="s">
        <v>70</v>
      </c>
      <c r="J14" s="16" t="s">
        <v>71</v>
      </c>
      <c r="K14" s="16" t="s">
        <v>72</v>
      </c>
      <c r="L14" s="17">
        <f t="shared" si="0"/>
        <v>45739</v>
      </c>
      <c r="M14" s="18" t="s">
        <v>73</v>
      </c>
      <c r="N14" t="s">
        <v>74</v>
      </c>
      <c r="O14" s="19" t="s">
        <v>75</v>
      </c>
      <c r="P14" s="16" t="s">
        <v>76</v>
      </c>
      <c r="Q14" s="20" t="s">
        <v>77</v>
      </c>
      <c r="R14" t="s">
        <v>74</v>
      </c>
      <c r="S14" s="16" t="s">
        <v>72</v>
      </c>
      <c r="T14" s="21" t="s">
        <v>78</v>
      </c>
      <c r="U14" s="22" t="s">
        <v>79</v>
      </c>
      <c r="V14" s="16" t="s">
        <v>72</v>
      </c>
      <c r="W14" t="s">
        <v>80</v>
      </c>
      <c r="X14" t="s">
        <v>81</v>
      </c>
      <c r="Y14" s="23" t="s">
        <v>119</v>
      </c>
      <c r="Z14" s="23" t="s">
        <v>112</v>
      </c>
      <c r="AA14" s="25" t="s">
        <v>84</v>
      </c>
      <c r="AB14" s="21">
        <f t="shared" si="1"/>
        <v>45739</v>
      </c>
      <c r="AC14" s="26">
        <f t="shared" si="2"/>
        <v>45739</v>
      </c>
      <c r="AD14" s="27" t="s">
        <v>85</v>
      </c>
      <c r="AE14" s="28" t="s">
        <v>145</v>
      </c>
      <c r="AF14" s="28" t="s">
        <v>146</v>
      </c>
      <c r="AG14" s="29">
        <f t="shared" si="3"/>
        <v>45739</v>
      </c>
      <c r="AH14" s="21">
        <v>44994</v>
      </c>
      <c r="AI14" s="16" t="s">
        <v>88</v>
      </c>
      <c r="AJ14" s="16" t="s">
        <v>85</v>
      </c>
      <c r="AK14" s="30" t="s">
        <v>123</v>
      </c>
      <c r="AL14" s="31" t="s">
        <v>147</v>
      </c>
      <c r="AM14" s="30" t="s">
        <v>116</v>
      </c>
      <c r="AN14" s="18" t="s">
        <v>92</v>
      </c>
      <c r="AO14" s="18" t="s">
        <v>93</v>
      </c>
      <c r="AP14" s="32">
        <v>38</v>
      </c>
      <c r="AQ14" s="18" t="s">
        <v>85</v>
      </c>
      <c r="AR14" t="s">
        <v>94</v>
      </c>
      <c r="AS14" s="33">
        <f>TODAY()+365</f>
        <v>46135</v>
      </c>
      <c r="AT14" s="16" t="s">
        <v>95</v>
      </c>
      <c r="AU14" s="16" t="s">
        <v>96</v>
      </c>
      <c r="AV14" t="s">
        <v>148</v>
      </c>
      <c r="AW14" s="18" t="s">
        <v>73</v>
      </c>
      <c r="AX14" s="34" t="s">
        <v>98</v>
      </c>
      <c r="AY14" s="35">
        <v>645667217</v>
      </c>
      <c r="AZ14" t="s">
        <v>99</v>
      </c>
      <c r="BA14" s="36" t="s">
        <v>100</v>
      </c>
      <c r="BB14" s="18" t="s">
        <v>73</v>
      </c>
      <c r="BC14" t="s">
        <v>74</v>
      </c>
      <c r="BD14" t="s">
        <v>74</v>
      </c>
      <c r="BE14" s="18" t="s">
        <v>73</v>
      </c>
      <c r="BF14" t="s">
        <v>101</v>
      </c>
      <c r="BG14" s="18" t="s">
        <v>102</v>
      </c>
      <c r="BH14" s="34" t="s">
        <v>103</v>
      </c>
      <c r="BI14" s="34" t="s">
        <v>104</v>
      </c>
      <c r="BJ14" s="34" t="s">
        <v>105</v>
      </c>
      <c r="BK14" s="34" t="s">
        <v>106</v>
      </c>
      <c r="BL14" s="16" t="s">
        <v>107</v>
      </c>
      <c r="BM14" t="s">
        <v>108</v>
      </c>
    </row>
    <row r="15" ht="14.5" customHeight="1" spans="5:65" x14ac:dyDescent="0.25">
      <c r="E15" t="s">
        <v>66</v>
      </c>
      <c r="G15" t="s">
        <v>68</v>
      </c>
      <c r="I15" s="16" t="s">
        <v>70</v>
      </c>
      <c r="J15" s="16" t="s">
        <v>71</v>
      </c>
      <c r="K15" s="16" t="s">
        <v>72</v>
      </c>
      <c r="L15" s="17">
        <f t="shared" si="0"/>
        <v>45739</v>
      </c>
      <c r="M15" s="18" t="s">
        <v>73</v>
      </c>
      <c r="N15" t="s">
        <v>74</v>
      </c>
      <c r="O15" s="19" t="s">
        <v>75</v>
      </c>
      <c r="P15" s="16" t="s">
        <v>76</v>
      </c>
      <c r="Q15" s="20" t="s">
        <v>77</v>
      </c>
      <c r="R15" t="s">
        <v>74</v>
      </c>
      <c r="S15" s="16" t="s">
        <v>72</v>
      </c>
      <c r="T15" s="21" t="s">
        <v>78</v>
      </c>
      <c r="U15" s="22" t="s">
        <v>79</v>
      </c>
      <c r="V15" s="16" t="s">
        <v>72</v>
      </c>
      <c r="W15" t="s">
        <v>80</v>
      </c>
      <c r="X15" t="s">
        <v>81</v>
      </c>
      <c r="Y15" s="23" t="s">
        <v>82</v>
      </c>
      <c r="Z15" s="24" t="s">
        <v>83</v>
      </c>
      <c r="AA15" s="25" t="s">
        <v>84</v>
      </c>
      <c r="AB15" s="21">
        <f t="shared" si="1"/>
        <v>45739</v>
      </c>
      <c r="AC15" s="26">
        <f t="shared" si="2"/>
        <v>45739</v>
      </c>
      <c r="AD15" s="27" t="s">
        <v>85</v>
      </c>
      <c r="AE15" s="28" t="s">
        <v>149</v>
      </c>
      <c r="AF15" s="28" t="s">
        <v>85</v>
      </c>
      <c r="AG15" s="29">
        <f t="shared" si="3"/>
        <v>45739</v>
      </c>
      <c r="AH15" s="21">
        <v>44995</v>
      </c>
      <c r="AI15" s="16" t="s">
        <v>88</v>
      </c>
      <c r="AJ15" s="16" t="s">
        <v>85</v>
      </c>
      <c r="AK15" s="30" t="s">
        <v>89</v>
      </c>
      <c r="AL15" s="31" t="s">
        <v>150</v>
      </c>
      <c r="AM15" s="30" t="s">
        <v>91</v>
      </c>
      <c r="AN15" s="18" t="s">
        <v>92</v>
      </c>
      <c r="AO15" s="18" t="s">
        <v>93</v>
      </c>
      <c r="AP15" s="32">
        <v>16</v>
      </c>
      <c r="AQ15" s="18" t="s">
        <v>85</v>
      </c>
      <c r="AR15" t="s">
        <v>94</v>
      </c>
      <c r="AS15" s="33" t="s">
        <v>85</v>
      </c>
      <c r="AT15" s="16" t="s">
        <v>95</v>
      </c>
      <c r="AU15" s="16" t="s">
        <v>96</v>
      </c>
      <c r="AV15" t="s">
        <v>151</v>
      </c>
      <c r="AW15" s="18" t="s">
        <v>73</v>
      </c>
      <c r="AX15" s="34" t="s">
        <v>98</v>
      </c>
      <c r="AY15" s="35">
        <v>645667218</v>
      </c>
      <c r="AZ15" t="s">
        <v>99</v>
      </c>
      <c r="BA15" s="36" t="s">
        <v>100</v>
      </c>
      <c r="BB15" s="18" t="s">
        <v>73</v>
      </c>
      <c r="BC15" t="s">
        <v>74</v>
      </c>
      <c r="BD15" t="s">
        <v>74</v>
      </c>
      <c r="BE15" s="18" t="s">
        <v>73</v>
      </c>
      <c r="BF15" t="s">
        <v>101</v>
      </c>
      <c r="BG15" s="18" t="s">
        <v>102</v>
      </c>
      <c r="BH15" s="34" t="s">
        <v>103</v>
      </c>
      <c r="BI15" s="34" t="s">
        <v>104</v>
      </c>
      <c r="BJ15" s="34" t="s">
        <v>105</v>
      </c>
      <c r="BK15" s="34" t="s">
        <v>106</v>
      </c>
      <c r="BL15" s="16" t="s">
        <v>107</v>
      </c>
      <c r="BM15" t="s">
        <v>108</v>
      </c>
    </row>
    <row r="16" ht="14.5" customHeight="1" spans="5:65" x14ac:dyDescent="0.25">
      <c r="E16" t="s">
        <v>66</v>
      </c>
      <c r="G16" t="s">
        <v>68</v>
      </c>
      <c r="I16" s="16" t="s">
        <v>70</v>
      </c>
      <c r="J16" s="16" t="s">
        <v>71</v>
      </c>
      <c r="K16" s="16" t="s">
        <v>72</v>
      </c>
      <c r="L16" s="17">
        <f t="shared" si="0"/>
        <v>45739</v>
      </c>
      <c r="M16" s="18" t="s">
        <v>73</v>
      </c>
      <c r="N16" t="s">
        <v>74</v>
      </c>
      <c r="O16" s="19" t="s">
        <v>75</v>
      </c>
      <c r="P16" s="16" t="s">
        <v>76</v>
      </c>
      <c r="Q16" s="20" t="s">
        <v>77</v>
      </c>
      <c r="R16" t="s">
        <v>74</v>
      </c>
      <c r="S16" s="16" t="s">
        <v>72</v>
      </c>
      <c r="T16" s="21" t="s">
        <v>78</v>
      </c>
      <c r="U16" s="22" t="s">
        <v>79</v>
      </c>
      <c r="V16" s="16" t="s">
        <v>72</v>
      </c>
      <c r="W16" t="s">
        <v>80</v>
      </c>
      <c r="X16" t="s">
        <v>81</v>
      </c>
      <c r="Y16" s="23" t="s">
        <v>152</v>
      </c>
      <c r="Z16" s="24" t="s">
        <v>83</v>
      </c>
      <c r="AA16" s="25" t="s">
        <v>84</v>
      </c>
      <c r="AB16" s="21">
        <f t="shared" si="1"/>
        <v>45739</v>
      </c>
      <c r="AC16" s="26">
        <f t="shared" si="2"/>
        <v>45739</v>
      </c>
      <c r="AD16" s="27" t="s">
        <v>153</v>
      </c>
      <c r="AE16" s="28" t="s">
        <v>86</v>
      </c>
      <c r="AF16" s="28" t="s">
        <v>154</v>
      </c>
      <c r="AG16" s="29">
        <f t="shared" si="3"/>
        <v>45739</v>
      </c>
      <c r="AH16" s="21">
        <v>44996</v>
      </c>
      <c r="AI16" s="16" t="s">
        <v>88</v>
      </c>
      <c r="AJ16" s="16" t="s">
        <v>85</v>
      </c>
      <c r="AK16" s="30" t="s">
        <v>155</v>
      </c>
      <c r="AL16" s="31" t="s">
        <v>90</v>
      </c>
      <c r="AM16" s="30" t="s">
        <v>91</v>
      </c>
      <c r="AN16" s="18" t="s">
        <v>92</v>
      </c>
      <c r="AO16" s="18" t="s">
        <v>93</v>
      </c>
      <c r="AP16" s="32">
        <v>20</v>
      </c>
      <c r="AQ16" s="18" t="s">
        <v>85</v>
      </c>
      <c r="AR16" t="s">
        <v>94</v>
      </c>
      <c r="AS16" s="33" t="s">
        <v>85</v>
      </c>
      <c r="AT16" s="16" t="s">
        <v>95</v>
      </c>
      <c r="AU16" s="16" t="s">
        <v>96</v>
      </c>
      <c r="AV16" t="s">
        <v>97</v>
      </c>
      <c r="AW16" s="18" t="s">
        <v>73</v>
      </c>
      <c r="AX16" s="34" t="s">
        <v>98</v>
      </c>
      <c r="AY16" s="35">
        <v>645667219</v>
      </c>
      <c r="AZ16" t="s">
        <v>99</v>
      </c>
      <c r="BA16" s="36" t="s">
        <v>100</v>
      </c>
      <c r="BB16" s="18" t="s">
        <v>73</v>
      </c>
      <c r="BC16" t="s">
        <v>74</v>
      </c>
      <c r="BD16" t="s">
        <v>74</v>
      </c>
      <c r="BE16" s="18" t="s">
        <v>73</v>
      </c>
      <c r="BF16" t="s">
        <v>101</v>
      </c>
      <c r="BG16" s="18" t="s">
        <v>102</v>
      </c>
      <c r="BH16" s="34" t="s">
        <v>103</v>
      </c>
      <c r="BI16" s="34" t="s">
        <v>104</v>
      </c>
      <c r="BJ16" s="34" t="s">
        <v>105</v>
      </c>
      <c r="BK16" s="34" t="s">
        <v>106</v>
      </c>
      <c r="BL16" s="16" t="s">
        <v>107</v>
      </c>
      <c r="BM16" t="s">
        <v>108</v>
      </c>
    </row>
    <row r="17" ht="14.5" customHeight="1" spans="65:65" x14ac:dyDescent="0.25">
      <c r="BM17" s="39" t="s">
        <v>156</v>
      </c>
    </row>
    <row r="18" ht="14.5" customHeight="1" spans="65:65" x14ac:dyDescent="0.25">
      <c r="BM18" s="39" t="s">
        <v>156</v>
      </c>
    </row>
    <row r="19" ht="14.5" customHeight="1" spans="65:65" x14ac:dyDescent="0.25">
      <c r="BM19" s="39" t="s">
        <v>156</v>
      </c>
    </row>
    <row r="20" ht="14.5" customHeight="1" spans="65:65" x14ac:dyDescent="0.25">
      <c r="BM20" s="39" t="s">
        <v>156</v>
      </c>
    </row>
    <row r="21" ht="14.5" customHeight="1" spans="65:65" x14ac:dyDescent="0.25">
      <c r="BM21" s="39" t="s">
        <v>156</v>
      </c>
    </row>
    <row r="22" ht="14.5" customHeight="1" spans="65:65" x14ac:dyDescent="0.25">
      <c r="BM22" s="39" t="s">
        <v>156</v>
      </c>
    </row>
    <row r="23" ht="14.5" customHeight="1" spans="65:65" x14ac:dyDescent="0.25">
      <c r="BM23" s="39" t="s">
        <v>156</v>
      </c>
    </row>
    <row r="24" ht="14.5" customHeight="1" spans="65:65" x14ac:dyDescent="0.25">
      <c r="BM24" s="39" t="s">
        <v>156</v>
      </c>
    </row>
    <row r="25" ht="14.5" customHeight="1" spans="65:65" x14ac:dyDescent="0.25">
      <c r="BM25" s="39" t="s">
        <v>156</v>
      </c>
    </row>
    <row r="26" ht="14.5" customHeight="1" spans="65:65" x14ac:dyDescent="0.25">
      <c r="BM26" t="s">
        <v>85</v>
      </c>
    </row>
    <row r="27" ht="14.5" customHeight="1" spans="65:65" x14ac:dyDescent="0.25">
      <c r="BM27" t="s">
        <v>85</v>
      </c>
    </row>
    <row r="28" ht="14.5" customHeight="1" spans="65:65" x14ac:dyDescent="0.25">
      <c r="BM28" t="s">
        <v>85</v>
      </c>
    </row>
    <row r="29" ht="14.5" customHeight="1" spans="65:65" x14ac:dyDescent="0.25">
      <c r="BM29" t="s">
        <v>85</v>
      </c>
    </row>
    <row r="30" ht="14.5" customHeight="1" spans="65:65" x14ac:dyDescent="0.25">
      <c r="BM30" t="s">
        <v>85</v>
      </c>
    </row>
    <row r="31" ht="14.5" customHeight="1" spans="65:65" x14ac:dyDescent="0.25">
      <c r="BM31" t="s">
        <v>85</v>
      </c>
    </row>
  </sheetData>
  <dataValidations count="19">
    <dataValidation type="list" allowBlank="1" showInputMessage="1" showErrorMessage="1" sqref="AA10:AA16">
      <formula1>INDIRECT($E4)</formula1>
    </dataValidation>
    <dataValidation type="list" allowBlank="1" showInputMessage="1" showErrorMessage="1" sqref="AA2:AA3">
      <formula1>INDIRECT(#REF!)</formula1>
    </dataValidation>
    <dataValidation type="list" allowBlank="1" showInputMessage="1" showErrorMessage="1" sqref="AA4:AA16">
      <formula1>INDIRECT($E4)</formula1>
    </dataValidation>
    <dataValidation type="list" allowBlank="1" showInputMessage="1" showErrorMessage="1" sqref="AI10:AI16">
      <formula1>INDIRECT($E4)</formula1>
    </dataValidation>
    <dataValidation type="list" allowBlank="1" showInputMessage="1" showErrorMessage="1" sqref="AI2">
      <formula1>INDIRECT(#REF!)</formula1>
    </dataValidation>
    <dataValidation type="list" allowBlank="1" showInputMessage="1" showErrorMessage="1" sqref="AI4">
      <formula1>INDIRECT($E4)</formula1>
    </dataValidation>
    <dataValidation type="list" allowBlank="1" showInputMessage="1" showErrorMessage="1" sqref="AI6:AI16">
      <formula1>INDIRECT($E4)</formula1>
    </dataValidation>
    <dataValidation type="list" allowBlank="1" showInputMessage="1" showErrorMessage="1" sqref="BK10:BK16">
      <formula1>INDIRECT($E4)</formula1>
    </dataValidation>
    <dataValidation type="list" allowBlank="1" showInputMessage="1" showErrorMessage="1" sqref="BK2:BK3">
      <formula1>INDIRECT(#REF!)</formula1>
    </dataValidation>
    <dataValidation type="list" allowBlank="1" showInputMessage="1" showErrorMessage="1" sqref="BK4:BK16">
      <formula1>INDIRECT($E4)</formula1>
    </dataValidation>
    <dataValidation type="list" allowBlank="1" showInputMessage="1" showErrorMessage="1" sqref="K10:K16">
      <formula1>INDIRECT($E4)</formula1>
    </dataValidation>
    <dataValidation type="list" allowBlank="1" showInputMessage="1" showErrorMessage="1" sqref="K2:K3">
      <formula1>INDIRECT(#REF!)</formula1>
    </dataValidation>
    <dataValidation type="list" allowBlank="1" showInputMessage="1" showErrorMessage="1" sqref="K4:K16">
      <formula1>INDIRECT($E4)</formula1>
    </dataValidation>
    <dataValidation type="list" allowBlank="1" showInputMessage="1" showErrorMessage="1" sqref="S10:S16">
      <formula1>INDIRECT($E4)</formula1>
    </dataValidation>
    <dataValidation type="list" allowBlank="1" showInputMessage="1" showErrorMessage="1" sqref="S2:S3">
      <formula1>INDIRECT(#REF!)</formula1>
    </dataValidation>
    <dataValidation type="list" allowBlank="1" showInputMessage="1" showErrorMessage="1" sqref="S4:S16">
      <formula1>INDIRECT($E4)</formula1>
    </dataValidation>
    <dataValidation type="list" allowBlank="1" showInputMessage="1" showErrorMessage="1" sqref="V10:V16">
      <formula1>INDIRECT($E4)</formula1>
    </dataValidation>
    <dataValidation type="list" allowBlank="1" showInputMessage="1" showErrorMessage="1" sqref="V2:V3">
      <formula1>INDIRECT(#REF!)</formula1>
    </dataValidation>
    <dataValidation type="list" allowBlank="1" showInputMessage="1" showErrorMessage="1" sqref="V4:V16">
      <formula1>INDIRECT($E4)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  <hyperlink ref="U8" r:id="rId7"/>
    <hyperlink ref="U9" r:id="rId8"/>
    <hyperlink ref="U10" r:id="rId9"/>
    <hyperlink ref="U11" r:id="rId10"/>
    <hyperlink ref="U12" r:id="rId11"/>
    <hyperlink ref="U13" r:id="rId12"/>
    <hyperlink ref="U14" r:id="rId13"/>
    <hyperlink ref="U15" r:id="rId14"/>
    <hyperlink ref="U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2025-04-23T07:14:06Z</dcterms:modified>
</cp:coreProperties>
</file>