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314724CD-A6CE-4C9D-A71C-1E40AD3CF80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 l="1"/>
  <c r="AG16" i="1" s="1"/>
  <c r="L15" i="1"/>
  <c r="AG15" i="1" s="1"/>
  <c r="AC15" i="1" s="1"/>
  <c r="AS14" i="1"/>
  <c r="L14" i="1"/>
  <c r="AG14" i="1" s="1"/>
  <c r="L13" i="1"/>
  <c r="AG13" i="1" s="1"/>
  <c r="L12" i="1"/>
  <c r="AG12" i="1" s="1"/>
  <c r="AS11" i="1"/>
  <c r="L11" i="1"/>
  <c r="AG11" i="1" s="1"/>
  <c r="L10" i="1"/>
  <c r="AG10" i="1" s="1"/>
  <c r="L9" i="1"/>
  <c r="AG9" i="1" s="1"/>
  <c r="AS8" i="1"/>
  <c r="L8" i="1"/>
  <c r="AG8" i="1" s="1"/>
  <c r="AS7" i="1"/>
  <c r="L7" i="1"/>
  <c r="AG7" i="1" s="1"/>
  <c r="AC7" i="1" s="1"/>
  <c r="L6" i="1"/>
  <c r="AG6" i="1" s="1"/>
  <c r="AC6" i="1" s="1"/>
  <c r="L5" i="1"/>
  <c r="AG5" i="1" s="1"/>
  <c r="AC5" i="1" s="1"/>
  <c r="AS4" i="1"/>
  <c r="L4" i="1"/>
  <c r="AG4" i="1" s="1"/>
  <c r="L3" i="1"/>
  <c r="AG3" i="1" s="1"/>
  <c r="L2" i="1"/>
  <c r="AG2" i="1" s="1"/>
  <c r="AB8" i="1" l="1"/>
  <c r="AC8" i="1"/>
  <c r="AB4" i="1"/>
  <c r="AC4" i="1"/>
  <c r="AC9" i="1"/>
  <c r="AB9" i="1"/>
  <c r="AB12" i="1"/>
  <c r="AC12" i="1"/>
  <c r="AB2" i="1"/>
  <c r="AC2" i="1"/>
  <c r="AC10" i="1"/>
  <c r="AB10" i="1"/>
  <c r="AB13" i="1"/>
  <c r="AC13" i="1"/>
  <c r="AB3" i="1"/>
  <c r="AC3" i="1"/>
  <c r="AC11" i="1"/>
  <c r="AB11" i="1"/>
  <c r="AB14" i="1"/>
  <c r="AC14" i="1"/>
  <c r="AC16" i="1"/>
  <c r="AB16" i="1"/>
  <c r="AB5" i="1"/>
  <c r="AB6" i="1"/>
  <c r="AB7" i="1"/>
  <c r="AB15" i="1"/>
</calcChain>
</file>

<file path=xl/sharedStrings.xml><?xml version="1.0" encoding="utf-8"?>
<sst xmlns="http://schemas.openxmlformats.org/spreadsheetml/2006/main" count="908" uniqueCount="196">
  <si>
    <t>TestCaseIDs</t>
  </si>
  <si>
    <t>EmployeeID</t>
  </si>
  <si>
    <t>TestStatus</t>
  </si>
  <si>
    <t>SupervisoryOrganisation</t>
  </si>
  <si>
    <t>Prefix</t>
  </si>
  <si>
    <t>GivenName</t>
  </si>
  <si>
    <t>Initials</t>
  </si>
  <si>
    <t>FamilyName</t>
  </si>
  <si>
    <t>PhoneNumber</t>
  </si>
  <si>
    <t>PhoneDevice</t>
  </si>
  <si>
    <t>Type</t>
  </si>
  <si>
    <t>EffectiveDate</t>
  </si>
  <si>
    <t>Country</t>
  </si>
  <si>
    <t>Province</t>
  </si>
  <si>
    <t>StreetName</t>
  </si>
  <si>
    <t>HouseNumber</t>
  </si>
  <si>
    <t>PostalCode</t>
  </si>
  <si>
    <t>City</t>
  </si>
  <si>
    <t>UseFor</t>
  </si>
  <si>
    <t>EmailAddress</t>
  </si>
  <si>
    <t>PayrollTaxDeduction</t>
  </si>
  <si>
    <t>WWAansturing</t>
  </si>
  <si>
    <t>ContractReason</t>
  </si>
  <si>
    <t>ContractType</t>
  </si>
  <si>
    <t>Status</t>
  </si>
  <si>
    <t>DateEmployeeSigned</t>
  </si>
  <si>
    <t>DateEmployerSigned</t>
  </si>
  <si>
    <t>ContractEndDate</t>
  </si>
  <si>
    <t>GradeProfile</t>
  </si>
  <si>
    <t>Step</t>
  </si>
  <si>
    <t>HireDate</t>
  </si>
  <si>
    <t>ProbationEndDate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</si>
  <si>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</si>
  <si>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</si>
  <si>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</si>
  <si>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</si>
  <si>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</si>
  <si>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</si>
  <si>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</si>
  <si>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</si>
  <si>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</si>
  <si>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</si>
  <si>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</si>
  <si>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</si>
  <si>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</si>
  <si>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</si>
  <si>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Country1</t>
  </si>
  <si>
    <t>NationalIDType1</t>
  </si>
  <si>
    <t>AddEditID1</t>
  </si>
  <si>
    <t>Gender</t>
  </si>
  <si>
    <t>DateOfBirth</t>
  </si>
  <si>
    <t>CountryOfBirth</t>
  </si>
  <si>
    <t>RegionOfBirth</t>
  </si>
  <si>
    <t>CityOfBirth</t>
  </si>
  <si>
    <t>PrimaryNationality</t>
  </si>
  <si>
    <t>CitizenshipStatus</t>
  </si>
  <si>
    <t>Salary</t>
  </si>
  <si>
    <t>BankName</t>
  </si>
  <si>
    <t>BankIdentificationCode</t>
  </si>
  <si>
    <t>IBAN</t>
  </si>
  <si>
    <t>AccountType</t>
  </si>
  <si>
    <t>ProposedPayGroupFinal</t>
  </si>
  <si>
    <t>DefaultWeeklyHours</t>
  </si>
  <si>
    <t>10698740</t>
  </si>
  <si>
    <t>Passed</t>
  </si>
  <si>
    <t>701 Recruitment (Vulam Syhohu (8701689))</t>
  </si>
  <si>
    <t>Mevr</t>
  </si>
  <si>
    <t>Donna</t>
  </si>
  <si>
    <t>Test</t>
  </si>
  <si>
    <t>Walter</t>
  </si>
  <si>
    <t>071 025 8087</t>
  </si>
  <si>
    <t>Mobile</t>
  </si>
  <si>
    <t>Home</t>
  </si>
  <si>
    <t>Netherlands</t>
  </si>
  <si>
    <t>North Brabant</t>
  </si>
  <si>
    <t>Automation Street Name</t>
  </si>
  <si>
    <t>05</t>
  </si>
  <si>
    <t>1111AZ</t>
  </si>
  <si>
    <t>Street Address</t>
  </si>
  <si>
    <t>automation@qe.com</t>
  </si>
  <si>
    <t>No</t>
  </si>
  <si>
    <t>0 – Niet verzekerd</t>
  </si>
  <si>
    <t>Undefined contract end date (Undetermined)</t>
  </si>
  <si>
    <t>Part-time( PT )</t>
  </si>
  <si>
    <t>Active</t>
  </si>
  <si>
    <t>N/A</t>
  </si>
  <si>
    <t>Netherlands Retail Assistant</t>
  </si>
  <si>
    <t>Retail Assistant (23+)</t>
  </si>
  <si>
    <t>New Hire</t>
  </si>
  <si>
    <t>Permanent</t>
  </si>
  <si>
    <t>Retail Assistant</t>
  </si>
  <si>
    <t>Part time</t>
  </si>
  <si>
    <t>701 Hoofddorp</t>
  </si>
  <si>
    <t>Hourly</t>
  </si>
  <si>
    <t>5 Days (Netherlands)</t>
  </si>
  <si>
    <t>Automation Comments here….</t>
  </si>
  <si>
    <t>94 Retail Operative</t>
  </si>
  <si>
    <t>01 Accessories</t>
  </si>
  <si>
    <t>Personal Number (Burgerservicenr)</t>
  </si>
  <si>
    <t>Male</t>
  </si>
  <si>
    <t>06/10/1997</t>
  </si>
  <si>
    <t>Citizen (Netherlands)</t>
  </si>
  <si>
    <t>Defaulted</t>
  </si>
  <si>
    <t>BON</t>
  </si>
  <si>
    <t>BOFIIE2D</t>
  </si>
  <si>
    <t>NL02ABNA0123456789</t>
  </si>
  <si>
    <t>Checking</t>
  </si>
  <si>
    <t>NL 4-Weekly</t>
  </si>
  <si>
    <t>40</t>
  </si>
  <si>
    <t>10698741</t>
  </si>
  <si>
    <t>701 Store Management (Vulam Syhohu (8701689))</t>
  </si>
  <si>
    <t>Alyson</t>
  </si>
  <si>
    <t>Kessler</t>
  </si>
  <si>
    <t>Full-time( FT. )</t>
  </si>
  <si>
    <t>New</t>
  </si>
  <si>
    <t>Auto 68990934</t>
  </si>
  <si>
    <t>Store Manager</t>
  </si>
  <si>
    <t>Full time</t>
  </si>
  <si>
    <t>92 Retail Management</t>
  </si>
  <si>
    <t>NL Management</t>
  </si>
  <si>
    <t xml:space="preserve">Test failed for 'Arturo McLaughlin-Graham' Employee:{10698770}TimeoutError: locator.click: Timeout 30000ms exceeded.
Call log:
  [2m- waiting for getByRole('button', { name: 'Change/Update My Government IDs', exact: true })[22m
</t>
  </si>
  <si>
    <t>Failed</t>
  </si>
  <si>
    <t>Arturo</t>
  </si>
  <si>
    <t>McLaughlin-Graham</t>
  </si>
  <si>
    <t>Defined contract end date (Determined)</t>
  </si>
  <si>
    <t>Team Manager - Retail</t>
  </si>
  <si>
    <t>Initial Step - NL TM</t>
  </si>
  <si>
    <t>Auto 194221</t>
  </si>
  <si>
    <t>Fixed Term</t>
  </si>
  <si>
    <t>10698771</t>
  </si>
  <si>
    <t>Judah</t>
  </si>
  <si>
    <t>Reilly-Shields</t>
  </si>
  <si>
    <t>Auto 61835231</t>
  </si>
  <si>
    <t>Department Manager</t>
  </si>
  <si>
    <t>Test failed for 'May Kessler' Employee:{10698772}Error: [2mexpect([22m[31mreceived[39m[2m).[22mtoEqual[2m([22m[32mexpected[39m[2m) // deep equality[22m
Expected: [32m"NL Management"[39m
Received: [31mundefined[39m</t>
  </si>
  <si>
    <t>May</t>
  </si>
  <si>
    <t>Auto 95958352</t>
  </si>
  <si>
    <t>10698773</t>
  </si>
  <si>
    <t>Lisa</t>
  </si>
  <si>
    <t>Miller</t>
  </si>
  <si>
    <t>Auto 95893892</t>
  </si>
  <si>
    <t>Assistant Manager</t>
  </si>
  <si>
    <t>10698774</t>
  </si>
  <si>
    <t>Katelyn</t>
  </si>
  <si>
    <t>Feest</t>
  </si>
  <si>
    <t>Auto 35603850</t>
  </si>
  <si>
    <t>Senior Department Manager</t>
  </si>
  <si>
    <t>10698775</t>
  </si>
  <si>
    <t>Meagan</t>
  </si>
  <si>
    <t>Orn-Schroeder</t>
  </si>
  <si>
    <t>Auto 6389186</t>
  </si>
  <si>
    <t>P&amp;C Manager Stores</t>
  </si>
  <si>
    <t>Test failed for 'Hulda Torphy'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Path:-&gt;H:\Clone-Workday-Playwright/WorkdayFailedScreenshot/2025-04-29T07-27-28-409Z.png</t>
  </si>
  <si>
    <t>Hulda</t>
  </si>
  <si>
    <t>Torphy</t>
  </si>
  <si>
    <t xml:space="preserve">Test failed for 'Rashad Labadie' Employee:{Vulam Syhohu }TimeoutError: locator.click: Timeout 30000ms exceeded.
Call log:
  [2m- waiting for locator('text=Onboarding Guide: Stockroom Operative - Rashad Labadie')[22m
</t>
  </si>
  <si>
    <t>Rashad</t>
  </si>
  <si>
    <t>Labadie</t>
  </si>
  <si>
    <t>Netherlands Stockroom Operative</t>
  </si>
  <si>
    <t>Stockroom Operative (21) </t>
  </si>
  <si>
    <t>Stockroom Operative</t>
  </si>
  <si>
    <t>255 Stockroom</t>
  </si>
  <si>
    <t>Test failed for 'Junior Crona'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Path:-&gt;H:\Clone-Workday-Playwright/WorkdayFailedScreenshot/2025-04-29T07-35-07-165Z.png</t>
  </si>
  <si>
    <t>Junior</t>
  </si>
  <si>
    <t>Crona</t>
  </si>
  <si>
    <t>Netherlands Visual Merchandiser</t>
  </si>
  <si>
    <t>Initial Step - NL VM</t>
  </si>
  <si>
    <t>Visual Merchandiser</t>
  </si>
  <si>
    <t>256 Visual Merchandising</t>
  </si>
  <si>
    <t>10698776</t>
  </si>
  <si>
    <t>Julianne</t>
  </si>
  <si>
    <t>Jones</t>
  </si>
  <si>
    <t>Netherlands Supervisor</t>
  </si>
  <si>
    <t xml:space="preserve">Netherlands Supervisor (23+) </t>
  </si>
  <si>
    <t>Supervisor</t>
  </si>
  <si>
    <t>253 Supervisors</t>
  </si>
  <si>
    <t>Test failed for 'Ines Johnson'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Path:-&gt;H:\Clone-Workday-Playwright/WorkdayFailedScreenshot/2025-04-29T07-45-48-169Z.png</t>
  </si>
  <si>
    <t>Ines</t>
  </si>
  <si>
    <t>Johnson</t>
  </si>
  <si>
    <t>Netherlands Cash Office Operative</t>
  </si>
  <si>
    <t>Initial Step NL Cash Office Operative</t>
  </si>
  <si>
    <t>Cash Office Operative</t>
  </si>
  <si>
    <t>258 Cash Office</t>
  </si>
  <si>
    <t>10698777</t>
  </si>
  <si>
    <t>Dixie</t>
  </si>
  <si>
    <t>Ernser</t>
  </si>
  <si>
    <t>Netherlands P&amp;C Assistant</t>
  </si>
  <si>
    <t>P&amp;C Assistant (NLD/FRA/USA/ITA/PL/CZ ONLY)</t>
  </si>
  <si>
    <t>250 Human Resources Retail</t>
  </si>
  <si>
    <t>10698778</t>
  </si>
  <si>
    <t>Augustine</t>
  </si>
  <si>
    <t>Leannon</t>
  </si>
  <si>
    <t>Intern</t>
  </si>
  <si>
    <t>AS</t>
  </si>
  <si>
    <t>Retail Assistant (21)</t>
  </si>
  <si>
    <t>Temporary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</si>
</sst>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1" x14ac:knownFonts="1">
    <font>
      <sz val="11"/>
      <color theme="1"/>
      <name val="Calibri"/>
      <family val="2"/>
      <scheme val="minor"/>
    </font>
    <font>
      <sz val="10"/>
      <color theme="1"/>
      <name val="Calibri"/>
      <family val="2"/>
      <scheme val="minor"/>
    </font>
    <font>
      <sz val="11"/>
      <color rgb="FFFF0000"/>
      <name val="Calibri"/>
      <family val="2"/>
      <scheme val="minor"/>
    </font>
    <font>
      <sz val="14"/>
      <color theme="1"/>
      <name val="Arial"/>
      <family val="2"/>
    </font>
    <font>
      <sz val="11"/>
      <color theme="9" tint="-0.249977111117893"/>
      <name val="Calibri"/>
      <family val="2"/>
      <scheme val="minor"/>
    </font>
    <font>
      <sz val="10"/>
      <color rgb="FF040C28"/>
      <name val="Arial"/>
      <family val="2"/>
    </font>
    <font>
      <u/>
      <sz val="11"/>
      <color theme="10"/>
      <name val="Calibri"/>
      <family val="2"/>
      <scheme val="minor"/>
    </font>
    <font>
      <sz val="11"/>
      <name val="Calibri"/>
      <family val="2"/>
      <scheme val="minor"/>
    </font>
    <font>
      <sz val="11"/>
      <color rgb="FF4A4A4A"/>
      <name val="Calibri"/>
      <family val="2"/>
      <scheme val="minor"/>
    </font>
    <font>
      <b/>
      <sz val="11"/>
      <color rgb="FF4A4A4A"/>
      <name val="Calibri"/>
      <family val="2"/>
      <scheme val="minor"/>
    </font>
    <font>
      <b/>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FF00"/>
      </patternFill>
    </fill>
    <fill>
      <patternFill patternType="solid">
        <fgColor rgb="FFFF0000"/>
      </patternFill>
    </fill>
  </fills>
  <borders count="8">
    <border>
      <left/>
      <right/>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41">
    <xf numFmtId="0" fontId="0" fillId="0" borderId="0" xfId="0"/>
    <xf numFmtId="49" fontId="1" fillId="0" borderId="0" xfId="0" applyNumberFormat="1" applyFont="1" applyAlignment="1">
      <alignment horizontal="left" wrapText="1"/>
    </xf>
    <xf numFmtId="0" fontId="0" fillId="2" borderId="1" xfId="0" applyFill="1" applyBorder="1" applyAlignment="1">
      <alignment horizontal="left"/>
    </xf>
    <xf numFmtId="0" fontId="0" fillId="3" borderId="1" xfId="0"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xf numFmtId="0" fontId="2" fillId="2" borderId="4" xfId="0" applyFont="1" applyFill="1" applyBorder="1" applyAlignment="1">
      <alignment horizontal="left"/>
    </xf>
    <xf numFmtId="0" fontId="0" fillId="2" borderId="4" xfId="0" applyFill="1" applyBorder="1" applyAlignment="1">
      <alignment horizontal="left"/>
    </xf>
    <xf numFmtId="0" fontId="2" fillId="2" borderId="5" xfId="0" applyFont="1" applyFill="1" applyBorder="1" applyAlignment="1">
      <alignment horizontal="left"/>
    </xf>
    <xf numFmtId="0" fontId="0" fillId="4" borderId="1" xfId="0" applyFill="1" applyBorder="1" applyAlignment="1">
      <alignment horizontal="left"/>
    </xf>
    <xf numFmtId="0" fontId="2" fillId="2" borderId="1" xfId="0" applyFont="1" applyFill="1" applyBorder="1" applyAlignment="1">
      <alignment horizontal="left"/>
    </xf>
    <xf numFmtId="0" fontId="3" fillId="4" borderId="2" xfId="0" applyFont="1" applyFill="1" applyBorder="1" applyAlignment="1">
      <alignment horizontal="left"/>
    </xf>
    <xf numFmtId="0" fontId="0" fillId="0" borderId="0" xfId="0" applyAlignment="1">
      <alignment wrapText="1"/>
    </xf>
    <xf numFmtId="0" fontId="0" fillId="5" borderId="0" xfId="0" applyFill="1"/>
    <xf numFmtId="0" fontId="4" fillId="0" borderId="0" xfId="0" applyFont="1" applyAlignment="1">
      <alignment vertical="center"/>
    </xf>
    <xf numFmtId="0" fontId="0" fillId="3" borderId="0" xfId="0" applyFill="1"/>
    <xf numFmtId="0" fontId="0" fillId="0" borderId="4" xfId="0" applyBorder="1" applyAlignment="1" applyProtection="1">
      <alignment horizontal="left"/>
      <protection locked="0"/>
    </xf>
    <xf numFmtId="14" fontId="0" fillId="0" borderId="0" xfId="0" applyNumberFormat="1" applyAlignment="1">
      <alignment horizontal="left"/>
    </xf>
    <xf numFmtId="0" fontId="0" fillId="0" borderId="4" xfId="0" applyBorder="1" applyAlignment="1">
      <alignment horizontal="left"/>
    </xf>
    <xf numFmtId="0" fontId="0" fillId="0" borderId="4" xfId="0" applyBorder="1" applyProtection="1">
      <protection locked="0"/>
    </xf>
    <xf numFmtId="0" fontId="5" fillId="0" borderId="0" xfId="0" applyFont="1"/>
    <xf numFmtId="14" fontId="0" fillId="0" borderId="4" xfId="0" applyNumberFormat="1" applyBorder="1" applyAlignment="1">
      <alignment horizontal="left"/>
    </xf>
    <xf numFmtId="0" fontId="6" fillId="0" borderId="4" xfId="0" applyFont="1" applyBorder="1" applyProtection="1">
      <protection locked="0"/>
    </xf>
    <xf numFmtId="0" fontId="7" fillId="0" borderId="4" xfId="0" applyFont="1" applyBorder="1" applyAlignment="1">
      <alignment horizontal="left"/>
    </xf>
    <xf numFmtId="0" fontId="8" fillId="0" borderId="4" xfId="0" applyFont="1" applyBorder="1"/>
    <xf numFmtId="0" fontId="7" fillId="0" borderId="4" xfId="0" applyFont="1" applyBorder="1" applyAlignment="1" applyProtection="1">
      <alignment horizontal="left"/>
      <protection locked="0"/>
    </xf>
    <xf numFmtId="14" fontId="0" fillId="0" borderId="6" xfId="0" applyNumberFormat="1" applyBorder="1" applyAlignment="1">
      <alignment horizontal="left"/>
    </xf>
    <xf numFmtId="14" fontId="2" fillId="0" borderId="4" xfId="0" applyNumberFormat="1" applyFont="1" applyBorder="1" applyAlignment="1">
      <alignment horizontal="left"/>
    </xf>
    <xf numFmtId="0" fontId="9" fillId="0" borderId="4" xfId="0" applyFont="1" applyBorder="1"/>
    <xf numFmtId="14" fontId="2" fillId="0" borderId="7" xfId="0" applyNumberFormat="1" applyFont="1" applyBorder="1" applyAlignment="1">
      <alignment horizontal="left"/>
    </xf>
    <xf numFmtId="0" fontId="0" fillId="0" borderId="4" xfId="0" applyBorder="1"/>
    <xf numFmtId="0" fontId="8" fillId="4" borderId="4" xfId="0" applyFont="1" applyFill="1" applyBorder="1"/>
    <xf numFmtId="0" fontId="0" fillId="0" borderId="4" xfId="0" applyBorder="1" applyAlignment="1" applyProtection="1">
      <alignment horizontal="left" wrapText="1"/>
      <protection locked="0"/>
    </xf>
    <xf numFmtId="14" fontId="2" fillId="0" borderId="0" xfId="0" applyNumberFormat="1" applyFont="1" applyAlignment="1">
      <alignment horizontal="left"/>
    </xf>
    <xf numFmtId="164" fontId="0" fillId="0" borderId="4" xfId="0" applyNumberFormat="1" applyBorder="1" applyAlignment="1" applyProtection="1">
      <alignment horizontal="left"/>
      <protection locked="0"/>
    </xf>
    <xf numFmtId="0" fontId="0" fillId="4" borderId="0" xfId="0" applyFill="1" applyAlignment="1">
      <alignment horizontal="left"/>
    </xf>
    <xf numFmtId="164" fontId="0" fillId="0" borderId="1" xfId="0" applyNumberFormat="1" applyBorder="1" applyAlignment="1" applyProtection="1">
      <alignment horizontal="left"/>
      <protection locked="0"/>
    </xf>
    <xf numFmtId="0" fontId="0" fillId="0" borderId="0" xfId="0" applyAlignment="1">
      <alignment horizontal="left"/>
    </xf>
    <xf numFmtId="0" fontId="0" fillId="0" borderId="0" xfId="0" applyAlignment="1">
      <alignment vertical="top" wrapText="1"/>
    </xf>
    <xf numFmtId="0" fontId="0" fillId="6" borderId="0" xfId="0" applyFill="1"/>
    <xf numFmtId="0" fontId="1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6"/>
  <sheetViews>
    <sheetView tabSelected="1" topLeftCell="A2" zoomScaleNormal="100" workbookViewId="0">
      <selection activeCell="B18" sqref="B18"/>
    </sheetView>
  </sheetViews>
  <sheetFormatPr defaultRowHeight="14.5" customHeight="1" x14ac:dyDescent="0.35"/>
  <cols>
    <col min="2" max="2" width="58.1796875" customWidth="1"/>
    <col min="4" max="4" width="59" customWidth="1"/>
    <col min="5" max="5" width="16" customWidth="1"/>
    <col min="6" max="6" width="20.08984375" customWidth="1"/>
    <col min="10" max="10" width="21.54296875" customWidth="1"/>
    <col min="12" max="12" width="32.54296875" customWidth="1"/>
    <col min="15" max="15" width="31.08984375" customWidth="1"/>
    <col min="16" max="16" width="36.81640625" customWidth="1"/>
    <col min="22" max="22" width="20.36328125" customWidth="1"/>
    <col min="23" max="23" width="18.1796875" customWidth="1"/>
    <col min="24" max="24" width="32.08984375" customWidth="1"/>
    <col min="25" max="25" width="46.26953125" customWidth="1"/>
    <col min="26" max="26" width="36.08984375" customWidth="1"/>
    <col min="31" max="31" width="35.36328125" customWidth="1"/>
    <col min="32" max="32" width="21.453125" customWidth="1"/>
    <col min="33" max="33" width="31.6328125" customWidth="1"/>
    <col min="34" max="34" width="27.36328125" customWidth="1"/>
    <col min="36" max="36" width="40.6328125" customWidth="1"/>
    <col min="37" max="37" width="22.54296875" customWidth="1"/>
    <col min="38" max="38" width="32.7265625" customWidth="1"/>
    <col min="42" max="42" width="23.36328125" customWidth="1"/>
    <col min="43" max="43" width="41.6328125" customWidth="1"/>
    <col min="45" max="45" width="33.6328125" customWidth="1"/>
    <col min="47" max="47" width="38.453125" customWidth="1"/>
    <col min="51" max="51" width="45.7265625" customWidth="1"/>
    <col min="53" max="53" width="22.90625" customWidth="1"/>
    <col min="57" max="57" width="28" customWidth="1"/>
    <col min="58" max="58" width="23.453125" customWidth="1"/>
    <col min="59" max="59" width="32" customWidth="1"/>
    <col min="60" max="60" width="31.26953125" customWidth="1"/>
    <col min="61" max="61" width="28.81640625" customWidth="1"/>
    <col min="62" max="62" width="31.453125" customWidth="1"/>
    <col min="63" max="63" width="28.54296875" customWidth="1"/>
    <col min="64" max="64" width="45.81640625" customWidth="1"/>
    <col min="65" max="65" width="37.7265625" customWidth="1"/>
  </cols>
  <sheetData>
    <row r="1" spans="1:65" ht="51" customHeight="1" x14ac:dyDescent="0.25">
      <c r="A1" s="1" t="s">
        <v>0</v>
      </c>
      <c r="B1" s="1" t="s">
        <v>1</v>
      </c>
      <c r="C1" s="1" t="s">
        <v>2</v>
      </c>
      <c r="D1" s="2"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10</v>
      </c>
      <c r="T1" s="2" t="s">
        <v>18</v>
      </c>
      <c r="U1" s="2" t="s">
        <v>19</v>
      </c>
      <c r="V1" s="2" t="s">
        <v>10</v>
      </c>
      <c r="W1" s="4" t="s">
        <v>20</v>
      </c>
      <c r="X1" s="4" t="s">
        <v>21</v>
      </c>
      <c r="Y1" s="2" t="s">
        <v>22</v>
      </c>
      <c r="Z1" s="2" t="s">
        <v>23</v>
      </c>
      <c r="AA1" s="2" t="s">
        <v>24</v>
      </c>
      <c r="AB1" s="4" t="s">
        <v>25</v>
      </c>
      <c r="AC1" s="5" t="s">
        <v>26</v>
      </c>
      <c r="AD1" s="6" t="s">
        <v>27</v>
      </c>
      <c r="AE1" s="7" t="s">
        <v>28</v>
      </c>
      <c r="AF1" s="7" t="s">
        <v>29</v>
      </c>
      <c r="AG1" s="8" t="s">
        <v>30</v>
      </c>
      <c r="AH1" s="2" t="s">
        <v>31</v>
      </c>
      <c r="AI1" s="2" t="s">
        <v>32</v>
      </c>
      <c r="AJ1" s="2" t="s">
        <v>33</v>
      </c>
      <c r="AK1" s="2" t="s">
        <v>34</v>
      </c>
      <c r="AL1" s="9" t="s">
        <v>35</v>
      </c>
      <c r="AM1" s="2" t="s">
        <v>36</v>
      </c>
      <c r="AN1" s="2" t="s">
        <v>37</v>
      </c>
      <c r="AO1" s="2" t="s">
        <v>38</v>
      </c>
      <c r="AP1" s="2" t="s">
        <v>39</v>
      </c>
      <c r="AQ1" s="2" t="s">
        <v>40</v>
      </c>
      <c r="AR1" s="2" t="s">
        <v>41</v>
      </c>
      <c r="AS1" s="10" t="s">
        <v>42</v>
      </c>
      <c r="AT1" s="2" t="s">
        <v>43</v>
      </c>
      <c r="AU1" s="2" t="s">
        <v>44</v>
      </c>
      <c r="AV1" s="2" t="s">
        <v>45</v>
      </c>
      <c r="AW1" s="2" t="s">
        <v>46</v>
      </c>
      <c r="AX1" s="2" t="s">
        <v>47</v>
      </c>
      <c r="AY1" s="9" t="s">
        <v>48</v>
      </c>
      <c r="AZ1" s="2" t="s">
        <v>49</v>
      </c>
      <c r="BA1" s="2" t="s">
        <v>50</v>
      </c>
      <c r="BB1" s="2" t="s">
        <v>51</v>
      </c>
      <c r="BC1" s="2" t="s">
        <v>52</v>
      </c>
      <c r="BD1" s="2" t="s">
        <v>53</v>
      </c>
      <c r="BE1" s="2" t="s">
        <v>54</v>
      </c>
      <c r="BF1" s="2" t="s">
        <v>55</v>
      </c>
      <c r="BG1" s="2" t="s">
        <v>56</v>
      </c>
      <c r="BH1" s="2" t="s">
        <v>57</v>
      </c>
      <c r="BI1" s="2" t="s">
        <v>58</v>
      </c>
      <c r="BJ1" s="2" t="s">
        <v>59</v>
      </c>
      <c r="BK1" s="2" t="s">
        <v>60</v>
      </c>
      <c r="BL1" s="2" t="s">
        <v>61</v>
      </c>
      <c r="BM1" s="11" t="s">
        <v>62</v>
      </c>
    </row>
    <row r="2" spans="1:65" ht="87.5" customHeight="1" x14ac:dyDescent="0.35">
      <c r="B2" s="12" t="s">
        <v>63</v>
      </c>
      <c r="C2" s="13" t="s">
        <v>64</v>
      </c>
      <c r="D2" s="14" t="s">
        <v>65</v>
      </c>
      <c r="E2" t="s">
        <v>66</v>
      </c>
      <c r="F2" s="15" t="s">
        <v>67</v>
      </c>
      <c r="G2" t="s">
        <v>68</v>
      </c>
      <c r="H2" s="15" t="s">
        <v>69</v>
      </c>
      <c r="I2" s="16" t="s">
        <v>70</v>
      </c>
      <c r="J2" s="16" t="s">
        <v>71</v>
      </c>
      <c r="K2" s="16" t="s">
        <v>72</v>
      </c>
      <c r="L2" s="17">
        <f t="shared" ref="L2:L16" ca="1" si="0">TODAY()-31</f>
        <v>45745</v>
      </c>
      <c r="M2" s="18" t="s">
        <v>73</v>
      </c>
      <c r="N2" t="s">
        <v>74</v>
      </c>
      <c r="O2" s="19" t="s">
        <v>75</v>
      </c>
      <c r="P2" s="16" t="s">
        <v>76</v>
      </c>
      <c r="Q2" s="20" t="s">
        <v>77</v>
      </c>
      <c r="R2" t="s">
        <v>74</v>
      </c>
      <c r="S2" s="16" t="s">
        <v>72</v>
      </c>
      <c r="T2" s="21" t="s">
        <v>78</v>
      </c>
      <c r="U2" s="22" t="s">
        <v>79</v>
      </c>
      <c r="V2" s="16" t="s">
        <v>72</v>
      </c>
      <c r="W2" t="s">
        <v>80</v>
      </c>
      <c r="X2" t="s">
        <v>81</v>
      </c>
      <c r="Y2" s="23" t="s">
        <v>82</v>
      </c>
      <c r="Z2" s="24" t="s">
        <v>83</v>
      </c>
      <c r="AA2" s="25" t="s">
        <v>84</v>
      </c>
      <c r="AB2" s="21">
        <f t="shared" ref="AB2:AB16" ca="1" si="1">AG2</f>
        <v>45745</v>
      </c>
      <c r="AC2" s="26">
        <f t="shared" ref="AC2:AC16" ca="1" si="2">AG2</f>
        <v>45745</v>
      </c>
      <c r="AD2" s="27" t="s">
        <v>85</v>
      </c>
      <c r="AE2" s="28" t="s">
        <v>86</v>
      </c>
      <c r="AF2" s="28" t="s">
        <v>87</v>
      </c>
      <c r="AG2" s="29">
        <f t="shared" ref="AG2:AG16" ca="1" si="3">L2</f>
        <v>45745</v>
      </c>
      <c r="AH2" s="21">
        <v>44986</v>
      </c>
      <c r="AI2" s="16" t="s">
        <v>88</v>
      </c>
      <c r="AJ2" s="16" t="s">
        <v>85</v>
      </c>
      <c r="AK2" s="30" t="s">
        <v>89</v>
      </c>
      <c r="AL2" s="31" t="s">
        <v>90</v>
      </c>
      <c r="AM2" s="30" t="s">
        <v>91</v>
      </c>
      <c r="AN2" s="18" t="s">
        <v>92</v>
      </c>
      <c r="AO2" s="18" t="s">
        <v>93</v>
      </c>
      <c r="AP2" s="32">
        <v>25</v>
      </c>
      <c r="AQ2" s="18" t="s">
        <v>85</v>
      </c>
      <c r="AR2" t="s">
        <v>94</v>
      </c>
      <c r="AS2" s="33" t="s">
        <v>85</v>
      </c>
      <c r="AT2" s="16" t="s">
        <v>95</v>
      </c>
      <c r="AU2" s="16" t="s">
        <v>96</v>
      </c>
      <c r="AV2" t="s">
        <v>97</v>
      </c>
      <c r="AW2" s="18" t="s">
        <v>73</v>
      </c>
      <c r="AX2" s="34" t="s">
        <v>98</v>
      </c>
      <c r="AY2" s="35">
        <v>645667230</v>
      </c>
      <c r="AZ2" t="s">
        <v>99</v>
      </c>
      <c r="BA2" s="36" t="s">
        <v>100</v>
      </c>
      <c r="BB2" s="18" t="s">
        <v>73</v>
      </c>
      <c r="BC2" t="s">
        <v>74</v>
      </c>
      <c r="BD2" t="s">
        <v>74</v>
      </c>
      <c r="BE2" s="18" t="s">
        <v>73</v>
      </c>
      <c r="BF2" t="s">
        <v>101</v>
      </c>
      <c r="BG2" s="18" t="s">
        <v>102</v>
      </c>
      <c r="BH2" s="34" t="s">
        <v>103</v>
      </c>
      <c r="BI2" s="34" t="s">
        <v>104</v>
      </c>
      <c r="BJ2" s="34" t="s">
        <v>105</v>
      </c>
      <c r="BK2" s="34" t="s">
        <v>106</v>
      </c>
      <c r="BL2" s="16" t="s">
        <v>107</v>
      </c>
      <c r="BM2" t="s">
        <v>108</v>
      </c>
    </row>
    <row r="3" spans="1:65" ht="14.5" customHeight="1" x14ac:dyDescent="0.35">
      <c r="B3" s="12" t="s">
        <v>109</v>
      </c>
      <c r="C3" s="13" t="s">
        <v>64</v>
      </c>
      <c r="D3" s="14" t="s">
        <v>110</v>
      </c>
      <c r="E3" t="s">
        <v>66</v>
      </c>
      <c r="F3" s="15" t="s">
        <v>111</v>
      </c>
      <c r="G3" t="s">
        <v>68</v>
      </c>
      <c r="H3" s="15" t="s">
        <v>112</v>
      </c>
      <c r="I3" s="16" t="s">
        <v>70</v>
      </c>
      <c r="J3" s="16" t="s">
        <v>71</v>
      </c>
      <c r="K3" s="16" t="s">
        <v>72</v>
      </c>
      <c r="L3" s="17">
        <f t="shared" ca="1" si="0"/>
        <v>45745</v>
      </c>
      <c r="M3" s="18" t="s">
        <v>73</v>
      </c>
      <c r="N3" t="s">
        <v>74</v>
      </c>
      <c r="O3" s="19" t="s">
        <v>75</v>
      </c>
      <c r="P3" s="16" t="s">
        <v>76</v>
      </c>
      <c r="Q3" s="20" t="s">
        <v>77</v>
      </c>
      <c r="R3" t="s">
        <v>74</v>
      </c>
      <c r="S3" s="16" t="s">
        <v>72</v>
      </c>
      <c r="T3" s="21" t="s">
        <v>78</v>
      </c>
      <c r="U3" s="22" t="s">
        <v>79</v>
      </c>
      <c r="V3" s="16" t="s">
        <v>72</v>
      </c>
      <c r="W3" t="s">
        <v>80</v>
      </c>
      <c r="X3" t="s">
        <v>81</v>
      </c>
      <c r="Y3" s="23" t="s">
        <v>82</v>
      </c>
      <c r="Z3" s="23" t="s">
        <v>113</v>
      </c>
      <c r="AA3" s="25" t="s">
        <v>84</v>
      </c>
      <c r="AB3" s="21">
        <f t="shared" ca="1" si="1"/>
        <v>45745</v>
      </c>
      <c r="AC3" s="26">
        <f t="shared" ca="1" si="2"/>
        <v>45745</v>
      </c>
      <c r="AD3" s="27" t="s">
        <v>85</v>
      </c>
      <c r="AE3" s="24" t="s">
        <v>85</v>
      </c>
      <c r="AF3" s="24" t="s">
        <v>85</v>
      </c>
      <c r="AG3" s="29">
        <f t="shared" ca="1" si="3"/>
        <v>45745</v>
      </c>
      <c r="AH3" s="24" t="s">
        <v>85</v>
      </c>
      <c r="AI3" s="16" t="s">
        <v>114</v>
      </c>
      <c r="AJ3" s="16" t="s">
        <v>115</v>
      </c>
      <c r="AK3" s="30" t="s">
        <v>89</v>
      </c>
      <c r="AL3" s="31" t="s">
        <v>116</v>
      </c>
      <c r="AM3" s="30" t="s">
        <v>117</v>
      </c>
      <c r="AN3" s="18" t="s">
        <v>92</v>
      </c>
      <c r="AO3" s="18" t="s">
        <v>56</v>
      </c>
      <c r="AP3" s="32">
        <v>40</v>
      </c>
      <c r="AQ3" s="18" t="s">
        <v>85</v>
      </c>
      <c r="AR3" t="s">
        <v>94</v>
      </c>
      <c r="AS3" s="33" t="s">
        <v>85</v>
      </c>
      <c r="AT3" s="16" t="s">
        <v>95</v>
      </c>
      <c r="AU3" s="16" t="s">
        <v>118</v>
      </c>
      <c r="AV3" s="37">
        <v>251</v>
      </c>
      <c r="AW3" s="18" t="s">
        <v>73</v>
      </c>
      <c r="AX3" s="34" t="s">
        <v>98</v>
      </c>
      <c r="AY3" s="35">
        <v>645667206</v>
      </c>
      <c r="AZ3" t="s">
        <v>99</v>
      </c>
      <c r="BA3" s="36">
        <v>35591</v>
      </c>
      <c r="BB3" s="18" t="s">
        <v>73</v>
      </c>
      <c r="BC3" t="s">
        <v>74</v>
      </c>
      <c r="BD3" t="s">
        <v>74</v>
      </c>
      <c r="BE3" s="18" t="s">
        <v>73</v>
      </c>
      <c r="BF3" t="s">
        <v>101</v>
      </c>
      <c r="BG3" s="18" t="s">
        <v>102</v>
      </c>
      <c r="BH3" s="34" t="s">
        <v>103</v>
      </c>
      <c r="BI3" s="34" t="s">
        <v>104</v>
      </c>
      <c r="BJ3" s="34" t="s">
        <v>105</v>
      </c>
      <c r="BK3" s="34" t="s">
        <v>106</v>
      </c>
      <c r="BL3" s="38" t="s">
        <v>119</v>
      </c>
      <c r="BM3" t="s">
        <v>108</v>
      </c>
    </row>
    <row r="4" spans="1:65" ht="14.5" customHeight="1" x14ac:dyDescent="0.35">
      <c r="B4" s="12" t="s">
        <v>120</v>
      </c>
      <c r="C4" s="39" t="s">
        <v>121</v>
      </c>
      <c r="D4" s="14" t="s">
        <v>110</v>
      </c>
      <c r="E4" t="s">
        <v>66</v>
      </c>
      <c r="F4" t="s">
        <v>122</v>
      </c>
      <c r="G4" t="s">
        <v>68</v>
      </c>
      <c r="H4" t="s">
        <v>123</v>
      </c>
      <c r="I4" s="16" t="s">
        <v>70</v>
      </c>
      <c r="J4" s="16" t="s">
        <v>71</v>
      </c>
      <c r="K4" s="16" t="s">
        <v>72</v>
      </c>
      <c r="L4" s="17">
        <f t="shared" ca="1" si="0"/>
        <v>45745</v>
      </c>
      <c r="M4" s="18" t="s">
        <v>73</v>
      </c>
      <c r="N4" t="s">
        <v>74</v>
      </c>
      <c r="O4" s="19" t="s">
        <v>75</v>
      </c>
      <c r="P4" s="16" t="s">
        <v>76</v>
      </c>
      <c r="Q4" s="20" t="s">
        <v>77</v>
      </c>
      <c r="R4" t="s">
        <v>74</v>
      </c>
      <c r="S4" s="16" t="s">
        <v>72</v>
      </c>
      <c r="T4" s="21" t="s">
        <v>78</v>
      </c>
      <c r="U4" s="22" t="s">
        <v>79</v>
      </c>
      <c r="V4" s="16" t="s">
        <v>72</v>
      </c>
      <c r="W4" t="s">
        <v>80</v>
      </c>
      <c r="X4" t="s">
        <v>81</v>
      </c>
      <c r="Y4" s="23" t="s">
        <v>124</v>
      </c>
      <c r="Z4" s="24" t="s">
        <v>83</v>
      </c>
      <c r="AA4" s="25" t="s">
        <v>84</v>
      </c>
      <c r="AB4" s="21">
        <f t="shared" ca="1" si="1"/>
        <v>45745</v>
      </c>
      <c r="AC4" s="26">
        <f t="shared" ca="1" si="2"/>
        <v>45745</v>
      </c>
      <c r="AD4" s="27" t="s">
        <v>85</v>
      </c>
      <c r="AE4" s="28" t="s">
        <v>125</v>
      </c>
      <c r="AF4" s="28" t="s">
        <v>126</v>
      </c>
      <c r="AG4" s="29">
        <f t="shared" ca="1" si="3"/>
        <v>45745</v>
      </c>
      <c r="AH4" s="21">
        <v>44986</v>
      </c>
      <c r="AI4" s="16" t="s">
        <v>88</v>
      </c>
      <c r="AJ4" s="16" t="s">
        <v>127</v>
      </c>
      <c r="AK4" s="30" t="s">
        <v>128</v>
      </c>
      <c r="AL4" s="31" t="s">
        <v>125</v>
      </c>
      <c r="AM4" s="30" t="s">
        <v>91</v>
      </c>
      <c r="AN4" s="18" t="s">
        <v>92</v>
      </c>
      <c r="AO4" s="18" t="s">
        <v>56</v>
      </c>
      <c r="AP4" s="32">
        <v>25</v>
      </c>
      <c r="AQ4" s="18" t="s">
        <v>85</v>
      </c>
      <c r="AR4" t="s">
        <v>94</v>
      </c>
      <c r="AS4" s="33">
        <f ca="1">TODAY()+365</f>
        <v>46141</v>
      </c>
      <c r="AT4" s="16" t="s">
        <v>95</v>
      </c>
      <c r="AU4" s="16" t="s">
        <v>118</v>
      </c>
      <c r="AV4" s="37">
        <v>251</v>
      </c>
      <c r="AW4" s="18" t="s">
        <v>73</v>
      </c>
      <c r="AX4" s="34" t="s">
        <v>98</v>
      </c>
      <c r="AY4" s="37">
        <v>123456782</v>
      </c>
      <c r="AZ4" t="s">
        <v>99</v>
      </c>
      <c r="BA4" s="36" t="s">
        <v>100</v>
      </c>
      <c r="BB4" s="18" t="s">
        <v>73</v>
      </c>
      <c r="BC4" t="s">
        <v>74</v>
      </c>
      <c r="BD4" t="s">
        <v>74</v>
      </c>
      <c r="BE4" s="18" t="s">
        <v>73</v>
      </c>
      <c r="BF4" t="s">
        <v>101</v>
      </c>
      <c r="BG4" s="18" t="s">
        <v>102</v>
      </c>
      <c r="BH4" s="34" t="s">
        <v>103</v>
      </c>
      <c r="BI4" s="34" t="s">
        <v>104</v>
      </c>
      <c r="BJ4" s="34" t="s">
        <v>105</v>
      </c>
      <c r="BK4" s="34" t="s">
        <v>106</v>
      </c>
      <c r="BL4" s="38" t="s">
        <v>119</v>
      </c>
      <c r="BM4" t="s">
        <v>108</v>
      </c>
    </row>
    <row r="5" spans="1:65" ht="14.5" customHeight="1" x14ac:dyDescent="0.35">
      <c r="B5" t="s">
        <v>129</v>
      </c>
      <c r="C5" s="13" t="s">
        <v>64</v>
      </c>
      <c r="D5" s="14" t="s">
        <v>110</v>
      </c>
      <c r="E5" t="s">
        <v>66</v>
      </c>
      <c r="F5" t="s">
        <v>130</v>
      </c>
      <c r="G5" t="s">
        <v>68</v>
      </c>
      <c r="H5" t="s">
        <v>131</v>
      </c>
      <c r="I5" s="16" t="s">
        <v>70</v>
      </c>
      <c r="J5" s="16" t="s">
        <v>71</v>
      </c>
      <c r="K5" s="16" t="s">
        <v>72</v>
      </c>
      <c r="L5" s="17">
        <f t="shared" ca="1" si="0"/>
        <v>45745</v>
      </c>
      <c r="M5" s="18" t="s">
        <v>73</v>
      </c>
      <c r="N5" t="s">
        <v>74</v>
      </c>
      <c r="O5" s="19" t="s">
        <v>75</v>
      </c>
      <c r="P5" s="16" t="s">
        <v>76</v>
      </c>
      <c r="Q5" s="20" t="s">
        <v>77</v>
      </c>
      <c r="R5" t="s">
        <v>74</v>
      </c>
      <c r="S5" s="16" t="s">
        <v>72</v>
      </c>
      <c r="T5" s="21" t="s">
        <v>78</v>
      </c>
      <c r="U5" s="22" t="s">
        <v>79</v>
      </c>
      <c r="V5" s="16" t="s">
        <v>72</v>
      </c>
      <c r="W5" t="s">
        <v>80</v>
      </c>
      <c r="X5" t="s">
        <v>81</v>
      </c>
      <c r="Y5" s="23" t="s">
        <v>82</v>
      </c>
      <c r="Z5" s="23" t="s">
        <v>113</v>
      </c>
      <c r="AA5" s="25" t="s">
        <v>84</v>
      </c>
      <c r="AB5" s="21">
        <f t="shared" ca="1" si="1"/>
        <v>45745</v>
      </c>
      <c r="AC5" s="26">
        <f t="shared" ca="1" si="2"/>
        <v>45745</v>
      </c>
      <c r="AD5" s="27" t="s">
        <v>85</v>
      </c>
      <c r="AE5" s="24" t="s">
        <v>85</v>
      </c>
      <c r="AF5" s="24" t="s">
        <v>85</v>
      </c>
      <c r="AG5" s="29">
        <f t="shared" ca="1" si="3"/>
        <v>45745</v>
      </c>
      <c r="AH5" s="24" t="s">
        <v>85</v>
      </c>
      <c r="AI5" s="16" t="s">
        <v>114</v>
      </c>
      <c r="AJ5" s="16" t="s">
        <v>132</v>
      </c>
      <c r="AK5" s="30" t="s">
        <v>89</v>
      </c>
      <c r="AL5" s="31" t="s">
        <v>133</v>
      </c>
      <c r="AM5" s="30" t="s">
        <v>117</v>
      </c>
      <c r="AN5" s="18" t="s">
        <v>92</v>
      </c>
      <c r="AO5" s="18" t="s">
        <v>56</v>
      </c>
      <c r="AP5" s="32">
        <v>40</v>
      </c>
      <c r="AQ5" s="18" t="s">
        <v>85</v>
      </c>
      <c r="AR5" t="s">
        <v>94</v>
      </c>
      <c r="AS5" s="33" t="s">
        <v>85</v>
      </c>
      <c r="AT5" s="16" t="s">
        <v>95</v>
      </c>
      <c r="AU5" s="16" t="s">
        <v>118</v>
      </c>
      <c r="AV5" s="37">
        <v>251</v>
      </c>
      <c r="AW5" s="18" t="s">
        <v>73</v>
      </c>
      <c r="AX5" s="34" t="s">
        <v>98</v>
      </c>
      <c r="AY5" s="37">
        <v>456789321</v>
      </c>
      <c r="AZ5" t="s">
        <v>99</v>
      </c>
      <c r="BA5" s="36">
        <v>35591</v>
      </c>
      <c r="BB5" s="18" t="s">
        <v>73</v>
      </c>
      <c r="BC5" t="s">
        <v>74</v>
      </c>
      <c r="BD5" t="s">
        <v>74</v>
      </c>
      <c r="BE5" s="18" t="s">
        <v>73</v>
      </c>
      <c r="BF5" t="s">
        <v>101</v>
      </c>
      <c r="BG5" s="18" t="s">
        <v>102</v>
      </c>
      <c r="BH5" s="34" t="s">
        <v>103</v>
      </c>
      <c r="BI5" s="34" t="s">
        <v>104</v>
      </c>
      <c r="BJ5" s="34" t="s">
        <v>105</v>
      </c>
      <c r="BK5" s="34" t="s">
        <v>106</v>
      </c>
      <c r="BL5" s="38" t="s">
        <v>119</v>
      </c>
      <c r="BM5" t="s">
        <v>108</v>
      </c>
    </row>
    <row r="6" spans="1:65" ht="14.5" customHeight="1" x14ac:dyDescent="0.35">
      <c r="B6" t="s">
        <v>134</v>
      </c>
      <c r="C6" s="39" t="s">
        <v>121</v>
      </c>
      <c r="D6" s="14" t="s">
        <v>110</v>
      </c>
      <c r="E6" t="s">
        <v>66</v>
      </c>
      <c r="F6" t="s">
        <v>135</v>
      </c>
      <c r="G6" t="s">
        <v>68</v>
      </c>
      <c r="H6" t="s">
        <v>112</v>
      </c>
      <c r="I6" s="16" t="s">
        <v>70</v>
      </c>
      <c r="J6" s="16" t="s">
        <v>71</v>
      </c>
      <c r="K6" s="16" t="s">
        <v>72</v>
      </c>
      <c r="L6" s="17">
        <f t="shared" ca="1" si="0"/>
        <v>45745</v>
      </c>
      <c r="M6" s="18" t="s">
        <v>73</v>
      </c>
      <c r="N6" t="s">
        <v>74</v>
      </c>
      <c r="O6" s="19" t="s">
        <v>75</v>
      </c>
      <c r="P6" s="16" t="s">
        <v>76</v>
      </c>
      <c r="Q6" s="20" t="s">
        <v>77</v>
      </c>
      <c r="R6" t="s">
        <v>74</v>
      </c>
      <c r="S6" s="16" t="s">
        <v>72</v>
      </c>
      <c r="T6" s="21" t="s">
        <v>78</v>
      </c>
      <c r="U6" s="22" t="s">
        <v>79</v>
      </c>
      <c r="V6" s="16" t="s">
        <v>72</v>
      </c>
      <c r="W6" t="s">
        <v>80</v>
      </c>
      <c r="X6" t="s">
        <v>81</v>
      </c>
      <c r="Y6" s="23" t="s">
        <v>82</v>
      </c>
      <c r="Z6" s="24" t="s">
        <v>83</v>
      </c>
      <c r="AA6" s="25" t="s">
        <v>84</v>
      </c>
      <c r="AB6" s="21">
        <f t="shared" ca="1" si="1"/>
        <v>45745</v>
      </c>
      <c r="AC6" s="26">
        <f t="shared" ca="1" si="2"/>
        <v>45745</v>
      </c>
      <c r="AD6" s="27" t="s">
        <v>85</v>
      </c>
      <c r="AE6" s="24" t="s">
        <v>85</v>
      </c>
      <c r="AF6" s="24" t="s">
        <v>85</v>
      </c>
      <c r="AG6" s="29">
        <f t="shared" ca="1" si="3"/>
        <v>45745</v>
      </c>
      <c r="AH6" s="21">
        <v>44986</v>
      </c>
      <c r="AI6" s="16" t="s">
        <v>88</v>
      </c>
      <c r="AJ6" s="16" t="s">
        <v>136</v>
      </c>
      <c r="AK6" s="30" t="s">
        <v>89</v>
      </c>
      <c r="AL6" s="31" t="s">
        <v>116</v>
      </c>
      <c r="AM6" s="30" t="s">
        <v>91</v>
      </c>
      <c r="AN6" s="18" t="s">
        <v>92</v>
      </c>
      <c r="AO6" s="18" t="s">
        <v>56</v>
      </c>
      <c r="AP6" s="32">
        <v>25</v>
      </c>
      <c r="AQ6" s="18" t="s">
        <v>85</v>
      </c>
      <c r="AR6" t="s">
        <v>94</v>
      </c>
      <c r="AS6" s="33" t="s">
        <v>85</v>
      </c>
      <c r="AT6" s="16" t="s">
        <v>95</v>
      </c>
      <c r="AU6" s="16" t="s">
        <v>118</v>
      </c>
      <c r="AV6" s="37">
        <v>251</v>
      </c>
      <c r="AW6" s="18" t="s">
        <v>73</v>
      </c>
      <c r="AX6" s="34" t="s">
        <v>98</v>
      </c>
      <c r="AY6" s="37">
        <v>234567896</v>
      </c>
      <c r="AZ6" t="s">
        <v>99</v>
      </c>
      <c r="BA6" s="36" t="s">
        <v>100</v>
      </c>
      <c r="BB6" s="18" t="s">
        <v>73</v>
      </c>
      <c r="BC6" t="s">
        <v>74</v>
      </c>
      <c r="BD6" t="s">
        <v>74</v>
      </c>
      <c r="BE6" s="18" t="s">
        <v>73</v>
      </c>
      <c r="BF6" t="s">
        <v>101</v>
      </c>
      <c r="BG6" s="18" t="s">
        <v>102</v>
      </c>
      <c r="BH6" s="34" t="s">
        <v>103</v>
      </c>
      <c r="BI6" s="34" t="s">
        <v>104</v>
      </c>
      <c r="BJ6" s="34" t="s">
        <v>105</v>
      </c>
      <c r="BK6" s="34" t="s">
        <v>106</v>
      </c>
      <c r="BL6" s="38" t="s">
        <v>119</v>
      </c>
      <c r="BM6" t="s">
        <v>108</v>
      </c>
    </row>
    <row r="7" spans="1:65" ht="14.5" customHeight="1" x14ac:dyDescent="0.35">
      <c r="B7" t="s">
        <v>137</v>
      </c>
      <c r="C7" s="13" t="s">
        <v>64</v>
      </c>
      <c r="D7" s="14" t="s">
        <v>110</v>
      </c>
      <c r="E7" t="s">
        <v>66</v>
      </c>
      <c r="F7" t="s">
        <v>138</v>
      </c>
      <c r="G7" t="s">
        <v>68</v>
      </c>
      <c r="H7" t="s">
        <v>139</v>
      </c>
      <c r="I7" s="16" t="s">
        <v>70</v>
      </c>
      <c r="J7" s="16" t="s">
        <v>71</v>
      </c>
      <c r="K7" s="16" t="s">
        <v>72</v>
      </c>
      <c r="L7" s="17">
        <f t="shared" ca="1" si="0"/>
        <v>45745</v>
      </c>
      <c r="M7" s="18" t="s">
        <v>73</v>
      </c>
      <c r="N7" t="s">
        <v>74</v>
      </c>
      <c r="O7" s="19" t="s">
        <v>75</v>
      </c>
      <c r="P7" s="16" t="s">
        <v>76</v>
      </c>
      <c r="Q7" s="20" t="s">
        <v>77</v>
      </c>
      <c r="R7" t="s">
        <v>74</v>
      </c>
      <c r="S7" s="16" t="s">
        <v>72</v>
      </c>
      <c r="T7" s="21" t="s">
        <v>78</v>
      </c>
      <c r="U7" s="22" t="s">
        <v>79</v>
      </c>
      <c r="V7" s="16" t="s">
        <v>72</v>
      </c>
      <c r="W7" t="s">
        <v>80</v>
      </c>
      <c r="X7" t="s">
        <v>81</v>
      </c>
      <c r="Y7" s="23" t="s">
        <v>124</v>
      </c>
      <c r="Z7" s="23" t="s">
        <v>113</v>
      </c>
      <c r="AA7" s="25" t="s">
        <v>84</v>
      </c>
      <c r="AB7" s="21">
        <f t="shared" ca="1" si="1"/>
        <v>45745</v>
      </c>
      <c r="AC7" s="26">
        <f t="shared" ca="1" si="2"/>
        <v>45745</v>
      </c>
      <c r="AD7" s="27" t="s">
        <v>85</v>
      </c>
      <c r="AE7" s="24" t="s">
        <v>85</v>
      </c>
      <c r="AF7" s="24" t="s">
        <v>85</v>
      </c>
      <c r="AG7" s="29">
        <f t="shared" ca="1" si="3"/>
        <v>45745</v>
      </c>
      <c r="AH7" s="21">
        <v>44987</v>
      </c>
      <c r="AI7" s="16" t="s">
        <v>88</v>
      </c>
      <c r="AJ7" s="16" t="s">
        <v>140</v>
      </c>
      <c r="AK7" s="30" t="s">
        <v>128</v>
      </c>
      <c r="AL7" s="31" t="s">
        <v>141</v>
      </c>
      <c r="AM7" s="30" t="s">
        <v>117</v>
      </c>
      <c r="AN7" s="18" t="s">
        <v>92</v>
      </c>
      <c r="AO7" s="18" t="s">
        <v>56</v>
      </c>
      <c r="AP7" s="32">
        <v>40</v>
      </c>
      <c r="AQ7" s="18" t="s">
        <v>85</v>
      </c>
      <c r="AR7" t="s">
        <v>94</v>
      </c>
      <c r="AS7" s="33">
        <f ca="1">TODAY()+365</f>
        <v>46141</v>
      </c>
      <c r="AT7" s="16" t="s">
        <v>95</v>
      </c>
      <c r="AU7" s="16" t="s">
        <v>118</v>
      </c>
      <c r="AV7" s="37">
        <v>251</v>
      </c>
      <c r="AW7" s="18" t="s">
        <v>73</v>
      </c>
      <c r="AX7" s="34" t="s">
        <v>98</v>
      </c>
      <c r="AY7" s="37">
        <v>345678902</v>
      </c>
      <c r="AZ7" t="s">
        <v>99</v>
      </c>
      <c r="BA7" s="36" t="s">
        <v>100</v>
      </c>
      <c r="BB7" s="18" t="s">
        <v>73</v>
      </c>
      <c r="BC7" t="s">
        <v>74</v>
      </c>
      <c r="BD7" t="s">
        <v>74</v>
      </c>
      <c r="BE7" s="18" t="s">
        <v>73</v>
      </c>
      <c r="BF7" t="s">
        <v>101</v>
      </c>
      <c r="BG7" s="18" t="s">
        <v>102</v>
      </c>
      <c r="BH7" s="34" t="s">
        <v>103</v>
      </c>
      <c r="BI7" s="34" t="s">
        <v>104</v>
      </c>
      <c r="BJ7" s="34" t="s">
        <v>105</v>
      </c>
      <c r="BK7" s="34" t="s">
        <v>106</v>
      </c>
      <c r="BL7" s="38" t="s">
        <v>119</v>
      </c>
      <c r="BM7" t="s">
        <v>108</v>
      </c>
    </row>
    <row r="8" spans="1:65" ht="14.5" customHeight="1" x14ac:dyDescent="0.35">
      <c r="B8" t="s">
        <v>142</v>
      </c>
      <c r="C8" s="13" t="s">
        <v>64</v>
      </c>
      <c r="D8" s="14" t="s">
        <v>110</v>
      </c>
      <c r="E8" t="s">
        <v>66</v>
      </c>
      <c r="F8" t="s">
        <v>143</v>
      </c>
      <c r="G8" t="s">
        <v>68</v>
      </c>
      <c r="H8" t="s">
        <v>144</v>
      </c>
      <c r="I8" s="16" t="s">
        <v>70</v>
      </c>
      <c r="J8" s="16" t="s">
        <v>71</v>
      </c>
      <c r="K8" s="16" t="s">
        <v>72</v>
      </c>
      <c r="L8" s="17">
        <f t="shared" ca="1" si="0"/>
        <v>45745</v>
      </c>
      <c r="M8" s="18" t="s">
        <v>73</v>
      </c>
      <c r="N8" t="s">
        <v>74</v>
      </c>
      <c r="O8" s="19" t="s">
        <v>75</v>
      </c>
      <c r="P8" s="16" t="s">
        <v>76</v>
      </c>
      <c r="Q8" s="20" t="s">
        <v>77</v>
      </c>
      <c r="R8" t="s">
        <v>74</v>
      </c>
      <c r="S8" s="16" t="s">
        <v>72</v>
      </c>
      <c r="T8" s="21" t="s">
        <v>78</v>
      </c>
      <c r="U8" s="22" t="s">
        <v>79</v>
      </c>
      <c r="V8" s="16" t="s">
        <v>72</v>
      </c>
      <c r="W8" t="s">
        <v>80</v>
      </c>
      <c r="X8" t="s">
        <v>81</v>
      </c>
      <c r="Y8" s="23" t="s">
        <v>124</v>
      </c>
      <c r="Z8" s="23" t="s">
        <v>113</v>
      </c>
      <c r="AA8" s="25" t="s">
        <v>84</v>
      </c>
      <c r="AB8" s="21">
        <f t="shared" ca="1" si="1"/>
        <v>45745</v>
      </c>
      <c r="AC8" s="26">
        <f t="shared" ca="1" si="2"/>
        <v>45745</v>
      </c>
      <c r="AD8" s="27" t="s">
        <v>85</v>
      </c>
      <c r="AE8" s="24" t="s">
        <v>85</v>
      </c>
      <c r="AF8" s="24" t="s">
        <v>85</v>
      </c>
      <c r="AG8" s="29">
        <f t="shared" ca="1" si="3"/>
        <v>45745</v>
      </c>
      <c r="AH8" s="21">
        <v>44988</v>
      </c>
      <c r="AI8" s="16" t="s">
        <v>88</v>
      </c>
      <c r="AJ8" s="16" t="s">
        <v>145</v>
      </c>
      <c r="AK8" s="30" t="s">
        <v>128</v>
      </c>
      <c r="AL8" s="31" t="s">
        <v>146</v>
      </c>
      <c r="AM8" s="30" t="s">
        <v>117</v>
      </c>
      <c r="AN8" s="18" t="s">
        <v>92</v>
      </c>
      <c r="AO8" s="18" t="s">
        <v>56</v>
      </c>
      <c r="AP8" s="32">
        <v>40</v>
      </c>
      <c r="AQ8" s="18" t="s">
        <v>85</v>
      </c>
      <c r="AR8" t="s">
        <v>94</v>
      </c>
      <c r="AS8" s="33">
        <f ca="1">TODAY()+365</f>
        <v>46141</v>
      </c>
      <c r="AT8" s="16" t="s">
        <v>95</v>
      </c>
      <c r="AU8" s="16" t="s">
        <v>118</v>
      </c>
      <c r="AV8" s="37">
        <v>251</v>
      </c>
      <c r="AW8" s="18" t="s">
        <v>73</v>
      </c>
      <c r="AX8" s="34" t="s">
        <v>98</v>
      </c>
      <c r="AY8" s="37">
        <v>567890124</v>
      </c>
      <c r="AZ8" t="s">
        <v>99</v>
      </c>
      <c r="BA8" s="36" t="s">
        <v>100</v>
      </c>
      <c r="BB8" s="18" t="s">
        <v>73</v>
      </c>
      <c r="BC8" t="s">
        <v>74</v>
      </c>
      <c r="BD8" t="s">
        <v>74</v>
      </c>
      <c r="BE8" s="18" t="s">
        <v>73</v>
      </c>
      <c r="BF8" t="s">
        <v>101</v>
      </c>
      <c r="BG8" s="18" t="s">
        <v>102</v>
      </c>
      <c r="BH8" s="34" t="s">
        <v>103</v>
      </c>
      <c r="BI8" s="34" t="s">
        <v>104</v>
      </c>
      <c r="BJ8" s="34" t="s">
        <v>105</v>
      </c>
      <c r="BK8" s="34" t="s">
        <v>106</v>
      </c>
      <c r="BL8" s="38" t="s">
        <v>119</v>
      </c>
      <c r="BM8" t="s">
        <v>108</v>
      </c>
    </row>
    <row r="9" spans="1:65" ht="14.5" customHeight="1" x14ac:dyDescent="0.35">
      <c r="B9" t="s">
        <v>147</v>
      </c>
      <c r="C9" s="13" t="s">
        <v>64</v>
      </c>
      <c r="D9" s="14" t="s">
        <v>110</v>
      </c>
      <c r="E9" t="s">
        <v>66</v>
      </c>
      <c r="F9" t="s">
        <v>148</v>
      </c>
      <c r="G9" t="s">
        <v>68</v>
      </c>
      <c r="H9" t="s">
        <v>149</v>
      </c>
      <c r="I9" s="16" t="s">
        <v>70</v>
      </c>
      <c r="J9" s="16" t="s">
        <v>71</v>
      </c>
      <c r="K9" s="16" t="s">
        <v>72</v>
      </c>
      <c r="L9" s="17">
        <f t="shared" ca="1" si="0"/>
        <v>45745</v>
      </c>
      <c r="M9" s="18" t="s">
        <v>73</v>
      </c>
      <c r="N9" t="s">
        <v>74</v>
      </c>
      <c r="O9" s="19" t="s">
        <v>75</v>
      </c>
      <c r="P9" s="16" t="s">
        <v>76</v>
      </c>
      <c r="Q9" s="20" t="s">
        <v>77</v>
      </c>
      <c r="R9" t="s">
        <v>74</v>
      </c>
      <c r="S9" s="16" t="s">
        <v>72</v>
      </c>
      <c r="T9" s="21" t="s">
        <v>78</v>
      </c>
      <c r="U9" s="22" t="s">
        <v>79</v>
      </c>
      <c r="V9" s="16" t="s">
        <v>72</v>
      </c>
      <c r="W9" t="s">
        <v>80</v>
      </c>
      <c r="X9" t="s">
        <v>81</v>
      </c>
      <c r="Y9" s="23" t="s">
        <v>82</v>
      </c>
      <c r="Z9" s="24" t="s">
        <v>83</v>
      </c>
      <c r="AA9" s="25" t="s">
        <v>84</v>
      </c>
      <c r="AB9" s="21">
        <f t="shared" ca="1" si="1"/>
        <v>45745</v>
      </c>
      <c r="AC9" s="26">
        <f t="shared" ca="1" si="2"/>
        <v>45745</v>
      </c>
      <c r="AD9" s="27" t="s">
        <v>85</v>
      </c>
      <c r="AE9" s="24" t="s">
        <v>85</v>
      </c>
      <c r="AF9" s="24" t="s">
        <v>85</v>
      </c>
      <c r="AG9" s="29">
        <f t="shared" ca="1" si="3"/>
        <v>45745</v>
      </c>
      <c r="AH9" s="21">
        <v>44989</v>
      </c>
      <c r="AI9" s="16" t="s">
        <v>88</v>
      </c>
      <c r="AJ9" s="16" t="s">
        <v>150</v>
      </c>
      <c r="AK9" s="30" t="s">
        <v>89</v>
      </c>
      <c r="AL9" s="31" t="s">
        <v>151</v>
      </c>
      <c r="AM9" s="30" t="s">
        <v>91</v>
      </c>
      <c r="AN9" s="18" t="s">
        <v>92</v>
      </c>
      <c r="AO9" s="18" t="s">
        <v>56</v>
      </c>
      <c r="AP9" s="32">
        <v>25</v>
      </c>
      <c r="AQ9" s="18" t="s">
        <v>85</v>
      </c>
      <c r="AR9" t="s">
        <v>94</v>
      </c>
      <c r="AS9" s="33" t="s">
        <v>85</v>
      </c>
      <c r="AT9" s="16" t="s">
        <v>95</v>
      </c>
      <c r="AU9" s="16" t="s">
        <v>118</v>
      </c>
      <c r="AV9" s="37">
        <v>251</v>
      </c>
      <c r="AW9" s="18" t="s">
        <v>73</v>
      </c>
      <c r="AX9" s="34" t="s">
        <v>98</v>
      </c>
      <c r="AY9" s="37">
        <v>678901245</v>
      </c>
      <c r="AZ9" t="s">
        <v>99</v>
      </c>
      <c r="BA9" s="36" t="s">
        <v>100</v>
      </c>
      <c r="BB9" s="18" t="s">
        <v>73</v>
      </c>
      <c r="BC9" t="s">
        <v>74</v>
      </c>
      <c r="BD9" t="s">
        <v>74</v>
      </c>
      <c r="BE9" s="18" t="s">
        <v>73</v>
      </c>
      <c r="BF9" t="s">
        <v>101</v>
      </c>
      <c r="BG9" s="18" t="s">
        <v>102</v>
      </c>
      <c r="BH9" s="34" t="s">
        <v>103</v>
      </c>
      <c r="BI9" s="34" t="s">
        <v>104</v>
      </c>
      <c r="BJ9" s="34" t="s">
        <v>105</v>
      </c>
      <c r="BK9" s="34" t="s">
        <v>106</v>
      </c>
      <c r="BL9" s="38" t="s">
        <v>119</v>
      </c>
      <c r="BM9" t="s">
        <v>108</v>
      </c>
    </row>
    <row r="10" spans="1:65" ht="14.5" customHeight="1" x14ac:dyDescent="0.35">
      <c r="B10" s="12" t="s">
        <v>152</v>
      </c>
      <c r="C10" s="39" t="s">
        <v>121</v>
      </c>
      <c r="D10" s="14" t="s">
        <v>65</v>
      </c>
      <c r="E10" t="s">
        <v>66</v>
      </c>
      <c r="F10" t="s">
        <v>153</v>
      </c>
      <c r="G10" t="s">
        <v>68</v>
      </c>
      <c r="H10" t="s">
        <v>154</v>
      </c>
      <c r="I10" s="16" t="s">
        <v>70</v>
      </c>
      <c r="J10" s="16" t="s">
        <v>71</v>
      </c>
      <c r="K10" s="16" t="s">
        <v>72</v>
      </c>
      <c r="L10" s="17">
        <f t="shared" ca="1" si="0"/>
        <v>45745</v>
      </c>
      <c r="M10" s="18" t="s">
        <v>73</v>
      </c>
      <c r="N10" t="s">
        <v>74</v>
      </c>
      <c r="O10" s="19" t="s">
        <v>75</v>
      </c>
      <c r="P10" s="16" t="s">
        <v>76</v>
      </c>
      <c r="Q10" s="20" t="s">
        <v>77</v>
      </c>
      <c r="R10" t="s">
        <v>74</v>
      </c>
      <c r="S10" s="16" t="s">
        <v>72</v>
      </c>
      <c r="T10" s="21" t="s">
        <v>78</v>
      </c>
      <c r="U10" s="22" t="s">
        <v>79</v>
      </c>
      <c r="V10" s="16" t="s">
        <v>72</v>
      </c>
      <c r="W10" t="s">
        <v>80</v>
      </c>
      <c r="X10" t="s">
        <v>81</v>
      </c>
      <c r="Y10" s="23" t="s">
        <v>82</v>
      </c>
      <c r="Z10" s="23" t="s">
        <v>113</v>
      </c>
      <c r="AA10" s="25" t="s">
        <v>84</v>
      </c>
      <c r="AB10" s="21">
        <f t="shared" ca="1" si="1"/>
        <v>45745</v>
      </c>
      <c r="AC10" s="26">
        <f t="shared" ca="1" si="2"/>
        <v>45745</v>
      </c>
      <c r="AD10" s="27" t="s">
        <v>85</v>
      </c>
      <c r="AE10" s="28" t="s">
        <v>86</v>
      </c>
      <c r="AF10" s="28" t="s">
        <v>87</v>
      </c>
      <c r="AG10" s="29">
        <f t="shared" ca="1" si="3"/>
        <v>45745</v>
      </c>
      <c r="AH10" s="21">
        <v>44990</v>
      </c>
      <c r="AI10" s="16" t="s">
        <v>88</v>
      </c>
      <c r="AJ10" s="16" t="s">
        <v>85</v>
      </c>
      <c r="AK10" s="30" t="s">
        <v>89</v>
      </c>
      <c r="AL10" s="31" t="s">
        <v>90</v>
      </c>
      <c r="AM10" s="30" t="s">
        <v>117</v>
      </c>
      <c r="AN10" s="18" t="s">
        <v>92</v>
      </c>
      <c r="AO10" s="18" t="s">
        <v>93</v>
      </c>
      <c r="AP10" s="32">
        <v>38</v>
      </c>
      <c r="AQ10" s="18" t="s">
        <v>85</v>
      </c>
      <c r="AR10" t="s">
        <v>94</v>
      </c>
      <c r="AS10" s="33" t="s">
        <v>85</v>
      </c>
      <c r="AT10" s="16" t="s">
        <v>95</v>
      </c>
      <c r="AU10" s="16" t="s">
        <v>96</v>
      </c>
      <c r="AV10" t="s">
        <v>97</v>
      </c>
      <c r="AW10" s="18" t="s">
        <v>73</v>
      </c>
      <c r="AX10" s="34" t="s">
        <v>98</v>
      </c>
      <c r="AY10" s="37">
        <v>649012346</v>
      </c>
      <c r="AZ10" t="s">
        <v>99</v>
      </c>
      <c r="BA10" s="36" t="s">
        <v>100</v>
      </c>
      <c r="BB10" s="18" t="s">
        <v>73</v>
      </c>
      <c r="BC10" t="s">
        <v>74</v>
      </c>
      <c r="BD10" t="s">
        <v>74</v>
      </c>
      <c r="BE10" s="18" t="s">
        <v>73</v>
      </c>
      <c r="BF10" t="s">
        <v>101</v>
      </c>
      <c r="BG10" s="18" t="s">
        <v>102</v>
      </c>
      <c r="BH10" s="34" t="s">
        <v>103</v>
      </c>
      <c r="BI10" s="34" t="s">
        <v>104</v>
      </c>
      <c r="BJ10" s="34" t="s">
        <v>105</v>
      </c>
      <c r="BK10" s="34" t="s">
        <v>106</v>
      </c>
      <c r="BL10" s="16" t="s">
        <v>107</v>
      </c>
      <c r="BM10" t="s">
        <v>108</v>
      </c>
    </row>
    <row r="11" spans="1:65" ht="14.5" customHeight="1" x14ac:dyDescent="0.35">
      <c r="B11" s="12" t="s">
        <v>155</v>
      </c>
      <c r="C11" s="39" t="s">
        <v>121</v>
      </c>
      <c r="D11" s="14" t="s">
        <v>65</v>
      </c>
      <c r="E11" t="s">
        <v>66</v>
      </c>
      <c r="F11" t="s">
        <v>156</v>
      </c>
      <c r="G11" t="s">
        <v>68</v>
      </c>
      <c r="H11" t="s">
        <v>157</v>
      </c>
      <c r="I11" s="16" t="s">
        <v>70</v>
      </c>
      <c r="J11" s="16" t="s">
        <v>71</v>
      </c>
      <c r="K11" s="16" t="s">
        <v>72</v>
      </c>
      <c r="L11" s="17">
        <f t="shared" ca="1" si="0"/>
        <v>45745</v>
      </c>
      <c r="M11" s="18" t="s">
        <v>73</v>
      </c>
      <c r="N11" t="s">
        <v>74</v>
      </c>
      <c r="O11" s="19" t="s">
        <v>75</v>
      </c>
      <c r="P11" s="16" t="s">
        <v>76</v>
      </c>
      <c r="Q11" s="20" t="s">
        <v>77</v>
      </c>
      <c r="R11" t="s">
        <v>74</v>
      </c>
      <c r="S11" s="16" t="s">
        <v>72</v>
      </c>
      <c r="T11" s="21" t="s">
        <v>78</v>
      </c>
      <c r="U11" s="22" t="s">
        <v>79</v>
      </c>
      <c r="V11" s="16" t="s">
        <v>72</v>
      </c>
      <c r="W11" t="s">
        <v>80</v>
      </c>
      <c r="X11" t="s">
        <v>81</v>
      </c>
      <c r="Y11" s="23" t="s">
        <v>124</v>
      </c>
      <c r="Z11" s="24" t="s">
        <v>83</v>
      </c>
      <c r="AA11" s="25" t="s">
        <v>84</v>
      </c>
      <c r="AB11" s="21">
        <f t="shared" ca="1" si="1"/>
        <v>45745</v>
      </c>
      <c r="AC11" s="26">
        <f t="shared" ca="1" si="2"/>
        <v>45745</v>
      </c>
      <c r="AD11" s="27" t="s">
        <v>85</v>
      </c>
      <c r="AE11" s="28" t="s">
        <v>158</v>
      </c>
      <c r="AF11" s="28" t="s">
        <v>159</v>
      </c>
      <c r="AG11" s="29">
        <f t="shared" ca="1" si="3"/>
        <v>45745</v>
      </c>
      <c r="AH11" s="21">
        <v>44991</v>
      </c>
      <c r="AI11" s="16" t="s">
        <v>88</v>
      </c>
      <c r="AJ11" s="16" t="s">
        <v>85</v>
      </c>
      <c r="AK11" s="30" t="s">
        <v>128</v>
      </c>
      <c r="AL11" s="31" t="s">
        <v>160</v>
      </c>
      <c r="AM11" s="30" t="s">
        <v>91</v>
      </c>
      <c r="AN11" s="18" t="s">
        <v>92</v>
      </c>
      <c r="AO11" s="18" t="s">
        <v>93</v>
      </c>
      <c r="AP11" s="32">
        <v>20</v>
      </c>
      <c r="AQ11" s="18" t="s">
        <v>85</v>
      </c>
      <c r="AR11" t="s">
        <v>94</v>
      </c>
      <c r="AS11" s="33">
        <f ca="1">TODAY()+365</f>
        <v>46141</v>
      </c>
      <c r="AT11" s="16" t="s">
        <v>95</v>
      </c>
      <c r="AU11" s="16" t="s">
        <v>96</v>
      </c>
      <c r="AV11" t="s">
        <v>161</v>
      </c>
      <c r="AW11" s="18" t="s">
        <v>73</v>
      </c>
      <c r="AX11" s="34" t="s">
        <v>98</v>
      </c>
      <c r="AY11" s="40">
        <v>640123457</v>
      </c>
      <c r="AZ11" t="s">
        <v>99</v>
      </c>
      <c r="BA11" s="36" t="s">
        <v>100</v>
      </c>
      <c r="BB11" s="18" t="s">
        <v>73</v>
      </c>
      <c r="BC11" t="s">
        <v>74</v>
      </c>
      <c r="BD11" t="s">
        <v>74</v>
      </c>
      <c r="BE11" s="18" t="s">
        <v>73</v>
      </c>
      <c r="BF11" t="s">
        <v>101</v>
      </c>
      <c r="BG11" s="18" t="s">
        <v>102</v>
      </c>
      <c r="BH11" s="34" t="s">
        <v>103</v>
      </c>
      <c r="BI11" s="34" t="s">
        <v>104</v>
      </c>
      <c r="BJ11" s="34" t="s">
        <v>105</v>
      </c>
      <c r="BK11" s="34" t="s">
        <v>106</v>
      </c>
      <c r="BL11" s="16" t="s">
        <v>107</v>
      </c>
      <c r="BM11" t="s">
        <v>108</v>
      </c>
    </row>
    <row r="12" spans="1:65" ht="14.5" customHeight="1" x14ac:dyDescent="0.35">
      <c r="B12" s="12" t="s">
        <v>162</v>
      </c>
      <c r="C12" s="39" t="s">
        <v>121</v>
      </c>
      <c r="D12" s="14" t="s">
        <v>65</v>
      </c>
      <c r="E12" t="s">
        <v>66</v>
      </c>
      <c r="F12" t="s">
        <v>163</v>
      </c>
      <c r="G12" t="s">
        <v>68</v>
      </c>
      <c r="H12" t="s">
        <v>164</v>
      </c>
      <c r="I12" s="16" t="s">
        <v>70</v>
      </c>
      <c r="J12" s="16" t="s">
        <v>71</v>
      </c>
      <c r="K12" s="16" t="s">
        <v>72</v>
      </c>
      <c r="L12" s="17">
        <f t="shared" ca="1" si="0"/>
        <v>45745</v>
      </c>
      <c r="M12" s="18" t="s">
        <v>73</v>
      </c>
      <c r="N12" t="s">
        <v>74</v>
      </c>
      <c r="O12" s="19" t="s">
        <v>75</v>
      </c>
      <c r="P12" s="16" t="s">
        <v>76</v>
      </c>
      <c r="Q12" s="20" t="s">
        <v>77</v>
      </c>
      <c r="R12" t="s">
        <v>74</v>
      </c>
      <c r="S12" s="16" t="s">
        <v>72</v>
      </c>
      <c r="T12" s="21" t="s">
        <v>78</v>
      </c>
      <c r="U12" s="22" t="s">
        <v>79</v>
      </c>
      <c r="V12" s="16" t="s">
        <v>72</v>
      </c>
      <c r="W12" t="s">
        <v>80</v>
      </c>
      <c r="X12" t="s">
        <v>81</v>
      </c>
      <c r="Y12" s="23" t="s">
        <v>82</v>
      </c>
      <c r="Z12" s="23" t="s">
        <v>113</v>
      </c>
      <c r="AA12" s="25" t="s">
        <v>84</v>
      </c>
      <c r="AB12" s="21">
        <f t="shared" ca="1" si="1"/>
        <v>45745</v>
      </c>
      <c r="AC12" s="26">
        <f t="shared" ca="1" si="2"/>
        <v>45745</v>
      </c>
      <c r="AD12" s="27" t="s">
        <v>85</v>
      </c>
      <c r="AE12" s="28" t="s">
        <v>165</v>
      </c>
      <c r="AF12" s="28" t="s">
        <v>166</v>
      </c>
      <c r="AG12" s="29">
        <f t="shared" ca="1" si="3"/>
        <v>45745</v>
      </c>
      <c r="AH12" s="21">
        <v>44992</v>
      </c>
      <c r="AI12" s="16" t="s">
        <v>88</v>
      </c>
      <c r="AJ12" s="16" t="s">
        <v>85</v>
      </c>
      <c r="AK12" s="30" t="s">
        <v>89</v>
      </c>
      <c r="AL12" s="31" t="s">
        <v>167</v>
      </c>
      <c r="AM12" s="30" t="s">
        <v>117</v>
      </c>
      <c r="AN12" s="18" t="s">
        <v>92</v>
      </c>
      <c r="AO12" s="18" t="s">
        <v>93</v>
      </c>
      <c r="AP12" s="32">
        <v>38</v>
      </c>
      <c r="AQ12" s="18" t="s">
        <v>85</v>
      </c>
      <c r="AR12" t="s">
        <v>94</v>
      </c>
      <c r="AS12" s="33" t="s">
        <v>85</v>
      </c>
      <c r="AT12" s="16" t="s">
        <v>95</v>
      </c>
      <c r="AU12" s="16" t="s">
        <v>96</v>
      </c>
      <c r="AV12" t="s">
        <v>168</v>
      </c>
      <c r="AW12" s="18" t="s">
        <v>73</v>
      </c>
      <c r="AX12" s="34" t="s">
        <v>98</v>
      </c>
      <c r="AY12" s="37">
        <v>645678902</v>
      </c>
      <c r="AZ12" t="s">
        <v>99</v>
      </c>
      <c r="BA12" s="36" t="s">
        <v>100</v>
      </c>
      <c r="BB12" s="18" t="s">
        <v>73</v>
      </c>
      <c r="BC12" t="s">
        <v>74</v>
      </c>
      <c r="BD12" t="s">
        <v>74</v>
      </c>
      <c r="BE12" s="18" t="s">
        <v>73</v>
      </c>
      <c r="BF12" t="s">
        <v>101</v>
      </c>
      <c r="BG12" s="18" t="s">
        <v>102</v>
      </c>
      <c r="BH12" s="34" t="s">
        <v>103</v>
      </c>
      <c r="BI12" s="34" t="s">
        <v>104</v>
      </c>
      <c r="BJ12" s="34" t="s">
        <v>105</v>
      </c>
      <c r="BK12" s="34" t="s">
        <v>106</v>
      </c>
      <c r="BL12" s="16" t="s">
        <v>107</v>
      </c>
      <c r="BM12" t="s">
        <v>108</v>
      </c>
    </row>
    <row r="13" spans="1:65" ht="14.5" customHeight="1" x14ac:dyDescent="0.35">
      <c r="B13" t="s">
        <v>169</v>
      </c>
      <c r="C13" s="13" t="s">
        <v>64</v>
      </c>
      <c r="D13" s="14" t="s">
        <v>65</v>
      </c>
      <c r="E13" t="s">
        <v>66</v>
      </c>
      <c r="F13" t="s">
        <v>170</v>
      </c>
      <c r="G13" t="s">
        <v>68</v>
      </c>
      <c r="H13" t="s">
        <v>171</v>
      </c>
      <c r="I13" s="16" t="s">
        <v>70</v>
      </c>
      <c r="J13" s="16" t="s">
        <v>71</v>
      </c>
      <c r="K13" s="16" t="s">
        <v>72</v>
      </c>
      <c r="L13" s="17">
        <f t="shared" ca="1" si="0"/>
        <v>45745</v>
      </c>
      <c r="M13" s="18" t="s">
        <v>73</v>
      </c>
      <c r="N13" t="s">
        <v>74</v>
      </c>
      <c r="O13" s="19" t="s">
        <v>75</v>
      </c>
      <c r="P13" s="16" t="s">
        <v>76</v>
      </c>
      <c r="Q13" s="20" t="s">
        <v>77</v>
      </c>
      <c r="R13" t="s">
        <v>74</v>
      </c>
      <c r="S13" s="16" t="s">
        <v>72</v>
      </c>
      <c r="T13" s="21" t="s">
        <v>78</v>
      </c>
      <c r="U13" s="22" t="s">
        <v>79</v>
      </c>
      <c r="V13" s="16" t="s">
        <v>72</v>
      </c>
      <c r="W13" t="s">
        <v>80</v>
      </c>
      <c r="X13" t="s">
        <v>81</v>
      </c>
      <c r="Y13" s="23" t="s">
        <v>82</v>
      </c>
      <c r="Z13" s="24" t="s">
        <v>83</v>
      </c>
      <c r="AA13" s="25" t="s">
        <v>84</v>
      </c>
      <c r="AB13" s="21">
        <f t="shared" ca="1" si="1"/>
        <v>45745</v>
      </c>
      <c r="AC13" s="26">
        <f t="shared" ca="1" si="2"/>
        <v>45745</v>
      </c>
      <c r="AD13" s="27" t="s">
        <v>85</v>
      </c>
      <c r="AE13" s="28" t="s">
        <v>172</v>
      </c>
      <c r="AF13" s="28" t="s">
        <v>173</v>
      </c>
      <c r="AG13" s="29">
        <f t="shared" ca="1" si="3"/>
        <v>45745</v>
      </c>
      <c r="AH13" s="21">
        <v>44993</v>
      </c>
      <c r="AI13" s="16" t="s">
        <v>88</v>
      </c>
      <c r="AJ13" s="16" t="s">
        <v>85</v>
      </c>
      <c r="AK13" s="30" t="s">
        <v>89</v>
      </c>
      <c r="AL13" s="31" t="s">
        <v>174</v>
      </c>
      <c r="AM13" s="30" t="s">
        <v>91</v>
      </c>
      <c r="AN13" s="18" t="s">
        <v>92</v>
      </c>
      <c r="AO13" s="18" t="s">
        <v>93</v>
      </c>
      <c r="AP13" s="32">
        <v>29</v>
      </c>
      <c r="AQ13" s="18" t="s">
        <v>85</v>
      </c>
      <c r="AR13" t="s">
        <v>94</v>
      </c>
      <c r="AS13" s="33" t="s">
        <v>85</v>
      </c>
      <c r="AT13" s="16" t="s">
        <v>95</v>
      </c>
      <c r="AU13" s="16" t="s">
        <v>96</v>
      </c>
      <c r="AV13" t="s">
        <v>175</v>
      </c>
      <c r="AW13" s="18" t="s">
        <v>73</v>
      </c>
      <c r="AX13" s="34" t="s">
        <v>98</v>
      </c>
      <c r="AY13" s="37">
        <v>646789013</v>
      </c>
      <c r="AZ13" t="s">
        <v>99</v>
      </c>
      <c r="BA13" s="36" t="s">
        <v>100</v>
      </c>
      <c r="BB13" s="18" t="s">
        <v>73</v>
      </c>
      <c r="BC13" t="s">
        <v>74</v>
      </c>
      <c r="BD13" t="s">
        <v>74</v>
      </c>
      <c r="BE13" s="18" t="s">
        <v>73</v>
      </c>
      <c r="BF13" t="s">
        <v>101</v>
      </c>
      <c r="BG13" s="18" t="s">
        <v>102</v>
      </c>
      <c r="BH13" s="34" t="s">
        <v>103</v>
      </c>
      <c r="BI13" s="34" t="s">
        <v>104</v>
      </c>
      <c r="BJ13" s="34" t="s">
        <v>105</v>
      </c>
      <c r="BK13" s="34" t="s">
        <v>106</v>
      </c>
      <c r="BL13" s="16" t="s">
        <v>107</v>
      </c>
      <c r="BM13" t="s">
        <v>108</v>
      </c>
    </row>
    <row r="14" spans="1:65" ht="14.5" customHeight="1" x14ac:dyDescent="0.35">
      <c r="B14" s="12" t="s">
        <v>176</v>
      </c>
      <c r="C14" s="39" t="s">
        <v>121</v>
      </c>
      <c r="D14" s="14" t="s">
        <v>65</v>
      </c>
      <c r="E14" t="s">
        <v>66</v>
      </c>
      <c r="F14" t="s">
        <v>177</v>
      </c>
      <c r="G14" t="s">
        <v>68</v>
      </c>
      <c r="H14" t="s">
        <v>178</v>
      </c>
      <c r="I14" s="16" t="s">
        <v>70</v>
      </c>
      <c r="J14" s="16" t="s">
        <v>71</v>
      </c>
      <c r="K14" s="16" t="s">
        <v>72</v>
      </c>
      <c r="L14" s="17">
        <f t="shared" ca="1" si="0"/>
        <v>45745</v>
      </c>
      <c r="M14" s="18" t="s">
        <v>73</v>
      </c>
      <c r="N14" t="s">
        <v>74</v>
      </c>
      <c r="O14" s="19" t="s">
        <v>75</v>
      </c>
      <c r="P14" s="16" t="s">
        <v>76</v>
      </c>
      <c r="Q14" s="20" t="s">
        <v>77</v>
      </c>
      <c r="R14" t="s">
        <v>74</v>
      </c>
      <c r="S14" s="16" t="s">
        <v>72</v>
      </c>
      <c r="T14" s="21" t="s">
        <v>78</v>
      </c>
      <c r="U14" s="22" t="s">
        <v>79</v>
      </c>
      <c r="V14" s="16" t="s">
        <v>72</v>
      </c>
      <c r="W14" t="s">
        <v>80</v>
      </c>
      <c r="X14" t="s">
        <v>81</v>
      </c>
      <c r="Y14" s="23" t="s">
        <v>124</v>
      </c>
      <c r="Z14" s="23" t="s">
        <v>113</v>
      </c>
      <c r="AA14" s="25" t="s">
        <v>84</v>
      </c>
      <c r="AB14" s="21">
        <f t="shared" ca="1" si="1"/>
        <v>45745</v>
      </c>
      <c r="AC14" s="26">
        <f t="shared" ca="1" si="2"/>
        <v>45745</v>
      </c>
      <c r="AD14" s="27" t="s">
        <v>85</v>
      </c>
      <c r="AE14" s="28" t="s">
        <v>179</v>
      </c>
      <c r="AF14" s="28" t="s">
        <v>180</v>
      </c>
      <c r="AG14" s="29">
        <f t="shared" ca="1" si="3"/>
        <v>45745</v>
      </c>
      <c r="AH14" s="21">
        <v>44994</v>
      </c>
      <c r="AI14" s="16" t="s">
        <v>88</v>
      </c>
      <c r="AJ14" s="16" t="s">
        <v>85</v>
      </c>
      <c r="AK14" s="30" t="s">
        <v>128</v>
      </c>
      <c r="AL14" s="31" t="s">
        <v>181</v>
      </c>
      <c r="AM14" s="30" t="s">
        <v>117</v>
      </c>
      <c r="AN14" s="18" t="s">
        <v>92</v>
      </c>
      <c r="AO14" s="18" t="s">
        <v>93</v>
      </c>
      <c r="AP14" s="32">
        <v>38</v>
      </c>
      <c r="AQ14" s="18" t="s">
        <v>85</v>
      </c>
      <c r="AR14" t="s">
        <v>94</v>
      </c>
      <c r="AS14" s="33">
        <f ca="1">TODAY()+365</f>
        <v>46141</v>
      </c>
      <c r="AT14" s="16" t="s">
        <v>95</v>
      </c>
      <c r="AU14" s="16" t="s">
        <v>96</v>
      </c>
      <c r="AV14" t="s">
        <v>182</v>
      </c>
      <c r="AW14" s="18" t="s">
        <v>73</v>
      </c>
      <c r="AX14" s="34" t="s">
        <v>98</v>
      </c>
      <c r="AY14" s="37">
        <v>647890124</v>
      </c>
      <c r="AZ14" t="s">
        <v>99</v>
      </c>
      <c r="BA14" s="36" t="s">
        <v>100</v>
      </c>
      <c r="BB14" s="18" t="s">
        <v>73</v>
      </c>
      <c r="BC14" t="s">
        <v>74</v>
      </c>
      <c r="BD14" t="s">
        <v>74</v>
      </c>
      <c r="BE14" s="18" t="s">
        <v>73</v>
      </c>
      <c r="BF14" t="s">
        <v>101</v>
      </c>
      <c r="BG14" s="18" t="s">
        <v>102</v>
      </c>
      <c r="BH14" s="34" t="s">
        <v>103</v>
      </c>
      <c r="BI14" s="34" t="s">
        <v>104</v>
      </c>
      <c r="BJ14" s="34" t="s">
        <v>105</v>
      </c>
      <c r="BK14" s="34" t="s">
        <v>106</v>
      </c>
      <c r="BL14" s="16" t="s">
        <v>107</v>
      </c>
      <c r="BM14" t="s">
        <v>108</v>
      </c>
    </row>
    <row r="15" spans="1:65" ht="14.5" customHeight="1" x14ac:dyDescent="0.35">
      <c r="B15" t="s">
        <v>183</v>
      </c>
      <c r="C15" s="13" t="s">
        <v>64</v>
      </c>
      <c r="D15" s="14" t="s">
        <v>65</v>
      </c>
      <c r="E15" t="s">
        <v>66</v>
      </c>
      <c r="F15" t="s">
        <v>184</v>
      </c>
      <c r="G15" t="s">
        <v>68</v>
      </c>
      <c r="H15" t="s">
        <v>185</v>
      </c>
      <c r="I15" s="16" t="s">
        <v>70</v>
      </c>
      <c r="J15" s="16" t="s">
        <v>71</v>
      </c>
      <c r="K15" s="16" t="s">
        <v>72</v>
      </c>
      <c r="L15" s="17">
        <f t="shared" ca="1" si="0"/>
        <v>45745</v>
      </c>
      <c r="M15" s="18" t="s">
        <v>73</v>
      </c>
      <c r="N15" t="s">
        <v>74</v>
      </c>
      <c r="O15" s="19" t="s">
        <v>75</v>
      </c>
      <c r="P15" s="16" t="s">
        <v>76</v>
      </c>
      <c r="Q15" s="20" t="s">
        <v>77</v>
      </c>
      <c r="R15" t="s">
        <v>74</v>
      </c>
      <c r="S15" s="16" t="s">
        <v>72</v>
      </c>
      <c r="T15" s="21" t="s">
        <v>78</v>
      </c>
      <c r="U15" s="22" t="s">
        <v>79</v>
      </c>
      <c r="V15" s="16" t="s">
        <v>72</v>
      </c>
      <c r="W15" t="s">
        <v>80</v>
      </c>
      <c r="X15" t="s">
        <v>81</v>
      </c>
      <c r="Y15" s="23" t="s">
        <v>82</v>
      </c>
      <c r="Z15" s="24" t="s">
        <v>83</v>
      </c>
      <c r="AA15" s="25" t="s">
        <v>84</v>
      </c>
      <c r="AB15" s="21">
        <f t="shared" ca="1" si="1"/>
        <v>45745</v>
      </c>
      <c r="AC15" s="26">
        <f t="shared" ca="1" si="2"/>
        <v>45745</v>
      </c>
      <c r="AD15" s="27" t="s">
        <v>85</v>
      </c>
      <c r="AE15" s="28" t="s">
        <v>186</v>
      </c>
      <c r="AF15" s="28" t="s">
        <v>85</v>
      </c>
      <c r="AG15" s="29">
        <f t="shared" ca="1" si="3"/>
        <v>45745</v>
      </c>
      <c r="AH15" s="21">
        <v>44995</v>
      </c>
      <c r="AI15" s="16" t="s">
        <v>88</v>
      </c>
      <c r="AJ15" s="16" t="s">
        <v>85</v>
      </c>
      <c r="AK15" s="30" t="s">
        <v>89</v>
      </c>
      <c r="AL15" s="31" t="s">
        <v>187</v>
      </c>
      <c r="AM15" s="30" t="s">
        <v>91</v>
      </c>
      <c r="AN15" s="18" t="s">
        <v>92</v>
      </c>
      <c r="AO15" s="18" t="s">
        <v>93</v>
      </c>
      <c r="AP15" s="32">
        <v>16</v>
      </c>
      <c r="AQ15" s="18" t="s">
        <v>85</v>
      </c>
      <c r="AR15" t="s">
        <v>94</v>
      </c>
      <c r="AS15" s="33" t="s">
        <v>85</v>
      </c>
      <c r="AT15" s="16" t="s">
        <v>95</v>
      </c>
      <c r="AU15" s="16" t="s">
        <v>96</v>
      </c>
      <c r="AV15" t="s">
        <v>188</v>
      </c>
      <c r="AW15" s="18" t="s">
        <v>73</v>
      </c>
      <c r="AX15" s="34" t="s">
        <v>98</v>
      </c>
      <c r="AY15" s="37">
        <v>648901235</v>
      </c>
      <c r="AZ15" t="s">
        <v>99</v>
      </c>
      <c r="BA15" s="36" t="s">
        <v>100</v>
      </c>
      <c r="BB15" s="18" t="s">
        <v>73</v>
      </c>
      <c r="BC15" t="s">
        <v>74</v>
      </c>
      <c r="BD15" t="s">
        <v>74</v>
      </c>
      <c r="BE15" s="18" t="s">
        <v>73</v>
      </c>
      <c r="BF15" t="s">
        <v>101</v>
      </c>
      <c r="BG15" s="18" t="s">
        <v>102</v>
      </c>
      <c r="BH15" s="34" t="s">
        <v>103</v>
      </c>
      <c r="BI15" s="34" t="s">
        <v>104</v>
      </c>
      <c r="BJ15" s="34" t="s">
        <v>105</v>
      </c>
      <c r="BK15" s="34" t="s">
        <v>106</v>
      </c>
      <c r="BL15" s="16" t="s">
        <v>107</v>
      </c>
      <c r="BM15" t="s">
        <v>108</v>
      </c>
    </row>
    <row r="16" spans="1:65" ht="14.5" customHeight="1" x14ac:dyDescent="0.35">
      <c r="B16" t="s">
        <v>189</v>
      </c>
      <c r="C16" s="13" t="s">
        <v>64</v>
      </c>
      <c r="D16" s="14" t="s">
        <v>65</v>
      </c>
      <c r="E16" t="s">
        <v>66</v>
      </c>
      <c r="F16" t="s">
        <v>190</v>
      </c>
      <c r="G16" t="s">
        <v>68</v>
      </c>
      <c r="H16" t="s">
        <v>191</v>
      </c>
      <c r="I16" s="16" t="s">
        <v>70</v>
      </c>
      <c r="J16" s="16" t="s">
        <v>71</v>
      </c>
      <c r="K16" s="16" t="s">
        <v>72</v>
      </c>
      <c r="L16" s="17">
        <f t="shared" ca="1" si="0"/>
        <v>45745</v>
      </c>
      <c r="M16" s="18" t="s">
        <v>73</v>
      </c>
      <c r="N16" t="s">
        <v>74</v>
      </c>
      <c r="O16" s="19" t="s">
        <v>75</v>
      </c>
      <c r="P16" s="16" t="s">
        <v>76</v>
      </c>
      <c r="Q16" s="20" t="s">
        <v>77</v>
      </c>
      <c r="R16" t="s">
        <v>74</v>
      </c>
      <c r="S16" s="16" t="s">
        <v>72</v>
      </c>
      <c r="T16" s="21" t="s">
        <v>78</v>
      </c>
      <c r="U16" s="22" t="s">
        <v>79</v>
      </c>
      <c r="V16" s="16" t="s">
        <v>72</v>
      </c>
      <c r="W16" t="s">
        <v>80</v>
      </c>
      <c r="X16" t="s">
        <v>81</v>
      </c>
      <c r="Y16" s="23" t="s">
        <v>192</v>
      </c>
      <c r="Z16" s="24" t="s">
        <v>83</v>
      </c>
      <c r="AA16" s="25" t="s">
        <v>84</v>
      </c>
      <c r="AB16" s="21">
        <f t="shared" ca="1" si="1"/>
        <v>45745</v>
      </c>
      <c r="AC16" s="26">
        <f t="shared" ca="1" si="2"/>
        <v>45745</v>
      </c>
      <c r="AD16" s="27" t="s">
        <v>193</v>
      </c>
      <c r="AE16" s="28" t="s">
        <v>86</v>
      </c>
      <c r="AF16" s="28" t="s">
        <v>194</v>
      </c>
      <c r="AG16" s="29">
        <f t="shared" ca="1" si="3"/>
        <v>45745</v>
      </c>
      <c r="AH16" s="21">
        <v>44996</v>
      </c>
      <c r="AI16" s="16" t="s">
        <v>88</v>
      </c>
      <c r="AJ16" s="16" t="s">
        <v>85</v>
      </c>
      <c r="AK16" s="30" t="s">
        <v>195</v>
      </c>
      <c r="AL16" s="31" t="s">
        <v>90</v>
      </c>
      <c r="AM16" s="30" t="s">
        <v>91</v>
      </c>
      <c r="AN16" s="18" t="s">
        <v>92</v>
      </c>
      <c r="AO16" s="18" t="s">
        <v>93</v>
      </c>
      <c r="AP16" s="32">
        <v>20</v>
      </c>
      <c r="AQ16" s="18" t="s">
        <v>85</v>
      </c>
      <c r="AR16" t="s">
        <v>94</v>
      </c>
      <c r="AS16" s="33" t="s">
        <v>85</v>
      </c>
      <c r="AT16" s="16" t="s">
        <v>95</v>
      </c>
      <c r="AU16" s="16" t="s">
        <v>96</v>
      </c>
      <c r="AV16" t="s">
        <v>97</v>
      </c>
      <c r="AW16" s="18" t="s">
        <v>73</v>
      </c>
      <c r="AX16" s="34" t="s">
        <v>98</v>
      </c>
      <c r="AY16" s="37">
        <v>649012346</v>
      </c>
      <c r="AZ16" t="s">
        <v>99</v>
      </c>
      <c r="BA16" s="36" t="s">
        <v>100</v>
      </c>
      <c r="BB16" s="18" t="s">
        <v>73</v>
      </c>
      <c r="BC16" t="s">
        <v>74</v>
      </c>
      <c r="BD16" t="s">
        <v>74</v>
      </c>
      <c r="BE16" s="18" t="s">
        <v>73</v>
      </c>
      <c r="BF16" t="s">
        <v>101</v>
      </c>
      <c r="BG16" s="18" t="s">
        <v>102</v>
      </c>
      <c r="BH16" s="34" t="s">
        <v>103</v>
      </c>
      <c r="BI16" s="34" t="s">
        <v>104</v>
      </c>
      <c r="BJ16" s="34" t="s">
        <v>105</v>
      </c>
      <c r="BK16" s="34" t="s">
        <v>106</v>
      </c>
      <c r="BL16" s="16" t="s">
        <v>107</v>
      </c>
      <c r="BM16" t="s">
        <v>108</v>
      </c>
    </row>
  </sheetData>
  <dataValidations count="6">
    <dataValidation type="list" allowBlank="1" showInputMessage="1" showErrorMessage="1" sqref="AA10:AA16 V10:V16 S10:S16 K10:K16 BK10:BK16" xr:uid="{00000000-0002-0000-0000-000000000000}">
      <formula1>INDIRECT($E4)</formula1>
    </dataValidation>
    <dataValidation type="list" allowBlank="1" showInputMessage="1" showErrorMessage="1" sqref="AA2:AA3 V2:V3 S2:S3 K2:K3 BK2:BK3 AI2" xr:uid="{00000000-0002-0000-0000-000001000000}">
      <formula1>INDIRECT(#REF!)</formula1>
    </dataValidation>
    <dataValidation type="list" allowBlank="1" showInputMessage="1" showErrorMessage="1" sqref="AA4:AA16 V4:V16 S4:S16 K4:K16 BK4:BK16" xr:uid="{00000000-0002-0000-0000-000002000000}">
      <formula1>INDIRECT($E4)</formula1>
    </dataValidation>
    <dataValidation type="list" allowBlank="1" showInputMessage="1" showErrorMessage="1" sqref="AI10:AI16" xr:uid="{00000000-0002-0000-0000-000003000000}">
      <formula1>INDIRECT($E2)</formula1>
    </dataValidation>
    <dataValidation type="list" allowBlank="1" showInputMessage="1" showErrorMessage="1" sqref="AI4" xr:uid="{00000000-0002-0000-0000-000005000000}">
      <formula1>INDIRECT($E2)</formula1>
    </dataValidation>
    <dataValidation type="list" allowBlank="1" showInputMessage="1" showErrorMessage="1" sqref="AI6:AI16" xr:uid="{00000000-0002-0000-0000-000006000000}">
      <formula1>INDIRECT($E2)</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2025-04-29T08:21:53Z</dcterms:modified>
</cp:coreProperties>
</file>