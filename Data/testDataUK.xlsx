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068" yWindow="-108" windowWidth="22080" windowHeight="13176"/>
  </bookViews>
  <sheets>
    <sheet sheetId="2" name="Sheet1" state="visible" r:id="rId4"/>
  </sheets>
  <calcPr calcId="171027"/>
</workbook>
</file>

<file path=xl/sharedStrings.xml><?xml version="1.0" encoding="utf-8"?>
<sst xmlns="http://schemas.openxmlformats.org/spreadsheetml/2006/main" count="203" uniqueCount="127">
  <si>
    <t>TestCaseIDs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</si>
  <si>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</si>
  <si>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</si>
  <si>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</si>
  <si>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</si>
  <si>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</si>
  <si>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</si>
  <si>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</si>
  <si>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</si>
  <si>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</si>
  <si>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</si>
  <si>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</si>
  <si>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</si>
  <si>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</si>
  <si>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</si>
  <si>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AdressLine3</t>
  </si>
  <si>
    <t>PostalCode</t>
  </si>
  <si>
    <t>City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</si>
  <si>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</si>
  <si>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</si>
  <si>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</si>
  <si>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</si>
  <si>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</si>
  <si>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</si>
  <si>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</si>
  <si>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</si>
  <si>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</si>
  <si>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</si>
  <si>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</si>
  <si>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</si>
  <si>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</si>
  <si>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</si>
  <si>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</si>
  <si>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</si>
  <si>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</si>
  <si>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</si>
  <si>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</si>
  <si>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</si>
  <si>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Salary</t>
  </si>
  <si>
    <t>Country1</t>
  </si>
  <si>
    <t>NationalIDType1</t>
  </si>
  <si>
    <t>AddEditID1</t>
  </si>
  <si>
    <t>Gender</t>
  </si>
  <si>
    <t>DateOfBirth</t>
  </si>
  <si>
    <t>CountryOfBirth</t>
  </si>
  <si>
    <t>RegionOfBirth</t>
  </si>
  <si>
    <t>CityOfBirth</t>
  </si>
  <si>
    <t>MaritalStatus</t>
  </si>
  <si>
    <t>MaritalStatusDate</t>
  </si>
  <si>
    <t>Race/Ethnicity</t>
  </si>
  <si>
    <t>Religion</t>
  </si>
  <si>
    <t>PrimaryNationality</t>
  </si>
  <si>
    <t>BankName</t>
  </si>
  <si>
    <t>BankSortCode</t>
  </si>
  <si>
    <t>AccountNumber</t>
  </si>
  <si>
    <t>AccountType</t>
  </si>
  <si>
    <t>ProposedPayGroupFinal</t>
  </si>
  <si>
    <t xml:space="preserve">Test failed for 'Enrico Denesik' Employee:{undefined}TimeoutError: locator.fill: Timeout 30000ms exceeded.
Call log:
  [2m- waiting for locator('label:has-text("Last Name")')[22m
</t>
  </si>
  <si>
    <t>Failed</t>
  </si>
  <si>
    <t>519 Recruitment (Fozac Hosoti (9575064) (Inherited))</t>
  </si>
  <si>
    <t>United Kingdom</t>
  </si>
  <si>
    <t>Mr</t>
  </si>
  <si>
    <t>Enrico</t>
  </si>
  <si>
    <t>Denesik</t>
  </si>
  <si>
    <t>161 923 4772</t>
  </si>
  <si>
    <t>Landline</t>
  </si>
  <si>
    <t>Home</t>
  </si>
  <si>
    <t>Avon</t>
  </si>
  <si>
    <t>Automation Street Name</t>
  </si>
  <si>
    <t>106 - 122 Market St, Manchester</t>
  </si>
  <si>
    <t>Londan</t>
  </si>
  <si>
    <t>M1 1WA</t>
  </si>
  <si>
    <t>Manchester</t>
  </si>
  <si>
    <t>Street Address</t>
  </si>
  <si>
    <t>Testharsh121@gmail.com</t>
  </si>
  <si>
    <t>New Hire</t>
  </si>
  <si>
    <t>No</t>
  </si>
  <si>
    <t>Permanent</t>
  </si>
  <si>
    <t>Retail Assistant</t>
  </si>
  <si>
    <t>Full time</t>
  </si>
  <si>
    <t>Hourly</t>
  </si>
  <si>
    <t>1@2@3@4@5@000</t>
  </si>
  <si>
    <t>5 Days</t>
  </si>
  <si>
    <t>N/A</t>
  </si>
  <si>
    <t>Automation Comments here….</t>
  </si>
  <si>
    <t>94 Retail Operative</t>
  </si>
  <si>
    <t>01 Accessories</t>
  </si>
  <si>
    <t>GB Retail Assistant - Compensation Group National (23+)</t>
  </si>
  <si>
    <t>Defaulted</t>
  </si>
  <si>
    <t>National Insurance (NI) Number</t>
  </si>
  <si>
    <t>AB911639A</t>
  </si>
  <si>
    <t>Male</t>
  </si>
  <si>
    <t>London</t>
  </si>
  <si>
    <t>Married (United Kingdom)</t>
  </si>
  <si>
    <t>28/10/2021</t>
  </si>
  <si>
    <t>White - Irish</t>
  </si>
  <si>
    <t>Hindu</t>
  </si>
  <si>
    <t>UK Bank</t>
  </si>
  <si>
    <t>Checking</t>
  </si>
  <si>
    <t>UK Staff Group 30</t>
  </si>
  <si>
    <t>519 Store Management (Fozac Hosoti (9575064))</t>
  </si>
  <si>
    <t>Mr.</t>
  </si>
  <si>
    <t>Auto 10022025 105202 PM</t>
  </si>
  <si>
    <t>Store Manager</t>
  </si>
  <si>
    <t xml:space="preserve">92 Retail Management </t>
  </si>
  <si>
    <t xml:space="preserve">251 Management Retail </t>
  </si>
  <si>
    <t>AB911640A</t>
  </si>
  <si>
    <t>UK Management Group 60</t>
  </si>
  <si>
    <t>457 Recruitment (Cuhih Wadugy (9457836))</t>
  </si>
  <si>
    <t>Ms.</t>
  </si>
  <si>
    <t>Antrim</t>
  </si>
  <si>
    <t>79 Botanic Ave</t>
  </si>
  <si>
    <t>High Street</t>
  </si>
  <si>
    <t>Belfast</t>
  </si>
  <si>
    <t>BT11JL</t>
  </si>
  <si>
    <t>Part time</t>
  </si>
  <si>
    <t>3 Days</t>
  </si>
  <si>
    <t>08 Ladieswear</t>
  </si>
  <si>
    <t>NI Retail Assistant (Probationary 23+)</t>
  </si>
  <si>
    <t>NI Retail Assistant</t>
  </si>
  <si>
    <t>AB911651A</t>
  </si>
  <si>
    <t>Female</t>
  </si>
  <si>
    <t>Civil Partnership</t>
  </si>
  <si>
    <t>White - Gypsy or Irish Traveller</t>
  </si>
  <si>
    <t>Protestant</t>
  </si>
  <si>
    <t>Barclays Bank</t>
  </si>
  <si>
    <t>UK NI Fortnightly Group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</si>
</sst>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8" x14ac:knownFonts="1">
    <font>
      <color theme="1"/>
      <family val="2"/>
      <scheme val="minor"/>
      <sz val="11"/>
      <name val="Calibri"/>
    </font>
    <font>
      <color theme="1"/>
      <family val="2"/>
      <scheme val="minor"/>
      <sz val="12"/>
      <name val="Calibri"/>
    </font>
    <font>
      <color theme="1"/>
      <family val="1"/>
      <sz val="12"/>
      <name val="Times New Roman"/>
    </font>
    <font>
      <color rgb="FFFF0000"/>
      <family val="1"/>
      <sz val="12"/>
      <name val="Times New Roman"/>
    </font>
    <font>
      <color rgb="FF040C28"/>
      <family val="1"/>
      <sz val="12"/>
      <name val="Times New Roman"/>
    </font>
    <font>
      <u/>
      <color theme="10"/>
      <family val="1"/>
      <sz val="12"/>
      <name val="Times New Roman"/>
    </font>
    <font>
      <color rgb="FF4A4A4A"/>
      <family val="1"/>
      <sz val="12"/>
      <name val="Times New Roman"/>
    </font>
    <font>
      <family val="1"/>
      <sz val="12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/>
      <bottom style="thin"/>
      <diagonal/>
    </border>
    <border>
      <left style="thin"/>
      <right style="thin"/>
      <top style="thin"/>
      <bottom style="thin"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49" fontId="2" fillId="0" borderId="0" xfId="0" applyNumberFormat="1" applyFont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2" fillId="4" borderId="0" xfId="0" applyFont="1" applyFill="1"/>
    <xf numFmtId="0" fontId="3" fillId="0" borderId="0" xfId="0" applyFont="1" applyAlignment="1">
      <alignment vertical="center" wrapText="1"/>
    </xf>
    <xf numFmtId="0" fontId="2" fillId="0" borderId="2" xfId="0" applyFont="1" applyBorder="1" applyAlignment="1">
      <alignment horizontal="left"/>
    </xf>
    <xf numFmtId="0" fontId="2" fillId="0" borderId="3" xfId="0" applyFont="1" applyBorder="1"/>
    <xf numFmtId="0" fontId="2" fillId="3" borderId="2" xfId="0" applyFont="1" applyFill="1" applyBorder="1"/>
    <xf numFmtId="0" fontId="2" fillId="0" borderId="2" xfId="0" applyFont="1" applyBorder="1" applyAlignment="1" applyProtection="1">
      <alignment horizontal="left"/>
      <protection locked="0"/>
    </xf>
    <xf numFmtId="14" fontId="2" fillId="3" borderId="0" xfId="0" applyNumberFormat="1" applyFont="1" applyFill="1" applyAlignment="1">
      <alignment horizontal="left"/>
    </xf>
    <xf numFmtId="0" fontId="2" fillId="0" borderId="2" xfId="0" applyFont="1" applyBorder="1" applyProtection="1">
      <protection locked="0"/>
    </xf>
    <xf numFmtId="0" fontId="4" fillId="0" borderId="0" xfId="0" applyFont="1"/>
    <xf numFmtId="14" fontId="2" fillId="0" borderId="2" xfId="0" applyNumberFormat="1" applyFont="1" applyBorder="1" applyAlignment="1">
      <alignment horizontal="left"/>
    </xf>
    <xf numFmtId="0" fontId="5" fillId="0" borderId="2" xfId="0" applyFont="1" applyBorder="1" applyProtection="1">
      <protection locked="0"/>
    </xf>
    <xf numFmtId="14" fontId="3" fillId="0" borderId="2" xfId="0" applyNumberFormat="1" applyFont="1" applyBorder="1" applyAlignment="1">
      <alignment horizontal="left"/>
    </xf>
    <xf numFmtId="0" fontId="2" fillId="5" borderId="2" xfId="0" applyFont="1" applyFill="1" applyBorder="1" applyAlignment="1" applyProtection="1">
      <alignment horizontal="left"/>
      <protection locked="0"/>
    </xf>
    <xf numFmtId="0" fontId="6" fillId="0" borderId="2" xfId="0" applyFont="1" applyBorder="1"/>
    <xf numFmtId="0" fontId="7" fillId="0" borderId="0" xfId="0" applyFont="1"/>
    <xf numFmtId="0" fontId="2" fillId="0" borderId="0" xfId="0" applyFont="1" applyAlignment="1">
      <alignment horizontal="left"/>
    </xf>
    <xf numFmtId="0" fontId="7" fillId="0" borderId="2" xfId="0" applyFont="1" applyBorder="1" applyAlignment="1" applyProtection="1">
      <alignment horizontal="left" wrapText="1"/>
      <protection locked="0"/>
    </xf>
    <xf numFmtId="0" fontId="5" fillId="0" borderId="2" xfId="0" applyFont="1" applyBorder="1" applyAlignment="1">
      <alignment horizontal="left"/>
    </xf>
    <xf numFmtId="14" fontId="3" fillId="0" borderId="0" xfId="0" applyNumberFormat="1" applyFont="1" applyAlignment="1">
      <alignment horizontal="left"/>
    </xf>
    <xf numFmtId="164" fontId="2" fillId="0" borderId="2" xfId="0" applyNumberFormat="1" applyFont="1" applyBorder="1" applyAlignment="1" applyProtection="1">
      <alignment horizontal="left"/>
      <protection locked="0"/>
    </xf>
    <xf numFmtId="0" fontId="2" fillId="3" borderId="0" xfId="0" applyFont="1" applyFill="1"/>
    <xf numFmtId="164" fontId="2" fillId="0" borderId="1" xfId="0" applyNumberFormat="1" applyFont="1" applyBorder="1" applyAlignment="1" applyProtection="1">
      <alignment horizontal="left"/>
      <protection locked="0"/>
    </xf>
    <xf numFmtId="164" fontId="2" fillId="0" borderId="4" xfId="0" applyNumberFormat="1" applyFont="1" applyBorder="1" applyAlignment="1" applyProtection="1">
      <alignment horizontal="left"/>
      <protection locked="0"/>
    </xf>
    <xf numFmtId="0" fontId="2" fillId="6" borderId="2" xfId="0" applyFont="1" applyFill="1" applyBorder="1" applyAlignment="1">
      <alignment horizontal="left"/>
    </xf>
    <xf numFmtId="0" fontId="2" fillId="7" borderId="2" xfId="0" applyFont="1" applyFill="1" applyBorder="1" applyAlignment="1">
      <alignment horizontal="left"/>
    </xf>
    <xf numFmtId="0" fontId="2" fillId="7" borderId="3" xfId="0" applyFont="1" applyFill="1" applyBorder="1"/>
    <xf numFmtId="0" fontId="2" fillId="7" borderId="2" xfId="0" applyFont="1" applyFill="1" applyBorder="1" applyAlignment="1" applyProtection="1">
      <alignment horizontal="left"/>
      <protection locked="0"/>
    </xf>
    <xf numFmtId="14" fontId="2" fillId="7" borderId="2" xfId="0" applyNumberFormat="1" applyFont="1" applyFill="1" applyBorder="1" applyAlignment="1">
      <alignment horizontal="left"/>
    </xf>
    <xf numFmtId="0" fontId="5" fillId="7" borderId="2" xfId="0" applyFont="1" applyFill="1" applyBorder="1" applyProtection="1">
      <protection locked="0"/>
    </xf>
    <xf numFmtId="0" fontId="2" fillId="3" borderId="0" xfId="0" applyFont="1" applyFill="1" applyAlignment="1">
      <alignment horizontal="left"/>
    </xf>
    <xf numFmtId="0" fontId="2" fillId="3" borderId="2" xfId="0" applyFont="1" applyFill="1" applyBorder="1" applyAlignment="1" applyProtection="1">
      <alignment horizontal="left" wrapText="1"/>
      <protection locked="0"/>
    </xf>
    <xf numFmtId="0" fontId="5" fillId="3" borderId="2" xfId="0" applyFont="1" applyFill="1" applyBorder="1" applyAlignment="1">
      <alignment horizontal="left"/>
    </xf>
    <xf numFmtId="14" fontId="3" fillId="3" borderId="0" xfId="0" applyNumberFormat="1" applyFont="1" applyFill="1" applyAlignment="1">
      <alignment horizontal="left"/>
    </xf>
    <xf numFmtId="0" fontId="2" fillId="3" borderId="2" xfId="0" applyFont="1" applyFill="1" applyBorder="1" applyAlignment="1" applyProtection="1">
      <alignment horizontal="left"/>
      <protection locked="0"/>
    </xf>
    <xf numFmtId="164" fontId="2" fillId="3" borderId="1" xfId="0" applyNumberFormat="1" applyFont="1" applyFill="1" applyBorder="1" applyAlignment="1" applyProtection="1">
      <alignment horizontal="left"/>
      <protection locked="0"/>
    </xf>
    <xf numFmtId="164" fontId="2" fillId="3" borderId="4" xfId="0" applyNumberFormat="1" applyFont="1" applyFill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mailto:Testharsh121@gmail.com" TargetMode="External"/><Relationship Id="rId2" Type="http://schemas.openxmlformats.org/officeDocument/2006/relationships/hyperlink" Target="mailto:1@2@3@4@5@000" TargetMode="External"/><Relationship Id="rId3" Type="http://schemas.openxmlformats.org/officeDocument/2006/relationships/hyperlink" Target="mailto:Testharsh121@gmail.com" TargetMode="External"/><Relationship Id="rId4" Type="http://schemas.openxmlformats.org/officeDocument/2006/relationships/hyperlink" Target="mailto:1@2@3@4@5@000" TargetMode="External"/><Relationship Id="rId5" Type="http://schemas.openxmlformats.org/officeDocument/2006/relationships/hyperlink" Target="mailto:Testharsh121@gmail.com" TargetMode="External"/><Relationship Id="rId6" Type="http://schemas.openxmlformats.org/officeDocument/2006/relationships/hyperlink" Target="mailto:1@2@3@4@5@000" TargetMode="Externa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"/>
  <sheetViews>
    <sheetView workbookViewId="0" zoomScale="100" zoomScaleNormal="100">
      <selection activeCell="G2" sqref="G2"/>
    </sheetView>
  </sheetViews>
  <sheetFormatPr defaultRowHeight="15.6" outlineLevelRow="0" outlineLevelCol="0" x14ac:dyDescent="0.3" customHeight="1"/>
  <cols>
    <col min="1" max="1" width="12.21875" style="1" customWidth="1"/>
    <col min="2" max="2" width="12" style="1" customWidth="1"/>
    <col min="3" max="3" width="10" style="1" customWidth="1"/>
    <col min="4" max="4" width="23.21875" style="1" customWidth="1"/>
    <col min="5" max="5" width="15.44140625" style="1" customWidth="1"/>
    <col min="6" max="6" width="6.33203125" style="1" customWidth="1"/>
    <col min="7" max="7" width="11.44140625" style="1" customWidth="1"/>
    <col min="8" max="8" width="12.21875" style="1" customWidth="1"/>
    <col min="9" max="9" width="13.44140625" style="1" customWidth="1"/>
    <col min="10" max="10" width="12.6640625" style="1" customWidth="1"/>
    <col min="11" max="11" width="6.21875" style="1" customWidth="1"/>
    <col min="12" max="12" width="13.21875" style="1" customWidth="1"/>
    <col min="13" max="13" width="15.44140625" style="1" customWidth="1"/>
    <col min="14" max="14" width="7.109375" style="1" customWidth="1"/>
    <col min="15" max="15" width="22.77734375" style="1" customWidth="1"/>
    <col min="16" max="16" width="30.44140625" style="1" customWidth="1"/>
    <col min="17" max="17" width="12.21875" style="1" customWidth="1"/>
    <col min="18" max="19" width="11.109375" style="1" customWidth="1"/>
    <col min="20" max="20" width="6.21875" style="1" customWidth="1"/>
    <col min="21" max="21" width="14.109375" style="1" customWidth="1"/>
    <col min="22" max="22" width="24.21875" style="1" customWidth="1"/>
    <col min="23" max="23" width="6.21875" style="1" customWidth="1"/>
    <col min="24" max="24" width="11.21875" style="1" customWidth="1"/>
    <col min="25" max="25" width="17.33203125" style="1" customWidth="1"/>
    <col min="26" max="26" width="9.77734375" style="1" customWidth="1"/>
    <col min="27" max="27" width="26" style="1" customWidth="1"/>
    <col min="28" max="28" width="14.33203125" style="1" customWidth="1"/>
    <col min="29" max="29" width="15" style="1" customWidth="1"/>
    <col min="30" max="30" width="10" style="1" customWidth="1"/>
    <col min="31" max="31" width="8.6640625" style="1" customWidth="1"/>
    <col min="32" max="32" width="12.6640625" style="1" customWidth="1"/>
    <col min="33" max="33" width="22.44140625" style="1" customWidth="1"/>
    <col min="34" max="34" width="27.109375" style="1" customWidth="1"/>
    <col min="35" max="35" width="10" style="1" customWidth="1"/>
    <col min="36" max="36" width="19.6640625" style="1" customWidth="1"/>
    <col min="37" max="37" width="28.33203125" style="1" customWidth="1"/>
    <col min="38" max="38" width="21.5546875" style="1" customWidth="1"/>
    <col min="39" max="39" width="22.6640625" style="1" customWidth="1"/>
    <col min="40" max="41" width="53.6640625" style="1" customWidth="1"/>
    <col min="42" max="42" width="9.5546875" style="1" customWidth="1"/>
    <col min="43" max="43" width="15.44140625" style="1" customWidth="1"/>
    <col min="44" max="44" width="29.88671875" style="1" customWidth="1"/>
    <col min="45" max="45" width="12.21875" style="1" customWidth="1"/>
    <col min="46" max="46" width="7.44140625" style="1" customWidth="1"/>
    <col min="47" max="47" width="11.77734375" style="1" customWidth="1"/>
    <col min="48" max="48" width="15.44140625" style="1" customWidth="1"/>
    <col min="49" max="49" width="14" style="1" customWidth="1"/>
    <col min="50" max="50" width="11.33203125" style="1" customWidth="1"/>
    <col min="51" max="51" width="25" style="1" customWidth="1"/>
    <col min="52" max="52" width="17" style="1" customWidth="1"/>
    <col min="53" max="53" width="30.109375" style="1" customWidth="1"/>
    <col min="54" max="54" width="9.6640625" style="1" customWidth="1"/>
    <col min="55" max="55" width="18" style="1" customWidth="1"/>
    <col min="56" max="57" width="13.88671875" style="1" customWidth="1"/>
    <col min="58" max="58" width="15.33203125" style="1" customWidth="1"/>
    <col min="59" max="59" width="12.6640625" style="1" customWidth="1"/>
    <col min="60" max="60" width="26.21875" style="1" customWidth="1"/>
    <col min="61" max="16384" width="8.88671875" style="1" customWidth="1"/>
  </cols>
  <sheetData>
    <row r="1" spans="1:60" s="2" customFormat="1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4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10</v>
      </c>
      <c r="U1" s="4" t="s">
        <v>18</v>
      </c>
      <c r="V1" s="4" t="s">
        <v>19</v>
      </c>
      <c r="W1" s="4" t="s">
        <v>10</v>
      </c>
      <c r="X1" s="5" t="s">
        <v>20</v>
      </c>
      <c r="Y1" s="5" t="s">
        <v>21</v>
      </c>
      <c r="Z1" s="4" t="s">
        <v>22</v>
      </c>
      <c r="AA1" s="4" t="s">
        <v>23</v>
      </c>
      <c r="AB1" s="5" t="s">
        <v>24</v>
      </c>
      <c r="AC1" s="5" t="s">
        <v>25</v>
      </c>
      <c r="AD1" s="5" t="s">
        <v>26</v>
      </c>
      <c r="AE1" s="5" t="s">
        <v>27</v>
      </c>
      <c r="AF1" s="5" t="s">
        <v>28</v>
      </c>
      <c r="AG1" s="5" t="s">
        <v>29</v>
      </c>
      <c r="AH1" s="5" t="s">
        <v>30</v>
      </c>
      <c r="AI1" s="5" t="s">
        <v>31</v>
      </c>
      <c r="AJ1" s="6" t="s">
        <v>32</v>
      </c>
      <c r="AK1" s="4" t="s">
        <v>33</v>
      </c>
      <c r="AL1" s="5" t="s">
        <v>34</v>
      </c>
      <c r="AM1" s="5" t="s">
        <v>35</v>
      </c>
      <c r="AN1" s="4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5" t="s">
        <v>41</v>
      </c>
      <c r="AT1" s="4" t="s">
        <v>42</v>
      </c>
      <c r="AU1" s="4" t="s">
        <v>43</v>
      </c>
      <c r="AV1" s="4" t="s">
        <v>44</v>
      </c>
      <c r="AW1" s="4" t="s">
        <v>45</v>
      </c>
      <c r="AX1" s="4" t="s">
        <v>46</v>
      </c>
      <c r="AY1" s="4" t="s">
        <v>47</v>
      </c>
      <c r="AZ1" s="4" t="s">
        <v>48</v>
      </c>
      <c r="BA1" s="5" t="s">
        <v>49</v>
      </c>
      <c r="BB1" s="5" t="s">
        <v>50</v>
      </c>
      <c r="BC1" s="4" t="s">
        <v>51</v>
      </c>
      <c r="BD1" s="4" t="s">
        <v>52</v>
      </c>
      <c r="BE1" s="5" t="s">
        <v>53</v>
      </c>
      <c r="BF1" s="5" t="s">
        <v>54</v>
      </c>
      <c r="BG1" s="4" t="s">
        <v>55</v>
      </c>
      <c r="BH1" s="4" t="s">
        <v>56</v>
      </c>
    </row>
    <row r="2" ht="15" customHeight="1" spans="2:60" s="2" customFormat="1" x14ac:dyDescent="0.25">
      <c r="B2" s="2" t="s">
        <v>57</v>
      </c>
      <c r="C2" s="7" t="s">
        <v>58</v>
      </c>
      <c r="D2" s="8" t="s">
        <v>59</v>
      </c>
      <c r="E2" s="9" t="s">
        <v>60</v>
      </c>
      <c r="F2" s="10" t="s">
        <v>61</v>
      </c>
      <c r="G2" s="11" t="s">
        <v>62</v>
      </c>
      <c r="H2" s="11" t="s">
        <v>63</v>
      </c>
      <c r="I2" s="12" t="s">
        <v>64</v>
      </c>
      <c r="J2" s="12" t="s">
        <v>65</v>
      </c>
      <c r="K2" s="12" t="s">
        <v>66</v>
      </c>
      <c r="L2" s="13">
        <v>45597</v>
      </c>
      <c r="M2" s="9" t="s">
        <v>60</v>
      </c>
      <c r="N2" s="14" t="s">
        <v>67</v>
      </c>
      <c r="O2" s="14" t="s">
        <v>68</v>
      </c>
      <c r="P2" s="12" t="s">
        <v>69</v>
      </c>
      <c r="Q2" s="12" t="s">
        <v>70</v>
      </c>
      <c r="R2" s="15" t="s">
        <v>71</v>
      </c>
      <c r="S2" s="12" t="s">
        <v>72</v>
      </c>
      <c r="T2" s="12" t="s">
        <v>66</v>
      </c>
      <c r="U2" s="16" t="s">
        <v>73</v>
      </c>
      <c r="V2" s="17" t="s">
        <v>74</v>
      </c>
      <c r="W2" s="12" t="s">
        <v>66</v>
      </c>
      <c r="X2" s="18">
        <f>L2</f>
        <v>45597</v>
      </c>
      <c r="Y2" s="16">
        <f>X2+90</f>
        <v>45687</v>
      </c>
      <c r="Z2" s="12" t="s">
        <v>75</v>
      </c>
      <c r="AA2" s="19" t="s">
        <v>76</v>
      </c>
      <c r="AB2" s="2" t="s">
        <v>77</v>
      </c>
      <c r="AC2" s="20" t="s">
        <v>78</v>
      </c>
      <c r="AD2" s="21" t="s">
        <v>79</v>
      </c>
      <c r="AE2" s="22">
        <v>519</v>
      </c>
      <c r="AF2" s="22" t="s">
        <v>80</v>
      </c>
      <c r="AG2" s="23">
        <v>37.5</v>
      </c>
      <c r="AH2" s="24" t="s">
        <v>81</v>
      </c>
      <c r="AI2" s="21" t="s">
        <v>82</v>
      </c>
      <c r="AJ2" s="25" t="s">
        <v>83</v>
      </c>
      <c r="AK2" s="12" t="s">
        <v>84</v>
      </c>
      <c r="AL2" s="12" t="s">
        <v>85</v>
      </c>
      <c r="AM2" s="2" t="s">
        <v>86</v>
      </c>
      <c r="AN2" s="2" t="s">
        <v>87</v>
      </c>
      <c r="AO2" s="2" t="s">
        <v>87</v>
      </c>
      <c r="AP2" s="9" t="s">
        <v>88</v>
      </c>
      <c r="AQ2" s="9" t="s">
        <v>60</v>
      </c>
      <c r="AR2" s="26" t="s">
        <v>89</v>
      </c>
      <c r="AS2" s="27" t="s">
        <v>90</v>
      </c>
      <c r="AT2" s="2" t="s">
        <v>91</v>
      </c>
      <c r="AU2" s="28">
        <v>35591</v>
      </c>
      <c r="AV2" s="9" t="s">
        <v>60</v>
      </c>
      <c r="AW2" s="2" t="s">
        <v>92</v>
      </c>
      <c r="AX2" s="28" t="s">
        <v>92</v>
      </c>
      <c r="AY2" s="28" t="s">
        <v>93</v>
      </c>
      <c r="AZ2" s="28" t="s">
        <v>94</v>
      </c>
      <c r="BA2" s="28" t="s">
        <v>95</v>
      </c>
      <c r="BB2" s="29" t="s">
        <v>96</v>
      </c>
      <c r="BC2" s="9" t="s">
        <v>60</v>
      </c>
      <c r="BD2" s="26" t="s">
        <v>97</v>
      </c>
      <c r="BE2" s="12">
        <v>601613</v>
      </c>
      <c r="BF2" s="12">
        <v>31926819</v>
      </c>
      <c r="BG2" s="26" t="s">
        <v>98</v>
      </c>
      <c r="BH2" s="12" t="s">
        <v>99</v>
      </c>
    </row>
    <row r="3" ht="15" customHeight="1" spans="4:60" s="2" customFormat="1" x14ac:dyDescent="0.25">
      <c r="D3" s="8" t="s">
        <v>100</v>
      </c>
      <c r="E3" s="9" t="s">
        <v>60</v>
      </c>
      <c r="F3" s="10" t="s">
        <v>101</v>
      </c>
      <c r="G3" s="11"/>
      <c r="H3" s="11"/>
      <c r="I3" s="12" t="s">
        <v>64</v>
      </c>
      <c r="J3" s="12" t="s">
        <v>65</v>
      </c>
      <c r="K3" s="12" t="s">
        <v>66</v>
      </c>
      <c r="L3" s="13">
        <v>45597</v>
      </c>
      <c r="M3" s="9" t="s">
        <v>60</v>
      </c>
      <c r="N3" s="14" t="s">
        <v>67</v>
      </c>
      <c r="O3" s="14" t="s">
        <v>68</v>
      </c>
      <c r="P3" s="12" t="s">
        <v>69</v>
      </c>
      <c r="Q3" s="12" t="s">
        <v>70</v>
      </c>
      <c r="R3" s="15" t="s">
        <v>71</v>
      </c>
      <c r="S3" s="12" t="s">
        <v>72</v>
      </c>
      <c r="T3" s="12" t="s">
        <v>66</v>
      </c>
      <c r="U3" s="16" t="s">
        <v>73</v>
      </c>
      <c r="V3" s="17" t="s">
        <v>74</v>
      </c>
      <c r="W3" s="12" t="s">
        <v>66</v>
      </c>
      <c r="X3" s="18">
        <f>L3</f>
        <v>45597</v>
      </c>
      <c r="Y3" s="16">
        <f>X3+90</f>
        <v>45687</v>
      </c>
      <c r="Z3" s="12" t="s">
        <v>75</v>
      </c>
      <c r="AA3" s="19" t="s">
        <v>102</v>
      </c>
      <c r="AB3" s="2" t="s">
        <v>77</v>
      </c>
      <c r="AC3" s="20" t="s">
        <v>103</v>
      </c>
      <c r="AD3" s="21" t="s">
        <v>79</v>
      </c>
      <c r="AE3" s="22">
        <v>519</v>
      </c>
      <c r="AF3" s="22" t="s">
        <v>38</v>
      </c>
      <c r="AG3" s="23">
        <v>40</v>
      </c>
      <c r="AH3" s="24" t="s">
        <v>81</v>
      </c>
      <c r="AI3" s="21" t="s">
        <v>82</v>
      </c>
      <c r="AJ3" s="25" t="s">
        <v>83</v>
      </c>
      <c r="AK3" s="12" t="s">
        <v>84</v>
      </c>
      <c r="AL3" s="12" t="s">
        <v>104</v>
      </c>
      <c r="AM3" s="2" t="s">
        <v>105</v>
      </c>
      <c r="AN3" s="2" t="s">
        <v>88</v>
      </c>
      <c r="AO3" s="2" t="s">
        <v>88</v>
      </c>
      <c r="AP3" s="30">
        <v>50000</v>
      </c>
      <c r="AQ3" s="9" t="s">
        <v>60</v>
      </c>
      <c r="AR3" s="26" t="s">
        <v>89</v>
      </c>
      <c r="AS3" s="27" t="s">
        <v>106</v>
      </c>
      <c r="AT3" s="2" t="s">
        <v>91</v>
      </c>
      <c r="AU3" s="28">
        <v>35591</v>
      </c>
      <c r="AV3" s="9" t="s">
        <v>60</v>
      </c>
      <c r="AW3" s="2" t="s">
        <v>92</v>
      </c>
      <c r="AX3" s="28" t="s">
        <v>92</v>
      </c>
      <c r="AY3" s="28" t="s">
        <v>93</v>
      </c>
      <c r="AZ3" s="28" t="s">
        <v>94</v>
      </c>
      <c r="BA3" s="28" t="s">
        <v>95</v>
      </c>
      <c r="BB3" s="29" t="s">
        <v>96</v>
      </c>
      <c r="BC3" s="9" t="s">
        <v>60</v>
      </c>
      <c r="BD3" s="26" t="s">
        <v>97</v>
      </c>
      <c r="BE3" s="12">
        <v>601613</v>
      </c>
      <c r="BF3" s="12">
        <v>31926819</v>
      </c>
      <c r="BG3" s="26" t="s">
        <v>98</v>
      </c>
      <c r="BH3" s="12" t="s">
        <v>107</v>
      </c>
    </row>
    <row r="4" ht="15" customHeight="1" spans="4:60" s="2" customFormat="1" x14ac:dyDescent="0.25">
      <c r="D4" s="8" t="s">
        <v>108</v>
      </c>
      <c r="E4" s="31" t="s">
        <v>60</v>
      </c>
      <c r="F4" s="32" t="s">
        <v>109</v>
      </c>
      <c r="G4" s="11"/>
      <c r="H4" s="11"/>
      <c r="I4" s="33" t="s">
        <v>64</v>
      </c>
      <c r="J4" s="33" t="s">
        <v>65</v>
      </c>
      <c r="K4" s="33" t="s">
        <v>66</v>
      </c>
      <c r="L4" s="13">
        <v>45597</v>
      </c>
      <c r="M4" s="31" t="s">
        <v>60</v>
      </c>
      <c r="N4" s="14" t="s">
        <v>110</v>
      </c>
      <c r="O4" s="14" t="s">
        <v>111</v>
      </c>
      <c r="P4" s="12" t="s">
        <v>112</v>
      </c>
      <c r="Q4" s="12" t="s">
        <v>113</v>
      </c>
      <c r="R4" s="15" t="s">
        <v>114</v>
      </c>
      <c r="S4" s="12" t="s">
        <v>113</v>
      </c>
      <c r="T4" s="33" t="s">
        <v>66</v>
      </c>
      <c r="U4" s="34" t="s">
        <v>73</v>
      </c>
      <c r="V4" s="35" t="s">
        <v>74</v>
      </c>
      <c r="W4" s="33" t="s">
        <v>66</v>
      </c>
      <c r="X4" s="18">
        <f>L4</f>
        <v>45597</v>
      </c>
      <c r="Y4" s="16">
        <f>X4+90</f>
        <v>45687</v>
      </c>
      <c r="Z4" s="33" t="s">
        <v>75</v>
      </c>
      <c r="AA4" s="33" t="s">
        <v>76</v>
      </c>
      <c r="AB4" s="27" t="s">
        <v>77</v>
      </c>
      <c r="AC4" s="27" t="s">
        <v>78</v>
      </c>
      <c r="AD4" s="27" t="s">
        <v>115</v>
      </c>
      <c r="AE4" s="36">
        <v>457</v>
      </c>
      <c r="AF4" s="36" t="s">
        <v>38</v>
      </c>
      <c r="AG4" s="37">
        <v>15</v>
      </c>
      <c r="AH4" s="38" t="s">
        <v>81</v>
      </c>
      <c r="AI4" s="27" t="s">
        <v>116</v>
      </c>
      <c r="AJ4" s="39" t="s">
        <v>83</v>
      </c>
      <c r="AK4" s="12" t="s">
        <v>84</v>
      </c>
      <c r="AL4" s="40" t="s">
        <v>85</v>
      </c>
      <c r="AM4" s="27" t="s">
        <v>117</v>
      </c>
      <c r="AN4" s="27" t="s">
        <v>118</v>
      </c>
      <c r="AO4" s="27" t="s">
        <v>119</v>
      </c>
      <c r="AP4" s="9" t="s">
        <v>88</v>
      </c>
      <c r="AQ4" s="9" t="s">
        <v>60</v>
      </c>
      <c r="AR4" s="26" t="s">
        <v>89</v>
      </c>
      <c r="AS4" s="27" t="s">
        <v>120</v>
      </c>
      <c r="AT4" s="2" t="s">
        <v>121</v>
      </c>
      <c r="AU4" s="28">
        <v>38081</v>
      </c>
      <c r="AV4" s="9" t="s">
        <v>60</v>
      </c>
      <c r="AW4" s="2" t="s">
        <v>113</v>
      </c>
      <c r="AX4" s="28" t="s">
        <v>113</v>
      </c>
      <c r="AY4" s="28" t="s">
        <v>122</v>
      </c>
      <c r="AZ4" s="28">
        <v>45020</v>
      </c>
      <c r="BA4" s="41" t="s">
        <v>123</v>
      </c>
      <c r="BB4" s="42" t="s">
        <v>124</v>
      </c>
      <c r="BC4" s="9" t="s">
        <v>60</v>
      </c>
      <c r="BD4" s="9" t="s">
        <v>125</v>
      </c>
      <c r="BE4" s="40">
        <v>200052</v>
      </c>
      <c r="BF4" s="40">
        <v>75849856</v>
      </c>
      <c r="BG4" s="26" t="s">
        <v>98</v>
      </c>
      <c r="BH4" s="12" t="s">
        <v>126</v>
      </c>
    </row>
  </sheetData>
  <dataValidations count="5">
    <dataValidation type="list" allowBlank="1" showInputMessage="1" showErrorMessage="1" sqref="BG2:BG4">
      <formula1>INDIRECT($E2)</formula1>
    </dataValidation>
    <dataValidation type="list" allowBlank="1" showInputMessage="1" showErrorMessage="1" sqref="K2:K4">
      <formula1>INDIRECT($E2)</formula1>
    </dataValidation>
    <dataValidation type="list" allowBlank="1" showInputMessage="1" showErrorMessage="1" sqref="T2:T4">
      <formula1>INDIRECT($E2)</formula1>
    </dataValidation>
    <dataValidation type="list" allowBlank="1" showInputMessage="1" showErrorMessage="1" sqref="W2:W4">
      <formula1>INDIRECT($E2)</formula1>
    </dataValidation>
    <dataValidation type="list" allowBlank="1" showInputMessage="1" showErrorMessage="1" sqref="Z2:Z4">
      <formula1>INDIRECT($E2)</formula1>
    </dataValidation>
  </dataValidations>
  <hyperlinks>
    <hyperlink ref="V2" r:id="rId1"/>
    <hyperlink ref="AH2" r:id="rId2"/>
    <hyperlink ref="V3" r:id="rId3"/>
    <hyperlink ref="AH3" r:id="rId4"/>
    <hyperlink ref="V4" r:id="rId5"/>
    <hyperlink ref="A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2025-02-26T09:10:25Z</dcterms:modified>
</cp:coreProperties>
</file>