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13_ncr:1_{A544B5C4-9FB3-44F9-B4FA-E25C289038A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9" i="1" l="1"/>
  <c r="K19" i="1"/>
  <c r="X19" i="1" s="1"/>
  <c r="AS19" i="1" s="1"/>
  <c r="AT18" i="1"/>
  <c r="K18" i="1"/>
  <c r="X18" i="1" s="1"/>
  <c r="AM17" i="1"/>
  <c r="AT17" i="1" s="1"/>
  <c r="K17" i="1"/>
  <c r="X17" i="1" s="1"/>
  <c r="AT16" i="1"/>
  <c r="K16" i="1"/>
  <c r="X16" i="1" s="1"/>
  <c r="AS16" i="1" s="1"/>
  <c r="AT15" i="1"/>
  <c r="K15" i="1"/>
  <c r="X15" i="1" s="1"/>
  <c r="AM14" i="1"/>
  <c r="AT14" i="1" s="1"/>
  <c r="K14" i="1"/>
  <c r="X14" i="1" s="1"/>
  <c r="AM13" i="1"/>
  <c r="AT13" i="1" s="1"/>
  <c r="K13" i="1"/>
  <c r="X13" i="1" s="1"/>
  <c r="AT12" i="1"/>
  <c r="K12" i="1"/>
  <c r="X12" i="1" s="1"/>
  <c r="AT11" i="1"/>
  <c r="K11" i="1"/>
  <c r="X11" i="1" s="1"/>
  <c r="AM10" i="1"/>
  <c r="AT10" i="1" s="1"/>
  <c r="K10" i="1"/>
  <c r="X10" i="1" s="1"/>
  <c r="AM9" i="1"/>
  <c r="AT9" i="1" s="1"/>
  <c r="K9" i="1"/>
  <c r="X9" i="1" s="1"/>
  <c r="AT8" i="1"/>
  <c r="K8" i="1"/>
  <c r="X8" i="1" s="1"/>
  <c r="AS8" i="1" s="1"/>
  <c r="AM7" i="1"/>
  <c r="AT7" i="1" s="1"/>
  <c r="K7" i="1"/>
  <c r="X7" i="1" s="1"/>
  <c r="AT6" i="1"/>
  <c r="K6" i="1"/>
  <c r="X6" i="1" s="1"/>
  <c r="AM5" i="1"/>
  <c r="AT5" i="1" s="1"/>
  <c r="K5" i="1"/>
  <c r="X5" i="1" s="1"/>
  <c r="AT4" i="1"/>
  <c r="K4" i="1"/>
  <c r="X4" i="1" s="1"/>
  <c r="AM3" i="1"/>
  <c r="AT3" i="1" s="1"/>
  <c r="K3" i="1"/>
  <c r="X3" i="1" s="1"/>
  <c r="AS3" i="1" s="1"/>
  <c r="AT2" i="1"/>
  <c r="K2" i="1"/>
  <c r="X2" i="1" s="1"/>
  <c r="AS10" i="1" l="1"/>
  <c r="AR10" i="1"/>
  <c r="AR12" i="1"/>
  <c r="AS12" i="1"/>
  <c r="AR14" i="1"/>
  <c r="AS14" i="1"/>
  <c r="AR17" i="1"/>
  <c r="AS17" i="1"/>
  <c r="AR4" i="1"/>
  <c r="AS4" i="1"/>
  <c r="AS6" i="1"/>
  <c r="AR6" i="1"/>
  <c r="AR9" i="1"/>
  <c r="AS9" i="1"/>
  <c r="AS11" i="1"/>
  <c r="AR11" i="1"/>
  <c r="AS13" i="1"/>
  <c r="AR13" i="1"/>
  <c r="AS2" i="1"/>
  <c r="AR2" i="1"/>
  <c r="AS5" i="1"/>
  <c r="AR5" i="1"/>
  <c r="AS7" i="1"/>
  <c r="AR7" i="1"/>
  <c r="AS15" i="1"/>
  <c r="AR15" i="1"/>
  <c r="AS18" i="1"/>
  <c r="AR18" i="1"/>
  <c r="AR8" i="1"/>
  <c r="AR16" i="1"/>
  <c r="AR19" i="1"/>
  <c r="AR3" i="1"/>
</calcChain>
</file>

<file path=xl/sharedStrings.xml><?xml version="1.0" encoding="utf-8"?>
<sst xmlns="http://schemas.openxmlformats.org/spreadsheetml/2006/main" count="1202" uniqueCount="226">
  <si>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</si>
  <si>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</si>
  <si>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</si>
  <si>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</si>
  <si>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</si>
  <si>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</si>
  <si>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</si>
  <si>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</si>
  <si>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</si>
  <si>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</si>
  <si>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</si>
  <si>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</si>
  <si>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Province</t>
  </si>
  <si>
    <t>PostalCode</t>
  </si>
  <si>
    <t>City</t>
  </si>
  <si>
    <t>houseNumber</t>
  </si>
  <si>
    <t>Municipality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</si>
  <si>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</si>
  <si>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</si>
  <si>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</si>
  <si>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</si>
  <si>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</si>
  <si>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</si>
  <si>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</si>
  <si>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</si>
  <si>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</si>
  <si>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</si>
  <si>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</si>
  <si>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</si>
  <si>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SchoolName</t>
  </si>
  <si>
    <t>SchoolType</t>
  </si>
  <si>
    <t>SchoolStartDate</t>
  </si>
  <si>
    <t>SchoolEndDate</t>
  </si>
  <si>
    <t>AdditionalJobClassifications</t>
  </si>
  <si>
    <t>WorkShift</t>
  </si>
  <si>
    <t>EndEmploymentDate</t>
  </si>
  <si>
    <t>AllowanceAmount</t>
  </si>
  <si>
    <t>Comments</t>
  </si>
  <si>
    <t>ContractType</t>
  </si>
  <si>
    <t>Status</t>
  </si>
  <si>
    <t>DateEmployeeSigned</t>
  </si>
  <si>
    <t>DateEmployerSigned</t>
  </si>
  <si>
    <t>ContractEndDate</t>
  </si>
  <si>
    <t>CostCenter</t>
  </si>
  <si>
    <t>DepartmentSection</t>
  </si>
  <si>
    <t>UrządSkarbowy</t>
  </si>
  <si>
    <t>Ulgapodatkowa</t>
  </si>
  <si>
    <t>Częśćulgi</t>
  </si>
  <si>
    <t>Typopodatkowania</t>
  </si>
  <si>
    <t>Identyfikatorpodatkowy</t>
  </si>
  <si>
    <t>FirstEverJobDetails</t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</si>
  <si>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</si>
  <si>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</si>
  <si>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</si>
  <si>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</si>
  <si>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</si>
  <si>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</si>
  <si>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</si>
  <si>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</si>
  <si>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</si>
  <si>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Gender</t>
  </si>
  <si>
    <t>DateOfBirth</t>
  </si>
  <si>
    <t>MaritalStatus</t>
  </si>
  <si>
    <t>MaritalStatusDate</t>
  </si>
  <si>
    <t>CitizenshipStatus</t>
  </si>
  <si>
    <t>BankName</t>
  </si>
  <si>
    <t>BankIdentificationCode</t>
  </si>
  <si>
    <t>AccountType</t>
  </si>
  <si>
    <t>AccountNumber</t>
  </si>
  <si>
    <t>IBAN</t>
  </si>
  <si>
    <t>Salary</t>
  </si>
  <si>
    <t>ProposedPayGroupInitial</t>
  </si>
  <si>
    <t>ProposedPayGroupFinal</t>
  </si>
  <si>
    <t>Test_35</t>
  </si>
  <si>
    <t xml:space="preserve">Test failed for 'Garrick Ryan' Employee:{undefined}TimeoutError: locator.click: Timeout 30000ms exceeded.
Call log:
  [2m- waiting for getByLabel('My Tasks Items')[22m
[2m  -   locator resolved to &lt;button class="wdappchrome-w" data-automation-id="inbox_…&gt;…&lt;/button&gt;[22m
[2m  - attempting click action[22m
[2m  -   waiting for element to be visible, enabled and stable[22m
[2m  -   element is not visible[22m
[2m  - retrying click action, attempt #1[22m
[2m  -   waiting for element to be visible, enabled and stable[22m
[2m  -   element is not visible[22m
[2m  - retrying click action, attempt #2[22m
[2m  -   waiting 20ms[22m
[2m  -   waiting for element to be visible, enabled and stable[22m
[2m  -   element is not visible[22m
[2m  - retrying click action, attempt #3[22m
[2m  -   waiting 100ms[22m
[2m  -   waiting for element to be visible, enabled and stable[22m
[2m  -   element is not visible[22m
[2m  - retrying click action, attempt #4[22m
[2m  -   waiting 100ms[22m
[2m  -   waiting for element to be visible, enabled and stable[22m
[2m  -   element is not visible[22m
[2m  - retrying click action, attempt #5[22m
[2m  -   waiting 500ms[22m
[2m  -   waiting for element to be visible, enabled and stable[22m
[2m  -   element is not visible[22m
[2m  - retrying click action, attempt #6[22m
[2m  -   waiting 500ms[22m
[2m  -   waiting for element to be visible, enabled and stable[22m
[2m  -   element is not visible[22m
[2m  - retrying click action, attempt #7[22m
[2m  -   waiting 500ms[22m
[2m  -   waiting for element to be visible, enabled and stable[22m
[2m  -   element is not visible[22m
[2m  - retrying click action, attempt #8[22m
[2m  -   waiting 500ms[22m
[2m  -   waiting for element to be visible, enabled and stable[22m
[2m  -   element is not visible[22m
[2m  - retrying click action, attempt #9[22m
[2m  -   waiting 500ms[22m
[2m  -   waiting for element to be visible, enabled and stable[22m
[2m  -   element is not visible[22m
[2m  - retrying click action, attempt #10[22m
[2m  -   waiting 500ms[22m
[2m  -   waiting for element to be visible, enabled and stable[22m
[2m  -   element is not visible[22m
[2m  - retrying click action, attempt #11[22m
[2m  -   waiting 500ms[22m
[2m  -   waiting for element to be visible, enabled and stable[22m
[2m  -   element is not visible[22m
[2m  - retrying click action, attempt #12[22m
[2m  -   waiting 500ms[22m
[2m  -   waiting for element to be visible, enabled and stable[22m
[2m  -   element is not visible[22m
[2m  - retrying click action, attempt #13[22m
[2m  -   waiting 500ms[22m
[2m  -   waiting for element to be visible, enabled and stable[22m
[2m  -   element is not visible[22m
[2m  - retrying click action, attempt #14[22m
[2m  -   waiting 500ms[22m
[2m  -   waiting for element to be visible, enabled and stable[22m
[2m  -   element is not visible[22m
[2m  - retrying click action, attempt #15[22m
[2m  -   waiting 500ms[22m
[2m  -   waiting for element to be visible, enabled and stable[22m
[2m  -   element is not visible[22m
[2m  - retrying click action, attempt #16[22m
[2m  -   waiting 500ms[22m
[2m  -   waiting for element to be visible, enabled and stable[22m
[2m  -   element is not visible[22m
[2m  - retrying click action, attempt #17[22m
[2m  -   waiting 500ms[22m
[2m  -   waiting for element to be visible, enabled and stable[22m
[2m  -   element is not visible[22m
[2m  - retrying click action, attempt #18[22m
[2m  -   waiting 500ms[22m
[2m  -   waiting for element to be visible, enabled and stable[22m
[2m  -   element is not visible[22m
[2m  - retrying click action, attempt #19[22m
[2m  -   waiting 500ms[22m
[2m  -   waiting for element to be visible, enabled and stable[22m
[2m  -   element is not visible[22m
[2m  - retrying click action, attempt #20[22m
[2m  -   waiting 500ms[22m
[2m  -   waiting for element to be visible, enabled and stable[22m
[2m  -   element is not visible[22m
[2m  - retrying click action, attempt #21[22m
[2m  -   waiting 500ms[22m
[2m  -   waiting for element to be visible, enabled and stable[22m
[2m  -   element is not visible[22m
[2m  - retrying click action, attempt #22[22m
[2m  -   waiting 500ms[22m
[2m  -   waiting for element to be visible, enabled and stable[22m
[2m  -   element is not visible[22m
[2m  - retrying click action, attempt #23[22m
[2m  -   waiting 500ms[22m
[2m  -   waiting for element to be visible, enabled and stable[22m
[2m  -   element is not visible[22m
[2m  - retrying click action, attempt #24[22m
[2m  -   waiting 500ms[22m
[2m  -   waiting for element to be visible, enabled and stable[22m
[2m  -   element is not visible[22m
[2m  - retrying click action, attempt #25[22m
[2m  -   waiting 500ms[22m
[2m  -   waiting for element to be visible, enabled and stable[22m
[2m  -   element is not visible[22m
[2m  - retrying click action, attempt #26[22m
[2m  -   waiting 500ms[22m
[2m  -   waiting for element to be visible, enabled and stable[22m
[2m  -   element is not visible[22m
[2m  - retrying click action, attempt #27[22m
[2m  -   waiting 500ms[22m
[2m  -   waiting for element to be visible, enabled and stable[22m
[2m  -   element is not visible[22m
[2m  - retrying click action, attempt #28[22m
[2m  -   waiting 500ms[22m
[2m  -   waiting for element to be visible, enabled and stable[22m
[2m  -   element is not visible[22m
[2m  - retrying click action, attempt #29[22m
[2m  -   waiting 500ms[22m
[2m  -   waiting for element to be visible, enabled and stable[22m
[2m  -   element is not visible[22m
[2m  - retrying click action, attempt #30[22m
[2m  -   waiting 500ms[22m
[2m  -   waiting for element to be visible, enabled and stable[22m
[2m  -   element is not visible[22m
[2m  - retrying click action, attempt #31[22m
[2m  -   waiting 500ms[22m
[2m  -   waiting for element to be visible, enabled and stable[22m
[2m  -   element is not visible[22m
[2m  - retrying click action, attempt #32[22m
[2m  -   waiting 500ms[22m
[2m  -   waiting for element to be visible, enabled and stable[22m
[2m  -   element is not visible[22m
[2m  - retrying click action, attempt #33[22m
[2m  -   waiting 500ms[22m
[2m  -   waiting for element to be visible, enabled and stable[22m
[2m  -   element is not visible[22m
[2m  - retrying click action, attempt #34[22m
[2m  -   waiting 500ms[22m
[2m  -   waiting for element to be visible, enabled and stable[22m
[2m  -   element is not visible[22m
[2m  - retrying click action, attempt #35[22m
[2m  -   waiting 500ms[22m
[2m  -   waiting for element to be visible, enabled and stable[22m
[2m  -   element is not visible[22m
[2m  - retrying click action, attempt #36[22m
[2m  -   waiting 500ms[22m
[2m  -   waiting for element to be visible, enabled and stable[22m
[2m  -   element is not visible[22m
[2m  - retrying click action, attempt #37[22m
[2m  -   waiting 500ms[22m
[2m  -   waiting for element to be visible, enabled and stable[22m
[2m  -   element is not visible[22m
[2m  - retrying click action, attempt #38[22m
[2m  -   waiting 500ms[22m
[2m  -   waiting for element to be visible, enabled and stable[22m
[2m  -   element is not visible[22m
[2m  - retrying click action, attempt #39[22m
[2m  -   waiting 500ms[22m
[2m  -   waiting for element to be visible, enabled and stable[22m
[2m  -   element is not visible[22m
[2m  - retrying click action, attempt #40[22m
[2m  -   waiting 500ms[22m
[2m  -   waiting for element to be visible, enabled and stable[22m
[2m  -   element is not visible[22m
[2m  - retrying click action, attempt #41[22m
[2m  -   waiting 500ms[22m
[2m  -   waiting for element to be visible, enabled and stable[22m
[2m  -   element is not visible[22m
[2m  - retrying click action, attempt #42[22m
[2m  -   waiting 500ms[22m
[2m  -   waiting for element to be visible, enabled and stable[22m
[2m  -   element is not visible[22m
[2m  - retrying click action, attempt #43[22m
[2m  -   waiting 500ms[22m
[2m  -   waiting for element to be visible, enabled and stable[22m
[2m  -   element is not visible[22m
[2m  - retrying click action, attempt #44[22m
[2m  -   waiting 500ms[22m
[2m  -   waiting for element to be visible, enabled and stable[22m
[2m  -   element is not visible[22m
[2m  - retrying click action, attempt #45[22m
[2m  -   waiting 500ms[22m
[2m  -   waiting for element to be visible, enabled and stable[22m
[2m  -   element is not visible[22m
[2m  - retrying click action, attempt #46[22m
[2m  -   waiting 500ms[22m
[2m  -   waiting for element to be visible, enabled and stable[22m
[2m  -   element is not visible[22m
[2m  - retrying click action, attempt #47[22m
[2m  -   waiting 500ms[22m
[2m  -   waiting for element to be visible, enabled and stable[22m
[2m  -   element is not visible[22m
[2m  - retrying click action, attempt #48[22m
[2m  -   waiting 500ms[22m
[2m  -   waiting for element to be visible, enabled and stable[22m
[2m  -   element is not visible[22m
[2m  - retrying click action, attempt #49[22m
[2m  -   waiting 500ms[22m
[2m  -   waiting for element to be visible, enabled and stable[22m
[2m  -   element is not visible[22m
[2m  - retrying click action, attempt #50[22m
[2m  -   waiting 500ms[22m
[2m  -   waiting for element to be visible, enabled and stable[22m
[2m  -   element is not visible[22m
[2m  - retrying click action, attempt #51[22m
[2m  -   waiting 500ms[22m
[2m  -   waiting for element to be visible, enabled and stable[22m
[2m  -   element is not visible[22m
[2m  - retrying click action, attempt #52[22m
[2m  -   waiting 500ms[22m
[2m  -   waiting for element to be visible, enabled and stable[22m
[2m  -   element is not visible[22m
[2m  - retrying click action, attempt #53[22m
[2m  -   waiting 500ms[22m
[2m  -   waiting for element to be visible, enabled and stable[22m
[2m  -   element is not visible[22m
[2m  - retrying click action, attempt #54[22m
[2m  -   waiting 500ms[22m
[2m  -   waiting for element to be visible, enabled and stable[22m
[2m  -   element is not visible[22m
[2m  - retrying click action, attempt #55[22m
[2m  -   waiting 500ms[22m
[2m  -   waiting for element to be visible, enabled and stable[22m
[2m  -   element is not visible[22m
[2m  - retrying click action, attempt #56[22m
[2m  -   waiting 500ms[22m
[2m  -   waiting for element to be visible, enabled and stable[22m
[2m  -   element is not visible[22m
[2m  - retrying click action, attempt #57[22m
[2m  -   waiting 500ms[22m
[2m  -   waiting for element to be visible, enabled and stable[22m
[2m  -   element is not visible[22m
[2m  - retrying click action, attempt #58[22m
[2m  -   waiting 500ms[22m
[2m  -   waiting for element to be visible, enabled and stable[22m
[2m  -   element is not visible[22m
[2m  - retrying click action, attempt #59[22m
[2m  -   waiting 500ms[22m
[2m  -   waiting for element to be visible, enabled and stable[22m
[2m  -   element is not visible[22m
[2m  - retrying click action, attempt #60[22m
[2m  -   waiting 500ms[22m
</t>
  </si>
  <si>
    <t>Failed</t>
  </si>
  <si>
    <t>766 Store Management (Datyv Nuhuve (89501374))</t>
  </si>
  <si>
    <t>Poland</t>
  </si>
  <si>
    <t>Garrick</t>
  </si>
  <si>
    <t>Ryan</t>
  </si>
  <si>
    <t xml:space="preserve">698 980 460 </t>
  </si>
  <si>
    <t>Landline</t>
  </si>
  <si>
    <t>Home</t>
  </si>
  <si>
    <t>Automation Street Name</t>
  </si>
  <si>
    <t>Greater Poland</t>
  </si>
  <si>
    <t>00001</t>
  </si>
  <si>
    <t xml:space="preserve">Warsaw  </t>
  </si>
  <si>
    <t>Test</t>
  </si>
  <si>
    <t>Street Address</t>
  </si>
  <si>
    <t>Test001@gmail.com</t>
  </si>
  <si>
    <t>New Hire</t>
  </si>
  <si>
    <t>Yes</t>
  </si>
  <si>
    <t>Fixed Term (Fixed Term)</t>
  </si>
  <si>
    <t>P&amp;C Manager_NEW</t>
  </si>
  <si>
    <t>Full time</t>
  </si>
  <si>
    <t>ZasadniczaSzkołaZawodowa</t>
  </si>
  <si>
    <t xml:space="preserve">RE029_NEW2 </t>
  </si>
  <si>
    <t>5 Days (Poland)</t>
  </si>
  <si>
    <t>N/A</t>
  </si>
  <si>
    <t>Automation Comments here….</t>
  </si>
  <si>
    <t>Fixed Term</t>
  </si>
  <si>
    <t>Active</t>
  </si>
  <si>
    <t>92 Retail Management</t>
  </si>
  <si>
    <t>251 Management Retail</t>
  </si>
  <si>
    <t>0201-Izha</t>
  </si>
  <si>
    <t>Ulga podatkowa obowiązuje</t>
  </si>
  <si>
    <t>1/12 kwoty zmniejszającej podatek</t>
  </si>
  <si>
    <t>Standardowy</t>
  </si>
  <si>
    <t>PESEL</t>
  </si>
  <si>
    <t>No</t>
  </si>
  <si>
    <t>Tax ID Number (NIP)</t>
  </si>
  <si>
    <t>Personal Identity (PESEL) Number</t>
  </si>
  <si>
    <t>ID Card</t>
  </si>
  <si>
    <t>GHE456157</t>
  </si>
  <si>
    <t>Male</t>
  </si>
  <si>
    <t>Married (Poland)</t>
  </si>
  <si>
    <t>01/01/2021</t>
  </si>
  <si>
    <t>Citizen (Poland)</t>
  </si>
  <si>
    <t>Bank of Poland</t>
  </si>
  <si>
    <t>NBPLPLPW</t>
  </si>
  <si>
    <t>Checking</t>
  </si>
  <si>
    <t>11111111111111111111111101</t>
  </si>
  <si>
    <t>PL09109024023899695521479863</t>
  </si>
  <si>
    <t>Defaulted</t>
  </si>
  <si>
    <t>Please select a Poland Pay Group</t>
  </si>
  <si>
    <t>PL Monthly</t>
  </si>
  <si>
    <t>Test_36</t>
  </si>
  <si>
    <t xml:space="preserve">Test failed for 'Ayana Hyatt' Employee:{}TimeoutError: locator.click: Timeout 30000ms exceeded.
Call log:
  [2m- waiting for locator('xpath=(//*[@data-automation-label=\'Full time\' or text()=\'Full time\'])[1]')[22m
[2m  -   locator resolved to &lt;p data-automation-id="promptOption" data-automatio…&gt;Full time&lt;/p&gt;[22m
[2m  - attempting click action[22m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#52[22m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#53[22m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#54[22m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#55[22m
[2m  -   waiting 500ms[22m
</t>
  </si>
  <si>
    <t>Ayana</t>
  </si>
  <si>
    <t>Hyatt</t>
  </si>
  <si>
    <t>Permanent</t>
  </si>
  <si>
    <t>GHE456158</t>
  </si>
  <si>
    <t>Test_37</t>
  </si>
  <si>
    <t xml:space="preserve">Test failed for 'Rickey Flatley' Employee:{}TimeoutError: locator.click: Timeout 30000ms exceeded.
Call log:
  [2m- waiting for locator('xpath=(//*[@data-automation-label=\'Full time\' or text()=\'Full time\'])[1]')[22m
[2m  -   locator resolved to &lt;p data-automation-id="promptOption" data-automatio…&gt;Full time&lt;/p&gt;[22m
[2m  - attempting click action[22m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#52[22m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#53[22m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#54[22m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#55[22m
[2m  -   waiting 500ms[22m
</t>
  </si>
  <si>
    <t>Rickey</t>
  </si>
  <si>
    <t>Flatley</t>
  </si>
  <si>
    <t>Team Manager_NEW</t>
  </si>
  <si>
    <t>GHE456159</t>
  </si>
  <si>
    <t>Test_38</t>
  </si>
  <si>
    <t xml:space="preserve">Test failed for 'Napoleon Vandervort' Employee:{}TimeoutError: locator.click: Timeout 30000ms exceeded.
Call log:
  [2m- waiting for locator('xpath=(//*[@data-automation-label=\'Part time\' or text()=\'Part time\'])[1]')[22m
[2m  -   locator resolved to &lt;p data-automation-id="promptOption" data-automatio…&gt;Part time&lt;/p&gt;[22m
[2m  - attempting click action[22m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#52[22m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#53[22m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#54[22m
[2m  -   waiting 500ms[22m
[2m  -   waiting for element to be visible, enabled and stable[22m
[2m  -   element is visible, enabled and stable[22m
[2m  -   scrolling into view if needed[22m
[2m  -   done scrolling[22m
[2m  -   &lt;div data-automation-id="promptOption" class="css-svf…&gt;Locations by Location Hierarchy&lt;/div&gt; from &lt;div data-popup-type="ck" data-popup-version="2" clas…&gt;…&lt;/div&gt; subtree intercepts pointer events[22m
[2m  - retrying click action, attempt #55[22m
[2m  -   waiting 500ms[22m
</t>
  </si>
  <si>
    <t>Napoleon</t>
  </si>
  <si>
    <t>Vandervort</t>
  </si>
  <si>
    <t>Part time</t>
  </si>
  <si>
    <t>Open-ended</t>
  </si>
  <si>
    <t>GHE456160</t>
  </si>
  <si>
    <t>Test_39</t>
  </si>
  <si>
    <t>Test failed for 'Deanna Mraz' Employee: undefined&amp; find failed Screenshot Path:-&gt;H:\Gayatri_PolandCode/WorkdayFailedScreenshot/2025-03-04T08-44-13-670Z.png</t>
  </si>
  <si>
    <t>Deanna</t>
  </si>
  <si>
    <t>Mraz</t>
  </si>
  <si>
    <t>Auto 29786351</t>
  </si>
  <si>
    <t>Assistant Store Manager_NEW</t>
  </si>
  <si>
    <t>GHE456161</t>
  </si>
  <si>
    <t>Test_40</t>
  </si>
  <si>
    <t xml:space="preserve">Test failed for 'Lexie Witting' Employee:{}TimeoutError: locator.clear: Timeout 30000ms exceeded.
Call log:
  [2m- waiting for locator('//label[contains(.,\'End Employment Date\')]/parent::div/following-sibling::div/descendant::input[@data-automation-id=\'dateSectionDay-input\']')[22m
</t>
  </si>
  <si>
    <t>Lexie</t>
  </si>
  <si>
    <t>Witting</t>
  </si>
  <si>
    <t>Auto 86985170</t>
  </si>
  <si>
    <t>GHE456162</t>
  </si>
  <si>
    <t>Test_41</t>
  </si>
  <si>
    <t>Test failed for 'Zola Marvin' Employee: undefined&amp; find failed Screenshot Path:-&gt;H:\Gayatri_PolandCode/WorkdayFailedScreenshot/2025-03-04T08-50-14-153Z.png</t>
  </si>
  <si>
    <t>Zola</t>
  </si>
  <si>
    <t>Marvin</t>
  </si>
  <si>
    <t>Auto 46909207</t>
  </si>
  <si>
    <t>Assistant P&amp;C Manager_NEW</t>
  </si>
  <si>
    <t>GHE456163</t>
  </si>
  <si>
    <t>Test_42</t>
  </si>
  <si>
    <t xml:space="preserve">Test failed for 'Bernadine Hessel' Employee:{}TimeoutError: locator.click: Timeout 30000ms exceeded.
Call log:
  [2m- waiting for getByLabel('My Tasks Items')[22m
[2m  -   locator resolved to &lt;button class="wdappchrome-w" data-automation-id="inbox_…&gt;…&lt;/button&gt;[22m
[2m  - attempting click action[22m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#52[22m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#53[22m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#54[22m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#55[22m
[2m  -   waiting 500ms[22m
[2m  -   waiting for element to be visible, enabled and stable[22m
[2m  -   element is visible, enabled and stable[22m
[2m  -   scrolling into view if needed[22m
[2m  -   done scrolling[22m
[2m  -   &lt;div class="WOMP" data-automation-id="modalOverlay"&gt;…&lt;/div&gt; from &lt;div id="content-container"&gt;…&lt;/div&gt; subtree intercepts pointer events[22m
[2m  - retrying click action, attempt #56[22m
[2m  -   waiting 500ms[22m
</t>
  </si>
  <si>
    <t>Bernadine</t>
  </si>
  <si>
    <t>Hessel</t>
  </si>
  <si>
    <t>GHE456164</t>
  </si>
  <si>
    <t>Test_43</t>
  </si>
  <si>
    <t xml:space="preserve">Test failed for 'Thaddeus Lemke' Employee:{}TimeoutError: locator.click: Timeout 30000ms exceeded.
Call log:
  [2m- waiting for locator('xpath=(//*[@data-automation-id=\'pex-search-result-header\']//a[contains(text(),\'Create Position\')])[1]')[22m
</t>
  </si>
  <si>
    <t>Thaddeus</t>
  </si>
  <si>
    <t>Lemke</t>
  </si>
  <si>
    <t>Visual Merchandiser Manager_NEW</t>
  </si>
  <si>
    <t>GHE456165</t>
  </si>
  <si>
    <t>Test_44</t>
  </si>
  <si>
    <t xml:space="preserve">Test failed for 'Leone Hickle' Employee:{}TimeoutError: locator.click: Timeout 30000ms exceeded.
Call log:
  [2m- waiting for getByLabel('My Tasks Items')[22m
[2m  -   locator resolved to &lt;button class="wdappchrome-w" data-automation-id="inbox_…&gt;…&lt;/button&gt;[22m
[2m  - attempting click action[22m
[2m  -   waiting for element to be visible, enabled and stable[22m
[2m  -   element is not visible[22m
[2m  - retrying click action, attempt #1[22m
[2m  -   waiting for element to be visible, enabled and stable[22m
[2m  -   element is not visible[22m
[2m  - retrying click action, attempt #2[22m
[2m  -   waiting 20ms[22m
[2m  -   waiting for element to be visible, enabled and stable[22m
[2m  -   element is not visible[22m
[2m  - retrying click action, attempt #3[22m
[2m  -   waiting 100ms[22m
[2m  -   waiting for element to be visible, enabled and stable[22m
[2m  -   element is not visible[22m
[2m  - retrying click action, attempt #4[22m
[2m  -   waiting 100ms[22m
[2m  -   waiting for element to be visible, enabled and stable[22m
[2m  -   element is not visible[22m
[2m  - retrying click action, attempt #5[22m
[2m  -   waiting 500ms[22m
[2m  -   waiting for element to be visible, enabled and stable[22m
[2m  -   element is not visible[22m
[2m  - retrying click action, attempt #6[22m
[2m  -   waiting 500ms[22m
[2m  -   waiting for element to be visible, enabled and stable[22m
[2m  -   element is not visible[22m
[2m  - retrying click action, attempt #7[22m
[2m  -   waiting 500ms[22m
[2m  -   waiting for element to be visible, enabled and stable[22m
[2m  -   element is not visible[22m
[2m  - retrying click action, attempt #8[22m
[2m  -   waiting 500ms[22m
[2m  -   waiting for element to be visible, enabled and stable[22m
[2m  -   element is not visible[22m
[2m  - retrying click action, attempt #9[22m
[2m  -   waiting 500ms[22m
[2m  -   waiting for element to be visible, enabled and stable[22m
[2m  -   element is not visible[22m
[2m  - retrying click action, attempt #10[22m
[2m  -   waiting 500ms[22m
[2m  -   waiting for element to be visible, enabled and stable[22m
[2m  -   element is not visible[22m
[2m  - retrying click action, attempt #11[22m
[2m  -   waiting 500ms[22m
[2m  -   waiting for element to be visible, enabled and stable[22m
[2m  -   element is not visible[22m
[2m  - retrying click action, attempt #12[22m
[2m  -   waiting 500ms[22m
[2m  -   waiting for element to be visible, enabled and stable[22m
[2m  -   element is not visible[22m
[2m  - retrying click action, attempt #13[22m
[2m  -   waiting 500ms[22m
[2m  -   waiting for element to be visible, enabled and stable[22m
[2m  -   element is not visible[22m
[2m  - retrying click action, attempt #14[22m
[2m  -   waiting 500ms[22m
[2m  -   waiting for element to be visible, enabled and stable[22m
[2m  -   element is not visible[22m
[2m  - retrying click action, attempt #15[22m
[2m  -   waiting 500ms[22m
[2m  -   waiting for element to be visible, enabled and stable[22m
[2m  -   element is not visible[22m
[2m  - retrying click action, attempt #16[22m
[2m  -   waiting 500ms[22m
[2m  -   waiting for element to be visible, enabled and stable[22m
[2m  -   element is not visible[22m
[2m  - retrying click action, attempt #17[22m
[2m  -   waiting 500ms[22m
[2m  -   waiting for element to be visible, enabled and stable[22m
[2m  -   element is not visible[22m
[2m  - retrying click action, attempt #18[22m
[2m  -   waiting 500ms[22m
[2m  -   waiting for element to be visible, enabled and stable[22m
[2m  -   element is not visible[22m
[2m  - retrying click action, attempt #19[22m
[2m  -   waiting 500ms[22m
[2m  -   waiting for element to be visible, enabled and stable[22m
[2m  -   element is not visible[22m
[2m  - retrying click action, attempt #20[22m
[2m  -   waiting 500ms[22m
[2m  -   waiting for element to be visible, enabled and stable[22m
[2m  -   element is not visible[22m
[2m  - retrying click action, attempt #21[22m
[2m  -   waiting 500ms[22m
[2m  -   waiting for element to be visible, enabled and stable[22m
[2m  -   element is not visible[22m
[2m  - retrying click action, attempt #22[22m
[2m  -   waiting 500ms[22m
[2m  -   waiting for element to be visible, enabled and stable[22m
[2m  -   element is not visible[22m
[2m  - retrying click action, attempt #23[22m
[2m  -   waiting 500ms[22m
[2m  -   waiting for element to be visible, enabled and stable[22m
[2m  -   element is not visible[22m
[2m  - retrying click action, attempt #24[22m
[2m  -   waiting 500ms[22m
[2m  -   waiting for element to be visible, enabled and stable[22m
[2m  -   element is not visible[22m
[2m  - retrying click action, attempt #25[22m
[2m  -   waiting 500ms[22m
[2m  -   waiting for element to be visible, enabled and stable[22m
[2m  -   element is not visible[22m
[2m  - retrying click action, attempt #26[22m
[2m  -   waiting 500ms[22m
[2m  -   waiting for element to be visible, enabled and stable[22m
[2m  -   element is not visible[22m
[2m  - retrying click action, attempt #27[22m
[2m  -   waiting 500ms[22m
[2m  -   waiting for element to be visible, enabled and stable[22m
[2m  -   element is not visible[22m
[2m  - retrying click action, attempt #28[22m
[2m  -   waiting 500ms[22m
[2m  -   waiting for element to be visible, enabled and stable[22m
[2m  -   element is not visible[22m
[2m  - retrying click action, attempt #29[22m
[2m  -   waiting 500ms[22m
[2m  -   waiting for element to be visible, enabled and stable[22m
[2m  -   element is not visible[22m
[2m  - retrying click action, attempt #30[22m
[2m  -   waiting 500ms[22m
[2m  -   waiting for element to be visible, enabled and stable[22m
[2m  -   element is not visible[22m
[2m  - retrying click action, attempt #31[22m
[2m  -   waiting 500ms[22m
[2m  -   waiting for element to be visible, enabled and stable[22m
[2m  -   element is not visible[22m
[2m  - retrying click action, attempt #32[22m
[2m  -   waiting 500ms[22m
[2m  -   waiting for element to be visible, enabled and stable[22m
[2m  -   element is not visible[22m
[2m  - retrying click action, attempt #33[22m
[2m  -   waiting 500ms[22m
[2m  -   waiting for element to be visible, enabled and stable[22m
[2m  -   element is not visible[22m
[2m  - retrying click action, attempt #34[22m
[2m  -   waiting 500ms[22m
[2m  -   waiting for element to be visible, enabled and stable[22m
[2m  -   element is not visible[22m
[2m  - retrying click action, attempt #35[22m
[2m  -   waiting 500ms[22m
[2m  -   waiting for element to be visible, enabled and stable[22m
[2m  -   element is not visible[22m
[2m  - retrying click action, attempt #36[22m
[2m  -   waiting 500ms[22m
[2m  -   waiting for element to be visible, enabled and stable[22m
[2m  -   element is not visible[22m
[2m  - retrying click action, attempt #37[22m
[2m  -   waiting 500ms[22m
[2m  -   waiting for element to be visible, enabled and stable[22m
[2m  -   element is not visible[22m
[2m  - retrying click action, attempt #38[22m
[2m  -   waiting 500ms[22m
[2m  -   waiting for element to be visible, enabled and stable[22m
[2m  -   element is not visible[22m
[2m  - retrying click action, attempt #39[22m
[2m  -   waiting 500ms[22m
[2m  -   waiting for element to be visible, enabled and stable[22m
[2m  -   element is not visible[22m
[2m  - retrying click action, attempt #40[22m
[2m  -   waiting 500ms[22m
[2m  -   waiting for element to be visible, enabled and stable[22m
[2m  -   element is not visible[22m
[2m  - retrying click action, attempt #41[22m
[2m  -   waiting 500ms[22m
[2m  -   waiting for element to be visible, enabled and stable[22m
[2m  -   element is not visible[22m
[2m  - retrying click action, attempt #42[22m
[2m  -   waiting 500ms[22m
[2m  -   waiting for element to be visible, enabled and stable[22m
[2m  -   element is not visible[22m
[2m  - retrying click action, attempt #43[22m
[2m  -   waiting 500ms[22m
[2m  -   waiting for element to be visible, enabled and stable[22m
[2m  -   element is not visible[22m
[2m  - retrying click action, attempt #44[22m
[2m  -   waiting 500ms[22m
[2m  -   waiting for element to be visible, enabled and stable[22m
[2m  -   element is not visible[22m
[2m  - retrying click action, attempt #45[22m
[2m  -   waiting 500ms[22m
[2m  -   waiting for element to be visible, enabled and stable[22m
[2m  -   element is not visible[22m
[2m  - retrying click action, attempt #46[22m
[2m  -   waiting 500ms[22m
[2m  -   waiting for element to be visible, enabled and stable[22m
[2m  -   element is not visible[22m
[2m  - retrying click action, attempt #47[22m
[2m  -   waiting 500ms[22m
[2m  -   waiting for element to be visible, enabled and stable[22m
[2m  -   element is not visible[22m
[2m  - retrying click action, attempt #48[22m
[2m  -   waiting 500ms[22m
[2m  -   waiting for element to be visible, enabled and stable[22m
[2m  -   element is not visible[22m
[2m  - retrying click action, attempt #49[22m
[2m  -   waiting 500ms[22m
[2m  -   waiting for element to be visible, enabled and stable[22m
[2m  -   element is not visible[22m
[2m  - retrying click action, attempt #50[22m
[2m  -   waiting 500ms[22m
[2m  -   waiting for element to be visible, enabled and stable[22m
[2m  -   element is not visible[22m
[2m  - retrying click action, attempt #51[22m
[2m  -   waiting 500ms[22m
[2m  -   waiting for element to be visible, enabled and stable[22m
[2m  -   element is not visible[22m
[2m  - retrying click action, attempt #52[22m
[2m  -   waiting 500ms[22m
[2m  -   waiting for element to be visible, enabled and stable[22m
[2m  -   element is not visible[22m
[2m  - retrying click action, attempt #53[22m
[2m  -   waiting 500ms[22m
[2m  -   waiting for element to be visible, enabled and stable[22m
[2m  -   element is not visible[22m
[2m  - retrying click action, attempt #54[22m
[2m  -   waiting 500ms[22m
[2m  -   waiting for element to be visible, enabled and stable[22m
[2m  -   element is not visible[22m
[2m  - retrying click action, attempt #55[22m
[2m  -   waiting 500ms[22m
[2m  -   waiting for element to be visible, enabled and stable[22m
[2m  -   element is not visible[22m
[2m  - retrying click action, attempt #56[22m
[2m  -   waiting 500ms[22m
[2m  -   waiting for element to be visible, enabled and stable[22m
[2m  -   element is not visible[22m
[2m  - retrying click action, attempt #57[22m
[2m  -   waiting 500ms[22m
[2m  -   waiting for element to be visible, enabled and stable[22m
[2m  -   element is not visible[22m
[2m  - retrying click action, attempt #58[22m
[2m  -   waiting 500ms[22m
[2m  -   waiting for element to be visible, enabled and stable[22m
[2m  -   element is not visible[22m
[2m  - retrying click action, attempt #59[22m
[2m  -   waiting 500ms[22m
[2m  -   waiting for element to be visible, enabled and stable[22m
[2m  -   element is not visible[22m
[2m  - retrying click action, attempt #60[22m
[2m  -   waiting 500ms[22m
</t>
  </si>
  <si>
    <t>Leone</t>
  </si>
  <si>
    <t>Hickle</t>
  </si>
  <si>
    <t>GHE456166</t>
  </si>
  <si>
    <t>Test_45</t>
  </si>
  <si>
    <t xml:space="preserve">Test failed for 'Gregg Ebert' Employee:{}TimeoutError: page.goto: Timeout 30000ms exceeded.
Call log:
  [2m- navigating to "https://wd3-impl.workday.com/wday/authgwy/primark17/login.htmld", waiting until "load"[22m
</t>
  </si>
  <si>
    <t>766 Recruitment (Gybop Sytavu (10223416))</t>
  </si>
  <si>
    <t>Gregg</t>
  </si>
  <si>
    <t>Ebert</t>
  </si>
  <si>
    <t>P&amp;C Supervisor_NEW</t>
  </si>
  <si>
    <t>94 Retail Operative</t>
  </si>
  <si>
    <t>250 Human Resorurces Retail</t>
  </si>
  <si>
    <t>GHE456167</t>
  </si>
  <si>
    <t>Test_46</t>
  </si>
  <si>
    <t xml:space="preserve">Test failed for 'Magdalena Erdman' Employee:{}TimeoutError: page.goto: Timeout 30000ms exceeded.
Call log:
  [2m- navigating to "https://wd3-impl.workday.com/wday/authgwy/primark17/login.htmld", waiting until "load"[22m
</t>
  </si>
  <si>
    <t>Magdalena</t>
  </si>
  <si>
    <t>Erdman</t>
  </si>
  <si>
    <t>GHE456168</t>
  </si>
  <si>
    <t>Test_47</t>
  </si>
  <si>
    <t xml:space="preserve">Test failed for 'Josue Hartmann' Employee:{}TimeoutError: page.goto: Timeout 30000ms exceeded.
Call log:
  [2m- navigating to "https://wd3-impl.workday.com/wday/authgwy/primark17/login.htmld", waiting until "load"[22m
</t>
  </si>
  <si>
    <t>Josue</t>
  </si>
  <si>
    <t>Hartmann</t>
  </si>
  <si>
    <t>GHE456169</t>
  </si>
  <si>
    <t>Test_48</t>
  </si>
  <si>
    <t xml:space="preserve">Test failed for 'Nathaniel Towne' Employee:{}TimeoutError: locator.click: Timeout 30000ms exceeded.
Call log:
  [2m- waiting for getByRole('link', { name: 'Hire Employee' }).nth(1)[22m
</t>
  </si>
  <si>
    <t>Nathaniel</t>
  </si>
  <si>
    <t>Towne</t>
  </si>
  <si>
    <t>GHE456170</t>
  </si>
  <si>
    <t>Test_49</t>
  </si>
  <si>
    <t xml:space="preserve">Test failed for 'Vernie Medhurst' Employee:{}TimeoutError: page.goto: Timeout 30000ms exceeded.
Call log:
  [2m- navigating to "https://wd3-impl.workday.com/wday/authgwy/primark17/login.htmld", waiting until "load"[22m
</t>
  </si>
  <si>
    <t>Vernie</t>
  </si>
  <si>
    <t>Medhurst</t>
  </si>
  <si>
    <t>P&amp;C Assistant_NEW</t>
  </si>
  <si>
    <t>GHE456171</t>
  </si>
  <si>
    <t>Test_50</t>
  </si>
  <si>
    <t xml:space="preserve">Test failed for 'Grayce Farrell' Employee:{}TimeoutError: page.goto: Timeout 30000ms exceeded.
Call log:
  [2m- navigating to "https://wd3-impl.workday.com/wday/authgwy/primark17/login.htmld", waiting until "load"[22m
</t>
  </si>
  <si>
    <t>Grayce</t>
  </si>
  <si>
    <t>Farrell</t>
  </si>
  <si>
    <t>GHE456172</t>
  </si>
  <si>
    <t>Test_51</t>
  </si>
  <si>
    <t xml:space="preserve">Test failed for 'Ashley Schmidt' Employee:{}TimeoutError: page.goto: Timeout 30000ms exceeded.
Call log:
  [2m- navigating to "https://wd3-impl.workday.com/wday/authgwy/primark17/login.htmld", waiting until "load"[22m
</t>
  </si>
  <si>
    <t>Ashley</t>
  </si>
  <si>
    <t>Schmidt</t>
  </si>
  <si>
    <t>GHE456173</t>
  </si>
  <si>
    <t>Test_52</t>
  </si>
  <si>
    <t xml:space="preserve">Test failed for 'Niko Lebsack' Employee:{}TimeoutError: page.goto: Timeout 30000ms exceeded.
Call log:
  [2m- navigating to "https://wd3-impl.workday.com/wday/authgwy/primark17/login.htmld", waiting until "load"[22m
</t>
  </si>
  <si>
    <t>Niko</t>
  </si>
  <si>
    <t>Lebsack</t>
  </si>
  <si>
    <t>GHE456174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</si>
</sst>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6" x14ac:knownFonts="1">
    <font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10"/>
      <color indexed="8"/>
      <name val="Arial"/>
      <family val="2"/>
    </font>
    <font>
      <sz val="10"/>
      <color theme="1"/>
      <name val="Calibri"/>
      <family val="2"/>
      <scheme val="minor"/>
    </font>
    <font>
      <b/>
      <sz val="10"/>
      <color indexed="8"/>
      <name val="Calibri"/>
      <family val="2"/>
    </font>
    <font>
      <b/>
      <sz val="10"/>
      <color indexed="63"/>
      <name val="Arial"/>
      <family val="2"/>
    </font>
    <font>
      <u/>
      <sz val="10"/>
      <color indexed="12"/>
      <name val="Calibri"/>
      <family val="2"/>
    </font>
    <font>
      <sz val="14"/>
      <color indexed="8"/>
      <name val="Arial"/>
      <family val="2"/>
    </font>
    <font>
      <sz val="14"/>
      <color indexed="10"/>
      <name val="Arial"/>
      <family val="2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</font>
    <font>
      <b/>
      <sz val="11"/>
      <name val="Calibri"/>
      <family val="2"/>
    </font>
    <font>
      <sz val="10"/>
      <name val="Calibri"/>
      <family val="2"/>
    </font>
    <font>
      <sz val="14"/>
      <color rgb="FFFF0000"/>
      <name val="Arial"/>
      <family val="2"/>
    </font>
    <font>
      <sz val="16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horizontal="left"/>
    </xf>
    <xf numFmtId="0" fontId="1" fillId="3" borderId="0" xfId="0" applyFont="1" applyFill="1" applyAlignment="1">
      <alignment vertical="center" wrapText="1"/>
    </xf>
    <xf numFmtId="0" fontId="2" fillId="3" borderId="1" xfId="0" applyFont="1" applyFill="1" applyBorder="1" applyAlignment="1">
      <alignment horizontal="left" wrapText="1"/>
    </xf>
    <xf numFmtId="0" fontId="2" fillId="3" borderId="1" xfId="0" applyFont="1" applyFill="1" applyBorder="1" applyAlignment="1" applyProtection="1">
      <alignment horizontal="left" wrapText="1"/>
      <protection locked="0"/>
    </xf>
    <xf numFmtId="0" fontId="3" fillId="3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14" fontId="2" fillId="3" borderId="0" xfId="0" applyNumberFormat="1" applyFont="1" applyFill="1" applyAlignment="1">
      <alignment horizontal="left" wrapText="1"/>
    </xf>
    <xf numFmtId="0" fontId="5" fillId="3" borderId="0" xfId="0" applyFont="1" applyFill="1" applyAlignment="1">
      <alignment wrapText="1"/>
    </xf>
    <xf numFmtId="14" fontId="2" fillId="3" borderId="1" xfId="0" applyNumberFormat="1" applyFont="1" applyFill="1" applyBorder="1" applyAlignment="1">
      <alignment horizontal="left" wrapText="1"/>
    </xf>
    <xf numFmtId="0" fontId="6" fillId="3" borderId="1" xfId="0" applyFont="1" applyFill="1" applyBorder="1" applyAlignment="1" applyProtection="1">
      <alignment wrapText="1"/>
      <protection locked="0"/>
    </xf>
    <xf numFmtId="14" fontId="1" fillId="3" borderId="0" xfId="0" applyNumberFormat="1" applyFont="1" applyFill="1" applyAlignment="1">
      <alignment horizontal="left" wrapText="1"/>
    </xf>
    <xf numFmtId="0" fontId="7" fillId="3" borderId="0" xfId="0" applyFont="1" applyFill="1"/>
    <xf numFmtId="0" fontId="2" fillId="3" borderId="0" xfId="0" applyFont="1" applyFill="1" applyAlignment="1">
      <alignment horizontal="left" wrapText="1"/>
    </xf>
    <xf numFmtId="0" fontId="7" fillId="3" borderId="1" xfId="0" applyFont="1" applyFill="1" applyBorder="1" applyAlignment="1" applyProtection="1">
      <alignment horizontal="left" wrapText="1"/>
      <protection locked="0"/>
    </xf>
    <xf numFmtId="0" fontId="2" fillId="3" borderId="0" xfId="0" applyFont="1" applyFill="1" applyAlignment="1">
      <alignment wrapText="1"/>
    </xf>
    <xf numFmtId="14" fontId="8" fillId="3" borderId="0" xfId="0" applyNumberFormat="1" applyFont="1" applyFill="1" applyAlignment="1">
      <alignment horizontal="left"/>
    </xf>
    <xf numFmtId="14" fontId="9" fillId="3" borderId="1" xfId="0" applyNumberFormat="1" applyFont="1" applyFill="1" applyBorder="1" applyAlignment="1">
      <alignment horizontal="left" wrapText="1"/>
    </xf>
    <xf numFmtId="14" fontId="10" fillId="3" borderId="1" xfId="0" applyNumberFormat="1" applyFont="1" applyFill="1" applyBorder="1" applyAlignment="1">
      <alignment horizontal="left"/>
    </xf>
    <xf numFmtId="164" fontId="2" fillId="3" borderId="1" xfId="0" applyNumberFormat="1" applyFont="1" applyFill="1" applyBorder="1" applyAlignment="1" applyProtection="1">
      <alignment horizontal="left" wrapText="1"/>
      <protection locked="0"/>
    </xf>
    <xf numFmtId="164" fontId="2" fillId="3" borderId="2" xfId="0" applyNumberFormat="1" applyFont="1" applyFill="1" applyBorder="1" applyAlignment="1" applyProtection="1">
      <alignment horizontal="left" wrapText="1"/>
      <protection locked="0"/>
    </xf>
    <xf numFmtId="164" fontId="11" fillId="3" borderId="1" xfId="0" applyNumberFormat="1" applyFont="1" applyFill="1" applyBorder="1" applyAlignment="1" applyProtection="1">
      <alignment horizontal="left" wrapText="1"/>
      <protection locked="0"/>
    </xf>
    <xf numFmtId="15" fontId="12" fillId="3" borderId="1" xfId="0" applyNumberFormat="1" applyFont="1" applyFill="1" applyBorder="1" applyAlignment="1">
      <alignment horizontal="left"/>
    </xf>
    <xf numFmtId="164" fontId="13" fillId="3" borderId="1" xfId="0" applyNumberFormat="1" applyFont="1" applyFill="1" applyBorder="1" applyAlignment="1" applyProtection="1">
      <alignment horizontal="left" wrapText="1"/>
      <protection locked="0"/>
    </xf>
    <xf numFmtId="0" fontId="13" fillId="3" borderId="1" xfId="0" applyFont="1" applyFill="1" applyBorder="1" applyAlignment="1">
      <alignment horizontal="left" wrapText="1"/>
    </xf>
    <xf numFmtId="0" fontId="14" fillId="0" borderId="0" xfId="0" applyFont="1" applyAlignment="1">
      <alignment vertical="center" wrapText="1"/>
    </xf>
    <xf numFmtId="0" fontId="2" fillId="0" borderId="1" xfId="0" applyFont="1" applyBorder="1" applyAlignment="1">
      <alignment horizontal="left" wrapText="1"/>
    </xf>
    <xf numFmtId="0" fontId="15" fillId="0" borderId="1" xfId="0" applyFont="1" applyBorder="1" applyAlignment="1">
      <alignment vertical="center" wrapText="1"/>
    </xf>
    <xf numFmtId="14" fontId="2" fillId="0" borderId="1" xfId="0" applyNumberFormat="1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40"/>
  <sheetViews>
    <sheetView tabSelected="1" zoomScale="115" zoomScaleNormal="115" workbookViewId="0">
      <selection activeCell="F9" sqref="F9"/>
    </sheetView>
  </sheetViews>
  <sheetFormatPr defaultRowHeight="14.5" customHeight="1" x14ac:dyDescent="0.35"/>
  <cols>
    <col min="1" max="1" width="10.81640625" customWidth="1"/>
    <col min="2" max="2" width="18.7265625" customWidth="1"/>
    <col min="3" max="3" width="14.453125" customWidth="1"/>
    <col min="4" max="4" width="20.453125" customWidth="1"/>
    <col min="5" max="5" width="7" customWidth="1"/>
    <col min="6" max="6" width="10" customWidth="1"/>
    <col min="7" max="7" width="10.1796875" customWidth="1"/>
    <col min="8" max="8" width="11.90625" customWidth="1"/>
    <col min="9" max="9" width="11.1796875" customWidth="1"/>
    <col min="10" max="10" width="18" customWidth="1"/>
    <col min="11" max="11" width="27.81640625" customWidth="1"/>
    <col min="12" max="12" width="7" customWidth="1"/>
    <col min="13" max="13" width="10.36328125" customWidth="1"/>
    <col min="14" max="14" width="7.6328125" customWidth="1"/>
    <col min="15" max="15" width="27.08984375" customWidth="1"/>
    <col min="16" max="16" width="17.90625" customWidth="1"/>
    <col min="17" max="17" width="11.7265625" customWidth="1"/>
    <col min="18" max="18" width="10" customWidth="1"/>
    <col min="19" max="19" width="6.36328125" customWidth="1"/>
    <col min="20" max="20" width="4.81640625" customWidth="1"/>
    <col min="21" max="21" width="6.6328125" customWidth="1"/>
    <col min="22" max="22" width="11.08984375" customWidth="1"/>
    <col min="23" max="23" width="20.54296875" customWidth="1"/>
    <col min="24" max="24" width="29.08984375" customWidth="1"/>
    <col min="25" max="25" width="6.90625" customWidth="1"/>
    <col min="26" max="26" width="7.08984375" customWidth="1"/>
    <col min="27" max="27" width="12.7265625" style="1" customWidth="1"/>
    <col min="28" max="28" width="23.453125" customWidth="1"/>
    <col min="29" max="29" width="12" style="1" customWidth="1"/>
    <col min="30" max="30" width="7.54296875" customWidth="1"/>
    <col min="31" max="31" width="11.7265625" customWidth="1"/>
    <col min="32" max="32" width="8.08984375" customWidth="1"/>
    <col min="33" max="33" width="12.81640625" customWidth="1"/>
    <col min="34" max="34" width="10.81640625" customWidth="1"/>
    <col min="35" max="35" width="16.1796875" customWidth="1"/>
    <col min="36" max="36" width="17" customWidth="1"/>
    <col min="37" max="37" width="23.08984375" customWidth="1"/>
    <col min="38" max="38" width="8.6328125" style="1" customWidth="1"/>
    <col min="39" max="40" width="25.453125" customWidth="1"/>
    <col min="41" max="41" width="9.36328125" customWidth="1"/>
    <col min="42" max="42" width="16.08984375" customWidth="1"/>
    <col min="43" max="43" width="5.90625" customWidth="1"/>
    <col min="44" max="44" width="17" customWidth="1"/>
    <col min="45" max="45" width="16.6328125" customWidth="1"/>
    <col min="46" max="46" width="15.08984375" customWidth="1"/>
    <col min="47" max="47" width="27.453125" customWidth="1"/>
    <col min="48" max="55" width="27.1796875" customWidth="1"/>
    <col min="56" max="56" width="35.1796875" customWidth="1"/>
    <col min="57" max="57" width="24.1796875" customWidth="1"/>
    <col min="58" max="58" width="27.90625" customWidth="1"/>
    <col min="59" max="59" width="23.90625" customWidth="1"/>
    <col min="60" max="60" width="25.81640625" customWidth="1"/>
    <col min="61" max="61" width="14" customWidth="1"/>
    <col min="62" max="62" width="30.6328125" customWidth="1"/>
    <col min="63" max="63" width="18.81640625" customWidth="1"/>
    <col min="64" max="64" width="11.1796875" customWidth="1"/>
    <col min="65" max="65" width="13.26953125" customWidth="1"/>
    <col min="66" max="66" width="18.7265625" customWidth="1"/>
    <col min="67" max="67" width="25.1796875" customWidth="1"/>
    <col min="68" max="68" width="20.90625" customWidth="1"/>
    <col min="69" max="69" width="20.54296875" customWidth="1"/>
    <col min="70" max="70" width="31.90625" customWidth="1"/>
    <col min="76" max="76" width="26.36328125" customWidth="1"/>
  </cols>
  <sheetData>
    <row r="1" spans="1:76" s="2" customFormat="1" ht="14.5" customHeight="1" x14ac:dyDescent="0.35">
      <c r="A1" s="3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6" t="s">
        <v>8</v>
      </c>
      <c r="J1" s="6" t="s">
        <v>9</v>
      </c>
      <c r="K1" s="9" t="s">
        <v>10</v>
      </c>
      <c r="L1" s="5" t="s">
        <v>4</v>
      </c>
      <c r="M1" s="5" t="s">
        <v>11</v>
      </c>
      <c r="N1" s="6" t="s">
        <v>12</v>
      </c>
      <c r="O1" s="10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9</v>
      </c>
      <c r="U1" s="11" t="s">
        <v>18</v>
      </c>
      <c r="V1" s="12" t="s">
        <v>19</v>
      </c>
      <c r="W1" s="6" t="s">
        <v>9</v>
      </c>
      <c r="X1" s="13" t="s">
        <v>20</v>
      </c>
      <c r="Y1" s="6" t="s">
        <v>21</v>
      </c>
      <c r="Z1" s="6" t="s">
        <v>22</v>
      </c>
      <c r="AA1" s="6" t="s">
        <v>23</v>
      </c>
      <c r="AB1" s="6" t="s">
        <v>24</v>
      </c>
      <c r="AC1" s="14" t="s">
        <v>25</v>
      </c>
      <c r="AD1" s="15" t="s">
        <v>26</v>
      </c>
      <c r="AE1" s="15" t="s">
        <v>27</v>
      </c>
      <c r="AF1" s="16" t="s">
        <v>28</v>
      </c>
      <c r="AG1" s="17" t="s">
        <v>29</v>
      </c>
      <c r="AH1" s="17" t="s">
        <v>30</v>
      </c>
      <c r="AI1" s="17" t="s">
        <v>31</v>
      </c>
      <c r="AJ1" s="17" t="s">
        <v>32</v>
      </c>
      <c r="AK1" s="17" t="s">
        <v>33</v>
      </c>
      <c r="AL1" s="17" t="s">
        <v>34</v>
      </c>
      <c r="AM1" s="18" t="s">
        <v>35</v>
      </c>
      <c r="AN1" s="6" t="s">
        <v>36</v>
      </c>
      <c r="AO1" s="6" t="s">
        <v>37</v>
      </c>
      <c r="AP1" s="14" t="s">
        <v>38</v>
      </c>
      <c r="AQ1" s="6" t="s">
        <v>39</v>
      </c>
      <c r="AR1" s="19" t="s">
        <v>40</v>
      </c>
      <c r="AS1" s="19" t="s">
        <v>41</v>
      </c>
      <c r="AT1" s="20" t="s">
        <v>42</v>
      </c>
      <c r="AU1" s="6" t="s">
        <v>43</v>
      </c>
      <c r="AV1" s="2" t="s">
        <v>44</v>
      </c>
      <c r="AW1" s="2" t="s">
        <v>45</v>
      </c>
      <c r="AX1" s="2" t="s">
        <v>46</v>
      </c>
      <c r="AY1" s="2" t="s">
        <v>47</v>
      </c>
      <c r="AZ1" s="2" t="s">
        <v>48</v>
      </c>
      <c r="BA1" s="2" t="s">
        <v>49</v>
      </c>
      <c r="BB1" s="2" t="s">
        <v>50</v>
      </c>
      <c r="BC1" s="2" t="s">
        <v>51</v>
      </c>
      <c r="BD1" s="21" t="s">
        <v>52</v>
      </c>
      <c r="BE1" s="15" t="s">
        <v>53</v>
      </c>
      <c r="BF1" s="2" t="s">
        <v>54</v>
      </c>
      <c r="BG1" s="21" t="s">
        <v>55</v>
      </c>
      <c r="BH1" s="15" t="s">
        <v>56</v>
      </c>
      <c r="BI1" s="15" t="s">
        <v>57</v>
      </c>
      <c r="BJ1" s="21" t="s">
        <v>58</v>
      </c>
      <c r="BK1" s="15" t="s">
        <v>59</v>
      </c>
      <c r="BL1" s="14" t="s">
        <v>60</v>
      </c>
      <c r="BM1" s="22" t="s">
        <v>61</v>
      </c>
      <c r="BN1" s="23" t="s">
        <v>62</v>
      </c>
      <c r="BO1" s="24" t="s">
        <v>63</v>
      </c>
      <c r="BP1" s="25" t="s">
        <v>64</v>
      </c>
      <c r="BQ1" s="5" t="s">
        <v>65</v>
      </c>
      <c r="BR1" s="26" t="s">
        <v>66</v>
      </c>
      <c r="BS1" s="5" t="s">
        <v>67</v>
      </c>
      <c r="BT1" s="25" t="s">
        <v>68</v>
      </c>
      <c r="BU1" s="25" t="s">
        <v>69</v>
      </c>
      <c r="BV1" s="5" t="s">
        <v>70</v>
      </c>
      <c r="BW1" s="5" t="s">
        <v>71</v>
      </c>
      <c r="BX1" s="5" t="s">
        <v>72</v>
      </c>
    </row>
    <row r="2" spans="1:76" ht="14.5" customHeight="1" x14ac:dyDescent="0.35">
      <c r="A2" t="s">
        <v>73</v>
      </c>
      <c r="B2" t="s">
        <v>74</v>
      </c>
      <c r="C2" s="1" t="s">
        <v>75</v>
      </c>
      <c r="D2" s="27" t="s">
        <v>76</v>
      </c>
      <c r="E2" t="s">
        <v>77</v>
      </c>
      <c r="F2" t="s">
        <v>78</v>
      </c>
      <c r="G2" t="s">
        <v>79</v>
      </c>
      <c r="H2" s="28" t="s">
        <v>80</v>
      </c>
      <c r="I2" s="28" t="s">
        <v>81</v>
      </c>
      <c r="J2" s="28" t="s">
        <v>82</v>
      </c>
      <c r="K2" s="30">
        <f ca="1">TODAY()-31</f>
        <v>45689</v>
      </c>
      <c r="L2" s="28" t="s">
        <v>77</v>
      </c>
      <c r="M2" s="28" t="s">
        <v>83</v>
      </c>
      <c r="N2" s="28" t="s">
        <v>84</v>
      </c>
      <c r="O2" s="28" t="s">
        <v>85</v>
      </c>
      <c r="P2" s="28" t="s">
        <v>86</v>
      </c>
      <c r="Q2" s="28" t="s">
        <v>87</v>
      </c>
      <c r="R2" s="28" t="s">
        <v>87</v>
      </c>
      <c r="S2" s="28" t="s">
        <v>86</v>
      </c>
      <c r="T2" s="28" t="s">
        <v>82</v>
      </c>
      <c r="U2" s="28" t="s">
        <v>88</v>
      </c>
      <c r="V2" s="28" t="s">
        <v>89</v>
      </c>
      <c r="W2" s="28" t="s">
        <v>82</v>
      </c>
      <c r="X2" s="30">
        <f t="shared" ref="X2:X19" ca="1" si="0">K2</f>
        <v>45689</v>
      </c>
      <c r="Y2" s="28" t="s">
        <v>90</v>
      </c>
      <c r="Z2" s="28" t="s">
        <v>91</v>
      </c>
      <c r="AA2" s="28" t="s">
        <v>92</v>
      </c>
      <c r="AB2" s="28" t="s">
        <v>93</v>
      </c>
      <c r="AC2" s="28" t="s">
        <v>94</v>
      </c>
      <c r="AD2" s="28">
        <v>766</v>
      </c>
      <c r="AE2" s="28" t="s">
        <v>70</v>
      </c>
      <c r="AF2" s="28">
        <v>40</v>
      </c>
      <c r="AG2" s="28" t="s">
        <v>87</v>
      </c>
      <c r="AH2" s="28" t="s">
        <v>95</v>
      </c>
      <c r="AI2" s="30">
        <v>45293</v>
      </c>
      <c r="AJ2" s="30">
        <v>45293</v>
      </c>
      <c r="AK2" s="28" t="s">
        <v>96</v>
      </c>
      <c r="AL2" s="28" t="s">
        <v>97</v>
      </c>
      <c r="AM2" s="30" t="s">
        <v>98</v>
      </c>
      <c r="AN2" s="28">
        <v>110</v>
      </c>
      <c r="AO2" s="28" t="s">
        <v>99</v>
      </c>
      <c r="AP2" s="28" t="s">
        <v>100</v>
      </c>
      <c r="AQ2" s="28" t="s">
        <v>101</v>
      </c>
      <c r="AR2" s="30">
        <f t="shared" ref="AR2:AR19" ca="1" si="1">X2</f>
        <v>45689</v>
      </c>
      <c r="AS2" s="30">
        <f t="shared" ref="AS2:AS19" ca="1" si="2">X2</f>
        <v>45689</v>
      </c>
      <c r="AT2" s="30" t="str">
        <f t="shared" ref="AT2:AT19" si="3">AM2</f>
        <v>N/A</v>
      </c>
      <c r="AU2" s="28" t="s">
        <v>102</v>
      </c>
      <c r="AV2" s="28" t="s">
        <v>103</v>
      </c>
      <c r="AW2" s="28" t="s">
        <v>104</v>
      </c>
      <c r="AX2" s="28" t="s">
        <v>105</v>
      </c>
      <c r="AY2" s="28" t="s">
        <v>106</v>
      </c>
      <c r="AZ2" s="28" t="s">
        <v>107</v>
      </c>
      <c r="BA2" s="28" t="s">
        <v>108</v>
      </c>
      <c r="BB2" s="28" t="s">
        <v>109</v>
      </c>
      <c r="BC2" s="28" t="s">
        <v>77</v>
      </c>
      <c r="BD2" s="28" t="s">
        <v>110</v>
      </c>
      <c r="BE2" s="28">
        <v>9477896645</v>
      </c>
      <c r="BF2" s="28" t="s">
        <v>77</v>
      </c>
      <c r="BG2" s="28" t="s">
        <v>111</v>
      </c>
      <c r="BH2" s="28">
        <v>47678965379</v>
      </c>
      <c r="BI2" s="28" t="s">
        <v>77</v>
      </c>
      <c r="BJ2" s="28" t="s">
        <v>112</v>
      </c>
      <c r="BK2" s="28" t="s">
        <v>113</v>
      </c>
      <c r="BL2" s="28" t="s">
        <v>114</v>
      </c>
      <c r="BM2" s="28">
        <v>35591</v>
      </c>
      <c r="BN2" s="28" t="s">
        <v>115</v>
      </c>
      <c r="BO2" s="28" t="s">
        <v>116</v>
      </c>
      <c r="BP2" s="28" t="s">
        <v>117</v>
      </c>
      <c r="BQ2" s="28" t="s">
        <v>118</v>
      </c>
      <c r="BR2" s="28" t="s">
        <v>119</v>
      </c>
      <c r="BS2" s="28" t="s">
        <v>120</v>
      </c>
      <c r="BT2" s="28" t="s">
        <v>121</v>
      </c>
      <c r="BU2" s="28" t="s">
        <v>122</v>
      </c>
      <c r="BV2" s="28" t="s">
        <v>123</v>
      </c>
      <c r="BW2" s="28" t="s">
        <v>124</v>
      </c>
      <c r="BX2" s="28" t="s">
        <v>125</v>
      </c>
    </row>
    <row r="3" spans="1:76" ht="14.5" customHeight="1" x14ac:dyDescent="0.35">
      <c r="A3" t="s">
        <v>126</v>
      </c>
      <c r="B3" t="s">
        <v>127</v>
      </c>
      <c r="C3" s="1" t="s">
        <v>75</v>
      </c>
      <c r="D3" s="27" t="s">
        <v>76</v>
      </c>
      <c r="E3" t="s">
        <v>77</v>
      </c>
      <c r="F3" t="s">
        <v>128</v>
      </c>
      <c r="G3" t="s">
        <v>129</v>
      </c>
      <c r="H3" s="28" t="s">
        <v>80</v>
      </c>
      <c r="I3" s="28" t="s">
        <v>81</v>
      </c>
      <c r="J3" s="28" t="s">
        <v>82</v>
      </c>
      <c r="K3" s="30">
        <f ca="1">TODAY()-31</f>
        <v>45689</v>
      </c>
      <c r="L3" s="28" t="s">
        <v>77</v>
      </c>
      <c r="M3" s="28" t="s">
        <v>83</v>
      </c>
      <c r="N3" s="28" t="s">
        <v>84</v>
      </c>
      <c r="O3" s="28" t="s">
        <v>85</v>
      </c>
      <c r="P3" s="28" t="s">
        <v>86</v>
      </c>
      <c r="Q3" s="28" t="s">
        <v>87</v>
      </c>
      <c r="R3" s="28" t="s">
        <v>87</v>
      </c>
      <c r="S3" s="28" t="s">
        <v>86</v>
      </c>
      <c r="T3" s="28" t="s">
        <v>82</v>
      </c>
      <c r="U3" s="28" t="s">
        <v>88</v>
      </c>
      <c r="V3" s="28" t="s">
        <v>89</v>
      </c>
      <c r="W3" s="28" t="s">
        <v>82</v>
      </c>
      <c r="X3" s="30">
        <f t="shared" ca="1" si="0"/>
        <v>45689</v>
      </c>
      <c r="Y3" s="28" t="s">
        <v>90</v>
      </c>
      <c r="Z3" s="28" t="s">
        <v>91</v>
      </c>
      <c r="AA3" s="28" t="s">
        <v>130</v>
      </c>
      <c r="AB3" s="28" t="s">
        <v>93</v>
      </c>
      <c r="AC3" s="28" t="s">
        <v>94</v>
      </c>
      <c r="AD3" s="28">
        <v>766</v>
      </c>
      <c r="AE3" s="28" t="s">
        <v>70</v>
      </c>
      <c r="AF3" s="28">
        <v>40</v>
      </c>
      <c r="AG3" s="28" t="s">
        <v>87</v>
      </c>
      <c r="AH3" s="28" t="s">
        <v>95</v>
      </c>
      <c r="AI3" s="30">
        <v>43831</v>
      </c>
      <c r="AJ3" s="30">
        <v>45293</v>
      </c>
      <c r="AK3" s="28" t="s">
        <v>96</v>
      </c>
      <c r="AL3" s="28" t="s">
        <v>97</v>
      </c>
      <c r="AM3" s="30">
        <f ca="1">TODAY()+365</f>
        <v>46085</v>
      </c>
      <c r="AN3" s="28">
        <v>110</v>
      </c>
      <c r="AO3" s="28" t="s">
        <v>99</v>
      </c>
      <c r="AP3" s="28" t="s">
        <v>100</v>
      </c>
      <c r="AQ3" s="28" t="s">
        <v>101</v>
      </c>
      <c r="AR3" s="30">
        <f t="shared" ca="1" si="1"/>
        <v>45689</v>
      </c>
      <c r="AS3" s="30">
        <f t="shared" ca="1" si="2"/>
        <v>45689</v>
      </c>
      <c r="AT3" s="30">
        <f t="shared" ca="1" si="3"/>
        <v>46085</v>
      </c>
      <c r="AU3" s="28" t="s">
        <v>102</v>
      </c>
      <c r="AV3" s="28" t="s">
        <v>103</v>
      </c>
      <c r="AW3" s="28" t="s">
        <v>104</v>
      </c>
      <c r="AX3" s="28" t="s">
        <v>105</v>
      </c>
      <c r="AY3" s="28" t="s">
        <v>106</v>
      </c>
      <c r="AZ3" s="28" t="s">
        <v>107</v>
      </c>
      <c r="BA3" s="28" t="s">
        <v>108</v>
      </c>
      <c r="BB3" s="28" t="s">
        <v>109</v>
      </c>
      <c r="BC3" s="28" t="s">
        <v>77</v>
      </c>
      <c r="BD3" s="28" t="s">
        <v>110</v>
      </c>
      <c r="BE3" s="28">
        <v>9477896646</v>
      </c>
      <c r="BF3" s="28" t="s">
        <v>77</v>
      </c>
      <c r="BG3" s="28" t="s">
        <v>111</v>
      </c>
      <c r="BH3" s="28">
        <v>47678965380</v>
      </c>
      <c r="BI3" s="28" t="s">
        <v>77</v>
      </c>
      <c r="BJ3" s="28" t="s">
        <v>112</v>
      </c>
      <c r="BK3" s="28" t="s">
        <v>131</v>
      </c>
      <c r="BL3" s="28" t="s">
        <v>114</v>
      </c>
      <c r="BM3" s="28">
        <v>35591</v>
      </c>
      <c r="BN3" s="28" t="s">
        <v>115</v>
      </c>
      <c r="BO3" s="28" t="s">
        <v>116</v>
      </c>
      <c r="BP3" s="28" t="s">
        <v>117</v>
      </c>
      <c r="BQ3" s="28" t="s">
        <v>118</v>
      </c>
      <c r="BR3" s="28" t="s">
        <v>119</v>
      </c>
      <c r="BS3" s="28" t="s">
        <v>120</v>
      </c>
      <c r="BT3" s="28" t="s">
        <v>121</v>
      </c>
      <c r="BU3" s="28" t="s">
        <v>122</v>
      </c>
      <c r="BV3" s="28" t="s">
        <v>123</v>
      </c>
      <c r="BW3" s="28" t="s">
        <v>124</v>
      </c>
      <c r="BX3" s="28" t="s">
        <v>125</v>
      </c>
    </row>
    <row r="4" spans="1:76" ht="14.5" customHeight="1" x14ac:dyDescent="0.35">
      <c r="A4" t="s">
        <v>132</v>
      </c>
      <c r="B4" t="s">
        <v>133</v>
      </c>
      <c r="C4" s="1" t="s">
        <v>75</v>
      </c>
      <c r="D4" s="27" t="s">
        <v>76</v>
      </c>
      <c r="E4" t="s">
        <v>77</v>
      </c>
      <c r="F4" t="s">
        <v>134</v>
      </c>
      <c r="G4" t="s">
        <v>135</v>
      </c>
      <c r="H4" s="28" t="s">
        <v>80</v>
      </c>
      <c r="I4" s="28" t="s">
        <v>81</v>
      </c>
      <c r="J4" s="28" t="s">
        <v>82</v>
      </c>
      <c r="K4" s="30">
        <f ca="1">TODAY()-31</f>
        <v>45689</v>
      </c>
      <c r="L4" s="28" t="s">
        <v>77</v>
      </c>
      <c r="M4" s="28" t="s">
        <v>83</v>
      </c>
      <c r="N4" s="28" t="s">
        <v>84</v>
      </c>
      <c r="O4" s="28" t="s">
        <v>85</v>
      </c>
      <c r="P4" s="28" t="s">
        <v>86</v>
      </c>
      <c r="Q4" s="28" t="s">
        <v>87</v>
      </c>
      <c r="R4" s="28" t="s">
        <v>87</v>
      </c>
      <c r="S4" s="28" t="s">
        <v>86</v>
      </c>
      <c r="T4" s="28" t="s">
        <v>82</v>
      </c>
      <c r="U4" s="28" t="s">
        <v>88</v>
      </c>
      <c r="V4" s="28" t="s">
        <v>89</v>
      </c>
      <c r="W4" s="28" t="s">
        <v>82</v>
      </c>
      <c r="X4" s="30">
        <f t="shared" ca="1" si="0"/>
        <v>45689</v>
      </c>
      <c r="Y4" s="28" t="s">
        <v>90</v>
      </c>
      <c r="Z4" s="28" t="s">
        <v>91</v>
      </c>
      <c r="AA4" s="28" t="s">
        <v>92</v>
      </c>
      <c r="AB4" s="28" t="s">
        <v>136</v>
      </c>
      <c r="AC4" s="28" t="s">
        <v>94</v>
      </c>
      <c r="AD4" s="28">
        <v>766</v>
      </c>
      <c r="AE4" s="28" t="s">
        <v>70</v>
      </c>
      <c r="AF4" s="28">
        <v>40</v>
      </c>
      <c r="AG4" s="28" t="s">
        <v>87</v>
      </c>
      <c r="AH4" s="28" t="s">
        <v>95</v>
      </c>
      <c r="AI4" s="30">
        <v>43831</v>
      </c>
      <c r="AJ4" s="30">
        <v>45293</v>
      </c>
      <c r="AK4" s="28" t="s">
        <v>96</v>
      </c>
      <c r="AL4" s="28" t="s">
        <v>97</v>
      </c>
      <c r="AM4" s="30" t="s">
        <v>98</v>
      </c>
      <c r="AN4" s="28">
        <v>110</v>
      </c>
      <c r="AO4" s="28" t="s">
        <v>99</v>
      </c>
      <c r="AP4" s="28" t="s">
        <v>100</v>
      </c>
      <c r="AQ4" s="28" t="s">
        <v>101</v>
      </c>
      <c r="AR4" s="30">
        <f t="shared" ca="1" si="1"/>
        <v>45689</v>
      </c>
      <c r="AS4" s="30">
        <f t="shared" ca="1" si="2"/>
        <v>45689</v>
      </c>
      <c r="AT4" s="30" t="str">
        <f t="shared" si="3"/>
        <v>N/A</v>
      </c>
      <c r="AU4" s="28" t="s">
        <v>102</v>
      </c>
      <c r="AV4" s="28" t="s">
        <v>103</v>
      </c>
      <c r="AW4" s="28" t="s">
        <v>104</v>
      </c>
      <c r="AX4" s="28" t="s">
        <v>105</v>
      </c>
      <c r="AY4" s="28" t="s">
        <v>106</v>
      </c>
      <c r="AZ4" s="28" t="s">
        <v>107</v>
      </c>
      <c r="BA4" s="28" t="s">
        <v>108</v>
      </c>
      <c r="BB4" s="28" t="s">
        <v>109</v>
      </c>
      <c r="BC4" s="28" t="s">
        <v>77</v>
      </c>
      <c r="BD4" s="28" t="s">
        <v>110</v>
      </c>
      <c r="BE4" s="28">
        <v>9477896647</v>
      </c>
      <c r="BF4" s="28" t="s">
        <v>77</v>
      </c>
      <c r="BG4" s="28" t="s">
        <v>111</v>
      </c>
      <c r="BH4" s="28">
        <v>47678965381</v>
      </c>
      <c r="BI4" s="28" t="s">
        <v>77</v>
      </c>
      <c r="BJ4" s="28" t="s">
        <v>112</v>
      </c>
      <c r="BK4" s="28" t="s">
        <v>137</v>
      </c>
      <c r="BL4" s="28" t="s">
        <v>114</v>
      </c>
      <c r="BM4" s="28">
        <v>35591</v>
      </c>
      <c r="BN4" s="28" t="s">
        <v>115</v>
      </c>
      <c r="BO4" s="28" t="s">
        <v>116</v>
      </c>
      <c r="BP4" s="28" t="s">
        <v>117</v>
      </c>
      <c r="BQ4" s="28" t="s">
        <v>118</v>
      </c>
      <c r="BR4" s="28" t="s">
        <v>119</v>
      </c>
      <c r="BS4" s="28" t="s">
        <v>120</v>
      </c>
      <c r="BT4" s="28" t="s">
        <v>121</v>
      </c>
      <c r="BU4" s="28" t="s">
        <v>122</v>
      </c>
      <c r="BV4" s="28" t="s">
        <v>123</v>
      </c>
      <c r="BW4" s="28" t="s">
        <v>124</v>
      </c>
      <c r="BX4" s="28" t="s">
        <v>125</v>
      </c>
    </row>
    <row r="5" spans="1:76" ht="14.5" customHeight="1" x14ac:dyDescent="0.35">
      <c r="A5" t="s">
        <v>138</v>
      </c>
      <c r="B5" t="s">
        <v>139</v>
      </c>
      <c r="C5" s="1" t="s">
        <v>75</v>
      </c>
      <c r="D5" s="27" t="s">
        <v>76</v>
      </c>
      <c r="E5" t="s">
        <v>77</v>
      </c>
      <c r="F5" t="s">
        <v>140</v>
      </c>
      <c r="G5" t="s">
        <v>141</v>
      </c>
      <c r="H5" s="28" t="s">
        <v>80</v>
      </c>
      <c r="I5" s="28" t="s">
        <v>81</v>
      </c>
      <c r="J5" s="28" t="s">
        <v>82</v>
      </c>
      <c r="K5" s="30">
        <f ca="1">TODAY()-60</f>
        <v>45660</v>
      </c>
      <c r="L5" s="28" t="s">
        <v>77</v>
      </c>
      <c r="M5" s="28" t="s">
        <v>83</v>
      </c>
      <c r="N5" s="28" t="s">
        <v>84</v>
      </c>
      <c r="O5" s="28" t="s">
        <v>85</v>
      </c>
      <c r="P5" s="28" t="s">
        <v>86</v>
      </c>
      <c r="Q5" s="28" t="s">
        <v>87</v>
      </c>
      <c r="R5" s="28" t="s">
        <v>87</v>
      </c>
      <c r="S5" s="28" t="s">
        <v>86</v>
      </c>
      <c r="T5" s="28" t="s">
        <v>82</v>
      </c>
      <c r="U5" s="28" t="s">
        <v>88</v>
      </c>
      <c r="V5" s="28" t="s">
        <v>89</v>
      </c>
      <c r="W5" s="28" t="s">
        <v>82</v>
      </c>
      <c r="X5" s="30">
        <f t="shared" ca="1" si="0"/>
        <v>45660</v>
      </c>
      <c r="Y5" s="28" t="s">
        <v>90</v>
      </c>
      <c r="Z5" s="28" t="s">
        <v>91</v>
      </c>
      <c r="AA5" s="28" t="s">
        <v>130</v>
      </c>
      <c r="AB5" s="28" t="s">
        <v>136</v>
      </c>
      <c r="AC5" s="28" t="s">
        <v>142</v>
      </c>
      <c r="AD5" s="28">
        <v>766</v>
      </c>
      <c r="AE5" s="28" t="s">
        <v>70</v>
      </c>
      <c r="AF5" s="28">
        <v>30</v>
      </c>
      <c r="AG5" s="28" t="s">
        <v>87</v>
      </c>
      <c r="AH5" s="28" t="s">
        <v>95</v>
      </c>
      <c r="AI5" s="30">
        <v>43831</v>
      </c>
      <c r="AJ5" s="30">
        <v>45293</v>
      </c>
      <c r="AK5" s="28" t="s">
        <v>96</v>
      </c>
      <c r="AL5" s="28" t="s">
        <v>97</v>
      </c>
      <c r="AM5" s="30">
        <f ca="1">TODAY()+365</f>
        <v>46085</v>
      </c>
      <c r="AN5" s="28">
        <v>110</v>
      </c>
      <c r="AO5" s="28" t="s">
        <v>99</v>
      </c>
      <c r="AP5" s="28" t="s">
        <v>143</v>
      </c>
      <c r="AQ5" s="28" t="s">
        <v>101</v>
      </c>
      <c r="AR5" s="30">
        <f t="shared" ca="1" si="1"/>
        <v>45660</v>
      </c>
      <c r="AS5" s="30">
        <f t="shared" ca="1" si="2"/>
        <v>45660</v>
      </c>
      <c r="AT5" s="30">
        <f t="shared" ca="1" si="3"/>
        <v>46085</v>
      </c>
      <c r="AU5" s="28" t="s">
        <v>102</v>
      </c>
      <c r="AV5" s="28" t="s">
        <v>103</v>
      </c>
      <c r="AW5" s="28" t="s">
        <v>104</v>
      </c>
      <c r="AX5" s="28" t="s">
        <v>105</v>
      </c>
      <c r="AY5" s="28" t="s">
        <v>106</v>
      </c>
      <c r="AZ5" s="28" t="s">
        <v>107</v>
      </c>
      <c r="BA5" s="28" t="s">
        <v>108</v>
      </c>
      <c r="BB5" s="28" t="s">
        <v>109</v>
      </c>
      <c r="BC5" s="28" t="s">
        <v>77</v>
      </c>
      <c r="BD5" s="28" t="s">
        <v>110</v>
      </c>
      <c r="BE5" s="28">
        <v>9477896648</v>
      </c>
      <c r="BF5" s="28" t="s">
        <v>77</v>
      </c>
      <c r="BG5" s="28" t="s">
        <v>111</v>
      </c>
      <c r="BH5" s="28">
        <v>47678965382</v>
      </c>
      <c r="BI5" s="28" t="s">
        <v>77</v>
      </c>
      <c r="BJ5" s="28" t="s">
        <v>112</v>
      </c>
      <c r="BK5" s="28" t="s">
        <v>144</v>
      </c>
      <c r="BL5" s="28" t="s">
        <v>114</v>
      </c>
      <c r="BM5" s="28">
        <v>35591</v>
      </c>
      <c r="BN5" s="28" t="s">
        <v>115</v>
      </c>
      <c r="BO5" s="28" t="s">
        <v>116</v>
      </c>
      <c r="BP5" s="28" t="s">
        <v>117</v>
      </c>
      <c r="BQ5" s="28" t="s">
        <v>118</v>
      </c>
      <c r="BR5" s="28" t="s">
        <v>119</v>
      </c>
      <c r="BS5" s="28" t="s">
        <v>120</v>
      </c>
      <c r="BT5" s="28" t="s">
        <v>121</v>
      </c>
      <c r="BU5" s="28" t="s">
        <v>122</v>
      </c>
      <c r="BV5" s="28" t="s">
        <v>123</v>
      </c>
      <c r="BW5" s="28" t="s">
        <v>124</v>
      </c>
      <c r="BX5" s="28" t="s">
        <v>125</v>
      </c>
    </row>
    <row r="6" spans="1:76" ht="14.5" customHeight="1" x14ac:dyDescent="0.35">
      <c r="A6" t="s">
        <v>145</v>
      </c>
      <c r="B6" t="s">
        <v>146</v>
      </c>
      <c r="C6" s="1" t="s">
        <v>75</v>
      </c>
      <c r="D6" s="27" t="s">
        <v>76</v>
      </c>
      <c r="E6" t="s">
        <v>77</v>
      </c>
      <c r="F6" t="s">
        <v>147</v>
      </c>
      <c r="G6" t="s">
        <v>148</v>
      </c>
      <c r="H6" s="28" t="s">
        <v>80</v>
      </c>
      <c r="I6" s="28" t="s">
        <v>81</v>
      </c>
      <c r="J6" s="28" t="s">
        <v>82</v>
      </c>
      <c r="K6" s="30">
        <f t="shared" ref="K6:K19" ca="1" si="4">TODAY()-31</f>
        <v>45689</v>
      </c>
      <c r="L6" s="28" t="s">
        <v>77</v>
      </c>
      <c r="M6" s="28" t="s">
        <v>83</v>
      </c>
      <c r="N6" s="28" t="s">
        <v>84</v>
      </c>
      <c r="O6" s="28" t="s">
        <v>85</v>
      </c>
      <c r="P6" s="28" t="s">
        <v>86</v>
      </c>
      <c r="Q6" s="28" t="s">
        <v>87</v>
      </c>
      <c r="R6" s="28" t="s">
        <v>87</v>
      </c>
      <c r="S6" s="28" t="s">
        <v>86</v>
      </c>
      <c r="T6" s="28" t="s">
        <v>82</v>
      </c>
      <c r="U6" s="28" t="s">
        <v>88</v>
      </c>
      <c r="V6" s="28" t="s">
        <v>89</v>
      </c>
      <c r="W6" s="28" t="s">
        <v>82</v>
      </c>
      <c r="X6" s="30">
        <f t="shared" ca="1" si="0"/>
        <v>45689</v>
      </c>
      <c r="Y6" s="28" t="s">
        <v>90</v>
      </c>
      <c r="Z6" s="28" t="s">
        <v>149</v>
      </c>
      <c r="AA6" s="28" t="s">
        <v>92</v>
      </c>
      <c r="AB6" s="28" t="s">
        <v>150</v>
      </c>
      <c r="AC6" s="28" t="s">
        <v>94</v>
      </c>
      <c r="AD6" s="28">
        <v>766</v>
      </c>
      <c r="AE6" s="28" t="s">
        <v>70</v>
      </c>
      <c r="AF6" s="28">
        <v>40</v>
      </c>
      <c r="AG6" s="28" t="s">
        <v>87</v>
      </c>
      <c r="AH6" s="28" t="s">
        <v>95</v>
      </c>
      <c r="AI6" s="30">
        <v>43831</v>
      </c>
      <c r="AJ6" s="30">
        <v>45293</v>
      </c>
      <c r="AK6" s="28" t="s">
        <v>96</v>
      </c>
      <c r="AL6" s="28" t="s">
        <v>97</v>
      </c>
      <c r="AM6" s="30" t="s">
        <v>98</v>
      </c>
      <c r="AN6" s="28">
        <v>110</v>
      </c>
      <c r="AO6" s="28" t="s">
        <v>99</v>
      </c>
      <c r="AP6" s="28" t="s">
        <v>100</v>
      </c>
      <c r="AQ6" s="28" t="s">
        <v>101</v>
      </c>
      <c r="AR6" s="30">
        <f t="shared" ca="1" si="1"/>
        <v>45689</v>
      </c>
      <c r="AS6" s="30">
        <f t="shared" ca="1" si="2"/>
        <v>45689</v>
      </c>
      <c r="AT6" s="30" t="str">
        <f t="shared" si="3"/>
        <v>N/A</v>
      </c>
      <c r="AU6" s="28" t="s">
        <v>102</v>
      </c>
      <c r="AV6" s="28" t="s">
        <v>103</v>
      </c>
      <c r="AW6" s="28" t="s">
        <v>104</v>
      </c>
      <c r="AX6" s="28" t="s">
        <v>105</v>
      </c>
      <c r="AY6" s="28" t="s">
        <v>106</v>
      </c>
      <c r="AZ6" s="28" t="s">
        <v>107</v>
      </c>
      <c r="BA6" s="28" t="s">
        <v>108</v>
      </c>
      <c r="BB6" s="28" t="s">
        <v>109</v>
      </c>
      <c r="BC6" s="28" t="s">
        <v>77</v>
      </c>
      <c r="BD6" s="28" t="s">
        <v>110</v>
      </c>
      <c r="BE6" s="28">
        <v>9477896649</v>
      </c>
      <c r="BF6" s="28" t="s">
        <v>77</v>
      </c>
      <c r="BG6" s="28" t="s">
        <v>111</v>
      </c>
      <c r="BH6" s="28">
        <v>47678965383</v>
      </c>
      <c r="BI6" s="28" t="s">
        <v>77</v>
      </c>
      <c r="BJ6" s="28" t="s">
        <v>112</v>
      </c>
      <c r="BK6" s="28" t="s">
        <v>151</v>
      </c>
      <c r="BL6" s="28" t="s">
        <v>114</v>
      </c>
      <c r="BM6" s="28">
        <v>35591</v>
      </c>
      <c r="BN6" s="28" t="s">
        <v>115</v>
      </c>
      <c r="BO6" s="28" t="s">
        <v>116</v>
      </c>
      <c r="BP6" s="28" t="s">
        <v>117</v>
      </c>
      <c r="BQ6" s="28" t="s">
        <v>118</v>
      </c>
      <c r="BR6" s="28" t="s">
        <v>119</v>
      </c>
      <c r="BS6" s="28" t="s">
        <v>120</v>
      </c>
      <c r="BT6" s="28" t="s">
        <v>121</v>
      </c>
      <c r="BU6" s="28" t="s">
        <v>122</v>
      </c>
      <c r="BV6" s="28" t="s">
        <v>123</v>
      </c>
      <c r="BW6" s="28" t="s">
        <v>124</v>
      </c>
      <c r="BX6" s="28" t="s">
        <v>125</v>
      </c>
    </row>
    <row r="7" spans="1:76" ht="14.5" customHeight="1" x14ac:dyDescent="0.35">
      <c r="A7" t="s">
        <v>152</v>
      </c>
      <c r="B7" t="s">
        <v>153</v>
      </c>
      <c r="C7" s="1" t="s">
        <v>75</v>
      </c>
      <c r="D7" s="27" t="s">
        <v>76</v>
      </c>
      <c r="E7" t="s">
        <v>77</v>
      </c>
      <c r="F7" t="s">
        <v>154</v>
      </c>
      <c r="G7" t="s">
        <v>155</v>
      </c>
      <c r="H7" s="28" t="s">
        <v>80</v>
      </c>
      <c r="I7" s="28" t="s">
        <v>81</v>
      </c>
      <c r="J7" s="28" t="s">
        <v>82</v>
      </c>
      <c r="K7" s="30">
        <f t="shared" ca="1" si="4"/>
        <v>45689</v>
      </c>
      <c r="L7" s="28" t="s">
        <v>77</v>
      </c>
      <c r="M7" s="28" t="s">
        <v>83</v>
      </c>
      <c r="N7" s="28" t="s">
        <v>84</v>
      </c>
      <c r="O7" s="28" t="s">
        <v>85</v>
      </c>
      <c r="P7" s="28" t="s">
        <v>86</v>
      </c>
      <c r="Q7" s="28" t="s">
        <v>87</v>
      </c>
      <c r="R7" s="28" t="s">
        <v>87</v>
      </c>
      <c r="S7" s="28" t="s">
        <v>86</v>
      </c>
      <c r="T7" s="28" t="s">
        <v>82</v>
      </c>
      <c r="U7" s="28" t="s">
        <v>88</v>
      </c>
      <c r="V7" s="28" t="s">
        <v>89</v>
      </c>
      <c r="W7" s="28" t="s">
        <v>82</v>
      </c>
      <c r="X7" s="30">
        <f t="shared" ca="1" si="0"/>
        <v>45689</v>
      </c>
      <c r="Y7" s="28" t="s">
        <v>90</v>
      </c>
      <c r="Z7" s="28" t="s">
        <v>156</v>
      </c>
      <c r="AA7" s="28" t="s">
        <v>130</v>
      </c>
      <c r="AB7" s="28" t="s">
        <v>150</v>
      </c>
      <c r="AC7" s="28" t="s">
        <v>142</v>
      </c>
      <c r="AD7" s="28">
        <v>766</v>
      </c>
      <c r="AE7" s="28" t="s">
        <v>70</v>
      </c>
      <c r="AF7" s="28">
        <v>10</v>
      </c>
      <c r="AG7" s="28" t="s">
        <v>87</v>
      </c>
      <c r="AH7" s="28" t="s">
        <v>95</v>
      </c>
      <c r="AI7" s="30">
        <v>43831</v>
      </c>
      <c r="AJ7" s="30">
        <v>45293</v>
      </c>
      <c r="AK7" s="28" t="s">
        <v>96</v>
      </c>
      <c r="AL7" s="28" t="s">
        <v>97</v>
      </c>
      <c r="AM7" s="30">
        <f ca="1">TODAY()+365</f>
        <v>46085</v>
      </c>
      <c r="AN7" s="28">
        <v>110</v>
      </c>
      <c r="AO7" s="28" t="s">
        <v>99</v>
      </c>
      <c r="AP7" s="28" t="s">
        <v>143</v>
      </c>
      <c r="AQ7" s="28" t="s">
        <v>101</v>
      </c>
      <c r="AR7" s="30">
        <f t="shared" ca="1" si="1"/>
        <v>45689</v>
      </c>
      <c r="AS7" s="30">
        <f t="shared" ca="1" si="2"/>
        <v>45689</v>
      </c>
      <c r="AT7" s="30">
        <f t="shared" ca="1" si="3"/>
        <v>46085</v>
      </c>
      <c r="AU7" s="28" t="s">
        <v>102</v>
      </c>
      <c r="AV7" s="28" t="s">
        <v>103</v>
      </c>
      <c r="AW7" s="28" t="s">
        <v>104</v>
      </c>
      <c r="AX7" s="28" t="s">
        <v>105</v>
      </c>
      <c r="AY7" s="28" t="s">
        <v>106</v>
      </c>
      <c r="AZ7" s="28" t="s">
        <v>107</v>
      </c>
      <c r="BA7" s="28" t="s">
        <v>108</v>
      </c>
      <c r="BB7" s="28" t="s">
        <v>109</v>
      </c>
      <c r="BC7" s="28" t="s">
        <v>77</v>
      </c>
      <c r="BD7" s="28" t="s">
        <v>110</v>
      </c>
      <c r="BE7" s="28">
        <v>9477896650</v>
      </c>
      <c r="BF7" s="28" t="s">
        <v>77</v>
      </c>
      <c r="BG7" s="28" t="s">
        <v>111</v>
      </c>
      <c r="BH7" s="28">
        <v>47678965384</v>
      </c>
      <c r="BI7" s="28" t="s">
        <v>77</v>
      </c>
      <c r="BJ7" s="28" t="s">
        <v>112</v>
      </c>
      <c r="BK7" s="28" t="s">
        <v>157</v>
      </c>
      <c r="BL7" s="28" t="s">
        <v>114</v>
      </c>
      <c r="BM7" s="28">
        <v>35591</v>
      </c>
      <c r="BN7" s="28" t="s">
        <v>115</v>
      </c>
      <c r="BO7" s="28" t="s">
        <v>116</v>
      </c>
      <c r="BP7" s="28" t="s">
        <v>117</v>
      </c>
      <c r="BQ7" s="28" t="s">
        <v>118</v>
      </c>
      <c r="BR7" s="28" t="s">
        <v>119</v>
      </c>
      <c r="BS7" s="28" t="s">
        <v>120</v>
      </c>
      <c r="BT7" s="28" t="s">
        <v>121</v>
      </c>
      <c r="BU7" s="28" t="s">
        <v>122</v>
      </c>
      <c r="BV7" s="28" t="s">
        <v>123</v>
      </c>
      <c r="BW7" s="28" t="s">
        <v>124</v>
      </c>
      <c r="BX7" s="28" t="s">
        <v>125</v>
      </c>
    </row>
    <row r="8" spans="1:76" ht="14.5" customHeight="1" x14ac:dyDescent="0.35">
      <c r="A8" t="s">
        <v>158</v>
      </c>
      <c r="B8" t="s">
        <v>159</v>
      </c>
      <c r="C8" s="1" t="s">
        <v>75</v>
      </c>
      <c r="D8" s="27" t="s">
        <v>76</v>
      </c>
      <c r="E8" t="s">
        <v>77</v>
      </c>
      <c r="F8" t="s">
        <v>160</v>
      </c>
      <c r="G8" t="s">
        <v>161</v>
      </c>
      <c r="H8" s="28" t="s">
        <v>80</v>
      </c>
      <c r="I8" s="28" t="s">
        <v>81</v>
      </c>
      <c r="J8" s="28" t="s">
        <v>82</v>
      </c>
      <c r="K8" s="30">
        <f t="shared" ca="1" si="4"/>
        <v>45689</v>
      </c>
      <c r="L8" s="28" t="s">
        <v>77</v>
      </c>
      <c r="M8" s="28" t="s">
        <v>83</v>
      </c>
      <c r="N8" s="28" t="s">
        <v>84</v>
      </c>
      <c r="O8" s="28" t="s">
        <v>85</v>
      </c>
      <c r="P8" s="28" t="s">
        <v>86</v>
      </c>
      <c r="Q8" s="28" t="s">
        <v>87</v>
      </c>
      <c r="R8" s="28" t="s">
        <v>87</v>
      </c>
      <c r="S8" s="28" t="s">
        <v>86</v>
      </c>
      <c r="T8" s="28" t="s">
        <v>82</v>
      </c>
      <c r="U8" s="28" t="s">
        <v>88</v>
      </c>
      <c r="V8" s="28" t="s">
        <v>89</v>
      </c>
      <c r="W8" s="28" t="s">
        <v>82</v>
      </c>
      <c r="X8" s="30">
        <f t="shared" ca="1" si="0"/>
        <v>45689</v>
      </c>
      <c r="Y8" s="28" t="s">
        <v>90</v>
      </c>
      <c r="Z8" s="28" t="s">
        <v>162</v>
      </c>
      <c r="AA8" s="28" t="s">
        <v>92</v>
      </c>
      <c r="AB8" s="28" t="s">
        <v>163</v>
      </c>
      <c r="AC8" s="28" t="s">
        <v>94</v>
      </c>
      <c r="AD8" s="28">
        <v>766</v>
      </c>
      <c r="AE8" s="28" t="s">
        <v>70</v>
      </c>
      <c r="AF8" s="28">
        <v>40</v>
      </c>
      <c r="AG8" s="28" t="s">
        <v>87</v>
      </c>
      <c r="AH8" s="28" t="s">
        <v>95</v>
      </c>
      <c r="AI8" s="30">
        <v>43831</v>
      </c>
      <c r="AJ8" s="30">
        <v>45293</v>
      </c>
      <c r="AK8" s="28" t="s">
        <v>96</v>
      </c>
      <c r="AL8" s="28" t="s">
        <v>97</v>
      </c>
      <c r="AM8" s="30" t="s">
        <v>98</v>
      </c>
      <c r="AN8" s="28">
        <v>110</v>
      </c>
      <c r="AO8" s="28" t="s">
        <v>99</v>
      </c>
      <c r="AP8" s="28" t="s">
        <v>100</v>
      </c>
      <c r="AQ8" s="28" t="s">
        <v>101</v>
      </c>
      <c r="AR8" s="30">
        <f t="shared" ca="1" si="1"/>
        <v>45689</v>
      </c>
      <c r="AS8" s="30">
        <f t="shared" ca="1" si="2"/>
        <v>45689</v>
      </c>
      <c r="AT8" s="30" t="str">
        <f t="shared" si="3"/>
        <v>N/A</v>
      </c>
      <c r="AU8" s="28" t="s">
        <v>102</v>
      </c>
      <c r="AV8" s="28" t="s">
        <v>103</v>
      </c>
      <c r="AW8" s="28" t="s">
        <v>104</v>
      </c>
      <c r="AX8" s="28" t="s">
        <v>105</v>
      </c>
      <c r="AY8" s="28" t="s">
        <v>106</v>
      </c>
      <c r="AZ8" s="28" t="s">
        <v>107</v>
      </c>
      <c r="BA8" s="28" t="s">
        <v>108</v>
      </c>
      <c r="BB8" s="28" t="s">
        <v>91</v>
      </c>
      <c r="BC8" s="28" t="s">
        <v>77</v>
      </c>
      <c r="BD8" s="28" t="s">
        <v>110</v>
      </c>
      <c r="BE8" s="28">
        <v>9477896651</v>
      </c>
      <c r="BF8" s="28" t="s">
        <v>77</v>
      </c>
      <c r="BG8" s="28" t="s">
        <v>111</v>
      </c>
      <c r="BH8" s="28">
        <v>47678965385</v>
      </c>
      <c r="BI8" s="28" t="s">
        <v>77</v>
      </c>
      <c r="BJ8" s="28" t="s">
        <v>112</v>
      </c>
      <c r="BK8" s="28" t="s">
        <v>164</v>
      </c>
      <c r="BL8" s="28" t="s">
        <v>114</v>
      </c>
      <c r="BM8" s="28">
        <v>35591</v>
      </c>
      <c r="BN8" s="28" t="s">
        <v>115</v>
      </c>
      <c r="BO8" s="28" t="s">
        <v>116</v>
      </c>
      <c r="BP8" s="28" t="s">
        <v>117</v>
      </c>
      <c r="BQ8" s="28" t="s">
        <v>118</v>
      </c>
      <c r="BR8" s="28" t="s">
        <v>119</v>
      </c>
      <c r="BS8" s="28" t="s">
        <v>120</v>
      </c>
      <c r="BT8" s="28" t="s">
        <v>121</v>
      </c>
      <c r="BU8" s="28" t="s">
        <v>122</v>
      </c>
      <c r="BV8" s="28" t="s">
        <v>123</v>
      </c>
      <c r="BW8" s="28" t="s">
        <v>124</v>
      </c>
      <c r="BX8" s="28" t="s">
        <v>125</v>
      </c>
    </row>
    <row r="9" spans="1:76" ht="14.5" customHeight="1" x14ac:dyDescent="0.35">
      <c r="A9" t="s">
        <v>165</v>
      </c>
      <c r="B9" t="s">
        <v>166</v>
      </c>
      <c r="C9" s="1" t="s">
        <v>75</v>
      </c>
      <c r="D9" s="27" t="s">
        <v>76</v>
      </c>
      <c r="E9" t="s">
        <v>77</v>
      </c>
      <c r="F9" t="s">
        <v>167</v>
      </c>
      <c r="G9" t="s">
        <v>168</v>
      </c>
      <c r="H9" s="28" t="s">
        <v>80</v>
      </c>
      <c r="I9" s="28" t="s">
        <v>81</v>
      </c>
      <c r="J9" s="28" t="s">
        <v>82</v>
      </c>
      <c r="K9" s="30">
        <f t="shared" ca="1" si="4"/>
        <v>45689</v>
      </c>
      <c r="L9" s="28" t="s">
        <v>77</v>
      </c>
      <c r="M9" s="28" t="s">
        <v>83</v>
      </c>
      <c r="N9" s="28" t="s">
        <v>84</v>
      </c>
      <c r="O9" s="28" t="s">
        <v>85</v>
      </c>
      <c r="P9" s="28" t="s">
        <v>86</v>
      </c>
      <c r="Q9" s="28" t="s">
        <v>87</v>
      </c>
      <c r="R9" s="28" t="s">
        <v>87</v>
      </c>
      <c r="S9" s="28" t="s">
        <v>86</v>
      </c>
      <c r="T9" s="28" t="s">
        <v>82</v>
      </c>
      <c r="U9" s="28" t="s">
        <v>88</v>
      </c>
      <c r="V9" s="28" t="s">
        <v>89</v>
      </c>
      <c r="W9" s="28" t="s">
        <v>82</v>
      </c>
      <c r="X9" s="30">
        <f t="shared" ca="1" si="0"/>
        <v>45689</v>
      </c>
      <c r="Y9" s="28" t="s">
        <v>90</v>
      </c>
      <c r="Z9" s="28" t="s">
        <v>91</v>
      </c>
      <c r="AA9" s="28" t="s">
        <v>130</v>
      </c>
      <c r="AB9" s="28" t="s">
        <v>163</v>
      </c>
      <c r="AC9" s="28" t="s">
        <v>142</v>
      </c>
      <c r="AD9" s="28">
        <v>766</v>
      </c>
      <c r="AE9" s="28" t="s">
        <v>70</v>
      </c>
      <c r="AF9" s="28">
        <v>20</v>
      </c>
      <c r="AG9" s="28" t="s">
        <v>87</v>
      </c>
      <c r="AH9" s="28" t="s">
        <v>95</v>
      </c>
      <c r="AI9" s="30">
        <v>43831</v>
      </c>
      <c r="AJ9" s="30">
        <v>45293</v>
      </c>
      <c r="AK9" s="28" t="s">
        <v>96</v>
      </c>
      <c r="AL9" s="28" t="s">
        <v>97</v>
      </c>
      <c r="AM9" s="30">
        <f ca="1">TODAY()+365</f>
        <v>46085</v>
      </c>
      <c r="AN9" s="28">
        <v>110</v>
      </c>
      <c r="AO9" s="28" t="s">
        <v>99</v>
      </c>
      <c r="AP9" s="28" t="s">
        <v>143</v>
      </c>
      <c r="AQ9" s="28" t="s">
        <v>101</v>
      </c>
      <c r="AR9" s="30">
        <f t="shared" ca="1" si="1"/>
        <v>45689</v>
      </c>
      <c r="AS9" s="30">
        <f t="shared" ca="1" si="2"/>
        <v>45689</v>
      </c>
      <c r="AT9" s="30">
        <f t="shared" ca="1" si="3"/>
        <v>46085</v>
      </c>
      <c r="AU9" s="28" t="s">
        <v>102</v>
      </c>
      <c r="AV9" s="28" t="s">
        <v>103</v>
      </c>
      <c r="AW9" s="28" t="s">
        <v>104</v>
      </c>
      <c r="AX9" s="28" t="s">
        <v>105</v>
      </c>
      <c r="AY9" s="28" t="s">
        <v>106</v>
      </c>
      <c r="AZ9" s="28" t="s">
        <v>107</v>
      </c>
      <c r="BA9" s="28" t="s">
        <v>108</v>
      </c>
      <c r="BB9" s="28" t="s">
        <v>109</v>
      </c>
      <c r="BC9" s="28" t="s">
        <v>77</v>
      </c>
      <c r="BD9" s="28" t="s">
        <v>110</v>
      </c>
      <c r="BE9" s="28">
        <v>9477896652</v>
      </c>
      <c r="BF9" s="28" t="s">
        <v>77</v>
      </c>
      <c r="BG9" s="28" t="s">
        <v>111</v>
      </c>
      <c r="BH9" s="28">
        <v>47678965386</v>
      </c>
      <c r="BI9" s="28" t="s">
        <v>77</v>
      </c>
      <c r="BJ9" s="28" t="s">
        <v>112</v>
      </c>
      <c r="BK9" s="28" t="s">
        <v>169</v>
      </c>
      <c r="BL9" s="28" t="s">
        <v>114</v>
      </c>
      <c r="BM9" s="28">
        <v>35591</v>
      </c>
      <c r="BN9" s="28" t="s">
        <v>115</v>
      </c>
      <c r="BO9" s="28" t="s">
        <v>116</v>
      </c>
      <c r="BP9" s="28" t="s">
        <v>117</v>
      </c>
      <c r="BQ9" s="28" t="s">
        <v>118</v>
      </c>
      <c r="BR9" s="28" t="s">
        <v>119</v>
      </c>
      <c r="BS9" s="28" t="s">
        <v>120</v>
      </c>
      <c r="BT9" s="28" t="s">
        <v>121</v>
      </c>
      <c r="BU9" s="28" t="s">
        <v>122</v>
      </c>
      <c r="BV9" s="28" t="s">
        <v>123</v>
      </c>
      <c r="BW9" s="28" t="s">
        <v>124</v>
      </c>
      <c r="BX9" s="28" t="s">
        <v>125</v>
      </c>
    </row>
    <row r="10" spans="1:76" ht="14.5" customHeight="1" x14ac:dyDescent="0.35">
      <c r="A10" t="s">
        <v>170</v>
      </c>
      <c r="B10" t="s">
        <v>171</v>
      </c>
      <c r="C10" s="1" t="s">
        <v>75</v>
      </c>
      <c r="D10" s="27" t="s">
        <v>76</v>
      </c>
      <c r="E10" t="s">
        <v>77</v>
      </c>
      <c r="F10" t="s">
        <v>172</v>
      </c>
      <c r="G10" t="s">
        <v>173</v>
      </c>
      <c r="H10" s="28" t="s">
        <v>80</v>
      </c>
      <c r="I10" s="28" t="s">
        <v>81</v>
      </c>
      <c r="J10" s="28" t="s">
        <v>82</v>
      </c>
      <c r="K10" s="30">
        <f t="shared" ca="1" si="4"/>
        <v>45689</v>
      </c>
      <c r="L10" s="28" t="s">
        <v>77</v>
      </c>
      <c r="M10" s="28" t="s">
        <v>83</v>
      </c>
      <c r="N10" s="28" t="s">
        <v>84</v>
      </c>
      <c r="O10" s="28" t="s">
        <v>85</v>
      </c>
      <c r="P10" s="28" t="s">
        <v>86</v>
      </c>
      <c r="Q10" s="28" t="s">
        <v>87</v>
      </c>
      <c r="R10" s="28" t="s">
        <v>87</v>
      </c>
      <c r="S10" s="28" t="s">
        <v>86</v>
      </c>
      <c r="T10" s="28" t="s">
        <v>82</v>
      </c>
      <c r="U10" s="28" t="s">
        <v>88</v>
      </c>
      <c r="V10" s="28" t="s">
        <v>89</v>
      </c>
      <c r="W10" s="28" t="s">
        <v>82</v>
      </c>
      <c r="X10" s="30">
        <f t="shared" ca="1" si="0"/>
        <v>45689</v>
      </c>
      <c r="Y10" s="28" t="s">
        <v>90</v>
      </c>
      <c r="Z10" s="28" t="s">
        <v>91</v>
      </c>
      <c r="AA10" s="28" t="s">
        <v>92</v>
      </c>
      <c r="AB10" s="28" t="s">
        <v>174</v>
      </c>
      <c r="AC10" s="28" t="s">
        <v>94</v>
      </c>
      <c r="AD10" s="28">
        <v>766</v>
      </c>
      <c r="AE10" s="28" t="s">
        <v>70</v>
      </c>
      <c r="AF10" s="28">
        <v>40</v>
      </c>
      <c r="AG10" s="28" t="s">
        <v>87</v>
      </c>
      <c r="AH10" s="28" t="s">
        <v>95</v>
      </c>
      <c r="AI10" s="30">
        <v>43831</v>
      </c>
      <c r="AJ10" s="30">
        <v>45293</v>
      </c>
      <c r="AK10" s="28" t="s">
        <v>96</v>
      </c>
      <c r="AL10" s="28" t="s">
        <v>97</v>
      </c>
      <c r="AM10" s="30">
        <f ca="1">TODAY()+365</f>
        <v>46085</v>
      </c>
      <c r="AN10" s="28">
        <v>110</v>
      </c>
      <c r="AO10" s="28" t="s">
        <v>99</v>
      </c>
      <c r="AP10" s="28" t="s">
        <v>100</v>
      </c>
      <c r="AQ10" s="28" t="s">
        <v>101</v>
      </c>
      <c r="AR10" s="30">
        <f t="shared" ca="1" si="1"/>
        <v>45689</v>
      </c>
      <c r="AS10" s="30">
        <f t="shared" ca="1" si="2"/>
        <v>45689</v>
      </c>
      <c r="AT10" s="30">
        <f t="shared" ca="1" si="3"/>
        <v>46085</v>
      </c>
      <c r="AU10" s="28" t="s">
        <v>102</v>
      </c>
      <c r="AV10" s="28" t="s">
        <v>103</v>
      </c>
      <c r="AW10" s="28" t="s">
        <v>104</v>
      </c>
      <c r="AX10" s="28" t="s">
        <v>105</v>
      </c>
      <c r="AY10" s="28" t="s">
        <v>106</v>
      </c>
      <c r="AZ10" s="28" t="s">
        <v>107</v>
      </c>
      <c r="BA10" s="28" t="s">
        <v>108</v>
      </c>
      <c r="BB10" s="28" t="s">
        <v>91</v>
      </c>
      <c r="BC10" s="28" t="s">
        <v>77</v>
      </c>
      <c r="BD10" s="28" t="s">
        <v>110</v>
      </c>
      <c r="BE10" s="28">
        <v>9477896653</v>
      </c>
      <c r="BF10" s="28" t="s">
        <v>77</v>
      </c>
      <c r="BG10" s="28" t="s">
        <v>111</v>
      </c>
      <c r="BH10" s="28">
        <v>47678965387</v>
      </c>
      <c r="BI10" s="28" t="s">
        <v>77</v>
      </c>
      <c r="BJ10" s="28" t="s">
        <v>112</v>
      </c>
      <c r="BK10" s="28" t="s">
        <v>175</v>
      </c>
      <c r="BL10" s="28" t="s">
        <v>114</v>
      </c>
      <c r="BM10" s="28">
        <v>35591</v>
      </c>
      <c r="BN10" s="28" t="s">
        <v>115</v>
      </c>
      <c r="BO10" s="28" t="s">
        <v>116</v>
      </c>
      <c r="BP10" s="28" t="s">
        <v>117</v>
      </c>
      <c r="BQ10" s="28" t="s">
        <v>118</v>
      </c>
      <c r="BR10" s="28" t="s">
        <v>119</v>
      </c>
      <c r="BS10" s="28" t="s">
        <v>120</v>
      </c>
      <c r="BT10" s="28" t="s">
        <v>121</v>
      </c>
      <c r="BU10" s="28" t="s">
        <v>122</v>
      </c>
      <c r="BV10" s="28" t="s">
        <v>123</v>
      </c>
      <c r="BW10" s="28" t="s">
        <v>124</v>
      </c>
      <c r="BX10" s="28" t="s">
        <v>125</v>
      </c>
    </row>
    <row r="11" spans="1:76" ht="14.5" customHeight="1" x14ac:dyDescent="0.35">
      <c r="A11" t="s">
        <v>176</v>
      </c>
      <c r="B11" t="s">
        <v>177</v>
      </c>
      <c r="C11" s="1" t="s">
        <v>75</v>
      </c>
      <c r="D11" s="27" t="s">
        <v>76</v>
      </c>
      <c r="E11" t="s">
        <v>77</v>
      </c>
      <c r="F11" t="s">
        <v>178</v>
      </c>
      <c r="G11" t="s">
        <v>179</v>
      </c>
      <c r="H11" s="28" t="s">
        <v>80</v>
      </c>
      <c r="I11" s="28" t="s">
        <v>81</v>
      </c>
      <c r="J11" s="28" t="s">
        <v>82</v>
      </c>
      <c r="K11" s="30">
        <f t="shared" ca="1" si="4"/>
        <v>45689</v>
      </c>
      <c r="L11" s="28" t="s">
        <v>77</v>
      </c>
      <c r="M11" s="28" t="s">
        <v>83</v>
      </c>
      <c r="N11" s="28" t="s">
        <v>84</v>
      </c>
      <c r="O11" s="28" t="s">
        <v>85</v>
      </c>
      <c r="P11" s="28" t="s">
        <v>86</v>
      </c>
      <c r="Q11" s="28" t="s">
        <v>87</v>
      </c>
      <c r="R11" s="28" t="s">
        <v>87</v>
      </c>
      <c r="S11" s="28" t="s">
        <v>86</v>
      </c>
      <c r="T11" s="28" t="s">
        <v>82</v>
      </c>
      <c r="U11" s="28" t="s">
        <v>88</v>
      </c>
      <c r="V11" s="28" t="s">
        <v>89</v>
      </c>
      <c r="W11" s="28" t="s">
        <v>82</v>
      </c>
      <c r="X11" s="30">
        <f t="shared" ca="1" si="0"/>
        <v>45689</v>
      </c>
      <c r="Y11" s="28" t="s">
        <v>90</v>
      </c>
      <c r="Z11" s="28" t="s">
        <v>91</v>
      </c>
      <c r="AA11" s="28" t="s">
        <v>130</v>
      </c>
      <c r="AB11" s="28" t="s">
        <v>174</v>
      </c>
      <c r="AC11" s="28" t="s">
        <v>142</v>
      </c>
      <c r="AD11" s="28">
        <v>766</v>
      </c>
      <c r="AE11" s="28" t="s">
        <v>70</v>
      </c>
      <c r="AF11" s="28">
        <v>10</v>
      </c>
      <c r="AG11" s="28" t="s">
        <v>87</v>
      </c>
      <c r="AH11" s="28" t="s">
        <v>95</v>
      </c>
      <c r="AI11" s="30">
        <v>43831</v>
      </c>
      <c r="AJ11" s="30">
        <v>45293</v>
      </c>
      <c r="AK11" s="28" t="s">
        <v>96</v>
      </c>
      <c r="AL11" s="28" t="s">
        <v>97</v>
      </c>
      <c r="AM11" s="30" t="s">
        <v>98</v>
      </c>
      <c r="AN11" s="28">
        <v>110</v>
      </c>
      <c r="AO11" s="28" t="s">
        <v>99</v>
      </c>
      <c r="AP11" s="28" t="s">
        <v>143</v>
      </c>
      <c r="AQ11" s="28" t="s">
        <v>101</v>
      </c>
      <c r="AR11" s="30">
        <f t="shared" ca="1" si="1"/>
        <v>45689</v>
      </c>
      <c r="AS11" s="30">
        <f t="shared" ca="1" si="2"/>
        <v>45689</v>
      </c>
      <c r="AT11" s="30" t="str">
        <f t="shared" si="3"/>
        <v>N/A</v>
      </c>
      <c r="AU11" s="28" t="s">
        <v>102</v>
      </c>
      <c r="AV11" s="28" t="s">
        <v>103</v>
      </c>
      <c r="AW11" s="28" t="s">
        <v>104</v>
      </c>
      <c r="AX11" s="28" t="s">
        <v>105</v>
      </c>
      <c r="AY11" s="28" t="s">
        <v>106</v>
      </c>
      <c r="AZ11" s="28" t="s">
        <v>107</v>
      </c>
      <c r="BA11" s="28" t="s">
        <v>108</v>
      </c>
      <c r="BB11" s="28" t="s">
        <v>109</v>
      </c>
      <c r="BC11" s="28" t="s">
        <v>77</v>
      </c>
      <c r="BD11" s="28" t="s">
        <v>110</v>
      </c>
      <c r="BE11" s="28">
        <v>9477896654</v>
      </c>
      <c r="BF11" s="28" t="s">
        <v>77</v>
      </c>
      <c r="BG11" s="28" t="s">
        <v>111</v>
      </c>
      <c r="BH11" s="28">
        <v>47678965388</v>
      </c>
      <c r="BI11" s="28" t="s">
        <v>77</v>
      </c>
      <c r="BJ11" s="28" t="s">
        <v>112</v>
      </c>
      <c r="BK11" s="28" t="s">
        <v>180</v>
      </c>
      <c r="BL11" s="28" t="s">
        <v>114</v>
      </c>
      <c r="BM11" s="28">
        <v>35591</v>
      </c>
      <c r="BN11" s="28" t="s">
        <v>115</v>
      </c>
      <c r="BO11" s="28" t="s">
        <v>116</v>
      </c>
      <c r="BP11" s="28" t="s">
        <v>117</v>
      </c>
      <c r="BQ11" s="28" t="s">
        <v>118</v>
      </c>
      <c r="BR11" s="28" t="s">
        <v>119</v>
      </c>
      <c r="BS11" s="28" t="s">
        <v>120</v>
      </c>
      <c r="BT11" s="28" t="s">
        <v>121</v>
      </c>
      <c r="BU11" s="28" t="s">
        <v>122</v>
      </c>
      <c r="BV11" s="28" t="s">
        <v>123</v>
      </c>
      <c r="BW11" s="28" t="s">
        <v>124</v>
      </c>
      <c r="BX11" s="28" t="s">
        <v>125</v>
      </c>
    </row>
    <row r="12" spans="1:76" ht="14.5" customHeight="1" x14ac:dyDescent="0.35">
      <c r="A12" t="s">
        <v>181</v>
      </c>
      <c r="B12" t="s">
        <v>182</v>
      </c>
      <c r="C12" s="1" t="s">
        <v>75</v>
      </c>
      <c r="D12" s="29" t="s">
        <v>183</v>
      </c>
      <c r="E12" t="s">
        <v>77</v>
      </c>
      <c r="F12" t="s">
        <v>184</v>
      </c>
      <c r="G12" t="s">
        <v>185</v>
      </c>
      <c r="H12" s="28" t="s">
        <v>80</v>
      </c>
      <c r="I12" s="28" t="s">
        <v>81</v>
      </c>
      <c r="J12" s="28" t="s">
        <v>82</v>
      </c>
      <c r="K12" s="30">
        <f t="shared" ca="1" si="4"/>
        <v>45689</v>
      </c>
      <c r="L12" s="28" t="s">
        <v>77</v>
      </c>
      <c r="M12" s="28" t="s">
        <v>83</v>
      </c>
      <c r="N12" s="28" t="s">
        <v>84</v>
      </c>
      <c r="O12" s="28" t="s">
        <v>85</v>
      </c>
      <c r="P12" s="28" t="s">
        <v>86</v>
      </c>
      <c r="Q12" s="28" t="s">
        <v>87</v>
      </c>
      <c r="R12" s="28" t="s">
        <v>87</v>
      </c>
      <c r="S12" s="28" t="s">
        <v>86</v>
      </c>
      <c r="T12" s="28" t="s">
        <v>82</v>
      </c>
      <c r="U12" s="28" t="s">
        <v>88</v>
      </c>
      <c r="V12" s="28" t="s">
        <v>89</v>
      </c>
      <c r="W12" s="28" t="s">
        <v>82</v>
      </c>
      <c r="X12" s="30">
        <f t="shared" ca="1" si="0"/>
        <v>45689</v>
      </c>
      <c r="Y12" s="28" t="s">
        <v>90</v>
      </c>
      <c r="Z12" s="28" t="s">
        <v>109</v>
      </c>
      <c r="AA12" s="28" t="s">
        <v>92</v>
      </c>
      <c r="AB12" s="28" t="s">
        <v>186</v>
      </c>
      <c r="AC12" s="28" t="s">
        <v>94</v>
      </c>
      <c r="AD12" s="28">
        <v>766</v>
      </c>
      <c r="AE12" s="28" t="s">
        <v>70</v>
      </c>
      <c r="AF12" s="28">
        <v>40</v>
      </c>
      <c r="AG12" s="28" t="s">
        <v>87</v>
      </c>
      <c r="AH12" s="28" t="s">
        <v>95</v>
      </c>
      <c r="AI12" s="30">
        <v>43831</v>
      </c>
      <c r="AJ12" s="30">
        <v>45293</v>
      </c>
      <c r="AK12" s="28" t="s">
        <v>96</v>
      </c>
      <c r="AL12" s="28" t="s">
        <v>97</v>
      </c>
      <c r="AM12" s="30" t="s">
        <v>98</v>
      </c>
      <c r="AN12" s="28">
        <v>110</v>
      </c>
      <c r="AO12" s="28" t="s">
        <v>99</v>
      </c>
      <c r="AP12" s="28" t="s">
        <v>100</v>
      </c>
      <c r="AQ12" s="28" t="s">
        <v>101</v>
      </c>
      <c r="AR12" s="30">
        <f t="shared" ca="1" si="1"/>
        <v>45689</v>
      </c>
      <c r="AS12" s="30">
        <f t="shared" ca="1" si="2"/>
        <v>45689</v>
      </c>
      <c r="AT12" s="30" t="str">
        <f t="shared" si="3"/>
        <v>N/A</v>
      </c>
      <c r="AU12" s="28" t="s">
        <v>187</v>
      </c>
      <c r="AV12" s="28" t="s">
        <v>188</v>
      </c>
      <c r="AW12" s="28" t="s">
        <v>104</v>
      </c>
      <c r="AX12" s="28" t="s">
        <v>105</v>
      </c>
      <c r="AY12" s="28" t="s">
        <v>106</v>
      </c>
      <c r="AZ12" s="28" t="s">
        <v>107</v>
      </c>
      <c r="BA12" s="28" t="s">
        <v>108</v>
      </c>
      <c r="BB12" s="28" t="s">
        <v>109</v>
      </c>
      <c r="BC12" s="28" t="s">
        <v>77</v>
      </c>
      <c r="BD12" s="28" t="s">
        <v>110</v>
      </c>
      <c r="BE12" s="28">
        <v>9477896655</v>
      </c>
      <c r="BF12" s="28" t="s">
        <v>77</v>
      </c>
      <c r="BG12" s="28" t="s">
        <v>111</v>
      </c>
      <c r="BH12" s="28">
        <v>47678965389</v>
      </c>
      <c r="BI12" s="28" t="s">
        <v>77</v>
      </c>
      <c r="BJ12" s="28" t="s">
        <v>112</v>
      </c>
      <c r="BK12" s="28" t="s">
        <v>189</v>
      </c>
      <c r="BL12" s="28" t="s">
        <v>114</v>
      </c>
      <c r="BM12" s="28">
        <v>35591</v>
      </c>
      <c r="BN12" s="28" t="s">
        <v>115</v>
      </c>
      <c r="BO12" s="28" t="s">
        <v>116</v>
      </c>
      <c r="BP12" s="28" t="s">
        <v>117</v>
      </c>
      <c r="BQ12" s="28" t="s">
        <v>118</v>
      </c>
      <c r="BR12" s="28" t="s">
        <v>119</v>
      </c>
      <c r="BS12" s="28" t="s">
        <v>120</v>
      </c>
      <c r="BT12" s="28" t="s">
        <v>121</v>
      </c>
      <c r="BU12" s="28" t="s">
        <v>122</v>
      </c>
      <c r="BV12" s="28" t="s">
        <v>123</v>
      </c>
      <c r="BW12" s="28" t="s">
        <v>124</v>
      </c>
      <c r="BX12" s="28" t="s">
        <v>125</v>
      </c>
    </row>
    <row r="13" spans="1:76" ht="14.5" customHeight="1" x14ac:dyDescent="0.35">
      <c r="A13" t="s">
        <v>190</v>
      </c>
      <c r="B13" t="s">
        <v>191</v>
      </c>
      <c r="C13" s="1" t="s">
        <v>75</v>
      </c>
      <c r="D13" s="29" t="s">
        <v>183</v>
      </c>
      <c r="E13" t="s">
        <v>77</v>
      </c>
      <c r="F13" t="s">
        <v>192</v>
      </c>
      <c r="G13" t="s">
        <v>193</v>
      </c>
      <c r="H13" s="28" t="s">
        <v>80</v>
      </c>
      <c r="I13" s="28" t="s">
        <v>81</v>
      </c>
      <c r="J13" s="28" t="s">
        <v>82</v>
      </c>
      <c r="K13" s="30">
        <f t="shared" ca="1" si="4"/>
        <v>45689</v>
      </c>
      <c r="L13" s="28" t="s">
        <v>77</v>
      </c>
      <c r="M13" s="28" t="s">
        <v>83</v>
      </c>
      <c r="N13" s="28" t="s">
        <v>84</v>
      </c>
      <c r="O13" s="28" t="s">
        <v>85</v>
      </c>
      <c r="P13" s="28" t="s">
        <v>86</v>
      </c>
      <c r="Q13" s="28" t="s">
        <v>87</v>
      </c>
      <c r="R13" s="28" t="s">
        <v>87</v>
      </c>
      <c r="S13" s="28" t="s">
        <v>86</v>
      </c>
      <c r="T13" s="28" t="s">
        <v>82</v>
      </c>
      <c r="U13" s="28" t="s">
        <v>88</v>
      </c>
      <c r="V13" s="28" t="s">
        <v>89</v>
      </c>
      <c r="W13" s="28" t="s">
        <v>82</v>
      </c>
      <c r="X13" s="30">
        <f t="shared" ca="1" si="0"/>
        <v>45689</v>
      </c>
      <c r="Y13" s="28" t="s">
        <v>90</v>
      </c>
      <c r="Z13" s="28" t="s">
        <v>109</v>
      </c>
      <c r="AA13" s="28" t="s">
        <v>92</v>
      </c>
      <c r="AB13" s="28" t="s">
        <v>186</v>
      </c>
      <c r="AC13" s="28" t="s">
        <v>142</v>
      </c>
      <c r="AD13" s="28">
        <v>766</v>
      </c>
      <c r="AE13" s="28" t="s">
        <v>70</v>
      </c>
      <c r="AF13" s="28">
        <v>20</v>
      </c>
      <c r="AG13" s="28" t="s">
        <v>87</v>
      </c>
      <c r="AH13" s="28" t="s">
        <v>95</v>
      </c>
      <c r="AI13" s="30">
        <v>43831</v>
      </c>
      <c r="AJ13" s="30">
        <v>45293</v>
      </c>
      <c r="AK13" s="28" t="s">
        <v>96</v>
      </c>
      <c r="AL13" s="28" t="s">
        <v>97</v>
      </c>
      <c r="AM13" s="30">
        <f ca="1">TODAY()+365</f>
        <v>46085</v>
      </c>
      <c r="AN13" s="28">
        <v>110</v>
      </c>
      <c r="AO13" s="28" t="s">
        <v>99</v>
      </c>
      <c r="AP13" s="28" t="s">
        <v>143</v>
      </c>
      <c r="AQ13" s="28" t="s">
        <v>101</v>
      </c>
      <c r="AR13" s="30">
        <f t="shared" ca="1" si="1"/>
        <v>45689</v>
      </c>
      <c r="AS13" s="30">
        <f t="shared" ca="1" si="2"/>
        <v>45689</v>
      </c>
      <c r="AT13" s="30">
        <f t="shared" ca="1" si="3"/>
        <v>46085</v>
      </c>
      <c r="AU13" s="28" t="s">
        <v>187</v>
      </c>
      <c r="AV13" s="28" t="s">
        <v>188</v>
      </c>
      <c r="AW13" s="28" t="s">
        <v>104</v>
      </c>
      <c r="AX13" s="28" t="s">
        <v>105</v>
      </c>
      <c r="AY13" s="28" t="s">
        <v>106</v>
      </c>
      <c r="AZ13" s="28" t="s">
        <v>107</v>
      </c>
      <c r="BA13" s="28" t="s">
        <v>108</v>
      </c>
      <c r="BB13" s="28" t="s">
        <v>109</v>
      </c>
      <c r="BC13" s="28" t="s">
        <v>77</v>
      </c>
      <c r="BD13" s="28" t="s">
        <v>110</v>
      </c>
      <c r="BE13" s="28">
        <v>9477896656</v>
      </c>
      <c r="BF13" s="28" t="s">
        <v>77</v>
      </c>
      <c r="BG13" s="28" t="s">
        <v>111</v>
      </c>
      <c r="BH13" s="28">
        <v>47678965390</v>
      </c>
      <c r="BI13" s="28" t="s">
        <v>77</v>
      </c>
      <c r="BJ13" s="28" t="s">
        <v>112</v>
      </c>
      <c r="BK13" s="28" t="s">
        <v>194</v>
      </c>
      <c r="BL13" s="28" t="s">
        <v>114</v>
      </c>
      <c r="BM13" s="28">
        <v>35591</v>
      </c>
      <c r="BN13" s="28" t="s">
        <v>115</v>
      </c>
      <c r="BO13" s="28" t="s">
        <v>116</v>
      </c>
      <c r="BP13" s="28" t="s">
        <v>117</v>
      </c>
      <c r="BQ13" s="28" t="s">
        <v>118</v>
      </c>
      <c r="BR13" s="28" t="s">
        <v>119</v>
      </c>
      <c r="BS13" s="28" t="s">
        <v>120</v>
      </c>
      <c r="BT13" s="28" t="s">
        <v>121</v>
      </c>
      <c r="BU13" s="28" t="s">
        <v>122</v>
      </c>
      <c r="BV13" s="28" t="s">
        <v>123</v>
      </c>
      <c r="BW13" s="28" t="s">
        <v>124</v>
      </c>
      <c r="BX13" s="28" t="s">
        <v>125</v>
      </c>
    </row>
    <row r="14" spans="1:76" ht="14.5" customHeight="1" x14ac:dyDescent="0.35">
      <c r="A14" t="s">
        <v>195</v>
      </c>
      <c r="B14" t="s">
        <v>196</v>
      </c>
      <c r="C14" s="1" t="s">
        <v>75</v>
      </c>
      <c r="D14" s="29" t="s">
        <v>183</v>
      </c>
      <c r="E14" t="s">
        <v>77</v>
      </c>
      <c r="F14" t="s">
        <v>197</v>
      </c>
      <c r="G14" t="s">
        <v>198</v>
      </c>
      <c r="H14" s="28" t="s">
        <v>80</v>
      </c>
      <c r="I14" s="28" t="s">
        <v>81</v>
      </c>
      <c r="J14" s="28" t="s">
        <v>82</v>
      </c>
      <c r="K14" s="30">
        <f t="shared" ca="1" si="4"/>
        <v>45689</v>
      </c>
      <c r="L14" s="28" t="s">
        <v>77</v>
      </c>
      <c r="M14" s="28" t="s">
        <v>83</v>
      </c>
      <c r="N14" s="28" t="s">
        <v>84</v>
      </c>
      <c r="O14" s="28" t="s">
        <v>85</v>
      </c>
      <c r="P14" s="28" t="s">
        <v>86</v>
      </c>
      <c r="Q14" s="28" t="s">
        <v>87</v>
      </c>
      <c r="R14" s="28" t="s">
        <v>87</v>
      </c>
      <c r="S14" s="28" t="s">
        <v>86</v>
      </c>
      <c r="T14" s="28" t="s">
        <v>82</v>
      </c>
      <c r="U14" s="28" t="s">
        <v>88</v>
      </c>
      <c r="V14" s="28" t="s">
        <v>89</v>
      </c>
      <c r="W14" s="28" t="s">
        <v>82</v>
      </c>
      <c r="X14" s="30">
        <f t="shared" ca="1" si="0"/>
        <v>45689</v>
      </c>
      <c r="Y14" s="28" t="s">
        <v>90</v>
      </c>
      <c r="Z14" s="28" t="s">
        <v>109</v>
      </c>
      <c r="AA14" s="28" t="s">
        <v>130</v>
      </c>
      <c r="AB14" s="28" t="s">
        <v>186</v>
      </c>
      <c r="AC14" s="28" t="s">
        <v>94</v>
      </c>
      <c r="AD14" s="28">
        <v>766</v>
      </c>
      <c r="AE14" s="28" t="s">
        <v>70</v>
      </c>
      <c r="AF14" s="28">
        <v>40</v>
      </c>
      <c r="AG14" s="28" t="s">
        <v>87</v>
      </c>
      <c r="AH14" s="28" t="s">
        <v>95</v>
      </c>
      <c r="AI14" s="30">
        <v>43831</v>
      </c>
      <c r="AJ14" s="30">
        <v>45293</v>
      </c>
      <c r="AK14" s="28" t="s">
        <v>96</v>
      </c>
      <c r="AL14" s="28" t="s">
        <v>97</v>
      </c>
      <c r="AM14" s="30">
        <f ca="1">TODAY()+365</f>
        <v>46085</v>
      </c>
      <c r="AN14" s="28">
        <v>110</v>
      </c>
      <c r="AO14" s="28" t="s">
        <v>99</v>
      </c>
      <c r="AP14" s="28" t="s">
        <v>143</v>
      </c>
      <c r="AQ14" s="28" t="s">
        <v>101</v>
      </c>
      <c r="AR14" s="30">
        <f t="shared" ca="1" si="1"/>
        <v>45689</v>
      </c>
      <c r="AS14" s="30">
        <f t="shared" ca="1" si="2"/>
        <v>45689</v>
      </c>
      <c r="AT14" s="30">
        <f t="shared" ca="1" si="3"/>
        <v>46085</v>
      </c>
      <c r="AU14" s="28" t="s">
        <v>187</v>
      </c>
      <c r="AV14" s="28" t="s">
        <v>188</v>
      </c>
      <c r="AW14" s="28" t="s">
        <v>104</v>
      </c>
      <c r="AX14" s="28" t="s">
        <v>105</v>
      </c>
      <c r="AY14" s="28" t="s">
        <v>106</v>
      </c>
      <c r="AZ14" s="28" t="s">
        <v>107</v>
      </c>
      <c r="BA14" s="28" t="s">
        <v>108</v>
      </c>
      <c r="BB14" s="28" t="s">
        <v>109</v>
      </c>
      <c r="BC14" s="28" t="s">
        <v>77</v>
      </c>
      <c r="BD14" s="28" t="s">
        <v>110</v>
      </c>
      <c r="BE14" s="28">
        <v>9477896657</v>
      </c>
      <c r="BF14" s="28" t="s">
        <v>77</v>
      </c>
      <c r="BG14" s="28" t="s">
        <v>111</v>
      </c>
      <c r="BH14" s="28">
        <v>47678965391</v>
      </c>
      <c r="BI14" s="28" t="s">
        <v>77</v>
      </c>
      <c r="BJ14" s="28" t="s">
        <v>112</v>
      </c>
      <c r="BK14" s="28" t="s">
        <v>199</v>
      </c>
      <c r="BL14" s="28" t="s">
        <v>114</v>
      </c>
      <c r="BM14" s="28">
        <v>35591</v>
      </c>
      <c r="BN14" s="28" t="s">
        <v>115</v>
      </c>
      <c r="BO14" s="28" t="s">
        <v>116</v>
      </c>
      <c r="BP14" s="28" t="s">
        <v>117</v>
      </c>
      <c r="BQ14" s="28" t="s">
        <v>118</v>
      </c>
      <c r="BR14" s="28" t="s">
        <v>119</v>
      </c>
      <c r="BS14" s="28" t="s">
        <v>120</v>
      </c>
      <c r="BT14" s="28" t="s">
        <v>121</v>
      </c>
      <c r="BU14" s="28" t="s">
        <v>122</v>
      </c>
      <c r="BV14" s="28" t="s">
        <v>123</v>
      </c>
      <c r="BW14" s="28" t="s">
        <v>124</v>
      </c>
      <c r="BX14" s="28" t="s">
        <v>125</v>
      </c>
    </row>
    <row r="15" spans="1:76" ht="14.5" customHeight="1" x14ac:dyDescent="0.35">
      <c r="A15" t="s">
        <v>200</v>
      </c>
      <c r="B15" t="s">
        <v>201</v>
      </c>
      <c r="C15" s="1" t="s">
        <v>75</v>
      </c>
      <c r="D15" s="29" t="s">
        <v>183</v>
      </c>
      <c r="E15" t="s">
        <v>77</v>
      </c>
      <c r="F15" t="s">
        <v>202</v>
      </c>
      <c r="G15" t="s">
        <v>203</v>
      </c>
      <c r="H15" s="28" t="s">
        <v>80</v>
      </c>
      <c r="I15" s="28" t="s">
        <v>81</v>
      </c>
      <c r="J15" s="28" t="s">
        <v>82</v>
      </c>
      <c r="K15" s="30">
        <f t="shared" ca="1" si="4"/>
        <v>45689</v>
      </c>
      <c r="L15" s="28" t="s">
        <v>77</v>
      </c>
      <c r="M15" s="28" t="s">
        <v>83</v>
      </c>
      <c r="N15" s="28" t="s">
        <v>84</v>
      </c>
      <c r="O15" s="28" t="s">
        <v>85</v>
      </c>
      <c r="P15" s="28" t="s">
        <v>86</v>
      </c>
      <c r="Q15" s="28" t="s">
        <v>87</v>
      </c>
      <c r="R15" s="28" t="s">
        <v>87</v>
      </c>
      <c r="S15" s="28" t="s">
        <v>86</v>
      </c>
      <c r="T15" s="28" t="s">
        <v>82</v>
      </c>
      <c r="U15" s="28" t="s">
        <v>88</v>
      </c>
      <c r="V15" s="28" t="s">
        <v>89</v>
      </c>
      <c r="W15" s="28" t="s">
        <v>82</v>
      </c>
      <c r="X15" s="30">
        <f t="shared" ca="1" si="0"/>
        <v>45689</v>
      </c>
      <c r="Y15" s="28" t="s">
        <v>90</v>
      </c>
      <c r="Z15" s="28" t="s">
        <v>109</v>
      </c>
      <c r="AA15" s="28" t="s">
        <v>130</v>
      </c>
      <c r="AB15" s="28" t="s">
        <v>186</v>
      </c>
      <c r="AC15" s="28" t="s">
        <v>142</v>
      </c>
      <c r="AD15" s="28">
        <v>766</v>
      </c>
      <c r="AE15" s="28" t="s">
        <v>70</v>
      </c>
      <c r="AF15" s="28">
        <v>20</v>
      </c>
      <c r="AG15" s="28" t="s">
        <v>87</v>
      </c>
      <c r="AH15" s="28" t="s">
        <v>95</v>
      </c>
      <c r="AI15" s="30">
        <v>43831</v>
      </c>
      <c r="AJ15" s="30">
        <v>45293</v>
      </c>
      <c r="AK15" s="28" t="s">
        <v>96</v>
      </c>
      <c r="AL15" s="28" t="s">
        <v>97</v>
      </c>
      <c r="AM15" s="30" t="s">
        <v>98</v>
      </c>
      <c r="AN15" s="28">
        <v>110</v>
      </c>
      <c r="AO15" s="28" t="s">
        <v>99</v>
      </c>
      <c r="AP15" s="28" t="s">
        <v>143</v>
      </c>
      <c r="AQ15" s="28" t="s">
        <v>101</v>
      </c>
      <c r="AR15" s="30">
        <f t="shared" ca="1" si="1"/>
        <v>45689</v>
      </c>
      <c r="AS15" s="30">
        <f t="shared" ca="1" si="2"/>
        <v>45689</v>
      </c>
      <c r="AT15" s="30" t="str">
        <f t="shared" si="3"/>
        <v>N/A</v>
      </c>
      <c r="AU15" s="28" t="s">
        <v>187</v>
      </c>
      <c r="AV15" s="28" t="s">
        <v>188</v>
      </c>
      <c r="AW15" s="28" t="s">
        <v>104</v>
      </c>
      <c r="AX15" s="28" t="s">
        <v>105</v>
      </c>
      <c r="AY15" s="28" t="s">
        <v>106</v>
      </c>
      <c r="AZ15" s="28" t="s">
        <v>107</v>
      </c>
      <c r="BA15" s="28" t="s">
        <v>108</v>
      </c>
      <c r="BB15" s="28" t="s">
        <v>109</v>
      </c>
      <c r="BC15" s="28" t="s">
        <v>77</v>
      </c>
      <c r="BD15" s="28" t="s">
        <v>110</v>
      </c>
      <c r="BE15" s="28">
        <v>9477896658</v>
      </c>
      <c r="BF15" s="28" t="s">
        <v>77</v>
      </c>
      <c r="BG15" s="28" t="s">
        <v>111</v>
      </c>
      <c r="BH15" s="28">
        <v>47678965392</v>
      </c>
      <c r="BI15" s="28" t="s">
        <v>77</v>
      </c>
      <c r="BJ15" s="28" t="s">
        <v>112</v>
      </c>
      <c r="BK15" s="28" t="s">
        <v>204</v>
      </c>
      <c r="BL15" s="28" t="s">
        <v>114</v>
      </c>
      <c r="BM15" s="28">
        <v>35591</v>
      </c>
      <c r="BN15" s="28" t="s">
        <v>115</v>
      </c>
      <c r="BO15" s="28" t="s">
        <v>116</v>
      </c>
      <c r="BP15" s="28" t="s">
        <v>117</v>
      </c>
      <c r="BQ15" s="28" t="s">
        <v>118</v>
      </c>
      <c r="BR15" s="28" t="s">
        <v>119</v>
      </c>
      <c r="BS15" s="28" t="s">
        <v>120</v>
      </c>
      <c r="BT15" s="28" t="s">
        <v>121</v>
      </c>
      <c r="BU15" s="28" t="s">
        <v>122</v>
      </c>
      <c r="BV15" s="28" t="s">
        <v>123</v>
      </c>
      <c r="BW15" s="28" t="s">
        <v>124</v>
      </c>
      <c r="BX15" s="28" t="s">
        <v>125</v>
      </c>
    </row>
    <row r="16" spans="1:76" ht="14.5" customHeight="1" x14ac:dyDescent="0.35">
      <c r="A16" t="s">
        <v>205</v>
      </c>
      <c r="B16" t="s">
        <v>206</v>
      </c>
      <c r="C16" s="1" t="s">
        <v>75</v>
      </c>
      <c r="D16" s="29" t="s">
        <v>183</v>
      </c>
      <c r="E16" t="s">
        <v>77</v>
      </c>
      <c r="F16" t="s">
        <v>207</v>
      </c>
      <c r="G16" t="s">
        <v>208</v>
      </c>
      <c r="H16" s="28" t="s">
        <v>80</v>
      </c>
      <c r="I16" s="28" t="s">
        <v>81</v>
      </c>
      <c r="J16" s="28" t="s">
        <v>82</v>
      </c>
      <c r="K16" s="30">
        <f t="shared" ca="1" si="4"/>
        <v>45689</v>
      </c>
      <c r="L16" s="28" t="s">
        <v>77</v>
      </c>
      <c r="M16" s="28" t="s">
        <v>83</v>
      </c>
      <c r="N16" s="28" t="s">
        <v>84</v>
      </c>
      <c r="O16" s="28" t="s">
        <v>85</v>
      </c>
      <c r="P16" s="28" t="s">
        <v>86</v>
      </c>
      <c r="Q16" s="28" t="s">
        <v>87</v>
      </c>
      <c r="R16" s="28" t="s">
        <v>87</v>
      </c>
      <c r="S16" s="28" t="s">
        <v>86</v>
      </c>
      <c r="T16" s="28" t="s">
        <v>82</v>
      </c>
      <c r="U16" s="28" t="s">
        <v>88</v>
      </c>
      <c r="V16" s="28" t="s">
        <v>89</v>
      </c>
      <c r="W16" s="28" t="s">
        <v>82</v>
      </c>
      <c r="X16" s="30">
        <f t="shared" ca="1" si="0"/>
        <v>45689</v>
      </c>
      <c r="Y16" s="28" t="s">
        <v>90</v>
      </c>
      <c r="Z16" s="28" t="s">
        <v>109</v>
      </c>
      <c r="AA16" s="28" t="s">
        <v>92</v>
      </c>
      <c r="AB16" s="28" t="s">
        <v>209</v>
      </c>
      <c r="AC16" s="28" t="s">
        <v>94</v>
      </c>
      <c r="AD16" s="28">
        <v>766</v>
      </c>
      <c r="AE16" s="28" t="s">
        <v>70</v>
      </c>
      <c r="AF16" s="28">
        <v>40</v>
      </c>
      <c r="AG16" s="28" t="s">
        <v>87</v>
      </c>
      <c r="AH16" s="28" t="s">
        <v>95</v>
      </c>
      <c r="AI16" s="30">
        <v>43831</v>
      </c>
      <c r="AJ16" s="30">
        <v>45293</v>
      </c>
      <c r="AK16" s="28" t="s">
        <v>96</v>
      </c>
      <c r="AL16" s="28" t="s">
        <v>97</v>
      </c>
      <c r="AM16" s="30" t="s">
        <v>98</v>
      </c>
      <c r="AN16" s="28">
        <v>110</v>
      </c>
      <c r="AO16" s="28" t="s">
        <v>99</v>
      </c>
      <c r="AP16" s="28" t="s">
        <v>100</v>
      </c>
      <c r="AQ16" s="28" t="s">
        <v>101</v>
      </c>
      <c r="AR16" s="30">
        <f t="shared" ca="1" si="1"/>
        <v>45689</v>
      </c>
      <c r="AS16" s="30">
        <f t="shared" ca="1" si="2"/>
        <v>45689</v>
      </c>
      <c r="AT16" s="30" t="str">
        <f t="shared" si="3"/>
        <v>N/A</v>
      </c>
      <c r="AU16" s="28" t="s">
        <v>187</v>
      </c>
      <c r="AV16" s="28" t="s">
        <v>188</v>
      </c>
      <c r="AW16" s="28" t="s">
        <v>104</v>
      </c>
      <c r="AX16" s="28" t="s">
        <v>105</v>
      </c>
      <c r="AY16" s="28" t="s">
        <v>106</v>
      </c>
      <c r="AZ16" s="28" t="s">
        <v>107</v>
      </c>
      <c r="BA16" s="28" t="s">
        <v>108</v>
      </c>
      <c r="BB16" s="28" t="s">
        <v>109</v>
      </c>
      <c r="BC16" s="28" t="s">
        <v>77</v>
      </c>
      <c r="BD16" s="28" t="s">
        <v>110</v>
      </c>
      <c r="BE16" s="28">
        <v>9477896659</v>
      </c>
      <c r="BF16" s="28" t="s">
        <v>77</v>
      </c>
      <c r="BG16" s="28" t="s">
        <v>111</v>
      </c>
      <c r="BH16" s="28">
        <v>47678965393</v>
      </c>
      <c r="BI16" s="28" t="s">
        <v>77</v>
      </c>
      <c r="BJ16" s="28" t="s">
        <v>112</v>
      </c>
      <c r="BK16" s="28" t="s">
        <v>210</v>
      </c>
      <c r="BL16" s="28" t="s">
        <v>114</v>
      </c>
      <c r="BM16" s="28">
        <v>35591</v>
      </c>
      <c r="BN16" s="28" t="s">
        <v>115</v>
      </c>
      <c r="BO16" s="28" t="s">
        <v>116</v>
      </c>
      <c r="BP16" s="28" t="s">
        <v>117</v>
      </c>
      <c r="BQ16" s="28" t="s">
        <v>118</v>
      </c>
      <c r="BR16" s="28" t="s">
        <v>119</v>
      </c>
      <c r="BS16" s="28" t="s">
        <v>120</v>
      </c>
      <c r="BT16" s="28" t="s">
        <v>121</v>
      </c>
      <c r="BU16" s="28" t="s">
        <v>122</v>
      </c>
      <c r="BV16" s="28" t="s">
        <v>123</v>
      </c>
      <c r="BW16" s="28" t="s">
        <v>124</v>
      </c>
      <c r="BX16" s="28" t="s">
        <v>125</v>
      </c>
    </row>
    <row r="17" spans="1:76" ht="14.5" customHeight="1" x14ac:dyDescent="0.35">
      <c r="A17" t="s">
        <v>211</v>
      </c>
      <c r="B17" t="s">
        <v>212</v>
      </c>
      <c r="C17" s="1" t="s">
        <v>75</v>
      </c>
      <c r="D17" s="29" t="s">
        <v>183</v>
      </c>
      <c r="E17" t="s">
        <v>77</v>
      </c>
      <c r="F17" t="s">
        <v>213</v>
      </c>
      <c r="G17" t="s">
        <v>214</v>
      </c>
      <c r="H17" s="28" t="s">
        <v>80</v>
      </c>
      <c r="I17" s="28" t="s">
        <v>81</v>
      </c>
      <c r="J17" s="28" t="s">
        <v>82</v>
      </c>
      <c r="K17" s="30">
        <f t="shared" ca="1" si="4"/>
        <v>45689</v>
      </c>
      <c r="L17" s="28" t="s">
        <v>77</v>
      </c>
      <c r="M17" s="28" t="s">
        <v>83</v>
      </c>
      <c r="N17" s="28" t="s">
        <v>84</v>
      </c>
      <c r="O17" s="28" t="s">
        <v>85</v>
      </c>
      <c r="P17" s="28" t="s">
        <v>86</v>
      </c>
      <c r="Q17" s="28" t="s">
        <v>87</v>
      </c>
      <c r="R17" s="28" t="s">
        <v>87</v>
      </c>
      <c r="S17" s="28" t="s">
        <v>86</v>
      </c>
      <c r="T17" s="28" t="s">
        <v>82</v>
      </c>
      <c r="U17" s="28" t="s">
        <v>88</v>
      </c>
      <c r="V17" s="28" t="s">
        <v>89</v>
      </c>
      <c r="W17" s="28" t="s">
        <v>82</v>
      </c>
      <c r="X17" s="30">
        <f t="shared" ca="1" si="0"/>
        <v>45689</v>
      </c>
      <c r="Y17" s="28" t="s">
        <v>90</v>
      </c>
      <c r="Z17" s="28" t="s">
        <v>109</v>
      </c>
      <c r="AA17" s="28" t="s">
        <v>92</v>
      </c>
      <c r="AB17" s="28" t="s">
        <v>209</v>
      </c>
      <c r="AC17" s="28" t="s">
        <v>94</v>
      </c>
      <c r="AD17" s="28">
        <v>766</v>
      </c>
      <c r="AE17" s="28" t="s">
        <v>70</v>
      </c>
      <c r="AF17" s="28">
        <v>40</v>
      </c>
      <c r="AG17" s="28" t="s">
        <v>87</v>
      </c>
      <c r="AH17" s="28" t="s">
        <v>95</v>
      </c>
      <c r="AI17" s="30">
        <v>43831</v>
      </c>
      <c r="AJ17" s="30">
        <v>45293</v>
      </c>
      <c r="AK17" s="28" t="s">
        <v>96</v>
      </c>
      <c r="AL17" s="28" t="s">
        <v>97</v>
      </c>
      <c r="AM17" s="30">
        <f ca="1">TODAY()+365</f>
        <v>46085</v>
      </c>
      <c r="AN17" s="28">
        <v>110</v>
      </c>
      <c r="AO17" s="28" t="s">
        <v>99</v>
      </c>
      <c r="AP17" s="28" t="s">
        <v>100</v>
      </c>
      <c r="AQ17" s="28" t="s">
        <v>101</v>
      </c>
      <c r="AR17" s="30">
        <f t="shared" ca="1" si="1"/>
        <v>45689</v>
      </c>
      <c r="AS17" s="30">
        <f t="shared" ca="1" si="2"/>
        <v>45689</v>
      </c>
      <c r="AT17" s="30">
        <f t="shared" ca="1" si="3"/>
        <v>46085</v>
      </c>
      <c r="AU17" s="28" t="s">
        <v>187</v>
      </c>
      <c r="AV17" s="28" t="s">
        <v>188</v>
      </c>
      <c r="AW17" s="28" t="s">
        <v>104</v>
      </c>
      <c r="AX17" s="28" t="s">
        <v>105</v>
      </c>
      <c r="AY17" s="28" t="s">
        <v>106</v>
      </c>
      <c r="AZ17" s="28" t="s">
        <v>107</v>
      </c>
      <c r="BA17" s="28" t="s">
        <v>108</v>
      </c>
      <c r="BB17" s="28" t="s">
        <v>109</v>
      </c>
      <c r="BC17" s="28" t="s">
        <v>77</v>
      </c>
      <c r="BD17" s="28" t="s">
        <v>110</v>
      </c>
      <c r="BE17" s="28">
        <v>9477896660</v>
      </c>
      <c r="BF17" s="28" t="s">
        <v>77</v>
      </c>
      <c r="BG17" s="28" t="s">
        <v>111</v>
      </c>
      <c r="BH17" s="28">
        <v>47678965394</v>
      </c>
      <c r="BI17" s="28" t="s">
        <v>77</v>
      </c>
      <c r="BJ17" s="28" t="s">
        <v>112</v>
      </c>
      <c r="BK17" s="28" t="s">
        <v>215</v>
      </c>
      <c r="BL17" s="28" t="s">
        <v>114</v>
      </c>
      <c r="BM17" s="28">
        <v>35591</v>
      </c>
      <c r="BN17" s="28" t="s">
        <v>115</v>
      </c>
      <c r="BO17" s="28" t="s">
        <v>116</v>
      </c>
      <c r="BP17" s="28" t="s">
        <v>117</v>
      </c>
      <c r="BQ17" s="28" t="s">
        <v>118</v>
      </c>
      <c r="BR17" s="28" t="s">
        <v>119</v>
      </c>
      <c r="BS17" s="28" t="s">
        <v>120</v>
      </c>
      <c r="BT17" s="28" t="s">
        <v>121</v>
      </c>
      <c r="BU17" s="28" t="s">
        <v>122</v>
      </c>
      <c r="BV17" s="28" t="s">
        <v>123</v>
      </c>
      <c r="BW17" s="28" t="s">
        <v>124</v>
      </c>
      <c r="BX17" s="28" t="s">
        <v>125</v>
      </c>
    </row>
    <row r="18" spans="1:76" ht="14.5" customHeight="1" x14ac:dyDescent="0.35">
      <c r="A18" t="s">
        <v>216</v>
      </c>
      <c r="B18" t="s">
        <v>217</v>
      </c>
      <c r="C18" s="1" t="s">
        <v>75</v>
      </c>
      <c r="D18" s="29" t="s">
        <v>183</v>
      </c>
      <c r="E18" t="s">
        <v>77</v>
      </c>
      <c r="F18" t="s">
        <v>218</v>
      </c>
      <c r="G18" t="s">
        <v>219</v>
      </c>
      <c r="H18" s="28" t="s">
        <v>80</v>
      </c>
      <c r="I18" s="28" t="s">
        <v>81</v>
      </c>
      <c r="J18" s="28" t="s">
        <v>82</v>
      </c>
      <c r="K18" s="30">
        <f t="shared" ca="1" si="4"/>
        <v>45689</v>
      </c>
      <c r="L18" s="28" t="s">
        <v>77</v>
      </c>
      <c r="M18" s="28" t="s">
        <v>83</v>
      </c>
      <c r="N18" s="28" t="s">
        <v>84</v>
      </c>
      <c r="O18" s="28" t="s">
        <v>85</v>
      </c>
      <c r="P18" s="28" t="s">
        <v>86</v>
      </c>
      <c r="Q18" s="28" t="s">
        <v>87</v>
      </c>
      <c r="R18" s="28" t="s">
        <v>87</v>
      </c>
      <c r="S18" s="28" t="s">
        <v>86</v>
      </c>
      <c r="T18" s="28" t="s">
        <v>82</v>
      </c>
      <c r="U18" s="28" t="s">
        <v>88</v>
      </c>
      <c r="V18" s="28" t="s">
        <v>89</v>
      </c>
      <c r="W18" s="28" t="s">
        <v>82</v>
      </c>
      <c r="X18" s="30">
        <f t="shared" ca="1" si="0"/>
        <v>45689</v>
      </c>
      <c r="Y18" s="28" t="s">
        <v>90</v>
      </c>
      <c r="Z18" s="28" t="s">
        <v>109</v>
      </c>
      <c r="AA18" s="28" t="s">
        <v>130</v>
      </c>
      <c r="AB18" s="28" t="s">
        <v>209</v>
      </c>
      <c r="AC18" s="28" t="s">
        <v>142</v>
      </c>
      <c r="AD18" s="28">
        <v>766</v>
      </c>
      <c r="AE18" s="28" t="s">
        <v>70</v>
      </c>
      <c r="AF18" s="28">
        <v>20</v>
      </c>
      <c r="AG18" s="28" t="s">
        <v>87</v>
      </c>
      <c r="AH18" s="28" t="s">
        <v>95</v>
      </c>
      <c r="AI18" s="30">
        <v>43831</v>
      </c>
      <c r="AJ18" s="30">
        <v>45293</v>
      </c>
      <c r="AK18" s="28" t="s">
        <v>96</v>
      </c>
      <c r="AL18" s="28" t="s">
        <v>97</v>
      </c>
      <c r="AM18" s="30" t="s">
        <v>98</v>
      </c>
      <c r="AN18" s="28">
        <v>110</v>
      </c>
      <c r="AO18" s="28" t="s">
        <v>99</v>
      </c>
      <c r="AP18" s="28" t="s">
        <v>143</v>
      </c>
      <c r="AQ18" s="28" t="s">
        <v>101</v>
      </c>
      <c r="AR18" s="30">
        <f t="shared" ca="1" si="1"/>
        <v>45689</v>
      </c>
      <c r="AS18" s="30">
        <f t="shared" ca="1" si="2"/>
        <v>45689</v>
      </c>
      <c r="AT18" s="30" t="str">
        <f t="shared" si="3"/>
        <v>N/A</v>
      </c>
      <c r="AU18" s="28" t="s">
        <v>187</v>
      </c>
      <c r="AV18" s="28" t="s">
        <v>188</v>
      </c>
      <c r="AW18" s="28" t="s">
        <v>104</v>
      </c>
      <c r="AX18" s="28" t="s">
        <v>105</v>
      </c>
      <c r="AY18" s="28" t="s">
        <v>106</v>
      </c>
      <c r="AZ18" s="28" t="s">
        <v>107</v>
      </c>
      <c r="BA18" s="28" t="s">
        <v>108</v>
      </c>
      <c r="BB18" s="28" t="s">
        <v>109</v>
      </c>
      <c r="BC18" s="28" t="s">
        <v>77</v>
      </c>
      <c r="BD18" s="28" t="s">
        <v>110</v>
      </c>
      <c r="BE18" s="28">
        <v>9477896661</v>
      </c>
      <c r="BF18" s="28" t="s">
        <v>77</v>
      </c>
      <c r="BG18" s="28" t="s">
        <v>111</v>
      </c>
      <c r="BH18" s="28">
        <v>47678965395</v>
      </c>
      <c r="BI18" s="28" t="s">
        <v>77</v>
      </c>
      <c r="BJ18" s="28" t="s">
        <v>112</v>
      </c>
      <c r="BK18" s="28" t="s">
        <v>220</v>
      </c>
      <c r="BL18" s="28" t="s">
        <v>114</v>
      </c>
      <c r="BM18" s="28">
        <v>35591</v>
      </c>
      <c r="BN18" s="28" t="s">
        <v>115</v>
      </c>
      <c r="BO18" s="28" t="s">
        <v>116</v>
      </c>
      <c r="BP18" s="28" t="s">
        <v>117</v>
      </c>
      <c r="BQ18" s="28" t="s">
        <v>118</v>
      </c>
      <c r="BR18" s="28" t="s">
        <v>119</v>
      </c>
      <c r="BS18" s="28" t="s">
        <v>120</v>
      </c>
      <c r="BT18" s="28" t="s">
        <v>121</v>
      </c>
      <c r="BU18" s="28" t="s">
        <v>122</v>
      </c>
      <c r="BV18" s="28" t="s">
        <v>123</v>
      </c>
      <c r="BW18" s="28" t="s">
        <v>124</v>
      </c>
      <c r="BX18" s="28" t="s">
        <v>125</v>
      </c>
    </row>
    <row r="19" spans="1:76" ht="14.5" customHeight="1" x14ac:dyDescent="0.35">
      <c r="A19" t="s">
        <v>221</v>
      </c>
      <c r="B19" t="s">
        <v>222</v>
      </c>
      <c r="C19" s="1" t="s">
        <v>75</v>
      </c>
      <c r="D19" s="29" t="s">
        <v>183</v>
      </c>
      <c r="E19" t="s">
        <v>77</v>
      </c>
      <c r="F19" t="s">
        <v>223</v>
      </c>
      <c r="G19" t="s">
        <v>224</v>
      </c>
      <c r="H19" s="28" t="s">
        <v>80</v>
      </c>
      <c r="I19" s="28" t="s">
        <v>81</v>
      </c>
      <c r="J19" s="28" t="s">
        <v>82</v>
      </c>
      <c r="K19" s="30">
        <f t="shared" ca="1" si="4"/>
        <v>45689</v>
      </c>
      <c r="L19" s="28" t="s">
        <v>77</v>
      </c>
      <c r="M19" s="28" t="s">
        <v>83</v>
      </c>
      <c r="N19" s="28" t="s">
        <v>84</v>
      </c>
      <c r="O19" s="28" t="s">
        <v>85</v>
      </c>
      <c r="P19" s="28" t="s">
        <v>86</v>
      </c>
      <c r="Q19" s="28" t="s">
        <v>87</v>
      </c>
      <c r="R19" s="28" t="s">
        <v>87</v>
      </c>
      <c r="S19" s="28" t="s">
        <v>86</v>
      </c>
      <c r="T19" s="28" t="s">
        <v>82</v>
      </c>
      <c r="U19" s="28" t="s">
        <v>88</v>
      </c>
      <c r="V19" s="28" t="s">
        <v>89</v>
      </c>
      <c r="W19" s="28" t="s">
        <v>82</v>
      </c>
      <c r="X19" s="30">
        <f t="shared" ca="1" si="0"/>
        <v>45689</v>
      </c>
      <c r="Y19" s="28" t="s">
        <v>90</v>
      </c>
      <c r="Z19" s="28" t="s">
        <v>109</v>
      </c>
      <c r="AA19" s="28" t="s">
        <v>130</v>
      </c>
      <c r="AB19" s="28" t="s">
        <v>209</v>
      </c>
      <c r="AC19" s="28" t="s">
        <v>94</v>
      </c>
      <c r="AD19" s="28">
        <v>766</v>
      </c>
      <c r="AE19" s="28" t="s">
        <v>70</v>
      </c>
      <c r="AF19" s="28">
        <v>40</v>
      </c>
      <c r="AG19" s="28" t="s">
        <v>87</v>
      </c>
      <c r="AH19" s="28" t="s">
        <v>95</v>
      </c>
      <c r="AI19" s="30">
        <v>43831</v>
      </c>
      <c r="AJ19" s="30">
        <v>45293</v>
      </c>
      <c r="AK19" s="28" t="s">
        <v>96</v>
      </c>
      <c r="AL19" s="28" t="s">
        <v>97</v>
      </c>
      <c r="AM19" s="30" t="s">
        <v>98</v>
      </c>
      <c r="AN19" s="28">
        <v>110</v>
      </c>
      <c r="AO19" s="28" t="s">
        <v>99</v>
      </c>
      <c r="AP19" s="28" t="s">
        <v>143</v>
      </c>
      <c r="AQ19" s="28" t="s">
        <v>101</v>
      </c>
      <c r="AR19" s="30">
        <f t="shared" ca="1" si="1"/>
        <v>45689</v>
      </c>
      <c r="AS19" s="30">
        <f t="shared" ca="1" si="2"/>
        <v>45689</v>
      </c>
      <c r="AT19" s="30" t="str">
        <f t="shared" si="3"/>
        <v>N/A</v>
      </c>
      <c r="AU19" s="28" t="s">
        <v>187</v>
      </c>
      <c r="AV19" s="28" t="s">
        <v>188</v>
      </c>
      <c r="AW19" s="28" t="s">
        <v>104</v>
      </c>
      <c r="AX19" s="28" t="s">
        <v>105</v>
      </c>
      <c r="AY19" s="28" t="s">
        <v>106</v>
      </c>
      <c r="AZ19" s="28" t="s">
        <v>107</v>
      </c>
      <c r="BA19" s="28" t="s">
        <v>108</v>
      </c>
      <c r="BB19" s="28" t="s">
        <v>109</v>
      </c>
      <c r="BC19" s="28" t="s">
        <v>77</v>
      </c>
      <c r="BD19" s="28" t="s">
        <v>110</v>
      </c>
      <c r="BE19" s="28">
        <v>9477896662</v>
      </c>
      <c r="BF19" s="28" t="s">
        <v>77</v>
      </c>
      <c r="BG19" s="28" t="s">
        <v>111</v>
      </c>
      <c r="BH19" s="28">
        <v>47678965396</v>
      </c>
      <c r="BI19" s="28" t="s">
        <v>77</v>
      </c>
      <c r="BJ19" s="28" t="s">
        <v>112</v>
      </c>
      <c r="BK19" s="28" t="s">
        <v>225</v>
      </c>
      <c r="BL19" s="28" t="s">
        <v>114</v>
      </c>
      <c r="BM19" s="28">
        <v>35591</v>
      </c>
      <c r="BN19" s="28" t="s">
        <v>115</v>
      </c>
      <c r="BO19" s="28" t="s">
        <v>116</v>
      </c>
      <c r="BP19" s="28" t="s">
        <v>117</v>
      </c>
      <c r="BQ19" s="28" t="s">
        <v>118</v>
      </c>
      <c r="BR19" s="28" t="s">
        <v>119</v>
      </c>
      <c r="BS19" s="28" t="s">
        <v>120</v>
      </c>
      <c r="BT19" s="28" t="s">
        <v>121</v>
      </c>
      <c r="BU19" s="28" t="s">
        <v>122</v>
      </c>
      <c r="BV19" s="28" t="s">
        <v>123</v>
      </c>
      <c r="BW19" s="28" t="s">
        <v>124</v>
      </c>
      <c r="BX19" s="28" t="s">
        <v>125</v>
      </c>
    </row>
    <row r="23" spans="1:76" ht="14.5" customHeight="1" x14ac:dyDescent="0.35">
      <c r="AG23" s="28"/>
      <c r="AH23" s="28"/>
    </row>
    <row r="24" spans="1:76" ht="14.5" customHeight="1" x14ac:dyDescent="0.35">
      <c r="AG24" s="28"/>
      <c r="AH24" s="28"/>
    </row>
    <row r="25" spans="1:76" ht="14.5" customHeight="1" x14ac:dyDescent="0.35">
      <c r="AG25" s="28"/>
      <c r="AH25" s="28"/>
    </row>
    <row r="26" spans="1:76" ht="14.5" customHeight="1" x14ac:dyDescent="0.35">
      <c r="AG26" s="28"/>
      <c r="AH26" s="28"/>
    </row>
    <row r="27" spans="1:76" ht="14.5" customHeight="1" x14ac:dyDescent="0.35">
      <c r="AG27" s="28"/>
      <c r="AH27" s="28"/>
    </row>
    <row r="28" spans="1:76" ht="14.5" customHeight="1" x14ac:dyDescent="0.35">
      <c r="AG28" s="28"/>
      <c r="AH28" s="28"/>
    </row>
    <row r="29" spans="1:76" ht="14.5" customHeight="1" x14ac:dyDescent="0.35">
      <c r="AG29" s="28"/>
      <c r="AH29" s="28"/>
    </row>
    <row r="30" spans="1:76" ht="14.5" customHeight="1" x14ac:dyDescent="0.35">
      <c r="AG30" s="28"/>
      <c r="AH30" s="28"/>
    </row>
    <row r="31" spans="1:76" ht="14.5" customHeight="1" x14ac:dyDescent="0.35">
      <c r="AG31" s="28"/>
      <c r="AH31" s="28"/>
    </row>
    <row r="32" spans="1:76" ht="14.5" customHeight="1" x14ac:dyDescent="0.35">
      <c r="AG32" s="28"/>
      <c r="AH32" s="28"/>
    </row>
    <row r="33" spans="33:34" ht="14.5" customHeight="1" x14ac:dyDescent="0.35">
      <c r="AG33" s="28"/>
      <c r="AH33" s="28"/>
    </row>
    <row r="34" spans="33:34" ht="14.5" customHeight="1" x14ac:dyDescent="0.35">
      <c r="AG34" s="28"/>
      <c r="AH34" s="28"/>
    </row>
    <row r="35" spans="33:34" ht="14.5" customHeight="1" x14ac:dyDescent="0.35">
      <c r="AG35" s="28"/>
      <c r="AH35" s="28"/>
    </row>
    <row r="36" spans="33:34" ht="14.5" customHeight="1" x14ac:dyDescent="0.35">
      <c r="AG36" s="28"/>
      <c r="AH36" s="28"/>
    </row>
    <row r="37" spans="33:34" ht="14.5" customHeight="1" x14ac:dyDescent="0.35">
      <c r="AG37" s="28"/>
      <c r="AH37" s="28"/>
    </row>
    <row r="38" spans="33:34" ht="14.5" customHeight="1" x14ac:dyDescent="0.35">
      <c r="AG38" s="28"/>
      <c r="AH38" s="28"/>
    </row>
    <row r="39" spans="33:34" ht="14.5" customHeight="1" x14ac:dyDescent="0.35">
      <c r="AG39" s="28"/>
      <c r="AH39" s="28"/>
    </row>
    <row r="40" spans="33:34" ht="14.5" customHeight="1" x14ac:dyDescent="0.35">
      <c r="AG40" s="28"/>
      <c r="AH40" s="28"/>
    </row>
  </sheetData>
  <pageMargins left="0.7" right="0.7" top="0.75" bottom="0.75" header="0.3" footer="0.3"/>
  <pageSetup orientation="portrait" useFirstPageNumber="1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2025-03-04T09:14:30Z</dcterms:modified>
</cp:coreProperties>
</file>