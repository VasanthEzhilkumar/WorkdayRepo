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<sst xmlns="http://schemas.openxmlformats.org/spreadsheetml/2006/main" count="246" uniqueCount="131">
  <si>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</si>
  <si>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</si>
  <si>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</si>
  <si>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</si>
  <si>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</si>
  <si>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</si>
  <si>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</si>
  <si>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</si>
  <si>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</si>
  <si>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</si>
  <si>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</si>
  <si>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</si>
  <si>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</si>
  <si>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</si>
  <si>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</si>
  <si>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</si>
  <si>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</si>
  <si>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</si>
  <si>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</si>
  <si>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</si>
  <si>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</si>
  <si>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</si>
  <si>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</si>
  <si>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</si>
  <si>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</si>
  <si>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</si>
  <si>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</si>
  <si>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</si>
  <si>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</si>
  <si>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</si>
  <si>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</si>
  <si>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</si>
  <si>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</si>
  <si>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</si>
  <si>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</si>
  <si>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</si>
  <si>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</si>
  <si>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</si>
  <si>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</si>
  <si>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</si>
  <si>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</si>
  <si>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</si>
  <si>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</si>
  <si>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</si>
  <si>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</si>
  <si>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</si>
  <si>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</si>
  <si>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</si>
  <si>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</si>
  <si>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</si>
  <si>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</si>
  <si>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</si>
  <si>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</si>
  <si>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</si>
  <si>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</si>
  <si>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</si>
  <si>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</si>
  <si>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</si>
  <si>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</si>
  <si>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</si>
  <si>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</si>
  <si>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</si>
  <si>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</si>
  <si>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</si>
  <si>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</si>
  <si>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</si>
  <si>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</si>
  <si>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</si>
  <si>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10700248</t>
  </si>
  <si>
    <t>Passed</t>
  </si>
  <si>
    <t>275 Recruitment (Zojez Vizyzi (10279378))</t>
  </si>
  <si>
    <t>Italy</t>
  </si>
  <si>
    <t>Mr</t>
  </si>
  <si>
    <t>Eliseo</t>
  </si>
  <si>
    <t>Mosciski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</si>
  <si>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</si>
  <si>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</si>
  <si>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</si>
  <si>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</si>
  <si>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</si>
  <si>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</si>
  <si>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</si>
  <si>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</si>
  <si>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</si>
  <si>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</si>
  <si>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</si>
  <si>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</si>
  <si>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</si>
  <si>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</si>
  <si>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</si>
  <si>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</si>
  <si>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</si>
  <si>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</si>
  <si>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</si>
  <si>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</si>
  <si>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</si>
  <si>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</si>
  <si>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</si>
  <si>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</si>
  <si>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</si>
  <si>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</si>
  <si>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</si>
  <si>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</si>
  <si>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</si>
  <si>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</si>
  <si>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</si>
  <si>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</si>
  <si>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</si>
  <si>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</si>
  <si>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</si>
  <si>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</si>
  <si>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</si>
  <si>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</si>
  <si>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</si>
  <si>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10700249</t>
  </si>
  <si>
    <t>275 Store Management (Gyzag Hopope (10144587))</t>
  </si>
  <si>
    <t>Humberto</t>
  </si>
  <si>
    <t>Hodkiewicz</t>
  </si>
  <si>
    <t>Auto 78628774</t>
  </si>
  <si>
    <t>Assistant Manager</t>
  </si>
  <si>
    <t>92 Retail Management</t>
  </si>
  <si>
    <t>251 Management Retail</t>
  </si>
  <si>
    <t>Impiegato</t>
  </si>
  <si>
    <t>Level 2</t>
  </si>
  <si>
    <t>AB</t>
  </si>
  <si>
    <t>JC</t>
  </si>
  <si>
    <t>MTKBNN10D10A</t>
  </si>
  <si>
    <t>A</t>
  </si>
  <si>
    <t>BA</t>
  </si>
  <si>
    <t>CJ</t>
  </si>
  <si>
    <t>MTKNBN20D20A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</si>
</sst>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b/>
      <color theme="1"/>
      <family val="2"/>
      <sz val="14"/>
      <name val="Arial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64" fontId="0" fillId="4" borderId="3" xfId="0" applyNumberFormat="1" applyFill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kenumber.org/generator-other/italy06-789-8707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2@661" TargetMode="External"/><Relationship Id="rId4" Type="http://schemas.openxmlformats.org/officeDocument/2006/relationships/hyperlink" Target="https://fakenumber.org/generator-other/italy06-789-8707" TargetMode="External"/><Relationship Id="rId5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3"/>
  <sheetViews>
    <sheetView workbookViewId="0" zoomScale="100" zoomScaleNormal="100">
      <selection activeCell="BC10" sqref="BC10"/>
    </sheetView>
  </sheetViews>
  <sheetFormatPr defaultRowHeight="14.5" outlineLevelRow="0" outlineLevelCol="0" x14ac:dyDescent="0.35" customHeight="1"/>
  <cols>
    <col min="1" max="1" width="10" customWidth="1"/>
    <col min="2" max="2" width="65.9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3" width="15.453125" customWidth="1"/>
    <col min="54" max="54" width="30.453125" customWidth="1"/>
    <col min="55" max="55" width="15.1796875" customWidth="1"/>
    <col min="56" max="56" width="22.7265625" customWidth="1"/>
    <col min="57" max="57" width="8.7265625" customWidth="1"/>
    <col min="58" max="58" width="10.453125" customWidth="1"/>
    <col min="70" max="70" width="39.26953125" customWidth="1"/>
  </cols>
  <sheetData>
    <row r="1" ht="18" customHeight="1" spans="1:7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ht="14.5" customHeight="1" spans="1:70" x14ac:dyDescent="0.25">
      <c r="A2" t="s">
        <v>67</v>
      </c>
      <c r="B2" s="8" t="s">
        <v>68</v>
      </c>
      <c r="C2" s="9" t="s">
        <v>69</v>
      </c>
      <c r="D2" s="10" t="s">
        <v>70</v>
      </c>
      <c r="E2" s="11" t="s">
        <v>71</v>
      </c>
      <c r="F2" s="12" t="s">
        <v>72</v>
      </c>
      <c r="G2" s="13" t="s">
        <v>73</v>
      </c>
      <c r="H2" s="14" t="s">
        <v>74</v>
      </c>
      <c r="I2" t="s">
        <v>75</v>
      </c>
      <c r="J2" s="15" t="s">
        <v>76</v>
      </c>
      <c r="K2" s="15" t="s">
        <v>77</v>
      </c>
      <c r="L2" s="16">
        <f t="shared" ref="L2:L3" si="0">TODAY()-31</f>
        <v>45821</v>
      </c>
      <c r="M2" s="11" t="s">
        <v>71</v>
      </c>
      <c r="N2" s="17" t="s">
        <v>78</v>
      </c>
      <c r="O2" s="17" t="s">
        <v>79</v>
      </c>
      <c r="P2" s="17">
        <v>1</v>
      </c>
      <c r="Q2" s="15" t="s">
        <v>80</v>
      </c>
      <c r="R2" s="15" t="s">
        <v>81</v>
      </c>
      <c r="S2" s="15" t="s">
        <v>77</v>
      </c>
      <c r="T2" s="18" t="s">
        <v>82</v>
      </c>
      <c r="U2" s="19" t="s">
        <v>83</v>
      </c>
      <c r="V2" s="15" t="s">
        <v>77</v>
      </c>
      <c r="W2" s="15" t="s">
        <v>84</v>
      </c>
      <c r="X2" s="20">
        <f t="shared" ref="X2:X3" si="1">L2</f>
        <v>45821</v>
      </c>
      <c r="Y2" s="16">
        <f t="shared" ref="Y2:Y3" si="2">TODAY()+20</f>
        <v>45872</v>
      </c>
      <c r="Z2" s="15" t="s">
        <v>85</v>
      </c>
      <c r="AA2" s="21" t="s">
        <v>86</v>
      </c>
      <c r="AB2" s="22" t="s">
        <v>87</v>
      </c>
      <c r="AC2" s="23" t="s">
        <v>88</v>
      </c>
      <c r="AD2" s="22" t="s">
        <v>89</v>
      </c>
      <c r="AE2" s="11">
        <v>275</v>
      </c>
      <c r="AF2" s="11" t="s">
        <v>61</v>
      </c>
      <c r="AG2" s="24">
        <v>40</v>
      </c>
      <c r="AH2" s="25" t="s">
        <v>90</v>
      </c>
      <c r="AI2" t="s">
        <v>91</v>
      </c>
      <c r="AJ2" s="26" t="s">
        <v>92</v>
      </c>
      <c r="AK2" s="15" t="s">
        <v>93</v>
      </c>
      <c r="AL2" s="15" t="s">
        <v>94</v>
      </c>
      <c r="AM2" t="s">
        <v>95</v>
      </c>
      <c r="AN2" s="15" t="s">
        <v>96</v>
      </c>
      <c r="AO2" s="15" t="s">
        <v>97</v>
      </c>
      <c r="AP2" s="15" t="s">
        <v>98</v>
      </c>
      <c r="AQ2" s="27" t="s">
        <v>99</v>
      </c>
      <c r="AR2" s="22" t="s">
        <v>92</v>
      </c>
      <c r="AS2" s="28" t="s">
        <v>100</v>
      </c>
      <c r="AT2" s="18">
        <f t="shared" ref="AT2:AT3" si="3">X2-1</f>
        <v>45820</v>
      </c>
      <c r="AU2" s="18">
        <f t="shared" ref="AU2:AU3" si="4">X2-1</f>
        <v>45820</v>
      </c>
      <c r="AV2" s="29">
        <f t="shared" ref="AV2:AV3" si="5">AJ2</f>
        <v>NaN</v>
      </c>
      <c r="AW2" s="30" t="s">
        <v>92</v>
      </c>
      <c r="AX2" s="30" t="s">
        <v>92</v>
      </c>
      <c r="AY2" s="11" t="s">
        <v>71</v>
      </c>
      <c r="AZ2" s="31" t="s">
        <v>101</v>
      </c>
      <c r="BA2" s="32">
        <f>AZ9</f>
        <v>NaN</v>
      </c>
      <c r="BB2" s="11" t="s">
        <v>71</v>
      </c>
      <c r="BC2" s="31" t="s">
        <v>102</v>
      </c>
      <c r="BD2" s="33" t="str">
        <f>BH9</f>
        <v>MTKBNN10D10A354A</v>
      </c>
      <c r="BE2" t="s">
        <v>103</v>
      </c>
      <c r="BF2" s="34">
        <v>35591</v>
      </c>
      <c r="BG2" s="11" t="s">
        <v>71</v>
      </c>
      <c r="BH2" s="11" t="s">
        <v>104</v>
      </c>
      <c r="BI2" s="11" t="s">
        <v>104</v>
      </c>
      <c r="BJ2" s="11" t="s">
        <v>105</v>
      </c>
      <c r="BK2" s="34" t="s">
        <v>106</v>
      </c>
      <c r="BL2" s="11" t="s">
        <v>71</v>
      </c>
      <c r="BM2" s="11" t="s">
        <v>107</v>
      </c>
      <c r="BN2" s="31" t="s">
        <v>108</v>
      </c>
      <c r="BO2" s="31" t="s">
        <v>109</v>
      </c>
      <c r="BP2" s="31" t="s">
        <v>110</v>
      </c>
      <c r="BQ2" s="31" t="s">
        <v>111</v>
      </c>
      <c r="BR2" s="15" t="s">
        <v>112</v>
      </c>
    </row>
    <row r="3" ht="14.5" customHeight="1" spans="1:70" x14ac:dyDescent="0.25">
      <c r="A3" t="s">
        <v>113</v>
      </c>
      <c r="B3" s="8" t="s">
        <v>114</v>
      </c>
      <c r="C3" s="9" t="s">
        <v>69</v>
      </c>
      <c r="D3" s="10" t="s">
        <v>115</v>
      </c>
      <c r="E3" s="11" t="s">
        <v>71</v>
      </c>
      <c r="F3" s="12" t="s">
        <v>72</v>
      </c>
      <c r="G3" s="13" t="s">
        <v>116</v>
      </c>
      <c r="H3" s="14" t="s">
        <v>117</v>
      </c>
      <c r="I3" t="s">
        <v>75</v>
      </c>
      <c r="J3" s="15" t="s">
        <v>76</v>
      </c>
      <c r="K3" s="15" t="s">
        <v>77</v>
      </c>
      <c r="L3" s="16">
        <f t="shared" si="0"/>
        <v>45821</v>
      </c>
      <c r="M3" s="11" t="s">
        <v>71</v>
      </c>
      <c r="N3" s="17" t="s">
        <v>78</v>
      </c>
      <c r="O3" s="17" t="s">
        <v>79</v>
      </c>
      <c r="P3" s="17">
        <v>1</v>
      </c>
      <c r="Q3" s="15" t="s">
        <v>80</v>
      </c>
      <c r="R3" s="15" t="s">
        <v>81</v>
      </c>
      <c r="S3" s="15" t="s">
        <v>77</v>
      </c>
      <c r="T3" s="18" t="s">
        <v>82</v>
      </c>
      <c r="U3" s="19" t="s">
        <v>83</v>
      </c>
      <c r="V3" s="15" t="s">
        <v>77</v>
      </c>
      <c r="W3" s="15" t="s">
        <v>84</v>
      </c>
      <c r="X3" s="20">
        <f t="shared" si="1"/>
        <v>45821</v>
      </c>
      <c r="Y3" s="16">
        <f t="shared" si="2"/>
        <v>45872</v>
      </c>
      <c r="Z3" s="15" t="s">
        <v>85</v>
      </c>
      <c r="AA3" s="21" t="s">
        <v>118</v>
      </c>
      <c r="AB3" s="22" t="s">
        <v>87</v>
      </c>
      <c r="AC3" s="23" t="s">
        <v>119</v>
      </c>
      <c r="AD3" s="22" t="s">
        <v>89</v>
      </c>
      <c r="AE3" s="11">
        <v>275</v>
      </c>
      <c r="AF3" s="11" t="s">
        <v>61</v>
      </c>
      <c r="AG3" s="24">
        <v>40</v>
      </c>
      <c r="AH3" s="25" t="s">
        <v>90</v>
      </c>
      <c r="AI3" t="s">
        <v>91</v>
      </c>
      <c r="AJ3" s="26" t="s">
        <v>92</v>
      </c>
      <c r="AK3" s="15" t="s">
        <v>93</v>
      </c>
      <c r="AL3" s="15" t="s">
        <v>120</v>
      </c>
      <c r="AM3" t="s">
        <v>121</v>
      </c>
      <c r="AN3" s="15" t="s">
        <v>96</v>
      </c>
      <c r="AO3" s="15" t="s">
        <v>122</v>
      </c>
      <c r="AP3" s="15" t="s">
        <v>123</v>
      </c>
      <c r="AQ3" s="27" t="s">
        <v>99</v>
      </c>
      <c r="AR3" s="22" t="s">
        <v>92</v>
      </c>
      <c r="AS3" s="28" t="s">
        <v>100</v>
      </c>
      <c r="AT3" s="18">
        <f t="shared" si="3"/>
        <v>45820</v>
      </c>
      <c r="AU3" s="18">
        <f t="shared" si="4"/>
        <v>45820</v>
      </c>
      <c r="AV3" s="29">
        <f t="shared" si="5"/>
        <v>NaN</v>
      </c>
      <c r="AW3" s="30" t="s">
        <v>92</v>
      </c>
      <c r="AX3" s="30" t="s">
        <v>92</v>
      </c>
      <c r="AY3" s="11" t="s">
        <v>71</v>
      </c>
      <c r="AZ3" s="31" t="s">
        <v>101</v>
      </c>
      <c r="BA3" s="32">
        <f>AZ10</f>
        <v>NaN</v>
      </c>
      <c r="BB3" s="11" t="s">
        <v>71</v>
      </c>
      <c r="BC3" s="31" t="s">
        <v>102</v>
      </c>
      <c r="BD3" s="33" t="str">
        <f>BH10</f>
        <v>MTKNBN20D20A151A</v>
      </c>
      <c r="BE3" t="s">
        <v>103</v>
      </c>
      <c r="BF3" s="34">
        <v>35591</v>
      </c>
      <c r="BG3" s="11" t="s">
        <v>71</v>
      </c>
      <c r="BH3" s="11" t="s">
        <v>104</v>
      </c>
      <c r="BI3" s="11" t="s">
        <v>104</v>
      </c>
      <c r="BJ3" s="11" t="s">
        <v>105</v>
      </c>
      <c r="BK3" s="34" t="s">
        <v>106</v>
      </c>
      <c r="BL3" s="11" t="s">
        <v>71</v>
      </c>
      <c r="BM3" s="11" t="s">
        <v>107</v>
      </c>
      <c r="BN3" s="31" t="s">
        <v>108</v>
      </c>
      <c r="BO3" s="31" t="s">
        <v>109</v>
      </c>
      <c r="BP3" s="31" t="s">
        <v>110</v>
      </c>
      <c r="BQ3" s="31" t="s">
        <v>111</v>
      </c>
      <c r="BR3" s="15" t="s">
        <v>112</v>
      </c>
    </row>
    <row r="4" spans="3:53" x14ac:dyDescent="0.25">
      <c r="C4" s="9"/>
      <c r="AZ4" s="7"/>
      <c r="BA4" s="35"/>
    </row>
    <row r="5" spans="3:3" x14ac:dyDescent="0.25">
      <c r="C5" s="9"/>
    </row>
    <row r="6" spans="3:3" x14ac:dyDescent="0.25">
      <c r="C6" s="9"/>
    </row>
    <row r="7" spans="3:3" x14ac:dyDescent="0.25">
      <c r="C7" s="9"/>
    </row>
    <row r="8" spans="3:3" x14ac:dyDescent="0.25">
      <c r="C8" s="9"/>
    </row>
    <row r="9" ht="14.5" customHeight="1" spans="3:60" x14ac:dyDescent="0.25">
      <c r="C9" s="9"/>
      <c r="AW9" t="s">
        <v>124</v>
      </c>
      <c r="AX9">
        <f t="array" ref="AX9:AX23">_xlfn.RANDARRAY(15,1,12345,99999,TRUE)</f>
        <v>22067</v>
      </c>
      <c r="AY9" t="s">
        <v>125</v>
      </c>
      <c r="AZ9" t="str">
        <f>AW9&amp;AX9&amp;AY9</f>
        <v>AB22067JC</v>
      </c>
      <c r="BD9" s="33" t="s">
        <v>126</v>
      </c>
      <c r="BE9">
        <f t="array" ref="BE9:BE23">_xlfn.RANDARRAY(15,1,123,999,TRUE)</f>
        <v>354</v>
      </c>
      <c r="BG9" t="s">
        <v>127</v>
      </c>
      <c r="BH9" t="str">
        <f>BD9&amp;BE9&amp;BF9&amp;BG9</f>
        <v>MTKBNN10D10A354A</v>
      </c>
    </row>
    <row r="10" ht="14.5" customHeight="1" spans="3:60" x14ac:dyDescent="0.25">
      <c r="C10" s="9"/>
      <c r="AW10" t="s">
        <v>128</v>
      </c>
      <c r="AX10">
        <v>84006</v>
      </c>
      <c r="AY10" t="s">
        <v>129</v>
      </c>
      <c r="AZ10" t="str">
        <f t="shared" ref="AZ10:AZ23" si="6">AW10&amp;AX10&amp;AY10</f>
        <v>BA84006CJ</v>
      </c>
      <c r="BD10" s="33" t="s">
        <v>130</v>
      </c>
      <c r="BE10">
        <v>151</v>
      </c>
      <c r="BG10" t="s">
        <v>127</v>
      </c>
      <c r="BH10" t="str">
        <f t="shared" ref="BH10:BH23" si="7">BD10&amp;BE10&amp;BF10&amp;BG10</f>
        <v>MTKNBN20D20A151A</v>
      </c>
    </row>
    <row r="11" ht="14.5" customHeight="1" spans="3:60" x14ac:dyDescent="0.25">
      <c r="C11" s="9"/>
      <c r="AW11" t="s">
        <v>124</v>
      </c>
      <c r="AX11">
        <v>77368</v>
      </c>
      <c r="AY11" t="s">
        <v>125</v>
      </c>
      <c r="AZ11" t="str">
        <f t="shared" si="6"/>
        <v>AB77368JC</v>
      </c>
      <c r="BD11" s="33" t="s">
        <v>126</v>
      </c>
      <c r="BE11">
        <v>891</v>
      </c>
      <c r="BG11" t="s">
        <v>127</v>
      </c>
      <c r="BH11" t="str">
        <f t="shared" si="7"/>
        <v>MTKBNN10D10A891A</v>
      </c>
    </row>
    <row r="12" ht="14.5" customHeight="1" spans="3:60" x14ac:dyDescent="0.25">
      <c r="C12" s="9"/>
      <c r="AW12" t="s">
        <v>128</v>
      </c>
      <c r="AX12">
        <v>45760</v>
      </c>
      <c r="AY12" t="s">
        <v>129</v>
      </c>
      <c r="AZ12" t="str">
        <f t="shared" si="6"/>
        <v>BA45760CJ</v>
      </c>
      <c r="BD12" s="33" t="s">
        <v>130</v>
      </c>
      <c r="BE12">
        <v>885</v>
      </c>
      <c r="BG12" t="s">
        <v>127</v>
      </c>
      <c r="BH12" t="str">
        <f t="shared" si="7"/>
        <v>MTKNBN20D20A885A</v>
      </c>
    </row>
    <row r="13" ht="14.5" customHeight="1" spans="3:60" x14ac:dyDescent="0.25">
      <c r="C13" s="9"/>
      <c r="AW13" t="s">
        <v>124</v>
      </c>
      <c r="AX13">
        <v>27388</v>
      </c>
      <c r="AY13" t="s">
        <v>125</v>
      </c>
      <c r="AZ13" t="str">
        <f t="shared" si="6"/>
        <v>AB27388JC</v>
      </c>
      <c r="BD13" s="33" t="s">
        <v>126</v>
      </c>
      <c r="BE13">
        <v>381</v>
      </c>
      <c r="BG13" t="s">
        <v>127</v>
      </c>
      <c r="BH13" t="str">
        <f t="shared" si="7"/>
        <v>MTKBNN10D10A381A</v>
      </c>
    </row>
    <row r="14" ht="14.5" customHeight="1" spans="3:60" x14ac:dyDescent="0.25">
      <c r="C14" s="9"/>
      <c r="AW14" t="s">
        <v>128</v>
      </c>
      <c r="AX14">
        <v>31844</v>
      </c>
      <c r="AY14" t="s">
        <v>129</v>
      </c>
      <c r="AZ14" t="str">
        <f t="shared" si="6"/>
        <v>BA31844CJ</v>
      </c>
      <c r="BD14" s="33" t="s">
        <v>130</v>
      </c>
      <c r="BE14">
        <v>206</v>
      </c>
      <c r="BG14" t="s">
        <v>127</v>
      </c>
      <c r="BH14" t="str">
        <f t="shared" si="7"/>
        <v>MTKNBN20D20A206A</v>
      </c>
    </row>
    <row r="15" ht="14.5" customHeight="1" spans="3:60" x14ac:dyDescent="0.25">
      <c r="C15" s="9"/>
      <c r="AW15" t="s">
        <v>124</v>
      </c>
      <c r="AX15">
        <v>49829</v>
      </c>
      <c r="AY15" t="s">
        <v>125</v>
      </c>
      <c r="AZ15" t="str">
        <f t="shared" si="6"/>
        <v>AB49829JC</v>
      </c>
      <c r="BD15" s="33" t="s">
        <v>126</v>
      </c>
      <c r="BE15">
        <v>180</v>
      </c>
      <c r="BG15" t="s">
        <v>127</v>
      </c>
      <c r="BH15" t="str">
        <f t="shared" si="7"/>
        <v>MTKBNN10D10A180A</v>
      </c>
    </row>
    <row r="16" ht="14.5" customHeight="1" spans="3:60" x14ac:dyDescent="0.25">
      <c r="C16" s="9"/>
      <c r="AW16" t="s">
        <v>128</v>
      </c>
      <c r="AX16">
        <v>45309</v>
      </c>
      <c r="AY16" t="s">
        <v>129</v>
      </c>
      <c r="AZ16" t="str">
        <f t="shared" si="6"/>
        <v>BA45309CJ</v>
      </c>
      <c r="BD16" s="33" t="s">
        <v>130</v>
      </c>
      <c r="BE16">
        <v>834</v>
      </c>
      <c r="BG16" t="s">
        <v>127</v>
      </c>
      <c r="BH16" t="str">
        <f t="shared" si="7"/>
        <v>MTKNBN20D20A834A</v>
      </c>
    </row>
    <row r="17" ht="14.5" customHeight="1" spans="3:60" x14ac:dyDescent="0.25">
      <c r="C17" s="9"/>
      <c r="AW17" t="s">
        <v>124</v>
      </c>
      <c r="AX17">
        <v>33664</v>
      </c>
      <c r="AY17" t="s">
        <v>125</v>
      </c>
      <c r="AZ17" t="str">
        <f t="shared" si="6"/>
        <v>AB33664JC</v>
      </c>
      <c r="BD17" s="33" t="s">
        <v>126</v>
      </c>
      <c r="BE17">
        <v>261</v>
      </c>
      <c r="BG17" t="s">
        <v>127</v>
      </c>
      <c r="BH17" t="str">
        <f t="shared" si="7"/>
        <v>MTKBNN10D10A261A</v>
      </c>
    </row>
    <row r="18" ht="14.5" customHeight="1" spans="3:60" x14ac:dyDescent="0.25">
      <c r="C18" s="9"/>
      <c r="AW18" t="s">
        <v>128</v>
      </c>
      <c r="AX18">
        <v>96141</v>
      </c>
      <c r="AY18" t="s">
        <v>129</v>
      </c>
      <c r="AZ18" t="str">
        <f t="shared" si="6"/>
        <v>BA96141CJ</v>
      </c>
      <c r="BD18" s="33" t="s">
        <v>130</v>
      </c>
      <c r="BE18">
        <v>880</v>
      </c>
      <c r="BG18" t="s">
        <v>127</v>
      </c>
      <c r="BH18" t="str">
        <f t="shared" si="7"/>
        <v>MTKNBN20D20A880A</v>
      </c>
    </row>
    <row r="19" ht="14.5" customHeight="1" spans="49:60" x14ac:dyDescent="0.25">
      <c r="AW19" t="s">
        <v>124</v>
      </c>
      <c r="AX19">
        <v>38903</v>
      </c>
      <c r="AY19" t="s">
        <v>125</v>
      </c>
      <c r="AZ19" t="str">
        <f t="shared" si="6"/>
        <v>AB38903JC</v>
      </c>
      <c r="BD19" s="33" t="s">
        <v>126</v>
      </c>
      <c r="BE19">
        <v>869</v>
      </c>
      <c r="BG19" t="s">
        <v>127</v>
      </c>
      <c r="BH19" t="str">
        <f t="shared" si="7"/>
        <v>MTKBNN10D10A869A</v>
      </c>
    </row>
    <row r="20" ht="14.5" customHeight="1" spans="49:60" x14ac:dyDescent="0.25">
      <c r="AW20" t="s">
        <v>128</v>
      </c>
      <c r="AX20">
        <v>42436</v>
      </c>
      <c r="AY20" t="s">
        <v>129</v>
      </c>
      <c r="AZ20" t="str">
        <f t="shared" si="6"/>
        <v>BA42436CJ</v>
      </c>
      <c r="BD20" s="33" t="s">
        <v>130</v>
      </c>
      <c r="BE20">
        <v>355</v>
      </c>
      <c r="BG20" t="s">
        <v>127</v>
      </c>
      <c r="BH20" t="str">
        <f t="shared" si="7"/>
        <v>MTKNBN20D20A355A</v>
      </c>
    </row>
    <row r="21" ht="14.5" customHeight="1" spans="49:60" x14ac:dyDescent="0.25">
      <c r="AW21" t="s">
        <v>124</v>
      </c>
      <c r="AX21">
        <v>57739</v>
      </c>
      <c r="AY21" t="s">
        <v>125</v>
      </c>
      <c r="AZ21" t="str">
        <f t="shared" si="6"/>
        <v>AB57739JC</v>
      </c>
      <c r="BD21" s="33" t="s">
        <v>126</v>
      </c>
      <c r="BE21">
        <v>419</v>
      </c>
      <c r="BG21" t="s">
        <v>127</v>
      </c>
      <c r="BH21" t="str">
        <f t="shared" si="7"/>
        <v>MTKBNN10D10A419A</v>
      </c>
    </row>
    <row r="22" ht="14.5" customHeight="1" spans="49:60" x14ac:dyDescent="0.25">
      <c r="AW22" t="s">
        <v>128</v>
      </c>
      <c r="AX22">
        <v>31447</v>
      </c>
      <c r="AY22" t="s">
        <v>129</v>
      </c>
      <c r="AZ22" t="str">
        <f t="shared" si="6"/>
        <v>BA31447CJ</v>
      </c>
      <c r="BD22" s="33" t="s">
        <v>130</v>
      </c>
      <c r="BE22">
        <v>632</v>
      </c>
      <c r="BG22" t="s">
        <v>127</v>
      </c>
      <c r="BH22" t="str">
        <f t="shared" si="7"/>
        <v>MTKNBN20D20A632A</v>
      </c>
    </row>
    <row r="23" ht="14.5" customHeight="1" spans="49:60" x14ac:dyDescent="0.25">
      <c r="AW23" t="s">
        <v>124</v>
      </c>
      <c r="AX23">
        <v>18459</v>
      </c>
      <c r="AY23" t="s">
        <v>125</v>
      </c>
      <c r="AZ23" t="str">
        <f t="shared" si="6"/>
        <v>AB18459JC</v>
      </c>
      <c r="BD23" s="33" t="s">
        <v>126</v>
      </c>
      <c r="BE23">
        <v>598</v>
      </c>
      <c r="BG23" t="s">
        <v>127</v>
      </c>
      <c r="BH23" t="str">
        <f t="shared" si="7"/>
        <v>MTKBNN10D10A598A</v>
      </c>
    </row>
  </sheetData>
  <dataValidations count="6">
    <dataValidation type="list" allowBlank="1" showInputMessage="1" showErrorMessage="1" sqref="AS2:AS3">
      <formula1>INDIRECT($E2)</formula1>
    </dataValidation>
    <dataValidation type="list" allowBlank="1" showInputMessage="1" showErrorMessage="1" sqref="BQ2:BQ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Z2:Z3">
      <formula1>INDIRECT($E2)</formula1>
    </dataValidation>
  </dataValidations>
  <hyperlinks>
    <hyperlink ref="I2" r:id="rId1"/>
    <hyperlink ref="U2" r:id="rId2"/>
    <hyperlink ref="AH2" r:id="rId3"/>
    <hyperlink ref="I3" r:id="rId4"/>
    <hyperlink ref="U3" r:id="rId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2025-07-14T12:19:03Z</dcterms:modified>
</cp:coreProperties>
</file>