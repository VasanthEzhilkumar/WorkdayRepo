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2" name="Sheet1" state="visible" r:id="rId4"/>
  </sheets>
  <calcPr calcId="171027"/>
</workbook>
</file>

<file path=xl/sharedStrings.xml><?xml version="1.0" encoding="utf-8"?>
<sst xmlns="http://schemas.openxmlformats.org/spreadsheetml/2006/main" count="203" uniqueCount="143">
  <si>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</si>
  <si>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</si>
  <si>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</si>
  <si>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</si>
  <si>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</si>
  <si>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</si>
  <si>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</si>
  <si>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</si>
  <si>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</si>
  <si>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</si>
  <si>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</si>
  <si>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</si>
  <si>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</si>
  <si>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</si>
  <si>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</si>
  <si>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</si>
  <si>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</si>
  <si>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</si>
  <si>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</si>
  <si>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</si>
  <si>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</si>
  <si>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</si>
  <si>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</si>
  <si>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</si>
  <si>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</si>
  <si>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</si>
  <si>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</si>
  <si>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</si>
  <si>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</si>
  <si>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</si>
  <si>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</si>
  <si>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</si>
  <si>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</si>
  <si>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</si>
  <si>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</si>
  <si>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</si>
  <si>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</si>
  <si>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</si>
  <si>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</si>
  <si>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</si>
  <si>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</si>
  <si>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</si>
  <si>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</si>
  <si>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</si>
  <si>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</si>
  <si>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</si>
  <si>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</si>
  <si>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</si>
  <si>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</si>
  <si>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</si>
  <si>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</si>
  <si>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</si>
  <si>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</si>
  <si>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</si>
  <si>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</si>
  <si>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</si>
  <si>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</si>
  <si>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BankIdentificationCode</t>
  </si>
  <si>
    <t>IBAN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</si>
  <si>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</si>
  <si>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</si>
  <si>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</si>
  <si>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</si>
  <si>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</si>
  <si>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</si>
  <si>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</si>
  <si>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</si>
  <si>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AdditionalNameType</t>
  </si>
  <si>
    <t>AdditionalNameCountry</t>
  </si>
  <si>
    <t>AdditionalNameGivenName</t>
  </si>
  <si>
    <t>AdditionalNameFamilyName</t>
  </si>
  <si>
    <t>HealthInsuranceCompany</t>
  </si>
  <si>
    <t>MealVoucher</t>
  </si>
  <si>
    <t>ProposedPayGroupInitial</t>
  </si>
  <si>
    <t>ProposedPayGroupFinal</t>
  </si>
  <si>
    <t>Test1</t>
  </si>
  <si>
    <t>10700239</t>
  </si>
  <si>
    <t>Passed</t>
  </si>
  <si>
    <t>895 Retail Team 1 (Sepap Pusube (10573442) (Inherited))</t>
  </si>
  <si>
    <t>Czechia</t>
  </si>
  <si>
    <t>Audie</t>
  </si>
  <si>
    <t>Quigley</t>
  </si>
  <si>
    <t>774 272 784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</si>
  <si>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</si>
  <si>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</si>
  <si>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</si>
  <si>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</si>
  <si>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</si>
  <si>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</si>
  <si>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</si>
  <si>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</si>
  <si>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</si>
  <si>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</si>
  <si>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</si>
  <si>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In-Store P&amp;C Assistant_NEW</t>
  </si>
  <si>
    <t>Part time</t>
  </si>
  <si>
    <t>895 Prague Wenceslas SQ</t>
  </si>
  <si>
    <t>Salary</t>
  </si>
  <si>
    <t>4 Days</t>
  </si>
  <si>
    <t>N/A</t>
  </si>
  <si>
    <t>Employment Agreement</t>
  </si>
  <si>
    <t>Active</t>
  </si>
  <si>
    <t>94 Retail Operatives</t>
  </si>
  <si>
    <t>250 Human Resources Retail</t>
  </si>
  <si>
    <t>Personal Number</t>
  </si>
  <si>
    <t>11/11/1998</t>
  </si>
  <si>
    <t>11/11/2055</t>
  </si>
  <si>
    <t>Citizen ID Number</t>
  </si>
  <si>
    <t>Female</t>
  </si>
  <si>
    <t>Single (Czechia)</t>
  </si>
  <si>
    <t>Citizen (Czechia)</t>
  </si>
  <si>
    <t>Air Bank</t>
  </si>
  <si>
    <t>Checking</t>
  </si>
  <si>
    <t>AIRACZPPXXX</t>
  </si>
  <si>
    <t>CZ6508000000192000145399</t>
  </si>
  <si>
    <t>PhDr</t>
  </si>
  <si>
    <t>doktor</t>
  </si>
  <si>
    <t>Yes</t>
  </si>
  <si>
    <t>Economics</t>
  </si>
  <si>
    <t>2024.26510.6208V097.P6208.4942</t>
  </si>
  <si>
    <t>Maiden</t>
  </si>
  <si>
    <t>Semi</t>
  </si>
  <si>
    <t>Ajayi</t>
  </si>
  <si>
    <t>Ne</t>
  </si>
  <si>
    <t>Please select a Czech Republic Pay Group</t>
  </si>
  <si>
    <t>CZ Monthly</t>
  </si>
  <si>
    <t>Test2</t>
  </si>
  <si>
    <t>10700271</t>
  </si>
  <si>
    <t>895 Store Management (Sepap Pusube (10573442))</t>
  </si>
  <si>
    <t>Reese</t>
  </si>
  <si>
    <t>Schmidt</t>
  </si>
  <si>
    <t>775 272 784</t>
  </si>
  <si>
    <t>Auto 81078454</t>
  </si>
  <si>
    <t>Team Manager - Retail_NEW</t>
  </si>
  <si>
    <t>Full time</t>
  </si>
  <si>
    <t>5 Days</t>
  </si>
  <si>
    <t>92 Retail Management</t>
  </si>
  <si>
    <t>251 Management Retail</t>
  </si>
  <si>
    <t>Bc</t>
  </si>
  <si>
    <t>bakal</t>
  </si>
  <si>
    <t>2000.31130.00000000.6208R.2636</t>
  </si>
  <si>
    <t>Chidozie</t>
  </si>
  <si>
    <t>Awaziem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</si>
</sst>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color theme="1"/>
      <family val="1"/>
      <sz val="12"/>
      <name val="Times New Roman"/>
    </font>
    <font>
      <color theme="1"/>
      <family val="1"/>
      <sz val="14"/>
      <name val="Times New Roman"/>
    </font>
    <font>
      <color theme="1"/>
      <family val="1"/>
      <sz val="10"/>
      <name val="Times New Roman"/>
    </font>
    <font>
      <u/>
      <color theme="1"/>
      <family val="1"/>
      <sz val="10"/>
      <name val="Times New Roman"/>
    </font>
    <font>
      <family val="2"/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4" borderId="0" xfId="0" applyFont="1" applyFill="1"/>
    <xf numFmtId="0" fontId="4" fillId="5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/>
    </xf>
    <xf numFmtId="0" fontId="4" fillId="5" borderId="2" xfId="0" applyFont="1" applyFill="1" applyBorder="1"/>
    <xf numFmtId="0" fontId="4" fillId="4" borderId="2" xfId="0" applyFont="1" applyFill="1" applyBorder="1" applyAlignment="1" applyProtection="1">
      <alignment horizontal="left"/>
      <protection locked="0"/>
    </xf>
    <xf numFmtId="14" fontId="4" fillId="4" borderId="2" xfId="0" applyNumberFormat="1" applyFont="1" applyFill="1" applyBorder="1" applyAlignment="1">
      <alignment horizontal="left"/>
    </xf>
    <xf numFmtId="0" fontId="4" fillId="6" borderId="2" xfId="0" applyFont="1" applyFill="1" applyBorder="1" applyAlignment="1">
      <alignment horizontal="left" vertical="top"/>
    </xf>
    <xf numFmtId="0" fontId="5" fillId="4" borderId="2" xfId="0" applyFont="1" applyFill="1" applyBorder="1" applyProtection="1">
      <protection locked="0"/>
    </xf>
    <xf numFmtId="0" fontId="4" fillId="4" borderId="2" xfId="0" applyFont="1" applyFill="1" applyBorder="1" applyAlignment="1" applyProtection="1">
      <alignment horizontal="left" wrapText="1"/>
      <protection locked="0"/>
    </xf>
    <xf numFmtId="164" fontId="4" fillId="4" borderId="2" xfId="0" applyNumberFormat="1" applyFont="1" applyFill="1" applyBorder="1" applyAlignment="1" applyProtection="1">
      <alignment horizontal="left"/>
      <protection locked="0"/>
    </xf>
    <xf numFmtId="0" fontId="6" fillId="4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workbookViewId="0" zoomScale="100" zoomScaleNormal="100">
      <selection activeCell="AY4" sqref="AY4"/>
    </sheetView>
  </sheetViews>
  <sheetFormatPr defaultRowHeight="15.65" outlineLevelRow="0" outlineLevelCol="0" x14ac:dyDescent="0.35" defaultColWidth="8.90625" customHeight="1"/>
  <cols>
    <col min="1" max="1" width="12.1796875" style="1" customWidth="1"/>
    <col min="2" max="2" width="109.7265625" style="1" customWidth="1"/>
    <col min="3" max="3" width="10" style="1" customWidth="1"/>
    <col min="4" max="4" width="46.90625" style="1" customWidth="1"/>
    <col min="5" max="5" width="7.90625" style="1" customWidth="1"/>
    <col min="6" max="6" width="13.90625" style="1" customWidth="1"/>
    <col min="7" max="7" width="16.81640625" style="1" customWidth="1"/>
    <col min="8" max="8" width="16.08984375" style="1" customWidth="1"/>
    <col min="9" max="9" width="14.81640625" style="1" customWidth="1"/>
    <col min="10" max="10" width="6.1796875" style="1" customWidth="1"/>
    <col min="11" max="11" width="15" style="1" customWidth="1"/>
    <col min="12" max="12" width="9.453125" style="1" customWidth="1"/>
    <col min="13" max="13" width="12.90625" style="1" customWidth="1"/>
    <col min="14" max="14" width="16" style="1" customWidth="1"/>
    <col min="15" max="15" width="20" style="1" customWidth="1"/>
    <col min="16" max="16" width="9.1796875" style="1" customWidth="1"/>
    <col min="17" max="17" width="12.6328125" style="1" customWidth="1"/>
    <col min="18" max="18" width="6.1796875" style="1" customWidth="1"/>
    <col min="19" max="19" width="8.36328125" style="1" customWidth="1"/>
    <col min="20" max="20" width="6.1796875" style="1" customWidth="1"/>
    <col min="21" max="21" width="12.08984375" style="1" customWidth="1"/>
    <col min="22" max="22" width="15.6328125" style="1" customWidth="1"/>
    <col min="23" max="23" width="6.1796875" style="1" customWidth="1"/>
    <col min="24" max="24" width="10.08984375" style="1" customWidth="1"/>
    <col min="25" max="25" width="8.54296875" style="1" customWidth="1"/>
    <col min="26" max="26" width="22.1796875" style="1" customWidth="1"/>
    <col min="27" max="27" width="16.54296875" style="1" customWidth="1"/>
    <col min="28" max="28" width="37" style="1" customWidth="1"/>
    <col min="29" max="29" width="11.54296875" style="1" customWidth="1"/>
    <col min="30" max="30" width="21.453125" style="1" customWidth="1"/>
    <col min="31" max="31" width="14.6328125" style="1" customWidth="1"/>
    <col min="32" max="32" width="11.90625" style="1" customWidth="1"/>
    <col min="33" max="33" width="26.1796875" style="1" customWidth="1"/>
    <col min="34" max="34" width="23.1796875" style="1" customWidth="1"/>
    <col min="35" max="35" width="23.36328125" style="1" customWidth="1"/>
    <col min="36" max="36" width="7.1796875" style="1" customWidth="1"/>
    <col min="37" max="37" width="18.81640625" style="1" customWidth="1"/>
    <col min="38" max="38" width="23.36328125" style="1" customWidth="1"/>
    <col min="39" max="39" width="23.08984375" style="1" customWidth="1"/>
    <col min="40" max="40" width="18.36328125" style="1" customWidth="1"/>
    <col min="41" max="41" width="23.54296875" style="1" customWidth="1"/>
    <col min="42" max="42" width="20.6328125" style="1" customWidth="1"/>
    <col min="43" max="43" width="20.08984375" style="1" customWidth="1"/>
    <col min="44" max="44" width="10.6328125" style="1" customWidth="1"/>
    <col min="45" max="45" width="19" style="1" customWidth="1"/>
    <col min="46" max="46" width="15.81640625" style="1" customWidth="1"/>
    <col min="47" max="47" width="13.6328125" style="1" customWidth="1"/>
    <col min="48" max="48" width="17.81640625" style="1" customWidth="1"/>
    <col min="49" max="49" width="10.6328125" style="1" customWidth="1"/>
    <col min="50" max="50" width="19" style="1" customWidth="1"/>
    <col min="51" max="51" width="14.36328125" style="1" customWidth="1"/>
    <col min="52" max="52" width="13.6328125" style="1" customWidth="1"/>
    <col min="53" max="53" width="17.81640625" style="1" customWidth="1"/>
    <col min="54" max="54" width="8.54296875" style="1" customWidth="1"/>
    <col min="55" max="55" width="13.6328125" style="1" customWidth="1"/>
    <col min="56" max="56" width="12.54296875" style="1" customWidth="1"/>
    <col min="57" max="57" width="14.54296875" style="1" customWidth="1"/>
    <col min="58" max="58" width="18.90625" style="1" customWidth="1"/>
    <col min="59" max="59" width="12.36328125" style="1" customWidth="1"/>
    <col min="60" max="60" width="15" style="1" customWidth="1"/>
    <col min="61" max="61" width="26" style="1" customWidth="1"/>
    <col min="62" max="62" width="25.81640625" style="1" customWidth="1"/>
    <col min="63" max="63" width="9.453125" style="1" customWidth="1"/>
    <col min="64" max="64" width="8.1796875" style="1" customWidth="1"/>
    <col min="65" max="65" width="8.36328125" style="1" customWidth="1"/>
    <col min="66" max="66" width="17.90625" style="1" customWidth="1"/>
    <col min="67" max="67" width="22.90625" style="1" customWidth="1"/>
    <col min="68" max="68" width="15.08984375" style="1" customWidth="1"/>
    <col min="69" max="69" width="20.08984375" style="1" customWidth="1"/>
    <col min="70" max="70" width="19.6328125" style="1" customWidth="1"/>
    <col min="71" max="71" width="29.90625" style="1" customWidth="1"/>
    <col min="72" max="72" width="23.453125" style="1" customWidth="1"/>
    <col min="73" max="73" width="26.81640625" style="1" customWidth="1"/>
    <col min="74" max="74" width="30.6328125" style="1" customWidth="1"/>
    <col min="75" max="75" width="31.54296875" style="1" customWidth="1"/>
    <col min="76" max="76" width="28.08984375" style="1" customWidth="1"/>
    <col min="77" max="77" width="15" style="1" customWidth="1"/>
    <col min="78" max="78" width="33.6328125" style="1" customWidth="1"/>
    <col min="79" max="79" width="26.90625" style="1" customWidth="1"/>
    <col min="80" max="16384" width="8.90625" style="1" customWidth="1"/>
  </cols>
  <sheetData>
    <row r="1" ht="18" customHeight="1" spans="1:92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6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6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4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ht="15" customHeight="1" spans="1:79" s="7" customFormat="1" x14ac:dyDescent="0.25">
      <c r="A2" s="8" t="s">
        <v>75</v>
      </c>
      <c r="B2" s="8" t="s">
        <v>76</v>
      </c>
      <c r="C2" s="8" t="s">
        <v>77</v>
      </c>
      <c r="D2" s="9" t="s">
        <v>78</v>
      </c>
      <c r="E2" s="10" t="s">
        <v>79</v>
      </c>
      <c r="F2" s="11" t="s">
        <v>80</v>
      </c>
      <c r="G2" s="12" t="s">
        <v>81</v>
      </c>
      <c r="H2" s="12" t="s">
        <v>82</v>
      </c>
      <c r="I2" s="12" t="s">
        <v>83</v>
      </c>
      <c r="J2" s="12" t="s">
        <v>84</v>
      </c>
      <c r="K2" s="13">
        <v>45597</v>
      </c>
      <c r="L2" s="10" t="s">
        <v>79</v>
      </c>
      <c r="M2" s="10" t="s">
        <v>85</v>
      </c>
      <c r="N2" s="10">
        <v>1</v>
      </c>
      <c r="O2" s="14">
        <v>213111231</v>
      </c>
      <c r="P2" s="12" t="s">
        <v>86</v>
      </c>
      <c r="Q2" s="12" t="s">
        <v>87</v>
      </c>
      <c r="R2" s="12" t="s">
        <v>86</v>
      </c>
      <c r="S2" s="12" t="s">
        <v>88</v>
      </c>
      <c r="T2" s="12" t="s">
        <v>84</v>
      </c>
      <c r="U2" s="13" t="s">
        <v>89</v>
      </c>
      <c r="V2" s="15" t="s">
        <v>90</v>
      </c>
      <c r="W2" s="12" t="s">
        <v>84</v>
      </c>
      <c r="X2" s="13">
        <f t="shared" ref="X2:X3" si="0">K2</f>
        <v>45597</v>
      </c>
      <c r="Y2" s="12" t="s">
        <v>91</v>
      </c>
      <c r="Z2" s="12" t="s">
        <v>92</v>
      </c>
      <c r="AA2" s="11" t="s">
        <v>93</v>
      </c>
      <c r="AB2" s="11" t="s">
        <v>94</v>
      </c>
      <c r="AC2" s="11" t="s">
        <v>95</v>
      </c>
      <c r="AD2" s="10" t="s">
        <v>96</v>
      </c>
      <c r="AE2" s="10" t="s">
        <v>97</v>
      </c>
      <c r="AF2" s="11" t="s">
        <v>98</v>
      </c>
      <c r="AG2" s="16">
        <v>20</v>
      </c>
      <c r="AH2" s="13" t="s">
        <v>99</v>
      </c>
      <c r="AI2" s="12" t="s">
        <v>100</v>
      </c>
      <c r="AJ2" s="12" t="s">
        <v>101</v>
      </c>
      <c r="AK2" s="13">
        <f t="shared" ref="AK2:AK3" si="1">AH2</f>
        <v>NaN</v>
      </c>
      <c r="AL2" s="13">
        <f t="shared" ref="AL2:AL3" si="2">K2</f>
        <v>45597</v>
      </c>
      <c r="AM2" s="13">
        <f t="shared" ref="AM2:AM3" si="3">K2</f>
        <v>45597</v>
      </c>
      <c r="AN2" s="12" t="s">
        <v>102</v>
      </c>
      <c r="AO2" s="11" t="s">
        <v>103</v>
      </c>
      <c r="AP2" s="10">
        <v>100</v>
      </c>
      <c r="AQ2" s="13">
        <f t="shared" ref="AQ2:AQ3" si="4">K2+90</f>
        <v>45687</v>
      </c>
      <c r="AR2" s="10" t="s">
        <v>79</v>
      </c>
      <c r="AS2" s="17" t="s">
        <v>104</v>
      </c>
      <c r="AT2" s="18">
        <v>9461110922</v>
      </c>
      <c r="AU2" s="13" t="s">
        <v>105</v>
      </c>
      <c r="AV2" s="13" t="s">
        <v>106</v>
      </c>
      <c r="AW2" s="10" t="s">
        <v>79</v>
      </c>
      <c r="AX2" s="17" t="s">
        <v>107</v>
      </c>
      <c r="AY2" s="19">
        <v>152733424</v>
      </c>
      <c r="AZ2" s="13" t="s">
        <v>105</v>
      </c>
      <c r="BA2" s="13" t="s">
        <v>106</v>
      </c>
      <c r="BB2" s="11" t="s">
        <v>108</v>
      </c>
      <c r="BC2" s="13">
        <v>34284</v>
      </c>
      <c r="BD2" s="17" t="s">
        <v>86</v>
      </c>
      <c r="BE2" s="17" t="s">
        <v>109</v>
      </c>
      <c r="BF2" s="17" t="s">
        <v>110</v>
      </c>
      <c r="BG2" s="10" t="s">
        <v>111</v>
      </c>
      <c r="BH2" s="10" t="s">
        <v>112</v>
      </c>
      <c r="BI2" s="11" t="s">
        <v>113</v>
      </c>
      <c r="BJ2" s="17" t="s">
        <v>114</v>
      </c>
      <c r="BK2" s="14" t="s">
        <v>79</v>
      </c>
      <c r="BL2" s="14" t="s">
        <v>115</v>
      </c>
      <c r="BM2" s="14" t="s">
        <v>116</v>
      </c>
      <c r="BN2" s="14" t="s">
        <v>117</v>
      </c>
      <c r="BO2" s="14">
        <v>2024</v>
      </c>
      <c r="BP2" s="14" t="s">
        <v>118</v>
      </c>
      <c r="BQ2" s="14">
        <v>2021</v>
      </c>
      <c r="BR2" s="14">
        <v>2024</v>
      </c>
      <c r="BS2" s="14" t="s">
        <v>119</v>
      </c>
      <c r="BT2" s="14" t="s">
        <v>120</v>
      </c>
      <c r="BU2" s="14" t="s">
        <v>79</v>
      </c>
      <c r="BV2" s="20" t="s">
        <v>121</v>
      </c>
      <c r="BW2" s="20" t="s">
        <v>122</v>
      </c>
      <c r="BX2" s="20">
        <v>213</v>
      </c>
      <c r="BY2" s="20" t="s">
        <v>123</v>
      </c>
      <c r="BZ2" s="20" t="s">
        <v>124</v>
      </c>
      <c r="CA2" s="20" t="s">
        <v>125</v>
      </c>
    </row>
    <row r="3" ht="15" customHeight="1" spans="1:79" s="7" customFormat="1" x14ac:dyDescent="0.25">
      <c r="A3" s="8" t="s">
        <v>126</v>
      </c>
      <c r="B3" s="21" t="s">
        <v>127</v>
      </c>
      <c r="C3" s="11" t="s">
        <v>77</v>
      </c>
      <c r="D3" s="9" t="s">
        <v>128</v>
      </c>
      <c r="E3" s="10" t="s">
        <v>79</v>
      </c>
      <c r="F3" s="11" t="s">
        <v>129</v>
      </c>
      <c r="G3" s="12" t="s">
        <v>130</v>
      </c>
      <c r="H3" s="12" t="s">
        <v>131</v>
      </c>
      <c r="I3" s="12" t="s">
        <v>83</v>
      </c>
      <c r="J3" s="12" t="s">
        <v>84</v>
      </c>
      <c r="K3" s="13">
        <v>45597</v>
      </c>
      <c r="L3" s="10" t="s">
        <v>79</v>
      </c>
      <c r="M3" s="10" t="s">
        <v>85</v>
      </c>
      <c r="N3" s="10">
        <v>1</v>
      </c>
      <c r="O3" s="14">
        <v>213111231</v>
      </c>
      <c r="P3" s="12" t="s">
        <v>86</v>
      </c>
      <c r="Q3" s="12" t="s">
        <v>87</v>
      </c>
      <c r="R3" s="12" t="s">
        <v>86</v>
      </c>
      <c r="S3" s="12" t="s">
        <v>88</v>
      </c>
      <c r="T3" s="12" t="s">
        <v>84</v>
      </c>
      <c r="U3" s="13" t="s">
        <v>89</v>
      </c>
      <c r="V3" s="15" t="s">
        <v>90</v>
      </c>
      <c r="W3" s="12" t="s">
        <v>84</v>
      </c>
      <c r="X3" s="13">
        <f t="shared" si="0"/>
        <v>45597</v>
      </c>
      <c r="Y3" s="12" t="s">
        <v>91</v>
      </c>
      <c r="Z3" s="12" t="s">
        <v>132</v>
      </c>
      <c r="AA3" s="11" t="s">
        <v>93</v>
      </c>
      <c r="AB3" s="11" t="s">
        <v>133</v>
      </c>
      <c r="AC3" s="11" t="s">
        <v>134</v>
      </c>
      <c r="AD3" s="10" t="s">
        <v>96</v>
      </c>
      <c r="AE3" s="10" t="s">
        <v>97</v>
      </c>
      <c r="AF3" s="11" t="s">
        <v>135</v>
      </c>
      <c r="AG3" s="16">
        <v>40</v>
      </c>
      <c r="AH3" s="13" t="s">
        <v>99</v>
      </c>
      <c r="AI3" s="12" t="s">
        <v>100</v>
      </c>
      <c r="AJ3" s="12" t="s">
        <v>101</v>
      </c>
      <c r="AK3" s="13">
        <f t="shared" si="1"/>
        <v>NaN</v>
      </c>
      <c r="AL3" s="13">
        <f t="shared" si="2"/>
        <v>45597</v>
      </c>
      <c r="AM3" s="13">
        <f t="shared" si="3"/>
        <v>45597</v>
      </c>
      <c r="AN3" s="12" t="s">
        <v>136</v>
      </c>
      <c r="AO3" s="11" t="s">
        <v>137</v>
      </c>
      <c r="AP3" s="10">
        <v>100</v>
      </c>
      <c r="AQ3" s="13">
        <f t="shared" si="4"/>
        <v>45687</v>
      </c>
      <c r="AR3" s="10" t="s">
        <v>79</v>
      </c>
      <c r="AS3" s="17" t="s">
        <v>104</v>
      </c>
      <c r="AT3" s="18">
        <v>9461110924</v>
      </c>
      <c r="AU3" s="13" t="s">
        <v>105</v>
      </c>
      <c r="AV3" s="13" t="s">
        <v>106</v>
      </c>
      <c r="AW3" s="10" t="s">
        <v>79</v>
      </c>
      <c r="AX3" s="17" t="s">
        <v>107</v>
      </c>
      <c r="AY3" s="19">
        <v>152733426</v>
      </c>
      <c r="AZ3" s="13" t="s">
        <v>105</v>
      </c>
      <c r="BA3" s="13" t="s">
        <v>106</v>
      </c>
      <c r="BB3" s="11" t="s">
        <v>108</v>
      </c>
      <c r="BC3" s="13">
        <v>34284</v>
      </c>
      <c r="BD3" s="17" t="s">
        <v>86</v>
      </c>
      <c r="BE3" s="17" t="s">
        <v>109</v>
      </c>
      <c r="BF3" s="17" t="s">
        <v>110</v>
      </c>
      <c r="BG3" s="10" t="s">
        <v>111</v>
      </c>
      <c r="BH3" s="10" t="s">
        <v>112</v>
      </c>
      <c r="BI3" s="11" t="s">
        <v>113</v>
      </c>
      <c r="BJ3" s="17" t="s">
        <v>114</v>
      </c>
      <c r="BK3" s="14" t="s">
        <v>79</v>
      </c>
      <c r="BL3" s="14" t="s">
        <v>138</v>
      </c>
      <c r="BM3" s="14" t="s">
        <v>139</v>
      </c>
      <c r="BN3" s="14" t="s">
        <v>117</v>
      </c>
      <c r="BO3" s="14">
        <v>2000</v>
      </c>
      <c r="BP3" s="14" t="s">
        <v>118</v>
      </c>
      <c r="BQ3" s="14">
        <v>1995</v>
      </c>
      <c r="BR3" s="14">
        <v>2000</v>
      </c>
      <c r="BS3" s="14" t="s">
        <v>140</v>
      </c>
      <c r="BT3" s="14" t="s">
        <v>120</v>
      </c>
      <c r="BU3" s="14" t="s">
        <v>79</v>
      </c>
      <c r="BV3" s="20" t="s">
        <v>141</v>
      </c>
      <c r="BW3" s="20" t="s">
        <v>142</v>
      </c>
      <c r="BX3" s="20">
        <v>201</v>
      </c>
      <c r="BY3" s="20" t="s">
        <v>123</v>
      </c>
      <c r="BZ3" s="20" t="s">
        <v>124</v>
      </c>
      <c r="CA3" s="20" t="s">
        <v>125</v>
      </c>
    </row>
    <row r="4" ht="15.65" customHeight="1" spans="46:51" x14ac:dyDescent="0.25">
      <c r="AT4" s="19"/>
      <c r="AY4" s="19"/>
    </row>
  </sheetData>
  <dataValidations count="6">
    <dataValidation type="list" allowBlank="1" showInputMessage="1" showErrorMessage="1" sqref="AJ2:AJ3">
      <formula1>INDIRECT($D1)</formula1>
    </dataValidation>
    <dataValidation type="list" allowBlank="1" showInputMessage="1" showErrorMessage="1" sqref="BH2:BH3">
      <formula1>INDIRECT($D2)</formula1>
    </dataValidation>
    <dataValidation type="list" allowBlank="1" showInputMessage="1" showErrorMessage="1" sqref="J2:J3">
      <formula1>INDIRECT($D2)</formula1>
    </dataValidation>
    <dataValidation type="list" allowBlank="1" showInputMessage="1" showErrorMessage="1" sqref="T2:T3">
      <formula1>INDIRECT($D1)</formula1>
    </dataValidation>
    <dataValidation type="list" allowBlank="1" showInputMessage="1" showErrorMessage="1" sqref="W2:W3">
      <formula1>INDIRECT($D1)</formula1>
    </dataValidation>
    <dataValidation type="list" allowBlank="1" showInputMessage="1" showErrorMessage="1" sqref="Y2:Y3">
      <formula1>INDIRECT($D1)</formula1>
    </dataValidation>
  </dataValidation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2025-07-15T07:08:49Z</dcterms:modified>
</cp:coreProperties>
</file>