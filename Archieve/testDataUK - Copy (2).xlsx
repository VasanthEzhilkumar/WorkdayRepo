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952714FE-D9BF-4B2A-80DA-B0A03B9E09A9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2" l="1"/>
  <c r="Y4" i="2" s="1"/>
  <c r="X3" i="2"/>
  <c r="Y3" i="2" s="1"/>
  <c r="X2" i="2"/>
  <c r="Y2" i="2" s="1"/>
</calcChain>
</file>

<file path=xl/sharedStrings.xml><?xml version="1.0" encoding="utf-8"?>
<sst xmlns="http://schemas.openxmlformats.org/spreadsheetml/2006/main" count="199" uniqueCount="123">
  <si>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</si>
  <si>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</si>
  <si>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</si>
  <si>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</si>
  <si>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</si>
  <si>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</si>
  <si>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</si>
  <si>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</si>
  <si>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</si>
  <si>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</si>
  <si>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</si>
  <si>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City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</si>
  <si>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</si>
  <si>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</si>
  <si>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</si>
  <si>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</si>
  <si>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</si>
  <si>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</si>
  <si>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</si>
  <si>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</si>
  <si>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</si>
  <si>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</si>
  <si>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</si>
  <si>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</si>
  <si>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</si>
  <si>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CostCenter</t>
  </si>
  <si>
    <t>DepartmentSection</t>
  </si>
  <si>
    <t>ProbationEndDate</t>
  </si>
  <si>
    <t>Country1</t>
  </si>
  <si>
    <t>NationalIDType1</t>
  </si>
  <si>
    <t>AddEditID1</t>
  </si>
  <si>
    <t>Gender</t>
  </si>
  <si>
    <t>DateOfBirth</t>
  </si>
  <si>
    <t>MaritalStatus</t>
  </si>
  <si>
    <t>BankName</t>
  </si>
  <si>
    <t>AccountType</t>
  </si>
  <si>
    <t>ProposedPayGroupFinal</t>
  </si>
  <si>
    <t>Home</t>
  </si>
  <si>
    <t>Street Address</t>
  </si>
  <si>
    <t>New Hire</t>
  </si>
  <si>
    <t>No</t>
  </si>
  <si>
    <t>Permanent</t>
  </si>
  <si>
    <t>Full time</t>
  </si>
  <si>
    <t>Salary</t>
  </si>
  <si>
    <t>5 Days</t>
  </si>
  <si>
    <t>N/A</t>
  </si>
  <si>
    <t>Female</t>
  </si>
  <si>
    <t>Checking</t>
  </si>
  <si>
    <t>Part time</t>
  </si>
  <si>
    <t>Hourly</t>
  </si>
  <si>
    <t>08 Ladieswear</t>
  </si>
  <si>
    <t>519 Recruitment (Sanip Napuby (9575064) (Inherited))</t>
  </si>
  <si>
    <t>United Kingdom</t>
  </si>
  <si>
    <t>Mr</t>
  </si>
  <si>
    <t>161 923 4772</t>
  </si>
  <si>
    <t>Landline</t>
  </si>
  <si>
    <t>Avon</t>
  </si>
  <si>
    <t>Automation Street Name</t>
  </si>
  <si>
    <t>106 - 122 Market St, Manchester</t>
  </si>
  <si>
    <t>Londan</t>
  </si>
  <si>
    <t>M1 1WA</t>
  </si>
  <si>
    <t>Manchester</t>
  </si>
  <si>
    <t>Testharsh121@gmail.com</t>
  </si>
  <si>
    <t>Retail Assistant</t>
  </si>
  <si>
    <t>1@2@3@4@5@000</t>
  </si>
  <si>
    <t>Automation Comments here….</t>
  </si>
  <si>
    <t>94 Retail Operative</t>
  </si>
  <si>
    <t>01 Accessories</t>
  </si>
  <si>
    <t>GB Retail Assistant - Compensation Group National (23+)</t>
  </si>
  <si>
    <t>Defaulted</t>
  </si>
  <si>
    <t>National Insurance (NI) Number</t>
  </si>
  <si>
    <t>AB911639A</t>
  </si>
  <si>
    <t>Male</t>
  </si>
  <si>
    <t>London</t>
  </si>
  <si>
    <t>Married (United Kingdom)</t>
  </si>
  <si>
    <t>28/10/2021</t>
  </si>
  <si>
    <t>White - Irish</t>
  </si>
  <si>
    <t>Hindu</t>
  </si>
  <si>
    <t>UK Bank</t>
  </si>
  <si>
    <t>UK Staff Group 30</t>
  </si>
  <si>
    <t>519 Store Management (Sanip Napuby (9575064))</t>
  </si>
  <si>
    <t>Mr.</t>
  </si>
  <si>
    <t>Auto 10022025 105202 PM</t>
  </si>
  <si>
    <t>Store Manager</t>
  </si>
  <si>
    <t xml:space="preserve">92 Retail Management </t>
  </si>
  <si>
    <t xml:space="preserve">251 Management Retail </t>
  </si>
  <si>
    <t>AB911640A</t>
  </si>
  <si>
    <t>UK Management Group 60</t>
  </si>
  <si>
    <t>457 Recruitment (Wufud Tawuva (9457836))</t>
  </si>
  <si>
    <t>Ms.</t>
  </si>
  <si>
    <t>Antrim</t>
  </si>
  <si>
    <t>79 Botanic Ave</t>
  </si>
  <si>
    <t>High Street</t>
  </si>
  <si>
    <t>Belfast</t>
  </si>
  <si>
    <t>BT11JL</t>
  </si>
  <si>
    <t>3 Days</t>
  </si>
  <si>
    <t>NI Retail Assistant (Probationary 23+)</t>
  </si>
  <si>
    <t>NI Retail Assistant</t>
  </si>
  <si>
    <t>AB911651A</t>
  </si>
  <si>
    <t>Civil Partnership</t>
  </si>
  <si>
    <t>White - Gypsy or Irish Traveller</t>
  </si>
  <si>
    <t>Protestant</t>
  </si>
  <si>
    <t>Barclays Bank</t>
  </si>
  <si>
    <t>UK NI Fortnightly Group 40</t>
  </si>
  <si>
    <t>Prefix</t>
  </si>
  <si>
    <t>County</t>
  </si>
  <si>
    <t>AdressLine1</t>
  </si>
  <si>
    <t>AdressLine2</t>
  </si>
  <si>
    <t>AdressLine3</t>
  </si>
  <si>
    <t>PostalCode</t>
  </si>
  <si>
    <t>AdditionalJobClassifications</t>
  </si>
  <si>
    <t>Comments</t>
  </si>
  <si>
    <t>GradeProfile</t>
  </si>
  <si>
    <t>Step</t>
  </si>
  <si>
    <t>CountryOfBirth</t>
  </si>
  <si>
    <t>RegionOfBirth</t>
  </si>
  <si>
    <t>CityOfBirth</t>
  </si>
  <si>
    <t>MaritalStatusDate</t>
  </si>
  <si>
    <t>Race/Ethnicity</t>
  </si>
  <si>
    <t>Religion</t>
  </si>
  <si>
    <t>PrimaryNationality</t>
  </si>
  <si>
    <t>BankSortCode</t>
  </si>
  <si>
    <t>AccountNumber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</si>
</sst>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40C28"/>
      <name val="Times New Roman"/>
      <family val="1"/>
    </font>
    <font>
      <u/>
      <sz val="12"/>
      <color theme="10"/>
      <name val="Times New Roman"/>
      <family val="1"/>
    </font>
    <font>
      <sz val="12"/>
      <color rgb="FF4A4A4A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3" fillId="2" borderId="2" xfId="0" applyFont="1" applyFill="1" applyBorder="1"/>
    <xf numFmtId="0" fontId="3" fillId="0" borderId="2" xfId="0" quotePrefix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14" fontId="3" fillId="2" borderId="0" xfId="0" applyNumberFormat="1" applyFont="1" applyFill="1" applyAlignment="1">
      <alignment horizontal="left"/>
    </xf>
    <xf numFmtId="0" fontId="3" fillId="0" borderId="2" xfId="0" applyFont="1" applyBorder="1" applyProtection="1">
      <protection locked="0"/>
    </xf>
    <xf numFmtId="0" fontId="5" fillId="0" borderId="0" xfId="0" applyFont="1"/>
    <xf numFmtId="14" fontId="3" fillId="0" borderId="2" xfId="0" applyNumberFormat="1" applyFont="1" applyBorder="1" applyAlignment="1">
      <alignment horizontal="left"/>
    </xf>
    <xf numFmtId="0" fontId="6" fillId="0" borderId="2" xfId="1" applyFont="1" applyFill="1" applyBorder="1" applyProtection="1">
      <protection locked="0"/>
    </xf>
    <xf numFmtId="14" fontId="4" fillId="0" borderId="2" xfId="0" applyNumberFormat="1" applyFont="1" applyBorder="1" applyAlignment="1">
      <alignment horizontal="left"/>
    </xf>
    <xf numFmtId="0" fontId="3" fillId="5" borderId="2" xfId="0" applyFont="1" applyFill="1" applyBorder="1" applyAlignment="1" applyProtection="1">
      <alignment horizontal="left"/>
      <protection locked="0"/>
    </xf>
    <xf numFmtId="0" fontId="7" fillId="0" borderId="2" xfId="0" applyFont="1" applyBorder="1"/>
    <xf numFmtId="0" fontId="8" fillId="0" borderId="0" xfId="0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2" xfId="0" applyFont="1" applyBorder="1" applyAlignment="1" applyProtection="1">
      <alignment horizontal="left" wrapText="1"/>
      <protection locked="0"/>
    </xf>
    <xf numFmtId="0" fontId="6" fillId="0" borderId="2" xfId="1" applyNumberFormat="1" applyFont="1" applyFill="1" applyBorder="1" applyAlignment="1">
      <alignment horizontal="left"/>
    </xf>
    <xf numFmtId="14" fontId="4" fillId="0" borderId="0" xfId="0" applyNumberFormat="1" applyFont="1" applyAlignment="1">
      <alignment horizontal="left"/>
    </xf>
    <xf numFmtId="0" fontId="3" fillId="0" borderId="0" xfId="0" quotePrefix="1" applyFont="1"/>
    <xf numFmtId="164" fontId="3" fillId="0" borderId="2" xfId="0" quotePrefix="1" applyNumberFormat="1" applyFont="1" applyBorder="1" applyAlignment="1" applyProtection="1">
      <alignment horizontal="left"/>
      <protection locked="0"/>
    </xf>
    <xf numFmtId="0" fontId="3" fillId="2" borderId="0" xfId="0" applyFont="1" applyFill="1"/>
    <xf numFmtId="164" fontId="3" fillId="0" borderId="1" xfId="0" quotePrefix="1" applyNumberFormat="1" applyFont="1" applyBorder="1" applyAlignment="1" applyProtection="1">
      <alignment horizontal="left"/>
      <protection locked="0"/>
    </xf>
    <xf numFmtId="164" fontId="3" fillId="0" borderId="4" xfId="0" quotePrefix="1" applyNumberFormat="1" applyFont="1" applyBorder="1" applyAlignment="1" applyProtection="1">
      <alignment horizontal="left"/>
      <protection locked="0"/>
    </xf>
    <xf numFmtId="0" fontId="3" fillId="4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" xfId="0" quotePrefix="1" applyFont="1" applyFill="1" applyBorder="1" applyAlignment="1" applyProtection="1">
      <alignment horizontal="left"/>
      <protection locked="0"/>
    </xf>
    <xf numFmtId="0" fontId="3" fillId="6" borderId="2" xfId="0" applyFont="1" applyFill="1" applyBorder="1" applyAlignment="1" applyProtection="1">
      <alignment horizontal="left"/>
      <protection locked="0"/>
    </xf>
    <xf numFmtId="14" fontId="3" fillId="6" borderId="2" xfId="0" applyNumberFormat="1" applyFont="1" applyFill="1" applyBorder="1" applyAlignment="1">
      <alignment horizontal="left"/>
    </xf>
    <xf numFmtId="0" fontId="6" fillId="6" borderId="2" xfId="1" applyFont="1" applyFill="1" applyBorder="1" applyProtection="1">
      <protection locked="0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 applyProtection="1">
      <alignment horizontal="left" wrapText="1"/>
      <protection locked="0"/>
    </xf>
    <xf numFmtId="0" fontId="6" fillId="2" borderId="2" xfId="1" applyFont="1" applyFill="1" applyBorder="1" applyAlignment="1">
      <alignment horizontal="left"/>
    </xf>
    <xf numFmtId="14" fontId="4" fillId="2" borderId="0" xfId="0" applyNumberFormat="1" applyFont="1" applyFill="1" applyAlignment="1">
      <alignment horizontal="left"/>
    </xf>
    <xf numFmtId="0" fontId="3" fillId="2" borderId="2" xfId="0" applyFont="1" applyFill="1" applyBorder="1" applyAlignment="1" applyProtection="1">
      <alignment horizontal="left"/>
      <protection locked="0"/>
    </xf>
    <xf numFmtId="0" fontId="3" fillId="2" borderId="0" xfId="0" quotePrefix="1" applyFont="1" applyFill="1"/>
    <xf numFmtId="164" fontId="3" fillId="0" borderId="1" xfId="0" applyNumberFormat="1" applyFont="1" applyBorder="1" applyAlignment="1" applyProtection="1">
      <alignment horizontal="left"/>
      <protection locked="0"/>
    </xf>
    <xf numFmtId="164" fontId="3" fillId="2" borderId="1" xfId="0" quotePrefix="1" applyNumberFormat="1" applyFont="1" applyFill="1" applyBorder="1" applyAlignment="1" applyProtection="1">
      <alignment horizontal="left"/>
      <protection locked="0"/>
    </xf>
    <xf numFmtId="164" fontId="3" fillId="2" borderId="4" xfId="0" quotePrefix="1" applyNumberFormat="1" applyFont="1" applyFill="1" applyBorder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harsh121@gmail.com" TargetMode="External"/><Relationship Id="rId2" Type="http://schemas.openxmlformats.org/officeDocument/2006/relationships/hyperlink" Target="mailto:1@2@3@4@5@000" TargetMode="External"/><Relationship Id="rId1" Type="http://schemas.openxmlformats.org/officeDocument/2006/relationships/hyperlink" Target="mailto:Testharsh121@gmail.com" TargetMode="External"/><Relationship Id="rId6" Type="http://schemas.openxmlformats.org/officeDocument/2006/relationships/hyperlink" Target="mailto:Testharsh121@gmail.com" TargetMode="External"/><Relationship Id="rId5" Type="http://schemas.openxmlformats.org/officeDocument/2006/relationships/hyperlink" Target="mailto:1@2@3@4@5@000" TargetMode="External"/><Relationship Id="rId4" Type="http://schemas.openxmlformats.org/officeDocument/2006/relationships/hyperlink" Target="mailto:1@2@3@4@5@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5343-4871-4B3C-8E29-C3586BEB1013}">
  <dimension ref="A1:BH4"/>
  <sheetViews>
    <sheetView tabSelected="1" workbookViewId="0">
      <selection activeCell="E6" sqref="E6"/>
    </sheetView>
  </sheetViews>
  <sheetFormatPr defaultRowHeight="15.6" x14ac:dyDescent="0.3"/>
  <cols>
    <col min="1" max="1" width="12.21875" style="1" bestFit="1" customWidth="1"/>
    <col min="2" max="2" width="12" style="1" bestFit="1" customWidth="1"/>
    <col min="3" max="3" width="10" style="1" bestFit="1" customWidth="1"/>
    <col min="4" max="4" width="23.21875" style="1" bestFit="1" customWidth="1"/>
    <col min="5" max="5" width="15.44140625" style="1" bestFit="1" customWidth="1"/>
    <col min="6" max="6" width="6.33203125" style="1" bestFit="1" customWidth="1"/>
    <col min="7" max="7" width="11.44140625" style="1" bestFit="1" customWidth="1"/>
    <col min="8" max="8" width="12.21875" style="1" bestFit="1" customWidth="1"/>
    <col min="9" max="9" width="13.44140625" style="1" bestFit="1" customWidth="1"/>
    <col min="10" max="10" width="12.6640625" style="1" bestFit="1" customWidth="1"/>
    <col min="11" max="11" width="6.21875" style="1" bestFit="1" customWidth="1"/>
    <col min="12" max="12" width="13.21875" style="1" bestFit="1" customWidth="1"/>
    <col min="13" max="13" width="15.44140625" style="1" bestFit="1" customWidth="1"/>
    <col min="14" max="14" width="7.109375" style="1" bestFit="1" customWidth="1"/>
    <col min="15" max="15" width="22.77734375" style="1" bestFit="1" customWidth="1"/>
    <col min="16" max="16" width="30.44140625" style="1" bestFit="1" customWidth="1"/>
    <col min="17" max="17" width="12.21875" style="1" bestFit="1" customWidth="1"/>
    <col min="18" max="19" width="11.109375" style="1" bestFit="1" customWidth="1"/>
    <col min="20" max="20" width="6.21875" style="1" bestFit="1" customWidth="1"/>
    <col min="21" max="21" width="14.109375" style="1" bestFit="1" customWidth="1"/>
    <col min="22" max="22" width="24.21875" style="1" bestFit="1" customWidth="1"/>
    <col min="23" max="23" width="6.21875" style="1" bestFit="1" customWidth="1"/>
    <col min="24" max="24" width="11.21875" style="1" bestFit="1" customWidth="1"/>
    <col min="25" max="25" width="17.33203125" style="1" bestFit="1" customWidth="1"/>
    <col min="26" max="26" width="9.77734375" style="1" bestFit="1" customWidth="1"/>
    <col min="27" max="27" width="26" style="1" bestFit="1" customWidth="1"/>
    <col min="28" max="28" width="14.33203125" style="1" bestFit="1" customWidth="1"/>
    <col min="29" max="29" width="15" style="1" bestFit="1" customWidth="1"/>
    <col min="30" max="30" width="10" style="1" bestFit="1" customWidth="1"/>
    <col min="31" max="31" width="8.6640625" style="1" bestFit="1" customWidth="1"/>
    <col min="32" max="32" width="12.6640625" style="1" bestFit="1" customWidth="1"/>
    <col min="33" max="33" width="22.44140625" style="1" bestFit="1" customWidth="1"/>
    <col min="34" max="34" width="27.109375" style="1" bestFit="1" customWidth="1"/>
    <col min="35" max="35" width="10" style="1" bestFit="1" customWidth="1"/>
    <col min="36" max="36" width="19.6640625" style="1" bestFit="1" customWidth="1"/>
    <col min="37" max="37" width="28.33203125" style="1" bestFit="1" customWidth="1"/>
    <col min="38" max="38" width="21.5546875" style="1" bestFit="1" customWidth="1"/>
    <col min="39" max="39" width="22.6640625" style="1" bestFit="1" customWidth="1"/>
    <col min="40" max="41" width="53.6640625" style="1" bestFit="1" customWidth="1"/>
    <col min="42" max="42" width="9.5546875" style="1" bestFit="1" customWidth="1"/>
    <col min="43" max="43" width="15.44140625" style="1" bestFit="1" customWidth="1"/>
    <col min="44" max="44" width="29.88671875" style="1" bestFit="1" customWidth="1"/>
    <col min="45" max="45" width="12.21875" style="1" bestFit="1" customWidth="1"/>
    <col min="46" max="46" width="7.44140625" style="1" bestFit="1" customWidth="1"/>
    <col min="47" max="47" width="11.77734375" style="1" bestFit="1" customWidth="1"/>
    <col min="48" max="48" width="15.44140625" style="1" bestFit="1" customWidth="1"/>
    <col min="49" max="49" width="14" style="1" bestFit="1" customWidth="1"/>
    <col min="50" max="50" width="11.33203125" style="1" bestFit="1" customWidth="1"/>
    <col min="51" max="51" width="25" style="1" bestFit="1" customWidth="1"/>
    <col min="52" max="52" width="17" style="1" bestFit="1" customWidth="1"/>
    <col min="53" max="53" width="30.109375" style="1" bestFit="1" customWidth="1"/>
    <col min="54" max="54" width="9.6640625" style="1" bestFit="1" customWidth="1"/>
    <col min="55" max="55" width="18" style="1" bestFit="1" customWidth="1"/>
    <col min="56" max="57" width="13.88671875" style="1" bestFit="1" customWidth="1"/>
    <col min="58" max="58" width="15.33203125" style="1" bestFit="1" customWidth="1"/>
    <col min="59" max="59" width="12.6640625" style="1" bestFit="1" customWidth="1"/>
    <col min="60" max="60" width="26.21875" style="1" bestFit="1" customWidth="1"/>
    <col min="61" max="16384" width="8.88671875" style="1"/>
  </cols>
  <sheetData>
    <row r="1" spans="1:60" s="6" customForma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104</v>
      </c>
      <c r="G1" s="4" t="s">
        <v>5</v>
      </c>
      <c r="H1" s="4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4</v>
      </c>
      <c r="N1" s="3" t="s">
        <v>105</v>
      </c>
      <c r="O1" s="3" t="s">
        <v>106</v>
      </c>
      <c r="P1" s="3" t="s">
        <v>107</v>
      </c>
      <c r="Q1" s="3" t="s">
        <v>108</v>
      </c>
      <c r="R1" s="3" t="s">
        <v>109</v>
      </c>
      <c r="S1" s="3" t="s">
        <v>11</v>
      </c>
      <c r="T1" s="3" t="s">
        <v>9</v>
      </c>
      <c r="U1" s="3" t="s">
        <v>12</v>
      </c>
      <c r="V1" s="3" t="s">
        <v>13</v>
      </c>
      <c r="W1" s="3" t="s">
        <v>9</v>
      </c>
      <c r="X1" s="4" t="s">
        <v>14</v>
      </c>
      <c r="Y1" s="4" t="s">
        <v>27</v>
      </c>
      <c r="Z1" s="3" t="s">
        <v>15</v>
      </c>
      <c r="AA1" s="3" t="s">
        <v>16</v>
      </c>
      <c r="AB1" s="4" t="s">
        <v>17</v>
      </c>
      <c r="AC1" s="4" t="s">
        <v>18</v>
      </c>
      <c r="AD1" s="4" t="s">
        <v>19</v>
      </c>
      <c r="AE1" s="4" t="s">
        <v>20</v>
      </c>
      <c r="AF1" s="4" t="s">
        <v>21</v>
      </c>
      <c r="AG1" s="4" t="s">
        <v>23</v>
      </c>
      <c r="AH1" s="4" t="s">
        <v>110</v>
      </c>
      <c r="AI1" s="4" t="s">
        <v>22</v>
      </c>
      <c r="AJ1" s="5" t="s">
        <v>24</v>
      </c>
      <c r="AK1" s="3" t="s">
        <v>111</v>
      </c>
      <c r="AL1" s="4" t="s">
        <v>25</v>
      </c>
      <c r="AM1" s="4" t="s">
        <v>26</v>
      </c>
      <c r="AN1" s="3" t="s">
        <v>112</v>
      </c>
      <c r="AO1" s="3" t="s">
        <v>113</v>
      </c>
      <c r="AP1" s="3" t="s">
        <v>43</v>
      </c>
      <c r="AQ1" s="3" t="s">
        <v>28</v>
      </c>
      <c r="AR1" s="3" t="s">
        <v>29</v>
      </c>
      <c r="AS1" s="4" t="s">
        <v>30</v>
      </c>
      <c r="AT1" s="3" t="s">
        <v>31</v>
      </c>
      <c r="AU1" s="3" t="s">
        <v>32</v>
      </c>
      <c r="AV1" s="3" t="s">
        <v>114</v>
      </c>
      <c r="AW1" s="3" t="s">
        <v>115</v>
      </c>
      <c r="AX1" s="3" t="s">
        <v>116</v>
      </c>
      <c r="AY1" s="3" t="s">
        <v>33</v>
      </c>
      <c r="AZ1" s="3" t="s">
        <v>117</v>
      </c>
      <c r="BA1" s="4" t="s">
        <v>118</v>
      </c>
      <c r="BB1" s="4" t="s">
        <v>119</v>
      </c>
      <c r="BC1" s="3" t="s">
        <v>120</v>
      </c>
      <c r="BD1" s="3" t="s">
        <v>34</v>
      </c>
      <c r="BE1" s="4" t="s">
        <v>121</v>
      </c>
      <c r="BF1" s="4" t="s">
        <v>122</v>
      </c>
      <c r="BG1" s="3" t="s">
        <v>35</v>
      </c>
      <c r="BH1" s="3" t="s">
        <v>36</v>
      </c>
    </row>
    <row r="2" spans="1:60" s="6" customFormat="1" ht="15" customHeight="1" x14ac:dyDescent="0.3">
      <c r="D2" s="7" t="s">
        <v>51</v>
      </c>
      <c r="E2" s="8" t="s">
        <v>52</v>
      </c>
      <c r="F2" s="9" t="s">
        <v>53</v>
      </c>
      <c r="G2" s="10"/>
      <c r="H2" s="10"/>
      <c r="I2" s="11" t="s">
        <v>54</v>
      </c>
      <c r="J2" s="12" t="s">
        <v>55</v>
      </c>
      <c r="K2" s="12" t="s">
        <v>37</v>
      </c>
      <c r="L2" s="13">
        <v>45597</v>
      </c>
      <c r="M2" s="8" t="s">
        <v>52</v>
      </c>
      <c r="N2" s="14" t="s">
        <v>56</v>
      </c>
      <c r="O2" s="14" t="s">
        <v>57</v>
      </c>
      <c r="P2" s="12" t="s">
        <v>58</v>
      </c>
      <c r="Q2" s="12" t="s">
        <v>59</v>
      </c>
      <c r="R2" s="15" t="s">
        <v>60</v>
      </c>
      <c r="S2" s="12" t="s">
        <v>61</v>
      </c>
      <c r="T2" s="12" t="s">
        <v>37</v>
      </c>
      <c r="U2" s="16" t="s">
        <v>38</v>
      </c>
      <c r="V2" s="17" t="s">
        <v>62</v>
      </c>
      <c r="W2" s="12" t="s">
        <v>37</v>
      </c>
      <c r="X2" s="18">
        <f>L2</f>
        <v>45597</v>
      </c>
      <c r="Y2" s="16">
        <f>X2+90</f>
        <v>45687</v>
      </c>
      <c r="Z2" s="12" t="s">
        <v>39</v>
      </c>
      <c r="AA2" s="19" t="s">
        <v>40</v>
      </c>
      <c r="AB2" s="6" t="s">
        <v>41</v>
      </c>
      <c r="AC2" s="20" t="s">
        <v>63</v>
      </c>
      <c r="AD2" s="21" t="s">
        <v>42</v>
      </c>
      <c r="AE2" s="22">
        <v>519</v>
      </c>
      <c r="AF2" s="23" t="s">
        <v>49</v>
      </c>
      <c r="AG2" s="24">
        <v>37.5</v>
      </c>
      <c r="AH2" s="25" t="s">
        <v>64</v>
      </c>
      <c r="AI2" s="21" t="s">
        <v>44</v>
      </c>
      <c r="AJ2" s="26" t="s">
        <v>45</v>
      </c>
      <c r="AK2" s="12" t="s">
        <v>65</v>
      </c>
      <c r="AL2" s="12" t="s">
        <v>66</v>
      </c>
      <c r="AM2" s="27" t="s">
        <v>67</v>
      </c>
      <c r="AN2" s="6" t="s">
        <v>68</v>
      </c>
      <c r="AO2" s="6" t="s">
        <v>68</v>
      </c>
      <c r="AP2" s="8" t="s">
        <v>69</v>
      </c>
      <c r="AQ2" s="8" t="s">
        <v>52</v>
      </c>
      <c r="AR2" s="28" t="s">
        <v>70</v>
      </c>
      <c r="AS2" s="29" t="s">
        <v>71</v>
      </c>
      <c r="AT2" s="6" t="s">
        <v>72</v>
      </c>
      <c r="AU2" s="30">
        <v>35591</v>
      </c>
      <c r="AV2" s="8" t="s">
        <v>52</v>
      </c>
      <c r="AW2" s="6" t="s">
        <v>73</v>
      </c>
      <c r="AX2" s="30" t="s">
        <v>73</v>
      </c>
      <c r="AY2" s="30" t="s">
        <v>74</v>
      </c>
      <c r="AZ2" s="30" t="s">
        <v>75</v>
      </c>
      <c r="BA2" s="30" t="s">
        <v>76</v>
      </c>
      <c r="BB2" s="31" t="s">
        <v>77</v>
      </c>
      <c r="BC2" s="8" t="s">
        <v>52</v>
      </c>
      <c r="BD2" s="28" t="s">
        <v>78</v>
      </c>
      <c r="BE2" s="11">
        <v>601613</v>
      </c>
      <c r="BF2" s="11">
        <v>31926819</v>
      </c>
      <c r="BG2" s="28" t="s">
        <v>47</v>
      </c>
      <c r="BH2" s="12" t="s">
        <v>79</v>
      </c>
    </row>
    <row r="3" spans="1:60" s="6" customFormat="1" ht="15" customHeight="1" x14ac:dyDescent="0.3">
      <c r="D3" s="7" t="s">
        <v>80</v>
      </c>
      <c r="E3" s="8" t="s">
        <v>52</v>
      </c>
      <c r="F3" s="9" t="s">
        <v>81</v>
      </c>
      <c r="G3" s="10"/>
      <c r="H3" s="10"/>
      <c r="I3" s="11" t="s">
        <v>54</v>
      </c>
      <c r="J3" s="12" t="s">
        <v>55</v>
      </c>
      <c r="K3" s="12" t="s">
        <v>37</v>
      </c>
      <c r="L3" s="13">
        <v>45597</v>
      </c>
      <c r="M3" s="8" t="s">
        <v>52</v>
      </c>
      <c r="N3" s="14" t="s">
        <v>56</v>
      </c>
      <c r="O3" s="14" t="s">
        <v>57</v>
      </c>
      <c r="P3" s="12" t="s">
        <v>58</v>
      </c>
      <c r="Q3" s="12" t="s">
        <v>59</v>
      </c>
      <c r="R3" s="15" t="s">
        <v>60</v>
      </c>
      <c r="S3" s="12" t="s">
        <v>61</v>
      </c>
      <c r="T3" s="12" t="s">
        <v>37</v>
      </c>
      <c r="U3" s="16" t="s">
        <v>38</v>
      </c>
      <c r="V3" s="17" t="s">
        <v>62</v>
      </c>
      <c r="W3" s="12" t="s">
        <v>37</v>
      </c>
      <c r="X3" s="18">
        <f>L3</f>
        <v>45597</v>
      </c>
      <c r="Y3" s="16">
        <f>X3+90</f>
        <v>45687</v>
      </c>
      <c r="Z3" s="12" t="s">
        <v>39</v>
      </c>
      <c r="AA3" s="19" t="s">
        <v>82</v>
      </c>
      <c r="AB3" s="6" t="s">
        <v>41</v>
      </c>
      <c r="AC3" s="20" t="s">
        <v>83</v>
      </c>
      <c r="AD3" s="21" t="s">
        <v>42</v>
      </c>
      <c r="AE3" s="22">
        <v>519</v>
      </c>
      <c r="AF3" s="23" t="s">
        <v>43</v>
      </c>
      <c r="AG3" s="24">
        <v>40</v>
      </c>
      <c r="AH3" s="25" t="s">
        <v>64</v>
      </c>
      <c r="AI3" s="21" t="s">
        <v>44</v>
      </c>
      <c r="AJ3" s="26" t="s">
        <v>45</v>
      </c>
      <c r="AK3" s="12" t="s">
        <v>65</v>
      </c>
      <c r="AL3" s="12" t="s">
        <v>84</v>
      </c>
      <c r="AM3" s="27" t="s">
        <v>85</v>
      </c>
      <c r="AN3" s="6" t="s">
        <v>69</v>
      </c>
      <c r="AO3" s="6" t="s">
        <v>69</v>
      </c>
      <c r="AP3" s="32">
        <v>50000</v>
      </c>
      <c r="AQ3" s="8" t="s">
        <v>52</v>
      </c>
      <c r="AR3" s="28" t="s">
        <v>70</v>
      </c>
      <c r="AS3" s="29" t="s">
        <v>86</v>
      </c>
      <c r="AT3" s="6" t="s">
        <v>72</v>
      </c>
      <c r="AU3" s="30">
        <v>35591</v>
      </c>
      <c r="AV3" s="8" t="s">
        <v>52</v>
      </c>
      <c r="AW3" s="6" t="s">
        <v>73</v>
      </c>
      <c r="AX3" s="30" t="s">
        <v>73</v>
      </c>
      <c r="AY3" s="30" t="s">
        <v>74</v>
      </c>
      <c r="AZ3" s="30" t="s">
        <v>75</v>
      </c>
      <c r="BA3" s="30" t="s">
        <v>76</v>
      </c>
      <c r="BB3" s="31" t="s">
        <v>77</v>
      </c>
      <c r="BC3" s="8" t="s">
        <v>52</v>
      </c>
      <c r="BD3" s="28" t="s">
        <v>78</v>
      </c>
      <c r="BE3" s="11">
        <v>601613</v>
      </c>
      <c r="BF3" s="11">
        <v>31926819</v>
      </c>
      <c r="BG3" s="28" t="s">
        <v>47</v>
      </c>
      <c r="BH3" s="12" t="s">
        <v>87</v>
      </c>
    </row>
    <row r="4" spans="1:60" s="6" customFormat="1" ht="15" customHeight="1" x14ac:dyDescent="0.3">
      <c r="D4" s="7" t="s">
        <v>88</v>
      </c>
      <c r="E4" s="33" t="s">
        <v>52</v>
      </c>
      <c r="F4" s="34" t="s">
        <v>89</v>
      </c>
      <c r="G4" s="10"/>
      <c r="H4" s="10"/>
      <c r="I4" s="35" t="s">
        <v>54</v>
      </c>
      <c r="J4" s="36" t="s">
        <v>55</v>
      </c>
      <c r="K4" s="36" t="s">
        <v>37</v>
      </c>
      <c r="L4" s="13">
        <v>45597</v>
      </c>
      <c r="M4" s="33" t="s">
        <v>52</v>
      </c>
      <c r="N4" s="14" t="s">
        <v>90</v>
      </c>
      <c r="O4" s="14" t="s">
        <v>91</v>
      </c>
      <c r="P4" s="12" t="s">
        <v>92</v>
      </c>
      <c r="Q4" s="12" t="s">
        <v>93</v>
      </c>
      <c r="R4" s="15" t="s">
        <v>94</v>
      </c>
      <c r="S4" s="12" t="s">
        <v>93</v>
      </c>
      <c r="T4" s="36" t="s">
        <v>37</v>
      </c>
      <c r="U4" s="37" t="s">
        <v>38</v>
      </c>
      <c r="V4" s="38" t="s">
        <v>62</v>
      </c>
      <c r="W4" s="36" t="s">
        <v>37</v>
      </c>
      <c r="X4" s="18">
        <f>L4</f>
        <v>45597</v>
      </c>
      <c r="Y4" s="16">
        <f>X4+90</f>
        <v>45687</v>
      </c>
      <c r="Z4" s="36" t="s">
        <v>39</v>
      </c>
      <c r="AA4" s="36" t="s">
        <v>40</v>
      </c>
      <c r="AB4" s="29" t="s">
        <v>41</v>
      </c>
      <c r="AC4" s="29" t="s">
        <v>63</v>
      </c>
      <c r="AD4" s="29" t="s">
        <v>48</v>
      </c>
      <c r="AE4" s="39">
        <v>457</v>
      </c>
      <c r="AF4" s="39" t="s">
        <v>43</v>
      </c>
      <c r="AG4" s="40">
        <v>15</v>
      </c>
      <c r="AH4" s="41" t="s">
        <v>64</v>
      </c>
      <c r="AI4" s="29" t="s">
        <v>95</v>
      </c>
      <c r="AJ4" s="42" t="s">
        <v>45</v>
      </c>
      <c r="AK4" s="12" t="s">
        <v>65</v>
      </c>
      <c r="AL4" s="43" t="s">
        <v>66</v>
      </c>
      <c r="AM4" s="44" t="s">
        <v>50</v>
      </c>
      <c r="AN4" s="29" t="s">
        <v>96</v>
      </c>
      <c r="AO4" s="29" t="s">
        <v>97</v>
      </c>
      <c r="AP4" s="8" t="s">
        <v>69</v>
      </c>
      <c r="AQ4" s="8" t="s">
        <v>52</v>
      </c>
      <c r="AR4" s="28" t="s">
        <v>70</v>
      </c>
      <c r="AS4" s="29" t="s">
        <v>98</v>
      </c>
      <c r="AT4" s="6" t="s">
        <v>46</v>
      </c>
      <c r="AU4" s="45">
        <v>38081</v>
      </c>
      <c r="AV4" s="8" t="s">
        <v>52</v>
      </c>
      <c r="AW4" s="6" t="s">
        <v>93</v>
      </c>
      <c r="AX4" s="45" t="s">
        <v>93</v>
      </c>
      <c r="AY4" s="30" t="s">
        <v>99</v>
      </c>
      <c r="AZ4" s="45">
        <v>45020</v>
      </c>
      <c r="BA4" s="46" t="s">
        <v>100</v>
      </c>
      <c r="BB4" s="47" t="s">
        <v>101</v>
      </c>
      <c r="BC4" s="8" t="s">
        <v>52</v>
      </c>
      <c r="BD4" s="8" t="s">
        <v>102</v>
      </c>
      <c r="BE4" s="43">
        <v>200052</v>
      </c>
      <c r="BF4" s="43">
        <v>75849856</v>
      </c>
      <c r="BG4" s="28" t="s">
        <v>47</v>
      </c>
      <c r="BH4" s="12" t="s">
        <v>103</v>
      </c>
    </row>
  </sheetData>
  <dataValidations disablePrompts="1" count="1">
    <dataValidation type="list" allowBlank="1" showInputMessage="1" showErrorMessage="1" sqref="Z2:Z4 T2:T4 BG2:BG4 W2:W4 K2:K4" xr:uid="{B040711E-406D-4EB7-87CF-3562A819E63F}">
      <formula1>INDIRECT($E2)</formula1>
    </dataValidation>
  </dataValidations>
  <hyperlinks>
    <hyperlink ref="V2" r:id="rId1" xr:uid="{C0C4596A-7AF2-436F-B228-395D19FDFF2B}"/>
    <hyperlink ref="AH2" r:id="rId2" xr:uid="{D347271E-7B9B-4EDB-AD3A-09EA1C496C7A}"/>
    <hyperlink ref="V3" r:id="rId3" xr:uid="{9E674716-56BC-4322-B4A6-20FC67D5FAC1}"/>
    <hyperlink ref="AH3" r:id="rId4" xr:uid="{1284C5EA-97CD-4934-8C59-FC3EC6F71D99}"/>
    <hyperlink ref="AH4" r:id="rId5" display="mailto:1@2@3@4@5@000" xr:uid="{27F35F95-9AB6-4D66-89E6-AAAC2FDBCC75}"/>
    <hyperlink ref="V4" r:id="rId6" display="mailto:Testharsh121@gmail.com" xr:uid="{0B66CCF7-D5F8-4C20-BC1E-B8ADBACC4E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2025-02-19T11:02:52Z</dcterms:modified>
</cp:coreProperties>
</file>