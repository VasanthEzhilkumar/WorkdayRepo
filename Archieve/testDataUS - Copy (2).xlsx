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1EAF26A-034D-4D27-BE9D-087BDFFA0C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1" l="1"/>
  <c r="L17" i="1"/>
  <c r="X17" i="1" s="1"/>
  <c r="Y16" i="1"/>
  <c r="L16" i="1"/>
  <c r="X16" i="1" s="1"/>
  <c r="Y15" i="1"/>
  <c r="L15" i="1"/>
  <c r="X15" i="1" s="1"/>
  <c r="Y14" i="1"/>
  <c r="L14" i="1"/>
  <c r="X14" i="1" s="1"/>
  <c r="Y13" i="1"/>
  <c r="L13" i="1"/>
  <c r="X13" i="1" s="1"/>
  <c r="Y12" i="1"/>
  <c r="L12" i="1"/>
  <c r="X12" i="1" s="1"/>
  <c r="Y11" i="1"/>
  <c r="L11" i="1"/>
  <c r="X11" i="1" s="1"/>
  <c r="Y10" i="1"/>
  <c r="L10" i="1"/>
  <c r="X10" i="1" s="1"/>
  <c r="Y9" i="1"/>
  <c r="L9" i="1"/>
  <c r="X9" i="1" s="1"/>
  <c r="Y8" i="1"/>
  <c r="L8" i="1"/>
  <c r="X8" i="1" s="1"/>
  <c r="Y7" i="1"/>
  <c r="L7" i="1"/>
  <c r="X7" i="1" s="1"/>
  <c r="Y6" i="1"/>
  <c r="L6" i="1"/>
  <c r="X6" i="1" s="1"/>
  <c r="Y5" i="1"/>
  <c r="L5" i="1"/>
  <c r="X5" i="1" s="1"/>
  <c r="Y4" i="1"/>
  <c r="L4" i="1"/>
  <c r="X4" i="1" s="1"/>
  <c r="Y3" i="1"/>
  <c r="L3" i="1"/>
  <c r="X3" i="1" s="1"/>
  <c r="AS2" i="1" a="1"/>
  <c r="AS14" i="1" s="1"/>
  <c r="Y2" i="1"/>
  <c r="L2" i="1"/>
  <c r="X2" i="1" s="1"/>
  <c r="AS7" i="1" l="1"/>
  <c r="AS12" i="1"/>
  <c r="AS17" i="1"/>
  <c r="AS2" i="1"/>
  <c r="AS11" i="1"/>
  <c r="AS16" i="1"/>
  <c r="AS3" i="1"/>
  <c r="AS13" i="1"/>
  <c r="AS5" i="1"/>
  <c r="AS8" i="1"/>
  <c r="AS4" i="1"/>
  <c r="AS9" i="1"/>
  <c r="AS15" i="1"/>
  <c r="AS6" i="1"/>
  <c r="AS10" i="1"/>
</calcChain>
</file>

<file path=xl/sharedStrings.xml><?xml version="1.0" encoding="utf-8"?>
<sst xmlns="http://schemas.openxmlformats.org/spreadsheetml/2006/main" count="794" uniqueCount="180">
  <si>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</si>
  <si>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</si>
  <si>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</si>
  <si>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</si>
  <si>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</si>
  <si>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</si>
  <si>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</si>
  <si>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</si>
  <si>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</si>
  <si>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</si>
  <si>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</si>
  <si>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</si>
  <si>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</si>
  <si>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</si>
  <si>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</si>
  <si>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</si>
  <si>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</si>
  <si>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</si>
  <si>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</si>
  <si>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</si>
  <si>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</si>
  <si>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</si>
  <si>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</si>
  <si>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</si>
  <si>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</si>
  <si>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</si>
  <si>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</si>
  <si>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</si>
  <si>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</si>
  <si>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</si>
  <si>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</si>
  <si>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</si>
  <si>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</si>
  <si>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</si>
  <si>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</si>
  <si>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</si>
  <si>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</si>
  <si>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</si>
  <si>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</si>
  <si>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</si>
  <si>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</si>
  <si>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</si>
  <si>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</si>
  <si>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</si>
  <si>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</si>
  <si>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</si>
  <si>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</si>
  <si>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</si>
  <si>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</si>
  <si>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</si>
  <si>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</si>
  <si>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</si>
  <si>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</si>
  <si>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10652098</t>
  </si>
  <si>
    <t>Passed</t>
  </si>
  <si>
    <t>121 Recruitment (Depez Wicypy</t>
  </si>
  <si>
    <t>United States of America</t>
  </si>
  <si>
    <t>Mr</t>
  </si>
  <si>
    <t>Earnest</t>
  </si>
  <si>
    <t>MacGyver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</si>
  <si>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</si>
  <si>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</si>
  <si>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</si>
  <si>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</si>
  <si>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</si>
  <si>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</si>
  <si>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</si>
  <si>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</si>
  <si>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</si>
  <si>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</si>
  <si>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</si>
  <si>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</si>
  <si>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</si>
  <si>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</si>
  <si>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</si>
  <si>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</si>
  <si>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</si>
  <si>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</si>
  <si>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</si>
  <si>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</si>
  <si>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</si>
  <si>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Social Security Number (SSN)</t>
  </si>
  <si>
    <t>Male</t>
  </si>
  <si>
    <t>White</t>
  </si>
  <si>
    <t>Defaulted</t>
  </si>
  <si>
    <t>Employment Authorized</t>
  </si>
  <si>
    <t>Audit Revealed that New Hire Was Not Run</t>
  </si>
  <si>
    <t>USA Pay Group</t>
  </si>
  <si>
    <t>Test_2</t>
  </si>
  <si>
    <t>10652099</t>
  </si>
  <si>
    <t>121 Recruitment (Depez Wicypy (10498025))</t>
  </si>
  <si>
    <t>Noemy</t>
  </si>
  <si>
    <t>Torphy</t>
  </si>
  <si>
    <t>Regular</t>
  </si>
  <si>
    <t>Full time</t>
  </si>
  <si>
    <t>Default Work Shift</t>
  </si>
  <si>
    <t>06</t>
  </si>
  <si>
    <t>Test_3</t>
  </si>
  <si>
    <t>10652100</t>
  </si>
  <si>
    <t>124 Store Management (Setap Pijura Vucylu (10181574))</t>
  </si>
  <si>
    <t>Dagmar</t>
  </si>
  <si>
    <t>Schuster</t>
  </si>
  <si>
    <t>Auto 69121314</t>
  </si>
  <si>
    <t>Department Manager_NEW</t>
  </si>
  <si>
    <t xml:space="preserve">92 Retail Management </t>
  </si>
  <si>
    <t xml:space="preserve">251 Management Retail </t>
  </si>
  <si>
    <t>Test_4</t>
  </si>
  <si>
    <t>10652101</t>
  </si>
  <si>
    <t>Jaron</t>
  </si>
  <si>
    <t>Waters</t>
  </si>
  <si>
    <t>Test_5</t>
  </si>
  <si>
    <t>10652102</t>
  </si>
  <si>
    <t>Ludie</t>
  </si>
  <si>
    <t>Gutmann</t>
  </si>
  <si>
    <t>Auto 5186873</t>
  </si>
  <si>
    <t>Store Manager_NEW</t>
  </si>
  <si>
    <t>Test_6</t>
  </si>
  <si>
    <t>10652103</t>
  </si>
  <si>
    <t>Isaiah</t>
  </si>
  <si>
    <t>Block</t>
  </si>
  <si>
    <t>Auto 26166181</t>
  </si>
  <si>
    <t>Assistant Store Manager_NEW</t>
  </si>
  <si>
    <t>Test_7</t>
  </si>
  <si>
    <t>10652139</t>
  </si>
  <si>
    <t>Lysanne</t>
  </si>
  <si>
    <t>Krajcik</t>
  </si>
  <si>
    <t>Auto 84828344</t>
  </si>
  <si>
    <t>In-Store P&amp;C Manager_NEW</t>
  </si>
  <si>
    <t>Test_8</t>
  </si>
  <si>
    <t>10652128</t>
  </si>
  <si>
    <t>Carolanne</t>
  </si>
  <si>
    <t>Kozey</t>
  </si>
  <si>
    <t>Auto 34424330</t>
  </si>
  <si>
    <t>Visual Merchandising Manager_NEW</t>
  </si>
  <si>
    <t>Test_9</t>
  </si>
  <si>
    <t>10652129</t>
  </si>
  <si>
    <t>Guy</t>
  </si>
  <si>
    <t>Tromp</t>
  </si>
  <si>
    <t>Auto 68509949</t>
  </si>
  <si>
    <t>Team Manager - Retail_NEW</t>
  </si>
  <si>
    <t>Test_10</t>
  </si>
  <si>
    <t>10652130</t>
  </si>
  <si>
    <t>Ada</t>
  </si>
  <si>
    <t>King</t>
  </si>
  <si>
    <t>In-Store P&amp;C Assistant_NEW</t>
  </si>
  <si>
    <t>Part</t>
  </si>
  <si>
    <t>250 Human Resources Retail</t>
  </si>
  <si>
    <t>Test_11</t>
  </si>
  <si>
    <t>10652131</t>
  </si>
  <si>
    <t>Luther</t>
  </si>
  <si>
    <t>Cole</t>
  </si>
  <si>
    <t>In-Store Visual Merchandising Supervisor_NEW</t>
  </si>
  <si>
    <t>256 Visual Merchandising</t>
  </si>
  <si>
    <t>Test_12</t>
  </si>
  <si>
    <t>10652107</t>
  </si>
  <si>
    <t>Corbin</t>
  </si>
  <si>
    <t>Becker</t>
  </si>
  <si>
    <t>Supervisor_NEW</t>
  </si>
  <si>
    <t>253 Supervisors</t>
  </si>
  <si>
    <t>Test_13</t>
  </si>
  <si>
    <t>10652134</t>
  </si>
  <si>
    <t>Warren</t>
  </si>
  <si>
    <t>Blanda</t>
  </si>
  <si>
    <t>In-Store Visual Merchandising Assistant_NEW</t>
  </si>
  <si>
    <t>Test_14</t>
  </si>
  <si>
    <t>Test failed for 'Christop Heller' Employee:{undefined}TypeError: Cannot read properties of undefined (reading 'split')</t>
  </si>
  <si>
    <t>Failed</t>
  </si>
  <si>
    <t>Christop</t>
  </si>
  <si>
    <t>Heller</t>
  </si>
  <si>
    <t>Cash Office Operative_NEW</t>
  </si>
  <si>
    <t>258 Cash Office</t>
  </si>
  <si>
    <t>Test_15</t>
  </si>
  <si>
    <t>10652142</t>
  </si>
  <si>
    <t>Suzanne</t>
  </si>
  <si>
    <t>Nader</t>
  </si>
  <si>
    <t>Test_16</t>
  </si>
  <si>
    <t>Test failed for 'Geovanny Lowe' Employee:{undefined}TypeError: Cannot read properties of undefined (reading 'split')</t>
  </si>
  <si>
    <t>Geovanny</t>
  </si>
  <si>
    <t>Lowe</t>
  </si>
  <si>
    <t>DefaultWeeklyHours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</si>
</sst>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3" borderId="0" xfId="0" applyFill="1"/>
    <xf numFmtId="0" fontId="2" fillId="4" borderId="0" xfId="0" applyFont="1" applyFill="1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8"/>
  <sheetViews>
    <sheetView tabSelected="1" zoomScaleNormal="100" workbookViewId="0">
      <selection activeCell="A2" sqref="A2:XFD2"/>
    </sheetView>
  </sheetViews>
  <sheetFormatPr defaultRowHeight="14.5" customHeight="1" x14ac:dyDescent="0.35"/>
  <cols>
    <col min="1" max="1" width="7.26953125" customWidth="1"/>
    <col min="2" max="2" width="10.81640625" customWidth="1"/>
    <col min="3" max="3" width="9.36328125" customWidth="1"/>
    <col min="4" max="4" width="22.26953125" customWidth="1"/>
    <col min="5" max="5" width="29.453125" customWidth="1"/>
    <col min="6" max="6" width="12.453125" customWidth="1"/>
    <col min="7" max="7" width="11.7265625" customWidth="1"/>
    <col min="8" max="8" width="26.1796875" customWidth="1"/>
    <col min="9" max="9" width="18.90625" customWidth="1"/>
    <col min="10" max="10" width="10.6328125" customWidth="1"/>
    <col min="11" max="11" width="7.7265625" customWidth="1"/>
    <col min="12" max="12" width="14.1796875" customWidth="1"/>
    <col min="13" max="13" width="29.453125" customWidth="1"/>
    <col min="14" max="14" width="11.26953125" customWidth="1"/>
    <col min="15" max="15" width="29.1796875" customWidth="1"/>
    <col min="16" max="16" width="11.26953125" customWidth="1"/>
    <col min="17" max="17" width="8.26953125" customWidth="1"/>
    <col min="18" max="19" width="12" customWidth="1"/>
    <col min="20" max="20" width="7.7265625" customWidth="1"/>
    <col min="21" max="21" width="18" customWidth="1"/>
    <col min="22" max="22" width="31.1796875" customWidth="1"/>
    <col min="23" max="23" width="7.7265625" customWidth="1"/>
    <col min="24" max="25" width="14.1796875" customWidth="1"/>
    <col min="26" max="26" width="11.1796875" customWidth="1"/>
    <col min="27" max="27" width="28.453125" customWidth="1"/>
    <col min="28" max="28" width="11.453125" customWidth="1"/>
    <col min="29" max="29" width="40.54296875" customWidth="1"/>
    <col min="30" max="30" width="11.1796875" customWidth="1"/>
    <col min="31" max="31" width="5.36328125" customWidth="1"/>
    <col min="32" max="32" width="8.1796875" customWidth="1"/>
    <col min="33" max="33" width="13" customWidth="1"/>
    <col min="34" max="34" width="6.08984375" customWidth="1"/>
    <col min="35" max="35" width="83.26953125" customWidth="1"/>
    <col min="36" max="36" width="52.7265625" customWidth="1"/>
    <col min="37" max="37" width="5.26953125" customWidth="1"/>
    <col min="38" max="38" width="36.54296875" customWidth="1"/>
    <col min="39" max="39" width="27.6328125" customWidth="1"/>
    <col min="40" max="40" width="29.08984375" customWidth="1"/>
    <col min="41" max="41" width="24.36328125" customWidth="1"/>
    <col min="42" max="42" width="21.36328125" customWidth="1"/>
    <col min="43" max="43" width="29.453125" customWidth="1"/>
    <col min="44" max="44" width="35.6328125" customWidth="1"/>
    <col min="45" max="45" width="10.6328125" customWidth="1"/>
    <col min="46" max="46" width="6.36328125" customWidth="1"/>
    <col min="47" max="47" width="14.1796875" customWidth="1"/>
    <col min="48" max="48" width="29.453125" customWidth="1"/>
    <col min="49" max="49" width="66.54296875" customWidth="1"/>
    <col min="50" max="50" width="29.453125" customWidth="1"/>
    <col min="51" max="51" width="11.7265625" customWidth="1"/>
    <col min="52" max="52" width="10.6328125" customWidth="1"/>
    <col min="53" max="53" width="8.81640625" customWidth="1"/>
    <col min="54" max="54" width="28.453125" customWidth="1"/>
    <col min="55" max="55" width="50.90625" customWidth="1"/>
    <col min="56" max="56" width="19.26953125" customWidth="1"/>
    <col min="57" max="57" width="8.7265625" customWidth="1"/>
  </cols>
  <sheetData>
    <row r="1" spans="1:56" s="1" customFormat="1" ht="18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179</v>
      </c>
      <c r="AH1" s="3" t="s">
        <v>29</v>
      </c>
      <c r="AI1" s="3" t="s">
        <v>30</v>
      </c>
      <c r="AJ1" s="3" t="s">
        <v>31</v>
      </c>
      <c r="AK1" s="2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50</v>
      </c>
      <c r="BD1" s="3" t="s">
        <v>51</v>
      </c>
    </row>
    <row r="2" spans="1:56" ht="14.5" customHeight="1" x14ac:dyDescent="0.35">
      <c r="A2" t="s">
        <v>52</v>
      </c>
      <c r="B2" s="7" t="s">
        <v>53</v>
      </c>
      <c r="C2" s="8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>
        <f t="shared" ref="L2:L17" ca="1" si="0">TODAY()-31</f>
        <v>45752</v>
      </c>
      <c r="M2" t="s">
        <v>56</v>
      </c>
      <c r="N2" t="s">
        <v>63</v>
      </c>
      <c r="O2" t="s">
        <v>64</v>
      </c>
      <c r="P2" t="s">
        <v>63</v>
      </c>
      <c r="Q2">
        <v>21201</v>
      </c>
      <c r="R2" t="s">
        <v>65</v>
      </c>
      <c r="S2" t="s">
        <v>65</v>
      </c>
      <c r="T2" t="s">
        <v>62</v>
      </c>
      <c r="U2" t="s">
        <v>66</v>
      </c>
      <c r="V2" t="s">
        <v>67</v>
      </c>
      <c r="W2" t="s">
        <v>62</v>
      </c>
      <c r="X2" s="10">
        <f t="shared" ref="X2:X17" ca="1" si="1">L2</f>
        <v>45752</v>
      </c>
      <c r="Y2">
        <f t="shared" ref="Y2:Y17" ca="1" si="2">TODAY()+20</f>
        <v>45803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>
        <v>121</v>
      </c>
      <c r="AF2" t="s">
        <v>73</v>
      </c>
      <c r="AG2" s="11" t="s">
        <v>76</v>
      </c>
      <c r="AH2">
        <v>10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76</v>
      </c>
      <c r="AQ2" t="s">
        <v>56</v>
      </c>
      <c r="AR2" t="s">
        <v>81</v>
      </c>
      <c r="AS2">
        <f t="array" aca="1" ref="AS2:AS17" ca="1">_xlfn.RANDARRAY(16,1,123456789,999999999,FALSE)</f>
        <v>277707408.84448838</v>
      </c>
      <c r="AT2" t="s">
        <v>82</v>
      </c>
      <c r="AU2">
        <v>35226</v>
      </c>
      <c r="AV2" t="s">
        <v>56</v>
      </c>
      <c r="AW2" t="s">
        <v>83</v>
      </c>
      <c r="AX2" t="s">
        <v>56</v>
      </c>
      <c r="AY2" t="s">
        <v>84</v>
      </c>
      <c r="AZ2" s="10">
        <v>54057</v>
      </c>
      <c r="BA2" t="s">
        <v>63</v>
      </c>
      <c r="BB2" t="s">
        <v>85</v>
      </c>
      <c r="BC2" t="s">
        <v>86</v>
      </c>
      <c r="BD2" t="s">
        <v>87</v>
      </c>
    </row>
    <row r="3" spans="1:56" ht="14.5" customHeight="1" x14ac:dyDescent="0.35">
      <c r="A3" t="s">
        <v>88</v>
      </c>
      <c r="B3" t="s">
        <v>89</v>
      </c>
      <c r="C3" s="8" t="s">
        <v>54</v>
      </c>
      <c r="D3" t="s">
        <v>90</v>
      </c>
      <c r="E3" t="s">
        <v>56</v>
      </c>
      <c r="F3" t="s">
        <v>57</v>
      </c>
      <c r="G3" t="s">
        <v>91</v>
      </c>
      <c r="H3" t="s">
        <v>92</v>
      </c>
      <c r="I3" t="s">
        <v>60</v>
      </c>
      <c r="J3" t="s">
        <v>61</v>
      </c>
      <c r="K3" t="s">
        <v>62</v>
      </c>
      <c r="L3">
        <f t="shared" ca="1" si="0"/>
        <v>45752</v>
      </c>
      <c r="M3" t="s">
        <v>56</v>
      </c>
      <c r="N3" t="s">
        <v>63</v>
      </c>
      <c r="O3" t="s">
        <v>64</v>
      </c>
      <c r="P3" t="s">
        <v>63</v>
      </c>
      <c r="Q3">
        <v>21201</v>
      </c>
      <c r="R3" t="s">
        <v>65</v>
      </c>
      <c r="S3" t="s">
        <v>65</v>
      </c>
      <c r="T3" t="s">
        <v>62</v>
      </c>
      <c r="U3" t="s">
        <v>66</v>
      </c>
      <c r="V3" t="s">
        <v>67</v>
      </c>
      <c r="W3" t="s">
        <v>62</v>
      </c>
      <c r="X3" s="10">
        <f t="shared" ca="1" si="1"/>
        <v>45752</v>
      </c>
      <c r="Y3">
        <f t="shared" ca="1" si="2"/>
        <v>45803</v>
      </c>
      <c r="Z3" t="s">
        <v>68</v>
      </c>
      <c r="AA3" t="s">
        <v>69</v>
      </c>
      <c r="AB3" t="s">
        <v>93</v>
      </c>
      <c r="AC3" t="s">
        <v>71</v>
      </c>
      <c r="AD3" t="s">
        <v>94</v>
      </c>
      <c r="AE3">
        <v>121</v>
      </c>
      <c r="AF3" t="s">
        <v>73</v>
      </c>
      <c r="AG3" s="11" t="s">
        <v>76</v>
      </c>
      <c r="AH3">
        <v>37.5</v>
      </c>
      <c r="AI3" t="s">
        <v>74</v>
      </c>
      <c r="AJ3" t="s">
        <v>95</v>
      </c>
      <c r="AK3" t="s">
        <v>76</v>
      </c>
      <c r="AL3" t="s">
        <v>77</v>
      </c>
      <c r="AM3" t="s">
        <v>78</v>
      </c>
      <c r="AN3" t="s">
        <v>96</v>
      </c>
      <c r="AO3" t="s">
        <v>80</v>
      </c>
      <c r="AP3" t="s">
        <v>76</v>
      </c>
      <c r="AQ3" t="s">
        <v>56</v>
      </c>
      <c r="AR3" t="s">
        <v>81</v>
      </c>
      <c r="AS3">
        <f ca="1"/>
        <v>221579628.16331494</v>
      </c>
      <c r="AT3" t="s">
        <v>82</v>
      </c>
      <c r="AU3">
        <v>35591</v>
      </c>
      <c r="AV3" t="s">
        <v>56</v>
      </c>
      <c r="AW3" t="s">
        <v>83</v>
      </c>
      <c r="AX3" t="s">
        <v>56</v>
      </c>
      <c r="AY3" t="s">
        <v>84</v>
      </c>
      <c r="AZ3">
        <v>54057</v>
      </c>
      <c r="BA3" t="s">
        <v>63</v>
      </c>
      <c r="BB3" t="s">
        <v>85</v>
      </c>
      <c r="BC3" t="s">
        <v>86</v>
      </c>
      <c r="BD3" t="s">
        <v>87</v>
      </c>
    </row>
    <row r="4" spans="1:56" ht="14.5" customHeight="1" x14ac:dyDescent="0.35">
      <c r="A4" t="s">
        <v>97</v>
      </c>
      <c r="B4" t="s">
        <v>98</v>
      </c>
      <c r="C4" s="8" t="s">
        <v>54</v>
      </c>
      <c r="D4" t="s">
        <v>99</v>
      </c>
      <c r="E4" t="s">
        <v>56</v>
      </c>
      <c r="F4" t="s">
        <v>57</v>
      </c>
      <c r="G4" t="s">
        <v>100</v>
      </c>
      <c r="H4" t="s">
        <v>101</v>
      </c>
      <c r="I4" t="s">
        <v>60</v>
      </c>
      <c r="J4" t="s">
        <v>61</v>
      </c>
      <c r="K4" t="s">
        <v>62</v>
      </c>
      <c r="L4">
        <f t="shared" ca="1" si="0"/>
        <v>45752</v>
      </c>
      <c r="M4" t="s">
        <v>56</v>
      </c>
      <c r="N4" t="s">
        <v>63</v>
      </c>
      <c r="O4" t="s">
        <v>64</v>
      </c>
      <c r="P4" t="s">
        <v>63</v>
      </c>
      <c r="Q4">
        <v>21201</v>
      </c>
      <c r="R4" t="s">
        <v>65</v>
      </c>
      <c r="S4" t="s">
        <v>65</v>
      </c>
      <c r="T4" t="s">
        <v>62</v>
      </c>
      <c r="U4" t="s">
        <v>66</v>
      </c>
      <c r="V4" t="s">
        <v>67</v>
      </c>
      <c r="W4" t="s">
        <v>62</v>
      </c>
      <c r="X4" s="10">
        <f t="shared" ca="1" si="1"/>
        <v>45752</v>
      </c>
      <c r="Y4">
        <f t="shared" ca="1" si="2"/>
        <v>45803</v>
      </c>
      <c r="Z4" t="s">
        <v>68</v>
      </c>
      <c r="AA4" t="s">
        <v>102</v>
      </c>
      <c r="AB4" t="s">
        <v>93</v>
      </c>
      <c r="AC4" t="s">
        <v>103</v>
      </c>
      <c r="AD4" t="s">
        <v>94</v>
      </c>
      <c r="AE4">
        <v>124</v>
      </c>
      <c r="AF4" t="s">
        <v>46</v>
      </c>
      <c r="AG4">
        <v>10</v>
      </c>
      <c r="AH4">
        <v>40</v>
      </c>
      <c r="AI4" t="s">
        <v>74</v>
      </c>
      <c r="AJ4" t="s">
        <v>95</v>
      </c>
      <c r="AK4" t="s">
        <v>76</v>
      </c>
      <c r="AL4" t="s">
        <v>77</v>
      </c>
      <c r="AM4" t="s">
        <v>104</v>
      </c>
      <c r="AN4" t="s">
        <v>105</v>
      </c>
      <c r="AO4" t="s">
        <v>76</v>
      </c>
      <c r="AP4" t="s">
        <v>76</v>
      </c>
      <c r="AQ4" t="s">
        <v>56</v>
      </c>
      <c r="AR4" t="s">
        <v>81</v>
      </c>
      <c r="AS4">
        <f ca="1"/>
        <v>743849344.19692409</v>
      </c>
      <c r="AT4" t="s">
        <v>82</v>
      </c>
      <c r="AU4">
        <v>35591</v>
      </c>
      <c r="AV4" t="s">
        <v>56</v>
      </c>
      <c r="AW4" t="s">
        <v>83</v>
      </c>
      <c r="AX4" t="s">
        <v>56</v>
      </c>
      <c r="AY4" t="s">
        <v>84</v>
      </c>
      <c r="AZ4">
        <v>54057</v>
      </c>
      <c r="BA4" t="s">
        <v>63</v>
      </c>
      <c r="BB4" t="s">
        <v>85</v>
      </c>
      <c r="BC4" t="s">
        <v>86</v>
      </c>
      <c r="BD4" t="s">
        <v>87</v>
      </c>
    </row>
    <row r="5" spans="1:56" ht="14.5" customHeight="1" x14ac:dyDescent="0.35">
      <c r="A5" t="s">
        <v>106</v>
      </c>
      <c r="B5" t="s">
        <v>107</v>
      </c>
      <c r="C5" s="8" t="s">
        <v>54</v>
      </c>
      <c r="D5" t="s">
        <v>90</v>
      </c>
      <c r="E5" t="s">
        <v>56</v>
      </c>
      <c r="F5" t="s">
        <v>57</v>
      </c>
      <c r="G5" t="s">
        <v>108</v>
      </c>
      <c r="H5" t="s">
        <v>109</v>
      </c>
      <c r="I5" t="s">
        <v>60</v>
      </c>
      <c r="J5" t="s">
        <v>61</v>
      </c>
      <c r="K5" t="s">
        <v>62</v>
      </c>
      <c r="L5">
        <f t="shared" ca="1" si="0"/>
        <v>45752</v>
      </c>
      <c r="M5" t="s">
        <v>56</v>
      </c>
      <c r="N5" t="s">
        <v>63</v>
      </c>
      <c r="O5" t="s">
        <v>64</v>
      </c>
      <c r="P5" t="s">
        <v>63</v>
      </c>
      <c r="Q5">
        <v>21201</v>
      </c>
      <c r="R5" t="s">
        <v>65</v>
      </c>
      <c r="S5" t="s">
        <v>65</v>
      </c>
      <c r="T5" t="s">
        <v>62</v>
      </c>
      <c r="U5" t="s">
        <v>66</v>
      </c>
      <c r="V5" t="s">
        <v>67</v>
      </c>
      <c r="W5" t="s">
        <v>62</v>
      </c>
      <c r="X5" s="10">
        <f t="shared" ca="1" si="1"/>
        <v>45752</v>
      </c>
      <c r="Y5">
        <f t="shared" ca="1" si="2"/>
        <v>45803</v>
      </c>
      <c r="Z5" t="s">
        <v>68</v>
      </c>
      <c r="AA5" t="s">
        <v>69</v>
      </c>
      <c r="AB5" t="s">
        <v>93</v>
      </c>
      <c r="AC5" t="s">
        <v>71</v>
      </c>
      <c r="AD5" t="s">
        <v>72</v>
      </c>
      <c r="AE5">
        <v>121</v>
      </c>
      <c r="AF5" t="s">
        <v>73</v>
      </c>
      <c r="AH5">
        <v>25</v>
      </c>
      <c r="AI5" t="s">
        <v>74</v>
      </c>
      <c r="AJ5" t="s">
        <v>95</v>
      </c>
      <c r="AK5" t="s">
        <v>76</v>
      </c>
      <c r="AL5" t="s">
        <v>77</v>
      </c>
      <c r="AM5" t="s">
        <v>78</v>
      </c>
      <c r="AN5" t="s">
        <v>79</v>
      </c>
      <c r="AO5" t="s">
        <v>80</v>
      </c>
      <c r="AP5" t="s">
        <v>76</v>
      </c>
      <c r="AQ5" t="s">
        <v>56</v>
      </c>
      <c r="AR5" t="s">
        <v>81</v>
      </c>
      <c r="AS5">
        <f ca="1"/>
        <v>252412850.06393003</v>
      </c>
      <c r="AT5" t="s">
        <v>82</v>
      </c>
      <c r="AU5">
        <v>35591</v>
      </c>
      <c r="AV5" t="s">
        <v>56</v>
      </c>
      <c r="AW5" t="s">
        <v>83</v>
      </c>
      <c r="AX5" t="s">
        <v>56</v>
      </c>
      <c r="AY5" t="s">
        <v>84</v>
      </c>
      <c r="AZ5">
        <v>54057</v>
      </c>
      <c r="BA5" t="s">
        <v>63</v>
      </c>
      <c r="BB5" t="s">
        <v>85</v>
      </c>
      <c r="BC5" t="s">
        <v>86</v>
      </c>
      <c r="BD5" t="s">
        <v>87</v>
      </c>
    </row>
    <row r="6" spans="1:56" ht="14.5" customHeight="1" x14ac:dyDescent="0.35">
      <c r="A6" t="s">
        <v>110</v>
      </c>
      <c r="B6" t="s">
        <v>111</v>
      </c>
      <c r="C6" s="8" t="s">
        <v>54</v>
      </c>
      <c r="D6" t="s">
        <v>99</v>
      </c>
      <c r="E6" t="s">
        <v>56</v>
      </c>
      <c r="F6" t="s">
        <v>57</v>
      </c>
      <c r="G6" t="s">
        <v>112</v>
      </c>
      <c r="H6" t="s">
        <v>113</v>
      </c>
      <c r="I6" t="s">
        <v>60</v>
      </c>
      <c r="J6" t="s">
        <v>61</v>
      </c>
      <c r="K6" t="s">
        <v>62</v>
      </c>
      <c r="L6">
        <f t="shared" ca="1" si="0"/>
        <v>45752</v>
      </c>
      <c r="M6" t="s">
        <v>56</v>
      </c>
      <c r="N6" t="s">
        <v>63</v>
      </c>
      <c r="O6" t="s">
        <v>64</v>
      </c>
      <c r="P6" t="s">
        <v>63</v>
      </c>
      <c r="Q6">
        <v>21201</v>
      </c>
      <c r="R6" t="s">
        <v>65</v>
      </c>
      <c r="S6" t="s">
        <v>65</v>
      </c>
      <c r="T6" t="s">
        <v>62</v>
      </c>
      <c r="U6" t="s">
        <v>66</v>
      </c>
      <c r="V6" t="s">
        <v>67</v>
      </c>
      <c r="W6" t="s">
        <v>62</v>
      </c>
      <c r="X6" s="10">
        <f t="shared" ca="1" si="1"/>
        <v>45752</v>
      </c>
      <c r="Y6">
        <f t="shared" ca="1" si="2"/>
        <v>45803</v>
      </c>
      <c r="Z6" t="s">
        <v>68</v>
      </c>
      <c r="AA6" t="s">
        <v>114</v>
      </c>
      <c r="AB6" t="s">
        <v>93</v>
      </c>
      <c r="AC6" t="s">
        <v>115</v>
      </c>
      <c r="AD6" t="s">
        <v>94</v>
      </c>
      <c r="AE6">
        <v>124</v>
      </c>
      <c r="AF6" t="s">
        <v>46</v>
      </c>
      <c r="AH6">
        <v>40</v>
      </c>
      <c r="AI6" t="s">
        <v>74</v>
      </c>
      <c r="AJ6" t="s">
        <v>95</v>
      </c>
      <c r="AK6" t="s">
        <v>76</v>
      </c>
      <c r="AL6" t="s">
        <v>77</v>
      </c>
      <c r="AM6" t="s">
        <v>104</v>
      </c>
      <c r="AN6" t="s">
        <v>105</v>
      </c>
      <c r="AO6" t="s">
        <v>76</v>
      </c>
      <c r="AP6" t="s">
        <v>76</v>
      </c>
      <c r="AQ6" t="s">
        <v>56</v>
      </c>
      <c r="AR6" t="s">
        <v>81</v>
      </c>
      <c r="AS6">
        <f ca="1"/>
        <v>729251741.35738206</v>
      </c>
      <c r="AT6" t="s">
        <v>82</v>
      </c>
      <c r="AU6">
        <v>35591</v>
      </c>
      <c r="AV6" t="s">
        <v>56</v>
      </c>
      <c r="AW6" t="s">
        <v>83</v>
      </c>
      <c r="AX6" t="s">
        <v>56</v>
      </c>
      <c r="AY6" t="s">
        <v>84</v>
      </c>
      <c r="AZ6">
        <v>54057</v>
      </c>
      <c r="BA6" t="s">
        <v>63</v>
      </c>
      <c r="BB6" t="s">
        <v>85</v>
      </c>
      <c r="BC6" t="s">
        <v>86</v>
      </c>
      <c r="BD6" t="s">
        <v>87</v>
      </c>
    </row>
    <row r="7" spans="1:56" ht="14.5" customHeight="1" x14ac:dyDescent="0.35">
      <c r="A7" t="s">
        <v>116</v>
      </c>
      <c r="B7" t="s">
        <v>117</v>
      </c>
      <c r="C7" s="8" t="s">
        <v>54</v>
      </c>
      <c r="D7" t="s">
        <v>99</v>
      </c>
      <c r="E7" t="s">
        <v>56</v>
      </c>
      <c r="F7" t="s">
        <v>57</v>
      </c>
      <c r="G7" t="s">
        <v>118</v>
      </c>
      <c r="H7" t="s">
        <v>119</v>
      </c>
      <c r="I7" t="s">
        <v>60</v>
      </c>
      <c r="J7" t="s">
        <v>61</v>
      </c>
      <c r="K7" t="s">
        <v>62</v>
      </c>
      <c r="L7">
        <f t="shared" ca="1" si="0"/>
        <v>45752</v>
      </c>
      <c r="M7" t="s">
        <v>56</v>
      </c>
      <c r="N7" t="s">
        <v>63</v>
      </c>
      <c r="O7" t="s">
        <v>64</v>
      </c>
      <c r="P7" t="s">
        <v>63</v>
      </c>
      <c r="Q7">
        <v>21201</v>
      </c>
      <c r="R7" t="s">
        <v>65</v>
      </c>
      <c r="S7" t="s">
        <v>65</v>
      </c>
      <c r="T7" t="s">
        <v>62</v>
      </c>
      <c r="U7" t="s">
        <v>66</v>
      </c>
      <c r="V7" t="s">
        <v>67</v>
      </c>
      <c r="W7" t="s">
        <v>62</v>
      </c>
      <c r="X7" s="10">
        <f t="shared" ca="1" si="1"/>
        <v>45752</v>
      </c>
      <c r="Y7">
        <f t="shared" ca="1" si="2"/>
        <v>45803</v>
      </c>
      <c r="Z7" t="s">
        <v>68</v>
      </c>
      <c r="AA7" t="s">
        <v>120</v>
      </c>
      <c r="AB7" t="s">
        <v>93</v>
      </c>
      <c r="AC7" t="s">
        <v>121</v>
      </c>
      <c r="AD7" t="s">
        <v>72</v>
      </c>
      <c r="AE7">
        <v>124</v>
      </c>
      <c r="AF7" t="s">
        <v>46</v>
      </c>
      <c r="AH7">
        <v>25</v>
      </c>
      <c r="AI7" t="s">
        <v>74</v>
      </c>
      <c r="AJ7" t="s">
        <v>95</v>
      </c>
      <c r="AK7" t="s">
        <v>76</v>
      </c>
      <c r="AL7" t="s">
        <v>77</v>
      </c>
      <c r="AM7" t="s">
        <v>104</v>
      </c>
      <c r="AN7" t="s">
        <v>105</v>
      </c>
      <c r="AO7" t="s">
        <v>76</v>
      </c>
      <c r="AP7" t="s">
        <v>76</v>
      </c>
      <c r="AQ7" t="s">
        <v>56</v>
      </c>
      <c r="AR7" t="s">
        <v>81</v>
      </c>
      <c r="AS7">
        <f ca="1"/>
        <v>283573005.80598748</v>
      </c>
      <c r="AT7" t="s">
        <v>82</v>
      </c>
      <c r="AU7">
        <v>35591</v>
      </c>
      <c r="AV7" t="s">
        <v>56</v>
      </c>
      <c r="AW7" t="s">
        <v>83</v>
      </c>
      <c r="AX7" t="s">
        <v>56</v>
      </c>
      <c r="AY7" t="s">
        <v>84</v>
      </c>
      <c r="AZ7">
        <v>54057</v>
      </c>
      <c r="BA7" t="s">
        <v>63</v>
      </c>
      <c r="BB7" t="s">
        <v>85</v>
      </c>
      <c r="BC7" t="s">
        <v>86</v>
      </c>
      <c r="BD7" t="s">
        <v>87</v>
      </c>
    </row>
    <row r="8" spans="1:56" ht="14.5" customHeight="1" x14ac:dyDescent="0.35">
      <c r="A8" t="s">
        <v>122</v>
      </c>
      <c r="B8" t="s">
        <v>123</v>
      </c>
      <c r="C8" s="8" t="s">
        <v>54</v>
      </c>
      <c r="D8" t="s">
        <v>99</v>
      </c>
      <c r="E8" t="s">
        <v>56</v>
      </c>
      <c r="F8" t="s">
        <v>57</v>
      </c>
      <c r="G8" t="s">
        <v>124</v>
      </c>
      <c r="H8" t="s">
        <v>125</v>
      </c>
      <c r="I8" t="s">
        <v>60</v>
      </c>
      <c r="J8" t="s">
        <v>61</v>
      </c>
      <c r="K8" t="s">
        <v>62</v>
      </c>
      <c r="L8">
        <f t="shared" ca="1" si="0"/>
        <v>45752</v>
      </c>
      <c r="M8" t="s">
        <v>56</v>
      </c>
      <c r="N8" t="s">
        <v>63</v>
      </c>
      <c r="O8" t="s">
        <v>64</v>
      </c>
      <c r="P8" t="s">
        <v>63</v>
      </c>
      <c r="Q8">
        <v>21201</v>
      </c>
      <c r="R8" t="s">
        <v>65</v>
      </c>
      <c r="S8" t="s">
        <v>65</v>
      </c>
      <c r="T8" t="s">
        <v>62</v>
      </c>
      <c r="U8" t="s">
        <v>66</v>
      </c>
      <c r="V8" t="s">
        <v>67</v>
      </c>
      <c r="W8" t="s">
        <v>62</v>
      </c>
      <c r="X8" s="10">
        <f t="shared" ca="1" si="1"/>
        <v>45752</v>
      </c>
      <c r="Y8">
        <f t="shared" ca="1" si="2"/>
        <v>45803</v>
      </c>
      <c r="Z8" t="s">
        <v>68</v>
      </c>
      <c r="AA8" t="s">
        <v>126</v>
      </c>
      <c r="AB8" t="s">
        <v>93</v>
      </c>
      <c r="AC8" t="s">
        <v>127</v>
      </c>
      <c r="AD8" t="s">
        <v>94</v>
      </c>
      <c r="AE8">
        <v>124</v>
      </c>
      <c r="AF8" t="s">
        <v>46</v>
      </c>
      <c r="AH8">
        <v>40</v>
      </c>
      <c r="AI8" t="s">
        <v>74</v>
      </c>
      <c r="AJ8" t="s">
        <v>95</v>
      </c>
      <c r="AK8" t="s">
        <v>76</v>
      </c>
      <c r="AL8" t="s">
        <v>77</v>
      </c>
      <c r="AM8" t="s">
        <v>104</v>
      </c>
      <c r="AN8" t="s">
        <v>105</v>
      </c>
      <c r="AO8" t="s">
        <v>76</v>
      </c>
      <c r="AP8" t="s">
        <v>76</v>
      </c>
      <c r="AQ8" t="s">
        <v>56</v>
      </c>
      <c r="AR8" t="s">
        <v>81</v>
      </c>
      <c r="AS8">
        <f ca="1"/>
        <v>776887959.25280273</v>
      </c>
      <c r="AT8" t="s">
        <v>82</v>
      </c>
      <c r="AU8">
        <v>35591</v>
      </c>
      <c r="AV8" t="s">
        <v>56</v>
      </c>
      <c r="AW8" t="s">
        <v>83</v>
      </c>
      <c r="AX8" t="s">
        <v>56</v>
      </c>
      <c r="AY8" t="s">
        <v>84</v>
      </c>
      <c r="AZ8">
        <v>54057</v>
      </c>
      <c r="BA8" t="s">
        <v>63</v>
      </c>
      <c r="BB8" t="s">
        <v>85</v>
      </c>
      <c r="BC8" t="s">
        <v>86</v>
      </c>
      <c r="BD8" t="s">
        <v>87</v>
      </c>
    </row>
    <row r="9" spans="1:56" ht="14.5" customHeight="1" x14ac:dyDescent="0.35">
      <c r="A9" t="s">
        <v>128</v>
      </c>
      <c r="B9" s="7" t="s">
        <v>129</v>
      </c>
      <c r="C9" s="8" t="s">
        <v>54</v>
      </c>
      <c r="D9" t="s">
        <v>99</v>
      </c>
      <c r="E9" t="s">
        <v>56</v>
      </c>
      <c r="F9" t="s">
        <v>57</v>
      </c>
      <c r="G9" t="s">
        <v>130</v>
      </c>
      <c r="H9" t="s">
        <v>131</v>
      </c>
      <c r="I9" t="s">
        <v>60</v>
      </c>
      <c r="J9" t="s">
        <v>61</v>
      </c>
      <c r="K9" t="s">
        <v>62</v>
      </c>
      <c r="L9">
        <f t="shared" ca="1" si="0"/>
        <v>45752</v>
      </c>
      <c r="M9" t="s">
        <v>56</v>
      </c>
      <c r="N9" t="s">
        <v>63</v>
      </c>
      <c r="O9" t="s">
        <v>64</v>
      </c>
      <c r="P9" t="s">
        <v>63</v>
      </c>
      <c r="Q9">
        <v>21201</v>
      </c>
      <c r="R9" t="s">
        <v>65</v>
      </c>
      <c r="S9" t="s">
        <v>65</v>
      </c>
      <c r="T9" t="s">
        <v>62</v>
      </c>
      <c r="U9" t="s">
        <v>66</v>
      </c>
      <c r="V9" t="s">
        <v>67</v>
      </c>
      <c r="W9" t="s">
        <v>62</v>
      </c>
      <c r="X9" s="10">
        <f t="shared" ca="1" si="1"/>
        <v>45752</v>
      </c>
      <c r="Y9">
        <f t="shared" ca="1" si="2"/>
        <v>45803</v>
      </c>
      <c r="Z9" t="s">
        <v>68</v>
      </c>
      <c r="AA9" t="s">
        <v>132</v>
      </c>
      <c r="AB9" t="s">
        <v>93</v>
      </c>
      <c r="AC9" t="s">
        <v>133</v>
      </c>
      <c r="AD9" t="s">
        <v>94</v>
      </c>
      <c r="AE9">
        <v>124</v>
      </c>
      <c r="AF9" t="s">
        <v>46</v>
      </c>
      <c r="AH9">
        <v>40</v>
      </c>
      <c r="AI9" t="s">
        <v>74</v>
      </c>
      <c r="AJ9" t="s">
        <v>95</v>
      </c>
      <c r="AK9" t="s">
        <v>76</v>
      </c>
      <c r="AL9" t="s">
        <v>77</v>
      </c>
      <c r="AM9" t="s">
        <v>104</v>
      </c>
      <c r="AN9" t="s">
        <v>105</v>
      </c>
      <c r="AO9" t="s">
        <v>76</v>
      </c>
      <c r="AP9" t="s">
        <v>76</v>
      </c>
      <c r="AQ9" t="s">
        <v>56</v>
      </c>
      <c r="AR9" t="s">
        <v>81</v>
      </c>
      <c r="AS9">
        <f ca="1"/>
        <v>659652315.16987813</v>
      </c>
      <c r="AT9" t="s">
        <v>82</v>
      </c>
      <c r="AU9">
        <v>35591</v>
      </c>
      <c r="AV9" t="s">
        <v>56</v>
      </c>
      <c r="AW9" t="s">
        <v>83</v>
      </c>
      <c r="AX9" t="s">
        <v>56</v>
      </c>
      <c r="AY9" t="s">
        <v>84</v>
      </c>
      <c r="AZ9">
        <v>54057</v>
      </c>
      <c r="BA9" t="s">
        <v>63</v>
      </c>
      <c r="BB9" t="s">
        <v>85</v>
      </c>
      <c r="BC9" t="s">
        <v>86</v>
      </c>
      <c r="BD9" t="s">
        <v>87</v>
      </c>
    </row>
    <row r="10" spans="1:56" ht="14.5" customHeight="1" x14ac:dyDescent="0.35">
      <c r="A10" t="s">
        <v>134</v>
      </c>
      <c r="B10" t="s">
        <v>135</v>
      </c>
      <c r="C10" s="8" t="s">
        <v>54</v>
      </c>
      <c r="D10" t="s">
        <v>99</v>
      </c>
      <c r="E10" t="s">
        <v>56</v>
      </c>
      <c r="F10" t="s">
        <v>57</v>
      </c>
      <c r="G10" t="s">
        <v>136</v>
      </c>
      <c r="H10" t="s">
        <v>137</v>
      </c>
      <c r="I10" t="s">
        <v>60</v>
      </c>
      <c r="J10" t="s">
        <v>61</v>
      </c>
      <c r="K10" t="s">
        <v>62</v>
      </c>
      <c r="L10">
        <f t="shared" ca="1" si="0"/>
        <v>45752</v>
      </c>
      <c r="M10" t="s">
        <v>56</v>
      </c>
      <c r="N10" t="s">
        <v>63</v>
      </c>
      <c r="O10" t="s">
        <v>64</v>
      </c>
      <c r="P10" t="s">
        <v>63</v>
      </c>
      <c r="Q10">
        <v>21201</v>
      </c>
      <c r="R10" t="s">
        <v>65</v>
      </c>
      <c r="S10" t="s">
        <v>65</v>
      </c>
      <c r="T10" t="s">
        <v>62</v>
      </c>
      <c r="U10" t="s">
        <v>66</v>
      </c>
      <c r="V10" t="s">
        <v>67</v>
      </c>
      <c r="W10" t="s">
        <v>62</v>
      </c>
      <c r="X10" s="10">
        <f t="shared" ca="1" si="1"/>
        <v>45752</v>
      </c>
      <c r="Y10">
        <f t="shared" ca="1" si="2"/>
        <v>45803</v>
      </c>
      <c r="Z10" t="s">
        <v>68</v>
      </c>
      <c r="AA10" t="s">
        <v>138</v>
      </c>
      <c r="AB10" t="s">
        <v>93</v>
      </c>
      <c r="AC10" t="s">
        <v>139</v>
      </c>
      <c r="AD10" t="s">
        <v>72</v>
      </c>
      <c r="AE10">
        <v>124</v>
      </c>
      <c r="AF10" t="s">
        <v>73</v>
      </c>
      <c r="AH10">
        <v>20</v>
      </c>
      <c r="AI10" t="s">
        <v>74</v>
      </c>
      <c r="AJ10" t="s">
        <v>95</v>
      </c>
      <c r="AK10" t="s">
        <v>76</v>
      </c>
      <c r="AL10" t="s">
        <v>77</v>
      </c>
      <c r="AM10" t="s">
        <v>104</v>
      </c>
      <c r="AN10" t="s">
        <v>105</v>
      </c>
      <c r="AO10" t="s">
        <v>76</v>
      </c>
      <c r="AP10" t="s">
        <v>76</v>
      </c>
      <c r="AQ10" t="s">
        <v>56</v>
      </c>
      <c r="AR10" t="s">
        <v>81</v>
      </c>
      <c r="AS10">
        <f ca="1"/>
        <v>598058210.24796534</v>
      </c>
      <c r="AT10" t="s">
        <v>82</v>
      </c>
      <c r="AU10">
        <v>35591</v>
      </c>
      <c r="AV10" t="s">
        <v>56</v>
      </c>
      <c r="AW10" t="s">
        <v>83</v>
      </c>
      <c r="AX10" t="s">
        <v>56</v>
      </c>
      <c r="AY10" t="s">
        <v>84</v>
      </c>
      <c r="AZ10">
        <v>54057</v>
      </c>
      <c r="BA10" t="s">
        <v>63</v>
      </c>
      <c r="BB10" t="s">
        <v>85</v>
      </c>
      <c r="BC10" t="s">
        <v>86</v>
      </c>
      <c r="BD10" t="s">
        <v>87</v>
      </c>
    </row>
    <row r="11" spans="1:56" ht="14.5" customHeight="1" x14ac:dyDescent="0.35">
      <c r="A11" t="s">
        <v>140</v>
      </c>
      <c r="B11" s="7" t="s">
        <v>141</v>
      </c>
      <c r="C11" s="8" t="s">
        <v>54</v>
      </c>
      <c r="D11" t="s">
        <v>90</v>
      </c>
      <c r="E11" t="s">
        <v>56</v>
      </c>
      <c r="F11" t="s">
        <v>57</v>
      </c>
      <c r="G11" t="s">
        <v>142</v>
      </c>
      <c r="H11" t="s">
        <v>143</v>
      </c>
      <c r="I11" t="s">
        <v>60</v>
      </c>
      <c r="J11" t="s">
        <v>61</v>
      </c>
      <c r="K11" t="s">
        <v>62</v>
      </c>
      <c r="L11">
        <f t="shared" ca="1" si="0"/>
        <v>45752</v>
      </c>
      <c r="M11" t="s">
        <v>56</v>
      </c>
      <c r="N11" t="s">
        <v>63</v>
      </c>
      <c r="O11" t="s">
        <v>64</v>
      </c>
      <c r="P11" t="s">
        <v>63</v>
      </c>
      <c r="Q11">
        <v>21201</v>
      </c>
      <c r="R11" t="s">
        <v>65</v>
      </c>
      <c r="S11" t="s">
        <v>65</v>
      </c>
      <c r="T11" t="s">
        <v>62</v>
      </c>
      <c r="U11" t="s">
        <v>66</v>
      </c>
      <c r="V11" t="s">
        <v>67</v>
      </c>
      <c r="W11" t="s">
        <v>62</v>
      </c>
      <c r="X11" s="10">
        <f t="shared" ca="1" si="1"/>
        <v>45752</v>
      </c>
      <c r="Y11">
        <f t="shared" ca="1" si="2"/>
        <v>45803</v>
      </c>
      <c r="Z11" t="s">
        <v>68</v>
      </c>
      <c r="AA11" t="s">
        <v>69</v>
      </c>
      <c r="AB11" t="s">
        <v>93</v>
      </c>
      <c r="AC11" t="s">
        <v>144</v>
      </c>
      <c r="AD11" t="s">
        <v>145</v>
      </c>
      <c r="AE11">
        <v>121</v>
      </c>
      <c r="AF11" t="s">
        <v>73</v>
      </c>
      <c r="AH11">
        <v>15</v>
      </c>
      <c r="AI11" t="s">
        <v>74</v>
      </c>
      <c r="AJ11" t="s">
        <v>95</v>
      </c>
      <c r="AK11" t="s">
        <v>76</v>
      </c>
      <c r="AL11" t="s">
        <v>77</v>
      </c>
      <c r="AM11" t="s">
        <v>78</v>
      </c>
      <c r="AN11" t="s">
        <v>146</v>
      </c>
      <c r="AO11" t="s">
        <v>80</v>
      </c>
      <c r="AP11" t="s">
        <v>76</v>
      </c>
      <c r="AQ11" t="s">
        <v>56</v>
      </c>
      <c r="AR11" t="s">
        <v>81</v>
      </c>
      <c r="AS11">
        <f ca="1"/>
        <v>315274310.28418732</v>
      </c>
      <c r="AT11" t="s">
        <v>82</v>
      </c>
      <c r="AU11">
        <v>35591</v>
      </c>
      <c r="AV11" t="s">
        <v>56</v>
      </c>
      <c r="AW11" t="s">
        <v>83</v>
      </c>
      <c r="AX11" t="s">
        <v>56</v>
      </c>
      <c r="AY11" t="s">
        <v>84</v>
      </c>
      <c r="AZ11">
        <v>54057</v>
      </c>
      <c r="BA11" t="s">
        <v>63</v>
      </c>
      <c r="BB11" t="s">
        <v>85</v>
      </c>
      <c r="BC11" t="s">
        <v>86</v>
      </c>
      <c r="BD11" t="s">
        <v>87</v>
      </c>
    </row>
    <row r="12" spans="1:56" ht="14.5" customHeight="1" x14ac:dyDescent="0.35">
      <c r="A12" t="s">
        <v>147</v>
      </c>
      <c r="B12" t="s">
        <v>148</v>
      </c>
      <c r="C12" s="8" t="s">
        <v>54</v>
      </c>
      <c r="D12" t="s">
        <v>90</v>
      </c>
      <c r="E12" t="s">
        <v>56</v>
      </c>
      <c r="F12" t="s">
        <v>57</v>
      </c>
      <c r="G12" t="s">
        <v>149</v>
      </c>
      <c r="H12" t="s">
        <v>150</v>
      </c>
      <c r="I12" t="s">
        <v>60</v>
      </c>
      <c r="J12" t="s">
        <v>61</v>
      </c>
      <c r="K12" t="s">
        <v>62</v>
      </c>
      <c r="L12">
        <f t="shared" ca="1" si="0"/>
        <v>45752</v>
      </c>
      <c r="M12" t="s">
        <v>56</v>
      </c>
      <c r="N12" t="s">
        <v>63</v>
      </c>
      <c r="O12" t="s">
        <v>64</v>
      </c>
      <c r="P12" t="s">
        <v>63</v>
      </c>
      <c r="Q12">
        <v>21201</v>
      </c>
      <c r="R12" t="s">
        <v>65</v>
      </c>
      <c r="S12" t="s">
        <v>65</v>
      </c>
      <c r="T12" t="s">
        <v>62</v>
      </c>
      <c r="U12" t="s">
        <v>66</v>
      </c>
      <c r="V12" t="s">
        <v>67</v>
      </c>
      <c r="W12" t="s">
        <v>62</v>
      </c>
      <c r="X12" s="10">
        <f t="shared" ca="1" si="1"/>
        <v>45752</v>
      </c>
      <c r="Y12">
        <f t="shared" ca="1" si="2"/>
        <v>45803</v>
      </c>
      <c r="Z12" t="s">
        <v>68</v>
      </c>
      <c r="AA12" t="s">
        <v>69</v>
      </c>
      <c r="AB12" t="s">
        <v>93</v>
      </c>
      <c r="AC12" t="s">
        <v>151</v>
      </c>
      <c r="AD12" t="s">
        <v>94</v>
      </c>
      <c r="AE12">
        <v>121</v>
      </c>
      <c r="AF12" t="s">
        <v>73</v>
      </c>
      <c r="AH12">
        <v>37.5</v>
      </c>
      <c r="AI12" t="s">
        <v>74</v>
      </c>
      <c r="AJ12" t="s">
        <v>95</v>
      </c>
      <c r="AK12" t="s">
        <v>76</v>
      </c>
      <c r="AL12" t="s">
        <v>77</v>
      </c>
      <c r="AM12" t="s">
        <v>78</v>
      </c>
      <c r="AN12" t="s">
        <v>152</v>
      </c>
      <c r="AO12" t="s">
        <v>80</v>
      </c>
      <c r="AP12" t="s">
        <v>76</v>
      </c>
      <c r="AQ12" t="s">
        <v>56</v>
      </c>
      <c r="AR12" t="s">
        <v>81</v>
      </c>
      <c r="AS12">
        <f ca="1"/>
        <v>173395723.98091638</v>
      </c>
      <c r="AT12" t="s">
        <v>82</v>
      </c>
      <c r="AU12">
        <v>35591</v>
      </c>
      <c r="AV12" t="s">
        <v>56</v>
      </c>
      <c r="AW12" t="s">
        <v>83</v>
      </c>
      <c r="AX12" t="s">
        <v>56</v>
      </c>
      <c r="AY12" t="s">
        <v>84</v>
      </c>
      <c r="AZ12">
        <v>54057</v>
      </c>
      <c r="BA12" t="s">
        <v>63</v>
      </c>
      <c r="BB12" t="s">
        <v>85</v>
      </c>
      <c r="BC12" t="s">
        <v>86</v>
      </c>
      <c r="BD12" t="s">
        <v>87</v>
      </c>
    </row>
    <row r="13" spans="1:56" ht="14.5" customHeight="1" x14ac:dyDescent="0.35">
      <c r="A13" t="s">
        <v>153</v>
      </c>
      <c r="B13" t="s">
        <v>154</v>
      </c>
      <c r="C13" s="8" t="s">
        <v>54</v>
      </c>
      <c r="D13" t="s">
        <v>90</v>
      </c>
      <c r="E13" t="s">
        <v>56</v>
      </c>
      <c r="F13" t="s">
        <v>57</v>
      </c>
      <c r="G13" t="s">
        <v>155</v>
      </c>
      <c r="H13" t="s">
        <v>156</v>
      </c>
      <c r="I13" t="s">
        <v>60</v>
      </c>
      <c r="J13" t="s">
        <v>61</v>
      </c>
      <c r="K13" t="s">
        <v>62</v>
      </c>
      <c r="L13">
        <f t="shared" ca="1" si="0"/>
        <v>45752</v>
      </c>
      <c r="M13" t="s">
        <v>56</v>
      </c>
      <c r="N13" t="s">
        <v>63</v>
      </c>
      <c r="O13" t="s">
        <v>64</v>
      </c>
      <c r="P13" t="s">
        <v>63</v>
      </c>
      <c r="Q13">
        <v>21201</v>
      </c>
      <c r="R13" t="s">
        <v>65</v>
      </c>
      <c r="S13" t="s">
        <v>65</v>
      </c>
      <c r="T13" t="s">
        <v>62</v>
      </c>
      <c r="U13" t="s">
        <v>66</v>
      </c>
      <c r="V13" t="s">
        <v>67</v>
      </c>
      <c r="W13" t="s">
        <v>62</v>
      </c>
      <c r="X13" s="10">
        <f t="shared" ca="1" si="1"/>
        <v>45752</v>
      </c>
      <c r="Y13">
        <f t="shared" ca="1" si="2"/>
        <v>45803</v>
      </c>
      <c r="Z13" t="s">
        <v>68</v>
      </c>
      <c r="AA13" t="s">
        <v>69</v>
      </c>
      <c r="AB13" t="s">
        <v>93</v>
      </c>
      <c r="AC13" t="s">
        <v>157</v>
      </c>
      <c r="AD13" t="s">
        <v>72</v>
      </c>
      <c r="AE13">
        <v>121</v>
      </c>
      <c r="AF13" t="s">
        <v>73</v>
      </c>
      <c r="AH13">
        <v>12</v>
      </c>
      <c r="AI13" t="s">
        <v>74</v>
      </c>
      <c r="AJ13" t="s">
        <v>95</v>
      </c>
      <c r="AK13" t="s">
        <v>76</v>
      </c>
      <c r="AL13" t="s">
        <v>77</v>
      </c>
      <c r="AM13" t="s">
        <v>78</v>
      </c>
      <c r="AN13" t="s">
        <v>158</v>
      </c>
      <c r="AO13" t="s">
        <v>80</v>
      </c>
      <c r="AP13" t="s">
        <v>76</v>
      </c>
      <c r="AQ13" t="s">
        <v>56</v>
      </c>
      <c r="AR13" t="s">
        <v>81</v>
      </c>
      <c r="AS13">
        <f ca="1"/>
        <v>585728256.35492718</v>
      </c>
      <c r="AT13" t="s">
        <v>82</v>
      </c>
      <c r="AU13">
        <v>35591</v>
      </c>
      <c r="AV13" t="s">
        <v>56</v>
      </c>
      <c r="AW13" t="s">
        <v>83</v>
      </c>
      <c r="AX13" t="s">
        <v>56</v>
      </c>
      <c r="AY13" t="s">
        <v>84</v>
      </c>
      <c r="AZ13">
        <v>54057</v>
      </c>
      <c r="BA13" t="s">
        <v>63</v>
      </c>
      <c r="BB13" t="s">
        <v>85</v>
      </c>
      <c r="BC13" t="s">
        <v>86</v>
      </c>
      <c r="BD13" t="s">
        <v>87</v>
      </c>
    </row>
    <row r="14" spans="1:56" ht="14.5" customHeight="1" x14ac:dyDescent="0.35">
      <c r="A14" t="s">
        <v>159</v>
      </c>
      <c r="B14" t="s">
        <v>160</v>
      </c>
      <c r="C14" s="8" t="s">
        <v>54</v>
      </c>
      <c r="D14" t="s">
        <v>90</v>
      </c>
      <c r="E14" t="s">
        <v>56</v>
      </c>
      <c r="F14" t="s">
        <v>57</v>
      </c>
      <c r="G14" t="s">
        <v>161</v>
      </c>
      <c r="H14" t="s">
        <v>162</v>
      </c>
      <c r="I14" t="s">
        <v>60</v>
      </c>
      <c r="J14" t="s">
        <v>61</v>
      </c>
      <c r="K14" t="s">
        <v>62</v>
      </c>
      <c r="L14">
        <f t="shared" ca="1" si="0"/>
        <v>45752</v>
      </c>
      <c r="M14" t="s">
        <v>56</v>
      </c>
      <c r="N14" t="s">
        <v>63</v>
      </c>
      <c r="O14" t="s">
        <v>64</v>
      </c>
      <c r="P14" t="s">
        <v>63</v>
      </c>
      <c r="Q14">
        <v>21201</v>
      </c>
      <c r="R14" t="s">
        <v>65</v>
      </c>
      <c r="S14" t="s">
        <v>65</v>
      </c>
      <c r="T14" t="s">
        <v>62</v>
      </c>
      <c r="U14" t="s">
        <v>66</v>
      </c>
      <c r="V14" t="s">
        <v>67</v>
      </c>
      <c r="W14" t="s">
        <v>62</v>
      </c>
      <c r="X14" s="10">
        <f t="shared" ca="1" si="1"/>
        <v>45752</v>
      </c>
      <c r="Y14">
        <f t="shared" ca="1" si="2"/>
        <v>45803</v>
      </c>
      <c r="Z14" t="s">
        <v>68</v>
      </c>
      <c r="AA14" t="s">
        <v>69</v>
      </c>
      <c r="AB14" t="s">
        <v>93</v>
      </c>
      <c r="AC14" t="s">
        <v>163</v>
      </c>
      <c r="AD14" t="s">
        <v>94</v>
      </c>
      <c r="AE14">
        <v>121</v>
      </c>
      <c r="AF14" t="s">
        <v>73</v>
      </c>
      <c r="AH14">
        <v>37.5</v>
      </c>
      <c r="AI14" t="s">
        <v>74</v>
      </c>
      <c r="AJ14" t="s">
        <v>95</v>
      </c>
      <c r="AK14" t="s">
        <v>76</v>
      </c>
      <c r="AL14" t="s">
        <v>77</v>
      </c>
      <c r="AM14" t="s">
        <v>78</v>
      </c>
      <c r="AN14" t="s">
        <v>152</v>
      </c>
      <c r="AO14" t="s">
        <v>80</v>
      </c>
      <c r="AP14" t="s">
        <v>76</v>
      </c>
      <c r="AQ14" t="s">
        <v>56</v>
      </c>
      <c r="AR14" t="s">
        <v>81</v>
      </c>
      <c r="AS14">
        <f ca="1"/>
        <v>158531715.05935633</v>
      </c>
      <c r="AT14" t="s">
        <v>82</v>
      </c>
      <c r="AU14">
        <v>35591</v>
      </c>
      <c r="AV14" t="s">
        <v>56</v>
      </c>
      <c r="AW14" t="s">
        <v>83</v>
      </c>
      <c r="AX14" t="s">
        <v>56</v>
      </c>
      <c r="AY14" t="s">
        <v>84</v>
      </c>
      <c r="AZ14">
        <v>54057</v>
      </c>
      <c r="BA14" t="s">
        <v>63</v>
      </c>
      <c r="BB14" t="s">
        <v>85</v>
      </c>
      <c r="BC14" t="s">
        <v>86</v>
      </c>
      <c r="BD14" t="s">
        <v>87</v>
      </c>
    </row>
    <row r="15" spans="1:56" ht="14.5" customHeight="1" x14ac:dyDescent="0.35">
      <c r="A15" t="s">
        <v>164</v>
      </c>
      <c r="B15" t="s">
        <v>165</v>
      </c>
      <c r="C15" s="8" t="s">
        <v>166</v>
      </c>
      <c r="D15" t="s">
        <v>90</v>
      </c>
      <c r="E15" t="s">
        <v>56</v>
      </c>
      <c r="F15" t="s">
        <v>57</v>
      </c>
      <c r="G15" t="s">
        <v>167</v>
      </c>
      <c r="H15" t="s">
        <v>168</v>
      </c>
      <c r="I15" t="s">
        <v>60</v>
      </c>
      <c r="J15" t="s">
        <v>61</v>
      </c>
      <c r="K15" t="s">
        <v>62</v>
      </c>
      <c r="L15">
        <f t="shared" ca="1" si="0"/>
        <v>45752</v>
      </c>
      <c r="M15" t="s">
        <v>56</v>
      </c>
      <c r="N15" t="s">
        <v>63</v>
      </c>
      <c r="O15" t="s">
        <v>64</v>
      </c>
      <c r="P15" t="s">
        <v>63</v>
      </c>
      <c r="Q15">
        <v>21201</v>
      </c>
      <c r="R15" t="s">
        <v>65</v>
      </c>
      <c r="S15" t="s">
        <v>65</v>
      </c>
      <c r="T15" t="s">
        <v>62</v>
      </c>
      <c r="U15" t="s">
        <v>66</v>
      </c>
      <c r="V15" t="s">
        <v>67</v>
      </c>
      <c r="W15" t="s">
        <v>62</v>
      </c>
      <c r="X15" s="10">
        <f t="shared" ca="1" si="1"/>
        <v>45752</v>
      </c>
      <c r="Y15">
        <f t="shared" ca="1" si="2"/>
        <v>45803</v>
      </c>
      <c r="Z15" t="s">
        <v>68</v>
      </c>
      <c r="AA15" t="s">
        <v>69</v>
      </c>
      <c r="AB15" t="s">
        <v>93</v>
      </c>
      <c r="AC15" t="s">
        <v>169</v>
      </c>
      <c r="AD15" t="s">
        <v>94</v>
      </c>
      <c r="AE15">
        <v>121</v>
      </c>
      <c r="AF15" t="s">
        <v>73</v>
      </c>
      <c r="AH15">
        <v>37.5</v>
      </c>
      <c r="AI15" t="s">
        <v>74</v>
      </c>
      <c r="AJ15" t="s">
        <v>95</v>
      </c>
      <c r="AK15" t="s">
        <v>76</v>
      </c>
      <c r="AL15" t="s">
        <v>77</v>
      </c>
      <c r="AM15" t="s">
        <v>78</v>
      </c>
      <c r="AN15" t="s">
        <v>170</v>
      </c>
      <c r="AO15" t="s">
        <v>80</v>
      </c>
      <c r="AP15" t="s">
        <v>76</v>
      </c>
      <c r="AQ15" t="s">
        <v>56</v>
      </c>
      <c r="AR15" t="s">
        <v>81</v>
      </c>
      <c r="AS15">
        <f ca="1"/>
        <v>979958907.64294922</v>
      </c>
      <c r="AT15" t="s">
        <v>82</v>
      </c>
      <c r="AU15">
        <v>35591</v>
      </c>
      <c r="AV15" t="s">
        <v>56</v>
      </c>
      <c r="AW15" t="s">
        <v>83</v>
      </c>
      <c r="AX15" t="s">
        <v>56</v>
      </c>
      <c r="AY15" t="s">
        <v>84</v>
      </c>
      <c r="AZ15">
        <v>54057</v>
      </c>
      <c r="BA15" t="s">
        <v>63</v>
      </c>
      <c r="BB15" t="s">
        <v>85</v>
      </c>
      <c r="BC15" t="s">
        <v>86</v>
      </c>
      <c r="BD15" t="s">
        <v>87</v>
      </c>
    </row>
    <row r="16" spans="1:56" ht="14.5" customHeight="1" x14ac:dyDescent="0.35">
      <c r="A16" t="s">
        <v>171</v>
      </c>
      <c r="B16" t="s">
        <v>172</v>
      </c>
      <c r="C16" s="8" t="s">
        <v>54</v>
      </c>
      <c r="D16" t="s">
        <v>90</v>
      </c>
      <c r="E16" t="s">
        <v>56</v>
      </c>
      <c r="F16" t="s">
        <v>57</v>
      </c>
      <c r="G16" t="s">
        <v>173</v>
      </c>
      <c r="H16" t="s">
        <v>174</v>
      </c>
      <c r="I16" t="s">
        <v>60</v>
      </c>
      <c r="J16" t="s">
        <v>61</v>
      </c>
      <c r="K16" t="s">
        <v>62</v>
      </c>
      <c r="L16">
        <f t="shared" ca="1" si="0"/>
        <v>45752</v>
      </c>
      <c r="M16" t="s">
        <v>56</v>
      </c>
      <c r="N16" t="s">
        <v>63</v>
      </c>
      <c r="O16" t="s">
        <v>64</v>
      </c>
      <c r="P16" t="s">
        <v>63</v>
      </c>
      <c r="Q16">
        <v>21201</v>
      </c>
      <c r="R16" t="s">
        <v>65</v>
      </c>
      <c r="S16" t="s">
        <v>65</v>
      </c>
      <c r="T16" t="s">
        <v>62</v>
      </c>
      <c r="U16" t="s">
        <v>66</v>
      </c>
      <c r="V16" t="s">
        <v>67</v>
      </c>
      <c r="W16" t="s">
        <v>62</v>
      </c>
      <c r="X16" s="10">
        <f t="shared" ca="1" si="1"/>
        <v>45752</v>
      </c>
      <c r="Y16">
        <f t="shared" ca="1" si="2"/>
        <v>45803</v>
      </c>
      <c r="Z16" t="s">
        <v>68</v>
      </c>
      <c r="AA16" t="s">
        <v>69</v>
      </c>
      <c r="AB16" t="s">
        <v>70</v>
      </c>
      <c r="AC16" t="s">
        <v>71</v>
      </c>
      <c r="AD16" t="s">
        <v>72</v>
      </c>
      <c r="AE16">
        <v>121</v>
      </c>
      <c r="AF16" t="s">
        <v>73</v>
      </c>
      <c r="AH16">
        <v>10</v>
      </c>
      <c r="AI16" t="s">
        <v>74</v>
      </c>
      <c r="AJ16" t="s">
        <v>95</v>
      </c>
      <c r="AK16" t="s">
        <v>76</v>
      </c>
      <c r="AL16" t="s">
        <v>77</v>
      </c>
      <c r="AM16" t="s">
        <v>78</v>
      </c>
      <c r="AN16" t="s">
        <v>79</v>
      </c>
      <c r="AO16" t="s">
        <v>80</v>
      </c>
      <c r="AP16" t="s">
        <v>76</v>
      </c>
      <c r="AQ16" t="s">
        <v>56</v>
      </c>
      <c r="AR16" t="s">
        <v>81</v>
      </c>
      <c r="AS16">
        <f ca="1"/>
        <v>217007307.79768765</v>
      </c>
      <c r="AT16" t="s">
        <v>82</v>
      </c>
      <c r="AU16">
        <v>35591</v>
      </c>
      <c r="AV16" t="s">
        <v>56</v>
      </c>
      <c r="AW16" t="s">
        <v>83</v>
      </c>
      <c r="AX16" t="s">
        <v>56</v>
      </c>
      <c r="AY16" t="s">
        <v>84</v>
      </c>
      <c r="AZ16">
        <v>54057</v>
      </c>
      <c r="BA16" t="s">
        <v>63</v>
      </c>
      <c r="BB16" t="s">
        <v>85</v>
      </c>
      <c r="BC16" t="s">
        <v>86</v>
      </c>
      <c r="BD16" t="s">
        <v>87</v>
      </c>
    </row>
    <row r="17" spans="1:56" ht="14.5" customHeight="1" x14ac:dyDescent="0.35">
      <c r="A17" t="s">
        <v>175</v>
      </c>
      <c r="B17" t="s">
        <v>176</v>
      </c>
      <c r="C17" s="8" t="s">
        <v>166</v>
      </c>
      <c r="D17" t="s">
        <v>90</v>
      </c>
      <c r="E17" t="s">
        <v>56</v>
      </c>
      <c r="F17" t="s">
        <v>57</v>
      </c>
      <c r="G17" t="s">
        <v>177</v>
      </c>
      <c r="H17" t="s">
        <v>178</v>
      </c>
      <c r="I17" t="s">
        <v>60</v>
      </c>
      <c r="J17" t="s">
        <v>61</v>
      </c>
      <c r="K17" t="s">
        <v>62</v>
      </c>
      <c r="L17">
        <f t="shared" ca="1" si="0"/>
        <v>45752</v>
      </c>
      <c r="M17" t="s">
        <v>56</v>
      </c>
      <c r="N17" t="s">
        <v>63</v>
      </c>
      <c r="O17" t="s">
        <v>64</v>
      </c>
      <c r="P17" t="s">
        <v>63</v>
      </c>
      <c r="Q17">
        <v>21201</v>
      </c>
      <c r="R17" t="s">
        <v>65</v>
      </c>
      <c r="S17" t="s">
        <v>65</v>
      </c>
      <c r="T17" t="s">
        <v>62</v>
      </c>
      <c r="U17" t="s">
        <v>66</v>
      </c>
      <c r="V17" t="s">
        <v>67</v>
      </c>
      <c r="W17" t="s">
        <v>62</v>
      </c>
      <c r="X17" s="10">
        <f t="shared" ca="1" si="1"/>
        <v>45752</v>
      </c>
      <c r="Y17">
        <f t="shared" ca="1" si="2"/>
        <v>45803</v>
      </c>
      <c r="Z17" t="s">
        <v>68</v>
      </c>
      <c r="AA17" t="s">
        <v>69</v>
      </c>
      <c r="AB17" t="s">
        <v>70</v>
      </c>
      <c r="AC17" t="s">
        <v>169</v>
      </c>
      <c r="AD17" t="s">
        <v>94</v>
      </c>
      <c r="AE17">
        <v>121</v>
      </c>
      <c r="AF17" t="s">
        <v>73</v>
      </c>
      <c r="AH17">
        <v>37.5</v>
      </c>
      <c r="AI17" t="s">
        <v>74</v>
      </c>
      <c r="AJ17" t="s">
        <v>95</v>
      </c>
      <c r="AK17" t="s">
        <v>76</v>
      </c>
      <c r="AL17" t="s">
        <v>77</v>
      </c>
      <c r="AM17" t="s">
        <v>78</v>
      </c>
      <c r="AN17" t="s">
        <v>170</v>
      </c>
      <c r="AO17" t="s">
        <v>80</v>
      </c>
      <c r="AP17" t="s">
        <v>76</v>
      </c>
      <c r="AQ17" t="s">
        <v>56</v>
      </c>
      <c r="AR17" t="s">
        <v>81</v>
      </c>
      <c r="AS17">
        <f ca="1"/>
        <v>821871008.20827854</v>
      </c>
      <c r="AT17" t="s">
        <v>82</v>
      </c>
      <c r="AU17">
        <v>35591</v>
      </c>
      <c r="AV17" t="s">
        <v>56</v>
      </c>
      <c r="AW17" t="s">
        <v>83</v>
      </c>
      <c r="AX17" t="s">
        <v>56</v>
      </c>
      <c r="AY17" t="s">
        <v>84</v>
      </c>
      <c r="AZ17">
        <v>54057</v>
      </c>
      <c r="BA17" t="s">
        <v>63</v>
      </c>
      <c r="BB17" t="s">
        <v>85</v>
      </c>
      <c r="BC17" t="s">
        <v>86</v>
      </c>
      <c r="BD17" t="s">
        <v>87</v>
      </c>
    </row>
    <row r="18" spans="1:56" ht="14.5" customHeight="1" x14ac:dyDescent="0.35">
      <c r="AS18" s="9"/>
    </row>
  </sheetData>
  <dataValidations count="3">
    <dataValidation type="list" allowBlank="1" showInputMessage="1" showErrorMessage="1" sqref="K10:K17 Z10:Z17 W10:W17 T10:T17" xr:uid="{00000000-0002-0000-0000-000000000000}">
      <formula1>INDIRECT($E3)</formula1>
    </dataValidation>
    <dataValidation type="list" allowBlank="1" showInputMessage="1" showErrorMessage="1" sqref="K2 Z2 W2 T2" xr:uid="{00000000-0002-0000-0000-000001000000}">
      <formula1>INDIRECT($G2)</formula1>
    </dataValidation>
    <dataValidation type="list" allowBlank="1" showInputMessage="1" showErrorMessage="1" sqref="K3:K17 Z3:Z17 W3:W17 T3:T17" xr:uid="{00000000-0002-0000-0000-000002000000}">
      <formula1>INDIRECT($E3)</formula1>
    </dataValidation>
  </dataValidations>
  <hyperlinks>
    <hyperlink ref="V2" r:id="rId1" xr:uid="{00000000-0004-0000-0000-000000000000}"/>
    <hyperlink ref="V3" r:id="rId2" xr:uid="{00000000-0004-0000-0000-000001000000}"/>
    <hyperlink ref="V4" r:id="rId3" xr:uid="{00000000-0004-0000-0000-000002000000}"/>
    <hyperlink ref="V5" r:id="rId4" xr:uid="{00000000-0004-0000-0000-000003000000}"/>
    <hyperlink ref="V6" r:id="rId5" xr:uid="{00000000-0004-0000-0000-000004000000}"/>
    <hyperlink ref="V7" r:id="rId6" xr:uid="{00000000-0004-0000-0000-000005000000}"/>
    <hyperlink ref="V8" r:id="rId7" xr:uid="{00000000-0004-0000-0000-000006000000}"/>
    <hyperlink ref="V9" r:id="rId8" xr:uid="{00000000-0004-0000-0000-000007000000}"/>
    <hyperlink ref="V10" r:id="rId9" xr:uid="{00000000-0004-0000-0000-000008000000}"/>
    <hyperlink ref="V11" r:id="rId10" xr:uid="{00000000-0004-0000-0000-000009000000}"/>
    <hyperlink ref="V12" r:id="rId11" xr:uid="{00000000-0004-0000-0000-00000A000000}"/>
    <hyperlink ref="V13" r:id="rId12" xr:uid="{00000000-0004-0000-0000-00000B000000}"/>
    <hyperlink ref="V14" r:id="rId13" xr:uid="{00000000-0004-0000-0000-00000C000000}"/>
    <hyperlink ref="V15" r:id="rId14" xr:uid="{00000000-0004-0000-0000-00000D000000}"/>
    <hyperlink ref="V16" r:id="rId15" xr:uid="{00000000-0004-0000-0000-00000E000000}"/>
    <hyperlink ref="V17" r:id="rId16" xr:uid="{00000000-0004-0000-0000-00000F000000}"/>
  </hyperlinks>
  <pageMargins left="0.7" right="0.7" top="0.75" bottom="0.75" header="0.3" footer="0.3"/>
  <pageSetup orientation="portrait" useFirstPageNumber="1" horizontalDpi="4294967295" verticalDpi="4294967295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2025-05-06T05:16:58Z</dcterms:modified>
</cp:coreProperties>
</file>