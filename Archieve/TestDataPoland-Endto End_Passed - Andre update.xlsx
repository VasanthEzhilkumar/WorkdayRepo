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Sheet1!$A$1:$BY$8</definedName>
  </definedNames>
  <calcPr calcId="171027"/>
</workbook>
</file>

<file path=xl/sharedStrings.xml><?xml version="1.0" encoding="utf-8"?>
<sst xmlns="http://schemas.openxmlformats.org/spreadsheetml/2006/main" count="516" uniqueCount="164">
  <si>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</si>
  <si>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</si>
  <si>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</si>
  <si>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</si>
  <si>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</si>
  <si>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</si>
  <si>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</si>
  <si>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</si>
  <si>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</si>
  <si>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</si>
  <si>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</si>
  <si>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</si>
  <si>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</si>
  <si>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</si>
  <si>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</si>
  <si>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</si>
  <si>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</si>
  <si>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</si>
  <si>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</si>
  <si>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</si>
  <si>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</si>
  <si>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</si>
  <si>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</si>
  <si>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</si>
  <si>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</si>
  <si>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</si>
  <si>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</si>
  <si>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</si>
  <si>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</si>
  <si>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</si>
  <si>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</si>
  <si>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</si>
  <si>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</si>
  <si>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</si>
  <si>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</si>
  <si>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</si>
  <si>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</si>
  <si>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</si>
  <si>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</si>
  <si>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</si>
  <si>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</si>
  <si>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</si>
  <si>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</si>
  <si>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</si>
  <si>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</si>
  <si>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</si>
  <si>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</si>
  <si>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</si>
  <si>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</si>
  <si>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</si>
  <si>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</si>
  <si>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color theme="1"/>
        <family val="2"/>
        <scheme val="minor"/>
        <sz val="11"/>
        <rFont val="Calibri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</si>
  <si>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</si>
  <si>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</si>
  <si>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</si>
  <si>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</si>
  <si>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</si>
  <si>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</si>
  <si>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</si>
  <si>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</si>
  <si>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</si>
  <si>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</si>
  <si>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</si>
  <si>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</si>
  <si>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</si>
  <si>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</si>
  <si>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</si>
  <si>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</si>
  <si>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</si>
  <si>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</si>
  <si>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</si>
  <si>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</si>
  <si>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</si>
  <si>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</si>
  <si>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Test_17</t>
  </si>
  <si>
    <t>10697807</t>
  </si>
  <si>
    <t>Passed</t>
  </si>
  <si>
    <t>766 P&amp;C (Gybop Sytavu (10223416))</t>
  </si>
  <si>
    <t>Poland</t>
  </si>
  <si>
    <t>Joshuah</t>
  </si>
  <si>
    <t>Prohaska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</si>
  <si>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</si>
  <si>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</si>
  <si>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</si>
  <si>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</si>
  <si>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</si>
  <si>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</si>
  <si>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</si>
  <si>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</si>
  <si>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</si>
  <si>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</si>
  <si>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</si>
  <si>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</si>
  <si>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</si>
  <si>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</si>
  <si>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Part time</t>
  </si>
  <si>
    <t>ZasadniczaSzkołaZawodowa</t>
  </si>
  <si>
    <t xml:space="preserve">RE029_NEW2 </t>
  </si>
  <si>
    <t>5 Days (Poland)</t>
  </si>
  <si>
    <t>Automation Comments here….</t>
  </si>
  <si>
    <t>Permanent</t>
  </si>
  <si>
    <t>Active</t>
  </si>
  <si>
    <t>94 Retail Operative</t>
  </si>
  <si>
    <t>23 Health &amp; Beauty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</si>
  <si>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</si>
  <si>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</si>
  <si>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</si>
  <si>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</si>
  <si>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</si>
  <si>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</si>
  <si>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</si>
  <si>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</si>
  <si>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GSK567484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</si>
  <si>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</si>
  <si>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</si>
  <si>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</si>
  <si>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</si>
  <si>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</si>
  <si>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</si>
  <si>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</si>
  <si>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</si>
  <si>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</si>
  <si>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</si>
  <si>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</si>
  <si>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</si>
  <si>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Test_25</t>
  </si>
  <si>
    <t xml:space="preserve">Test failed for 'Lawrence Beier' Employee:{}TimeoutError: locator.click: Timeout 30000ms exceeded.
Call log:
  [2m- waiting for getByLabel('Work Shift')[22m
</t>
  </si>
  <si>
    <t>Failed</t>
  </si>
  <si>
    <t>Benny</t>
  </si>
  <si>
    <t>Trantow</t>
  </si>
  <si>
    <t>In-Store Visual Merchandising Assistant_NEW</t>
  </si>
  <si>
    <t>Full time</t>
  </si>
  <si>
    <t>N/A</t>
  </si>
  <si>
    <t>256 Visual Merchandising</t>
  </si>
  <si>
    <t>GHE456147</t>
  </si>
  <si>
    <t>Test_26</t>
  </si>
  <si>
    <t xml:space="preserve">Test failed for 'Ressie Leannon' Employee:{}TimeoutError: locator.click: Timeout 30000ms exceeded.
Call log:
  [2m- waiting for getByLabel('Work Shift')[22m
</t>
  </si>
  <si>
    <t>Ressie</t>
  </si>
  <si>
    <t>Leannon</t>
  </si>
  <si>
    <t>GHE456148</t>
  </si>
  <si>
    <t>Test_27</t>
  </si>
  <si>
    <t xml:space="preserve">Test failed for 'Emilie Torphy' Employee:{}TimeoutError: locator.click: Timeout 30000ms exceeded.
Call log:
  [2m- waiting for getByLabel('Work Shift')[22m
</t>
  </si>
  <si>
    <t>Emilie</t>
  </si>
  <si>
    <t>Torphy</t>
  </si>
  <si>
    <t>Open-ended</t>
  </si>
  <si>
    <t>GHE456149</t>
  </si>
  <si>
    <t>Test_28</t>
  </si>
  <si>
    <t xml:space="preserve">Test failed for 'Rudy Morar' Employee:{}TimeoutError: locator.click: Timeout 30000ms exceeded.
Call log:
  [2m- waiting for getByLabel('Work Shift')[22m
</t>
  </si>
  <si>
    <t>Rudy</t>
  </si>
  <si>
    <t>Morar</t>
  </si>
  <si>
    <t>GHE456150</t>
  </si>
  <si>
    <t>Test_29</t>
  </si>
  <si>
    <t>Test failed for 'Enid Reilly' Employee:{}TypeError: Cannot read properties of undefined (reading 'split')</t>
  </si>
  <si>
    <t>Enid</t>
  </si>
  <si>
    <t>Reilly</t>
  </si>
  <si>
    <t>Operational Support</t>
  </si>
  <si>
    <t>11 Household</t>
  </si>
  <si>
    <t>GHE456151</t>
  </si>
  <si>
    <t>Test_30</t>
  </si>
  <si>
    <t>Test failed for 'Ezequiel Williamson' Employee:{}TypeError: Cannot read properties of undefined (reading 'split')</t>
  </si>
  <si>
    <t>Ezequiel</t>
  </si>
  <si>
    <t>Williamson</t>
  </si>
  <si>
    <t>15 Childrens Accessories</t>
  </si>
  <si>
    <t>GHE456152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</si>
</sst>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8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indexed="8"/>
      <family val="2"/>
      <scheme val="minor"/>
      <sz val="16"/>
      <name val="Calibri"/>
    </font>
    <font>
      <b/>
      <family val="2"/>
      <scheme val="minor"/>
      <sz val="16"/>
      <name val="Calibri"/>
    </font>
    <font>
      <color rgb="FF000000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5" fillId="3" borderId="1" xfId="0" applyFont="1" applyFill="1" applyBorder="1" applyAlignment="1">
      <alignment horizontal="left"/>
    </xf>
    <xf numFmtId="15" fontId="16" fillId="0" borderId="1" xfId="0" applyNumberFormat="1" applyFont="1" applyBorder="1" applyAlignment="1">
      <alignment horizontal="left"/>
    </xf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selection activeCell="BL4" sqref="BL4"/>
    </sheetView>
  </sheetViews>
  <sheetFormatPr defaultRowHeight="14.5" outlineLevelRow="0" outlineLevelCol="0" x14ac:dyDescent="0.35" customHeight="1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ht="35" customHeight="1" spans="1:77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ht="52.5" customHeight="1" spans="1:77" x14ac:dyDescent="0.25">
      <c r="A2" t="s">
        <v>74</v>
      </c>
      <c r="B2" t="s">
        <v>75</v>
      </c>
      <c r="C2" s="1" t="s">
        <v>76</v>
      </c>
      <c r="D2" s="30" t="s">
        <v>77</v>
      </c>
      <c r="E2" t="s">
        <v>78</v>
      </c>
      <c r="F2" t="s">
        <v>79</v>
      </c>
      <c r="G2" t="s">
        <v>80</v>
      </c>
      <c r="H2" s="31" t="s">
        <v>81</v>
      </c>
      <c r="I2" s="32" t="s">
        <v>82</v>
      </c>
      <c r="J2" s="32" t="s">
        <v>83</v>
      </c>
      <c r="K2" s="33">
        <f t="shared" ref="K2:K3" si="0">TODAY()-31</f>
        <v>45692</v>
      </c>
      <c r="L2" s="34" t="s">
        <v>78</v>
      </c>
      <c r="M2" s="34" t="s">
        <v>84</v>
      </c>
      <c r="N2" s="32" t="s">
        <v>85</v>
      </c>
      <c r="O2" s="35" t="s">
        <v>86</v>
      </c>
      <c r="P2" s="34" t="s">
        <v>87</v>
      </c>
      <c r="Q2" s="34" t="s">
        <v>88</v>
      </c>
      <c r="R2" s="34" t="s">
        <v>88</v>
      </c>
      <c r="S2" s="34" t="s">
        <v>87</v>
      </c>
      <c r="T2" s="34" t="s">
        <v>83</v>
      </c>
      <c r="U2" s="34" t="s">
        <v>89</v>
      </c>
      <c r="V2" s="34" t="s">
        <v>90</v>
      </c>
      <c r="W2" s="34" t="s">
        <v>83</v>
      </c>
      <c r="X2" s="33">
        <f t="shared" ref="X2:X8" si="1">K2</f>
        <v>45692</v>
      </c>
      <c r="Y2" s="34" t="s">
        <v>91</v>
      </c>
      <c r="Z2" s="34" t="s">
        <v>92</v>
      </c>
      <c r="AA2" s="34" t="s">
        <v>93</v>
      </c>
      <c r="AB2" s="34" t="s">
        <v>94</v>
      </c>
      <c r="AC2" s="34" t="s">
        <v>95</v>
      </c>
      <c r="AD2" s="34">
        <v>766</v>
      </c>
      <c r="AE2" s="34" t="s">
        <v>71</v>
      </c>
      <c r="AF2" s="34">
        <v>20</v>
      </c>
      <c r="AG2" s="34" t="s">
        <v>88</v>
      </c>
      <c r="AH2" s="34" t="s">
        <v>96</v>
      </c>
      <c r="AI2" s="33">
        <v>43831</v>
      </c>
      <c r="AJ2" s="33">
        <v>45293</v>
      </c>
      <c r="AK2" s="34" t="s">
        <v>97</v>
      </c>
      <c r="AL2" s="34" t="s">
        <v>98</v>
      </c>
      <c r="AM2" s="36">
        <f t="shared" ref="AM2" si="2">TODAY()+365</f>
        <v>46088</v>
      </c>
      <c r="AN2" s="34">
        <v>110</v>
      </c>
      <c r="AO2" s="34" t="s">
        <v>99</v>
      </c>
      <c r="AP2" s="34" t="s">
        <v>100</v>
      </c>
      <c r="AQ2" s="34" t="s">
        <v>101</v>
      </c>
      <c r="AR2" s="33">
        <f t="shared" ref="AR2:AR8" si="3">X2</f>
        <v>45692</v>
      </c>
      <c r="AS2" s="33">
        <f t="shared" ref="AS2:AS8" si="4">X2</f>
        <v>45692</v>
      </c>
      <c r="AT2" s="36">
        <f t="shared" ref="AT2" si="5">TODAY()+365</f>
        <v>46088</v>
      </c>
      <c r="AU2" s="34" t="s">
        <v>102</v>
      </c>
      <c r="AV2" s="34" t="s">
        <v>103</v>
      </c>
      <c r="AW2" s="34" t="s">
        <v>104</v>
      </c>
      <c r="AX2" s="34" t="s">
        <v>105</v>
      </c>
      <c r="AY2" s="34" t="s">
        <v>106</v>
      </c>
      <c r="AZ2" s="34" t="s">
        <v>107</v>
      </c>
      <c r="BA2" s="34" t="s">
        <v>108</v>
      </c>
      <c r="BB2" s="34" t="s">
        <v>92</v>
      </c>
      <c r="BC2" s="34"/>
      <c r="BD2" s="31" t="s">
        <v>78</v>
      </c>
      <c r="BE2" s="34" t="s">
        <v>109</v>
      </c>
      <c r="BF2" s="15">
        <v>7477896627</v>
      </c>
      <c r="BG2" s="31" t="s">
        <v>78</v>
      </c>
      <c r="BH2" s="34" t="s">
        <v>110</v>
      </c>
      <c r="BI2" s="15">
        <v>57678965361</v>
      </c>
      <c r="BJ2" s="31" t="s">
        <v>78</v>
      </c>
      <c r="BK2" s="31" t="s">
        <v>111</v>
      </c>
      <c r="BL2" s="31" t="s">
        <v>112</v>
      </c>
      <c r="BM2" s="31" t="s">
        <v>113</v>
      </c>
      <c r="BN2" s="37">
        <v>35591</v>
      </c>
      <c r="BO2" s="31" t="s">
        <v>114</v>
      </c>
      <c r="BP2" s="31" t="s">
        <v>115</v>
      </c>
      <c r="BQ2" s="31" t="s">
        <v>116</v>
      </c>
      <c r="BR2" s="31" t="s">
        <v>117</v>
      </c>
      <c r="BS2" s="38" t="s">
        <v>118</v>
      </c>
      <c r="BT2" s="34" t="s">
        <v>119</v>
      </c>
      <c r="BU2" s="39" t="s">
        <v>120</v>
      </c>
      <c r="BV2" s="39" t="s">
        <v>121</v>
      </c>
      <c r="BW2" s="34" t="s">
        <v>122</v>
      </c>
      <c r="BX2" s="34" t="s">
        <v>123</v>
      </c>
      <c r="BY2" s="34" t="s">
        <v>124</v>
      </c>
    </row>
    <row r="3" ht="52.5" customHeight="1" spans="1:77" x14ac:dyDescent="0.25">
      <c r="A3" t="s">
        <v>125</v>
      </c>
      <c r="B3" t="s">
        <v>126</v>
      </c>
      <c r="C3" s="1" t="s">
        <v>127</v>
      </c>
      <c r="D3" s="30" t="s">
        <v>77</v>
      </c>
      <c r="E3" t="s">
        <v>78</v>
      </c>
      <c r="F3" t="s">
        <v>128</v>
      </c>
      <c r="G3" t="s">
        <v>129</v>
      </c>
      <c r="H3" s="34" t="s">
        <v>81</v>
      </c>
      <c r="I3" s="34" t="s">
        <v>82</v>
      </c>
      <c r="J3" s="34" t="s">
        <v>83</v>
      </c>
      <c r="K3" s="33">
        <f t="shared" si="0"/>
        <v>45692</v>
      </c>
      <c r="L3" s="34" t="s">
        <v>78</v>
      </c>
      <c r="M3" s="34" t="s">
        <v>84</v>
      </c>
      <c r="N3" s="34" t="s">
        <v>85</v>
      </c>
      <c r="O3" s="34" t="s">
        <v>86</v>
      </c>
      <c r="P3" s="34" t="s">
        <v>87</v>
      </c>
      <c r="Q3" s="34" t="s">
        <v>88</v>
      </c>
      <c r="R3" s="34" t="s">
        <v>88</v>
      </c>
      <c r="S3" s="34" t="s">
        <v>87</v>
      </c>
      <c r="T3" s="34" t="s">
        <v>83</v>
      </c>
      <c r="U3" s="34" t="s">
        <v>89</v>
      </c>
      <c r="V3" s="34" t="s">
        <v>90</v>
      </c>
      <c r="W3" s="34" t="s">
        <v>83</v>
      </c>
      <c r="X3" s="33">
        <f t="shared" si="1"/>
        <v>45692</v>
      </c>
      <c r="Y3" s="34" t="s">
        <v>91</v>
      </c>
      <c r="Z3" s="34" t="s">
        <v>92</v>
      </c>
      <c r="AA3" s="34" t="s">
        <v>93</v>
      </c>
      <c r="AB3" t="s">
        <v>130</v>
      </c>
      <c r="AC3" s="34" t="s">
        <v>131</v>
      </c>
      <c r="AD3" s="34">
        <v>766</v>
      </c>
      <c r="AE3" s="34" t="s">
        <v>71</v>
      </c>
      <c r="AF3" s="34">
        <v>40</v>
      </c>
      <c r="AG3" s="34" t="s">
        <v>88</v>
      </c>
      <c r="AH3" s="34" t="s">
        <v>96</v>
      </c>
      <c r="AI3" s="33">
        <v>43831</v>
      </c>
      <c r="AJ3" s="33">
        <v>45293</v>
      </c>
      <c r="AK3" s="34" t="s">
        <v>97</v>
      </c>
      <c r="AL3" s="34" t="s">
        <v>98</v>
      </c>
      <c r="AM3" s="33">
        <f t="shared" ref="AM3:AM5" si="6">TODAY()+365</f>
        <v>46088</v>
      </c>
      <c r="AN3" s="34">
        <v>110</v>
      </c>
      <c r="AO3" s="34" t="s">
        <v>99</v>
      </c>
      <c r="AP3" s="34" t="s">
        <v>100</v>
      </c>
      <c r="AQ3" s="34" t="s">
        <v>101</v>
      </c>
      <c r="AR3" s="33">
        <f t="shared" si="3"/>
        <v>45692</v>
      </c>
      <c r="AS3" s="33">
        <f t="shared" si="4"/>
        <v>45692</v>
      </c>
      <c r="AT3" s="33" t="s">
        <v>132</v>
      </c>
      <c r="AU3" s="34" t="s">
        <v>102</v>
      </c>
      <c r="AV3" s="34" t="s">
        <v>133</v>
      </c>
      <c r="AW3" s="34" t="s">
        <v>104</v>
      </c>
      <c r="AX3" s="34" t="s">
        <v>105</v>
      </c>
      <c r="AY3" s="34" t="s">
        <v>106</v>
      </c>
      <c r="AZ3" s="34" t="s">
        <v>107</v>
      </c>
      <c r="BA3" s="34" t="s">
        <v>108</v>
      </c>
      <c r="BB3" s="34" t="s">
        <v>92</v>
      </c>
      <c r="BC3" s="34"/>
      <c r="BD3" s="31" t="s">
        <v>78</v>
      </c>
      <c r="BE3" s="34" t="s">
        <v>109</v>
      </c>
      <c r="BF3" s="15">
        <v>9477896635</v>
      </c>
      <c r="BG3" s="31" t="s">
        <v>78</v>
      </c>
      <c r="BH3" s="34" t="s">
        <v>110</v>
      </c>
      <c r="BI3" s="15">
        <v>47678965369</v>
      </c>
      <c r="BJ3" s="31" t="s">
        <v>78</v>
      </c>
      <c r="BK3" s="31" t="s">
        <v>111</v>
      </c>
      <c r="BL3" s="31" t="s">
        <v>134</v>
      </c>
      <c r="BM3" s="31" t="s">
        <v>113</v>
      </c>
      <c r="BN3" s="37">
        <v>35591</v>
      </c>
      <c r="BO3" s="31" t="s">
        <v>114</v>
      </c>
      <c r="BP3" s="31" t="s">
        <v>115</v>
      </c>
      <c r="BQ3" s="31" t="s">
        <v>116</v>
      </c>
      <c r="BR3" s="31" t="s">
        <v>117</v>
      </c>
      <c r="BS3" s="38" t="s">
        <v>118</v>
      </c>
      <c r="BT3" s="34" t="s">
        <v>119</v>
      </c>
      <c r="BU3" s="39" t="s">
        <v>120</v>
      </c>
      <c r="BV3" s="39" t="s">
        <v>121</v>
      </c>
      <c r="BW3" s="34" t="s">
        <v>122</v>
      </c>
      <c r="BX3" s="34" t="s">
        <v>123</v>
      </c>
      <c r="BY3" s="34" t="s">
        <v>124</v>
      </c>
    </row>
    <row r="4" ht="54" customHeight="1" spans="1:77" x14ac:dyDescent="0.25">
      <c r="A4" t="s">
        <v>135</v>
      </c>
      <c r="B4" t="s">
        <v>136</v>
      </c>
      <c r="C4" s="1" t="s">
        <v>127</v>
      </c>
      <c r="D4" s="30" t="s">
        <v>77</v>
      </c>
      <c r="E4" t="s">
        <v>78</v>
      </c>
      <c r="F4" t="s">
        <v>137</v>
      </c>
      <c r="G4" t="s">
        <v>138</v>
      </c>
      <c r="H4" s="34" t="s">
        <v>81</v>
      </c>
      <c r="I4" s="34" t="s">
        <v>82</v>
      </c>
      <c r="J4" s="34" t="s">
        <v>83</v>
      </c>
      <c r="K4" s="33">
        <f>TODAY()+91</f>
        <v>45814</v>
      </c>
      <c r="L4" s="34" t="s">
        <v>78</v>
      </c>
      <c r="M4" s="34" t="s">
        <v>84</v>
      </c>
      <c r="N4" s="34" t="s">
        <v>85</v>
      </c>
      <c r="O4" s="34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si="1"/>
        <v>45814</v>
      </c>
      <c r="Y4" s="34" t="s">
        <v>91</v>
      </c>
      <c r="Z4" s="34" t="s">
        <v>92</v>
      </c>
      <c r="AA4" s="34" t="s">
        <v>93</v>
      </c>
      <c r="AB4" t="s">
        <v>130</v>
      </c>
      <c r="AC4" s="34" t="s">
        <v>95</v>
      </c>
      <c r="AD4" s="34">
        <v>766</v>
      </c>
      <c r="AE4" s="34" t="s">
        <v>71</v>
      </c>
      <c r="AF4" s="34">
        <v>20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97</v>
      </c>
      <c r="AL4" s="34" t="s">
        <v>98</v>
      </c>
      <c r="AM4" s="33">
        <f t="shared" si="6"/>
        <v>46088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t="shared" si="3"/>
        <v>45814</v>
      </c>
      <c r="AS4" s="33">
        <f t="shared" si="4"/>
        <v>45814</v>
      </c>
      <c r="AT4" s="33" t="s">
        <v>132</v>
      </c>
      <c r="AU4" s="34" t="s">
        <v>102</v>
      </c>
      <c r="AV4" s="34" t="s">
        <v>133</v>
      </c>
      <c r="AW4" s="34" t="s">
        <v>104</v>
      </c>
      <c r="AX4" s="34" t="s">
        <v>105</v>
      </c>
      <c r="AY4" s="34" t="s">
        <v>106</v>
      </c>
      <c r="AZ4" s="34" t="s">
        <v>107</v>
      </c>
      <c r="BA4" s="34" t="s">
        <v>108</v>
      </c>
      <c r="BB4" s="34" t="s">
        <v>92</v>
      </c>
      <c r="BC4" s="34"/>
      <c r="BD4" s="31" t="s">
        <v>78</v>
      </c>
      <c r="BE4" s="34" t="s">
        <v>109</v>
      </c>
      <c r="BF4" s="40">
        <v>9477896636</v>
      </c>
      <c r="BG4" s="31" t="s">
        <v>78</v>
      </c>
      <c r="BH4" s="34" t="s">
        <v>110</v>
      </c>
      <c r="BI4" s="40">
        <v>47678965370</v>
      </c>
      <c r="BJ4" s="31" t="s">
        <v>78</v>
      </c>
      <c r="BK4" s="31" t="s">
        <v>111</v>
      </c>
      <c r="BL4" s="40" t="s">
        <v>139</v>
      </c>
      <c r="BM4" s="31" t="s">
        <v>113</v>
      </c>
      <c r="BN4" s="37">
        <v>35591</v>
      </c>
      <c r="BO4" s="31" t="s">
        <v>114</v>
      </c>
      <c r="BP4" s="41" t="s">
        <v>132</v>
      </c>
      <c r="BQ4" s="31" t="s">
        <v>116</v>
      </c>
      <c r="BR4" s="31" t="s">
        <v>117</v>
      </c>
      <c r="BS4" s="38" t="s">
        <v>118</v>
      </c>
      <c r="BT4" s="34" t="s">
        <v>119</v>
      </c>
      <c r="BU4" s="39" t="s">
        <v>120</v>
      </c>
      <c r="BV4" s="39" t="s">
        <v>121</v>
      </c>
      <c r="BW4" s="34" t="s">
        <v>122</v>
      </c>
      <c r="BX4" s="34" t="s">
        <v>123</v>
      </c>
      <c r="BY4" s="34" t="s">
        <v>124</v>
      </c>
    </row>
    <row r="5" ht="52.5" customHeight="1" spans="1:77" x14ac:dyDescent="0.25">
      <c r="A5" t="s">
        <v>140</v>
      </c>
      <c r="B5" t="s">
        <v>141</v>
      </c>
      <c r="C5" s="1" t="s">
        <v>127</v>
      </c>
      <c r="D5" s="30" t="s">
        <v>77</v>
      </c>
      <c r="E5" t="s">
        <v>78</v>
      </c>
      <c r="F5" t="s">
        <v>142</v>
      </c>
      <c r="G5" t="s">
        <v>143</v>
      </c>
      <c r="H5" s="34" t="s">
        <v>81</v>
      </c>
      <c r="I5" s="34" t="s">
        <v>82</v>
      </c>
      <c r="J5" s="34" t="s">
        <v>83</v>
      </c>
      <c r="K5" s="33">
        <f>TODAY()-31</f>
        <v>45692</v>
      </c>
      <c r="L5" s="34" t="s">
        <v>78</v>
      </c>
      <c r="M5" s="34" t="s">
        <v>84</v>
      </c>
      <c r="N5" s="34" t="s">
        <v>85</v>
      </c>
      <c r="O5" s="34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si="1"/>
        <v>45692</v>
      </c>
      <c r="Y5" s="34" t="s">
        <v>91</v>
      </c>
      <c r="Z5" s="34" t="s">
        <v>92</v>
      </c>
      <c r="AA5" s="34" t="s">
        <v>100</v>
      </c>
      <c r="AB5" t="s">
        <v>130</v>
      </c>
      <c r="AC5" s="34" t="s">
        <v>131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si="6"/>
        <v>46088</v>
      </c>
      <c r="AN5" s="34">
        <v>110</v>
      </c>
      <c r="AO5" s="34" t="s">
        <v>99</v>
      </c>
      <c r="AP5" s="34" t="s">
        <v>144</v>
      </c>
      <c r="AQ5" s="34" t="s">
        <v>101</v>
      </c>
      <c r="AR5" s="33">
        <f t="shared" si="3"/>
        <v>45692</v>
      </c>
      <c r="AS5" s="33">
        <f t="shared" si="4"/>
        <v>45692</v>
      </c>
      <c r="AT5" s="33" t="s">
        <v>132</v>
      </c>
      <c r="AU5" s="34" t="s">
        <v>102</v>
      </c>
      <c r="AV5" s="34" t="s">
        <v>133</v>
      </c>
      <c r="AW5" s="34" t="s">
        <v>104</v>
      </c>
      <c r="AX5" s="34" t="s">
        <v>105</v>
      </c>
      <c r="AY5" s="34" t="s">
        <v>106</v>
      </c>
      <c r="AZ5" s="34" t="s">
        <v>107</v>
      </c>
      <c r="BA5" s="34" t="s">
        <v>108</v>
      </c>
      <c r="BB5" s="34" t="s">
        <v>92</v>
      </c>
      <c r="BC5" s="34"/>
      <c r="BD5" s="31" t="s">
        <v>78</v>
      </c>
      <c r="BE5" s="34" t="s">
        <v>109</v>
      </c>
      <c r="BF5" s="15">
        <v>9477896637</v>
      </c>
      <c r="BG5" s="31" t="s">
        <v>78</v>
      </c>
      <c r="BH5" s="34" t="s">
        <v>110</v>
      </c>
      <c r="BI5" s="15">
        <v>47678965371</v>
      </c>
      <c r="BJ5" s="31" t="s">
        <v>78</v>
      </c>
      <c r="BK5" s="31" t="s">
        <v>111</v>
      </c>
      <c r="BL5" s="31" t="s">
        <v>145</v>
      </c>
      <c r="BM5" s="31" t="s">
        <v>113</v>
      </c>
      <c r="BN5" s="37">
        <v>35591</v>
      </c>
      <c r="BO5" s="31" t="s">
        <v>114</v>
      </c>
      <c r="BP5" s="31" t="s">
        <v>115</v>
      </c>
      <c r="BQ5" s="31" t="s">
        <v>116</v>
      </c>
      <c r="BR5" s="31" t="s">
        <v>117</v>
      </c>
      <c r="BS5" s="38" t="s">
        <v>118</v>
      </c>
      <c r="BT5" s="34" t="s">
        <v>119</v>
      </c>
      <c r="BU5" s="39" t="s">
        <v>120</v>
      </c>
      <c r="BV5" s="39" t="s">
        <v>121</v>
      </c>
      <c r="BW5" s="34" t="s">
        <v>122</v>
      </c>
      <c r="BX5" s="34" t="s">
        <v>123</v>
      </c>
      <c r="BY5" s="34" t="s">
        <v>124</v>
      </c>
    </row>
    <row r="6" ht="54" customHeight="1" spans="1:77" x14ac:dyDescent="0.25">
      <c r="A6" t="s">
        <v>146</v>
      </c>
      <c r="B6" t="s">
        <v>147</v>
      </c>
      <c r="C6" s="1" t="s">
        <v>127</v>
      </c>
      <c r="D6" s="30" t="s">
        <v>77</v>
      </c>
      <c r="E6" t="s">
        <v>78</v>
      </c>
      <c r="F6" t="s">
        <v>148</v>
      </c>
      <c r="G6" t="s">
        <v>149</v>
      </c>
      <c r="H6" s="34" t="s">
        <v>81</v>
      </c>
      <c r="I6" s="34" t="s">
        <v>82</v>
      </c>
      <c r="J6" s="34" t="s">
        <v>83</v>
      </c>
      <c r="K6" s="33">
        <f>TODAY()+91</f>
        <v>45814</v>
      </c>
      <c r="L6" s="34" t="s">
        <v>78</v>
      </c>
      <c r="M6" s="34" t="s">
        <v>84</v>
      </c>
      <c r="N6" s="34" t="s">
        <v>85</v>
      </c>
      <c r="O6" s="34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si="1"/>
        <v>45814</v>
      </c>
      <c r="Y6" s="34" t="s">
        <v>91</v>
      </c>
      <c r="Z6" s="34" t="s">
        <v>92</v>
      </c>
      <c r="AA6" s="34" t="s">
        <v>93</v>
      </c>
      <c r="AB6" t="s">
        <v>130</v>
      </c>
      <c r="AC6" s="34" t="s">
        <v>131</v>
      </c>
      <c r="AD6" s="34">
        <v>766</v>
      </c>
      <c r="AE6" s="34" t="s">
        <v>71</v>
      </c>
      <c r="AF6" s="34">
        <v>40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97</v>
      </c>
      <c r="AL6" s="34" t="s">
        <v>98</v>
      </c>
      <c r="AM6" s="33" t="s">
        <v>132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t="shared" si="3"/>
        <v>45814</v>
      </c>
      <c r="AS6" s="33">
        <f t="shared" si="4"/>
        <v>45814</v>
      </c>
      <c r="AT6" s="33" t="s">
        <v>132</v>
      </c>
      <c r="AU6" s="34" t="s">
        <v>102</v>
      </c>
      <c r="AV6" s="34" t="s">
        <v>133</v>
      </c>
      <c r="AW6" s="34" t="s">
        <v>104</v>
      </c>
      <c r="AX6" s="34" t="s">
        <v>105</v>
      </c>
      <c r="AY6" s="34" t="s">
        <v>106</v>
      </c>
      <c r="AZ6" s="34" t="s">
        <v>107</v>
      </c>
      <c r="BA6" s="34" t="s">
        <v>108</v>
      </c>
      <c r="BB6" s="34" t="s">
        <v>92</v>
      </c>
      <c r="BC6" s="34"/>
      <c r="BD6" s="31" t="s">
        <v>78</v>
      </c>
      <c r="BE6" s="34" t="s">
        <v>109</v>
      </c>
      <c r="BF6" s="40">
        <v>9477896638</v>
      </c>
      <c r="BG6" s="31" t="s">
        <v>78</v>
      </c>
      <c r="BH6" s="34" t="s">
        <v>110</v>
      </c>
      <c r="BI6" s="40">
        <v>47678965372</v>
      </c>
      <c r="BJ6" s="31" t="s">
        <v>78</v>
      </c>
      <c r="BK6" s="31" t="s">
        <v>111</v>
      </c>
      <c r="BL6" s="40" t="s">
        <v>150</v>
      </c>
      <c r="BM6" s="31" t="s">
        <v>113</v>
      </c>
      <c r="BN6" s="37">
        <v>35591</v>
      </c>
      <c r="BO6" s="31" t="s">
        <v>114</v>
      </c>
      <c r="BP6" s="41" t="s">
        <v>132</v>
      </c>
      <c r="BQ6" s="31" t="s">
        <v>116</v>
      </c>
      <c r="BR6" s="31" t="s">
        <v>117</v>
      </c>
      <c r="BS6" s="38" t="s">
        <v>118</v>
      </c>
      <c r="BT6" s="34" t="s">
        <v>119</v>
      </c>
      <c r="BU6" s="39" t="s">
        <v>120</v>
      </c>
      <c r="BV6" s="39" t="s">
        <v>121</v>
      </c>
      <c r="BW6" s="34" t="s">
        <v>122</v>
      </c>
      <c r="BX6" s="34" t="s">
        <v>123</v>
      </c>
      <c r="BY6" s="34" t="s">
        <v>124</v>
      </c>
    </row>
    <row r="7" ht="52.5" customHeight="1" spans="1:77" x14ac:dyDescent="0.25">
      <c r="A7" t="s">
        <v>151</v>
      </c>
      <c r="B7" t="s">
        <v>152</v>
      </c>
      <c r="C7" s="1" t="s">
        <v>127</v>
      </c>
      <c r="D7" s="30" t="s">
        <v>77</v>
      </c>
      <c r="E7" t="s">
        <v>78</v>
      </c>
      <c r="F7" t="s">
        <v>153</v>
      </c>
      <c r="G7" t="s">
        <v>154</v>
      </c>
      <c r="H7" s="34" t="s">
        <v>81</v>
      </c>
      <c r="I7" s="34" t="s">
        <v>82</v>
      </c>
      <c r="J7" s="34" t="s">
        <v>83</v>
      </c>
      <c r="K7" s="33">
        <f>TODAY()-31</f>
        <v>45692</v>
      </c>
      <c r="L7" s="34" t="s">
        <v>78</v>
      </c>
      <c r="M7" s="34" t="s">
        <v>84</v>
      </c>
      <c r="N7" s="34" t="s">
        <v>85</v>
      </c>
      <c r="O7" s="34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si="1"/>
        <v>45692</v>
      </c>
      <c r="Y7" s="34" t="s">
        <v>91</v>
      </c>
      <c r="Z7" s="34" t="s">
        <v>92</v>
      </c>
      <c r="AA7" s="34" t="s">
        <v>93</v>
      </c>
      <c r="AB7" s="42" t="s">
        <v>155</v>
      </c>
      <c r="AC7" s="34" t="s">
        <v>131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97</v>
      </c>
      <c r="AL7" s="34" t="s">
        <v>98</v>
      </c>
      <c r="AM7" s="33">
        <f>TODAY()+365</f>
        <v>46088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si="3"/>
        <v>45692</v>
      </c>
      <c r="AS7" s="33">
        <f t="shared" si="4"/>
        <v>45692</v>
      </c>
      <c r="AT7" s="33">
        <f>TODAY()+365</f>
        <v>46088</v>
      </c>
      <c r="AU7" s="34" t="s">
        <v>102</v>
      </c>
      <c r="AV7" s="34" t="s">
        <v>156</v>
      </c>
      <c r="AW7" s="34" t="s">
        <v>104</v>
      </c>
      <c r="AX7" s="34" t="s">
        <v>105</v>
      </c>
      <c r="AY7" s="34" t="s">
        <v>106</v>
      </c>
      <c r="AZ7" s="34" t="s">
        <v>107</v>
      </c>
      <c r="BA7" s="34" t="s">
        <v>108</v>
      </c>
      <c r="BB7" s="34" t="s">
        <v>92</v>
      </c>
      <c r="BC7" s="34"/>
      <c r="BD7" s="31" t="s">
        <v>78</v>
      </c>
      <c r="BE7" s="34" t="s">
        <v>109</v>
      </c>
      <c r="BF7" s="15">
        <v>9477896639</v>
      </c>
      <c r="BG7" s="31" t="s">
        <v>78</v>
      </c>
      <c r="BH7" s="34" t="s">
        <v>110</v>
      </c>
      <c r="BI7" s="15">
        <v>47678965373</v>
      </c>
      <c r="BJ7" s="31" t="s">
        <v>78</v>
      </c>
      <c r="BK7" s="31" t="s">
        <v>111</v>
      </c>
      <c r="BL7" s="31" t="s">
        <v>157</v>
      </c>
      <c r="BM7" s="31" t="s">
        <v>113</v>
      </c>
      <c r="BN7" s="37">
        <v>35591</v>
      </c>
      <c r="BO7" s="31" t="s">
        <v>114</v>
      </c>
      <c r="BP7" s="31" t="s">
        <v>115</v>
      </c>
      <c r="BQ7" s="31" t="s">
        <v>116</v>
      </c>
      <c r="BR7" s="31" t="s">
        <v>117</v>
      </c>
      <c r="BS7" s="38" t="s">
        <v>118</v>
      </c>
      <c r="BT7" s="34" t="s">
        <v>119</v>
      </c>
      <c r="BU7" s="39" t="s">
        <v>120</v>
      </c>
      <c r="BV7" s="39" t="s">
        <v>121</v>
      </c>
      <c r="BW7" s="34" t="s">
        <v>122</v>
      </c>
      <c r="BX7" s="34" t="s">
        <v>123</v>
      </c>
      <c r="BY7" s="34" t="s">
        <v>124</v>
      </c>
    </row>
    <row r="8" ht="54" customHeight="1" spans="1:77" x14ac:dyDescent="0.25">
      <c r="A8" t="s">
        <v>158</v>
      </c>
      <c r="B8" t="s">
        <v>159</v>
      </c>
      <c r="C8" s="1" t="s">
        <v>127</v>
      </c>
      <c r="D8" s="30" t="s">
        <v>77</v>
      </c>
      <c r="E8" t="s">
        <v>78</v>
      </c>
      <c r="F8" t="s">
        <v>160</v>
      </c>
      <c r="G8" t="s">
        <v>161</v>
      </c>
      <c r="H8" s="34" t="s">
        <v>81</v>
      </c>
      <c r="I8" s="34" t="s">
        <v>82</v>
      </c>
      <c r="J8" s="34" t="s">
        <v>83</v>
      </c>
      <c r="K8" s="33">
        <f>TODAY()-31</f>
        <v>45692</v>
      </c>
      <c r="L8" s="34" t="s">
        <v>78</v>
      </c>
      <c r="M8" s="34" t="s">
        <v>84</v>
      </c>
      <c r="N8" s="34" t="s">
        <v>85</v>
      </c>
      <c r="O8" s="34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si="1"/>
        <v>45692</v>
      </c>
      <c r="Y8" s="34" t="s">
        <v>91</v>
      </c>
      <c r="Z8" s="34" t="s">
        <v>92</v>
      </c>
      <c r="AA8" s="34" t="s">
        <v>93</v>
      </c>
      <c r="AB8" s="42" t="s">
        <v>155</v>
      </c>
      <c r="AC8" s="34" t="s">
        <v>95</v>
      </c>
      <c r="AD8" s="34">
        <v>766</v>
      </c>
      <c r="AE8" s="34" t="s">
        <v>71</v>
      </c>
      <c r="AF8" s="34">
        <v>20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97</v>
      </c>
      <c r="AL8" s="34" t="s">
        <v>98</v>
      </c>
      <c r="AM8" s="33">
        <f>TODAY()+365</f>
        <v>46088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si="3"/>
        <v>45692</v>
      </c>
      <c r="AS8" s="33">
        <f t="shared" si="4"/>
        <v>45692</v>
      </c>
      <c r="AT8" s="33">
        <f>TODAY()+365</f>
        <v>46088</v>
      </c>
      <c r="AU8" s="34" t="s">
        <v>102</v>
      </c>
      <c r="AV8" s="34" t="s">
        <v>162</v>
      </c>
      <c r="AW8" s="34" t="s">
        <v>104</v>
      </c>
      <c r="AX8" s="34" t="s">
        <v>105</v>
      </c>
      <c r="AY8" s="34" t="s">
        <v>106</v>
      </c>
      <c r="AZ8" s="34" t="s">
        <v>107</v>
      </c>
      <c r="BA8" s="34" t="s">
        <v>108</v>
      </c>
      <c r="BB8" s="34" t="s">
        <v>92</v>
      </c>
      <c r="BC8" s="34"/>
      <c r="BD8" s="31" t="s">
        <v>78</v>
      </c>
      <c r="BE8" s="34" t="s">
        <v>109</v>
      </c>
      <c r="BF8" s="40">
        <v>9477896640</v>
      </c>
      <c r="BG8" s="31" t="s">
        <v>78</v>
      </c>
      <c r="BH8" s="34" t="s">
        <v>110</v>
      </c>
      <c r="BI8" s="40">
        <v>47678965374</v>
      </c>
      <c r="BJ8" s="31" t="s">
        <v>78</v>
      </c>
      <c r="BK8" s="31" t="s">
        <v>111</v>
      </c>
      <c r="BL8" s="40" t="s">
        <v>163</v>
      </c>
      <c r="BM8" s="31" t="s">
        <v>113</v>
      </c>
      <c r="BN8" s="37">
        <v>35591</v>
      </c>
      <c r="BO8" s="31" t="s">
        <v>114</v>
      </c>
      <c r="BP8" s="41" t="s">
        <v>132</v>
      </c>
      <c r="BQ8" s="31" t="s">
        <v>116</v>
      </c>
      <c r="BR8" s="31" t="s">
        <v>117</v>
      </c>
      <c r="BS8" s="38" t="s">
        <v>118</v>
      </c>
      <c r="BT8" s="34" t="s">
        <v>119</v>
      </c>
      <c r="BU8" s="39" t="s">
        <v>120</v>
      </c>
      <c r="BV8" s="39" t="s">
        <v>121</v>
      </c>
      <c r="BW8" s="34" t="s">
        <v>122</v>
      </c>
      <c r="BX8" s="34" t="s">
        <v>123</v>
      </c>
      <c r="BY8" s="34" t="s">
        <v>124</v>
      </c>
    </row>
  </sheetData>
  <autoFilter ref="A1:BY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2025-03-07T08:50:05Z</dcterms:modified>
</cp:coreProperties>
</file>