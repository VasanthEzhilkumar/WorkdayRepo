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Sheet1!$A$1:$CU$79</definedName>
  </definedNames>
  <calcPr calcId="171027"/>
</workbook>
</file>

<file path=xl/sharedStrings.xml><?xml version="1.0" encoding="utf-8"?>
<sst xmlns="http://schemas.openxmlformats.org/spreadsheetml/2006/main" count="6437" uniqueCount="503">
  <si>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</si>
  <si>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</si>
  <si>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</si>
  <si>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</si>
  <si>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</si>
  <si>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</si>
  <si>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</si>
  <si>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</si>
  <si>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</si>
  <si>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</si>
  <si>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</si>
  <si>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</si>
  <si>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</si>
  <si>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</si>
  <si>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</si>
  <si>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</si>
  <si>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</si>
  <si>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</si>
  <si>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</si>
  <si>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</si>
  <si>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</si>
  <si>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</si>
  <si>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</si>
  <si>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</si>
  <si>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</si>
  <si>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</si>
  <si>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</si>
  <si>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</si>
  <si>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</si>
  <si>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</si>
  <si>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</si>
  <si>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</si>
  <si>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</si>
  <si>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</si>
  <si>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</si>
  <si>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</si>
  <si>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</si>
  <si>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</si>
  <si>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</si>
  <si>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</si>
  <si>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</si>
  <si>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</si>
  <si>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</si>
  <si>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</si>
  <si>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</si>
  <si>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</si>
  <si>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</si>
  <si>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</si>
  <si>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</si>
  <si>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</si>
  <si>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</si>
  <si>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</si>
  <si>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</si>
  <si>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</si>
  <si>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</si>
  <si>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</si>
  <si>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</si>
  <si>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</si>
  <si>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</si>
  <si>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</si>
  <si>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</si>
  <si>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</si>
  <si>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</si>
  <si>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</si>
  <si>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</si>
  <si>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</si>
  <si>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</si>
  <si>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</si>
  <si>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</si>
  <si>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</si>
  <si>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</si>
  <si>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</si>
  <si>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</si>
  <si>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</si>
  <si>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</si>
  <si>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</si>
  <si>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</si>
  <si>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</si>
  <si>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</si>
  <si>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</si>
  <si>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</si>
  <si>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</si>
  <si>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</si>
  <si>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</si>
  <si>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</si>
  <si>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</si>
  <si>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</si>
  <si>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</si>
  <si>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</si>
  <si>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</si>
  <si>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</si>
  <si>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</si>
  <si>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</si>
  <si>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</si>
  <si>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</si>
  <si>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Passed</t>
  </si>
  <si>
    <t>970 Recruitment (Hungary PCManager (10698631))</t>
  </si>
  <si>
    <t>Hungary</t>
  </si>
  <si>
    <t>HUSITRAOneB</t>
  </si>
  <si>
    <t>HUSITone</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</si>
  <si>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</si>
  <si>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</si>
  <si>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</si>
  <si>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</si>
  <si>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</si>
  <si>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</si>
  <si>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</si>
  <si>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</si>
  <si>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</si>
  <si>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</si>
  <si>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</si>
  <si>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</si>
  <si>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</si>
  <si>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</si>
  <si>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</si>
  <si>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</si>
  <si>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Part Time</t>
  </si>
  <si>
    <t>IRREGULAR - Irregular Shift Pattern (Hungary Regular &amp; Irregular Shift Pattern-Hungary)</t>
  </si>
  <si>
    <t>5 Days</t>
  </si>
  <si>
    <t>Automation Comments here….</t>
  </si>
  <si>
    <t xml:space="preserve">94 Retail Operatives </t>
  </si>
  <si>
    <t>16 Men’s Accessories</t>
  </si>
  <si>
    <t>HU Monthly</t>
  </si>
  <si>
    <t>Yes</t>
  </si>
  <si>
    <t>No</t>
  </si>
  <si>
    <t xml:space="preserve">Defaulted
</t>
  </si>
  <si>
    <t>Fixed Term</t>
  </si>
  <si>
    <t>Active</t>
  </si>
  <si>
    <t>Social Security (TAJ) Number</t>
  </si>
  <si>
    <t>645696250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</si>
  <si>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</si>
  <si>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</si>
  <si>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</si>
  <si>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</si>
  <si>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</si>
  <si>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</si>
  <si>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</si>
  <si>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</si>
  <si>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</si>
  <si>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</si>
  <si>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</si>
  <si>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</si>
  <si>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</si>
  <si>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</si>
  <si>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</si>
  <si>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</si>
  <si>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</si>
  <si>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</si>
  <si>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</si>
  <si>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</si>
  <si>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</si>
  <si>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</si>
  <si>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HUSITRATwo</t>
  </si>
  <si>
    <t>HUSIT</t>
  </si>
  <si>
    <t>B</t>
  </si>
  <si>
    <t>F</t>
  </si>
  <si>
    <t>635696251</t>
  </si>
  <si>
    <t>Female</t>
  </si>
  <si>
    <t>0000000098624423</t>
  </si>
  <si>
    <t>AutoMaiden</t>
  </si>
  <si>
    <t>Child</t>
  </si>
  <si>
    <t>ChildOne</t>
  </si>
  <si>
    <t>Mammy</t>
  </si>
  <si>
    <t>Test_3</t>
  </si>
  <si>
    <t>HUSITRAThreeD</t>
  </si>
  <si>
    <t>05 Children's Wear</t>
  </si>
  <si>
    <t>635696252</t>
  </si>
  <si>
    <t>Test_4</t>
  </si>
  <si>
    <t>10698649</t>
  </si>
  <si>
    <t>HUSITRAFourA</t>
  </si>
  <si>
    <t>REGULAR - Regular Shift Pattern (Hungary Regular &amp; Irregular Shift Pattern-Hungary)</t>
  </si>
  <si>
    <t>635696253</t>
  </si>
  <si>
    <t>Test_5</t>
  </si>
  <si>
    <t>10698650</t>
  </si>
  <si>
    <t>HUSITRAFive</t>
  </si>
  <si>
    <t>635696154</t>
  </si>
  <si>
    <t>Test_6</t>
  </si>
  <si>
    <t>10698677</t>
  </si>
  <si>
    <t>HUSITRASix</t>
  </si>
  <si>
    <t>HUSITOne</t>
  </si>
  <si>
    <t>635696155</t>
  </si>
  <si>
    <t>Test_7</t>
  </si>
  <si>
    <t>10698688</t>
  </si>
  <si>
    <t>HUSITRASeven</t>
  </si>
  <si>
    <t>HUSITRerun</t>
  </si>
  <si>
    <t>02 Hosiery</t>
  </si>
  <si>
    <t>635696356</t>
  </si>
  <si>
    <t>Test_8</t>
  </si>
  <si>
    <t>10698652</t>
  </si>
  <si>
    <t>HUSITRAEight</t>
  </si>
  <si>
    <t>635696157</t>
  </si>
  <si>
    <t>Test_9</t>
  </si>
  <si>
    <t>10698690</t>
  </si>
  <si>
    <t>HUSITRANine</t>
  </si>
  <si>
    <t>635696158</t>
  </si>
  <si>
    <t>Test_10</t>
  </si>
  <si>
    <t>10698678</t>
  </si>
  <si>
    <t>HUSITRATen</t>
  </si>
  <si>
    <t>635696159</t>
  </si>
  <si>
    <t>Test_11</t>
  </si>
  <si>
    <t>10698691</t>
  </si>
  <si>
    <t>HUSITRAOneA</t>
  </si>
  <si>
    <t>635696160</t>
  </si>
  <si>
    <t>Test_12</t>
  </si>
  <si>
    <t>10698692</t>
  </si>
  <si>
    <t>HUSITRATwoA</t>
  </si>
  <si>
    <t>635696161</t>
  </si>
  <si>
    <t>Test_13</t>
  </si>
  <si>
    <t>10698653</t>
  </si>
  <si>
    <t>HUSITRAThreeA</t>
  </si>
  <si>
    <t>HUSITStock</t>
  </si>
  <si>
    <t>Retail Assistant Stockroom_NEW</t>
  </si>
  <si>
    <t>255 Stockroom</t>
  </si>
  <si>
    <t>635696162</t>
  </si>
  <si>
    <t>Test_14</t>
  </si>
  <si>
    <t>10698654</t>
  </si>
  <si>
    <t>635696163</t>
  </si>
  <si>
    <t>Test_15</t>
  </si>
  <si>
    <t>10698693</t>
  </si>
  <si>
    <t>HUSITRAFiveA</t>
  </si>
  <si>
    <t>HUSITStockRerun</t>
  </si>
  <si>
    <t>635696164</t>
  </si>
  <si>
    <t>Test_16</t>
  </si>
  <si>
    <t>Test failed for 'HUSITStockRerun HUSITRASixA' Employee: Errors and AlertsErrorsAlertNational IDs (Row 1)This national identifier you entered is already in use. Verify that the information is accurate. &amp; find failed Screenshot Path:-&gt;H:\WDplaywright_LatestCode/WorkdayFailedScreenshot/2025-04-24T08-12-41-474Z.png</t>
  </si>
  <si>
    <t>Failed</t>
  </si>
  <si>
    <t>HUSITRASixA</t>
  </si>
  <si>
    <t>635696265</t>
  </si>
  <si>
    <t>Test_17</t>
  </si>
  <si>
    <t>10698656</t>
  </si>
  <si>
    <t>HUSITRASevenA</t>
  </si>
  <si>
    <t>635696166</t>
  </si>
  <si>
    <t>Test_18</t>
  </si>
  <si>
    <t>10698694</t>
  </si>
  <si>
    <t>HUSITRAEightA</t>
  </si>
  <si>
    <t>HUSITStockOne</t>
  </si>
  <si>
    <t>635696167</t>
  </si>
  <si>
    <t>Test_19</t>
  </si>
  <si>
    <t>10698657</t>
  </si>
  <si>
    <t>HUSITRANineA</t>
  </si>
  <si>
    <t>HUSITCash</t>
  </si>
  <si>
    <t>Permanent</t>
  </si>
  <si>
    <t>Retail Assistant Cash Office_NEW</t>
  </si>
  <si>
    <t>258 Cash Office</t>
  </si>
  <si>
    <t>635696168</t>
  </si>
  <si>
    <t>Test_20</t>
  </si>
  <si>
    <t>10698658</t>
  </si>
  <si>
    <t>HUSITRATenA</t>
  </si>
  <si>
    <t>635696169</t>
  </si>
  <si>
    <t>Test_21</t>
  </si>
  <si>
    <t>635696170</t>
  </si>
  <si>
    <t>Test_22</t>
  </si>
  <si>
    <t>10698659</t>
  </si>
  <si>
    <t>HUSITRATwoB</t>
  </si>
  <si>
    <t>635696171</t>
  </si>
  <si>
    <t>Test_23</t>
  </si>
  <si>
    <t>10698660</t>
  </si>
  <si>
    <t>HUSITRAThreeB</t>
  </si>
  <si>
    <t>635696172</t>
  </si>
  <si>
    <t>Test_24</t>
  </si>
  <si>
    <t>10698681</t>
  </si>
  <si>
    <t>HUSITRAFourB</t>
  </si>
  <si>
    <t>635696173</t>
  </si>
  <si>
    <t>Test_25</t>
  </si>
  <si>
    <t xml:space="preserve">Test failed for 'HUSITVMone HUSITRAFiveB'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Path:-&gt;H:\WDplaywright_LatestCode/WorkdayFailedScreenshot/2025-04-24T06-37-54-163Z.png</t>
  </si>
  <si>
    <t>HUSITRAFiveB</t>
  </si>
  <si>
    <t>HUSITVMone</t>
  </si>
  <si>
    <t>Visual Merchandiser_NEW</t>
  </si>
  <si>
    <t>256 Visual Merchandising</t>
  </si>
  <si>
    <t>635696174</t>
  </si>
  <si>
    <t>Test_26</t>
  </si>
  <si>
    <t xml:space="preserve">Test failed for 'HUSITVMone HUSITRASixB'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Path:-&gt;H:\WDplaywright_LatestCode/WorkdayFailedScreenshot/2025-04-24T06-38-47-509Z.png</t>
  </si>
  <si>
    <t>HUSITRASixB</t>
  </si>
  <si>
    <t>635696175</t>
  </si>
  <si>
    <t>Test_27</t>
  </si>
  <si>
    <t>10698695</t>
  </si>
  <si>
    <t>HUSITRASevenB</t>
  </si>
  <si>
    <t>HUSITVMRerun</t>
  </si>
  <si>
    <t>635696276</t>
  </si>
  <si>
    <t>Test_28</t>
  </si>
  <si>
    <t xml:space="preserve">Test failed for 'HUSITVMone HUSITRAEightB'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Path:-&gt;H:\WDplaywright_LatestCode/WorkdayFailedScreenshot/2025-04-24T06-42-11-381Z.png</t>
  </si>
  <si>
    <t>HUSITRAEightB</t>
  </si>
  <si>
    <t>635696177</t>
  </si>
  <si>
    <t>Test_29</t>
  </si>
  <si>
    <t>10698661</t>
  </si>
  <si>
    <t>HUSITRANineB</t>
  </si>
  <si>
    <t>HUSITVM</t>
  </si>
  <si>
    <t>635696178</t>
  </si>
  <si>
    <t>Test_30</t>
  </si>
  <si>
    <t>10698683</t>
  </si>
  <si>
    <t>HUSITRATenB</t>
  </si>
  <si>
    <t>635696179</t>
  </si>
  <si>
    <t>Test_31</t>
  </si>
  <si>
    <t>10698662</t>
  </si>
  <si>
    <t>970 Store Management (Hungary StoreMgr (10698630))</t>
  </si>
  <si>
    <t>HUSITOneC</t>
  </si>
  <si>
    <t>HUSITSM</t>
  </si>
  <si>
    <t>Auto 17920550</t>
  </si>
  <si>
    <t>Store Manager_NEW</t>
  </si>
  <si>
    <t>Full Time</t>
  </si>
  <si>
    <t xml:space="preserve">92 Retail Management </t>
  </si>
  <si>
    <t>251 Management Retail</t>
  </si>
  <si>
    <t>635696180</t>
  </si>
  <si>
    <t>Test_32</t>
  </si>
  <si>
    <t>10698663</t>
  </si>
  <si>
    <t>HUSITTwoC</t>
  </si>
  <si>
    <t>Auto 14625539</t>
  </si>
  <si>
    <t>635696181</t>
  </si>
  <si>
    <t>Test_33</t>
  </si>
  <si>
    <t>10698664</t>
  </si>
  <si>
    <t>HUSITThreeC</t>
  </si>
  <si>
    <t>HUSITTM</t>
  </si>
  <si>
    <t>Auto 96379304</t>
  </si>
  <si>
    <t xml:space="preserve">Team Manager - Retail_NEW </t>
  </si>
  <si>
    <t>635696182</t>
  </si>
  <si>
    <t>Test_34</t>
  </si>
  <si>
    <t>10698665</t>
  </si>
  <si>
    <t>HUSITFourC</t>
  </si>
  <si>
    <t>Auto 89241484</t>
  </si>
  <si>
    <t>635696183</t>
  </si>
  <si>
    <t>Test_35</t>
  </si>
  <si>
    <t>10698686</t>
  </si>
  <si>
    <t>HUSITFiveC</t>
  </si>
  <si>
    <t>HUSITASMOne</t>
  </si>
  <si>
    <t>Auto 47973151</t>
  </si>
  <si>
    <t>Assistant Store Manager_NEW</t>
  </si>
  <si>
    <t>635696184</t>
  </si>
  <si>
    <t>Test_36</t>
  </si>
  <si>
    <t>10698666</t>
  </si>
  <si>
    <t>HUSITSixC</t>
  </si>
  <si>
    <t>HUSITASM</t>
  </si>
  <si>
    <t>Auto 45227479</t>
  </si>
  <si>
    <t>635696185</t>
  </si>
  <si>
    <t>Test_37</t>
  </si>
  <si>
    <t xml:space="preserve">Test failed for 'HUSITSevenC HUSITASMOne' Employee:{}TimeoutError: locator.focus: Timeout 30000ms exceeded.
Call log:
  [2m- waiting for getByLabel('Main Job', { exact: true })[22m
</t>
  </si>
  <si>
    <t>HUSITSevenC</t>
  </si>
  <si>
    <t>Auto 42118317</t>
  </si>
  <si>
    <t>In-Store P&amp;C Manager_NEW</t>
  </si>
  <si>
    <t>635696186</t>
  </si>
  <si>
    <t>Test_38</t>
  </si>
  <si>
    <t>10698696</t>
  </si>
  <si>
    <t>HUSITEightC</t>
  </si>
  <si>
    <t>Auto 83247670</t>
  </si>
  <si>
    <t>635696187</t>
  </si>
  <si>
    <t>Test_39</t>
  </si>
  <si>
    <t>10698667</t>
  </si>
  <si>
    <t>HUSITNineC</t>
  </si>
  <si>
    <t>HUSITDM</t>
  </si>
  <si>
    <t>Auto 69124479</t>
  </si>
  <si>
    <t>Department Manager_NEW</t>
  </si>
  <si>
    <t>635696188</t>
  </si>
  <si>
    <t>Test_40</t>
  </si>
  <si>
    <t>Test failed for 'HUSITDMone HUSITTenC'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Path:-&gt;H:\WDplaywright_LatestCode/WorkdayFailedScreenshot/2025-04-24T08-37-36-596Z.png</t>
  </si>
  <si>
    <t>HUSITTenC</t>
  </si>
  <si>
    <t>HUSITDMone</t>
  </si>
  <si>
    <t>Auto 76856452</t>
  </si>
  <si>
    <t>635696189</t>
  </si>
  <si>
    <t>Test_41</t>
  </si>
  <si>
    <t>10698669</t>
  </si>
  <si>
    <t>HUSITOneD</t>
  </si>
  <si>
    <t>HUSITVMM</t>
  </si>
  <si>
    <t>Auto 61006910</t>
  </si>
  <si>
    <t>Visual Merchandising Manager_NEW</t>
  </si>
  <si>
    <t>635696190</t>
  </si>
  <si>
    <t>Test_42</t>
  </si>
  <si>
    <t>10698670</t>
  </si>
  <si>
    <t>HUSITTwoD</t>
  </si>
  <si>
    <t>Auto 56695647</t>
  </si>
  <si>
    <t>635696191</t>
  </si>
  <si>
    <t>Test_43</t>
  </si>
  <si>
    <t>10698671</t>
  </si>
  <si>
    <t>HUSITThreeD</t>
  </si>
  <si>
    <t>HUSITAPC</t>
  </si>
  <si>
    <t>Auto 43925244</t>
  </si>
  <si>
    <t>Assistant P&amp;C Manager_NEW</t>
  </si>
  <si>
    <t>635696192</t>
  </si>
  <si>
    <t>Test_44</t>
  </si>
  <si>
    <t>10698672</t>
  </si>
  <si>
    <t>HUSITFourD</t>
  </si>
  <si>
    <t>Auto 60179586</t>
  </si>
  <si>
    <t>635696193</t>
  </si>
  <si>
    <t>Test_45</t>
  </si>
  <si>
    <t xml:space="preserve">Test failed for 'HUSITRAFiveD HUSITMnrONe' Employee:{10698697}TimeoutError: locator.click: Timeout 30000ms exceeded.
Call log:
  [2m- waiting for getByRole('button', { name: 'Approve' })[22m
</t>
  </si>
  <si>
    <t>HUSITRAFiveD</t>
  </si>
  <si>
    <t>HUSITMnrONe</t>
  </si>
  <si>
    <t>635696194</t>
  </si>
  <si>
    <t>Test_46</t>
  </si>
  <si>
    <t>10698698</t>
  </si>
  <si>
    <t>HUSITRASixD</t>
  </si>
  <si>
    <t>635696195</t>
  </si>
  <si>
    <t>Test_47</t>
  </si>
  <si>
    <t>Test failed for 'HUSITMnrONe HUSITRASevenD' Employee: Errors and AlertsErrorErrorDepartment/Section is required to have a value. &amp; find failed Screenshot Path:-&gt;H:\WDplaywright_LatestCode/WorkdayFailedScreenshot/2025-04-24T08-50-42-406Z.png</t>
  </si>
  <si>
    <t>HUSITRASevenD</t>
  </si>
  <si>
    <t>2 Hosiery</t>
  </si>
  <si>
    <t>635696196</t>
  </si>
  <si>
    <t>Test_48</t>
  </si>
  <si>
    <t>Test failed for 'HUSITMnrONe HUSITRAEightD' Employee: Errors and AlertsErrorErrorDepartment/Section is required to have a value. &amp; find failed Screenshot Path:-&gt;H:\WDplaywright_LatestCode/WorkdayFailedScreenshot/2025-04-24T08-51-47-960Z.png</t>
  </si>
  <si>
    <t>HUSITRAEightD</t>
  </si>
  <si>
    <t>635696197</t>
  </si>
  <si>
    <t>Test_49</t>
  </si>
  <si>
    <t>10698699</t>
  </si>
  <si>
    <t>HUSITRANineD</t>
  </si>
  <si>
    <t>635696198</t>
  </si>
  <si>
    <t>Test_50</t>
  </si>
  <si>
    <t xml:space="preserve">Test failed for 'HUSITRATenD HUSITMnrONe' Employee:{}TimeoutError: locator.click: Timeout 30000ms exceeded.
Call log:
  [2m- waiting for locator('[aria-label="Save Cost Center"]')[22m
[2m  -   locator resolved to &lt;button title="Save" aria-pressed="false" aria-label="Sa…&gt;…&lt;/button&gt;[22m
[2m  - attempting click action[22m
[2m  -   waiting for element to be visible, enabled and stable[22m
[2m  -   element is not visible[22m
[2m  - retrying click action, attempt #1[22m
[2m  -   waiting for element to be visible, enabled and stable[22m
[2m  -   element is not visible[22m
[2m  - retrying click action, attempt #2[22m
[2m  -   waiting 20ms[22m
[2m  -   waiting for element to be visible, enabled and stable[22m
[2m  -   element is not visible[22m
[2m  - retrying click action, attempt #3[22m
[2m  -   waiting 100ms[22m
[2m  -   waiting for element to be visible, enabled and stable[22m
[2m  -   element is not visible[22m
[2m  - retrying click action, attempt #4[22m
[2m  -   waiting 100ms[22m
[2m  -   waiting for element to be visible, enabled and stable[22m
[2m  -   element is not visible[22m
[2m  - retrying click action, attempt #5[22m
[2m  -   waiting 500ms[22m
[2m  -   waiting for element to be visible, enabled and stable[22m
[2m  -   element is not visible[22m
[2m  - retrying click action, attempt #6[22m
[2m  -   waiting 500ms[22m
[2m  -   waiting for element to be visible, enabled and stable[22m
[2m  -   element is not visible[22m
[2m  - retrying click action, attempt #7[22m
[2m  -   waiting 500ms[22m
[2m  -   waiting for element to be visible, enabled and stable[22m
[2m  -   element is not visible[22m
[2m  - retrying click action, attempt #8[22m
[2m  -   waiting 500ms[22m
[2m  -   waiting for element to be visible, enabled and stable[22m
[2m  -   element is not visible[22m
[2m  - retrying click action, attempt #9[22m
[2m  -   waiting 500ms[22m
[2m  -   waiting for element to be visible, enabled and stable[22m
[2m  -   element is not visible[22m
[2m  - retrying click action, attempt #10[22m
[2m  -   waiting 500ms[22m
[2m  -   waiting for element to be visible, enabled and stable[22m
[2m  -   element is not visible[22m
[2m  - retrying click action, attempt #11[22m
[2m  -   waiting 500ms[22m
[2m  -   waiting for element to be visible, enabled and stable[22m
[2m  -   element is not visible[22m
[2m  - retrying click action, attempt #12[22m
[2m  -   waiting 500ms[22m
[2m  -   waiting for element to be visible, enabled and stable[22m
[2m  -   element is not visible[22m
[2m  - retrying click action, attempt #13[22m
[2m  -   waiting 500ms[22m
[2m  -   waiting for element to be visible, enabled and stable[22m
[2m  -   element is not visible[22m
[2m  - retrying click action, attempt #14[22m
[2m  -   waiting 500ms[22m
[2m  -   waiting for element to be visible, enabled and stable[22m
[2m  -   element is not visible[22m
[2m  - retrying click action, attempt #15[22m
[2m  -   waiting 500ms[22m
[2m  -   waiting for element to be visible, enabled and stable[22m
[2m  -   element is not visible[22m
[2m  - retrying click action, attempt #16[22m
[2m  -   waiting 500ms[22m
[2m  -   waiting for element to be visible, enabled and stable[22m
[2m  -   element is not visible[22m
[2m  - retrying click action, attempt #17[22m
[2m  -   waiting 500ms[22m
[2m  -   waiting for element to be visible, enabled and stable[22m
[2m  -   element is not visible[22m
[2m  - retrying click action, attempt #18[22m
[2m  -   waiting 500ms[22m
[2m  -   waiting for element to be visible, enabled and stable[22m
[2m  -   element is not visible[22m
[2m  - retrying click action, attempt #19[22m
[2m  -   waiting 500ms[22m
[2m  -   waiting for element to be visible, enabled and stable[22m
[2m  -   element is not visible[22m
[2m  - retrying click action, attempt #20[22m
[2m  -   waiting 500ms[22m
[2m  -   waiting for element to be visible, enabled and stable[22m
[2m  -   element is not visible[22m
[2m  - retrying click action, attempt #21[22m
[2m  -   waiting 500ms[22m
[2m  -   waiting for element to be visible, enabled and stable[22m
[2m  -   element is not visible[22m
[2m  - retrying click action, attempt #22[22m
[2m  -   waiting 500ms[22m
[2m  -   waiting for element to be visible, enabled and stable[22m
[2m  -   element is not visible[22m
[2m  - retrying click action, attempt #23[22m
[2m  -   waiting 500ms[22m
[2m  -   waiting for element to be visible, enabled and stable[22m
[2m  -   element is not visible[22m
[2m  - retrying click action, attempt #24[22m
[2m  -   waiting 500ms[22m
[2m  -   waiting for element to be visible, enabled and stable[22m
[2m  -   element is not visible[22m
[2m  - retrying click action, attempt #25[22m
[2m  -   waiting 500ms[22m
[2m  -   waiting for element to be visible, enabled and stable[22m
[2m  -   element is not visible[22m
[2m  - retrying click action, attempt #26[22m
[2m  -   waiting 500ms[22m
[2m  -   waiting for element to be visible, enabled and stable[22m
[2m  -   element is not visible[22m
[2m  - retrying click action, attempt #27[22m
[2m  -   waiting 500ms[22m
[2m  -   waiting for element to be visible, enabled and stable[22m
[2m  -   element is not visible[22m
[2m  - retrying click action, attempt #28[22m
[2m  -   waiting 500ms[22m
[2m  -   waiting for element to be visible, enabled and stable[22m
[2m  -   element is not visible[22m
[2m  - retrying click action, attempt #29[22m
[2m  -   waiting 500ms[22m
[2m  -   waiting for element to be visible, enabled and stable[22m
[2m  -   element is not visible[22m
[2m  - retrying click action, attempt #30[22m
[2m  -   waiting 500ms[22m
[2m  -   waiting for element to be visible, enabled and stable[22m
[2m  -   element is not visible[22m
[2m  - retrying click action, attempt #31[22m
[2m  -   waiting 500ms[22m
[2m  -   waiting for element to be visible, enabled and stable[22m
[2m  -   element is not visible[22m
[2m  - retrying click action, attempt #32[22m
[2m  -   waiting 500ms[22m
[2m  -   waiting for element to be visible, enabled and stable[22m
[2m  -   element is not visible[22m
[2m  - retrying click action, attempt #33[22m
[2m  -   waiting 500ms[22m
[2m  -   waiting for element to be visible, enabled and stable[22m
[2m  -   element is not visible[22m
[2m  - retrying click action, attempt #34[22m
[2m  -   waiting 500ms[22m
[2m  -   waiting for element to be visible, enabled and stable[22m
[2m  -   element is not visible[22m
[2m  - retrying click action, attempt #35[22m
[2m  -   waiting 500ms[22m
[2m  -   waiting for element to be visible, enabled and stable[22m
[2m  -   element is not visible[22m
[2m  - retrying click action, attempt #36[22m
[2m  -   waiting 500ms[22m
[2m  -   waiting for element to be visible, enabled and stable[22m
[2m  -   element is not visible[22m
[2m  - retrying click action, attempt #37[22m
[2m  -   waiting 500ms[22m
[2m  -   waiting for element to be visible, enabled and stable[22m
[2m  -   element is not visible[22m
[2m  - retrying click action, attempt #38[22m
[2m  -   waiting 500ms[22m
[2m  -   waiting for element to be visible, enabled and stable[22m
[2m  -   element is not visible[22m
[2m  - retrying click action, attempt #39[22m
[2m  -   waiting 500ms[22m
[2m  -   waiting for element to be visible, enabled and stable[22m
[2m  -   element is not visible[22m
[2m  - retrying click action, attempt #40[22m
[2m  -   waiting 500ms[22m
[2m  -   waiting for element to be visible, enabled and stable[22m
[2m  -   element is not visible[22m
[2m  - retrying click action, attempt #41[22m
[2m  -   waiting 500ms[22m
[2m  -   waiting for element to be visible, enabled and stable[22m
[2m  -   element is not visible[22m
[2m  - retrying click action, attempt #42[22m
[2m  -   waiting 500ms[22m
[2m  -   waiting for element to be visible, enabled and stable[22m
[2m  -   element is not visible[22m
[2m  - retrying click action, attempt #43[22m
[2m  -   waiting 500ms[22m
[2m  -   waiting for element to be visible, enabled and stable[22m
[2m  -   element is not visible[22m
[2m  - retrying click action, attempt #44[22m
[2m  -   waiting 500ms[22m
[2m  -   waiting for element to be visible, enabled and stable[22m
[2m  -   element is not visible[22m
[2m  - retrying click action, attempt #45[22m
[2m  -   waiting 500ms[22m
[2m  -   waiting for element to be visible, enabled and stable[22m
[2m  -   element is not visible[22m
[2m  - retrying click action, attempt #46[22m
[2m  -   waiting 500ms[22m
[2m  -   waiting for element to be visible, enabled and stable[22m
[2m  -   element is not visible[22m
[2m  - retrying click action, attempt #47[22m
[2m  -   waiting 500ms[22m
[2m  -   waiting for element to be visible, enabled and stable[22m
[2m  -   element is not visible[22m
[2m  - retrying click action, attempt #48[22m
[2m  -   waiting 500ms[22m
[2m  -   waiting for element to be visible, enabled and stable[22m
[2m  -   element is not visible[22m
[2m  - retrying click action, attempt #49[22m
[2m  -   waiting 500ms[22m
[2m  -   waiting for element to be visible, enabled and stable[22m
[2m  -   element is not visible[22m
[2m  - retrying click action, attempt #50[22m
[2m  -   waiting 500ms[22m
[2m  -   waiting for element to be visible, enabled and stable[22m
[2m  -   element is not visible[22m
[2m  - retrying click action, attempt #51[22m
[2m  -   waiting 500ms[22m
[2m  -   waiting for element to be visible, enabled and stable[22m
[2m  -   element is not visible[22m
[2m  - retrying click action, attempt #52[22m
[2m  -   waiting 500ms[22m
[2m  -   waiting for element to be visible, enabled and stable[22m
[2m  -   element is not visible[22m
[2m  - retrying click action, attempt #53[22m
[2m  -   waiting 500ms[22m
[2m  -   waiting for element to be visible, enabled and stable[22m
[2m  -   element is not visible[22m
[2m  - retrying click action, attempt #54[22m
[2m  -   waiting 500ms[22m
[2m  -   waiting for element to be visible, enabled and stable[22m
[2m  -   element is not visible[22m
[2m  - retrying click action, attempt #55[22m
[2m  -   waiting 500ms[22m
[2m  -   waiting for element to be visible, enabled and stable[22m
[2m  -   element is not visible[22m
[2m  - retrying click action, attempt #56[22m
[2m  -   waiting 500ms[22m
[2m  -   waiting for element to be visible, enabled and stable[22m
[2m  -   element is not visible[22m
[2m  - retrying click action, attempt #57[22m
[2m  -   waiting 500ms[22m
[2m  -   waiting for element to be visible, enabled and stable[22m
[2m  -   element is not visible[22m
[2m  - retrying click action, attempt #58[22m
[2m  -   waiting 500ms[22m
[2m  -   waiting for element to be visible, enabled and stable[22m
[2m  -   element is not visible[22m
[2m  - retrying click action, attempt #59[22m
[2m  -   waiting 500ms[22m
</t>
  </si>
  <si>
    <t>HUSITRATenD</t>
  </si>
  <si>
    <t>635696199</t>
  </si>
  <si>
    <t>Test_51</t>
  </si>
  <si>
    <t>10698700</t>
  </si>
  <si>
    <t>HUSITRAOneE</t>
  </si>
  <si>
    <t>635696200</t>
  </si>
  <si>
    <t>Test_52</t>
  </si>
  <si>
    <t>10698701</t>
  </si>
  <si>
    <t>HUSITRATwoE</t>
  </si>
  <si>
    <t>635696201</t>
  </si>
  <si>
    <t>Test_53</t>
  </si>
  <si>
    <t>10698702</t>
  </si>
  <si>
    <t>HUSITRAThreeE</t>
  </si>
  <si>
    <t>635696202</t>
  </si>
  <si>
    <t>Test_54</t>
  </si>
  <si>
    <t xml:space="preserve">Test failed for 'HUSITMnrONe HUSITVMFourE'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Path:-&gt;H:\WDplaywright_LatestCode/WorkdayFailedScreenshot/2025-04-24T09-18-44-865Z.png</t>
  </si>
  <si>
    <t>HUSITVMFourE</t>
  </si>
  <si>
    <t>635696203</t>
  </si>
  <si>
    <t>Test_55</t>
  </si>
  <si>
    <t>10698703</t>
  </si>
  <si>
    <t>HUSITRAFiveE</t>
  </si>
  <si>
    <t>635696204</t>
  </si>
  <si>
    <t>Test_56</t>
  </si>
  <si>
    <t>10698676</t>
  </si>
  <si>
    <t>HUSITRASixE</t>
  </si>
  <si>
    <t>HUSITNew</t>
  </si>
  <si>
    <t>635696205</t>
  </si>
  <si>
    <t>Test_57</t>
  </si>
  <si>
    <t xml:space="preserve">Test failed for 'HUSITNew HUSITRASevenE'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Code-Workday-playwright-24-4-25/WorkdayFailedScreenshot/2025-04-24T05-57-33-425Z.png</t>
  </si>
  <si>
    <t>HUSITRASevenE</t>
  </si>
  <si>
    <t>635696150</t>
  </si>
  <si>
    <t>Test_58</t>
  </si>
  <si>
    <t xml:space="preserve">Test failed for 'HUSITNew HUSITRAEightE'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Code-Workday-playwright-24-4-25/WorkdayFailedScreenshot/2025-04-24T05-58-50-708Z.png</t>
  </si>
  <si>
    <t>HUSITRAEightE</t>
  </si>
  <si>
    <t>635696151</t>
  </si>
  <si>
    <t>Test_59</t>
  </si>
  <si>
    <t xml:space="preserve">Test failed for 'HUSITNew HUSITRANineE'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Code-Workday-playwright-24-4-25/WorkdayFailedScreenshot/2025-04-24T06-00-09-467Z.png</t>
  </si>
  <si>
    <t>HUSITRANineE</t>
  </si>
  <si>
    <t>635696152</t>
  </si>
  <si>
    <t>Test_60</t>
  </si>
  <si>
    <t xml:space="preserve">Test failed for 'HUSITNew HUSITRATenE'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Code-Workday-playwright-24-4-25/WorkdayFailedScreenshot/2025-04-24T06-01-21-040Z.png</t>
  </si>
  <si>
    <t>HUSITRATenE</t>
  </si>
  <si>
    <t>635696153</t>
  </si>
  <si>
    <t>Test_61</t>
  </si>
  <si>
    <t>Test failed for 'HUSITRerun HUSITRAOneF'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Path:-&gt;H:\WDplaywright_LatestCode/WorkdayFailedScreenshot/2025-04-24T09-27-15-043Z.png</t>
  </si>
  <si>
    <t>HUSITRAOneF</t>
  </si>
  <si>
    <t>Test_62</t>
  </si>
  <si>
    <t xml:space="preserve">Test failed for 'HUSITRATwoF HUSITRerun' Employee:{}TimeoutError: locator.click: Timeout 30000ms exceeded.
Call log:
  [2m- waiting for getByRole('button', { name: 'ID Change: HUSITRerun HUSITRATwoF'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</si>
  <si>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HUSITRATwoF</t>
  </si>
  <si>
    <t>635696255</t>
  </si>
  <si>
    <t>Test_63</t>
  </si>
  <si>
    <t xml:space="preserve">Test failed for 'HUSITNew HUSITRAThreeF'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Code-Workday-playwright-24-4-25/WorkdayFailedScreenshot/2025-04-24T06-07-50-697Z.png</t>
  </si>
  <si>
    <t>HUSITRAThreeF</t>
  </si>
  <si>
    <t>635696156</t>
  </si>
  <si>
    <t>Test_64</t>
  </si>
  <si>
    <t>Test failed for 'HUSITRerun HUSITRAFourF'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Path:-&gt;H:\WDplaywright_LatestCode/WorkdayFailedScreenshot/2025-04-24T09-32-33-209Z.png</t>
  </si>
  <si>
    <t>HUSITRAFourF</t>
  </si>
  <si>
    <t>Test_65</t>
  </si>
  <si>
    <t>Test failed for 'HUSITRerun HUSITRAFiveF'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Path:-&gt;H:\WDplaywright_LatestCode/WorkdayFailedScreenshot/2025-04-24T09-35-00-611Z.png</t>
  </si>
  <si>
    <t>HUSITRAFiveF</t>
  </si>
  <si>
    <t>Test_66</t>
  </si>
  <si>
    <t>Test failed for 'HUSITRerun HUSITRASixF'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Path:-&gt;H:\WDplaywright_LatestCode/WorkdayFailedScreenshot/2025-04-24T09-37-32-253Z.png</t>
  </si>
  <si>
    <t>HUSITRASixF</t>
  </si>
  <si>
    <t>Test_67</t>
  </si>
  <si>
    <t>Test failed for 'HUSITRerun HUSITRSevenF'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Path:-&gt;H:\WDplaywright_LatestCode/WorkdayFailedScreenshot/2025-04-24T09-40-15-473Z.png</t>
  </si>
  <si>
    <t>HUSITRSevenF</t>
  </si>
  <si>
    <t>Test_68</t>
  </si>
  <si>
    <t>Test failed for 'HUSITNew HUSITREightF'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Path:-&gt;H:\WDplaywright_LatestCode/WorkdayFailedScreenshot/2025-04-24T09-42-57-012Z.png</t>
  </si>
  <si>
    <t>HUSITREightF</t>
  </si>
  <si>
    <t>Test_69</t>
  </si>
  <si>
    <t xml:space="preserve">Test failed for 'HUSITRNineF HUSITRerun' Employee:{}TimeoutError: locator.click: Timeout 30000ms exceeded.
Call log:
  [2m- waiting for getByRole('button', { name: 'ID Change: HUSITRerun HUSITRNineF' })[22m
[2m  -   locator resolved to &lt;button tabindex="-1" class="css-8j9li4"&gt;…&lt;/button&gt;[22m
[2m  - attempting click action[22m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#2[22m
[2m  -   waiting 20ms[22m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#4[22m
[2m  -   waiting 100ms[22m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#17[22m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#19[22m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#27[22m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#29[22m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#37[22m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#39[22m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#40[22m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#41[22m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#42[22m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#43[22m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#44[22m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#45[22m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#46[22m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#47[22m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#48[22m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#49[22m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#50[22m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#51[22m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#52[22m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#53[22m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#54[22m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#55[22m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#56[22m
[2m  -   waiting 500ms[22m
[2m  -   waiting for element to be visible, enabled and stable[22m
[2m  -   element is visible, enabled and stable[22m
[2m  -   scrolling into view if needed[22m
[2m  -   done scrolling[22m
[2m  -   &lt;button title="Open" type="button" class="css-198fbm1" d…&gt;…&lt;/button&gt; from &lt;div role="dialog" aria-modal="true" data-popup-versi…&gt;…&lt;/div&gt; subtree intercepts pointer events[22m
[2m  - retrying click action, attempt #57[22m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#58[22m
[2m  -   waiting 500ms[22m
[2m  -   waiting for element to be visible, enabled and stable[22m
[2m  -   element is visible, enabled and stable[22m
[2m  -   scrolling into view if needed[22m
[2m  -   done scrolling[22m
[2m  -   &lt;div data-uxi-widget-type="popup" data-uxi-popup-type…&gt;…&lt;/div&gt; from &lt;div role="dialog" aria-modal="true" data-popup-versi…&gt;…&lt;/div&gt; subtree intercepts pointer events[22m
[2m  - retrying click action, attempt #59[22m
[2m  -   waiting 500ms[22m
</t>
  </si>
  <si>
    <t>HUSITRNineF</t>
  </si>
  <si>
    <t>635696355</t>
  </si>
  <si>
    <t>Test_70</t>
  </si>
  <si>
    <t>10698680</t>
  </si>
  <si>
    <t>HUSITRTenF</t>
  </si>
  <si>
    <t>Test_71</t>
  </si>
  <si>
    <t>10698682</t>
  </si>
  <si>
    <t>HUSITROneG</t>
  </si>
  <si>
    <t>Test_72</t>
  </si>
  <si>
    <t>10698704</t>
  </si>
  <si>
    <t>HUSITRTwoG</t>
  </si>
  <si>
    <t>Auto 69778629</t>
  </si>
  <si>
    <t>635696285</t>
  </si>
  <si>
    <t>Test_73</t>
  </si>
  <si>
    <t>10698705</t>
  </si>
  <si>
    <t>HUSITRThreeG</t>
  </si>
  <si>
    <t>Auto 13362174</t>
  </si>
  <si>
    <t>635696291</t>
  </si>
  <si>
    <t>Test_74</t>
  </si>
  <si>
    <t xml:space="preserve">Test failed for 'HUSITNew HUSITRFourG'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Code-Workday-playwright-24-4-25/WorkdayFailedScreenshot/2025-04-24T06-44-28-033Z.png</t>
  </si>
  <si>
    <t>HUSITRFourG</t>
  </si>
  <si>
    <t>Test_75</t>
  </si>
  <si>
    <t xml:space="preserve">Test failed for 'HUSITNew HUSITRFiveG'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Path:-&gt;H:\GOVIDUpdated Code-Workday-playwright-24-4-25/WorkdayFailedScreenshot/2025-04-24T06-45-47-508Z.png</t>
  </si>
  <si>
    <t>HUSITRFiveG</t>
  </si>
  <si>
    <t>Test_76</t>
  </si>
  <si>
    <t>Test failed for 'HUSITRerun HUSITRSixG'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Path:-&gt;H:\WDplaywright_LatestCode/WorkdayFailedScreenshot/2025-04-24T10-02-26-700Z.png</t>
  </si>
  <si>
    <t>HUSITRSixG</t>
  </si>
  <si>
    <t>Test failed for 'null null' Employee:{}TypeError: Cannot read properties of null (reading 'toString')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</si>
</sst>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2" x14ac:knownFonts="1">
    <font>
      <color theme="1"/>
      <family val="2"/>
      <scheme val="minor"/>
      <sz val="11"/>
      <name val="Calibri"/>
    </font>
    <font>
      <b/>
      <color theme="1"/>
      <family val="2"/>
      <scheme val="minor"/>
      <sz val="11"/>
      <name val="Calibri"/>
    </font>
    <font>
      <b/>
      <color rgb="FFFF0000"/>
      <family val="2"/>
      <scheme val="minor"/>
      <sz val="11"/>
      <name val="Calibri"/>
    </font>
    <font>
      <b/>
      <family val="2"/>
      <scheme val="minor"/>
      <sz val="11"/>
      <name val="Calibri"/>
    </font>
    <font>
      <b/>
      <u/>
      <family val="2"/>
      <scheme val="minor"/>
      <sz val="11"/>
      <name val="Calibri"/>
    </font>
    <font>
      <b/>
      <color rgb="FF000000"/>
      <family val="2"/>
      <scheme val="minor"/>
      <sz val="11"/>
      <name val="Calibri"/>
    </font>
    <font>
      <b/>
      <color indexed="8"/>
      <family val="2"/>
      <sz val="11"/>
      <name val="Calibri"/>
    </font>
    <font>
      <color rgb="FFFF0000"/>
      <family val="2"/>
      <scheme val="minor"/>
      <sz val="11"/>
      <name val="Calibri"/>
    </font>
    <font>
      <family val="2"/>
      <scheme val="minor"/>
      <sz val="11"/>
      <name val="Calibri"/>
    </font>
    <font>
      <u/>
      <family val="2"/>
      <scheme val="minor"/>
      <sz val="11"/>
      <name val="Calibri"/>
    </font>
    <font>
      <color rgb="FF000000"/>
      <family val="2"/>
      <scheme val="minor"/>
      <sz val="11"/>
      <name val="Calibri"/>
    </font>
    <font>
      <color indexed="8"/>
      <family val="2"/>
      <sz val="11"/>
      <name val="Calibri"/>
    </font>
  </fonts>
  <fills count="7">
    <fill>
      <patternFill patternType="none"/>
    </fill>
    <fill>
      <patternFill patternType="gray125"/>
    </fill>
    <fill>
      <patternFill patternType="solid">
        <fgColor theme="5" tint="0.3999755851924192"/>
        <bgColor indexed="64"/>
      </patternFill>
    </fill>
    <fill>
      <patternFill patternType="solid">
        <fgColor rgb="FFFFFF00"/>
        <bgColor indexed="64"/>
      </patternFill>
    </fill>
    <fill>
      <patternFill patternType="solid">
        <fgColor rgb="FFFF0000"/>
      </patternFill>
    </fill>
    <fill>
      <patternFill patternType="solid">
        <fgColor theme="5" tint="0.7999816888943144"/>
        <bgColor indexed="64"/>
      </patternFill>
    </fill>
    <fill>
      <patternFill patternType="solid">
        <fgColor rgb="FF00FF00"/>
      </patternFill>
    </fill>
  </fills>
  <borders count="2">
    <border>
      <left/>
      <right/>
      <top/>
      <bottom/>
      <diagonal/>
    </border>
    <border>
      <left style="thin"/>
      <right style="thin"/>
      <top style="thin"/>
      <bottom style="thin"/>
      <diagonal/>
    </border>
  </borders>
  <cellStyleXfs count="1">
    <xf numFmtId="0" fontId="0" fillId="0" borderId="0"/>
  </cellStyleXfs>
  <cellXfs count="62">
    <xf numFmtId="0" fontId="0" fillId="0" borderId="0" xfId="0"/>
    <xf numFmtId="0" fontId="1" fillId="0" borderId="0" xfId="0" applyFont="1"/>
    <xf numFmtId="0" fontId="1" fillId="2" borderId="1" xfId="0" applyFont="1" applyFill="1" applyBorder="1"/>
    <xf numFmtId="0" fontId="1" fillId="2" borderId="1" xfId="0" applyFont="1" applyFill="1" applyBorder="1" applyAlignment="1">
      <alignment wrapText="1"/>
    </xf>
    <xf numFmtId="0" fontId="2" fillId="2" borderId="1" xfId="0" applyFont="1" applyFill="1" applyBorder="1"/>
    <xf numFmtId="0" fontId="3" fillId="2" borderId="1" xfId="0" applyFont="1" applyFill="1" applyBorder="1" applyAlignment="1">
      <alignment horizontal="left"/>
    </xf>
    <xf numFmtId="0" fontId="1" fillId="3" borderId="1" xfId="0" applyFont="1" applyFill="1" applyBorder="1"/>
    <xf numFmtId="0" fontId="3" fillId="2" borderId="1" xfId="0" applyFont="1" applyFill="1" applyBorder="1" applyAlignment="1" applyProtection="1">
      <alignment horizontal="left"/>
      <protection locked="0"/>
    </xf>
    <xf numFmtId="14" fontId="2" fillId="0" borderId="1" xfId="0" applyNumberFormat="1" applyFont="1" applyBorder="1" applyAlignment="1">
      <alignment horizontal="left"/>
    </xf>
    <xf numFmtId="0" fontId="3" fillId="2" borderId="1" xfId="0" applyFont="1" applyFill="1" applyBorder="1" applyProtection="1">
      <protection locked="0"/>
    </xf>
    <xf numFmtId="0" fontId="1" fillId="2" borderId="1" xfId="0" applyFont="1" applyFill="1" applyBorder="1" applyAlignment="1" applyProtection="1">
      <alignment horizontal="left" vertical="top"/>
      <protection locked="0"/>
    </xf>
    <xf numFmtId="0" fontId="3" fillId="2" borderId="1" xfId="0" applyFont="1" applyFill="1" applyBorder="1" applyAlignment="1">
      <alignment horizontal="center"/>
    </xf>
    <xf numFmtId="164" fontId="3" fillId="2" borderId="1" xfId="0" applyNumberFormat="1" applyFont="1" applyFill="1" applyBorder="1" applyAlignment="1" applyProtection="1">
      <alignment horizontal="left"/>
      <protection locked="0"/>
    </xf>
    <xf numFmtId="14" fontId="3" fillId="2" borderId="1" xfId="0" applyNumberFormat="1" applyFont="1" applyFill="1" applyBorder="1" applyAlignment="1">
      <alignment horizontal="left"/>
    </xf>
    <xf numFmtId="0" fontId="4" fillId="2" borderId="1" xfId="0" applyFont="1" applyFill="1" applyBorder="1" applyProtection="1">
      <protection locked="0"/>
    </xf>
    <xf numFmtId="14" fontId="2" fillId="3" borderId="1" xfId="0" applyNumberFormat="1" applyFont="1" applyFill="1" applyBorder="1" applyAlignment="1">
      <alignment horizontal="left"/>
    </xf>
    <xf numFmtId="0" fontId="3" fillId="3" borderId="1" xfId="0" applyFont="1" applyFill="1" applyBorder="1"/>
    <xf numFmtId="0" fontId="5" fillId="3" borderId="1" xfId="0" applyFont="1" applyFill="1" applyBorder="1"/>
    <xf numFmtId="0" fontId="3" fillId="3" borderId="1" xfId="0" applyFont="1" applyFill="1" applyBorder="1" applyAlignment="1">
      <alignment horizontal="left"/>
    </xf>
    <xf numFmtId="0" fontId="2" fillId="3" borderId="1" xfId="0" applyFont="1" applyFill="1" applyBorder="1" applyAlignment="1">
      <alignment horizontal="left"/>
    </xf>
    <xf numFmtId="14" fontId="2" fillId="2" borderId="1" xfId="0" applyNumberFormat="1" applyFont="1" applyFill="1" applyBorder="1" applyAlignment="1">
      <alignment horizontal="left"/>
    </xf>
    <xf numFmtId="0" fontId="5" fillId="2" borderId="1" xfId="0" applyFont="1" applyFill="1" applyBorder="1"/>
    <xf numFmtId="0" fontId="5" fillId="0" borderId="1" xfId="0" applyFont="1" applyBorder="1"/>
    <xf numFmtId="14" fontId="1" fillId="2" borderId="1" xfId="0" applyNumberFormat="1" applyFont="1" applyFill="1" applyBorder="1"/>
    <xf numFmtId="14" fontId="2" fillId="2" borderId="1" xfId="0" applyNumberFormat="1" applyFont="1" applyFill="1" applyBorder="1"/>
    <xf numFmtId="49" fontId="5" fillId="0" borderId="1" xfId="0" applyNumberFormat="1" applyFont="1" applyBorder="1" applyAlignment="1">
      <alignment horizontal="right"/>
    </xf>
    <xf numFmtId="14" fontId="5" fillId="3" borderId="1" xfId="0" applyNumberFormat="1" applyFont="1" applyFill="1" applyBorder="1"/>
    <xf numFmtId="0" fontId="6" fillId="2" borderId="1" xfId="0" applyFont="1" applyFill="1" applyBorder="1" applyAlignment="1">
      <alignment horizontal="left"/>
    </xf>
    <xf numFmtId="0" fontId="3" fillId="2" borderId="1" xfId="0" applyFont="1" applyFill="1" applyBorder="1"/>
    <xf numFmtId="15" fontId="3" fillId="2" borderId="1" xfId="0" applyNumberFormat="1" applyFont="1" applyFill="1" applyBorder="1"/>
    <xf numFmtId="49" fontId="3" fillId="2" borderId="1" xfId="0" applyNumberFormat="1" applyFont="1" applyFill="1" applyBorder="1" applyAlignment="1" applyProtection="1">
      <alignment horizontal="left"/>
      <protection locked="0"/>
    </xf>
    <xf numFmtId="1" fontId="3" fillId="2" borderId="1" xfId="0" applyNumberFormat="1" applyFont="1" applyFill="1" applyBorder="1" applyAlignment="1" applyProtection="1">
      <alignment horizontal="left"/>
      <protection locked="0"/>
    </xf>
    <xf numFmtId="14" fontId="3" fillId="3" borderId="1" xfId="0" applyNumberFormat="1" applyFont="1" applyFill="1" applyBorder="1" applyAlignment="1" applyProtection="1">
      <alignment horizontal="left" wrapText="1"/>
      <protection locked="0"/>
    </xf>
    <xf numFmtId="14" fontId="5" fillId="3" borderId="1" xfId="0" applyNumberFormat="1" applyFont="1" applyFill="1" applyBorder="1" applyAlignment="1">
      <alignment horizontal="left"/>
    </xf>
    <xf numFmtId="1" fontId="3" fillId="3" borderId="1" xfId="0" applyNumberFormat="1" applyFont="1" applyFill="1" applyBorder="1" applyAlignment="1" applyProtection="1">
      <alignment horizontal="left"/>
      <protection locked="0"/>
    </xf>
    <xf numFmtId="0" fontId="0" fillId="4" borderId="1" xfId="0" applyFill="1" applyBorder="1" applyAlignment="1">
      <alignment horizontal="left" vertical="top"/>
    </xf>
    <xf numFmtId="0" fontId="0" fillId="0" borderId="1" xfId="0" applyBorder="1" applyAlignment="1">
      <alignment horizontal="left" vertical="top" wrapText="1"/>
    </xf>
    <xf numFmtId="0" fontId="7" fillId="0" borderId="1" xfId="0" applyFont="1" applyBorder="1" applyAlignment="1">
      <alignment horizontal="left" vertical="top"/>
    </xf>
    <xf numFmtId="0" fontId="8" fillId="0" borderId="1" xfId="0" applyFont="1" applyBorder="1" applyAlignment="1">
      <alignment horizontal="left" vertical="top"/>
    </xf>
    <xf numFmtId="0" fontId="0" fillId="3" borderId="1" xfId="0" applyFill="1" applyBorder="1" applyAlignment="1">
      <alignment horizontal="left" vertical="top"/>
    </xf>
    <xf numFmtId="0" fontId="8" fillId="0" borderId="1" xfId="0" applyFont="1" applyBorder="1" applyAlignment="1" applyProtection="1">
      <alignment horizontal="left" vertical="top"/>
      <protection locked="0"/>
    </xf>
    <xf numFmtId="14" fontId="7" fillId="0" borderId="1" xfId="0" applyNumberFormat="1" applyFont="1" applyBorder="1" applyAlignment="1">
      <alignment horizontal="left" vertical="top"/>
    </xf>
    <xf numFmtId="0" fontId="0" fillId="0" borderId="1" xfId="0" applyBorder="1" applyAlignment="1" applyProtection="1">
      <alignment horizontal="left" vertical="top"/>
      <protection locked="0"/>
    </xf>
    <xf numFmtId="164" fontId="8" fillId="0" borderId="1" xfId="0" applyNumberFormat="1" applyFont="1" applyBorder="1" applyAlignment="1" applyProtection="1">
      <alignment horizontal="left" vertical="top"/>
      <protection locked="0"/>
    </xf>
    <xf numFmtId="14" fontId="8" fillId="0" borderId="1" xfId="0" applyNumberFormat="1" applyFont="1" applyBorder="1" applyAlignment="1">
      <alignment horizontal="left" vertical="top"/>
    </xf>
    <xf numFmtId="0" fontId="9" fillId="0" borderId="1" xfId="0" applyFont="1" applyBorder="1" applyAlignment="1" applyProtection="1">
      <alignment horizontal="left" vertical="top"/>
      <protection locked="0"/>
    </xf>
    <xf numFmtId="14" fontId="7" fillId="3" borderId="1" xfId="0" applyNumberFormat="1" applyFont="1" applyFill="1" applyBorder="1" applyAlignment="1">
      <alignment horizontal="left" vertical="top"/>
    </xf>
    <xf numFmtId="14" fontId="8" fillId="5" borderId="1" xfId="0" applyNumberFormat="1" applyFont="1" applyFill="1" applyBorder="1" applyAlignment="1">
      <alignment horizontal="left" vertical="top"/>
    </xf>
    <xf numFmtId="0" fontId="8" fillId="3" borderId="1" xfId="0" applyFont="1" applyFill="1" applyBorder="1" applyAlignment="1">
      <alignment horizontal="left" vertical="top"/>
    </xf>
    <xf numFmtId="0" fontId="10" fillId="3" borderId="1" xfId="0" applyFont="1" applyFill="1" applyBorder="1" applyAlignment="1">
      <alignment horizontal="left" vertical="top"/>
    </xf>
    <xf numFmtId="0" fontId="10" fillId="0" borderId="1" xfId="0" applyFont="1" applyBorder="1" applyAlignment="1">
      <alignment horizontal="left" vertical="top"/>
    </xf>
    <xf numFmtId="14" fontId="0" fillId="0" borderId="1" xfId="0" applyNumberFormat="1" applyBorder="1" applyAlignment="1">
      <alignment horizontal="left" vertical="top"/>
    </xf>
    <xf numFmtId="49" fontId="10" fillId="0" borderId="1" xfId="0" applyNumberFormat="1" applyFont="1" applyBorder="1" applyAlignment="1">
      <alignment horizontal="left" vertical="top"/>
    </xf>
    <xf numFmtId="14" fontId="10" fillId="3" borderId="1" xfId="0" applyNumberFormat="1" applyFont="1" applyFill="1" applyBorder="1" applyAlignment="1">
      <alignment horizontal="left" vertical="top"/>
    </xf>
    <xf numFmtId="0" fontId="11" fillId="0" borderId="1" xfId="0" applyFont="1" applyBorder="1" applyAlignment="1">
      <alignment horizontal="left" vertical="top"/>
    </xf>
    <xf numFmtId="15" fontId="8" fillId="0" borderId="1" xfId="0" applyNumberFormat="1" applyFont="1" applyBorder="1" applyAlignment="1">
      <alignment horizontal="left" vertical="top"/>
    </xf>
    <xf numFmtId="49" fontId="8" fillId="0" borderId="1" xfId="0" applyNumberFormat="1" applyFont="1" applyBorder="1" applyAlignment="1" applyProtection="1">
      <alignment horizontal="left" vertical="top"/>
      <protection locked="0"/>
    </xf>
    <xf numFmtId="1" fontId="8" fillId="0" borderId="1" xfId="0" applyNumberFormat="1" applyFont="1" applyBorder="1" applyAlignment="1" applyProtection="1">
      <alignment horizontal="left" vertical="top"/>
      <protection locked="0"/>
    </xf>
    <xf numFmtId="14" fontId="8" fillId="3" borderId="1" xfId="0" applyNumberFormat="1" applyFont="1" applyFill="1" applyBorder="1" applyAlignment="1" applyProtection="1">
      <alignment horizontal="left" vertical="top" wrapText="1"/>
      <protection locked="0"/>
    </xf>
    <xf numFmtId="1" fontId="8" fillId="3" borderId="1" xfId="0" applyNumberFormat="1" applyFont="1" applyFill="1" applyBorder="1" applyAlignment="1" applyProtection="1">
      <alignment horizontal="left" vertical="top"/>
      <protection locked="0"/>
    </xf>
    <xf numFmtId="0" fontId="0" fillId="4" borderId="1" xfId="0" applyFill="1" applyBorder="1" applyAlignment="1">
      <alignment horizontal="left" vertical="top" wrapText="1"/>
    </xf>
    <xf numFmtId="0" fontId="0" fillId="6" borderId="1"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utomation@qe.com" TargetMode="External"/><Relationship Id="rId2" Type="http://schemas.openxmlformats.org/officeDocument/2006/relationships/hyperlink" Target="mailto:automation@qe.com" TargetMode="External"/><Relationship Id="rId3" Type="http://schemas.openxmlformats.org/officeDocument/2006/relationships/hyperlink" Target="mailto:automation@qe.com" TargetMode="External"/><Relationship Id="rId4" Type="http://schemas.openxmlformats.org/officeDocument/2006/relationships/hyperlink" Target="mailto:automation@qe.com" TargetMode="External"/><Relationship Id="rId5" Type="http://schemas.openxmlformats.org/officeDocument/2006/relationships/hyperlink" Target="mailto:automation@qe.com" TargetMode="External"/><Relationship Id="rId6" Type="http://schemas.openxmlformats.org/officeDocument/2006/relationships/hyperlink" Target="mailto:automation@qe.com" TargetMode="External"/><Relationship Id="rId7" Type="http://schemas.openxmlformats.org/officeDocument/2006/relationships/hyperlink" Target="mailto:automation@qe.com" TargetMode="External"/><Relationship Id="rId8" Type="http://schemas.openxmlformats.org/officeDocument/2006/relationships/hyperlink" Target="mailto:automation@qe.com" TargetMode="External"/><Relationship Id="rId9" Type="http://schemas.openxmlformats.org/officeDocument/2006/relationships/hyperlink" Target="mailto:automation@qe.com" TargetMode="External"/><Relationship Id="rId10" Type="http://schemas.openxmlformats.org/officeDocument/2006/relationships/hyperlink" Target="mailto:automation@qe.com" TargetMode="External"/><Relationship Id="rId11" Type="http://schemas.openxmlformats.org/officeDocument/2006/relationships/hyperlink" Target="mailto:automation@qe.com" TargetMode="External"/><Relationship Id="rId12" Type="http://schemas.openxmlformats.org/officeDocument/2006/relationships/hyperlink" Target="mailto:automation@qe.com" TargetMode="External"/><Relationship Id="rId13" Type="http://schemas.openxmlformats.org/officeDocument/2006/relationships/hyperlink" Target="mailto:automation@qe.com" TargetMode="External"/><Relationship Id="rId14" Type="http://schemas.openxmlformats.org/officeDocument/2006/relationships/hyperlink" Target="mailto:automation@qe.com" TargetMode="External"/><Relationship Id="rId15" Type="http://schemas.openxmlformats.org/officeDocument/2006/relationships/hyperlink" Target="mailto:automation@qe.com" TargetMode="External"/><Relationship Id="rId16" Type="http://schemas.openxmlformats.org/officeDocument/2006/relationships/hyperlink" Target="mailto:automation@qe.com" TargetMode="External"/><Relationship Id="rId17" Type="http://schemas.openxmlformats.org/officeDocument/2006/relationships/hyperlink" Target="mailto:automation@qe.com" TargetMode="External"/><Relationship Id="rId18" Type="http://schemas.openxmlformats.org/officeDocument/2006/relationships/hyperlink" Target="mailto:automation@qe.com" TargetMode="External"/><Relationship Id="rId19" Type="http://schemas.openxmlformats.org/officeDocument/2006/relationships/hyperlink" Target="mailto:automation@qe.com" TargetMode="External"/><Relationship Id="rId20" Type="http://schemas.openxmlformats.org/officeDocument/2006/relationships/hyperlink" Target="mailto:automation@qe.com" TargetMode="External"/><Relationship Id="rId21" Type="http://schemas.openxmlformats.org/officeDocument/2006/relationships/hyperlink" Target="mailto:automation@qe.com" TargetMode="External"/><Relationship Id="rId22" Type="http://schemas.openxmlformats.org/officeDocument/2006/relationships/hyperlink" Target="mailto:automation@qe.com" TargetMode="External"/><Relationship Id="rId23" Type="http://schemas.openxmlformats.org/officeDocument/2006/relationships/hyperlink" Target="mailto:automation@qe.com" TargetMode="External"/><Relationship Id="rId24" Type="http://schemas.openxmlformats.org/officeDocument/2006/relationships/hyperlink" Target="mailto:automation@qe.com" TargetMode="External"/><Relationship Id="rId25" Type="http://schemas.openxmlformats.org/officeDocument/2006/relationships/hyperlink" Target="mailto:automation@qe.com" TargetMode="External"/><Relationship Id="rId26" Type="http://schemas.openxmlformats.org/officeDocument/2006/relationships/hyperlink" Target="mailto:automation@qe.com" TargetMode="External"/><Relationship Id="rId27" Type="http://schemas.openxmlformats.org/officeDocument/2006/relationships/hyperlink" Target="mailto:automation@qe.com" TargetMode="External"/><Relationship Id="rId28" Type="http://schemas.openxmlformats.org/officeDocument/2006/relationships/hyperlink" Target="mailto:automation@qe.com" TargetMode="External"/><Relationship Id="rId29" Type="http://schemas.openxmlformats.org/officeDocument/2006/relationships/hyperlink" Target="mailto:automation@qe.com" TargetMode="External"/><Relationship Id="rId30" Type="http://schemas.openxmlformats.org/officeDocument/2006/relationships/hyperlink" Target="mailto:automation@qe.com" TargetMode="External"/><Relationship Id="rId31" Type="http://schemas.openxmlformats.org/officeDocument/2006/relationships/hyperlink" Target="mailto:automation@qe.com" TargetMode="External"/><Relationship Id="rId32" Type="http://schemas.openxmlformats.org/officeDocument/2006/relationships/hyperlink" Target="mailto:automation@qe.com" TargetMode="External"/><Relationship Id="rId33" Type="http://schemas.openxmlformats.org/officeDocument/2006/relationships/hyperlink" Target="mailto:automation@qe.com" TargetMode="External"/><Relationship Id="rId34" Type="http://schemas.openxmlformats.org/officeDocument/2006/relationships/hyperlink" Target="mailto:automation@qe.com" TargetMode="External"/><Relationship Id="rId35" Type="http://schemas.openxmlformats.org/officeDocument/2006/relationships/hyperlink" Target="mailto:automation@qe.com" TargetMode="External"/><Relationship Id="rId36" Type="http://schemas.openxmlformats.org/officeDocument/2006/relationships/hyperlink" Target="mailto:automation@qe.com" TargetMode="External"/><Relationship Id="rId37" Type="http://schemas.openxmlformats.org/officeDocument/2006/relationships/hyperlink" Target="mailto:automation@qe.com" TargetMode="External"/><Relationship Id="rId38" Type="http://schemas.openxmlformats.org/officeDocument/2006/relationships/hyperlink" Target="mailto:automation@qe.com" TargetMode="External"/><Relationship Id="rId39" Type="http://schemas.openxmlformats.org/officeDocument/2006/relationships/hyperlink" Target="mailto:automation@qe.com" TargetMode="External"/><Relationship Id="rId40" Type="http://schemas.openxmlformats.org/officeDocument/2006/relationships/hyperlink" Target="mailto:automation@qe.com" TargetMode="External"/><Relationship Id="rId41" Type="http://schemas.openxmlformats.org/officeDocument/2006/relationships/hyperlink" Target="mailto:automation@qe.com" TargetMode="External"/><Relationship Id="rId42" Type="http://schemas.openxmlformats.org/officeDocument/2006/relationships/hyperlink" Target="mailto:automation@qe.com" TargetMode="External"/><Relationship Id="rId43" Type="http://schemas.openxmlformats.org/officeDocument/2006/relationships/hyperlink" Target="mailto:automation@qe.com" TargetMode="External"/><Relationship Id="rId44" Type="http://schemas.openxmlformats.org/officeDocument/2006/relationships/hyperlink" Target="mailto:automation@qe.com" TargetMode="External"/><Relationship Id="rId45" Type="http://schemas.openxmlformats.org/officeDocument/2006/relationships/hyperlink" Target="mailto:automation@qe.com" TargetMode="External"/><Relationship Id="rId46" Type="http://schemas.openxmlformats.org/officeDocument/2006/relationships/hyperlink" Target="mailto:automation@qe.com" TargetMode="External"/><Relationship Id="rId47" Type="http://schemas.openxmlformats.org/officeDocument/2006/relationships/hyperlink" Target="mailto:automation@qe.com" TargetMode="External"/><Relationship Id="rId48" Type="http://schemas.openxmlformats.org/officeDocument/2006/relationships/hyperlink" Target="mailto:automation@qe.com" TargetMode="External"/><Relationship Id="rId49" Type="http://schemas.openxmlformats.org/officeDocument/2006/relationships/hyperlink" Target="mailto:automation@qe.com" TargetMode="External"/><Relationship Id="rId50" Type="http://schemas.openxmlformats.org/officeDocument/2006/relationships/hyperlink" Target="mailto:automation@qe.com" TargetMode="External"/><Relationship Id="rId51" Type="http://schemas.openxmlformats.org/officeDocument/2006/relationships/hyperlink" Target="mailto:automation@qe.com" TargetMode="External"/><Relationship Id="rId52" Type="http://schemas.openxmlformats.org/officeDocument/2006/relationships/hyperlink" Target="mailto:automation@qe.com" TargetMode="External"/><Relationship Id="rId53" Type="http://schemas.openxmlformats.org/officeDocument/2006/relationships/hyperlink" Target="mailto:automation@qe.com" TargetMode="External"/><Relationship Id="rId54" Type="http://schemas.openxmlformats.org/officeDocument/2006/relationships/hyperlink" Target="mailto:automation@qe.com" TargetMode="External"/><Relationship Id="rId55" Type="http://schemas.openxmlformats.org/officeDocument/2006/relationships/hyperlink" Target="mailto:automation@qe.com" TargetMode="External"/><Relationship Id="rId56" Type="http://schemas.openxmlformats.org/officeDocument/2006/relationships/hyperlink" Target="mailto:automation@qe.com" TargetMode="External"/><Relationship Id="rId57" Type="http://schemas.openxmlformats.org/officeDocument/2006/relationships/hyperlink" Target="mailto:automation@qe.com" TargetMode="External"/><Relationship Id="rId58" Type="http://schemas.openxmlformats.org/officeDocument/2006/relationships/hyperlink" Target="mailto:automation@qe.com" TargetMode="External"/><Relationship Id="rId59" Type="http://schemas.openxmlformats.org/officeDocument/2006/relationships/hyperlink" Target="mailto:automation@qe.com" TargetMode="External"/><Relationship Id="rId60" Type="http://schemas.openxmlformats.org/officeDocument/2006/relationships/hyperlink" Target="mailto:automation@qe.com" TargetMode="External"/><Relationship Id="rId61" Type="http://schemas.openxmlformats.org/officeDocument/2006/relationships/hyperlink" Target="mailto:automation@qe.com" TargetMode="External"/><Relationship Id="rId62" Type="http://schemas.openxmlformats.org/officeDocument/2006/relationships/hyperlink" Target="mailto:automation@qe.com" TargetMode="External"/><Relationship Id="rId63" Type="http://schemas.openxmlformats.org/officeDocument/2006/relationships/hyperlink" Target="mailto:automation@qe.com" TargetMode="External"/><Relationship Id="rId64" Type="http://schemas.openxmlformats.org/officeDocument/2006/relationships/hyperlink" Target="mailto:automation@qe.com" TargetMode="External"/><Relationship Id="rId65" Type="http://schemas.openxmlformats.org/officeDocument/2006/relationships/hyperlink" Target="mailto:automation@qe.com" TargetMode="External"/><Relationship Id="rId66" Type="http://schemas.openxmlformats.org/officeDocument/2006/relationships/hyperlink" Target="mailto:automation@qe.com" TargetMode="External"/><Relationship Id="rId67" Type="http://schemas.openxmlformats.org/officeDocument/2006/relationships/hyperlink" Target="mailto:automation@qe.com" TargetMode="External"/><Relationship Id="rId68" Type="http://schemas.openxmlformats.org/officeDocument/2006/relationships/hyperlink" Target="mailto:automation@qe.com" TargetMode="External"/><Relationship Id="rId69" Type="http://schemas.openxmlformats.org/officeDocument/2006/relationships/hyperlink" Target="mailto:automation@qe.com" TargetMode="External"/><Relationship Id="rId70" Type="http://schemas.openxmlformats.org/officeDocument/2006/relationships/hyperlink" Target="mailto:automation@qe.com" TargetMode="External"/><Relationship Id="rId71" Type="http://schemas.openxmlformats.org/officeDocument/2006/relationships/hyperlink" Target="mailto:automation@qe.com" TargetMode="External"/><Relationship Id="rId72" Type="http://schemas.openxmlformats.org/officeDocument/2006/relationships/hyperlink" Target="mailto:automation@qe.com" TargetMode="External"/><Relationship Id="rId73" Type="http://schemas.openxmlformats.org/officeDocument/2006/relationships/hyperlink" Target="mailto:automation@qe.com" TargetMode="External"/><Relationship Id="rId74" Type="http://schemas.openxmlformats.org/officeDocument/2006/relationships/hyperlink" Target="mailto:automation@qe.com" TargetMode="External"/><Relationship Id="rId75" Type="http://schemas.openxmlformats.org/officeDocument/2006/relationships/hyperlink" Target="mailto:automation@qe.com" TargetMode="External"/><Relationship Id="rId76"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79"/>
  <sheetViews>
    <sheetView workbookViewId="0" zoomScale="90" zoomScaleNormal="90">
      <selection activeCell="C14" sqref="C14"/>
    </sheetView>
  </sheetViews>
  <sheetFormatPr defaultRowHeight="14.5" outlineLevelRow="0" outlineLevelCol="0" x14ac:dyDescent="0.35" defaultColWidth="8.7265625" customHeight="1"/>
  <cols>
    <col min="1" max="2" width="11.7265625" customWidth="1"/>
    <col min="3" max="3" width="10.453125" customWidth="1"/>
    <col min="4" max="4" width="21.26953125" customWidth="1"/>
    <col min="5" max="5" width="28.81640625" customWidth="1"/>
    <col min="6" max="6" width="15" customWidth="1"/>
    <col min="7" max="7" width="12.1796875" customWidth="1"/>
    <col min="8" max="8" width="13.81640625" customWidth="1"/>
    <col min="9" max="10" width="8.7265625" customWidth="1"/>
    <col min="11" max="11" width="21.54296875" customWidth="1"/>
    <col min="12" max="12" width="8.7265625" customWidth="1"/>
    <col min="13" max="17" width="26.7265625" customWidth="1"/>
    <col min="18" max="24" width="8.7265625" customWidth="1"/>
    <col min="25" max="25" width="23.26953125" customWidth="1"/>
    <col min="26" max="26" width="11.453125" customWidth="1"/>
    <col min="27" max="27" width="13.81640625" customWidth="1"/>
    <col min="28" max="28" width="20.54296875" customWidth="1"/>
    <col min="29" max="29" width="30.81640625" customWidth="1"/>
    <col min="31" max="31" width="8.7265625" customWidth="1"/>
    <col min="32" max="32" width="18" customWidth="1"/>
    <col min="34" max="34" width="75.453125" customWidth="1"/>
    <col min="35" max="35" width="13.1796875" customWidth="1"/>
    <col min="36" max="36" width="19.1796875" customWidth="1"/>
    <col min="37" max="37" width="28" customWidth="1"/>
    <col min="38" max="38" width="26.453125" customWidth="1"/>
    <col min="39" max="39" width="19.81640625" customWidth="1"/>
    <col min="40" max="40" width="31.7265625" customWidth="1"/>
    <col min="41" max="41" width="26.453125" customWidth="1"/>
    <col min="42" max="42" width="8.7265625" customWidth="1"/>
    <col min="43" max="43" width="12.1796875" customWidth="1"/>
    <col min="44" max="44" width="7.81640625" customWidth="1"/>
    <col min="45" max="45" width="7.54296875" customWidth="1"/>
    <col min="46" max="46" width="10.1796875" customWidth="1"/>
    <col min="47" max="47" width="21.1796875" customWidth="1"/>
    <col min="48" max="48" width="6.1796875" customWidth="1"/>
    <col min="49" max="49" width="18.81640625" customWidth="1"/>
    <col min="50" max="50" width="18.54296875" customWidth="1"/>
    <col min="51" max="51" width="13.81640625" customWidth="1"/>
    <col min="52" max="52" width="15.1796875" customWidth="1"/>
    <col min="53" max="53" width="24.81640625" customWidth="1"/>
    <col min="54" max="54" width="15" customWidth="1"/>
    <col min="55" max="55" width="11.1796875" customWidth="1"/>
    <col min="56" max="56" width="14.54296875" customWidth="1"/>
    <col min="57" max="57" width="8.7265625" customWidth="1"/>
    <col min="58" max="58" width="14.81640625" customWidth="1"/>
    <col min="59" max="59" width="11.54296875" customWidth="1"/>
    <col min="60" max="60" width="11.1796875" customWidth="1"/>
    <col min="61" max="61" width="14.54296875" customWidth="1"/>
    <col min="62" max="62" width="9.1796875" customWidth="1"/>
    <col min="63" max="63" width="7.1796875" customWidth="1"/>
    <col min="64" max="64" width="15.1796875" customWidth="1"/>
    <col min="65" max="65" width="14" customWidth="1"/>
    <col min="66" max="66" width="12.54296875" customWidth="1"/>
    <col min="67" max="70" width="8.7265625" customWidth="1"/>
    <col min="72" max="72" width="14.7265625" customWidth="1"/>
    <col min="73" max="73" width="12.81640625" customWidth="1"/>
    <col min="74" max="74" width="10.54296875" customWidth="1"/>
    <col min="75" max="77" width="8.7265625" customWidth="1"/>
    <col min="78" max="78" width="21.54296875" customWidth="1"/>
    <col min="79" max="79" width="23.26953125" customWidth="1"/>
    <col min="80" max="88" width="8.7265625" customWidth="1"/>
    <col min="89" max="89" width="29.453125" customWidth="1"/>
    <col min="90" max="90" width="8.7265625" customWidth="1"/>
    <col min="91" max="91" width="20.54296875" customWidth="1"/>
    <col min="92" max="92" width="24.1796875" customWidth="1"/>
    <col min="93" max="93" width="15.54296875" customWidth="1"/>
    <col min="94" max="94" width="15.7265625" customWidth="1"/>
    <col min="95" max="95" width="16.81640625" customWidth="1"/>
    <col min="96" max="96" width="25.1796875" customWidth="1"/>
    <col min="97" max="97" width="35.453125" customWidth="1"/>
    <col min="98" max="98" width="54.81640625" customWidth="1"/>
    <col min="99" max="99" width="34.453125" customWidth="1"/>
  </cols>
  <sheetData>
    <row r="1" ht="14.5" customHeight="1" spans="1:99" s="1" customFormat="1" x14ac:dyDescent="0.25">
      <c r="A1" s="2" t="s">
        <v>0</v>
      </c>
      <c r="B1" s="3" t="s">
        <v>1</v>
      </c>
      <c r="C1" s="2" t="s">
        <v>2</v>
      </c>
      <c r="D1" s="4" t="s">
        <v>3</v>
      </c>
      <c r="E1" s="5" t="s">
        <v>4</v>
      </c>
      <c r="F1" s="6" t="s">
        <v>5</v>
      </c>
      <c r="G1" s="6" t="s">
        <v>6</v>
      </c>
      <c r="H1" s="7" t="s">
        <v>7</v>
      </c>
      <c r="I1" s="7" t="s">
        <v>8</v>
      </c>
      <c r="J1" s="7" t="s">
        <v>9</v>
      </c>
      <c r="K1" s="8" t="s">
        <v>10</v>
      </c>
      <c r="L1" s="5" t="s">
        <v>4</v>
      </c>
      <c r="M1" s="9" t="s">
        <v>11</v>
      </c>
      <c r="N1" s="7" t="s">
        <v>12</v>
      </c>
      <c r="O1" s="10" t="s">
        <v>13</v>
      </c>
      <c r="P1" s="11" t="s">
        <v>14</v>
      </c>
      <c r="Q1" s="7" t="s">
        <v>15</v>
      </c>
      <c r="R1" s="7" t="s">
        <v>16</v>
      </c>
      <c r="S1" s="12" t="s">
        <v>17</v>
      </c>
      <c r="T1" s="12" t="s">
        <v>18</v>
      </c>
      <c r="U1" s="7" t="s">
        <v>9</v>
      </c>
      <c r="V1" s="13" t="s">
        <v>19</v>
      </c>
      <c r="W1" s="14" t="s">
        <v>20</v>
      </c>
      <c r="X1" s="7" t="s">
        <v>9</v>
      </c>
      <c r="Y1" s="15" t="s">
        <v>21</v>
      </c>
      <c r="Z1" s="7" t="s">
        <v>22</v>
      </c>
      <c r="AA1" s="13" t="s">
        <v>23</v>
      </c>
      <c r="AB1" s="16" t="s">
        <v>24</v>
      </c>
      <c r="AC1" s="16" t="s">
        <v>25</v>
      </c>
      <c r="AD1" s="16" t="s">
        <v>26</v>
      </c>
      <c r="AE1" s="5" t="s">
        <v>27</v>
      </c>
      <c r="AF1" s="5" t="s">
        <v>28</v>
      </c>
      <c r="AG1" s="16" t="s">
        <v>29</v>
      </c>
      <c r="AH1" s="17" t="s">
        <v>30</v>
      </c>
      <c r="AI1" s="18" t="s">
        <v>31</v>
      </c>
      <c r="AJ1" s="19" t="s">
        <v>32</v>
      </c>
      <c r="AK1" s="20" t="s">
        <v>33</v>
      </c>
      <c r="AL1" s="7" t="s">
        <v>34</v>
      </c>
      <c r="AM1" s="17" t="s">
        <v>35</v>
      </c>
      <c r="AN1" s="16" t="s">
        <v>36</v>
      </c>
      <c r="AO1" s="7" t="s">
        <v>37</v>
      </c>
      <c r="AP1" s="21" t="s">
        <v>38</v>
      </c>
      <c r="AQ1" s="7" t="s">
        <v>39</v>
      </c>
      <c r="AR1" s="22" t="s">
        <v>40</v>
      </c>
      <c r="AS1" s="13" t="s">
        <v>22</v>
      </c>
      <c r="AT1" s="7" t="s">
        <v>41</v>
      </c>
      <c r="AU1" s="22" t="s">
        <v>42</v>
      </c>
      <c r="AV1" s="13" t="s">
        <v>43</v>
      </c>
      <c r="AW1" s="23" t="s">
        <v>44</v>
      </c>
      <c r="AX1" s="23" t="s">
        <v>45</v>
      </c>
      <c r="AY1" s="24" t="s">
        <v>46</v>
      </c>
      <c r="AZ1" s="12" t="s">
        <v>47</v>
      </c>
      <c r="BA1" s="12" t="s">
        <v>48</v>
      </c>
      <c r="BB1" s="25" t="s">
        <v>49</v>
      </c>
      <c r="BC1" s="13" t="s">
        <v>50</v>
      </c>
      <c r="BD1" s="13" t="s">
        <v>51</v>
      </c>
      <c r="BE1" s="12" t="s">
        <v>52</v>
      </c>
      <c r="BF1" s="12" t="s">
        <v>53</v>
      </c>
      <c r="BG1" s="22" t="s">
        <v>54</v>
      </c>
      <c r="BH1" s="13" t="s">
        <v>55</v>
      </c>
      <c r="BI1" s="13" t="s">
        <v>56</v>
      </c>
      <c r="BJ1" s="5" t="s">
        <v>57</v>
      </c>
      <c r="BK1" s="21" t="s">
        <v>58</v>
      </c>
      <c r="BL1" s="26" t="s">
        <v>59</v>
      </c>
      <c r="BM1" s="27" t="s">
        <v>60</v>
      </c>
      <c r="BN1" s="12" t="s">
        <v>61</v>
      </c>
      <c r="BO1" s="28" t="s">
        <v>62</v>
      </c>
      <c r="BP1" s="29" t="s">
        <v>63</v>
      </c>
      <c r="BQ1" s="12" t="s">
        <v>64</v>
      </c>
      <c r="BR1" s="12" t="s">
        <v>65</v>
      </c>
      <c r="BS1" s="17" t="s">
        <v>66</v>
      </c>
      <c r="BT1" s="17" t="s">
        <v>67</v>
      </c>
      <c r="BU1" s="28" t="s">
        <v>68</v>
      </c>
      <c r="BV1" s="28" t="s">
        <v>69</v>
      </c>
      <c r="BW1" s="12" t="s">
        <v>70</v>
      </c>
      <c r="BX1" s="30" t="s">
        <v>71</v>
      </c>
      <c r="BY1" s="12" t="s">
        <v>72</v>
      </c>
      <c r="BZ1" s="12" t="s">
        <v>73</v>
      </c>
      <c r="CA1" s="12" t="s">
        <v>74</v>
      </c>
      <c r="CB1" s="12" t="s">
        <v>75</v>
      </c>
      <c r="CC1" s="30" t="s">
        <v>76</v>
      </c>
      <c r="CD1" s="7" t="s">
        <v>77</v>
      </c>
      <c r="CE1" s="12" t="s">
        <v>78</v>
      </c>
      <c r="CF1" s="12" t="s">
        <v>79</v>
      </c>
      <c r="CG1" s="12" t="s">
        <v>80</v>
      </c>
      <c r="CH1" s="12" t="s">
        <v>81</v>
      </c>
      <c r="CI1" s="31" t="s">
        <v>82</v>
      </c>
      <c r="CJ1" s="12" t="s">
        <v>83</v>
      </c>
      <c r="CK1" s="12" t="s">
        <v>84</v>
      </c>
      <c r="CL1" s="12" t="s">
        <v>4</v>
      </c>
      <c r="CM1" s="12" t="s">
        <v>85</v>
      </c>
      <c r="CN1" s="12" t="s">
        <v>86</v>
      </c>
      <c r="CO1" s="17" t="s">
        <v>87</v>
      </c>
      <c r="CP1" s="17" t="s">
        <v>88</v>
      </c>
      <c r="CQ1" s="32" t="s">
        <v>89</v>
      </c>
      <c r="CR1" s="33" t="s">
        <v>90</v>
      </c>
      <c r="CS1" s="17" t="s">
        <v>91</v>
      </c>
      <c r="CT1" s="34" t="s">
        <v>92</v>
      </c>
      <c r="CU1" s="34" t="s">
        <v>93</v>
      </c>
    </row>
    <row r="2" ht="14.5" customHeight="1" spans="1:100" x14ac:dyDescent="0.25">
      <c r="A2" s="35" t="s">
        <v>94</v>
      </c>
      <c r="B2" s="36">
        <v>10698646</v>
      </c>
      <c r="C2" s="35" t="s">
        <v>95</v>
      </c>
      <c r="D2" s="37" t="s">
        <v>96</v>
      </c>
      <c r="E2" s="38" t="s">
        <v>97</v>
      </c>
      <c r="F2" s="39" t="s">
        <v>98</v>
      </c>
      <c r="G2" s="39" t="s">
        <v>99</v>
      </c>
      <c r="H2" s="40" t="s">
        <v>100</v>
      </c>
      <c r="I2" s="40" t="s">
        <v>101</v>
      </c>
      <c r="J2" s="40" t="s">
        <v>102</v>
      </c>
      <c r="K2" s="41">
        <f>Y2</f>
        <v>45658</v>
      </c>
      <c r="L2" s="38" t="s">
        <v>97</v>
      </c>
      <c r="M2" s="40" t="s">
        <v>103</v>
      </c>
      <c r="N2" s="40" t="s">
        <v>104</v>
      </c>
      <c r="O2" s="42" t="s">
        <v>105</v>
      </c>
      <c r="P2" s="38" t="s">
        <v>106</v>
      </c>
      <c r="Q2" s="40" t="s">
        <v>107</v>
      </c>
      <c r="R2" s="40" t="s">
        <v>108</v>
      </c>
      <c r="S2" s="43" t="s">
        <v>109</v>
      </c>
      <c r="T2" s="43" t="s">
        <v>109</v>
      </c>
      <c r="U2" s="40" t="s">
        <v>102</v>
      </c>
      <c r="V2" s="44" t="s">
        <v>110</v>
      </c>
      <c r="W2" s="45" t="s">
        <v>111</v>
      </c>
      <c r="X2" s="40" t="s">
        <v>102</v>
      </c>
      <c r="Y2" s="46">
        <v>45658</v>
      </c>
      <c r="Z2" s="40" t="s">
        <v>112</v>
      </c>
      <c r="AA2" s="47" t="s">
        <v>113</v>
      </c>
      <c r="AB2" s="48" t="s">
        <v>114</v>
      </c>
      <c r="AC2" s="48" t="s">
        <v>115</v>
      </c>
      <c r="AD2" s="48" t="s">
        <v>116</v>
      </c>
      <c r="AE2" s="38">
        <v>970</v>
      </c>
      <c r="AF2" s="38" t="s">
        <v>57</v>
      </c>
      <c r="AG2" s="48">
        <v>15</v>
      </c>
      <c r="AH2" s="49" t="s">
        <v>117</v>
      </c>
      <c r="AI2" s="48" t="s">
        <v>118</v>
      </c>
      <c r="AJ2" s="46">
        <f>Y2+365</f>
        <v>46023</v>
      </c>
      <c r="AK2" s="41">
        <f t="shared" ref="AK2:AK55" si="0">Y2+90</f>
        <v>45748</v>
      </c>
      <c r="AL2" s="40" t="s">
        <v>119</v>
      </c>
      <c r="AM2" s="49" t="s">
        <v>120</v>
      </c>
      <c r="AN2" s="48" t="s">
        <v>121</v>
      </c>
      <c r="AO2" s="40" t="s">
        <v>122</v>
      </c>
      <c r="AP2" s="50" t="s">
        <v>123</v>
      </c>
      <c r="AQ2" s="40" t="s">
        <v>124</v>
      </c>
      <c r="AR2" s="35" t="s">
        <v>124</v>
      </c>
      <c r="AS2" s="44" t="s">
        <v>113</v>
      </c>
      <c r="AT2" s="40" t="s">
        <v>125</v>
      </c>
      <c r="AU2" s="50" t="s">
        <v>126</v>
      </c>
      <c r="AV2" s="44" t="s">
        <v>127</v>
      </c>
      <c r="AW2" s="51">
        <f>Y2-1</f>
        <v>45657</v>
      </c>
      <c r="AX2" s="51">
        <f t="shared" ref="AX2:AX65" si="1">Y2-1</f>
        <v>45657</v>
      </c>
      <c r="AY2" s="41">
        <f t="shared" ref="AY2:AY65" si="2">AJ2</f>
        <v>46023</v>
      </c>
      <c r="AZ2" s="43" t="s">
        <v>97</v>
      </c>
      <c r="BA2" s="43" t="s">
        <v>128</v>
      </c>
      <c r="BB2" s="52" t="s">
        <v>129</v>
      </c>
      <c r="BC2" s="44" t="s">
        <v>130</v>
      </c>
      <c r="BD2" s="44" t="s">
        <v>131</v>
      </c>
      <c r="BE2" s="43" t="s">
        <v>97</v>
      </c>
      <c r="BF2" s="43" t="s">
        <v>132</v>
      </c>
      <c r="BG2" s="50">
        <v>5955210030</v>
      </c>
      <c r="BH2" s="44">
        <v>36526</v>
      </c>
      <c r="BI2" s="44">
        <v>51136</v>
      </c>
      <c r="BJ2" s="38" t="s">
        <v>133</v>
      </c>
      <c r="BK2" s="50" t="s">
        <v>134</v>
      </c>
      <c r="BL2" s="53">
        <v>27396</v>
      </c>
      <c r="BM2" s="54" t="s">
        <v>97</v>
      </c>
      <c r="BN2" s="43" t="s">
        <v>109</v>
      </c>
      <c r="BO2" s="38" t="s">
        <v>135</v>
      </c>
      <c r="BP2" s="55" t="s">
        <v>113</v>
      </c>
      <c r="BQ2" s="43" t="s">
        <v>136</v>
      </c>
      <c r="BR2" s="43" t="s">
        <v>97</v>
      </c>
      <c r="BS2" s="49" t="s">
        <v>124</v>
      </c>
      <c r="BT2" s="49" t="s">
        <v>113</v>
      </c>
      <c r="BU2" s="38" t="s">
        <v>137</v>
      </c>
      <c r="BV2" s="38" t="s">
        <v>138</v>
      </c>
      <c r="BW2" s="43" t="s">
        <v>139</v>
      </c>
      <c r="BX2" s="56" t="s">
        <v>140</v>
      </c>
      <c r="BY2" s="43" t="s">
        <v>141</v>
      </c>
      <c r="BZ2" s="43" t="s">
        <v>142</v>
      </c>
      <c r="CA2" s="43" t="s">
        <v>143</v>
      </c>
      <c r="CB2" s="43" t="s">
        <v>144</v>
      </c>
      <c r="CC2" s="56" t="s">
        <v>139</v>
      </c>
      <c r="CD2" s="40" t="s">
        <v>140</v>
      </c>
      <c r="CE2" s="43" t="s">
        <v>141</v>
      </c>
      <c r="CF2" s="43" t="s">
        <v>145</v>
      </c>
      <c r="CG2" s="43" t="s">
        <v>146</v>
      </c>
      <c r="CH2" s="43" t="s">
        <v>145</v>
      </c>
      <c r="CI2" s="57">
        <v>100</v>
      </c>
      <c r="CJ2" s="43" t="s">
        <v>147</v>
      </c>
      <c r="CK2" s="43" t="s">
        <v>148</v>
      </c>
      <c r="CL2" s="43" t="s">
        <v>97</v>
      </c>
      <c r="CM2" s="43" t="s">
        <v>149</v>
      </c>
      <c r="CN2" s="43" t="s">
        <v>150</v>
      </c>
      <c r="CO2" s="49" t="s">
        <v>113</v>
      </c>
      <c r="CP2" s="49" t="s">
        <v>113</v>
      </c>
      <c r="CQ2" s="58" t="s">
        <v>113</v>
      </c>
      <c r="CR2" s="53" t="s">
        <v>113</v>
      </c>
      <c r="CS2" s="49" t="s">
        <v>113</v>
      </c>
      <c r="CT2" s="59" t="s">
        <v>113</v>
      </c>
      <c r="CU2" s="59" t="s">
        <v>113</v>
      </c>
      <c r="CV2" s="35" t="s">
        <v>94</v>
      </c>
    </row>
    <row r="3" ht="14.5" customHeight="1" spans="1:100" x14ac:dyDescent="0.25">
      <c r="A3" s="35" t="s">
        <v>151</v>
      </c>
      <c r="B3" s="36">
        <v>10698647</v>
      </c>
      <c r="C3" s="35" t="s">
        <v>95</v>
      </c>
      <c r="D3" s="37" t="s">
        <v>96</v>
      </c>
      <c r="E3" s="38" t="s">
        <v>97</v>
      </c>
      <c r="F3" s="39" t="s">
        <v>152</v>
      </c>
      <c r="G3" s="39" t="s">
        <v>153</v>
      </c>
      <c r="H3" s="40" t="s">
        <v>100</v>
      </c>
      <c r="I3" s="40" t="s">
        <v>101</v>
      </c>
      <c r="J3" s="40" t="s">
        <v>102</v>
      </c>
      <c r="K3" s="41">
        <f t="shared" ref="K3:K45" si="3">Y3</f>
        <v>45658</v>
      </c>
      <c r="L3" s="38" t="s">
        <v>97</v>
      </c>
      <c r="M3" s="40" t="s">
        <v>103</v>
      </c>
      <c r="N3" s="40" t="s">
        <v>154</v>
      </c>
      <c r="O3" s="42" t="s">
        <v>105</v>
      </c>
      <c r="P3" s="38" t="s">
        <v>155</v>
      </c>
      <c r="Q3" s="40" t="s">
        <v>107</v>
      </c>
      <c r="R3" s="40" t="s">
        <v>108</v>
      </c>
      <c r="S3" s="43" t="s">
        <v>109</v>
      </c>
      <c r="T3" s="43" t="s">
        <v>109</v>
      </c>
      <c r="U3" s="40" t="s">
        <v>102</v>
      </c>
      <c r="V3" s="44" t="s">
        <v>110</v>
      </c>
      <c r="W3" s="45" t="s">
        <v>111</v>
      </c>
      <c r="X3" s="40" t="s">
        <v>102</v>
      </c>
      <c r="Y3" s="46">
        <v>45658</v>
      </c>
      <c r="Z3" s="40" t="s">
        <v>112</v>
      </c>
      <c r="AA3" s="47" t="s">
        <v>113</v>
      </c>
      <c r="AB3" s="48" t="s">
        <v>114</v>
      </c>
      <c r="AC3" s="48" t="s">
        <v>115</v>
      </c>
      <c r="AD3" s="48" t="s">
        <v>116</v>
      </c>
      <c r="AE3" s="38">
        <v>970</v>
      </c>
      <c r="AF3" s="38" t="s">
        <v>57</v>
      </c>
      <c r="AG3" s="48">
        <v>15</v>
      </c>
      <c r="AH3" s="49" t="s">
        <v>117</v>
      </c>
      <c r="AI3" s="48" t="s">
        <v>118</v>
      </c>
      <c r="AJ3" s="46">
        <f t="shared" ref="AJ3:AJ19" si="4">Y3+365</f>
        <v>46023</v>
      </c>
      <c r="AK3" s="41">
        <f t="shared" si="0"/>
        <v>45748</v>
      </c>
      <c r="AL3" s="40" t="s">
        <v>119</v>
      </c>
      <c r="AM3" s="49" t="s">
        <v>120</v>
      </c>
      <c r="AN3" s="48" t="s">
        <v>121</v>
      </c>
      <c r="AO3" s="40" t="s">
        <v>122</v>
      </c>
      <c r="AP3" s="50" t="s">
        <v>123</v>
      </c>
      <c r="AQ3" s="40" t="s">
        <v>124</v>
      </c>
      <c r="AR3" s="35" t="s">
        <v>124</v>
      </c>
      <c r="AS3" s="44" t="s">
        <v>113</v>
      </c>
      <c r="AT3" s="40" t="s">
        <v>125</v>
      </c>
      <c r="AU3" s="50" t="s">
        <v>126</v>
      </c>
      <c r="AV3" s="44" t="s">
        <v>127</v>
      </c>
      <c r="AW3" s="51">
        <f t="shared" ref="AW3:AW66" si="5">Y3-1</f>
        <v>45657</v>
      </c>
      <c r="AX3" s="51">
        <f t="shared" si="1"/>
        <v>45657</v>
      </c>
      <c r="AY3" s="41">
        <f t="shared" si="2"/>
        <v>46023</v>
      </c>
      <c r="AZ3" s="43" t="s">
        <v>97</v>
      </c>
      <c r="BA3" s="43" t="s">
        <v>128</v>
      </c>
      <c r="BB3" s="52" t="s">
        <v>156</v>
      </c>
      <c r="BC3" s="44">
        <v>36526</v>
      </c>
      <c r="BD3" s="44">
        <v>51136</v>
      </c>
      <c r="BE3" s="43" t="s">
        <v>97</v>
      </c>
      <c r="BF3" s="43" t="s">
        <v>132</v>
      </c>
      <c r="BG3" s="50">
        <v>5855210031</v>
      </c>
      <c r="BH3" s="44">
        <v>36526</v>
      </c>
      <c r="BI3" s="44">
        <v>51136</v>
      </c>
      <c r="BJ3" s="38" t="s">
        <v>133</v>
      </c>
      <c r="BK3" s="50" t="s">
        <v>157</v>
      </c>
      <c r="BL3" s="53">
        <v>32144</v>
      </c>
      <c r="BM3" s="54" t="s">
        <v>97</v>
      </c>
      <c r="BN3" s="43" t="s">
        <v>109</v>
      </c>
      <c r="BO3" s="38" t="s">
        <v>135</v>
      </c>
      <c r="BP3" s="55" t="s">
        <v>113</v>
      </c>
      <c r="BQ3" s="43" t="s">
        <v>136</v>
      </c>
      <c r="BR3" s="43" t="s">
        <v>97</v>
      </c>
      <c r="BS3" s="49" t="s">
        <v>124</v>
      </c>
      <c r="BT3" s="49" t="s">
        <v>113</v>
      </c>
      <c r="BU3" s="38" t="s">
        <v>137</v>
      </c>
      <c r="BV3" s="38" t="s">
        <v>138</v>
      </c>
      <c r="BW3" s="43" t="s">
        <v>139</v>
      </c>
      <c r="BX3" s="56" t="s">
        <v>158</v>
      </c>
      <c r="BY3" s="43" t="s">
        <v>141</v>
      </c>
      <c r="BZ3" s="43" t="s">
        <v>142</v>
      </c>
      <c r="CA3" s="43" t="s">
        <v>143</v>
      </c>
      <c r="CB3" s="43" t="s">
        <v>144</v>
      </c>
      <c r="CC3" s="56" t="s">
        <v>139</v>
      </c>
      <c r="CD3" s="40" t="s">
        <v>140</v>
      </c>
      <c r="CE3" s="43" t="s">
        <v>141</v>
      </c>
      <c r="CF3" s="43" t="s">
        <v>145</v>
      </c>
      <c r="CG3" s="43" t="s">
        <v>146</v>
      </c>
      <c r="CH3" s="43" t="s">
        <v>145</v>
      </c>
      <c r="CI3" s="57">
        <v>100</v>
      </c>
      <c r="CJ3" s="43" t="s">
        <v>147</v>
      </c>
      <c r="CK3" s="43" t="s">
        <v>148</v>
      </c>
      <c r="CL3" s="43" t="s">
        <v>97</v>
      </c>
      <c r="CM3" s="43" t="s">
        <v>159</v>
      </c>
      <c r="CN3" s="43" t="s">
        <v>150</v>
      </c>
      <c r="CO3" s="49" t="s">
        <v>160</v>
      </c>
      <c r="CP3" s="49" t="s">
        <v>161</v>
      </c>
      <c r="CQ3" s="58" t="s">
        <v>109</v>
      </c>
      <c r="CR3" s="53">
        <f>TODAY()-1500</f>
        <v>44271</v>
      </c>
      <c r="CS3" s="49" t="s">
        <v>162</v>
      </c>
      <c r="CT3" s="59">
        <v>1234022</v>
      </c>
      <c r="CU3" s="59">
        <v>123456015</v>
      </c>
      <c r="CV3" s="35" t="s">
        <v>151</v>
      </c>
    </row>
    <row r="4" ht="14.5" customHeight="1" spans="1:100" x14ac:dyDescent="0.25">
      <c r="A4" s="35" t="s">
        <v>163</v>
      </c>
      <c r="B4" s="60">
        <v>10698648</v>
      </c>
      <c r="C4" s="35" t="s">
        <v>95</v>
      </c>
      <c r="D4" s="37" t="s">
        <v>96</v>
      </c>
      <c r="E4" s="38" t="s">
        <v>97</v>
      </c>
      <c r="F4" s="39" t="s">
        <v>164</v>
      </c>
      <c r="G4" s="39" t="s">
        <v>153</v>
      </c>
      <c r="H4" s="40" t="s">
        <v>100</v>
      </c>
      <c r="I4" s="40" t="s">
        <v>101</v>
      </c>
      <c r="J4" s="40" t="s">
        <v>102</v>
      </c>
      <c r="K4" s="41">
        <f t="shared" si="3"/>
        <v>45292</v>
      </c>
      <c r="L4" s="38" t="s">
        <v>97</v>
      </c>
      <c r="M4" s="40" t="s">
        <v>103</v>
      </c>
      <c r="N4" s="40" t="s">
        <v>104</v>
      </c>
      <c r="O4" s="42" t="s">
        <v>105</v>
      </c>
      <c r="P4" s="38" t="s">
        <v>106</v>
      </c>
      <c r="Q4" s="40" t="s">
        <v>107</v>
      </c>
      <c r="R4" s="40" t="s">
        <v>108</v>
      </c>
      <c r="S4" s="43" t="s">
        <v>109</v>
      </c>
      <c r="T4" s="43" t="s">
        <v>109</v>
      </c>
      <c r="U4" s="40" t="s">
        <v>102</v>
      </c>
      <c r="V4" s="44" t="s">
        <v>110</v>
      </c>
      <c r="W4" s="45" t="s">
        <v>111</v>
      </c>
      <c r="X4" s="40" t="s">
        <v>102</v>
      </c>
      <c r="Y4" s="46">
        <v>45292</v>
      </c>
      <c r="Z4" s="40" t="s">
        <v>112</v>
      </c>
      <c r="AA4" s="47" t="s">
        <v>113</v>
      </c>
      <c r="AB4" s="48" t="s">
        <v>114</v>
      </c>
      <c r="AC4" s="48" t="s">
        <v>115</v>
      </c>
      <c r="AD4" s="39" t="s">
        <v>116</v>
      </c>
      <c r="AE4" s="38">
        <v>970</v>
      </c>
      <c r="AF4" s="38" t="s">
        <v>57</v>
      </c>
      <c r="AG4" s="39">
        <v>15</v>
      </c>
      <c r="AH4" s="39" t="s">
        <v>117</v>
      </c>
      <c r="AI4" s="48" t="s">
        <v>118</v>
      </c>
      <c r="AJ4" s="46">
        <f>Y4+735</f>
        <v>46027</v>
      </c>
      <c r="AK4" s="41">
        <f t="shared" si="0"/>
        <v>45382</v>
      </c>
      <c r="AL4" s="40" t="s">
        <v>119</v>
      </c>
      <c r="AM4" s="49" t="s">
        <v>120</v>
      </c>
      <c r="AN4" s="48" t="s">
        <v>165</v>
      </c>
      <c r="AO4" s="40" t="s">
        <v>122</v>
      </c>
      <c r="AP4" s="50" t="s">
        <v>123</v>
      </c>
      <c r="AQ4" s="40" t="s">
        <v>124</v>
      </c>
      <c r="AR4" s="35" t="s">
        <v>124</v>
      </c>
      <c r="AS4" s="44" t="s">
        <v>113</v>
      </c>
      <c r="AT4" s="40" t="s">
        <v>125</v>
      </c>
      <c r="AU4" s="50" t="s">
        <v>126</v>
      </c>
      <c r="AV4" s="44" t="s">
        <v>127</v>
      </c>
      <c r="AW4" s="51">
        <f t="shared" si="5"/>
        <v>45291</v>
      </c>
      <c r="AX4" s="51">
        <f t="shared" si="1"/>
        <v>45291</v>
      </c>
      <c r="AY4" s="41">
        <f t="shared" si="2"/>
        <v>46027</v>
      </c>
      <c r="AZ4" s="43" t="s">
        <v>97</v>
      </c>
      <c r="BA4" s="43" t="s">
        <v>128</v>
      </c>
      <c r="BB4" s="52" t="s">
        <v>166</v>
      </c>
      <c r="BC4" s="44" t="s">
        <v>130</v>
      </c>
      <c r="BD4" s="44" t="s">
        <v>131</v>
      </c>
      <c r="BE4" s="43" t="s">
        <v>97</v>
      </c>
      <c r="BF4" s="43" t="s">
        <v>132</v>
      </c>
      <c r="BG4" s="50">
        <v>5855210032</v>
      </c>
      <c r="BH4" s="44">
        <v>36526</v>
      </c>
      <c r="BI4" s="44">
        <v>51136</v>
      </c>
      <c r="BJ4" s="38" t="s">
        <v>133</v>
      </c>
      <c r="BK4" s="50" t="s">
        <v>134</v>
      </c>
      <c r="BL4" s="53">
        <v>32875</v>
      </c>
      <c r="BM4" s="54" t="s">
        <v>97</v>
      </c>
      <c r="BN4" s="43" t="s">
        <v>109</v>
      </c>
      <c r="BO4" s="38" t="s">
        <v>135</v>
      </c>
      <c r="BP4" s="55" t="s">
        <v>113</v>
      </c>
      <c r="BQ4" s="43" t="s">
        <v>136</v>
      </c>
      <c r="BR4" s="43" t="s">
        <v>97</v>
      </c>
      <c r="BS4" s="39" t="s">
        <v>123</v>
      </c>
      <c r="BT4" s="39">
        <v>10</v>
      </c>
      <c r="BU4" s="38" t="s">
        <v>137</v>
      </c>
      <c r="BV4" s="38" t="s">
        <v>138</v>
      </c>
      <c r="BW4" s="43" t="s">
        <v>139</v>
      </c>
      <c r="BX4" s="56" t="s">
        <v>140</v>
      </c>
      <c r="BY4" s="43" t="s">
        <v>141</v>
      </c>
      <c r="BZ4" s="43" t="s">
        <v>142</v>
      </c>
      <c r="CA4" s="43" t="s">
        <v>143</v>
      </c>
      <c r="CB4" s="43" t="s">
        <v>144</v>
      </c>
      <c r="CC4" s="56" t="s">
        <v>139</v>
      </c>
      <c r="CD4" s="40" t="s">
        <v>140</v>
      </c>
      <c r="CE4" s="43" t="s">
        <v>141</v>
      </c>
      <c r="CF4" s="43" t="s">
        <v>145</v>
      </c>
      <c r="CG4" s="43" t="s">
        <v>146</v>
      </c>
      <c r="CH4" s="43" t="s">
        <v>145</v>
      </c>
      <c r="CI4" s="57">
        <v>100</v>
      </c>
      <c r="CJ4" s="43" t="s">
        <v>147</v>
      </c>
      <c r="CK4" s="43" t="s">
        <v>148</v>
      </c>
      <c r="CL4" s="43" t="s">
        <v>97</v>
      </c>
      <c r="CM4" s="43" t="s">
        <v>149</v>
      </c>
      <c r="CN4" s="43" t="s">
        <v>150</v>
      </c>
      <c r="CO4" s="39" t="s">
        <v>113</v>
      </c>
      <c r="CP4" s="39" t="s">
        <v>113</v>
      </c>
      <c r="CQ4" s="39" t="s">
        <v>113</v>
      </c>
      <c r="CR4" s="39" t="s">
        <v>113</v>
      </c>
      <c r="CS4" s="39" t="s">
        <v>113</v>
      </c>
      <c r="CT4" s="39" t="s">
        <v>113</v>
      </c>
      <c r="CU4" s="39" t="s">
        <v>113</v>
      </c>
      <c r="CV4" s="35" t="s">
        <v>163</v>
      </c>
    </row>
    <row r="5" ht="14.5" customHeight="1" spans="1:100" x14ac:dyDescent="0.25">
      <c r="A5" s="35" t="s">
        <v>167</v>
      </c>
      <c r="B5" s="35" t="s">
        <v>168</v>
      </c>
      <c r="C5" s="35" t="s">
        <v>95</v>
      </c>
      <c r="D5" s="37" t="s">
        <v>96</v>
      </c>
      <c r="E5" s="38" t="s">
        <v>97</v>
      </c>
      <c r="F5" s="39" t="s">
        <v>169</v>
      </c>
      <c r="G5" s="39" t="s">
        <v>153</v>
      </c>
      <c r="H5" s="40" t="s">
        <v>100</v>
      </c>
      <c r="I5" s="40" t="s">
        <v>101</v>
      </c>
      <c r="J5" s="40" t="s">
        <v>102</v>
      </c>
      <c r="K5" s="41">
        <f t="shared" si="3"/>
        <v>45658</v>
      </c>
      <c r="L5" s="38" t="s">
        <v>97</v>
      </c>
      <c r="M5" s="40" t="s">
        <v>103</v>
      </c>
      <c r="N5" s="40" t="s">
        <v>154</v>
      </c>
      <c r="O5" s="42" t="s">
        <v>105</v>
      </c>
      <c r="P5" s="38" t="s">
        <v>155</v>
      </c>
      <c r="Q5" s="40" t="s">
        <v>107</v>
      </c>
      <c r="R5" s="40" t="s">
        <v>108</v>
      </c>
      <c r="S5" s="43" t="s">
        <v>109</v>
      </c>
      <c r="T5" s="43" t="s">
        <v>109</v>
      </c>
      <c r="U5" s="40" t="s">
        <v>102</v>
      </c>
      <c r="V5" s="44" t="s">
        <v>110</v>
      </c>
      <c r="W5" s="45" t="s">
        <v>111</v>
      </c>
      <c r="X5" s="40" t="s">
        <v>102</v>
      </c>
      <c r="Y5" s="46">
        <v>45658</v>
      </c>
      <c r="Z5" s="40" t="s">
        <v>112</v>
      </c>
      <c r="AA5" s="47" t="s">
        <v>113</v>
      </c>
      <c r="AB5" s="48" t="s">
        <v>114</v>
      </c>
      <c r="AC5" s="48" t="s">
        <v>115</v>
      </c>
      <c r="AD5" s="39" t="s">
        <v>116</v>
      </c>
      <c r="AE5" s="38">
        <v>970</v>
      </c>
      <c r="AF5" s="38" t="s">
        <v>57</v>
      </c>
      <c r="AG5" s="48">
        <v>15</v>
      </c>
      <c r="AH5" s="49" t="s">
        <v>170</v>
      </c>
      <c r="AI5" s="48" t="s">
        <v>118</v>
      </c>
      <c r="AJ5" s="46">
        <f t="shared" si="4"/>
        <v>46023</v>
      </c>
      <c r="AK5" s="41">
        <f t="shared" si="0"/>
        <v>45748</v>
      </c>
      <c r="AL5" s="40" t="s">
        <v>119</v>
      </c>
      <c r="AM5" s="49" t="s">
        <v>120</v>
      </c>
      <c r="AN5" s="48" t="s">
        <v>121</v>
      </c>
      <c r="AO5" s="40" t="s">
        <v>122</v>
      </c>
      <c r="AP5" s="50" t="s">
        <v>123</v>
      </c>
      <c r="AQ5" s="40" t="s">
        <v>124</v>
      </c>
      <c r="AR5" s="35" t="s">
        <v>124</v>
      </c>
      <c r="AS5" s="44" t="s">
        <v>113</v>
      </c>
      <c r="AT5" s="40" t="s">
        <v>125</v>
      </c>
      <c r="AU5" s="50" t="s">
        <v>126</v>
      </c>
      <c r="AV5" s="44" t="s">
        <v>127</v>
      </c>
      <c r="AW5" s="51">
        <f t="shared" si="5"/>
        <v>45657</v>
      </c>
      <c r="AX5" s="51">
        <f t="shared" si="1"/>
        <v>45657</v>
      </c>
      <c r="AY5" s="41">
        <f t="shared" si="2"/>
        <v>46023</v>
      </c>
      <c r="AZ5" s="43" t="s">
        <v>97</v>
      </c>
      <c r="BA5" s="43" t="s">
        <v>128</v>
      </c>
      <c r="BB5" s="52" t="s">
        <v>171</v>
      </c>
      <c r="BC5" s="44">
        <v>36526</v>
      </c>
      <c r="BD5" s="44">
        <v>51136</v>
      </c>
      <c r="BE5" s="43" t="s">
        <v>97</v>
      </c>
      <c r="BF5" s="43" t="s">
        <v>132</v>
      </c>
      <c r="BG5" s="50">
        <v>5855210033</v>
      </c>
      <c r="BH5" s="44">
        <v>36526</v>
      </c>
      <c r="BI5" s="44">
        <v>51136</v>
      </c>
      <c r="BJ5" s="38" t="s">
        <v>133</v>
      </c>
      <c r="BK5" s="50" t="s">
        <v>157</v>
      </c>
      <c r="BL5" s="53">
        <v>32144</v>
      </c>
      <c r="BM5" s="54" t="s">
        <v>97</v>
      </c>
      <c r="BN5" s="43" t="s">
        <v>109</v>
      </c>
      <c r="BO5" s="38" t="s">
        <v>135</v>
      </c>
      <c r="BP5" s="55" t="s">
        <v>113</v>
      </c>
      <c r="BQ5" s="43" t="s">
        <v>136</v>
      </c>
      <c r="BR5" s="43" t="s">
        <v>97</v>
      </c>
      <c r="BS5" s="39" t="s">
        <v>124</v>
      </c>
      <c r="BT5" s="39" t="s">
        <v>113</v>
      </c>
      <c r="BU5" s="38" t="s">
        <v>137</v>
      </c>
      <c r="BV5" s="38" t="s">
        <v>138</v>
      </c>
      <c r="BW5" s="43" t="s">
        <v>139</v>
      </c>
      <c r="BX5" s="56" t="s">
        <v>158</v>
      </c>
      <c r="BY5" s="43" t="s">
        <v>141</v>
      </c>
      <c r="BZ5" s="43" t="s">
        <v>142</v>
      </c>
      <c r="CA5" s="43" t="s">
        <v>143</v>
      </c>
      <c r="CB5" s="43" t="s">
        <v>144</v>
      </c>
      <c r="CC5" s="56" t="s">
        <v>139</v>
      </c>
      <c r="CD5" s="40" t="s">
        <v>140</v>
      </c>
      <c r="CE5" s="43" t="s">
        <v>141</v>
      </c>
      <c r="CF5" s="43" t="s">
        <v>145</v>
      </c>
      <c r="CG5" s="43" t="s">
        <v>146</v>
      </c>
      <c r="CH5" s="43" t="s">
        <v>145</v>
      </c>
      <c r="CI5" s="57">
        <v>100</v>
      </c>
      <c r="CJ5" s="43" t="s">
        <v>147</v>
      </c>
      <c r="CK5" s="43" t="s">
        <v>148</v>
      </c>
      <c r="CL5" s="43" t="s">
        <v>97</v>
      </c>
      <c r="CM5" s="43" t="s">
        <v>159</v>
      </c>
      <c r="CN5" s="43" t="s">
        <v>150</v>
      </c>
      <c r="CO5" s="39" t="s">
        <v>160</v>
      </c>
      <c r="CP5" s="39" t="s">
        <v>161</v>
      </c>
      <c r="CQ5" s="39" t="s">
        <v>109</v>
      </c>
      <c r="CR5" s="53">
        <f>TODAY()-1500</f>
        <v>44271</v>
      </c>
      <c r="CS5" s="39" t="s">
        <v>162</v>
      </c>
      <c r="CT5" s="59">
        <v>1234023</v>
      </c>
      <c r="CU5" s="59">
        <v>123456016</v>
      </c>
      <c r="CV5" s="35" t="s">
        <v>167</v>
      </c>
    </row>
    <row r="6" ht="14.5" customHeight="1" spans="1:100" x14ac:dyDescent="0.25">
      <c r="A6" s="35" t="s">
        <v>172</v>
      </c>
      <c r="B6" s="35" t="s">
        <v>173</v>
      </c>
      <c r="C6" s="35" t="s">
        <v>95</v>
      </c>
      <c r="D6" s="37" t="s">
        <v>96</v>
      </c>
      <c r="E6" s="38" t="s">
        <v>97</v>
      </c>
      <c r="F6" s="39" t="s">
        <v>174</v>
      </c>
      <c r="G6" s="39" t="s">
        <v>153</v>
      </c>
      <c r="H6" s="40" t="s">
        <v>100</v>
      </c>
      <c r="I6" s="40" t="s">
        <v>101</v>
      </c>
      <c r="J6" s="40" t="s">
        <v>102</v>
      </c>
      <c r="K6" s="41">
        <f t="shared" si="3"/>
        <v>45658</v>
      </c>
      <c r="L6" s="38" t="s">
        <v>97</v>
      </c>
      <c r="M6" s="40" t="s">
        <v>103</v>
      </c>
      <c r="N6" s="40" t="s">
        <v>104</v>
      </c>
      <c r="O6" s="42" t="s">
        <v>105</v>
      </c>
      <c r="P6" s="38" t="s">
        <v>106</v>
      </c>
      <c r="Q6" s="40" t="s">
        <v>107</v>
      </c>
      <c r="R6" s="40" t="s">
        <v>108</v>
      </c>
      <c r="S6" s="43" t="s">
        <v>109</v>
      </c>
      <c r="T6" s="43" t="s">
        <v>109</v>
      </c>
      <c r="U6" s="40" t="s">
        <v>102</v>
      </c>
      <c r="V6" s="44" t="s">
        <v>110</v>
      </c>
      <c r="W6" s="45" t="s">
        <v>111</v>
      </c>
      <c r="X6" s="40" t="s">
        <v>102</v>
      </c>
      <c r="Y6" s="46">
        <v>45658</v>
      </c>
      <c r="Z6" s="40" t="s">
        <v>112</v>
      </c>
      <c r="AA6" s="47" t="s">
        <v>113</v>
      </c>
      <c r="AB6" s="48" t="s">
        <v>114</v>
      </c>
      <c r="AC6" s="48" t="s">
        <v>115</v>
      </c>
      <c r="AD6" s="39" t="s">
        <v>116</v>
      </c>
      <c r="AE6" s="38">
        <v>970</v>
      </c>
      <c r="AF6" s="38" t="s">
        <v>57</v>
      </c>
      <c r="AG6" s="48">
        <v>15</v>
      </c>
      <c r="AH6" s="49" t="s">
        <v>170</v>
      </c>
      <c r="AI6" s="48" t="s">
        <v>118</v>
      </c>
      <c r="AJ6" s="46">
        <f t="shared" si="4"/>
        <v>46023</v>
      </c>
      <c r="AK6" s="41">
        <f t="shared" si="0"/>
        <v>45748</v>
      </c>
      <c r="AL6" s="40" t="s">
        <v>119</v>
      </c>
      <c r="AM6" s="49" t="s">
        <v>120</v>
      </c>
      <c r="AN6" s="48" t="s">
        <v>121</v>
      </c>
      <c r="AO6" s="40" t="s">
        <v>122</v>
      </c>
      <c r="AP6" s="50" t="s">
        <v>123</v>
      </c>
      <c r="AQ6" s="40" t="s">
        <v>124</v>
      </c>
      <c r="AR6" s="35" t="s">
        <v>124</v>
      </c>
      <c r="AS6" s="44" t="s">
        <v>113</v>
      </c>
      <c r="AT6" s="40" t="s">
        <v>125</v>
      </c>
      <c r="AU6" s="50" t="s">
        <v>126</v>
      </c>
      <c r="AV6" s="44" t="s">
        <v>127</v>
      </c>
      <c r="AW6" s="51">
        <f t="shared" si="5"/>
        <v>45657</v>
      </c>
      <c r="AX6" s="51">
        <f t="shared" si="1"/>
        <v>45657</v>
      </c>
      <c r="AY6" s="41">
        <f t="shared" si="2"/>
        <v>46023</v>
      </c>
      <c r="AZ6" s="43" t="s">
        <v>97</v>
      </c>
      <c r="BA6" s="43" t="s">
        <v>128</v>
      </c>
      <c r="BB6" s="52" t="s">
        <v>175</v>
      </c>
      <c r="BC6" s="44" t="s">
        <v>130</v>
      </c>
      <c r="BD6" s="44" t="s">
        <v>131</v>
      </c>
      <c r="BE6" s="43" t="s">
        <v>97</v>
      </c>
      <c r="BF6" s="43" t="s">
        <v>132</v>
      </c>
      <c r="BG6" s="50">
        <v>5855200034</v>
      </c>
      <c r="BH6" s="44">
        <v>36526</v>
      </c>
      <c r="BI6" s="44">
        <v>51136</v>
      </c>
      <c r="BJ6" s="38" t="s">
        <v>133</v>
      </c>
      <c r="BK6" s="50" t="s">
        <v>134</v>
      </c>
      <c r="BL6" s="53">
        <v>32144</v>
      </c>
      <c r="BM6" s="54" t="s">
        <v>97</v>
      </c>
      <c r="BN6" s="43" t="s">
        <v>109</v>
      </c>
      <c r="BO6" s="38" t="s">
        <v>135</v>
      </c>
      <c r="BP6" s="55" t="s">
        <v>113</v>
      </c>
      <c r="BQ6" s="43" t="s">
        <v>136</v>
      </c>
      <c r="BR6" s="43" t="s">
        <v>97</v>
      </c>
      <c r="BS6" s="39" t="s">
        <v>124</v>
      </c>
      <c r="BT6" s="39" t="s">
        <v>113</v>
      </c>
      <c r="BU6" s="38" t="s">
        <v>137</v>
      </c>
      <c r="BV6" s="38" t="s">
        <v>138</v>
      </c>
      <c r="BW6" s="43" t="s">
        <v>139</v>
      </c>
      <c r="BX6" s="56" t="s">
        <v>140</v>
      </c>
      <c r="BY6" s="43" t="s">
        <v>141</v>
      </c>
      <c r="BZ6" s="43" t="s">
        <v>142</v>
      </c>
      <c r="CA6" s="43" t="s">
        <v>143</v>
      </c>
      <c r="CB6" s="43" t="s">
        <v>144</v>
      </c>
      <c r="CC6" s="56" t="s">
        <v>139</v>
      </c>
      <c r="CD6" s="40" t="s">
        <v>140</v>
      </c>
      <c r="CE6" s="43" t="s">
        <v>141</v>
      </c>
      <c r="CF6" s="43" t="s">
        <v>145</v>
      </c>
      <c r="CG6" s="43" t="s">
        <v>146</v>
      </c>
      <c r="CH6" s="43" t="s">
        <v>145</v>
      </c>
      <c r="CI6" s="57">
        <v>100</v>
      </c>
      <c r="CJ6" s="43" t="s">
        <v>147</v>
      </c>
      <c r="CK6" s="43" t="s">
        <v>148</v>
      </c>
      <c r="CL6" s="43" t="s">
        <v>97</v>
      </c>
      <c r="CM6" s="43" t="s">
        <v>149</v>
      </c>
      <c r="CN6" s="43" t="s">
        <v>150</v>
      </c>
      <c r="CO6" s="39" t="s">
        <v>113</v>
      </c>
      <c r="CP6" s="39" t="s">
        <v>113</v>
      </c>
      <c r="CQ6" s="39" t="s">
        <v>113</v>
      </c>
      <c r="CR6" s="39" t="s">
        <v>113</v>
      </c>
      <c r="CS6" s="39" t="s">
        <v>113</v>
      </c>
      <c r="CT6" s="39" t="s">
        <v>113</v>
      </c>
      <c r="CU6" s="39" t="s">
        <v>113</v>
      </c>
      <c r="CV6" s="35" t="s">
        <v>172</v>
      </c>
    </row>
    <row r="7" ht="14.5" customHeight="1" spans="1:100" x14ac:dyDescent="0.25">
      <c r="A7" s="35" t="s">
        <v>176</v>
      </c>
      <c r="B7" s="35" t="s">
        <v>177</v>
      </c>
      <c r="C7" s="35" t="s">
        <v>95</v>
      </c>
      <c r="D7" s="37" t="s">
        <v>96</v>
      </c>
      <c r="E7" s="38" t="s">
        <v>97</v>
      </c>
      <c r="F7" s="39" t="s">
        <v>178</v>
      </c>
      <c r="G7" s="39" t="s">
        <v>179</v>
      </c>
      <c r="H7" s="40" t="s">
        <v>100</v>
      </c>
      <c r="I7" s="40" t="s">
        <v>101</v>
      </c>
      <c r="J7" s="40" t="s">
        <v>102</v>
      </c>
      <c r="K7" s="41">
        <f t="shared" si="3"/>
        <v>45658</v>
      </c>
      <c r="L7" s="38" t="s">
        <v>97</v>
      </c>
      <c r="M7" s="40" t="s">
        <v>103</v>
      </c>
      <c r="N7" s="40" t="s">
        <v>154</v>
      </c>
      <c r="O7" s="42" t="s">
        <v>105</v>
      </c>
      <c r="P7" s="38" t="s">
        <v>155</v>
      </c>
      <c r="Q7" s="40" t="s">
        <v>107</v>
      </c>
      <c r="R7" s="40" t="s">
        <v>108</v>
      </c>
      <c r="S7" s="43" t="s">
        <v>109</v>
      </c>
      <c r="T7" s="43" t="s">
        <v>109</v>
      </c>
      <c r="U7" s="40" t="s">
        <v>102</v>
      </c>
      <c r="V7" s="44" t="s">
        <v>110</v>
      </c>
      <c r="W7" s="45" t="s">
        <v>111</v>
      </c>
      <c r="X7" s="40" t="s">
        <v>102</v>
      </c>
      <c r="Y7" s="46">
        <v>45658</v>
      </c>
      <c r="Z7" s="40" t="s">
        <v>112</v>
      </c>
      <c r="AA7" s="47" t="s">
        <v>113</v>
      </c>
      <c r="AB7" s="48" t="s">
        <v>114</v>
      </c>
      <c r="AC7" s="48" t="s">
        <v>115</v>
      </c>
      <c r="AD7" s="39" t="s">
        <v>116</v>
      </c>
      <c r="AE7" s="38">
        <v>970</v>
      </c>
      <c r="AF7" s="38" t="s">
        <v>57</v>
      </c>
      <c r="AG7" s="39">
        <v>15</v>
      </c>
      <c r="AH7" s="49" t="s">
        <v>170</v>
      </c>
      <c r="AI7" s="48" t="s">
        <v>118</v>
      </c>
      <c r="AJ7" s="46">
        <f t="shared" si="4"/>
        <v>46023</v>
      </c>
      <c r="AK7" s="41">
        <f t="shared" si="0"/>
        <v>45748</v>
      </c>
      <c r="AL7" s="40" t="s">
        <v>119</v>
      </c>
      <c r="AM7" s="49" t="s">
        <v>120</v>
      </c>
      <c r="AN7" s="48" t="s">
        <v>121</v>
      </c>
      <c r="AO7" s="40" t="s">
        <v>122</v>
      </c>
      <c r="AP7" s="50" t="s">
        <v>123</v>
      </c>
      <c r="AQ7" s="40" t="s">
        <v>124</v>
      </c>
      <c r="AR7" s="35" t="s">
        <v>124</v>
      </c>
      <c r="AS7" s="44" t="s">
        <v>113</v>
      </c>
      <c r="AT7" s="40" t="s">
        <v>125</v>
      </c>
      <c r="AU7" s="50" t="s">
        <v>126</v>
      </c>
      <c r="AV7" s="44" t="s">
        <v>127</v>
      </c>
      <c r="AW7" s="51">
        <f t="shared" si="5"/>
        <v>45657</v>
      </c>
      <c r="AX7" s="51">
        <f t="shared" si="1"/>
        <v>45657</v>
      </c>
      <c r="AY7" s="41">
        <f t="shared" si="2"/>
        <v>46023</v>
      </c>
      <c r="AZ7" s="43" t="s">
        <v>97</v>
      </c>
      <c r="BA7" s="43" t="s">
        <v>128</v>
      </c>
      <c r="BB7" s="52" t="s">
        <v>180</v>
      </c>
      <c r="BC7" s="44">
        <v>36526</v>
      </c>
      <c r="BD7" s="44">
        <v>51136</v>
      </c>
      <c r="BE7" s="43" t="s">
        <v>97</v>
      </c>
      <c r="BF7" s="43" t="s">
        <v>132</v>
      </c>
      <c r="BG7" s="50">
        <v>5855200035</v>
      </c>
      <c r="BH7" s="44">
        <v>36526</v>
      </c>
      <c r="BI7" s="44">
        <v>51136</v>
      </c>
      <c r="BJ7" s="38" t="s">
        <v>133</v>
      </c>
      <c r="BK7" s="50" t="s">
        <v>157</v>
      </c>
      <c r="BL7" s="53">
        <v>31049</v>
      </c>
      <c r="BM7" s="54" t="s">
        <v>97</v>
      </c>
      <c r="BN7" s="43" t="s">
        <v>109</v>
      </c>
      <c r="BO7" s="38" t="s">
        <v>135</v>
      </c>
      <c r="BP7" s="55" t="s">
        <v>113</v>
      </c>
      <c r="BQ7" s="43" t="s">
        <v>136</v>
      </c>
      <c r="BR7" s="43" t="s">
        <v>97</v>
      </c>
      <c r="BS7" s="39" t="s">
        <v>123</v>
      </c>
      <c r="BT7" s="39">
        <v>10</v>
      </c>
      <c r="BU7" s="38" t="s">
        <v>137</v>
      </c>
      <c r="BV7" s="38" t="s">
        <v>138</v>
      </c>
      <c r="BW7" s="43" t="s">
        <v>139</v>
      </c>
      <c r="BX7" s="56" t="s">
        <v>158</v>
      </c>
      <c r="BY7" s="43" t="s">
        <v>141</v>
      </c>
      <c r="BZ7" s="43" t="s">
        <v>142</v>
      </c>
      <c r="CA7" s="43" t="s">
        <v>143</v>
      </c>
      <c r="CB7" s="43" t="s">
        <v>144</v>
      </c>
      <c r="CC7" s="56" t="s">
        <v>139</v>
      </c>
      <c r="CD7" s="40" t="s">
        <v>140</v>
      </c>
      <c r="CE7" s="43" t="s">
        <v>141</v>
      </c>
      <c r="CF7" s="43" t="s">
        <v>145</v>
      </c>
      <c r="CG7" s="43" t="s">
        <v>146</v>
      </c>
      <c r="CH7" s="43" t="s">
        <v>145</v>
      </c>
      <c r="CI7" s="57">
        <v>100</v>
      </c>
      <c r="CJ7" s="43" t="s">
        <v>147</v>
      </c>
      <c r="CK7" s="43" t="s">
        <v>148</v>
      </c>
      <c r="CL7" s="43" t="s">
        <v>97</v>
      </c>
      <c r="CM7" s="43" t="s">
        <v>159</v>
      </c>
      <c r="CN7" s="43" t="s">
        <v>150</v>
      </c>
      <c r="CO7" s="49" t="s">
        <v>160</v>
      </c>
      <c r="CP7" s="49" t="s">
        <v>161</v>
      </c>
      <c r="CQ7" s="58" t="s">
        <v>109</v>
      </c>
      <c r="CR7" s="53">
        <f>TODAY()-1500</f>
        <v>44271</v>
      </c>
      <c r="CS7" s="49" t="s">
        <v>162</v>
      </c>
      <c r="CT7" s="59">
        <v>1234089</v>
      </c>
      <c r="CU7" s="59">
        <v>123456098</v>
      </c>
      <c r="CV7" s="35" t="s">
        <v>176</v>
      </c>
    </row>
    <row r="8" ht="14.5" customHeight="1" spans="1:100" x14ac:dyDescent="0.25">
      <c r="A8" s="35" t="s">
        <v>181</v>
      </c>
      <c r="B8" s="35" t="s">
        <v>182</v>
      </c>
      <c r="C8" s="35" t="s">
        <v>95</v>
      </c>
      <c r="D8" s="37" t="s">
        <v>96</v>
      </c>
      <c r="E8" s="38" t="s">
        <v>97</v>
      </c>
      <c r="F8" s="39" t="s">
        <v>183</v>
      </c>
      <c r="G8" s="39" t="s">
        <v>184</v>
      </c>
      <c r="H8" s="40" t="s">
        <v>100</v>
      </c>
      <c r="I8" s="40" t="s">
        <v>101</v>
      </c>
      <c r="J8" s="40" t="s">
        <v>102</v>
      </c>
      <c r="K8" s="41">
        <f t="shared" si="3"/>
        <v>45658</v>
      </c>
      <c r="L8" s="38" t="s">
        <v>97</v>
      </c>
      <c r="M8" s="40" t="s">
        <v>103</v>
      </c>
      <c r="N8" s="40" t="s">
        <v>104</v>
      </c>
      <c r="O8" s="42" t="s">
        <v>105</v>
      </c>
      <c r="P8" s="38" t="s">
        <v>106</v>
      </c>
      <c r="Q8" s="40" t="s">
        <v>107</v>
      </c>
      <c r="R8" s="40" t="s">
        <v>108</v>
      </c>
      <c r="S8" s="43" t="s">
        <v>109</v>
      </c>
      <c r="T8" s="43" t="s">
        <v>109</v>
      </c>
      <c r="U8" s="40" t="s">
        <v>102</v>
      </c>
      <c r="V8" s="44" t="s">
        <v>110</v>
      </c>
      <c r="W8" s="45" t="s">
        <v>111</v>
      </c>
      <c r="X8" s="40" t="s">
        <v>102</v>
      </c>
      <c r="Y8" s="46">
        <v>45658</v>
      </c>
      <c r="Z8" s="40" t="s">
        <v>112</v>
      </c>
      <c r="AA8" s="47" t="s">
        <v>113</v>
      </c>
      <c r="AB8" s="48" t="s">
        <v>114</v>
      </c>
      <c r="AC8" s="48" t="s">
        <v>115</v>
      </c>
      <c r="AD8" s="48" t="s">
        <v>116</v>
      </c>
      <c r="AE8" s="38">
        <v>970</v>
      </c>
      <c r="AF8" s="38" t="s">
        <v>57</v>
      </c>
      <c r="AG8" s="39">
        <v>20</v>
      </c>
      <c r="AH8" s="49" t="s">
        <v>117</v>
      </c>
      <c r="AI8" s="48" t="s">
        <v>118</v>
      </c>
      <c r="AJ8" s="46">
        <f t="shared" si="4"/>
        <v>46023</v>
      </c>
      <c r="AK8" s="41">
        <f t="shared" si="0"/>
        <v>45748</v>
      </c>
      <c r="AL8" s="40" t="s">
        <v>119</v>
      </c>
      <c r="AM8" s="49" t="s">
        <v>120</v>
      </c>
      <c r="AN8" s="39" t="s">
        <v>185</v>
      </c>
      <c r="AO8" s="40" t="s">
        <v>122</v>
      </c>
      <c r="AP8" s="50" t="s">
        <v>123</v>
      </c>
      <c r="AQ8" s="40" t="s">
        <v>124</v>
      </c>
      <c r="AR8" s="35" t="s">
        <v>124</v>
      </c>
      <c r="AS8" s="44" t="s">
        <v>113</v>
      </c>
      <c r="AT8" s="40" t="s">
        <v>125</v>
      </c>
      <c r="AU8" s="50" t="s">
        <v>126</v>
      </c>
      <c r="AV8" s="44" t="s">
        <v>127</v>
      </c>
      <c r="AW8" s="51">
        <f t="shared" si="5"/>
        <v>45657</v>
      </c>
      <c r="AX8" s="51">
        <f t="shared" si="1"/>
        <v>45657</v>
      </c>
      <c r="AY8" s="41">
        <f t="shared" si="2"/>
        <v>46023</v>
      </c>
      <c r="AZ8" s="43" t="s">
        <v>97</v>
      </c>
      <c r="BA8" s="43" t="s">
        <v>128</v>
      </c>
      <c r="BB8" s="52" t="s">
        <v>186</v>
      </c>
      <c r="BC8" s="44" t="s">
        <v>130</v>
      </c>
      <c r="BD8" s="44" t="s">
        <v>131</v>
      </c>
      <c r="BE8" s="43" t="s">
        <v>97</v>
      </c>
      <c r="BF8" s="43" t="s">
        <v>132</v>
      </c>
      <c r="BG8" s="50">
        <v>5155200036</v>
      </c>
      <c r="BH8" s="44">
        <v>36526</v>
      </c>
      <c r="BI8" s="44">
        <v>51136</v>
      </c>
      <c r="BJ8" s="38" t="s">
        <v>133</v>
      </c>
      <c r="BK8" s="50" t="s">
        <v>134</v>
      </c>
      <c r="BL8" s="53">
        <v>27761</v>
      </c>
      <c r="BM8" s="54" t="s">
        <v>97</v>
      </c>
      <c r="BN8" s="43" t="s">
        <v>109</v>
      </c>
      <c r="BO8" s="38" t="s">
        <v>135</v>
      </c>
      <c r="BP8" s="55" t="s">
        <v>113</v>
      </c>
      <c r="BQ8" s="43" t="s">
        <v>136</v>
      </c>
      <c r="BR8" s="43" t="s">
        <v>97</v>
      </c>
      <c r="BS8" s="49" t="s">
        <v>124</v>
      </c>
      <c r="BT8" s="49" t="s">
        <v>113</v>
      </c>
      <c r="BU8" s="38" t="s">
        <v>137</v>
      </c>
      <c r="BV8" s="38" t="s">
        <v>138</v>
      </c>
      <c r="BW8" s="43" t="s">
        <v>139</v>
      </c>
      <c r="BX8" s="56" t="s">
        <v>140</v>
      </c>
      <c r="BY8" s="43" t="s">
        <v>141</v>
      </c>
      <c r="BZ8" s="43" t="s">
        <v>142</v>
      </c>
      <c r="CA8" s="43" t="s">
        <v>143</v>
      </c>
      <c r="CB8" s="43" t="s">
        <v>144</v>
      </c>
      <c r="CC8" s="56" t="s">
        <v>139</v>
      </c>
      <c r="CD8" s="40" t="s">
        <v>140</v>
      </c>
      <c r="CE8" s="43" t="s">
        <v>141</v>
      </c>
      <c r="CF8" s="43" t="s">
        <v>145</v>
      </c>
      <c r="CG8" s="43" t="s">
        <v>146</v>
      </c>
      <c r="CH8" s="43" t="s">
        <v>145</v>
      </c>
      <c r="CI8" s="57">
        <v>100</v>
      </c>
      <c r="CJ8" s="43" t="s">
        <v>147</v>
      </c>
      <c r="CK8" s="43" t="s">
        <v>148</v>
      </c>
      <c r="CL8" s="43" t="s">
        <v>97</v>
      </c>
      <c r="CM8" s="43" t="s">
        <v>149</v>
      </c>
      <c r="CN8" s="43" t="s">
        <v>150</v>
      </c>
      <c r="CO8" s="49" t="s">
        <v>113</v>
      </c>
      <c r="CP8" s="49" t="s">
        <v>113</v>
      </c>
      <c r="CQ8" s="58" t="s">
        <v>113</v>
      </c>
      <c r="CR8" s="53" t="s">
        <v>113</v>
      </c>
      <c r="CS8" s="49" t="s">
        <v>113</v>
      </c>
      <c r="CT8" s="59" t="s">
        <v>113</v>
      </c>
      <c r="CU8" s="59" t="s">
        <v>113</v>
      </c>
      <c r="CV8" s="35" t="s">
        <v>181</v>
      </c>
    </row>
    <row r="9" ht="14.5" customHeight="1" spans="1:100" x14ac:dyDescent="0.25">
      <c r="A9" s="35" t="s">
        <v>187</v>
      </c>
      <c r="B9" s="35" t="s">
        <v>188</v>
      </c>
      <c r="C9" s="35" t="s">
        <v>95</v>
      </c>
      <c r="D9" s="37" t="s">
        <v>96</v>
      </c>
      <c r="E9" s="38" t="s">
        <v>97</v>
      </c>
      <c r="F9" s="39" t="s">
        <v>189</v>
      </c>
      <c r="G9" s="39" t="s">
        <v>153</v>
      </c>
      <c r="H9" s="40" t="s">
        <v>100</v>
      </c>
      <c r="I9" s="40" t="s">
        <v>101</v>
      </c>
      <c r="J9" s="40" t="s">
        <v>102</v>
      </c>
      <c r="K9" s="41">
        <f t="shared" si="3"/>
        <v>45658</v>
      </c>
      <c r="L9" s="38" t="s">
        <v>97</v>
      </c>
      <c r="M9" s="40" t="s">
        <v>103</v>
      </c>
      <c r="N9" s="40" t="s">
        <v>154</v>
      </c>
      <c r="O9" s="42" t="s">
        <v>105</v>
      </c>
      <c r="P9" s="38" t="s">
        <v>155</v>
      </c>
      <c r="Q9" s="40" t="s">
        <v>107</v>
      </c>
      <c r="R9" s="40" t="s">
        <v>108</v>
      </c>
      <c r="S9" s="43" t="s">
        <v>109</v>
      </c>
      <c r="T9" s="43" t="s">
        <v>109</v>
      </c>
      <c r="U9" s="40" t="s">
        <v>102</v>
      </c>
      <c r="V9" s="44" t="s">
        <v>110</v>
      </c>
      <c r="W9" s="45" t="s">
        <v>111</v>
      </c>
      <c r="X9" s="40" t="s">
        <v>102</v>
      </c>
      <c r="Y9" s="46">
        <v>45658</v>
      </c>
      <c r="Z9" s="40" t="s">
        <v>112</v>
      </c>
      <c r="AA9" s="47" t="s">
        <v>113</v>
      </c>
      <c r="AB9" s="48" t="s">
        <v>114</v>
      </c>
      <c r="AC9" s="48" t="s">
        <v>115</v>
      </c>
      <c r="AD9" s="48" t="s">
        <v>116</v>
      </c>
      <c r="AE9" s="38">
        <v>970</v>
      </c>
      <c r="AF9" s="38" t="s">
        <v>57</v>
      </c>
      <c r="AG9" s="39">
        <v>20</v>
      </c>
      <c r="AH9" s="49" t="s">
        <v>117</v>
      </c>
      <c r="AI9" s="48" t="s">
        <v>118</v>
      </c>
      <c r="AJ9" s="46">
        <f t="shared" si="4"/>
        <v>46023</v>
      </c>
      <c r="AK9" s="41">
        <f t="shared" si="0"/>
        <v>45748</v>
      </c>
      <c r="AL9" s="40" t="s">
        <v>119</v>
      </c>
      <c r="AM9" s="49" t="s">
        <v>120</v>
      </c>
      <c r="AN9" s="39" t="s">
        <v>185</v>
      </c>
      <c r="AO9" s="40" t="s">
        <v>122</v>
      </c>
      <c r="AP9" s="50" t="s">
        <v>123</v>
      </c>
      <c r="AQ9" s="40" t="s">
        <v>124</v>
      </c>
      <c r="AR9" s="35" t="s">
        <v>124</v>
      </c>
      <c r="AS9" s="44" t="s">
        <v>113</v>
      </c>
      <c r="AT9" s="40" t="s">
        <v>125</v>
      </c>
      <c r="AU9" s="50" t="s">
        <v>126</v>
      </c>
      <c r="AV9" s="44" t="s">
        <v>127</v>
      </c>
      <c r="AW9" s="51">
        <f t="shared" si="5"/>
        <v>45657</v>
      </c>
      <c r="AX9" s="51">
        <f t="shared" si="1"/>
        <v>45657</v>
      </c>
      <c r="AY9" s="41">
        <f t="shared" si="2"/>
        <v>46023</v>
      </c>
      <c r="AZ9" s="43" t="s">
        <v>97</v>
      </c>
      <c r="BA9" s="43" t="s">
        <v>128</v>
      </c>
      <c r="BB9" s="52" t="s">
        <v>190</v>
      </c>
      <c r="BC9" s="44">
        <v>36526</v>
      </c>
      <c r="BD9" s="44">
        <v>51136</v>
      </c>
      <c r="BE9" s="43" t="s">
        <v>97</v>
      </c>
      <c r="BF9" s="43" t="s">
        <v>132</v>
      </c>
      <c r="BG9" s="50">
        <v>5855200037</v>
      </c>
      <c r="BH9" s="44">
        <v>36526</v>
      </c>
      <c r="BI9" s="44">
        <v>51136</v>
      </c>
      <c r="BJ9" s="38" t="s">
        <v>133</v>
      </c>
      <c r="BK9" s="50" t="s">
        <v>157</v>
      </c>
      <c r="BL9" s="53">
        <v>32144</v>
      </c>
      <c r="BM9" s="54" t="s">
        <v>97</v>
      </c>
      <c r="BN9" s="43" t="s">
        <v>109</v>
      </c>
      <c r="BO9" s="38" t="s">
        <v>135</v>
      </c>
      <c r="BP9" s="55" t="s">
        <v>113</v>
      </c>
      <c r="BQ9" s="43" t="s">
        <v>136</v>
      </c>
      <c r="BR9" s="43" t="s">
        <v>97</v>
      </c>
      <c r="BS9" s="49" t="s">
        <v>124</v>
      </c>
      <c r="BT9" s="49" t="s">
        <v>113</v>
      </c>
      <c r="BU9" s="38" t="s">
        <v>137</v>
      </c>
      <c r="BV9" s="38" t="s">
        <v>138</v>
      </c>
      <c r="BW9" s="43" t="s">
        <v>139</v>
      </c>
      <c r="BX9" s="56" t="s">
        <v>158</v>
      </c>
      <c r="BY9" s="43" t="s">
        <v>141</v>
      </c>
      <c r="BZ9" s="43" t="s">
        <v>142</v>
      </c>
      <c r="CA9" s="43" t="s">
        <v>143</v>
      </c>
      <c r="CB9" s="43" t="s">
        <v>144</v>
      </c>
      <c r="CC9" s="56" t="s">
        <v>139</v>
      </c>
      <c r="CD9" s="40" t="s">
        <v>140</v>
      </c>
      <c r="CE9" s="43" t="s">
        <v>141</v>
      </c>
      <c r="CF9" s="43" t="s">
        <v>145</v>
      </c>
      <c r="CG9" s="43" t="s">
        <v>146</v>
      </c>
      <c r="CH9" s="43" t="s">
        <v>145</v>
      </c>
      <c r="CI9" s="57">
        <v>100</v>
      </c>
      <c r="CJ9" s="43" t="s">
        <v>147</v>
      </c>
      <c r="CK9" s="43" t="s">
        <v>148</v>
      </c>
      <c r="CL9" s="43" t="s">
        <v>97</v>
      </c>
      <c r="CM9" s="43" t="s">
        <v>159</v>
      </c>
      <c r="CN9" s="43" t="s">
        <v>150</v>
      </c>
      <c r="CO9" s="49" t="s">
        <v>160</v>
      </c>
      <c r="CP9" s="49" t="s">
        <v>161</v>
      </c>
      <c r="CQ9" s="58" t="s">
        <v>109</v>
      </c>
      <c r="CR9" s="53">
        <f>TODAY()-1500</f>
        <v>44271</v>
      </c>
      <c r="CS9" s="49" t="s">
        <v>162</v>
      </c>
      <c r="CT9" s="59">
        <v>1234024</v>
      </c>
      <c r="CU9" s="59">
        <v>123456017</v>
      </c>
      <c r="CV9" s="35" t="s">
        <v>187</v>
      </c>
    </row>
    <row r="10" ht="14.5" customHeight="1" spans="1:100" x14ac:dyDescent="0.25">
      <c r="A10" s="35" t="s">
        <v>191</v>
      </c>
      <c r="B10" s="35" t="s">
        <v>192</v>
      </c>
      <c r="C10" s="35" t="s">
        <v>95</v>
      </c>
      <c r="D10" s="37" t="s">
        <v>96</v>
      </c>
      <c r="E10" s="38" t="s">
        <v>97</v>
      </c>
      <c r="F10" s="39" t="s">
        <v>193</v>
      </c>
      <c r="G10" s="39" t="s">
        <v>184</v>
      </c>
      <c r="H10" s="40" t="s">
        <v>100</v>
      </c>
      <c r="I10" s="40" t="s">
        <v>101</v>
      </c>
      <c r="J10" s="40" t="s">
        <v>102</v>
      </c>
      <c r="K10" s="41">
        <f t="shared" si="3"/>
        <v>45658</v>
      </c>
      <c r="L10" s="38" t="s">
        <v>97</v>
      </c>
      <c r="M10" s="40" t="s">
        <v>103</v>
      </c>
      <c r="N10" s="40" t="s">
        <v>104</v>
      </c>
      <c r="O10" s="42" t="s">
        <v>105</v>
      </c>
      <c r="P10" s="38" t="s">
        <v>106</v>
      </c>
      <c r="Q10" s="40" t="s">
        <v>107</v>
      </c>
      <c r="R10" s="40" t="s">
        <v>108</v>
      </c>
      <c r="S10" s="43" t="s">
        <v>109</v>
      </c>
      <c r="T10" s="43" t="s">
        <v>109</v>
      </c>
      <c r="U10" s="40" t="s">
        <v>102</v>
      </c>
      <c r="V10" s="44" t="s">
        <v>110</v>
      </c>
      <c r="W10" s="45" t="s">
        <v>111</v>
      </c>
      <c r="X10" s="40" t="s">
        <v>102</v>
      </c>
      <c r="Y10" s="46">
        <v>45658</v>
      </c>
      <c r="Z10" s="40" t="s">
        <v>112</v>
      </c>
      <c r="AA10" s="47" t="s">
        <v>113</v>
      </c>
      <c r="AB10" s="48" t="s">
        <v>114</v>
      </c>
      <c r="AC10" s="48" t="s">
        <v>115</v>
      </c>
      <c r="AD10" s="39" t="s">
        <v>116</v>
      </c>
      <c r="AE10" s="38">
        <v>970</v>
      </c>
      <c r="AF10" s="38" t="s">
        <v>57</v>
      </c>
      <c r="AG10" s="39">
        <v>20</v>
      </c>
      <c r="AH10" s="39" t="s">
        <v>117</v>
      </c>
      <c r="AI10" s="48" t="s">
        <v>118</v>
      </c>
      <c r="AJ10" s="46">
        <f t="shared" si="4"/>
        <v>46023</v>
      </c>
      <c r="AK10" s="41">
        <f t="shared" si="0"/>
        <v>45748</v>
      </c>
      <c r="AL10" s="40" t="s">
        <v>119</v>
      </c>
      <c r="AM10" s="49" t="s">
        <v>120</v>
      </c>
      <c r="AN10" s="39" t="s">
        <v>185</v>
      </c>
      <c r="AO10" s="40" t="s">
        <v>122</v>
      </c>
      <c r="AP10" s="50" t="s">
        <v>123</v>
      </c>
      <c r="AQ10" s="40" t="s">
        <v>124</v>
      </c>
      <c r="AR10" s="35" t="s">
        <v>124</v>
      </c>
      <c r="AS10" s="44" t="s">
        <v>113</v>
      </c>
      <c r="AT10" s="40" t="s">
        <v>125</v>
      </c>
      <c r="AU10" s="50" t="s">
        <v>126</v>
      </c>
      <c r="AV10" s="44" t="s">
        <v>127</v>
      </c>
      <c r="AW10" s="51">
        <f t="shared" si="5"/>
        <v>45657</v>
      </c>
      <c r="AX10" s="51">
        <f t="shared" si="1"/>
        <v>45657</v>
      </c>
      <c r="AY10" s="41">
        <f t="shared" si="2"/>
        <v>46023</v>
      </c>
      <c r="AZ10" s="43" t="s">
        <v>97</v>
      </c>
      <c r="BA10" s="43" t="s">
        <v>128</v>
      </c>
      <c r="BB10" s="52" t="s">
        <v>194</v>
      </c>
      <c r="BC10" s="44" t="s">
        <v>130</v>
      </c>
      <c r="BD10" s="44" t="s">
        <v>131</v>
      </c>
      <c r="BE10" s="43" t="s">
        <v>97</v>
      </c>
      <c r="BF10" s="43" t="s">
        <v>132</v>
      </c>
      <c r="BG10" s="50">
        <v>5855200038</v>
      </c>
      <c r="BH10" s="44">
        <v>36526</v>
      </c>
      <c r="BI10" s="44">
        <v>51136</v>
      </c>
      <c r="BJ10" s="38" t="s">
        <v>133</v>
      </c>
      <c r="BK10" s="50" t="s">
        <v>134</v>
      </c>
      <c r="BL10" s="53">
        <v>32144</v>
      </c>
      <c r="BM10" s="54" t="s">
        <v>97</v>
      </c>
      <c r="BN10" s="43" t="s">
        <v>109</v>
      </c>
      <c r="BO10" s="38" t="s">
        <v>135</v>
      </c>
      <c r="BP10" s="55" t="s">
        <v>113</v>
      </c>
      <c r="BQ10" s="43" t="s">
        <v>136</v>
      </c>
      <c r="BR10" s="43" t="s">
        <v>97</v>
      </c>
      <c r="BS10" s="39" t="s">
        <v>123</v>
      </c>
      <c r="BT10" s="39">
        <v>10</v>
      </c>
      <c r="BU10" s="38" t="s">
        <v>137</v>
      </c>
      <c r="BV10" s="38" t="s">
        <v>138</v>
      </c>
      <c r="BW10" s="43" t="s">
        <v>139</v>
      </c>
      <c r="BX10" s="56" t="s">
        <v>140</v>
      </c>
      <c r="BY10" s="43" t="s">
        <v>141</v>
      </c>
      <c r="BZ10" s="43" t="s">
        <v>142</v>
      </c>
      <c r="CA10" s="43" t="s">
        <v>143</v>
      </c>
      <c r="CB10" s="43" t="s">
        <v>144</v>
      </c>
      <c r="CC10" s="56" t="s">
        <v>139</v>
      </c>
      <c r="CD10" s="40" t="s">
        <v>140</v>
      </c>
      <c r="CE10" s="43" t="s">
        <v>141</v>
      </c>
      <c r="CF10" s="43" t="s">
        <v>145</v>
      </c>
      <c r="CG10" s="43" t="s">
        <v>146</v>
      </c>
      <c r="CH10" s="43" t="s">
        <v>145</v>
      </c>
      <c r="CI10" s="57">
        <v>100</v>
      </c>
      <c r="CJ10" s="43" t="s">
        <v>147</v>
      </c>
      <c r="CK10" s="43" t="s">
        <v>148</v>
      </c>
      <c r="CL10" s="43" t="s">
        <v>97</v>
      </c>
      <c r="CM10" s="43" t="s">
        <v>149</v>
      </c>
      <c r="CN10" s="43" t="s">
        <v>150</v>
      </c>
      <c r="CO10" s="39" t="s">
        <v>113</v>
      </c>
      <c r="CP10" s="39" t="s">
        <v>113</v>
      </c>
      <c r="CQ10" s="39" t="s">
        <v>113</v>
      </c>
      <c r="CR10" s="39" t="s">
        <v>113</v>
      </c>
      <c r="CS10" s="39" t="s">
        <v>113</v>
      </c>
      <c r="CT10" s="39" t="s">
        <v>113</v>
      </c>
      <c r="CU10" s="39" t="s">
        <v>113</v>
      </c>
      <c r="CV10" s="35" t="s">
        <v>191</v>
      </c>
    </row>
    <row r="11" ht="14.5" customHeight="1" spans="1:100" x14ac:dyDescent="0.25">
      <c r="A11" s="35" t="s">
        <v>195</v>
      </c>
      <c r="B11" s="35" t="s">
        <v>196</v>
      </c>
      <c r="C11" s="35" t="s">
        <v>95</v>
      </c>
      <c r="D11" s="37" t="s">
        <v>96</v>
      </c>
      <c r="E11" s="38" t="s">
        <v>97</v>
      </c>
      <c r="F11" s="39" t="s">
        <v>197</v>
      </c>
      <c r="G11" s="39" t="s">
        <v>179</v>
      </c>
      <c r="H11" s="40" t="s">
        <v>100</v>
      </c>
      <c r="I11" s="40" t="s">
        <v>101</v>
      </c>
      <c r="J11" s="40" t="s">
        <v>102</v>
      </c>
      <c r="K11" s="41">
        <f t="shared" si="3"/>
        <v>45292</v>
      </c>
      <c r="L11" s="38" t="s">
        <v>97</v>
      </c>
      <c r="M11" s="40" t="s">
        <v>103</v>
      </c>
      <c r="N11" s="40" t="s">
        <v>154</v>
      </c>
      <c r="O11" s="42" t="s">
        <v>105</v>
      </c>
      <c r="P11" s="38" t="s">
        <v>155</v>
      </c>
      <c r="Q11" s="40" t="s">
        <v>107</v>
      </c>
      <c r="R11" s="40" t="s">
        <v>108</v>
      </c>
      <c r="S11" s="43" t="s">
        <v>109</v>
      </c>
      <c r="T11" s="43" t="s">
        <v>109</v>
      </c>
      <c r="U11" s="40" t="s">
        <v>102</v>
      </c>
      <c r="V11" s="44" t="s">
        <v>110</v>
      </c>
      <c r="W11" s="45" t="s">
        <v>111</v>
      </c>
      <c r="X11" s="40" t="s">
        <v>102</v>
      </c>
      <c r="Y11" s="46">
        <v>45292</v>
      </c>
      <c r="Z11" s="40" t="s">
        <v>112</v>
      </c>
      <c r="AA11" s="47" t="s">
        <v>113</v>
      </c>
      <c r="AB11" s="48" t="s">
        <v>114</v>
      </c>
      <c r="AC11" s="48" t="s">
        <v>115</v>
      </c>
      <c r="AD11" s="39" t="s">
        <v>116</v>
      </c>
      <c r="AE11" s="38">
        <v>970</v>
      </c>
      <c r="AF11" s="38" t="s">
        <v>57</v>
      </c>
      <c r="AG11" s="39">
        <v>20</v>
      </c>
      <c r="AH11" s="49" t="s">
        <v>170</v>
      </c>
      <c r="AI11" s="48" t="s">
        <v>118</v>
      </c>
      <c r="AJ11" s="46">
        <f>Y11+735</f>
        <v>46027</v>
      </c>
      <c r="AK11" s="41">
        <f t="shared" si="0"/>
        <v>45382</v>
      </c>
      <c r="AL11" s="40" t="s">
        <v>119</v>
      </c>
      <c r="AM11" s="49" t="s">
        <v>120</v>
      </c>
      <c r="AN11" s="48" t="s">
        <v>165</v>
      </c>
      <c r="AO11" s="40" t="s">
        <v>122</v>
      </c>
      <c r="AP11" s="50" t="s">
        <v>123</v>
      </c>
      <c r="AQ11" s="40" t="s">
        <v>124</v>
      </c>
      <c r="AR11" s="35" t="s">
        <v>124</v>
      </c>
      <c r="AS11" s="44" t="s">
        <v>113</v>
      </c>
      <c r="AT11" s="40" t="s">
        <v>125</v>
      </c>
      <c r="AU11" s="50" t="s">
        <v>126</v>
      </c>
      <c r="AV11" s="44" t="s">
        <v>127</v>
      </c>
      <c r="AW11" s="51">
        <f t="shared" si="5"/>
        <v>45291</v>
      </c>
      <c r="AX11" s="51">
        <f t="shared" si="1"/>
        <v>45291</v>
      </c>
      <c r="AY11" s="41">
        <f t="shared" si="2"/>
        <v>46027</v>
      </c>
      <c r="AZ11" s="43" t="s">
        <v>97</v>
      </c>
      <c r="BA11" s="43" t="s">
        <v>128</v>
      </c>
      <c r="BB11" s="52" t="s">
        <v>198</v>
      </c>
      <c r="BC11" s="44">
        <v>36526</v>
      </c>
      <c r="BD11" s="44">
        <v>51136</v>
      </c>
      <c r="BE11" s="43" t="s">
        <v>97</v>
      </c>
      <c r="BF11" s="43" t="s">
        <v>132</v>
      </c>
      <c r="BG11" s="50">
        <v>5855200039</v>
      </c>
      <c r="BH11" s="44">
        <v>36526</v>
      </c>
      <c r="BI11" s="44">
        <v>51136</v>
      </c>
      <c r="BJ11" s="38" t="s">
        <v>133</v>
      </c>
      <c r="BK11" s="50" t="s">
        <v>157</v>
      </c>
      <c r="BL11" s="53">
        <v>26666</v>
      </c>
      <c r="BM11" s="54" t="s">
        <v>97</v>
      </c>
      <c r="BN11" s="43" t="s">
        <v>109</v>
      </c>
      <c r="BO11" s="38" t="s">
        <v>135</v>
      </c>
      <c r="BP11" s="55" t="s">
        <v>113</v>
      </c>
      <c r="BQ11" s="43" t="s">
        <v>136</v>
      </c>
      <c r="BR11" s="43" t="s">
        <v>97</v>
      </c>
      <c r="BS11" s="39" t="s">
        <v>124</v>
      </c>
      <c r="BT11" s="39" t="s">
        <v>113</v>
      </c>
      <c r="BU11" s="38" t="s">
        <v>137</v>
      </c>
      <c r="BV11" s="38" t="s">
        <v>138</v>
      </c>
      <c r="BW11" s="43" t="s">
        <v>139</v>
      </c>
      <c r="BX11" s="56" t="s">
        <v>158</v>
      </c>
      <c r="BY11" s="43" t="s">
        <v>141</v>
      </c>
      <c r="BZ11" s="43" t="s">
        <v>142</v>
      </c>
      <c r="CA11" s="43" t="s">
        <v>143</v>
      </c>
      <c r="CB11" s="43" t="s">
        <v>144</v>
      </c>
      <c r="CC11" s="56" t="s">
        <v>139</v>
      </c>
      <c r="CD11" s="40" t="s">
        <v>140</v>
      </c>
      <c r="CE11" s="43" t="s">
        <v>141</v>
      </c>
      <c r="CF11" s="43" t="s">
        <v>145</v>
      </c>
      <c r="CG11" s="43" t="s">
        <v>146</v>
      </c>
      <c r="CH11" s="43" t="s">
        <v>145</v>
      </c>
      <c r="CI11" s="57">
        <v>100</v>
      </c>
      <c r="CJ11" s="43" t="s">
        <v>147</v>
      </c>
      <c r="CK11" s="43" t="s">
        <v>148</v>
      </c>
      <c r="CL11" s="43" t="s">
        <v>97</v>
      </c>
      <c r="CM11" s="43" t="s">
        <v>159</v>
      </c>
      <c r="CN11" s="43" t="s">
        <v>150</v>
      </c>
      <c r="CO11" s="39" t="s">
        <v>160</v>
      </c>
      <c r="CP11" s="39" t="s">
        <v>161</v>
      </c>
      <c r="CQ11" s="39" t="s">
        <v>109</v>
      </c>
      <c r="CR11" s="53">
        <f>TODAY()-1500</f>
        <v>44271</v>
      </c>
      <c r="CS11" s="39" t="s">
        <v>162</v>
      </c>
      <c r="CT11" s="59">
        <v>1234025</v>
      </c>
      <c r="CU11" s="59">
        <v>123456018</v>
      </c>
      <c r="CV11" s="35" t="s">
        <v>195</v>
      </c>
    </row>
    <row r="12" ht="14.5" customHeight="1" spans="1:100" x14ac:dyDescent="0.25">
      <c r="A12" s="35" t="s">
        <v>199</v>
      </c>
      <c r="B12" s="35" t="s">
        <v>200</v>
      </c>
      <c r="C12" s="35" t="s">
        <v>95</v>
      </c>
      <c r="D12" s="37" t="s">
        <v>96</v>
      </c>
      <c r="E12" s="38" t="s">
        <v>97</v>
      </c>
      <c r="F12" s="39" t="s">
        <v>201</v>
      </c>
      <c r="G12" s="39" t="s">
        <v>184</v>
      </c>
      <c r="H12" s="40" t="s">
        <v>100</v>
      </c>
      <c r="I12" s="40" t="s">
        <v>101</v>
      </c>
      <c r="J12" s="40" t="s">
        <v>102</v>
      </c>
      <c r="K12" s="41">
        <f t="shared" si="3"/>
        <v>45658</v>
      </c>
      <c r="L12" s="38" t="s">
        <v>97</v>
      </c>
      <c r="M12" s="40" t="s">
        <v>103</v>
      </c>
      <c r="N12" s="40" t="s">
        <v>104</v>
      </c>
      <c r="O12" s="42" t="s">
        <v>105</v>
      </c>
      <c r="P12" s="38" t="s">
        <v>106</v>
      </c>
      <c r="Q12" s="40" t="s">
        <v>107</v>
      </c>
      <c r="R12" s="40" t="s">
        <v>108</v>
      </c>
      <c r="S12" s="43" t="s">
        <v>109</v>
      </c>
      <c r="T12" s="43" t="s">
        <v>109</v>
      </c>
      <c r="U12" s="40" t="s">
        <v>102</v>
      </c>
      <c r="V12" s="44" t="s">
        <v>110</v>
      </c>
      <c r="W12" s="45" t="s">
        <v>111</v>
      </c>
      <c r="X12" s="40" t="s">
        <v>102</v>
      </c>
      <c r="Y12" s="46">
        <v>45658</v>
      </c>
      <c r="Z12" s="40" t="s">
        <v>112</v>
      </c>
      <c r="AA12" s="47" t="s">
        <v>113</v>
      </c>
      <c r="AB12" s="48" t="s">
        <v>114</v>
      </c>
      <c r="AC12" s="48" t="s">
        <v>115</v>
      </c>
      <c r="AD12" s="39" t="s">
        <v>116</v>
      </c>
      <c r="AE12" s="38">
        <v>970</v>
      </c>
      <c r="AF12" s="38" t="s">
        <v>57</v>
      </c>
      <c r="AG12" s="39">
        <v>20</v>
      </c>
      <c r="AH12" s="49" t="s">
        <v>170</v>
      </c>
      <c r="AI12" s="48" t="s">
        <v>118</v>
      </c>
      <c r="AJ12" s="46">
        <f t="shared" si="4"/>
        <v>46023</v>
      </c>
      <c r="AK12" s="41">
        <f t="shared" si="0"/>
        <v>45748</v>
      </c>
      <c r="AL12" s="40" t="s">
        <v>119</v>
      </c>
      <c r="AM12" s="49" t="s">
        <v>120</v>
      </c>
      <c r="AN12" s="39" t="s">
        <v>185</v>
      </c>
      <c r="AO12" s="40" t="s">
        <v>122</v>
      </c>
      <c r="AP12" s="50" t="s">
        <v>123</v>
      </c>
      <c r="AQ12" s="40" t="s">
        <v>124</v>
      </c>
      <c r="AR12" s="35" t="s">
        <v>124</v>
      </c>
      <c r="AS12" s="44" t="s">
        <v>113</v>
      </c>
      <c r="AT12" s="40" t="s">
        <v>125</v>
      </c>
      <c r="AU12" s="50" t="s">
        <v>126</v>
      </c>
      <c r="AV12" s="44" t="s">
        <v>127</v>
      </c>
      <c r="AW12" s="51">
        <f t="shared" si="5"/>
        <v>45657</v>
      </c>
      <c r="AX12" s="51">
        <f t="shared" si="1"/>
        <v>45657</v>
      </c>
      <c r="AY12" s="41">
        <f t="shared" si="2"/>
        <v>46023</v>
      </c>
      <c r="AZ12" s="43" t="s">
        <v>97</v>
      </c>
      <c r="BA12" s="43" t="s">
        <v>128</v>
      </c>
      <c r="BB12" s="52" t="s">
        <v>202</v>
      </c>
      <c r="BC12" s="44" t="s">
        <v>130</v>
      </c>
      <c r="BD12" s="44" t="s">
        <v>131</v>
      </c>
      <c r="BE12" s="43" t="s">
        <v>97</v>
      </c>
      <c r="BF12" s="43" t="s">
        <v>132</v>
      </c>
      <c r="BG12" s="50">
        <v>5855200040</v>
      </c>
      <c r="BH12" s="44">
        <v>36526</v>
      </c>
      <c r="BI12" s="44">
        <v>51136</v>
      </c>
      <c r="BJ12" s="38" t="s">
        <v>133</v>
      </c>
      <c r="BK12" s="50" t="s">
        <v>134</v>
      </c>
      <c r="BL12" s="53">
        <v>32144</v>
      </c>
      <c r="BM12" s="54" t="s">
        <v>97</v>
      </c>
      <c r="BN12" s="43" t="s">
        <v>109</v>
      </c>
      <c r="BO12" s="38" t="s">
        <v>135</v>
      </c>
      <c r="BP12" s="55" t="s">
        <v>113</v>
      </c>
      <c r="BQ12" s="43" t="s">
        <v>136</v>
      </c>
      <c r="BR12" s="43" t="s">
        <v>97</v>
      </c>
      <c r="BS12" s="39" t="s">
        <v>124</v>
      </c>
      <c r="BT12" s="39" t="s">
        <v>113</v>
      </c>
      <c r="BU12" s="38" t="s">
        <v>137</v>
      </c>
      <c r="BV12" s="38" t="s">
        <v>138</v>
      </c>
      <c r="BW12" s="43" t="s">
        <v>139</v>
      </c>
      <c r="BX12" s="56" t="s">
        <v>140</v>
      </c>
      <c r="BY12" s="43" t="s">
        <v>141</v>
      </c>
      <c r="BZ12" s="43" t="s">
        <v>142</v>
      </c>
      <c r="CA12" s="43" t="s">
        <v>143</v>
      </c>
      <c r="CB12" s="43" t="s">
        <v>144</v>
      </c>
      <c r="CC12" s="56" t="s">
        <v>139</v>
      </c>
      <c r="CD12" s="40" t="s">
        <v>140</v>
      </c>
      <c r="CE12" s="43" t="s">
        <v>141</v>
      </c>
      <c r="CF12" s="43" t="s">
        <v>145</v>
      </c>
      <c r="CG12" s="43" t="s">
        <v>146</v>
      </c>
      <c r="CH12" s="43" t="s">
        <v>145</v>
      </c>
      <c r="CI12" s="57">
        <v>100</v>
      </c>
      <c r="CJ12" s="43" t="s">
        <v>147</v>
      </c>
      <c r="CK12" s="43" t="s">
        <v>148</v>
      </c>
      <c r="CL12" s="43" t="s">
        <v>97</v>
      </c>
      <c r="CM12" s="43" t="s">
        <v>149</v>
      </c>
      <c r="CN12" s="43" t="s">
        <v>150</v>
      </c>
      <c r="CO12" s="39" t="s">
        <v>113</v>
      </c>
      <c r="CP12" s="39" t="s">
        <v>113</v>
      </c>
      <c r="CQ12" s="39" t="s">
        <v>113</v>
      </c>
      <c r="CR12" s="39" t="s">
        <v>113</v>
      </c>
      <c r="CS12" s="39" t="s">
        <v>113</v>
      </c>
      <c r="CT12" s="39" t="s">
        <v>113</v>
      </c>
      <c r="CU12" s="39" t="s">
        <v>113</v>
      </c>
      <c r="CV12" s="35" t="s">
        <v>199</v>
      </c>
    </row>
    <row r="13" ht="14.5" customHeight="1" spans="1:100" x14ac:dyDescent="0.25">
      <c r="A13" s="35" t="s">
        <v>203</v>
      </c>
      <c r="B13" s="35" t="s">
        <v>204</v>
      </c>
      <c r="C13" s="35" t="s">
        <v>95</v>
      </c>
      <c r="D13" s="37" t="s">
        <v>96</v>
      </c>
      <c r="E13" s="38" t="s">
        <v>97</v>
      </c>
      <c r="F13" s="39" t="s">
        <v>205</v>
      </c>
      <c r="G13" s="39" t="s">
        <v>184</v>
      </c>
      <c r="H13" s="40" t="s">
        <v>100</v>
      </c>
      <c r="I13" s="40" t="s">
        <v>101</v>
      </c>
      <c r="J13" s="40" t="s">
        <v>102</v>
      </c>
      <c r="K13" s="41">
        <f t="shared" si="3"/>
        <v>45658</v>
      </c>
      <c r="L13" s="38" t="s">
        <v>97</v>
      </c>
      <c r="M13" s="40" t="s">
        <v>103</v>
      </c>
      <c r="N13" s="40" t="s">
        <v>154</v>
      </c>
      <c r="O13" s="42" t="s">
        <v>105</v>
      </c>
      <c r="P13" s="38" t="s">
        <v>155</v>
      </c>
      <c r="Q13" s="40" t="s">
        <v>107</v>
      </c>
      <c r="R13" s="40" t="s">
        <v>108</v>
      </c>
      <c r="S13" s="43" t="s">
        <v>109</v>
      </c>
      <c r="T13" s="43" t="s">
        <v>109</v>
      </c>
      <c r="U13" s="40" t="s">
        <v>102</v>
      </c>
      <c r="V13" s="44" t="s">
        <v>110</v>
      </c>
      <c r="W13" s="45" t="s">
        <v>111</v>
      </c>
      <c r="X13" s="40" t="s">
        <v>102</v>
      </c>
      <c r="Y13" s="46">
        <v>45658</v>
      </c>
      <c r="Z13" s="40" t="s">
        <v>112</v>
      </c>
      <c r="AA13" s="47" t="s">
        <v>113</v>
      </c>
      <c r="AB13" s="48" t="s">
        <v>114</v>
      </c>
      <c r="AC13" s="48" t="s">
        <v>115</v>
      </c>
      <c r="AD13" s="39" t="s">
        <v>116</v>
      </c>
      <c r="AE13" s="38">
        <v>970</v>
      </c>
      <c r="AF13" s="38" t="s">
        <v>57</v>
      </c>
      <c r="AG13" s="39">
        <v>20</v>
      </c>
      <c r="AH13" s="49" t="s">
        <v>170</v>
      </c>
      <c r="AI13" s="48" t="s">
        <v>118</v>
      </c>
      <c r="AJ13" s="46">
        <f t="shared" si="4"/>
        <v>46023</v>
      </c>
      <c r="AK13" s="41">
        <f t="shared" si="0"/>
        <v>45748</v>
      </c>
      <c r="AL13" s="40" t="s">
        <v>119</v>
      </c>
      <c r="AM13" s="49" t="s">
        <v>120</v>
      </c>
      <c r="AN13" s="39" t="s">
        <v>185</v>
      </c>
      <c r="AO13" s="40" t="s">
        <v>122</v>
      </c>
      <c r="AP13" s="50" t="s">
        <v>123</v>
      </c>
      <c r="AQ13" s="40" t="s">
        <v>124</v>
      </c>
      <c r="AR13" s="35" t="s">
        <v>124</v>
      </c>
      <c r="AS13" s="44" t="s">
        <v>113</v>
      </c>
      <c r="AT13" s="40" t="s">
        <v>125</v>
      </c>
      <c r="AU13" s="50" t="s">
        <v>126</v>
      </c>
      <c r="AV13" s="44" t="s">
        <v>127</v>
      </c>
      <c r="AW13" s="51">
        <f t="shared" si="5"/>
        <v>45657</v>
      </c>
      <c r="AX13" s="51">
        <f t="shared" si="1"/>
        <v>45657</v>
      </c>
      <c r="AY13" s="41">
        <f t="shared" si="2"/>
        <v>46023</v>
      </c>
      <c r="AZ13" s="43" t="s">
        <v>97</v>
      </c>
      <c r="BA13" s="43" t="s">
        <v>128</v>
      </c>
      <c r="BB13" s="52" t="s">
        <v>206</v>
      </c>
      <c r="BC13" s="44">
        <v>36526</v>
      </c>
      <c r="BD13" s="44">
        <v>51136</v>
      </c>
      <c r="BE13" s="43" t="s">
        <v>97</v>
      </c>
      <c r="BF13" s="43" t="s">
        <v>132</v>
      </c>
      <c r="BG13" s="50">
        <v>5855200041</v>
      </c>
      <c r="BH13" s="44">
        <v>36526</v>
      </c>
      <c r="BI13" s="44">
        <v>51136</v>
      </c>
      <c r="BJ13" s="38" t="s">
        <v>133</v>
      </c>
      <c r="BK13" s="50" t="s">
        <v>157</v>
      </c>
      <c r="BL13" s="53">
        <v>29588</v>
      </c>
      <c r="BM13" s="54" t="s">
        <v>97</v>
      </c>
      <c r="BN13" s="43" t="s">
        <v>109</v>
      </c>
      <c r="BO13" s="38" t="s">
        <v>135</v>
      </c>
      <c r="BP13" s="55" t="s">
        <v>113</v>
      </c>
      <c r="BQ13" s="43" t="s">
        <v>136</v>
      </c>
      <c r="BR13" s="43" t="s">
        <v>97</v>
      </c>
      <c r="BS13" s="39" t="s">
        <v>123</v>
      </c>
      <c r="BT13" s="39">
        <v>10</v>
      </c>
      <c r="BU13" s="38" t="s">
        <v>137</v>
      </c>
      <c r="BV13" s="38" t="s">
        <v>138</v>
      </c>
      <c r="BW13" s="43" t="s">
        <v>139</v>
      </c>
      <c r="BX13" s="56" t="s">
        <v>158</v>
      </c>
      <c r="BY13" s="43" t="s">
        <v>141</v>
      </c>
      <c r="BZ13" s="43" t="s">
        <v>142</v>
      </c>
      <c r="CA13" s="43" t="s">
        <v>143</v>
      </c>
      <c r="CB13" s="43" t="s">
        <v>144</v>
      </c>
      <c r="CC13" s="56" t="s">
        <v>139</v>
      </c>
      <c r="CD13" s="40" t="s">
        <v>140</v>
      </c>
      <c r="CE13" s="43" t="s">
        <v>141</v>
      </c>
      <c r="CF13" s="43" t="s">
        <v>145</v>
      </c>
      <c r="CG13" s="43" t="s">
        <v>146</v>
      </c>
      <c r="CH13" s="43" t="s">
        <v>145</v>
      </c>
      <c r="CI13" s="57">
        <v>100</v>
      </c>
      <c r="CJ13" s="43" t="s">
        <v>147</v>
      </c>
      <c r="CK13" s="43" t="s">
        <v>148</v>
      </c>
      <c r="CL13" s="43" t="s">
        <v>97</v>
      </c>
      <c r="CM13" s="43" t="s">
        <v>159</v>
      </c>
      <c r="CN13" s="43" t="s">
        <v>150</v>
      </c>
      <c r="CO13" s="39" t="s">
        <v>113</v>
      </c>
      <c r="CP13" s="39" t="s">
        <v>113</v>
      </c>
      <c r="CQ13" s="39" t="s">
        <v>113</v>
      </c>
      <c r="CR13" s="39" t="s">
        <v>113</v>
      </c>
      <c r="CS13" s="39" t="s">
        <v>113</v>
      </c>
      <c r="CT13" s="39" t="s">
        <v>113</v>
      </c>
      <c r="CU13" s="39" t="s">
        <v>113</v>
      </c>
      <c r="CV13" s="35" t="s">
        <v>203</v>
      </c>
    </row>
    <row r="14" ht="14.5" customHeight="1" spans="1:100" x14ac:dyDescent="0.25">
      <c r="A14" s="35" t="s">
        <v>207</v>
      </c>
      <c r="B14" s="35" t="s">
        <v>208</v>
      </c>
      <c r="C14" s="35" t="s">
        <v>95</v>
      </c>
      <c r="D14" s="37" t="s">
        <v>96</v>
      </c>
      <c r="E14" s="38" t="s">
        <v>97</v>
      </c>
      <c r="F14" s="39" t="s">
        <v>209</v>
      </c>
      <c r="G14" s="39" t="s">
        <v>210</v>
      </c>
      <c r="H14" s="40" t="s">
        <v>100</v>
      </c>
      <c r="I14" s="40" t="s">
        <v>101</v>
      </c>
      <c r="J14" s="40" t="s">
        <v>102</v>
      </c>
      <c r="K14" s="41">
        <f t="shared" si="3"/>
        <v>45658</v>
      </c>
      <c r="L14" s="38" t="s">
        <v>97</v>
      </c>
      <c r="M14" s="40" t="s">
        <v>103</v>
      </c>
      <c r="N14" s="40" t="s">
        <v>104</v>
      </c>
      <c r="O14" s="42" t="s">
        <v>105</v>
      </c>
      <c r="P14" s="38" t="s">
        <v>106</v>
      </c>
      <c r="Q14" s="40" t="s">
        <v>107</v>
      </c>
      <c r="R14" s="40" t="s">
        <v>108</v>
      </c>
      <c r="S14" s="43" t="s">
        <v>109</v>
      </c>
      <c r="T14" s="43" t="s">
        <v>109</v>
      </c>
      <c r="U14" s="40" t="s">
        <v>102</v>
      </c>
      <c r="V14" s="44" t="s">
        <v>110</v>
      </c>
      <c r="W14" s="45" t="s">
        <v>111</v>
      </c>
      <c r="X14" s="40" t="s">
        <v>102</v>
      </c>
      <c r="Y14" s="46">
        <v>45658</v>
      </c>
      <c r="Z14" s="40" t="s">
        <v>112</v>
      </c>
      <c r="AA14" s="47" t="s">
        <v>113</v>
      </c>
      <c r="AB14" s="48" t="s">
        <v>114</v>
      </c>
      <c r="AC14" s="48" t="s">
        <v>211</v>
      </c>
      <c r="AD14" s="48" t="s">
        <v>116</v>
      </c>
      <c r="AE14" s="38">
        <v>970</v>
      </c>
      <c r="AF14" s="38" t="s">
        <v>57</v>
      </c>
      <c r="AG14" s="39">
        <v>25</v>
      </c>
      <c r="AH14" s="49" t="s">
        <v>117</v>
      </c>
      <c r="AI14" s="48" t="s">
        <v>118</v>
      </c>
      <c r="AJ14" s="46">
        <f t="shared" si="4"/>
        <v>46023</v>
      </c>
      <c r="AK14" s="41">
        <f t="shared" si="0"/>
        <v>45748</v>
      </c>
      <c r="AL14" s="40" t="s">
        <v>119</v>
      </c>
      <c r="AM14" s="49" t="s">
        <v>120</v>
      </c>
      <c r="AN14" s="39" t="s">
        <v>212</v>
      </c>
      <c r="AO14" s="40" t="s">
        <v>122</v>
      </c>
      <c r="AP14" s="50" t="s">
        <v>123</v>
      </c>
      <c r="AQ14" s="40" t="s">
        <v>124</v>
      </c>
      <c r="AR14" s="35" t="s">
        <v>124</v>
      </c>
      <c r="AS14" s="44" t="s">
        <v>113</v>
      </c>
      <c r="AT14" s="40" t="s">
        <v>125</v>
      </c>
      <c r="AU14" s="50" t="s">
        <v>126</v>
      </c>
      <c r="AV14" s="44" t="s">
        <v>127</v>
      </c>
      <c r="AW14" s="51">
        <f t="shared" si="5"/>
        <v>45657</v>
      </c>
      <c r="AX14" s="51">
        <f t="shared" si="1"/>
        <v>45657</v>
      </c>
      <c r="AY14" s="41">
        <f t="shared" si="2"/>
        <v>46023</v>
      </c>
      <c r="AZ14" s="43" t="s">
        <v>97</v>
      </c>
      <c r="BA14" s="43" t="s">
        <v>128</v>
      </c>
      <c r="BB14" s="52" t="s">
        <v>213</v>
      </c>
      <c r="BC14" s="44" t="s">
        <v>130</v>
      </c>
      <c r="BD14" s="44" t="s">
        <v>131</v>
      </c>
      <c r="BE14" s="43" t="s">
        <v>97</v>
      </c>
      <c r="BF14" s="43" t="s">
        <v>132</v>
      </c>
      <c r="BG14" s="50">
        <v>5855200042</v>
      </c>
      <c r="BH14" s="44">
        <v>36526</v>
      </c>
      <c r="BI14" s="44">
        <v>51136</v>
      </c>
      <c r="BJ14" s="38" t="s">
        <v>133</v>
      </c>
      <c r="BK14" s="50" t="s">
        <v>134</v>
      </c>
      <c r="BL14" s="53">
        <v>32144</v>
      </c>
      <c r="BM14" s="54" t="s">
        <v>97</v>
      </c>
      <c r="BN14" s="43" t="s">
        <v>109</v>
      </c>
      <c r="BO14" s="38" t="s">
        <v>135</v>
      </c>
      <c r="BP14" s="55" t="s">
        <v>113</v>
      </c>
      <c r="BQ14" s="43" t="s">
        <v>136</v>
      </c>
      <c r="BR14" s="43" t="s">
        <v>97</v>
      </c>
      <c r="BS14" s="49" t="s">
        <v>124</v>
      </c>
      <c r="BT14" s="49" t="s">
        <v>113</v>
      </c>
      <c r="BU14" s="38" t="s">
        <v>137</v>
      </c>
      <c r="BV14" s="38" t="s">
        <v>138</v>
      </c>
      <c r="BW14" s="43" t="s">
        <v>139</v>
      </c>
      <c r="BX14" s="56" t="s">
        <v>140</v>
      </c>
      <c r="BY14" s="43" t="s">
        <v>141</v>
      </c>
      <c r="BZ14" s="43" t="s">
        <v>142</v>
      </c>
      <c r="CA14" s="43" t="s">
        <v>143</v>
      </c>
      <c r="CB14" s="43" t="s">
        <v>144</v>
      </c>
      <c r="CC14" s="56" t="s">
        <v>139</v>
      </c>
      <c r="CD14" s="40" t="s">
        <v>140</v>
      </c>
      <c r="CE14" s="43" t="s">
        <v>141</v>
      </c>
      <c r="CF14" s="43" t="s">
        <v>145</v>
      </c>
      <c r="CG14" s="43" t="s">
        <v>146</v>
      </c>
      <c r="CH14" s="43" t="s">
        <v>145</v>
      </c>
      <c r="CI14" s="57">
        <v>100</v>
      </c>
      <c r="CJ14" s="43" t="s">
        <v>147</v>
      </c>
      <c r="CK14" s="43" t="s">
        <v>148</v>
      </c>
      <c r="CL14" s="43" t="s">
        <v>97</v>
      </c>
      <c r="CM14" s="43" t="s">
        <v>149</v>
      </c>
      <c r="CN14" s="43" t="s">
        <v>150</v>
      </c>
      <c r="CO14" s="49" t="s">
        <v>113</v>
      </c>
      <c r="CP14" s="49" t="s">
        <v>113</v>
      </c>
      <c r="CQ14" s="58" t="s">
        <v>113</v>
      </c>
      <c r="CR14" s="53" t="s">
        <v>113</v>
      </c>
      <c r="CS14" s="49" t="s">
        <v>113</v>
      </c>
      <c r="CT14" s="59" t="s">
        <v>113</v>
      </c>
      <c r="CU14" s="59" t="s">
        <v>113</v>
      </c>
      <c r="CV14" s="35" t="s">
        <v>207</v>
      </c>
    </row>
    <row r="15" ht="14.5" customHeight="1" spans="1:100" x14ac:dyDescent="0.25">
      <c r="A15" s="35" t="s">
        <v>214</v>
      </c>
      <c r="B15" s="35" t="s">
        <v>215</v>
      </c>
      <c r="C15" s="35" t="s">
        <v>95</v>
      </c>
      <c r="D15" s="37" t="s">
        <v>96</v>
      </c>
      <c r="E15" s="38" t="s">
        <v>97</v>
      </c>
      <c r="F15" s="39" t="s">
        <v>169</v>
      </c>
      <c r="G15" s="39" t="s">
        <v>210</v>
      </c>
      <c r="H15" s="40" t="s">
        <v>100</v>
      </c>
      <c r="I15" s="40" t="s">
        <v>101</v>
      </c>
      <c r="J15" s="40" t="s">
        <v>102</v>
      </c>
      <c r="K15" s="41">
        <f t="shared" si="3"/>
        <v>45292</v>
      </c>
      <c r="L15" s="38" t="s">
        <v>97</v>
      </c>
      <c r="M15" s="40" t="s">
        <v>103</v>
      </c>
      <c r="N15" s="40" t="s">
        <v>154</v>
      </c>
      <c r="O15" s="42" t="s">
        <v>105</v>
      </c>
      <c r="P15" s="38" t="s">
        <v>155</v>
      </c>
      <c r="Q15" s="40" t="s">
        <v>107</v>
      </c>
      <c r="R15" s="40" t="s">
        <v>108</v>
      </c>
      <c r="S15" s="43" t="s">
        <v>109</v>
      </c>
      <c r="T15" s="43" t="s">
        <v>109</v>
      </c>
      <c r="U15" s="40" t="s">
        <v>102</v>
      </c>
      <c r="V15" s="44" t="s">
        <v>110</v>
      </c>
      <c r="W15" s="45" t="s">
        <v>111</v>
      </c>
      <c r="X15" s="40" t="s">
        <v>102</v>
      </c>
      <c r="Y15" s="46">
        <v>45292</v>
      </c>
      <c r="Z15" s="40" t="s">
        <v>112</v>
      </c>
      <c r="AA15" s="47" t="s">
        <v>113</v>
      </c>
      <c r="AB15" s="48" t="s">
        <v>114</v>
      </c>
      <c r="AC15" s="48" t="s">
        <v>211</v>
      </c>
      <c r="AD15" s="48" t="s">
        <v>116</v>
      </c>
      <c r="AE15" s="38">
        <v>970</v>
      </c>
      <c r="AF15" s="38" t="s">
        <v>57</v>
      </c>
      <c r="AG15" s="39">
        <v>25</v>
      </c>
      <c r="AH15" s="49" t="s">
        <v>117</v>
      </c>
      <c r="AI15" s="48" t="s">
        <v>118</v>
      </c>
      <c r="AJ15" s="46">
        <f>Y15+735</f>
        <v>46027</v>
      </c>
      <c r="AK15" s="41">
        <f t="shared" si="0"/>
        <v>45382</v>
      </c>
      <c r="AL15" s="40" t="s">
        <v>119</v>
      </c>
      <c r="AM15" s="49" t="s">
        <v>120</v>
      </c>
      <c r="AN15" s="39" t="s">
        <v>212</v>
      </c>
      <c r="AO15" s="40" t="s">
        <v>122</v>
      </c>
      <c r="AP15" s="50" t="s">
        <v>123</v>
      </c>
      <c r="AQ15" s="40" t="s">
        <v>124</v>
      </c>
      <c r="AR15" s="35" t="s">
        <v>124</v>
      </c>
      <c r="AS15" s="44" t="s">
        <v>113</v>
      </c>
      <c r="AT15" s="40" t="s">
        <v>125</v>
      </c>
      <c r="AU15" s="50" t="s">
        <v>126</v>
      </c>
      <c r="AV15" s="44" t="s">
        <v>127</v>
      </c>
      <c r="AW15" s="51">
        <f t="shared" si="5"/>
        <v>45291</v>
      </c>
      <c r="AX15" s="51">
        <f t="shared" si="1"/>
        <v>45291</v>
      </c>
      <c r="AY15" s="41">
        <f t="shared" si="2"/>
        <v>46027</v>
      </c>
      <c r="AZ15" s="43" t="s">
        <v>97</v>
      </c>
      <c r="BA15" s="43" t="s">
        <v>128</v>
      </c>
      <c r="BB15" s="52" t="s">
        <v>216</v>
      </c>
      <c r="BC15" s="44">
        <v>36526</v>
      </c>
      <c r="BD15" s="44">
        <v>51136</v>
      </c>
      <c r="BE15" s="43" t="s">
        <v>97</v>
      </c>
      <c r="BF15" s="43" t="s">
        <v>132</v>
      </c>
      <c r="BG15" s="50">
        <v>5855200043</v>
      </c>
      <c r="BH15" s="44">
        <v>36526</v>
      </c>
      <c r="BI15" s="44">
        <v>51136</v>
      </c>
      <c r="BJ15" s="38" t="s">
        <v>133</v>
      </c>
      <c r="BK15" s="50" t="s">
        <v>157</v>
      </c>
      <c r="BL15" s="53">
        <v>32144</v>
      </c>
      <c r="BM15" s="54" t="s">
        <v>97</v>
      </c>
      <c r="BN15" s="43" t="s">
        <v>109</v>
      </c>
      <c r="BO15" s="38" t="s">
        <v>135</v>
      </c>
      <c r="BP15" s="55" t="s">
        <v>113</v>
      </c>
      <c r="BQ15" s="43" t="s">
        <v>136</v>
      </c>
      <c r="BR15" s="43" t="s">
        <v>97</v>
      </c>
      <c r="BS15" s="49" t="s">
        <v>124</v>
      </c>
      <c r="BT15" s="49" t="s">
        <v>113</v>
      </c>
      <c r="BU15" s="38" t="s">
        <v>137</v>
      </c>
      <c r="BV15" s="38" t="s">
        <v>138</v>
      </c>
      <c r="BW15" s="43" t="s">
        <v>139</v>
      </c>
      <c r="BX15" s="56" t="s">
        <v>158</v>
      </c>
      <c r="BY15" s="43" t="s">
        <v>141</v>
      </c>
      <c r="BZ15" s="43" t="s">
        <v>142</v>
      </c>
      <c r="CA15" s="43" t="s">
        <v>143</v>
      </c>
      <c r="CB15" s="43" t="s">
        <v>144</v>
      </c>
      <c r="CC15" s="56" t="s">
        <v>139</v>
      </c>
      <c r="CD15" s="40" t="s">
        <v>140</v>
      </c>
      <c r="CE15" s="43" t="s">
        <v>141</v>
      </c>
      <c r="CF15" s="43" t="s">
        <v>145</v>
      </c>
      <c r="CG15" s="43" t="s">
        <v>146</v>
      </c>
      <c r="CH15" s="43" t="s">
        <v>145</v>
      </c>
      <c r="CI15" s="57">
        <v>100</v>
      </c>
      <c r="CJ15" s="43" t="s">
        <v>147</v>
      </c>
      <c r="CK15" s="43" t="s">
        <v>148</v>
      </c>
      <c r="CL15" s="43" t="s">
        <v>97</v>
      </c>
      <c r="CM15" s="43" t="s">
        <v>159</v>
      </c>
      <c r="CN15" s="43" t="s">
        <v>150</v>
      </c>
      <c r="CO15" s="49" t="s">
        <v>160</v>
      </c>
      <c r="CP15" s="49" t="s">
        <v>161</v>
      </c>
      <c r="CQ15" s="58" t="s">
        <v>109</v>
      </c>
      <c r="CR15" s="53">
        <f>TODAY()-1500</f>
        <v>44271</v>
      </c>
      <c r="CS15" s="49" t="s">
        <v>162</v>
      </c>
      <c r="CT15" s="59">
        <v>1234026</v>
      </c>
      <c r="CU15" s="59">
        <v>123456019</v>
      </c>
      <c r="CV15" s="35" t="s">
        <v>214</v>
      </c>
    </row>
    <row r="16" ht="14.5" customHeight="1" spans="1:100" x14ac:dyDescent="0.25">
      <c r="A16" s="35" t="s">
        <v>217</v>
      </c>
      <c r="B16" s="35" t="s">
        <v>218</v>
      </c>
      <c r="C16" s="35" t="s">
        <v>95</v>
      </c>
      <c r="D16" s="37" t="s">
        <v>96</v>
      </c>
      <c r="E16" s="38" t="s">
        <v>97</v>
      </c>
      <c r="F16" s="39" t="s">
        <v>219</v>
      </c>
      <c r="G16" s="39" t="s">
        <v>220</v>
      </c>
      <c r="H16" s="40" t="s">
        <v>100</v>
      </c>
      <c r="I16" s="40" t="s">
        <v>101</v>
      </c>
      <c r="J16" s="40" t="s">
        <v>102</v>
      </c>
      <c r="K16" s="41">
        <f t="shared" si="3"/>
        <v>45658</v>
      </c>
      <c r="L16" s="38" t="s">
        <v>97</v>
      </c>
      <c r="M16" s="40" t="s">
        <v>103</v>
      </c>
      <c r="N16" s="40" t="s">
        <v>104</v>
      </c>
      <c r="O16" s="42" t="s">
        <v>105</v>
      </c>
      <c r="P16" s="38" t="s">
        <v>106</v>
      </c>
      <c r="Q16" s="40" t="s">
        <v>107</v>
      </c>
      <c r="R16" s="40" t="s">
        <v>108</v>
      </c>
      <c r="S16" s="43" t="s">
        <v>109</v>
      </c>
      <c r="T16" s="43" t="s">
        <v>109</v>
      </c>
      <c r="U16" s="40" t="s">
        <v>102</v>
      </c>
      <c r="V16" s="44" t="s">
        <v>110</v>
      </c>
      <c r="W16" s="45" t="s">
        <v>111</v>
      </c>
      <c r="X16" s="40" t="s">
        <v>102</v>
      </c>
      <c r="Y16" s="46">
        <v>45658</v>
      </c>
      <c r="Z16" s="40" t="s">
        <v>112</v>
      </c>
      <c r="AA16" s="47" t="s">
        <v>113</v>
      </c>
      <c r="AB16" s="48" t="s">
        <v>114</v>
      </c>
      <c r="AC16" s="48" t="s">
        <v>211</v>
      </c>
      <c r="AD16" s="39" t="s">
        <v>116</v>
      </c>
      <c r="AE16" s="38">
        <v>970</v>
      </c>
      <c r="AF16" s="38" t="s">
        <v>57</v>
      </c>
      <c r="AG16" s="39">
        <v>25</v>
      </c>
      <c r="AH16" s="39" t="s">
        <v>117</v>
      </c>
      <c r="AI16" s="48" t="s">
        <v>118</v>
      </c>
      <c r="AJ16" s="46">
        <f t="shared" si="4"/>
        <v>46023</v>
      </c>
      <c r="AK16" s="41">
        <f t="shared" si="0"/>
        <v>45748</v>
      </c>
      <c r="AL16" s="40" t="s">
        <v>119</v>
      </c>
      <c r="AM16" s="49" t="s">
        <v>120</v>
      </c>
      <c r="AN16" s="39" t="s">
        <v>212</v>
      </c>
      <c r="AO16" s="40" t="s">
        <v>122</v>
      </c>
      <c r="AP16" s="50" t="s">
        <v>123</v>
      </c>
      <c r="AQ16" s="40" t="s">
        <v>124</v>
      </c>
      <c r="AR16" s="35" t="s">
        <v>124</v>
      </c>
      <c r="AS16" s="44" t="s">
        <v>113</v>
      </c>
      <c r="AT16" s="40" t="s">
        <v>125</v>
      </c>
      <c r="AU16" s="50" t="s">
        <v>126</v>
      </c>
      <c r="AV16" s="44" t="s">
        <v>127</v>
      </c>
      <c r="AW16" s="51">
        <f t="shared" si="5"/>
        <v>45657</v>
      </c>
      <c r="AX16" s="51">
        <f t="shared" si="1"/>
        <v>45657</v>
      </c>
      <c r="AY16" s="41">
        <f t="shared" si="2"/>
        <v>46023</v>
      </c>
      <c r="AZ16" s="43" t="s">
        <v>97</v>
      </c>
      <c r="BA16" s="43" t="s">
        <v>128</v>
      </c>
      <c r="BB16" s="52" t="s">
        <v>221</v>
      </c>
      <c r="BC16" s="44" t="s">
        <v>130</v>
      </c>
      <c r="BD16" s="44" t="s">
        <v>131</v>
      </c>
      <c r="BE16" s="43" t="s">
        <v>97</v>
      </c>
      <c r="BF16" s="43" t="s">
        <v>132</v>
      </c>
      <c r="BG16" s="50">
        <v>5855200044</v>
      </c>
      <c r="BH16" s="44">
        <v>36526</v>
      </c>
      <c r="BI16" s="44">
        <v>51136</v>
      </c>
      <c r="BJ16" s="38" t="s">
        <v>133</v>
      </c>
      <c r="BK16" s="50" t="s">
        <v>134</v>
      </c>
      <c r="BL16" s="53">
        <v>31049</v>
      </c>
      <c r="BM16" s="54" t="s">
        <v>97</v>
      </c>
      <c r="BN16" s="43" t="s">
        <v>109</v>
      </c>
      <c r="BO16" s="38" t="s">
        <v>135</v>
      </c>
      <c r="BP16" s="55" t="s">
        <v>113</v>
      </c>
      <c r="BQ16" s="43" t="s">
        <v>136</v>
      </c>
      <c r="BR16" s="43" t="s">
        <v>97</v>
      </c>
      <c r="BS16" s="39" t="s">
        <v>123</v>
      </c>
      <c r="BT16" s="39">
        <v>10</v>
      </c>
      <c r="BU16" s="38" t="s">
        <v>137</v>
      </c>
      <c r="BV16" s="38" t="s">
        <v>138</v>
      </c>
      <c r="BW16" s="43" t="s">
        <v>139</v>
      </c>
      <c r="BX16" s="56" t="s">
        <v>140</v>
      </c>
      <c r="BY16" s="43" t="s">
        <v>141</v>
      </c>
      <c r="BZ16" s="43" t="s">
        <v>142</v>
      </c>
      <c r="CA16" s="43" t="s">
        <v>143</v>
      </c>
      <c r="CB16" s="43" t="s">
        <v>144</v>
      </c>
      <c r="CC16" s="56" t="s">
        <v>139</v>
      </c>
      <c r="CD16" s="40" t="s">
        <v>140</v>
      </c>
      <c r="CE16" s="43" t="s">
        <v>141</v>
      </c>
      <c r="CF16" s="43" t="s">
        <v>145</v>
      </c>
      <c r="CG16" s="43" t="s">
        <v>146</v>
      </c>
      <c r="CH16" s="43" t="s">
        <v>145</v>
      </c>
      <c r="CI16" s="57">
        <v>100</v>
      </c>
      <c r="CJ16" s="43" t="s">
        <v>147</v>
      </c>
      <c r="CK16" s="43" t="s">
        <v>148</v>
      </c>
      <c r="CL16" s="43" t="s">
        <v>97</v>
      </c>
      <c r="CM16" s="43" t="s">
        <v>149</v>
      </c>
      <c r="CN16" s="43" t="s">
        <v>150</v>
      </c>
      <c r="CO16" s="39" t="s">
        <v>113</v>
      </c>
      <c r="CP16" s="39" t="s">
        <v>113</v>
      </c>
      <c r="CQ16" s="39" t="s">
        <v>113</v>
      </c>
      <c r="CR16" s="39" t="s">
        <v>113</v>
      </c>
      <c r="CS16" s="39" t="s">
        <v>113</v>
      </c>
      <c r="CT16" s="39" t="s">
        <v>113</v>
      </c>
      <c r="CU16" s="39" t="s">
        <v>113</v>
      </c>
      <c r="CV16" s="35" t="s">
        <v>217</v>
      </c>
    </row>
    <row r="17" ht="14.5" customHeight="1" spans="1:100" x14ac:dyDescent="0.25">
      <c r="A17" s="35" t="s">
        <v>222</v>
      </c>
      <c r="B17" s="35" t="s">
        <v>223</v>
      </c>
      <c r="C17" s="35" t="s">
        <v>224</v>
      </c>
      <c r="D17" s="37" t="s">
        <v>96</v>
      </c>
      <c r="E17" s="38" t="s">
        <v>97</v>
      </c>
      <c r="F17" s="39" t="s">
        <v>225</v>
      </c>
      <c r="G17" s="39" t="s">
        <v>220</v>
      </c>
      <c r="H17" s="40" t="s">
        <v>100</v>
      </c>
      <c r="I17" s="40" t="s">
        <v>101</v>
      </c>
      <c r="J17" s="40" t="s">
        <v>102</v>
      </c>
      <c r="K17" s="41">
        <f t="shared" si="3"/>
        <v>45658</v>
      </c>
      <c r="L17" s="38" t="s">
        <v>97</v>
      </c>
      <c r="M17" s="40" t="s">
        <v>103</v>
      </c>
      <c r="N17" s="40" t="s">
        <v>154</v>
      </c>
      <c r="O17" s="42" t="s">
        <v>105</v>
      </c>
      <c r="P17" s="38" t="s">
        <v>155</v>
      </c>
      <c r="Q17" s="40" t="s">
        <v>107</v>
      </c>
      <c r="R17" s="40" t="s">
        <v>108</v>
      </c>
      <c r="S17" s="43" t="s">
        <v>109</v>
      </c>
      <c r="T17" s="43" t="s">
        <v>109</v>
      </c>
      <c r="U17" s="40" t="s">
        <v>102</v>
      </c>
      <c r="V17" s="44" t="s">
        <v>110</v>
      </c>
      <c r="W17" s="45" t="s">
        <v>111</v>
      </c>
      <c r="X17" s="40" t="s">
        <v>102</v>
      </c>
      <c r="Y17" s="46">
        <v>45658</v>
      </c>
      <c r="Z17" s="40" t="s">
        <v>112</v>
      </c>
      <c r="AA17" s="47" t="s">
        <v>113</v>
      </c>
      <c r="AB17" s="48" t="s">
        <v>114</v>
      </c>
      <c r="AC17" s="48" t="s">
        <v>211</v>
      </c>
      <c r="AD17" s="39" t="s">
        <v>116</v>
      </c>
      <c r="AE17" s="38">
        <v>970</v>
      </c>
      <c r="AF17" s="38" t="s">
        <v>57</v>
      </c>
      <c r="AG17" s="39">
        <v>25</v>
      </c>
      <c r="AH17" s="49" t="s">
        <v>170</v>
      </c>
      <c r="AI17" s="48" t="s">
        <v>118</v>
      </c>
      <c r="AJ17" s="46">
        <f t="shared" si="4"/>
        <v>46023</v>
      </c>
      <c r="AK17" s="41">
        <f t="shared" si="0"/>
        <v>45748</v>
      </c>
      <c r="AL17" s="40" t="s">
        <v>119</v>
      </c>
      <c r="AM17" s="49" t="s">
        <v>120</v>
      </c>
      <c r="AN17" s="39" t="s">
        <v>212</v>
      </c>
      <c r="AO17" s="40" t="s">
        <v>122</v>
      </c>
      <c r="AP17" s="50" t="s">
        <v>123</v>
      </c>
      <c r="AQ17" s="40" t="s">
        <v>124</v>
      </c>
      <c r="AR17" s="35" t="s">
        <v>124</v>
      </c>
      <c r="AS17" s="44" t="s">
        <v>113</v>
      </c>
      <c r="AT17" s="40" t="s">
        <v>125</v>
      </c>
      <c r="AU17" s="50" t="s">
        <v>126</v>
      </c>
      <c r="AV17" s="44" t="s">
        <v>127</v>
      </c>
      <c r="AW17" s="51">
        <f t="shared" si="5"/>
        <v>45657</v>
      </c>
      <c r="AX17" s="51">
        <f t="shared" si="1"/>
        <v>45657</v>
      </c>
      <c r="AY17" s="41">
        <f t="shared" si="2"/>
        <v>46023</v>
      </c>
      <c r="AZ17" s="43" t="s">
        <v>97</v>
      </c>
      <c r="BA17" s="43" t="s">
        <v>128</v>
      </c>
      <c r="BB17" s="52" t="s">
        <v>226</v>
      </c>
      <c r="BC17" s="44">
        <v>36526</v>
      </c>
      <c r="BD17" s="44">
        <v>51136</v>
      </c>
      <c r="BE17" s="43" t="s">
        <v>97</v>
      </c>
      <c r="BF17" s="43" t="s">
        <v>132</v>
      </c>
      <c r="BG17" s="50">
        <v>5855200045</v>
      </c>
      <c r="BH17" s="44">
        <v>36526</v>
      </c>
      <c r="BI17" s="44">
        <v>51136</v>
      </c>
      <c r="BJ17" s="38" t="s">
        <v>133</v>
      </c>
      <c r="BK17" s="50" t="s">
        <v>157</v>
      </c>
      <c r="BL17" s="53">
        <v>32144</v>
      </c>
      <c r="BM17" s="54" t="s">
        <v>97</v>
      </c>
      <c r="BN17" s="43" t="s">
        <v>109</v>
      </c>
      <c r="BO17" s="38" t="s">
        <v>135</v>
      </c>
      <c r="BP17" s="55" t="s">
        <v>113</v>
      </c>
      <c r="BQ17" s="43" t="s">
        <v>136</v>
      </c>
      <c r="BR17" s="43" t="s">
        <v>97</v>
      </c>
      <c r="BS17" s="39" t="s">
        <v>124</v>
      </c>
      <c r="BT17" s="39" t="s">
        <v>113</v>
      </c>
      <c r="BU17" s="38" t="s">
        <v>137</v>
      </c>
      <c r="BV17" s="38" t="s">
        <v>138</v>
      </c>
      <c r="BW17" s="43" t="s">
        <v>139</v>
      </c>
      <c r="BX17" s="56" t="s">
        <v>158</v>
      </c>
      <c r="BY17" s="43" t="s">
        <v>141</v>
      </c>
      <c r="BZ17" s="43" t="s">
        <v>142</v>
      </c>
      <c r="CA17" s="43" t="s">
        <v>143</v>
      </c>
      <c r="CB17" s="43" t="s">
        <v>144</v>
      </c>
      <c r="CC17" s="56" t="s">
        <v>139</v>
      </c>
      <c r="CD17" s="40" t="s">
        <v>140</v>
      </c>
      <c r="CE17" s="43" t="s">
        <v>141</v>
      </c>
      <c r="CF17" s="43" t="s">
        <v>145</v>
      </c>
      <c r="CG17" s="43" t="s">
        <v>146</v>
      </c>
      <c r="CH17" s="43" t="s">
        <v>145</v>
      </c>
      <c r="CI17" s="57">
        <v>100</v>
      </c>
      <c r="CJ17" s="43" t="s">
        <v>147</v>
      </c>
      <c r="CK17" s="43" t="s">
        <v>148</v>
      </c>
      <c r="CL17" s="43" t="s">
        <v>97</v>
      </c>
      <c r="CM17" s="43" t="s">
        <v>159</v>
      </c>
      <c r="CN17" s="43" t="s">
        <v>150</v>
      </c>
      <c r="CO17" s="39" t="s">
        <v>160</v>
      </c>
      <c r="CP17" s="39" t="s">
        <v>161</v>
      </c>
      <c r="CQ17" s="39" t="s">
        <v>109</v>
      </c>
      <c r="CR17" s="53">
        <f>TODAY()-1500</f>
        <v>44271</v>
      </c>
      <c r="CS17" s="39" t="s">
        <v>162</v>
      </c>
      <c r="CT17" s="59">
        <v>1234027</v>
      </c>
      <c r="CU17" s="59">
        <v>123456020</v>
      </c>
      <c r="CV17" s="35" t="s">
        <v>222</v>
      </c>
    </row>
    <row r="18" ht="14.5" customHeight="1" spans="1:100" x14ac:dyDescent="0.25">
      <c r="A18" s="35" t="s">
        <v>227</v>
      </c>
      <c r="B18" s="35" t="s">
        <v>228</v>
      </c>
      <c r="C18" s="35" t="s">
        <v>95</v>
      </c>
      <c r="D18" s="37" t="s">
        <v>96</v>
      </c>
      <c r="E18" s="38" t="s">
        <v>97</v>
      </c>
      <c r="F18" s="39" t="s">
        <v>229</v>
      </c>
      <c r="G18" s="39" t="s">
        <v>210</v>
      </c>
      <c r="H18" s="40" t="s">
        <v>100</v>
      </c>
      <c r="I18" s="40" t="s">
        <v>101</v>
      </c>
      <c r="J18" s="40" t="s">
        <v>102</v>
      </c>
      <c r="K18" s="41">
        <f t="shared" si="3"/>
        <v>45658</v>
      </c>
      <c r="L18" s="38" t="s">
        <v>97</v>
      </c>
      <c r="M18" s="40" t="s">
        <v>103</v>
      </c>
      <c r="N18" s="40" t="s">
        <v>104</v>
      </c>
      <c r="O18" s="42" t="s">
        <v>105</v>
      </c>
      <c r="P18" s="38" t="s">
        <v>106</v>
      </c>
      <c r="Q18" s="40" t="s">
        <v>107</v>
      </c>
      <c r="R18" s="40" t="s">
        <v>108</v>
      </c>
      <c r="S18" s="43" t="s">
        <v>109</v>
      </c>
      <c r="T18" s="43" t="s">
        <v>109</v>
      </c>
      <c r="U18" s="40" t="s">
        <v>102</v>
      </c>
      <c r="V18" s="44" t="s">
        <v>110</v>
      </c>
      <c r="W18" s="45" t="s">
        <v>111</v>
      </c>
      <c r="X18" s="40" t="s">
        <v>102</v>
      </c>
      <c r="Y18" s="46">
        <v>45658</v>
      </c>
      <c r="Z18" s="40" t="s">
        <v>112</v>
      </c>
      <c r="AA18" s="47" t="s">
        <v>113</v>
      </c>
      <c r="AB18" s="48" t="s">
        <v>114</v>
      </c>
      <c r="AC18" s="48" t="s">
        <v>211</v>
      </c>
      <c r="AD18" s="39" t="s">
        <v>116</v>
      </c>
      <c r="AE18" s="38">
        <v>970</v>
      </c>
      <c r="AF18" s="38" t="s">
        <v>57</v>
      </c>
      <c r="AG18" s="39">
        <v>25</v>
      </c>
      <c r="AH18" s="49" t="s">
        <v>170</v>
      </c>
      <c r="AI18" s="48" t="s">
        <v>118</v>
      </c>
      <c r="AJ18" s="46">
        <f t="shared" si="4"/>
        <v>46023</v>
      </c>
      <c r="AK18" s="41">
        <f t="shared" si="0"/>
        <v>45748</v>
      </c>
      <c r="AL18" s="40" t="s">
        <v>119</v>
      </c>
      <c r="AM18" s="49" t="s">
        <v>120</v>
      </c>
      <c r="AN18" s="39" t="s">
        <v>212</v>
      </c>
      <c r="AO18" s="40" t="s">
        <v>122</v>
      </c>
      <c r="AP18" s="50" t="s">
        <v>123</v>
      </c>
      <c r="AQ18" s="40" t="s">
        <v>124</v>
      </c>
      <c r="AR18" s="35" t="s">
        <v>124</v>
      </c>
      <c r="AS18" s="44" t="s">
        <v>113</v>
      </c>
      <c r="AT18" s="40" t="s">
        <v>125</v>
      </c>
      <c r="AU18" s="50" t="s">
        <v>126</v>
      </c>
      <c r="AV18" s="44" t="s">
        <v>127</v>
      </c>
      <c r="AW18" s="51">
        <f t="shared" si="5"/>
        <v>45657</v>
      </c>
      <c r="AX18" s="51">
        <f t="shared" si="1"/>
        <v>45657</v>
      </c>
      <c r="AY18" s="41">
        <f t="shared" si="2"/>
        <v>46023</v>
      </c>
      <c r="AZ18" s="43" t="s">
        <v>97</v>
      </c>
      <c r="BA18" s="43" t="s">
        <v>128</v>
      </c>
      <c r="BB18" s="52" t="s">
        <v>230</v>
      </c>
      <c r="BC18" s="44" t="s">
        <v>130</v>
      </c>
      <c r="BD18" s="44" t="s">
        <v>131</v>
      </c>
      <c r="BE18" s="43" t="s">
        <v>97</v>
      </c>
      <c r="BF18" s="43" t="s">
        <v>132</v>
      </c>
      <c r="BG18" s="50">
        <v>5855200046</v>
      </c>
      <c r="BH18" s="44">
        <v>36526</v>
      </c>
      <c r="BI18" s="44">
        <v>51136</v>
      </c>
      <c r="BJ18" s="38" t="s">
        <v>133</v>
      </c>
      <c r="BK18" s="50" t="s">
        <v>134</v>
      </c>
      <c r="BL18" s="53">
        <v>32144</v>
      </c>
      <c r="BM18" s="54" t="s">
        <v>97</v>
      </c>
      <c r="BN18" s="43" t="s">
        <v>109</v>
      </c>
      <c r="BO18" s="38" t="s">
        <v>135</v>
      </c>
      <c r="BP18" s="55" t="s">
        <v>113</v>
      </c>
      <c r="BQ18" s="43" t="s">
        <v>136</v>
      </c>
      <c r="BR18" s="43" t="s">
        <v>97</v>
      </c>
      <c r="BS18" s="39" t="s">
        <v>124</v>
      </c>
      <c r="BT18" s="39" t="s">
        <v>113</v>
      </c>
      <c r="BU18" s="38" t="s">
        <v>137</v>
      </c>
      <c r="BV18" s="38" t="s">
        <v>138</v>
      </c>
      <c r="BW18" s="43" t="s">
        <v>139</v>
      </c>
      <c r="BX18" s="56" t="s">
        <v>140</v>
      </c>
      <c r="BY18" s="43" t="s">
        <v>141</v>
      </c>
      <c r="BZ18" s="43" t="s">
        <v>142</v>
      </c>
      <c r="CA18" s="43" t="s">
        <v>143</v>
      </c>
      <c r="CB18" s="43" t="s">
        <v>144</v>
      </c>
      <c r="CC18" s="56" t="s">
        <v>139</v>
      </c>
      <c r="CD18" s="40" t="s">
        <v>140</v>
      </c>
      <c r="CE18" s="43" t="s">
        <v>141</v>
      </c>
      <c r="CF18" s="43" t="s">
        <v>145</v>
      </c>
      <c r="CG18" s="43" t="s">
        <v>146</v>
      </c>
      <c r="CH18" s="43" t="s">
        <v>145</v>
      </c>
      <c r="CI18" s="57">
        <v>100</v>
      </c>
      <c r="CJ18" s="43" t="s">
        <v>147</v>
      </c>
      <c r="CK18" s="43" t="s">
        <v>148</v>
      </c>
      <c r="CL18" s="43" t="s">
        <v>97</v>
      </c>
      <c r="CM18" s="43" t="s">
        <v>149</v>
      </c>
      <c r="CN18" s="43" t="s">
        <v>150</v>
      </c>
      <c r="CO18" s="39" t="s">
        <v>113</v>
      </c>
      <c r="CP18" s="39" t="s">
        <v>113</v>
      </c>
      <c r="CQ18" s="39" t="s">
        <v>113</v>
      </c>
      <c r="CR18" s="39" t="s">
        <v>113</v>
      </c>
      <c r="CS18" s="39" t="s">
        <v>113</v>
      </c>
      <c r="CT18" s="39" t="s">
        <v>113</v>
      </c>
      <c r="CU18" s="39" t="s">
        <v>113</v>
      </c>
      <c r="CV18" s="35" t="s">
        <v>227</v>
      </c>
    </row>
    <row r="19" ht="14.5" customHeight="1" spans="1:100" x14ac:dyDescent="0.25">
      <c r="A19" s="35" t="s">
        <v>231</v>
      </c>
      <c r="B19" s="35" t="s">
        <v>232</v>
      </c>
      <c r="C19" s="35" t="s">
        <v>95</v>
      </c>
      <c r="D19" s="37" t="s">
        <v>96</v>
      </c>
      <c r="E19" s="38" t="s">
        <v>97</v>
      </c>
      <c r="F19" s="39" t="s">
        <v>233</v>
      </c>
      <c r="G19" s="39" t="s">
        <v>234</v>
      </c>
      <c r="H19" s="40" t="s">
        <v>100</v>
      </c>
      <c r="I19" s="40" t="s">
        <v>101</v>
      </c>
      <c r="J19" s="40" t="s">
        <v>102</v>
      </c>
      <c r="K19" s="41">
        <f t="shared" si="3"/>
        <v>45658</v>
      </c>
      <c r="L19" s="38" t="s">
        <v>97</v>
      </c>
      <c r="M19" s="40" t="s">
        <v>103</v>
      </c>
      <c r="N19" s="40" t="s">
        <v>154</v>
      </c>
      <c r="O19" s="42" t="s">
        <v>105</v>
      </c>
      <c r="P19" s="38" t="s">
        <v>155</v>
      </c>
      <c r="Q19" s="40" t="s">
        <v>107</v>
      </c>
      <c r="R19" s="40" t="s">
        <v>108</v>
      </c>
      <c r="S19" s="43" t="s">
        <v>109</v>
      </c>
      <c r="T19" s="43" t="s">
        <v>109</v>
      </c>
      <c r="U19" s="40" t="s">
        <v>102</v>
      </c>
      <c r="V19" s="44" t="s">
        <v>110</v>
      </c>
      <c r="W19" s="45" t="s">
        <v>111</v>
      </c>
      <c r="X19" s="40" t="s">
        <v>102</v>
      </c>
      <c r="Y19" s="46">
        <v>45658</v>
      </c>
      <c r="Z19" s="40" t="s">
        <v>112</v>
      </c>
      <c r="AA19" s="47" t="s">
        <v>113</v>
      </c>
      <c r="AB19" s="48" t="s">
        <v>114</v>
      </c>
      <c r="AC19" s="48" t="s">
        <v>211</v>
      </c>
      <c r="AD19" s="39" t="s">
        <v>116</v>
      </c>
      <c r="AE19" s="38">
        <v>970</v>
      </c>
      <c r="AF19" s="38" t="s">
        <v>57</v>
      </c>
      <c r="AG19" s="39">
        <v>25</v>
      </c>
      <c r="AH19" s="49" t="s">
        <v>170</v>
      </c>
      <c r="AI19" s="48" t="s">
        <v>118</v>
      </c>
      <c r="AJ19" s="46">
        <f t="shared" si="4"/>
        <v>46023</v>
      </c>
      <c r="AK19" s="41">
        <f t="shared" si="0"/>
        <v>45748</v>
      </c>
      <c r="AL19" s="40" t="s">
        <v>119</v>
      </c>
      <c r="AM19" s="49" t="s">
        <v>120</v>
      </c>
      <c r="AN19" s="39" t="s">
        <v>212</v>
      </c>
      <c r="AO19" s="40" t="s">
        <v>122</v>
      </c>
      <c r="AP19" s="50" t="s">
        <v>123</v>
      </c>
      <c r="AQ19" s="40" t="s">
        <v>124</v>
      </c>
      <c r="AR19" s="35" t="s">
        <v>124</v>
      </c>
      <c r="AS19" s="44" t="s">
        <v>113</v>
      </c>
      <c r="AT19" s="40" t="s">
        <v>125</v>
      </c>
      <c r="AU19" s="50" t="s">
        <v>126</v>
      </c>
      <c r="AV19" s="44" t="s">
        <v>127</v>
      </c>
      <c r="AW19" s="51">
        <f t="shared" si="5"/>
        <v>45657</v>
      </c>
      <c r="AX19" s="51">
        <f t="shared" si="1"/>
        <v>45657</v>
      </c>
      <c r="AY19" s="41">
        <f t="shared" si="2"/>
        <v>46023</v>
      </c>
      <c r="AZ19" s="43" t="s">
        <v>97</v>
      </c>
      <c r="BA19" s="43" t="s">
        <v>128</v>
      </c>
      <c r="BB19" s="52" t="s">
        <v>235</v>
      </c>
      <c r="BC19" s="44">
        <v>36526</v>
      </c>
      <c r="BD19" s="44">
        <v>51136</v>
      </c>
      <c r="BE19" s="43" t="s">
        <v>97</v>
      </c>
      <c r="BF19" s="43" t="s">
        <v>132</v>
      </c>
      <c r="BG19" s="50">
        <v>5855200047</v>
      </c>
      <c r="BH19" s="44">
        <v>36526</v>
      </c>
      <c r="BI19" s="44">
        <v>51136</v>
      </c>
      <c r="BJ19" s="38" t="s">
        <v>133</v>
      </c>
      <c r="BK19" s="50" t="s">
        <v>157</v>
      </c>
      <c r="BL19" s="53">
        <v>32144</v>
      </c>
      <c r="BM19" s="54" t="s">
        <v>97</v>
      </c>
      <c r="BN19" s="43" t="s">
        <v>109</v>
      </c>
      <c r="BO19" s="38" t="s">
        <v>135</v>
      </c>
      <c r="BP19" s="55" t="s">
        <v>113</v>
      </c>
      <c r="BQ19" s="43" t="s">
        <v>136</v>
      </c>
      <c r="BR19" s="43" t="s">
        <v>97</v>
      </c>
      <c r="BS19" s="39" t="s">
        <v>123</v>
      </c>
      <c r="BT19" s="39">
        <v>10</v>
      </c>
      <c r="BU19" s="38" t="s">
        <v>137</v>
      </c>
      <c r="BV19" s="38" t="s">
        <v>138</v>
      </c>
      <c r="BW19" s="43" t="s">
        <v>139</v>
      </c>
      <c r="BX19" s="56" t="s">
        <v>158</v>
      </c>
      <c r="BY19" s="43" t="s">
        <v>141</v>
      </c>
      <c r="BZ19" s="43" t="s">
        <v>142</v>
      </c>
      <c r="CA19" s="43" t="s">
        <v>143</v>
      </c>
      <c r="CB19" s="43" t="s">
        <v>144</v>
      </c>
      <c r="CC19" s="56" t="s">
        <v>139</v>
      </c>
      <c r="CD19" s="40" t="s">
        <v>140</v>
      </c>
      <c r="CE19" s="43" t="s">
        <v>141</v>
      </c>
      <c r="CF19" s="43" t="s">
        <v>145</v>
      </c>
      <c r="CG19" s="43" t="s">
        <v>146</v>
      </c>
      <c r="CH19" s="43" t="s">
        <v>145</v>
      </c>
      <c r="CI19" s="57">
        <v>100</v>
      </c>
      <c r="CJ19" s="43" t="s">
        <v>147</v>
      </c>
      <c r="CK19" s="43" t="s">
        <v>148</v>
      </c>
      <c r="CL19" s="43" t="s">
        <v>97</v>
      </c>
      <c r="CM19" s="43" t="s">
        <v>159</v>
      </c>
      <c r="CN19" s="43" t="s">
        <v>150</v>
      </c>
      <c r="CO19" s="39" t="s">
        <v>113</v>
      </c>
      <c r="CP19" s="39" t="s">
        <v>113</v>
      </c>
      <c r="CQ19" s="39" t="s">
        <v>113</v>
      </c>
      <c r="CR19" s="39" t="s">
        <v>113</v>
      </c>
      <c r="CS19" s="39" t="s">
        <v>113</v>
      </c>
      <c r="CT19" s="39" t="s">
        <v>113</v>
      </c>
      <c r="CU19" s="39" t="s">
        <v>113</v>
      </c>
      <c r="CV19" s="35" t="s">
        <v>231</v>
      </c>
    </row>
    <row r="20" ht="14.5" customHeight="1" spans="1:100" x14ac:dyDescent="0.25">
      <c r="A20" s="35" t="s">
        <v>236</v>
      </c>
      <c r="B20" s="35" t="s">
        <v>237</v>
      </c>
      <c r="C20" s="35" t="s">
        <v>95</v>
      </c>
      <c r="D20" s="37" t="s">
        <v>96</v>
      </c>
      <c r="E20" s="38" t="s">
        <v>97</v>
      </c>
      <c r="F20" s="39" t="s">
        <v>238</v>
      </c>
      <c r="G20" s="39" t="s">
        <v>239</v>
      </c>
      <c r="H20" s="40" t="s">
        <v>100</v>
      </c>
      <c r="I20" s="40" t="s">
        <v>101</v>
      </c>
      <c r="J20" s="40" t="s">
        <v>102</v>
      </c>
      <c r="K20" s="41">
        <f t="shared" si="3"/>
        <v>45658</v>
      </c>
      <c r="L20" s="38" t="s">
        <v>97</v>
      </c>
      <c r="M20" s="40" t="s">
        <v>103</v>
      </c>
      <c r="N20" s="40" t="s">
        <v>104</v>
      </c>
      <c r="O20" s="42" t="s">
        <v>105</v>
      </c>
      <c r="P20" s="38" t="s">
        <v>106</v>
      </c>
      <c r="Q20" s="40" t="s">
        <v>107</v>
      </c>
      <c r="R20" s="40" t="s">
        <v>108</v>
      </c>
      <c r="S20" s="43" t="s">
        <v>109</v>
      </c>
      <c r="T20" s="43" t="s">
        <v>109</v>
      </c>
      <c r="U20" s="40" t="s">
        <v>102</v>
      </c>
      <c r="V20" s="44" t="s">
        <v>110</v>
      </c>
      <c r="W20" s="45" t="s">
        <v>111</v>
      </c>
      <c r="X20" s="40" t="s">
        <v>102</v>
      </c>
      <c r="Y20" s="46">
        <v>45658</v>
      </c>
      <c r="Z20" s="40" t="s">
        <v>112</v>
      </c>
      <c r="AA20" s="47" t="s">
        <v>113</v>
      </c>
      <c r="AB20" s="48" t="s">
        <v>240</v>
      </c>
      <c r="AC20" s="48" t="s">
        <v>241</v>
      </c>
      <c r="AD20" s="48" t="s">
        <v>116</v>
      </c>
      <c r="AE20" s="38">
        <v>970</v>
      </c>
      <c r="AF20" s="38" t="s">
        <v>57</v>
      </c>
      <c r="AG20" s="39">
        <v>30</v>
      </c>
      <c r="AH20" s="49" t="s">
        <v>117</v>
      </c>
      <c r="AI20" s="48" t="s">
        <v>118</v>
      </c>
      <c r="AJ20" s="46" t="s">
        <v>113</v>
      </c>
      <c r="AK20" s="41">
        <f t="shared" si="0"/>
        <v>45748</v>
      </c>
      <c r="AL20" s="40" t="s">
        <v>119</v>
      </c>
      <c r="AM20" s="49" t="s">
        <v>120</v>
      </c>
      <c r="AN20" s="39" t="s">
        <v>242</v>
      </c>
      <c r="AO20" s="40" t="s">
        <v>122</v>
      </c>
      <c r="AP20" s="50" t="s">
        <v>123</v>
      </c>
      <c r="AQ20" s="40" t="s">
        <v>124</v>
      </c>
      <c r="AR20" s="35" t="s">
        <v>124</v>
      </c>
      <c r="AS20" s="44" t="s">
        <v>113</v>
      </c>
      <c r="AT20" s="40" t="s">
        <v>125</v>
      </c>
      <c r="AU20" s="50" t="str">
        <f t="shared" ref="AU20:AU57" si="6">AB20</f>
        <v>Permanent</v>
      </c>
      <c r="AV20" s="44" t="s">
        <v>127</v>
      </c>
      <c r="AW20" s="51">
        <f t="shared" si="5"/>
        <v>45657</v>
      </c>
      <c r="AX20" s="51">
        <f t="shared" si="1"/>
        <v>45657</v>
      </c>
      <c r="AY20" s="41">
        <f t="shared" si="2"/>
        <v>NaN</v>
      </c>
      <c r="AZ20" s="43" t="s">
        <v>97</v>
      </c>
      <c r="BA20" s="43" t="s">
        <v>128</v>
      </c>
      <c r="BB20" s="52" t="s">
        <v>243</v>
      </c>
      <c r="BC20" s="44" t="s">
        <v>130</v>
      </c>
      <c r="BD20" s="44" t="s">
        <v>131</v>
      </c>
      <c r="BE20" s="43" t="s">
        <v>97</v>
      </c>
      <c r="BF20" s="43" t="s">
        <v>132</v>
      </c>
      <c r="BG20" s="50">
        <v>5855200048</v>
      </c>
      <c r="BH20" s="44">
        <v>36526</v>
      </c>
      <c r="BI20" s="44">
        <v>51136</v>
      </c>
      <c r="BJ20" s="38" t="s">
        <v>133</v>
      </c>
      <c r="BK20" s="50" t="s">
        <v>134</v>
      </c>
      <c r="BL20" s="53">
        <v>32144</v>
      </c>
      <c r="BM20" s="54" t="s">
        <v>97</v>
      </c>
      <c r="BN20" s="43" t="s">
        <v>109</v>
      </c>
      <c r="BO20" s="38" t="s">
        <v>135</v>
      </c>
      <c r="BP20" s="55" t="s">
        <v>113</v>
      </c>
      <c r="BQ20" s="43" t="s">
        <v>136</v>
      </c>
      <c r="BR20" s="43" t="s">
        <v>97</v>
      </c>
      <c r="BS20" s="49" t="s">
        <v>124</v>
      </c>
      <c r="BT20" s="49" t="s">
        <v>113</v>
      </c>
      <c r="BU20" s="38" t="s">
        <v>137</v>
      </c>
      <c r="BV20" s="38" t="s">
        <v>138</v>
      </c>
      <c r="BW20" s="43" t="s">
        <v>139</v>
      </c>
      <c r="BX20" s="56" t="s">
        <v>140</v>
      </c>
      <c r="BY20" s="43" t="s">
        <v>141</v>
      </c>
      <c r="BZ20" s="43" t="s">
        <v>142</v>
      </c>
      <c r="CA20" s="43" t="s">
        <v>143</v>
      </c>
      <c r="CB20" s="43" t="s">
        <v>144</v>
      </c>
      <c r="CC20" s="56" t="s">
        <v>139</v>
      </c>
      <c r="CD20" s="40" t="s">
        <v>140</v>
      </c>
      <c r="CE20" s="43" t="s">
        <v>141</v>
      </c>
      <c r="CF20" s="43" t="s">
        <v>145</v>
      </c>
      <c r="CG20" s="43" t="s">
        <v>146</v>
      </c>
      <c r="CH20" s="43" t="s">
        <v>145</v>
      </c>
      <c r="CI20" s="57">
        <v>100</v>
      </c>
      <c r="CJ20" s="43" t="s">
        <v>147</v>
      </c>
      <c r="CK20" s="43" t="s">
        <v>148</v>
      </c>
      <c r="CL20" s="43" t="s">
        <v>97</v>
      </c>
      <c r="CM20" s="43" t="s">
        <v>149</v>
      </c>
      <c r="CN20" s="43" t="s">
        <v>150</v>
      </c>
      <c r="CO20" s="49" t="s">
        <v>113</v>
      </c>
      <c r="CP20" s="49" t="s">
        <v>113</v>
      </c>
      <c r="CQ20" s="58" t="s">
        <v>113</v>
      </c>
      <c r="CR20" s="53" t="s">
        <v>113</v>
      </c>
      <c r="CS20" s="49" t="s">
        <v>113</v>
      </c>
      <c r="CT20" s="59" t="s">
        <v>113</v>
      </c>
      <c r="CU20" s="59" t="s">
        <v>113</v>
      </c>
      <c r="CV20" s="35" t="s">
        <v>236</v>
      </c>
    </row>
    <row r="21" ht="14.5" customHeight="1" spans="1:100" x14ac:dyDescent="0.25">
      <c r="A21" s="35" t="s">
        <v>244</v>
      </c>
      <c r="B21" s="35" t="s">
        <v>245</v>
      </c>
      <c r="C21" s="35" t="s">
        <v>95</v>
      </c>
      <c r="D21" s="37" t="s">
        <v>96</v>
      </c>
      <c r="E21" s="38" t="s">
        <v>97</v>
      </c>
      <c r="F21" s="39" t="s">
        <v>246</v>
      </c>
      <c r="G21" s="39" t="s">
        <v>239</v>
      </c>
      <c r="H21" s="40" t="s">
        <v>100</v>
      </c>
      <c r="I21" s="40" t="s">
        <v>101</v>
      </c>
      <c r="J21" s="40" t="s">
        <v>102</v>
      </c>
      <c r="K21" s="41">
        <f t="shared" si="3"/>
        <v>45292</v>
      </c>
      <c r="L21" s="38" t="s">
        <v>97</v>
      </c>
      <c r="M21" s="40" t="s">
        <v>103</v>
      </c>
      <c r="N21" s="40" t="s">
        <v>154</v>
      </c>
      <c r="O21" s="42" t="s">
        <v>105</v>
      </c>
      <c r="P21" s="38" t="s">
        <v>155</v>
      </c>
      <c r="Q21" s="40" t="s">
        <v>107</v>
      </c>
      <c r="R21" s="40" t="s">
        <v>108</v>
      </c>
      <c r="S21" s="43" t="s">
        <v>109</v>
      </c>
      <c r="T21" s="43" t="s">
        <v>109</v>
      </c>
      <c r="U21" s="40" t="s">
        <v>102</v>
      </c>
      <c r="V21" s="44" t="s">
        <v>110</v>
      </c>
      <c r="W21" s="45" t="s">
        <v>111</v>
      </c>
      <c r="X21" s="40" t="s">
        <v>102</v>
      </c>
      <c r="Y21" s="46">
        <v>45292</v>
      </c>
      <c r="Z21" s="40" t="s">
        <v>112</v>
      </c>
      <c r="AA21" s="47" t="s">
        <v>113</v>
      </c>
      <c r="AB21" s="48" t="s">
        <v>240</v>
      </c>
      <c r="AC21" s="48" t="s">
        <v>241</v>
      </c>
      <c r="AD21" s="48" t="s">
        <v>116</v>
      </c>
      <c r="AE21" s="38">
        <v>970</v>
      </c>
      <c r="AF21" s="38" t="s">
        <v>57</v>
      </c>
      <c r="AG21" s="39">
        <v>30</v>
      </c>
      <c r="AH21" s="49" t="s">
        <v>117</v>
      </c>
      <c r="AI21" s="48" t="s">
        <v>118</v>
      </c>
      <c r="AJ21" s="46" t="s">
        <v>113</v>
      </c>
      <c r="AK21" s="41">
        <f t="shared" si="0"/>
        <v>45382</v>
      </c>
      <c r="AL21" s="40" t="s">
        <v>119</v>
      </c>
      <c r="AM21" s="49" t="s">
        <v>120</v>
      </c>
      <c r="AN21" s="39" t="s">
        <v>242</v>
      </c>
      <c r="AO21" s="40" t="s">
        <v>122</v>
      </c>
      <c r="AP21" s="50" t="s">
        <v>123</v>
      </c>
      <c r="AQ21" s="40" t="s">
        <v>124</v>
      </c>
      <c r="AR21" s="35" t="s">
        <v>124</v>
      </c>
      <c r="AS21" s="44" t="s">
        <v>113</v>
      </c>
      <c r="AT21" s="40" t="s">
        <v>125</v>
      </c>
      <c r="AU21" s="50" t="str">
        <f t="shared" si="6"/>
        <v>Permanent</v>
      </c>
      <c r="AV21" s="44" t="s">
        <v>127</v>
      </c>
      <c r="AW21" s="51">
        <f t="shared" si="5"/>
        <v>45291</v>
      </c>
      <c r="AX21" s="51">
        <f t="shared" si="1"/>
        <v>45291</v>
      </c>
      <c r="AY21" s="41">
        <f t="shared" si="2"/>
        <v>NaN</v>
      </c>
      <c r="AZ21" s="43" t="s">
        <v>97</v>
      </c>
      <c r="BA21" s="43" t="s">
        <v>128</v>
      </c>
      <c r="BB21" s="52" t="s">
        <v>247</v>
      </c>
      <c r="BC21" s="44">
        <v>36526</v>
      </c>
      <c r="BD21" s="44">
        <v>51136</v>
      </c>
      <c r="BE21" s="43" t="s">
        <v>97</v>
      </c>
      <c r="BF21" s="43" t="s">
        <v>132</v>
      </c>
      <c r="BG21" s="50">
        <v>5855200049</v>
      </c>
      <c r="BH21" s="44">
        <v>36526</v>
      </c>
      <c r="BI21" s="44">
        <v>51136</v>
      </c>
      <c r="BJ21" s="38" t="s">
        <v>133</v>
      </c>
      <c r="BK21" s="50" t="s">
        <v>157</v>
      </c>
      <c r="BL21" s="53">
        <v>32144</v>
      </c>
      <c r="BM21" s="54" t="s">
        <v>97</v>
      </c>
      <c r="BN21" s="43" t="s">
        <v>109</v>
      </c>
      <c r="BO21" s="38" t="s">
        <v>135</v>
      </c>
      <c r="BP21" s="55" t="s">
        <v>113</v>
      </c>
      <c r="BQ21" s="43" t="s">
        <v>136</v>
      </c>
      <c r="BR21" s="43" t="s">
        <v>97</v>
      </c>
      <c r="BS21" s="49" t="s">
        <v>124</v>
      </c>
      <c r="BT21" s="49" t="s">
        <v>113</v>
      </c>
      <c r="BU21" s="38" t="s">
        <v>137</v>
      </c>
      <c r="BV21" s="38" t="s">
        <v>138</v>
      </c>
      <c r="BW21" s="43" t="s">
        <v>139</v>
      </c>
      <c r="BX21" s="56" t="s">
        <v>158</v>
      </c>
      <c r="BY21" s="43" t="s">
        <v>141</v>
      </c>
      <c r="BZ21" s="43" t="s">
        <v>142</v>
      </c>
      <c r="CA21" s="43" t="s">
        <v>143</v>
      </c>
      <c r="CB21" s="43" t="s">
        <v>144</v>
      </c>
      <c r="CC21" s="56" t="s">
        <v>139</v>
      </c>
      <c r="CD21" s="40" t="s">
        <v>140</v>
      </c>
      <c r="CE21" s="43" t="s">
        <v>141</v>
      </c>
      <c r="CF21" s="43" t="s">
        <v>145</v>
      </c>
      <c r="CG21" s="43" t="s">
        <v>146</v>
      </c>
      <c r="CH21" s="43" t="s">
        <v>145</v>
      </c>
      <c r="CI21" s="57">
        <v>100</v>
      </c>
      <c r="CJ21" s="43" t="s">
        <v>147</v>
      </c>
      <c r="CK21" s="43" t="s">
        <v>148</v>
      </c>
      <c r="CL21" s="43" t="s">
        <v>97</v>
      </c>
      <c r="CM21" s="43" t="s">
        <v>159</v>
      </c>
      <c r="CN21" s="43" t="s">
        <v>150</v>
      </c>
      <c r="CO21" s="49" t="s">
        <v>160</v>
      </c>
      <c r="CP21" s="49" t="s">
        <v>161</v>
      </c>
      <c r="CQ21" s="58" t="s">
        <v>109</v>
      </c>
      <c r="CR21" s="53">
        <f>TODAY()-1500</f>
        <v>44271</v>
      </c>
      <c r="CS21" s="49" t="s">
        <v>162</v>
      </c>
      <c r="CT21" s="59">
        <v>1234028</v>
      </c>
      <c r="CU21" s="59">
        <v>123456021</v>
      </c>
      <c r="CV21" s="35" t="s">
        <v>244</v>
      </c>
    </row>
    <row r="22" ht="14.5" customHeight="1" spans="1:100" x14ac:dyDescent="0.25">
      <c r="A22" s="35" t="s">
        <v>248</v>
      </c>
      <c r="B22" s="60">
        <v>10698679</v>
      </c>
      <c r="C22" s="35" t="s">
        <v>95</v>
      </c>
      <c r="D22" s="37" t="s">
        <v>96</v>
      </c>
      <c r="E22" s="38" t="s">
        <v>97</v>
      </c>
      <c r="F22" s="39" t="s">
        <v>98</v>
      </c>
      <c r="G22" s="39" t="s">
        <v>234</v>
      </c>
      <c r="H22" s="40" t="s">
        <v>100</v>
      </c>
      <c r="I22" s="40" t="s">
        <v>101</v>
      </c>
      <c r="J22" s="40" t="s">
        <v>102</v>
      </c>
      <c r="K22" s="41">
        <f t="shared" si="3"/>
        <v>45658</v>
      </c>
      <c r="L22" s="38" t="s">
        <v>97</v>
      </c>
      <c r="M22" s="40" t="s">
        <v>103</v>
      </c>
      <c r="N22" s="40" t="s">
        <v>104</v>
      </c>
      <c r="O22" s="42" t="s">
        <v>105</v>
      </c>
      <c r="P22" s="38" t="s">
        <v>106</v>
      </c>
      <c r="Q22" s="40" t="s">
        <v>107</v>
      </c>
      <c r="R22" s="40" t="s">
        <v>108</v>
      </c>
      <c r="S22" s="43" t="s">
        <v>109</v>
      </c>
      <c r="T22" s="43" t="s">
        <v>109</v>
      </c>
      <c r="U22" s="40" t="s">
        <v>102</v>
      </c>
      <c r="V22" s="44" t="s">
        <v>110</v>
      </c>
      <c r="W22" s="45" t="s">
        <v>111</v>
      </c>
      <c r="X22" s="40" t="s">
        <v>102</v>
      </c>
      <c r="Y22" s="46">
        <v>45658</v>
      </c>
      <c r="Z22" s="40" t="s">
        <v>112</v>
      </c>
      <c r="AA22" s="47" t="s">
        <v>113</v>
      </c>
      <c r="AB22" s="48" t="s">
        <v>240</v>
      </c>
      <c r="AC22" s="48" t="s">
        <v>241</v>
      </c>
      <c r="AD22" s="39" t="s">
        <v>116</v>
      </c>
      <c r="AE22" s="38">
        <v>970</v>
      </c>
      <c r="AF22" s="38" t="s">
        <v>57</v>
      </c>
      <c r="AG22" s="39">
        <v>30</v>
      </c>
      <c r="AH22" s="39" t="s">
        <v>117</v>
      </c>
      <c r="AI22" s="48" t="s">
        <v>118</v>
      </c>
      <c r="AJ22" s="46" t="s">
        <v>113</v>
      </c>
      <c r="AK22" s="41">
        <f t="shared" si="0"/>
        <v>45748</v>
      </c>
      <c r="AL22" s="40" t="s">
        <v>119</v>
      </c>
      <c r="AM22" s="49" t="s">
        <v>120</v>
      </c>
      <c r="AN22" s="39" t="s">
        <v>242</v>
      </c>
      <c r="AO22" s="40" t="s">
        <v>122</v>
      </c>
      <c r="AP22" s="50" t="s">
        <v>123</v>
      </c>
      <c r="AQ22" s="40" t="s">
        <v>124</v>
      </c>
      <c r="AR22" s="35" t="s">
        <v>124</v>
      </c>
      <c r="AS22" s="44" t="s">
        <v>113</v>
      </c>
      <c r="AT22" s="40" t="s">
        <v>125</v>
      </c>
      <c r="AU22" s="50" t="str">
        <f t="shared" si="6"/>
        <v>Permanent</v>
      </c>
      <c r="AV22" s="44" t="s">
        <v>127</v>
      </c>
      <c r="AW22" s="51">
        <f t="shared" si="5"/>
        <v>45657</v>
      </c>
      <c r="AX22" s="51">
        <f t="shared" si="1"/>
        <v>45657</v>
      </c>
      <c r="AY22" s="41">
        <f t="shared" si="2"/>
        <v>NaN</v>
      </c>
      <c r="AZ22" s="43" t="s">
        <v>97</v>
      </c>
      <c r="BA22" s="43" t="s">
        <v>128</v>
      </c>
      <c r="BB22" s="52" t="s">
        <v>249</v>
      </c>
      <c r="BC22" s="44" t="s">
        <v>130</v>
      </c>
      <c r="BD22" s="44" t="s">
        <v>131</v>
      </c>
      <c r="BE22" s="43" t="s">
        <v>97</v>
      </c>
      <c r="BF22" s="43" t="s">
        <v>132</v>
      </c>
      <c r="BG22" s="50">
        <v>5855200050</v>
      </c>
      <c r="BH22" s="44">
        <v>36526</v>
      </c>
      <c r="BI22" s="44">
        <v>51136</v>
      </c>
      <c r="BJ22" s="38" t="s">
        <v>133</v>
      </c>
      <c r="BK22" s="50" t="s">
        <v>134</v>
      </c>
      <c r="BL22" s="53">
        <v>27396</v>
      </c>
      <c r="BM22" s="54" t="s">
        <v>97</v>
      </c>
      <c r="BN22" s="43" t="s">
        <v>109</v>
      </c>
      <c r="BO22" s="38" t="s">
        <v>135</v>
      </c>
      <c r="BP22" s="55" t="s">
        <v>113</v>
      </c>
      <c r="BQ22" s="43" t="s">
        <v>136</v>
      </c>
      <c r="BR22" s="43" t="s">
        <v>97</v>
      </c>
      <c r="BS22" s="39" t="s">
        <v>123</v>
      </c>
      <c r="BT22" s="39">
        <v>10</v>
      </c>
      <c r="BU22" s="38" t="s">
        <v>137</v>
      </c>
      <c r="BV22" s="38" t="s">
        <v>138</v>
      </c>
      <c r="BW22" s="43" t="s">
        <v>139</v>
      </c>
      <c r="BX22" s="56" t="s">
        <v>140</v>
      </c>
      <c r="BY22" s="43" t="s">
        <v>141</v>
      </c>
      <c r="BZ22" s="43" t="s">
        <v>142</v>
      </c>
      <c r="CA22" s="43" t="s">
        <v>143</v>
      </c>
      <c r="CB22" s="43" t="s">
        <v>144</v>
      </c>
      <c r="CC22" s="56" t="s">
        <v>139</v>
      </c>
      <c r="CD22" s="40" t="s">
        <v>140</v>
      </c>
      <c r="CE22" s="43" t="s">
        <v>141</v>
      </c>
      <c r="CF22" s="43" t="s">
        <v>145</v>
      </c>
      <c r="CG22" s="43" t="s">
        <v>146</v>
      </c>
      <c r="CH22" s="43" t="s">
        <v>145</v>
      </c>
      <c r="CI22" s="57">
        <v>100</v>
      </c>
      <c r="CJ22" s="43" t="s">
        <v>147</v>
      </c>
      <c r="CK22" s="43" t="s">
        <v>148</v>
      </c>
      <c r="CL22" s="43" t="s">
        <v>97</v>
      </c>
      <c r="CM22" s="43" t="s">
        <v>149</v>
      </c>
      <c r="CN22" s="43" t="s">
        <v>150</v>
      </c>
      <c r="CO22" s="49" t="s">
        <v>160</v>
      </c>
      <c r="CP22" s="49" t="s">
        <v>161</v>
      </c>
      <c r="CQ22" s="58" t="s">
        <v>109</v>
      </c>
      <c r="CR22" s="53">
        <f>TODAY()-1500</f>
        <v>44271</v>
      </c>
      <c r="CS22" s="49" t="s">
        <v>162</v>
      </c>
      <c r="CT22" s="59">
        <v>1234002</v>
      </c>
      <c r="CU22" s="59">
        <v>123456085</v>
      </c>
      <c r="CV22" s="35" t="s">
        <v>248</v>
      </c>
    </row>
    <row r="23" ht="14.5" customHeight="1" spans="1:100" x14ac:dyDescent="0.25">
      <c r="A23" s="35" t="s">
        <v>250</v>
      </c>
      <c r="B23" s="35" t="s">
        <v>251</v>
      </c>
      <c r="C23" s="35" t="s">
        <v>95</v>
      </c>
      <c r="D23" s="37" t="s">
        <v>96</v>
      </c>
      <c r="E23" s="38" t="s">
        <v>97</v>
      </c>
      <c r="F23" s="39" t="s">
        <v>252</v>
      </c>
      <c r="G23" s="39" t="s">
        <v>239</v>
      </c>
      <c r="H23" s="40" t="s">
        <v>100</v>
      </c>
      <c r="I23" s="40" t="s">
        <v>101</v>
      </c>
      <c r="J23" s="40" t="s">
        <v>102</v>
      </c>
      <c r="K23" s="41">
        <f t="shared" si="3"/>
        <v>45658</v>
      </c>
      <c r="L23" s="38" t="s">
        <v>97</v>
      </c>
      <c r="M23" s="40" t="s">
        <v>103</v>
      </c>
      <c r="N23" s="40" t="s">
        <v>154</v>
      </c>
      <c r="O23" s="42" t="s">
        <v>105</v>
      </c>
      <c r="P23" s="38" t="s">
        <v>155</v>
      </c>
      <c r="Q23" s="40" t="s">
        <v>107</v>
      </c>
      <c r="R23" s="40" t="s">
        <v>108</v>
      </c>
      <c r="S23" s="43" t="s">
        <v>109</v>
      </c>
      <c r="T23" s="43" t="s">
        <v>109</v>
      </c>
      <c r="U23" s="40" t="s">
        <v>102</v>
      </c>
      <c r="V23" s="44" t="s">
        <v>110</v>
      </c>
      <c r="W23" s="45" t="s">
        <v>111</v>
      </c>
      <c r="X23" s="40" t="s">
        <v>102</v>
      </c>
      <c r="Y23" s="46">
        <v>45658</v>
      </c>
      <c r="Z23" s="40" t="s">
        <v>112</v>
      </c>
      <c r="AA23" s="47" t="s">
        <v>113</v>
      </c>
      <c r="AB23" s="48" t="s">
        <v>240</v>
      </c>
      <c r="AC23" s="48" t="s">
        <v>241</v>
      </c>
      <c r="AD23" s="39" t="s">
        <v>116</v>
      </c>
      <c r="AE23" s="38">
        <v>970</v>
      </c>
      <c r="AF23" s="38" t="s">
        <v>57</v>
      </c>
      <c r="AG23" s="39">
        <v>30</v>
      </c>
      <c r="AH23" s="49" t="s">
        <v>170</v>
      </c>
      <c r="AI23" s="48" t="s">
        <v>118</v>
      </c>
      <c r="AJ23" s="46" t="s">
        <v>113</v>
      </c>
      <c r="AK23" s="41">
        <f t="shared" si="0"/>
        <v>45748</v>
      </c>
      <c r="AL23" s="40" t="s">
        <v>119</v>
      </c>
      <c r="AM23" s="49" t="s">
        <v>120</v>
      </c>
      <c r="AN23" s="39" t="s">
        <v>242</v>
      </c>
      <c r="AO23" s="40" t="s">
        <v>122</v>
      </c>
      <c r="AP23" s="50" t="s">
        <v>123</v>
      </c>
      <c r="AQ23" s="40" t="s">
        <v>124</v>
      </c>
      <c r="AR23" s="35" t="s">
        <v>124</v>
      </c>
      <c r="AS23" s="44" t="s">
        <v>113</v>
      </c>
      <c r="AT23" s="40" t="s">
        <v>125</v>
      </c>
      <c r="AU23" s="50" t="str">
        <f t="shared" si="6"/>
        <v>Permanent</v>
      </c>
      <c r="AV23" s="44" t="s">
        <v>127</v>
      </c>
      <c r="AW23" s="51">
        <f t="shared" si="5"/>
        <v>45657</v>
      </c>
      <c r="AX23" s="51">
        <f t="shared" si="1"/>
        <v>45657</v>
      </c>
      <c r="AY23" s="41">
        <f t="shared" si="2"/>
        <v>NaN</v>
      </c>
      <c r="AZ23" s="43" t="s">
        <v>97</v>
      </c>
      <c r="BA23" s="43" t="s">
        <v>128</v>
      </c>
      <c r="BB23" s="52" t="s">
        <v>253</v>
      </c>
      <c r="BC23" s="44">
        <v>36526</v>
      </c>
      <c r="BD23" s="44">
        <v>51136</v>
      </c>
      <c r="BE23" s="43" t="s">
        <v>97</v>
      </c>
      <c r="BF23" s="43" t="s">
        <v>132</v>
      </c>
      <c r="BG23" s="50">
        <v>5855200051</v>
      </c>
      <c r="BH23" s="44">
        <v>36526</v>
      </c>
      <c r="BI23" s="44">
        <v>51136</v>
      </c>
      <c r="BJ23" s="38" t="s">
        <v>133</v>
      </c>
      <c r="BK23" s="50" t="s">
        <v>157</v>
      </c>
      <c r="BL23" s="53">
        <v>32144</v>
      </c>
      <c r="BM23" s="54" t="s">
        <v>97</v>
      </c>
      <c r="BN23" s="43" t="s">
        <v>109</v>
      </c>
      <c r="BO23" s="38" t="s">
        <v>135</v>
      </c>
      <c r="BP23" s="55" t="s">
        <v>113</v>
      </c>
      <c r="BQ23" s="43" t="s">
        <v>136</v>
      </c>
      <c r="BR23" s="43" t="s">
        <v>97</v>
      </c>
      <c r="BS23" s="39" t="s">
        <v>124</v>
      </c>
      <c r="BT23" s="39" t="s">
        <v>113</v>
      </c>
      <c r="BU23" s="38" t="s">
        <v>137</v>
      </c>
      <c r="BV23" s="38" t="s">
        <v>138</v>
      </c>
      <c r="BW23" s="43" t="s">
        <v>139</v>
      </c>
      <c r="BX23" s="56" t="s">
        <v>158</v>
      </c>
      <c r="BY23" s="43" t="s">
        <v>141</v>
      </c>
      <c r="BZ23" s="43" t="s">
        <v>142</v>
      </c>
      <c r="CA23" s="43" t="s">
        <v>143</v>
      </c>
      <c r="CB23" s="43" t="s">
        <v>144</v>
      </c>
      <c r="CC23" s="56" t="s">
        <v>139</v>
      </c>
      <c r="CD23" s="40" t="s">
        <v>140</v>
      </c>
      <c r="CE23" s="43" t="s">
        <v>141</v>
      </c>
      <c r="CF23" s="43" t="s">
        <v>145</v>
      </c>
      <c r="CG23" s="43" t="s">
        <v>146</v>
      </c>
      <c r="CH23" s="43" t="s">
        <v>145</v>
      </c>
      <c r="CI23" s="57">
        <v>100</v>
      </c>
      <c r="CJ23" s="43" t="s">
        <v>147</v>
      </c>
      <c r="CK23" s="43" t="s">
        <v>148</v>
      </c>
      <c r="CL23" s="43" t="s">
        <v>97</v>
      </c>
      <c r="CM23" s="43" t="s">
        <v>159</v>
      </c>
      <c r="CN23" s="43" t="s">
        <v>150</v>
      </c>
      <c r="CO23" s="39" t="s">
        <v>160</v>
      </c>
      <c r="CP23" s="39" t="s">
        <v>161</v>
      </c>
      <c r="CQ23" s="39" t="s">
        <v>109</v>
      </c>
      <c r="CR23" s="53">
        <f>TODAY()-1500</f>
        <v>44271</v>
      </c>
      <c r="CS23" s="39" t="s">
        <v>162</v>
      </c>
      <c r="CT23" s="59">
        <v>1234029</v>
      </c>
      <c r="CU23" s="59">
        <v>123456022</v>
      </c>
      <c r="CV23" s="35" t="s">
        <v>250</v>
      </c>
    </row>
    <row r="24" ht="14.5" customHeight="1" spans="1:100" x14ac:dyDescent="0.25">
      <c r="A24" s="35" t="s">
        <v>254</v>
      </c>
      <c r="B24" s="35" t="s">
        <v>255</v>
      </c>
      <c r="C24" s="35" t="s">
        <v>95</v>
      </c>
      <c r="D24" s="37" t="s">
        <v>96</v>
      </c>
      <c r="E24" s="38" t="s">
        <v>97</v>
      </c>
      <c r="F24" s="39" t="s">
        <v>256</v>
      </c>
      <c r="G24" s="39" t="s">
        <v>239</v>
      </c>
      <c r="H24" s="40" t="s">
        <v>100</v>
      </c>
      <c r="I24" s="40" t="s">
        <v>101</v>
      </c>
      <c r="J24" s="40" t="s">
        <v>102</v>
      </c>
      <c r="K24" s="41">
        <f t="shared" si="3"/>
        <v>45658</v>
      </c>
      <c r="L24" s="38" t="s">
        <v>97</v>
      </c>
      <c r="M24" s="40" t="s">
        <v>103</v>
      </c>
      <c r="N24" s="40" t="s">
        <v>104</v>
      </c>
      <c r="O24" s="42" t="s">
        <v>105</v>
      </c>
      <c r="P24" s="38" t="s">
        <v>106</v>
      </c>
      <c r="Q24" s="40" t="s">
        <v>107</v>
      </c>
      <c r="R24" s="40" t="s">
        <v>108</v>
      </c>
      <c r="S24" s="43" t="s">
        <v>109</v>
      </c>
      <c r="T24" s="43" t="s">
        <v>109</v>
      </c>
      <c r="U24" s="40" t="s">
        <v>102</v>
      </c>
      <c r="V24" s="44" t="s">
        <v>110</v>
      </c>
      <c r="W24" s="45" t="s">
        <v>111</v>
      </c>
      <c r="X24" s="40" t="s">
        <v>102</v>
      </c>
      <c r="Y24" s="46">
        <v>45658</v>
      </c>
      <c r="Z24" s="40" t="s">
        <v>112</v>
      </c>
      <c r="AA24" s="47" t="s">
        <v>113</v>
      </c>
      <c r="AB24" s="48" t="s">
        <v>240</v>
      </c>
      <c r="AC24" s="48" t="s">
        <v>241</v>
      </c>
      <c r="AD24" s="39" t="s">
        <v>116</v>
      </c>
      <c r="AE24" s="38">
        <v>970</v>
      </c>
      <c r="AF24" s="38" t="s">
        <v>57</v>
      </c>
      <c r="AG24" s="39">
        <v>30</v>
      </c>
      <c r="AH24" s="49" t="s">
        <v>170</v>
      </c>
      <c r="AI24" s="48" t="s">
        <v>118</v>
      </c>
      <c r="AJ24" s="46" t="s">
        <v>113</v>
      </c>
      <c r="AK24" s="41">
        <f t="shared" si="0"/>
        <v>45748</v>
      </c>
      <c r="AL24" s="40" t="s">
        <v>119</v>
      </c>
      <c r="AM24" s="49" t="s">
        <v>120</v>
      </c>
      <c r="AN24" s="39" t="s">
        <v>242</v>
      </c>
      <c r="AO24" s="40" t="s">
        <v>122</v>
      </c>
      <c r="AP24" s="50" t="s">
        <v>123</v>
      </c>
      <c r="AQ24" s="40" t="s">
        <v>124</v>
      </c>
      <c r="AR24" s="35" t="s">
        <v>124</v>
      </c>
      <c r="AS24" s="44" t="s">
        <v>113</v>
      </c>
      <c r="AT24" s="40" t="s">
        <v>125</v>
      </c>
      <c r="AU24" s="50" t="str">
        <f t="shared" si="6"/>
        <v>Permanent</v>
      </c>
      <c r="AV24" s="44" t="s">
        <v>127</v>
      </c>
      <c r="AW24" s="51">
        <f t="shared" si="5"/>
        <v>45657</v>
      </c>
      <c r="AX24" s="51">
        <f t="shared" si="1"/>
        <v>45657</v>
      </c>
      <c r="AY24" s="41">
        <f t="shared" si="2"/>
        <v>NaN</v>
      </c>
      <c r="AZ24" s="43" t="s">
        <v>97</v>
      </c>
      <c r="BA24" s="43" t="s">
        <v>128</v>
      </c>
      <c r="BB24" s="52" t="s">
        <v>257</v>
      </c>
      <c r="BC24" s="44" t="s">
        <v>130</v>
      </c>
      <c r="BD24" s="44" t="s">
        <v>131</v>
      </c>
      <c r="BE24" s="43" t="s">
        <v>97</v>
      </c>
      <c r="BF24" s="43" t="s">
        <v>132</v>
      </c>
      <c r="BG24" s="50">
        <v>5855200052</v>
      </c>
      <c r="BH24" s="44">
        <v>36526</v>
      </c>
      <c r="BI24" s="44">
        <v>51136</v>
      </c>
      <c r="BJ24" s="38" t="s">
        <v>133</v>
      </c>
      <c r="BK24" s="50" t="s">
        <v>134</v>
      </c>
      <c r="BL24" s="53">
        <v>32144</v>
      </c>
      <c r="BM24" s="54" t="s">
        <v>97</v>
      </c>
      <c r="BN24" s="43" t="s">
        <v>109</v>
      </c>
      <c r="BO24" s="38" t="s">
        <v>135</v>
      </c>
      <c r="BP24" s="55" t="s">
        <v>113</v>
      </c>
      <c r="BQ24" s="43" t="s">
        <v>136</v>
      </c>
      <c r="BR24" s="43" t="s">
        <v>97</v>
      </c>
      <c r="BS24" s="39" t="s">
        <v>124</v>
      </c>
      <c r="BT24" s="39" t="s">
        <v>113</v>
      </c>
      <c r="BU24" s="38" t="s">
        <v>137</v>
      </c>
      <c r="BV24" s="38" t="s">
        <v>138</v>
      </c>
      <c r="BW24" s="43" t="s">
        <v>139</v>
      </c>
      <c r="BX24" s="56" t="s">
        <v>140</v>
      </c>
      <c r="BY24" s="43" t="s">
        <v>141</v>
      </c>
      <c r="BZ24" s="43" t="s">
        <v>142</v>
      </c>
      <c r="CA24" s="43" t="s">
        <v>143</v>
      </c>
      <c r="CB24" s="43" t="s">
        <v>144</v>
      </c>
      <c r="CC24" s="56" t="s">
        <v>139</v>
      </c>
      <c r="CD24" s="40" t="s">
        <v>140</v>
      </c>
      <c r="CE24" s="43" t="s">
        <v>141</v>
      </c>
      <c r="CF24" s="43" t="s">
        <v>145</v>
      </c>
      <c r="CG24" s="43" t="s">
        <v>146</v>
      </c>
      <c r="CH24" s="43" t="s">
        <v>145</v>
      </c>
      <c r="CI24" s="57">
        <v>100</v>
      </c>
      <c r="CJ24" s="43" t="s">
        <v>147</v>
      </c>
      <c r="CK24" s="43" t="s">
        <v>148</v>
      </c>
      <c r="CL24" s="43" t="s">
        <v>97</v>
      </c>
      <c r="CM24" s="43" t="s">
        <v>149</v>
      </c>
      <c r="CN24" s="43" t="s">
        <v>150</v>
      </c>
      <c r="CO24" s="39" t="s">
        <v>113</v>
      </c>
      <c r="CP24" s="39" t="s">
        <v>113</v>
      </c>
      <c r="CQ24" s="39" t="s">
        <v>113</v>
      </c>
      <c r="CR24" s="39" t="s">
        <v>113</v>
      </c>
      <c r="CS24" s="39" t="s">
        <v>113</v>
      </c>
      <c r="CT24" s="39" t="s">
        <v>113</v>
      </c>
      <c r="CU24" s="39" t="s">
        <v>113</v>
      </c>
      <c r="CV24" s="35" t="s">
        <v>254</v>
      </c>
    </row>
    <row r="25" ht="14.5" customHeight="1" spans="1:100" x14ac:dyDescent="0.25">
      <c r="A25" s="35" t="s">
        <v>258</v>
      </c>
      <c r="B25" s="35" t="s">
        <v>259</v>
      </c>
      <c r="C25" s="35" t="s">
        <v>95</v>
      </c>
      <c r="D25" s="37" t="s">
        <v>96</v>
      </c>
      <c r="E25" s="38" t="s">
        <v>97</v>
      </c>
      <c r="F25" s="39" t="s">
        <v>260</v>
      </c>
      <c r="G25" s="39" t="s">
        <v>234</v>
      </c>
      <c r="H25" s="40" t="s">
        <v>100</v>
      </c>
      <c r="I25" s="40" t="s">
        <v>101</v>
      </c>
      <c r="J25" s="40" t="s">
        <v>102</v>
      </c>
      <c r="K25" s="41">
        <f t="shared" si="3"/>
        <v>45658</v>
      </c>
      <c r="L25" s="38" t="s">
        <v>97</v>
      </c>
      <c r="M25" s="40" t="s">
        <v>103</v>
      </c>
      <c r="N25" s="40" t="s">
        <v>154</v>
      </c>
      <c r="O25" s="42" t="s">
        <v>105</v>
      </c>
      <c r="P25" s="38" t="s">
        <v>155</v>
      </c>
      <c r="Q25" s="40" t="s">
        <v>107</v>
      </c>
      <c r="R25" s="40" t="s">
        <v>108</v>
      </c>
      <c r="S25" s="43" t="s">
        <v>109</v>
      </c>
      <c r="T25" s="43" t="s">
        <v>109</v>
      </c>
      <c r="U25" s="40" t="s">
        <v>102</v>
      </c>
      <c r="V25" s="44" t="s">
        <v>110</v>
      </c>
      <c r="W25" s="45" t="s">
        <v>111</v>
      </c>
      <c r="X25" s="40" t="s">
        <v>102</v>
      </c>
      <c r="Y25" s="46">
        <v>45658</v>
      </c>
      <c r="Z25" s="40" t="s">
        <v>112</v>
      </c>
      <c r="AA25" s="47" t="s">
        <v>113</v>
      </c>
      <c r="AB25" s="48" t="s">
        <v>240</v>
      </c>
      <c r="AC25" s="48" t="s">
        <v>241</v>
      </c>
      <c r="AD25" s="39" t="s">
        <v>116</v>
      </c>
      <c r="AE25" s="38">
        <v>970</v>
      </c>
      <c r="AF25" s="38" t="s">
        <v>57</v>
      </c>
      <c r="AG25" s="39">
        <v>30</v>
      </c>
      <c r="AH25" s="49" t="s">
        <v>170</v>
      </c>
      <c r="AI25" s="48" t="s">
        <v>118</v>
      </c>
      <c r="AJ25" s="46" t="s">
        <v>113</v>
      </c>
      <c r="AK25" s="41">
        <f t="shared" si="0"/>
        <v>45748</v>
      </c>
      <c r="AL25" s="40" t="s">
        <v>119</v>
      </c>
      <c r="AM25" s="49" t="s">
        <v>120</v>
      </c>
      <c r="AN25" s="39" t="s">
        <v>242</v>
      </c>
      <c r="AO25" s="40" t="s">
        <v>122</v>
      </c>
      <c r="AP25" s="50" t="s">
        <v>123</v>
      </c>
      <c r="AQ25" s="40" t="s">
        <v>124</v>
      </c>
      <c r="AR25" s="35" t="s">
        <v>124</v>
      </c>
      <c r="AS25" s="44" t="s">
        <v>113</v>
      </c>
      <c r="AT25" s="40" t="s">
        <v>125</v>
      </c>
      <c r="AU25" s="50" t="str">
        <f t="shared" si="6"/>
        <v>Permanent</v>
      </c>
      <c r="AV25" s="44" t="s">
        <v>127</v>
      </c>
      <c r="AW25" s="51">
        <f t="shared" si="5"/>
        <v>45657</v>
      </c>
      <c r="AX25" s="51">
        <f t="shared" si="1"/>
        <v>45657</v>
      </c>
      <c r="AY25" s="41">
        <f t="shared" si="2"/>
        <v>NaN</v>
      </c>
      <c r="AZ25" s="43" t="s">
        <v>97</v>
      </c>
      <c r="BA25" s="43" t="s">
        <v>128</v>
      </c>
      <c r="BB25" s="52" t="s">
        <v>261</v>
      </c>
      <c r="BC25" s="44">
        <v>36526</v>
      </c>
      <c r="BD25" s="44">
        <v>51136</v>
      </c>
      <c r="BE25" s="43" t="s">
        <v>97</v>
      </c>
      <c r="BF25" s="43" t="s">
        <v>132</v>
      </c>
      <c r="BG25" s="50">
        <v>5855200053</v>
      </c>
      <c r="BH25" s="44">
        <v>36526</v>
      </c>
      <c r="BI25" s="44">
        <v>51136</v>
      </c>
      <c r="BJ25" s="38" t="s">
        <v>133</v>
      </c>
      <c r="BK25" s="50" t="s">
        <v>157</v>
      </c>
      <c r="BL25" s="53">
        <v>32144</v>
      </c>
      <c r="BM25" s="54" t="s">
        <v>97</v>
      </c>
      <c r="BN25" s="43" t="s">
        <v>109</v>
      </c>
      <c r="BO25" s="38" t="s">
        <v>135</v>
      </c>
      <c r="BP25" s="55" t="s">
        <v>113</v>
      </c>
      <c r="BQ25" s="43" t="s">
        <v>136</v>
      </c>
      <c r="BR25" s="43" t="s">
        <v>97</v>
      </c>
      <c r="BS25" s="39" t="s">
        <v>123</v>
      </c>
      <c r="BT25" s="39">
        <v>10</v>
      </c>
      <c r="BU25" s="38" t="s">
        <v>137</v>
      </c>
      <c r="BV25" s="38" t="s">
        <v>138</v>
      </c>
      <c r="BW25" s="43" t="s">
        <v>139</v>
      </c>
      <c r="BX25" s="56" t="s">
        <v>158</v>
      </c>
      <c r="BY25" s="43" t="s">
        <v>141</v>
      </c>
      <c r="BZ25" s="43" t="s">
        <v>142</v>
      </c>
      <c r="CA25" s="43" t="s">
        <v>143</v>
      </c>
      <c r="CB25" s="43" t="s">
        <v>144</v>
      </c>
      <c r="CC25" s="56" t="s">
        <v>139</v>
      </c>
      <c r="CD25" s="40" t="s">
        <v>140</v>
      </c>
      <c r="CE25" s="43" t="s">
        <v>141</v>
      </c>
      <c r="CF25" s="43" t="s">
        <v>145</v>
      </c>
      <c r="CG25" s="43" t="s">
        <v>146</v>
      </c>
      <c r="CH25" s="43" t="s">
        <v>145</v>
      </c>
      <c r="CI25" s="57">
        <v>100</v>
      </c>
      <c r="CJ25" s="43" t="s">
        <v>147</v>
      </c>
      <c r="CK25" s="43" t="s">
        <v>148</v>
      </c>
      <c r="CL25" s="43" t="s">
        <v>97</v>
      </c>
      <c r="CM25" s="43" t="s">
        <v>159</v>
      </c>
      <c r="CN25" s="43" t="s">
        <v>150</v>
      </c>
      <c r="CO25" s="39" t="s">
        <v>113</v>
      </c>
      <c r="CP25" s="39" t="s">
        <v>113</v>
      </c>
      <c r="CQ25" s="39" t="s">
        <v>113</v>
      </c>
      <c r="CR25" s="39" t="s">
        <v>113</v>
      </c>
      <c r="CS25" s="39" t="s">
        <v>113</v>
      </c>
      <c r="CT25" s="39" t="s">
        <v>113</v>
      </c>
      <c r="CU25" s="39" t="s">
        <v>113</v>
      </c>
      <c r="CV25" s="35" t="s">
        <v>258</v>
      </c>
    </row>
    <row r="26" ht="14.5" customHeight="1" spans="1:100" x14ac:dyDescent="0.25">
      <c r="A26" s="35" t="s">
        <v>262</v>
      </c>
      <c r="B26" s="35" t="s">
        <v>263</v>
      </c>
      <c r="C26" s="35" t="s">
        <v>95</v>
      </c>
      <c r="D26" s="37" t="s">
        <v>96</v>
      </c>
      <c r="E26" s="38" t="s">
        <v>97</v>
      </c>
      <c r="F26" s="39" t="s">
        <v>264</v>
      </c>
      <c r="G26" s="39" t="s">
        <v>265</v>
      </c>
      <c r="H26" s="40" t="s">
        <v>100</v>
      </c>
      <c r="I26" s="40" t="s">
        <v>101</v>
      </c>
      <c r="J26" s="40" t="s">
        <v>102</v>
      </c>
      <c r="K26" s="41">
        <f t="shared" si="3"/>
        <v>45658</v>
      </c>
      <c r="L26" s="38" t="s">
        <v>97</v>
      </c>
      <c r="M26" s="40" t="s">
        <v>103</v>
      </c>
      <c r="N26" s="40" t="s">
        <v>104</v>
      </c>
      <c r="O26" s="42" t="s">
        <v>105</v>
      </c>
      <c r="P26" s="38" t="s">
        <v>106</v>
      </c>
      <c r="Q26" s="40" t="s">
        <v>107</v>
      </c>
      <c r="R26" s="40" t="s">
        <v>108</v>
      </c>
      <c r="S26" s="43" t="s">
        <v>109</v>
      </c>
      <c r="T26" s="43" t="s">
        <v>109</v>
      </c>
      <c r="U26" s="40" t="s">
        <v>102</v>
      </c>
      <c r="V26" s="44" t="s">
        <v>110</v>
      </c>
      <c r="W26" s="45" t="s">
        <v>111</v>
      </c>
      <c r="X26" s="40" t="s">
        <v>102</v>
      </c>
      <c r="Y26" s="46">
        <v>45658</v>
      </c>
      <c r="Z26" s="40" t="s">
        <v>112</v>
      </c>
      <c r="AA26" s="47" t="s">
        <v>113</v>
      </c>
      <c r="AB26" s="48" t="s">
        <v>240</v>
      </c>
      <c r="AC26" s="48" t="s">
        <v>266</v>
      </c>
      <c r="AD26" s="48" t="s">
        <v>116</v>
      </c>
      <c r="AE26" s="38">
        <v>970</v>
      </c>
      <c r="AF26" s="38" t="s">
        <v>57</v>
      </c>
      <c r="AG26" s="39">
        <v>40</v>
      </c>
      <c r="AH26" s="49" t="s">
        <v>117</v>
      </c>
      <c r="AI26" s="48" t="s">
        <v>118</v>
      </c>
      <c r="AJ26" s="46" t="s">
        <v>113</v>
      </c>
      <c r="AK26" s="41">
        <f t="shared" si="0"/>
        <v>45748</v>
      </c>
      <c r="AL26" s="40" t="s">
        <v>119</v>
      </c>
      <c r="AM26" s="49" t="s">
        <v>120</v>
      </c>
      <c r="AN26" s="39" t="s">
        <v>267</v>
      </c>
      <c r="AO26" s="40" t="s">
        <v>122</v>
      </c>
      <c r="AP26" s="50" t="s">
        <v>123</v>
      </c>
      <c r="AQ26" s="40" t="s">
        <v>124</v>
      </c>
      <c r="AR26" s="35" t="s">
        <v>124</v>
      </c>
      <c r="AS26" s="44" t="s">
        <v>113</v>
      </c>
      <c r="AT26" s="40" t="s">
        <v>125</v>
      </c>
      <c r="AU26" s="50" t="str">
        <f t="shared" si="6"/>
        <v>Permanent</v>
      </c>
      <c r="AV26" s="44" t="s">
        <v>127</v>
      </c>
      <c r="AW26" s="51">
        <f t="shared" si="5"/>
        <v>45657</v>
      </c>
      <c r="AX26" s="51">
        <f t="shared" si="1"/>
        <v>45657</v>
      </c>
      <c r="AY26" s="41">
        <f t="shared" si="2"/>
        <v>NaN</v>
      </c>
      <c r="AZ26" s="43" t="s">
        <v>97</v>
      </c>
      <c r="BA26" s="43" t="s">
        <v>128</v>
      </c>
      <c r="BB26" s="52" t="s">
        <v>268</v>
      </c>
      <c r="BC26" s="44" t="s">
        <v>130</v>
      </c>
      <c r="BD26" s="44" t="s">
        <v>131</v>
      </c>
      <c r="BE26" s="43" t="s">
        <v>97</v>
      </c>
      <c r="BF26" s="43" t="s">
        <v>132</v>
      </c>
      <c r="BG26" s="50">
        <v>5855200054</v>
      </c>
      <c r="BH26" s="44">
        <v>36526</v>
      </c>
      <c r="BI26" s="44">
        <v>51136</v>
      </c>
      <c r="BJ26" s="38" t="s">
        <v>133</v>
      </c>
      <c r="BK26" s="50" t="s">
        <v>134</v>
      </c>
      <c r="BL26" s="53">
        <v>32144</v>
      </c>
      <c r="BM26" s="54" t="s">
        <v>97</v>
      </c>
      <c r="BN26" s="43" t="s">
        <v>109</v>
      </c>
      <c r="BO26" s="38" t="s">
        <v>135</v>
      </c>
      <c r="BP26" s="55" t="s">
        <v>113</v>
      </c>
      <c r="BQ26" s="43" t="s">
        <v>136</v>
      </c>
      <c r="BR26" s="43" t="s">
        <v>97</v>
      </c>
      <c r="BS26" s="49" t="s">
        <v>124</v>
      </c>
      <c r="BT26" s="49" t="s">
        <v>113</v>
      </c>
      <c r="BU26" s="38" t="s">
        <v>137</v>
      </c>
      <c r="BV26" s="38" t="s">
        <v>138</v>
      </c>
      <c r="BW26" s="43" t="s">
        <v>139</v>
      </c>
      <c r="BX26" s="56" t="s">
        <v>140</v>
      </c>
      <c r="BY26" s="43" t="s">
        <v>141</v>
      </c>
      <c r="BZ26" s="43" t="s">
        <v>142</v>
      </c>
      <c r="CA26" s="43" t="s">
        <v>143</v>
      </c>
      <c r="CB26" s="43" t="s">
        <v>144</v>
      </c>
      <c r="CC26" s="56" t="s">
        <v>139</v>
      </c>
      <c r="CD26" s="40" t="s">
        <v>140</v>
      </c>
      <c r="CE26" s="43" t="s">
        <v>141</v>
      </c>
      <c r="CF26" s="43" t="s">
        <v>145</v>
      </c>
      <c r="CG26" s="43" t="s">
        <v>146</v>
      </c>
      <c r="CH26" s="43" t="s">
        <v>145</v>
      </c>
      <c r="CI26" s="57">
        <v>100</v>
      </c>
      <c r="CJ26" s="43" t="s">
        <v>147</v>
      </c>
      <c r="CK26" s="43" t="s">
        <v>148</v>
      </c>
      <c r="CL26" s="43" t="s">
        <v>97</v>
      </c>
      <c r="CM26" s="43" t="s">
        <v>149</v>
      </c>
      <c r="CN26" s="43" t="s">
        <v>150</v>
      </c>
      <c r="CO26" s="49" t="s">
        <v>113</v>
      </c>
      <c r="CP26" s="49" t="s">
        <v>113</v>
      </c>
      <c r="CQ26" s="58" t="s">
        <v>113</v>
      </c>
      <c r="CR26" s="53" t="s">
        <v>113</v>
      </c>
      <c r="CS26" s="49" t="s">
        <v>113</v>
      </c>
      <c r="CT26" s="59" t="s">
        <v>113</v>
      </c>
      <c r="CU26" s="59" t="s">
        <v>113</v>
      </c>
      <c r="CV26" s="35" t="s">
        <v>262</v>
      </c>
    </row>
    <row r="27" ht="14.5" customHeight="1" spans="1:100" x14ac:dyDescent="0.25">
      <c r="A27" s="35" t="s">
        <v>269</v>
      </c>
      <c r="B27" s="35" t="s">
        <v>270</v>
      </c>
      <c r="C27" s="35" t="s">
        <v>95</v>
      </c>
      <c r="D27" s="37" t="s">
        <v>96</v>
      </c>
      <c r="E27" s="38" t="s">
        <v>97</v>
      </c>
      <c r="F27" s="39" t="s">
        <v>271</v>
      </c>
      <c r="G27" s="39" t="s">
        <v>265</v>
      </c>
      <c r="H27" s="40" t="s">
        <v>100</v>
      </c>
      <c r="I27" s="40" t="s">
        <v>101</v>
      </c>
      <c r="J27" s="40" t="s">
        <v>102</v>
      </c>
      <c r="K27" s="41">
        <f t="shared" si="3"/>
        <v>45658</v>
      </c>
      <c r="L27" s="38" t="s">
        <v>97</v>
      </c>
      <c r="M27" s="40" t="s">
        <v>103</v>
      </c>
      <c r="N27" s="40" t="s">
        <v>154</v>
      </c>
      <c r="O27" s="42" t="s">
        <v>105</v>
      </c>
      <c r="P27" s="38" t="s">
        <v>155</v>
      </c>
      <c r="Q27" s="40" t="s">
        <v>107</v>
      </c>
      <c r="R27" s="40" t="s">
        <v>108</v>
      </c>
      <c r="S27" s="43" t="s">
        <v>109</v>
      </c>
      <c r="T27" s="43" t="s">
        <v>109</v>
      </c>
      <c r="U27" s="40" t="s">
        <v>102</v>
      </c>
      <c r="V27" s="44" t="s">
        <v>110</v>
      </c>
      <c r="W27" s="45" t="s">
        <v>111</v>
      </c>
      <c r="X27" s="40" t="s">
        <v>102</v>
      </c>
      <c r="Y27" s="46">
        <v>45658</v>
      </c>
      <c r="Z27" s="40" t="s">
        <v>112</v>
      </c>
      <c r="AA27" s="47" t="s">
        <v>113</v>
      </c>
      <c r="AB27" s="48" t="s">
        <v>240</v>
      </c>
      <c r="AC27" s="48" t="s">
        <v>266</v>
      </c>
      <c r="AD27" s="48" t="s">
        <v>116</v>
      </c>
      <c r="AE27" s="38">
        <v>970</v>
      </c>
      <c r="AF27" s="38" t="s">
        <v>57</v>
      </c>
      <c r="AG27" s="39">
        <v>40</v>
      </c>
      <c r="AH27" s="49" t="s">
        <v>117</v>
      </c>
      <c r="AI27" s="48" t="s">
        <v>118</v>
      </c>
      <c r="AJ27" s="46" t="s">
        <v>113</v>
      </c>
      <c r="AK27" s="41">
        <f t="shared" si="0"/>
        <v>45748</v>
      </c>
      <c r="AL27" s="40" t="s">
        <v>119</v>
      </c>
      <c r="AM27" s="49" t="s">
        <v>120</v>
      </c>
      <c r="AN27" s="39" t="s">
        <v>267</v>
      </c>
      <c r="AO27" s="40" t="s">
        <v>122</v>
      </c>
      <c r="AP27" s="50" t="s">
        <v>123</v>
      </c>
      <c r="AQ27" s="40" t="s">
        <v>124</v>
      </c>
      <c r="AR27" s="35" t="s">
        <v>124</v>
      </c>
      <c r="AS27" s="44" t="s">
        <v>113</v>
      </c>
      <c r="AT27" s="40" t="s">
        <v>125</v>
      </c>
      <c r="AU27" s="50" t="str">
        <f t="shared" si="6"/>
        <v>Permanent</v>
      </c>
      <c r="AV27" s="44" t="s">
        <v>127</v>
      </c>
      <c r="AW27" s="51">
        <f t="shared" si="5"/>
        <v>45657</v>
      </c>
      <c r="AX27" s="51">
        <f t="shared" si="1"/>
        <v>45657</v>
      </c>
      <c r="AY27" s="41">
        <f t="shared" si="2"/>
        <v>NaN</v>
      </c>
      <c r="AZ27" s="43" t="s">
        <v>97</v>
      </c>
      <c r="BA27" s="43" t="s">
        <v>128</v>
      </c>
      <c r="BB27" s="52" t="s">
        <v>272</v>
      </c>
      <c r="BC27" s="44">
        <v>36526</v>
      </c>
      <c r="BD27" s="44">
        <v>51136</v>
      </c>
      <c r="BE27" s="43" t="s">
        <v>97</v>
      </c>
      <c r="BF27" s="43" t="s">
        <v>132</v>
      </c>
      <c r="BG27" s="50">
        <v>5855200055</v>
      </c>
      <c r="BH27" s="44">
        <v>36526</v>
      </c>
      <c r="BI27" s="44">
        <v>51136</v>
      </c>
      <c r="BJ27" s="38" t="s">
        <v>133</v>
      </c>
      <c r="BK27" s="50" t="s">
        <v>157</v>
      </c>
      <c r="BL27" s="53">
        <v>26666</v>
      </c>
      <c r="BM27" s="54" t="s">
        <v>97</v>
      </c>
      <c r="BN27" s="43" t="s">
        <v>109</v>
      </c>
      <c r="BO27" s="38" t="s">
        <v>135</v>
      </c>
      <c r="BP27" s="55" t="s">
        <v>113</v>
      </c>
      <c r="BQ27" s="43" t="s">
        <v>136</v>
      </c>
      <c r="BR27" s="43" t="s">
        <v>97</v>
      </c>
      <c r="BS27" s="49" t="s">
        <v>124</v>
      </c>
      <c r="BT27" s="49" t="s">
        <v>113</v>
      </c>
      <c r="BU27" s="38" t="s">
        <v>137</v>
      </c>
      <c r="BV27" s="38" t="s">
        <v>138</v>
      </c>
      <c r="BW27" s="43" t="s">
        <v>139</v>
      </c>
      <c r="BX27" s="56" t="s">
        <v>158</v>
      </c>
      <c r="BY27" s="43" t="s">
        <v>141</v>
      </c>
      <c r="BZ27" s="43" t="s">
        <v>142</v>
      </c>
      <c r="CA27" s="43" t="s">
        <v>143</v>
      </c>
      <c r="CB27" s="43" t="s">
        <v>144</v>
      </c>
      <c r="CC27" s="56" t="s">
        <v>139</v>
      </c>
      <c r="CD27" s="40" t="s">
        <v>140</v>
      </c>
      <c r="CE27" s="43" t="s">
        <v>141</v>
      </c>
      <c r="CF27" s="43" t="s">
        <v>145</v>
      </c>
      <c r="CG27" s="43" t="s">
        <v>146</v>
      </c>
      <c r="CH27" s="43" t="s">
        <v>145</v>
      </c>
      <c r="CI27" s="57">
        <v>100</v>
      </c>
      <c r="CJ27" s="43" t="s">
        <v>147</v>
      </c>
      <c r="CK27" s="43" t="s">
        <v>148</v>
      </c>
      <c r="CL27" s="43" t="s">
        <v>97</v>
      </c>
      <c r="CM27" s="43" t="s">
        <v>159</v>
      </c>
      <c r="CN27" s="43" t="s">
        <v>150</v>
      </c>
      <c r="CO27" s="49" t="s">
        <v>160</v>
      </c>
      <c r="CP27" s="49" t="s">
        <v>161</v>
      </c>
      <c r="CQ27" s="58" t="s">
        <v>109</v>
      </c>
      <c r="CR27" s="53">
        <f>TODAY()-1500</f>
        <v>44271</v>
      </c>
      <c r="CS27" s="49" t="s">
        <v>162</v>
      </c>
      <c r="CT27" s="59">
        <v>1234030</v>
      </c>
      <c r="CU27" s="59">
        <v>123456023</v>
      </c>
      <c r="CV27" s="35" t="s">
        <v>269</v>
      </c>
    </row>
    <row r="28" ht="14.5" customHeight="1" spans="1:100" x14ac:dyDescent="0.25">
      <c r="A28" s="35" t="s">
        <v>273</v>
      </c>
      <c r="B28" s="35" t="s">
        <v>274</v>
      </c>
      <c r="C28" s="35" t="s">
        <v>95</v>
      </c>
      <c r="D28" s="37" t="s">
        <v>96</v>
      </c>
      <c r="E28" s="38" t="s">
        <v>97</v>
      </c>
      <c r="F28" s="39" t="s">
        <v>275</v>
      </c>
      <c r="G28" s="39" t="s">
        <v>276</v>
      </c>
      <c r="H28" s="40" t="s">
        <v>100</v>
      </c>
      <c r="I28" s="40" t="s">
        <v>101</v>
      </c>
      <c r="J28" s="40" t="s">
        <v>102</v>
      </c>
      <c r="K28" s="41">
        <f t="shared" si="3"/>
        <v>45658</v>
      </c>
      <c r="L28" s="38" t="s">
        <v>97</v>
      </c>
      <c r="M28" s="40" t="s">
        <v>103</v>
      </c>
      <c r="N28" s="40" t="s">
        <v>104</v>
      </c>
      <c r="O28" s="42" t="s">
        <v>105</v>
      </c>
      <c r="P28" s="38" t="s">
        <v>106</v>
      </c>
      <c r="Q28" s="40" t="s">
        <v>107</v>
      </c>
      <c r="R28" s="40" t="s">
        <v>108</v>
      </c>
      <c r="S28" s="43" t="s">
        <v>109</v>
      </c>
      <c r="T28" s="43" t="s">
        <v>109</v>
      </c>
      <c r="U28" s="40" t="s">
        <v>102</v>
      </c>
      <c r="V28" s="44" t="s">
        <v>110</v>
      </c>
      <c r="W28" s="45" t="s">
        <v>111</v>
      </c>
      <c r="X28" s="40" t="s">
        <v>102</v>
      </c>
      <c r="Y28" s="46">
        <v>45658</v>
      </c>
      <c r="Z28" s="40" t="s">
        <v>112</v>
      </c>
      <c r="AA28" s="47" t="s">
        <v>113</v>
      </c>
      <c r="AB28" s="48" t="s">
        <v>240</v>
      </c>
      <c r="AC28" s="48" t="s">
        <v>266</v>
      </c>
      <c r="AD28" s="39" t="s">
        <v>116</v>
      </c>
      <c r="AE28" s="38">
        <v>970</v>
      </c>
      <c r="AF28" s="38" t="s">
        <v>57</v>
      </c>
      <c r="AG28" s="39">
        <v>30</v>
      </c>
      <c r="AH28" s="39" t="s">
        <v>117</v>
      </c>
      <c r="AI28" s="48" t="s">
        <v>118</v>
      </c>
      <c r="AJ28" s="46" t="s">
        <v>113</v>
      </c>
      <c r="AK28" s="41">
        <f t="shared" si="0"/>
        <v>45748</v>
      </c>
      <c r="AL28" s="40" t="s">
        <v>119</v>
      </c>
      <c r="AM28" s="49" t="s">
        <v>120</v>
      </c>
      <c r="AN28" s="39" t="s">
        <v>267</v>
      </c>
      <c r="AO28" s="40" t="s">
        <v>122</v>
      </c>
      <c r="AP28" s="50" t="s">
        <v>123</v>
      </c>
      <c r="AQ28" s="40" t="s">
        <v>124</v>
      </c>
      <c r="AR28" s="35" t="s">
        <v>124</v>
      </c>
      <c r="AS28" s="44" t="s">
        <v>113</v>
      </c>
      <c r="AT28" s="40" t="s">
        <v>125</v>
      </c>
      <c r="AU28" s="50" t="str">
        <f t="shared" si="6"/>
        <v>Permanent</v>
      </c>
      <c r="AV28" s="44" t="s">
        <v>127</v>
      </c>
      <c r="AW28" s="51">
        <f t="shared" si="5"/>
        <v>45657</v>
      </c>
      <c r="AX28" s="51">
        <f t="shared" si="1"/>
        <v>45657</v>
      </c>
      <c r="AY28" s="41">
        <f t="shared" si="2"/>
        <v>NaN</v>
      </c>
      <c r="AZ28" s="43" t="s">
        <v>97</v>
      </c>
      <c r="BA28" s="43" t="s">
        <v>128</v>
      </c>
      <c r="BB28" s="52" t="s">
        <v>277</v>
      </c>
      <c r="BC28" s="44" t="s">
        <v>130</v>
      </c>
      <c r="BD28" s="44" t="s">
        <v>131</v>
      </c>
      <c r="BE28" s="43" t="s">
        <v>97</v>
      </c>
      <c r="BF28" s="43" t="s">
        <v>132</v>
      </c>
      <c r="BG28" s="50">
        <v>5955200056</v>
      </c>
      <c r="BH28" s="44">
        <v>36526</v>
      </c>
      <c r="BI28" s="44">
        <v>51136</v>
      </c>
      <c r="BJ28" s="38" t="s">
        <v>133</v>
      </c>
      <c r="BK28" s="50" t="s">
        <v>134</v>
      </c>
      <c r="BL28" s="53">
        <v>27031</v>
      </c>
      <c r="BM28" s="54" t="s">
        <v>97</v>
      </c>
      <c r="BN28" s="43" t="s">
        <v>109</v>
      </c>
      <c r="BO28" s="38" t="s">
        <v>135</v>
      </c>
      <c r="BP28" s="55" t="s">
        <v>113</v>
      </c>
      <c r="BQ28" s="43" t="s">
        <v>136</v>
      </c>
      <c r="BR28" s="43" t="s">
        <v>97</v>
      </c>
      <c r="BS28" s="39" t="s">
        <v>123</v>
      </c>
      <c r="BT28" s="39">
        <v>20</v>
      </c>
      <c r="BU28" s="38" t="s">
        <v>137</v>
      </c>
      <c r="BV28" s="38" t="s">
        <v>138</v>
      </c>
      <c r="BW28" s="43" t="s">
        <v>139</v>
      </c>
      <c r="BX28" s="56" t="s">
        <v>140</v>
      </c>
      <c r="BY28" s="43" t="s">
        <v>141</v>
      </c>
      <c r="BZ28" s="43" t="s">
        <v>142</v>
      </c>
      <c r="CA28" s="43" t="s">
        <v>143</v>
      </c>
      <c r="CB28" s="43" t="s">
        <v>144</v>
      </c>
      <c r="CC28" s="56" t="s">
        <v>139</v>
      </c>
      <c r="CD28" s="40" t="s">
        <v>140</v>
      </c>
      <c r="CE28" s="43" t="s">
        <v>141</v>
      </c>
      <c r="CF28" s="43" t="s">
        <v>145</v>
      </c>
      <c r="CG28" s="43" t="s">
        <v>146</v>
      </c>
      <c r="CH28" s="43" t="s">
        <v>145</v>
      </c>
      <c r="CI28" s="57">
        <v>100</v>
      </c>
      <c r="CJ28" s="43" t="s">
        <v>147</v>
      </c>
      <c r="CK28" s="43" t="s">
        <v>148</v>
      </c>
      <c r="CL28" s="43" t="s">
        <v>97</v>
      </c>
      <c r="CM28" s="43" t="s">
        <v>149</v>
      </c>
      <c r="CN28" s="43" t="s">
        <v>150</v>
      </c>
      <c r="CO28" s="49" t="s">
        <v>160</v>
      </c>
      <c r="CP28" s="49" t="s">
        <v>161</v>
      </c>
      <c r="CQ28" s="58" t="s">
        <v>109</v>
      </c>
      <c r="CR28" s="53">
        <f>TODAY()-1500</f>
        <v>44271</v>
      </c>
      <c r="CS28" s="49" t="s">
        <v>162</v>
      </c>
      <c r="CT28" s="59">
        <v>1234009</v>
      </c>
      <c r="CU28" s="59">
        <v>123456099</v>
      </c>
      <c r="CV28" s="35" t="s">
        <v>273</v>
      </c>
    </row>
    <row r="29" ht="14.5" customHeight="1" spans="1:100" x14ac:dyDescent="0.25">
      <c r="A29" s="35" t="s">
        <v>278</v>
      </c>
      <c r="B29" s="35" t="s">
        <v>279</v>
      </c>
      <c r="C29" s="35" t="s">
        <v>95</v>
      </c>
      <c r="D29" s="37" t="s">
        <v>96</v>
      </c>
      <c r="E29" s="38" t="s">
        <v>97</v>
      </c>
      <c r="F29" s="39" t="s">
        <v>280</v>
      </c>
      <c r="G29" s="39" t="s">
        <v>265</v>
      </c>
      <c r="H29" s="40" t="s">
        <v>100</v>
      </c>
      <c r="I29" s="40" t="s">
        <v>101</v>
      </c>
      <c r="J29" s="40" t="s">
        <v>102</v>
      </c>
      <c r="K29" s="41">
        <f t="shared" si="3"/>
        <v>45658</v>
      </c>
      <c r="L29" s="38" t="s">
        <v>97</v>
      </c>
      <c r="M29" s="40" t="s">
        <v>103</v>
      </c>
      <c r="N29" s="40" t="s">
        <v>154</v>
      </c>
      <c r="O29" s="42" t="s">
        <v>105</v>
      </c>
      <c r="P29" s="38" t="s">
        <v>155</v>
      </c>
      <c r="Q29" s="40" t="s">
        <v>107</v>
      </c>
      <c r="R29" s="40" t="s">
        <v>108</v>
      </c>
      <c r="S29" s="43" t="s">
        <v>109</v>
      </c>
      <c r="T29" s="43" t="s">
        <v>109</v>
      </c>
      <c r="U29" s="40" t="s">
        <v>102</v>
      </c>
      <c r="V29" s="44" t="s">
        <v>110</v>
      </c>
      <c r="W29" s="45" t="s">
        <v>111</v>
      </c>
      <c r="X29" s="40" t="s">
        <v>102</v>
      </c>
      <c r="Y29" s="46">
        <v>45658</v>
      </c>
      <c r="Z29" s="40" t="s">
        <v>112</v>
      </c>
      <c r="AA29" s="47" t="s">
        <v>113</v>
      </c>
      <c r="AB29" s="48" t="s">
        <v>240</v>
      </c>
      <c r="AC29" s="48" t="s">
        <v>266</v>
      </c>
      <c r="AD29" s="39" t="s">
        <v>116</v>
      </c>
      <c r="AE29" s="38">
        <v>970</v>
      </c>
      <c r="AF29" s="38" t="s">
        <v>57</v>
      </c>
      <c r="AG29" s="39">
        <v>40</v>
      </c>
      <c r="AH29" s="49" t="s">
        <v>170</v>
      </c>
      <c r="AI29" s="48" t="s">
        <v>118</v>
      </c>
      <c r="AJ29" s="46" t="s">
        <v>113</v>
      </c>
      <c r="AK29" s="41">
        <f t="shared" si="0"/>
        <v>45748</v>
      </c>
      <c r="AL29" s="40" t="s">
        <v>119</v>
      </c>
      <c r="AM29" s="49" t="s">
        <v>120</v>
      </c>
      <c r="AN29" s="39" t="s">
        <v>267</v>
      </c>
      <c r="AO29" s="40" t="s">
        <v>122</v>
      </c>
      <c r="AP29" s="50" t="s">
        <v>123</v>
      </c>
      <c r="AQ29" s="40" t="s">
        <v>124</v>
      </c>
      <c r="AR29" s="35" t="s">
        <v>124</v>
      </c>
      <c r="AS29" s="44" t="s">
        <v>113</v>
      </c>
      <c r="AT29" s="40" t="s">
        <v>125</v>
      </c>
      <c r="AU29" s="50" t="str">
        <f t="shared" si="6"/>
        <v>Permanent</v>
      </c>
      <c r="AV29" s="44" t="s">
        <v>127</v>
      </c>
      <c r="AW29" s="51">
        <f t="shared" si="5"/>
        <v>45657</v>
      </c>
      <c r="AX29" s="51">
        <f t="shared" si="1"/>
        <v>45657</v>
      </c>
      <c r="AY29" s="41">
        <f t="shared" si="2"/>
        <v>NaN</v>
      </c>
      <c r="AZ29" s="43" t="s">
        <v>97</v>
      </c>
      <c r="BA29" s="43" t="s">
        <v>128</v>
      </c>
      <c r="BB29" s="52" t="s">
        <v>281</v>
      </c>
      <c r="BC29" s="44">
        <v>36526</v>
      </c>
      <c r="BD29" s="44">
        <v>51136</v>
      </c>
      <c r="BE29" s="43" t="s">
        <v>97</v>
      </c>
      <c r="BF29" s="43" t="s">
        <v>132</v>
      </c>
      <c r="BG29" s="50">
        <v>5855200057</v>
      </c>
      <c r="BH29" s="44">
        <v>36526</v>
      </c>
      <c r="BI29" s="44">
        <v>51136</v>
      </c>
      <c r="BJ29" s="38" t="s">
        <v>133</v>
      </c>
      <c r="BK29" s="50" t="s">
        <v>157</v>
      </c>
      <c r="BL29" s="53">
        <v>28857</v>
      </c>
      <c r="BM29" s="54" t="s">
        <v>97</v>
      </c>
      <c r="BN29" s="43" t="s">
        <v>109</v>
      </c>
      <c r="BO29" s="38" t="s">
        <v>135</v>
      </c>
      <c r="BP29" s="55" t="s">
        <v>113</v>
      </c>
      <c r="BQ29" s="43" t="s">
        <v>136</v>
      </c>
      <c r="BR29" s="43" t="s">
        <v>97</v>
      </c>
      <c r="BS29" s="39" t="s">
        <v>124</v>
      </c>
      <c r="BT29" s="39" t="s">
        <v>113</v>
      </c>
      <c r="BU29" s="38" t="s">
        <v>137</v>
      </c>
      <c r="BV29" s="38" t="s">
        <v>138</v>
      </c>
      <c r="BW29" s="43" t="s">
        <v>139</v>
      </c>
      <c r="BX29" s="56" t="s">
        <v>158</v>
      </c>
      <c r="BY29" s="43" t="s">
        <v>141</v>
      </c>
      <c r="BZ29" s="43" t="s">
        <v>142</v>
      </c>
      <c r="CA29" s="43" t="s">
        <v>143</v>
      </c>
      <c r="CB29" s="43" t="s">
        <v>144</v>
      </c>
      <c r="CC29" s="56" t="s">
        <v>139</v>
      </c>
      <c r="CD29" s="40" t="s">
        <v>140</v>
      </c>
      <c r="CE29" s="43" t="s">
        <v>141</v>
      </c>
      <c r="CF29" s="43" t="s">
        <v>145</v>
      </c>
      <c r="CG29" s="43" t="s">
        <v>146</v>
      </c>
      <c r="CH29" s="43" t="s">
        <v>145</v>
      </c>
      <c r="CI29" s="57">
        <v>100</v>
      </c>
      <c r="CJ29" s="43" t="s">
        <v>147</v>
      </c>
      <c r="CK29" s="43" t="s">
        <v>148</v>
      </c>
      <c r="CL29" s="43" t="s">
        <v>97</v>
      </c>
      <c r="CM29" s="43" t="s">
        <v>159</v>
      </c>
      <c r="CN29" s="43" t="s">
        <v>150</v>
      </c>
      <c r="CO29" s="39" t="s">
        <v>160</v>
      </c>
      <c r="CP29" s="39" t="s">
        <v>161</v>
      </c>
      <c r="CQ29" s="39" t="s">
        <v>109</v>
      </c>
      <c r="CR29" s="53">
        <f>TODAY()-1500</f>
        <v>44271</v>
      </c>
      <c r="CS29" s="39" t="s">
        <v>162</v>
      </c>
      <c r="CT29" s="59">
        <v>1234031</v>
      </c>
      <c r="CU29" s="59">
        <v>123456024</v>
      </c>
      <c r="CV29" s="35" t="s">
        <v>278</v>
      </c>
    </row>
    <row r="30" ht="14.5" customHeight="1" spans="1:100" x14ac:dyDescent="0.25">
      <c r="A30" s="35" t="s">
        <v>282</v>
      </c>
      <c r="B30" s="35" t="s">
        <v>283</v>
      </c>
      <c r="C30" s="35" t="s">
        <v>95</v>
      </c>
      <c r="D30" s="37" t="s">
        <v>96</v>
      </c>
      <c r="E30" s="38" t="s">
        <v>97</v>
      </c>
      <c r="F30" s="39" t="s">
        <v>284</v>
      </c>
      <c r="G30" s="39" t="s">
        <v>285</v>
      </c>
      <c r="H30" s="40" t="s">
        <v>100</v>
      </c>
      <c r="I30" s="40" t="s">
        <v>101</v>
      </c>
      <c r="J30" s="40" t="s">
        <v>102</v>
      </c>
      <c r="K30" s="41">
        <f t="shared" si="3"/>
        <v>45292</v>
      </c>
      <c r="L30" s="38" t="s">
        <v>97</v>
      </c>
      <c r="M30" s="40" t="s">
        <v>103</v>
      </c>
      <c r="N30" s="40" t="s">
        <v>104</v>
      </c>
      <c r="O30" s="42" t="s">
        <v>105</v>
      </c>
      <c r="P30" s="38" t="s">
        <v>106</v>
      </c>
      <c r="Q30" s="40" t="s">
        <v>107</v>
      </c>
      <c r="R30" s="40" t="s">
        <v>108</v>
      </c>
      <c r="S30" s="43" t="s">
        <v>109</v>
      </c>
      <c r="T30" s="43" t="s">
        <v>109</v>
      </c>
      <c r="U30" s="40" t="s">
        <v>102</v>
      </c>
      <c r="V30" s="44" t="s">
        <v>110</v>
      </c>
      <c r="W30" s="45" t="s">
        <v>111</v>
      </c>
      <c r="X30" s="40" t="s">
        <v>102</v>
      </c>
      <c r="Y30" s="46">
        <v>45292</v>
      </c>
      <c r="Z30" s="40" t="s">
        <v>112</v>
      </c>
      <c r="AA30" s="47" t="s">
        <v>113</v>
      </c>
      <c r="AB30" s="48" t="s">
        <v>240</v>
      </c>
      <c r="AC30" s="48" t="s">
        <v>266</v>
      </c>
      <c r="AD30" s="39" t="s">
        <v>116</v>
      </c>
      <c r="AE30" s="38">
        <v>970</v>
      </c>
      <c r="AF30" s="38" t="s">
        <v>57</v>
      </c>
      <c r="AG30" s="39">
        <v>20</v>
      </c>
      <c r="AH30" s="49" t="s">
        <v>170</v>
      </c>
      <c r="AI30" s="48" t="s">
        <v>118</v>
      </c>
      <c r="AJ30" s="46" t="s">
        <v>113</v>
      </c>
      <c r="AK30" s="41">
        <f t="shared" si="0"/>
        <v>45382</v>
      </c>
      <c r="AL30" s="40" t="s">
        <v>119</v>
      </c>
      <c r="AM30" s="49" t="s">
        <v>120</v>
      </c>
      <c r="AN30" s="39" t="s">
        <v>267</v>
      </c>
      <c r="AO30" s="40" t="s">
        <v>122</v>
      </c>
      <c r="AP30" s="50" t="s">
        <v>123</v>
      </c>
      <c r="AQ30" s="40" t="s">
        <v>124</v>
      </c>
      <c r="AR30" s="35" t="s">
        <v>124</v>
      </c>
      <c r="AS30" s="44" t="s">
        <v>113</v>
      </c>
      <c r="AT30" s="40" t="s">
        <v>125</v>
      </c>
      <c r="AU30" s="50" t="str">
        <f t="shared" si="6"/>
        <v>Permanent</v>
      </c>
      <c r="AV30" s="44" t="s">
        <v>127</v>
      </c>
      <c r="AW30" s="51">
        <f t="shared" si="5"/>
        <v>45291</v>
      </c>
      <c r="AX30" s="51">
        <f t="shared" si="1"/>
        <v>45291</v>
      </c>
      <c r="AY30" s="41">
        <f t="shared" si="2"/>
        <v>NaN</v>
      </c>
      <c r="AZ30" s="43" t="s">
        <v>97</v>
      </c>
      <c r="BA30" s="43" t="s">
        <v>128</v>
      </c>
      <c r="BB30" s="52" t="s">
        <v>286</v>
      </c>
      <c r="BC30" s="44" t="s">
        <v>130</v>
      </c>
      <c r="BD30" s="44" t="s">
        <v>131</v>
      </c>
      <c r="BE30" s="43" t="s">
        <v>97</v>
      </c>
      <c r="BF30" s="43" t="s">
        <v>132</v>
      </c>
      <c r="BG30" s="50">
        <v>5855200058</v>
      </c>
      <c r="BH30" s="44">
        <v>36526</v>
      </c>
      <c r="BI30" s="44">
        <v>51136</v>
      </c>
      <c r="BJ30" s="38" t="s">
        <v>133</v>
      </c>
      <c r="BK30" s="50" t="s">
        <v>134</v>
      </c>
      <c r="BL30" s="53">
        <v>28492</v>
      </c>
      <c r="BM30" s="54" t="s">
        <v>97</v>
      </c>
      <c r="BN30" s="43" t="s">
        <v>109</v>
      </c>
      <c r="BO30" s="38" t="s">
        <v>135</v>
      </c>
      <c r="BP30" s="55" t="s">
        <v>113</v>
      </c>
      <c r="BQ30" s="43" t="s">
        <v>136</v>
      </c>
      <c r="BR30" s="43" t="s">
        <v>97</v>
      </c>
      <c r="BS30" s="39" t="s">
        <v>124</v>
      </c>
      <c r="BT30" s="39" t="s">
        <v>113</v>
      </c>
      <c r="BU30" s="38" t="s">
        <v>137</v>
      </c>
      <c r="BV30" s="38" t="s">
        <v>138</v>
      </c>
      <c r="BW30" s="43" t="s">
        <v>139</v>
      </c>
      <c r="BX30" s="56" t="s">
        <v>140</v>
      </c>
      <c r="BY30" s="43" t="s">
        <v>141</v>
      </c>
      <c r="BZ30" s="43" t="s">
        <v>142</v>
      </c>
      <c r="CA30" s="43" t="s">
        <v>143</v>
      </c>
      <c r="CB30" s="43" t="s">
        <v>144</v>
      </c>
      <c r="CC30" s="56" t="s">
        <v>139</v>
      </c>
      <c r="CD30" s="40" t="s">
        <v>140</v>
      </c>
      <c r="CE30" s="43" t="s">
        <v>141</v>
      </c>
      <c r="CF30" s="43" t="s">
        <v>145</v>
      </c>
      <c r="CG30" s="43" t="s">
        <v>146</v>
      </c>
      <c r="CH30" s="43" t="s">
        <v>145</v>
      </c>
      <c r="CI30" s="57">
        <v>100</v>
      </c>
      <c r="CJ30" s="43" t="s">
        <v>147</v>
      </c>
      <c r="CK30" s="43" t="s">
        <v>148</v>
      </c>
      <c r="CL30" s="43" t="s">
        <v>97</v>
      </c>
      <c r="CM30" s="43" t="s">
        <v>149</v>
      </c>
      <c r="CN30" s="43" t="s">
        <v>150</v>
      </c>
      <c r="CO30" s="39" t="s">
        <v>113</v>
      </c>
      <c r="CP30" s="39" t="s">
        <v>113</v>
      </c>
      <c r="CQ30" s="39" t="s">
        <v>113</v>
      </c>
      <c r="CR30" s="39" t="s">
        <v>113</v>
      </c>
      <c r="CS30" s="39" t="s">
        <v>113</v>
      </c>
      <c r="CT30" s="39" t="s">
        <v>113</v>
      </c>
      <c r="CU30" s="39" t="s">
        <v>113</v>
      </c>
      <c r="CV30" s="35" t="s">
        <v>282</v>
      </c>
    </row>
    <row r="31" ht="14.5" customHeight="1" spans="1:100" x14ac:dyDescent="0.25">
      <c r="A31" s="35" t="s">
        <v>287</v>
      </c>
      <c r="B31" s="35" t="s">
        <v>288</v>
      </c>
      <c r="C31" s="35" t="s">
        <v>95</v>
      </c>
      <c r="D31" s="37" t="s">
        <v>96</v>
      </c>
      <c r="E31" s="38" t="s">
        <v>97</v>
      </c>
      <c r="F31" s="39" t="s">
        <v>289</v>
      </c>
      <c r="G31" s="39" t="s">
        <v>265</v>
      </c>
      <c r="H31" s="40" t="s">
        <v>100</v>
      </c>
      <c r="I31" s="40" t="s">
        <v>101</v>
      </c>
      <c r="J31" s="40" t="s">
        <v>102</v>
      </c>
      <c r="K31" s="41">
        <f t="shared" si="3"/>
        <v>45658</v>
      </c>
      <c r="L31" s="38" t="s">
        <v>97</v>
      </c>
      <c r="M31" s="40" t="s">
        <v>103</v>
      </c>
      <c r="N31" s="40" t="s">
        <v>154</v>
      </c>
      <c r="O31" s="42" t="s">
        <v>105</v>
      </c>
      <c r="P31" s="38" t="s">
        <v>155</v>
      </c>
      <c r="Q31" s="40" t="s">
        <v>107</v>
      </c>
      <c r="R31" s="40" t="s">
        <v>108</v>
      </c>
      <c r="S31" s="43" t="s">
        <v>109</v>
      </c>
      <c r="T31" s="43" t="s">
        <v>109</v>
      </c>
      <c r="U31" s="40" t="s">
        <v>102</v>
      </c>
      <c r="V31" s="44" t="s">
        <v>110</v>
      </c>
      <c r="W31" s="45" t="s">
        <v>111</v>
      </c>
      <c r="X31" s="40" t="s">
        <v>102</v>
      </c>
      <c r="Y31" s="46">
        <v>45658</v>
      </c>
      <c r="Z31" s="40" t="s">
        <v>112</v>
      </c>
      <c r="AA31" s="47" t="s">
        <v>113</v>
      </c>
      <c r="AB31" s="48" t="s">
        <v>240</v>
      </c>
      <c r="AC31" s="48" t="s">
        <v>266</v>
      </c>
      <c r="AD31" s="39" t="s">
        <v>116</v>
      </c>
      <c r="AE31" s="38">
        <v>970</v>
      </c>
      <c r="AF31" s="38" t="s">
        <v>57</v>
      </c>
      <c r="AG31" s="39">
        <v>25</v>
      </c>
      <c r="AH31" s="49" t="s">
        <v>170</v>
      </c>
      <c r="AI31" s="48" t="s">
        <v>118</v>
      </c>
      <c r="AJ31" s="46" t="s">
        <v>113</v>
      </c>
      <c r="AK31" s="41">
        <f t="shared" si="0"/>
        <v>45748</v>
      </c>
      <c r="AL31" s="40" t="s">
        <v>119</v>
      </c>
      <c r="AM31" s="49" t="s">
        <v>120</v>
      </c>
      <c r="AN31" s="39" t="s">
        <v>267</v>
      </c>
      <c r="AO31" s="40" t="s">
        <v>122</v>
      </c>
      <c r="AP31" s="50" t="s">
        <v>123</v>
      </c>
      <c r="AQ31" s="40" t="s">
        <v>124</v>
      </c>
      <c r="AR31" s="35" t="s">
        <v>124</v>
      </c>
      <c r="AS31" s="44" t="s">
        <v>113</v>
      </c>
      <c r="AT31" s="40" t="s">
        <v>125</v>
      </c>
      <c r="AU31" s="50" t="str">
        <f t="shared" si="6"/>
        <v>Permanent</v>
      </c>
      <c r="AV31" s="44" t="s">
        <v>127</v>
      </c>
      <c r="AW31" s="51">
        <f t="shared" si="5"/>
        <v>45657</v>
      </c>
      <c r="AX31" s="51">
        <f t="shared" si="1"/>
        <v>45657</v>
      </c>
      <c r="AY31" s="41">
        <f t="shared" si="2"/>
        <v>NaN</v>
      </c>
      <c r="AZ31" s="43" t="s">
        <v>97</v>
      </c>
      <c r="BA31" s="43" t="s">
        <v>128</v>
      </c>
      <c r="BB31" s="52" t="s">
        <v>290</v>
      </c>
      <c r="BC31" s="44">
        <v>36526</v>
      </c>
      <c r="BD31" s="44">
        <v>51136</v>
      </c>
      <c r="BE31" s="43" t="s">
        <v>97</v>
      </c>
      <c r="BF31" s="43" t="s">
        <v>132</v>
      </c>
      <c r="BG31" s="50">
        <v>5855200059</v>
      </c>
      <c r="BH31" s="44">
        <v>36526</v>
      </c>
      <c r="BI31" s="44">
        <v>51136</v>
      </c>
      <c r="BJ31" s="38" t="s">
        <v>133</v>
      </c>
      <c r="BK31" s="50" t="s">
        <v>157</v>
      </c>
      <c r="BL31" s="53">
        <v>28857</v>
      </c>
      <c r="BM31" s="54" t="s">
        <v>97</v>
      </c>
      <c r="BN31" s="43" t="s">
        <v>109</v>
      </c>
      <c r="BO31" s="38" t="s">
        <v>135</v>
      </c>
      <c r="BP31" s="55" t="s">
        <v>113</v>
      </c>
      <c r="BQ31" s="43" t="s">
        <v>136</v>
      </c>
      <c r="BR31" s="43" t="s">
        <v>97</v>
      </c>
      <c r="BS31" s="39" t="s">
        <v>123</v>
      </c>
      <c r="BT31" s="39">
        <v>20</v>
      </c>
      <c r="BU31" s="38" t="s">
        <v>137</v>
      </c>
      <c r="BV31" s="38" t="s">
        <v>138</v>
      </c>
      <c r="BW31" s="43" t="s">
        <v>139</v>
      </c>
      <c r="BX31" s="56" t="s">
        <v>158</v>
      </c>
      <c r="BY31" s="43" t="s">
        <v>141</v>
      </c>
      <c r="BZ31" s="43" t="s">
        <v>142</v>
      </c>
      <c r="CA31" s="43" t="s">
        <v>143</v>
      </c>
      <c r="CB31" s="43" t="s">
        <v>144</v>
      </c>
      <c r="CC31" s="56" t="s">
        <v>139</v>
      </c>
      <c r="CD31" s="40" t="s">
        <v>140</v>
      </c>
      <c r="CE31" s="43" t="s">
        <v>141</v>
      </c>
      <c r="CF31" s="43" t="s">
        <v>145</v>
      </c>
      <c r="CG31" s="43" t="s">
        <v>146</v>
      </c>
      <c r="CH31" s="43" t="s">
        <v>145</v>
      </c>
      <c r="CI31" s="57">
        <v>100</v>
      </c>
      <c r="CJ31" s="43" t="s">
        <v>147</v>
      </c>
      <c r="CK31" s="43" t="s">
        <v>148</v>
      </c>
      <c r="CL31" s="43" t="s">
        <v>97</v>
      </c>
      <c r="CM31" s="43" t="s">
        <v>159</v>
      </c>
      <c r="CN31" s="43" t="s">
        <v>150</v>
      </c>
      <c r="CO31" s="39" t="s">
        <v>113</v>
      </c>
      <c r="CP31" s="39" t="s">
        <v>113</v>
      </c>
      <c r="CQ31" s="39" t="s">
        <v>113</v>
      </c>
      <c r="CR31" s="39" t="s">
        <v>113</v>
      </c>
      <c r="CS31" s="39" t="s">
        <v>113</v>
      </c>
      <c r="CT31" s="39" t="s">
        <v>113</v>
      </c>
      <c r="CU31" s="39" t="s">
        <v>113</v>
      </c>
      <c r="CV31" s="35" t="s">
        <v>287</v>
      </c>
    </row>
    <row r="32" ht="14.5" customHeight="1" spans="1:100" x14ac:dyDescent="0.25">
      <c r="A32" s="35" t="s">
        <v>291</v>
      </c>
      <c r="B32" s="35" t="s">
        <v>292</v>
      </c>
      <c r="C32" s="35" t="s">
        <v>95</v>
      </c>
      <c r="D32" s="35" t="s">
        <v>293</v>
      </c>
      <c r="E32" s="38" t="s">
        <v>97</v>
      </c>
      <c r="F32" s="39" t="s">
        <v>294</v>
      </c>
      <c r="G32" s="39" t="s">
        <v>295</v>
      </c>
      <c r="H32" s="40" t="s">
        <v>100</v>
      </c>
      <c r="I32" s="40" t="s">
        <v>101</v>
      </c>
      <c r="J32" s="40" t="s">
        <v>102</v>
      </c>
      <c r="K32" s="41">
        <f t="shared" si="3"/>
        <v>45658</v>
      </c>
      <c r="L32" s="38" t="s">
        <v>97</v>
      </c>
      <c r="M32" s="40" t="s">
        <v>103</v>
      </c>
      <c r="N32" s="40" t="s">
        <v>104</v>
      </c>
      <c r="O32" s="42" t="s">
        <v>105</v>
      </c>
      <c r="P32" s="38" t="s">
        <v>106</v>
      </c>
      <c r="Q32" s="40" t="s">
        <v>107</v>
      </c>
      <c r="R32" s="40" t="s">
        <v>108</v>
      </c>
      <c r="S32" s="43" t="s">
        <v>109</v>
      </c>
      <c r="T32" s="43" t="s">
        <v>109</v>
      </c>
      <c r="U32" s="40" t="s">
        <v>102</v>
      </c>
      <c r="V32" s="44" t="s">
        <v>110</v>
      </c>
      <c r="W32" s="45" t="s">
        <v>111</v>
      </c>
      <c r="X32" s="40" t="s">
        <v>102</v>
      </c>
      <c r="Y32" s="46">
        <v>45658</v>
      </c>
      <c r="Z32" s="40" t="s">
        <v>112</v>
      </c>
      <c r="AA32" s="47" t="s">
        <v>296</v>
      </c>
      <c r="AB32" s="48" t="s">
        <v>240</v>
      </c>
      <c r="AC32" s="48" t="s">
        <v>297</v>
      </c>
      <c r="AD32" s="39" t="s">
        <v>298</v>
      </c>
      <c r="AE32" s="38">
        <v>970</v>
      </c>
      <c r="AF32" s="38" t="s">
        <v>57</v>
      </c>
      <c r="AG32" s="39">
        <v>40</v>
      </c>
      <c r="AH32" s="49" t="s">
        <v>117</v>
      </c>
      <c r="AI32" s="48" t="s">
        <v>118</v>
      </c>
      <c r="AJ32" s="46" t="s">
        <v>113</v>
      </c>
      <c r="AK32" s="41">
        <f t="shared" si="0"/>
        <v>45748</v>
      </c>
      <c r="AL32" s="40" t="s">
        <v>119</v>
      </c>
      <c r="AM32" s="39" t="s">
        <v>299</v>
      </c>
      <c r="AN32" s="39" t="s">
        <v>300</v>
      </c>
      <c r="AO32" s="40" t="s">
        <v>122</v>
      </c>
      <c r="AP32" s="50" t="s">
        <v>123</v>
      </c>
      <c r="AQ32" s="40" t="s">
        <v>124</v>
      </c>
      <c r="AR32" s="35" t="s">
        <v>124</v>
      </c>
      <c r="AS32" s="44" t="s">
        <v>113</v>
      </c>
      <c r="AT32" s="40" t="s">
        <v>125</v>
      </c>
      <c r="AU32" s="50" t="str">
        <f t="shared" si="6"/>
        <v>Permanent</v>
      </c>
      <c r="AV32" s="44" t="s">
        <v>127</v>
      </c>
      <c r="AW32" s="51">
        <f t="shared" si="5"/>
        <v>45657</v>
      </c>
      <c r="AX32" s="51">
        <f t="shared" si="1"/>
        <v>45657</v>
      </c>
      <c r="AY32" s="41">
        <f t="shared" si="2"/>
        <v>NaN</v>
      </c>
      <c r="AZ32" s="43" t="s">
        <v>97</v>
      </c>
      <c r="BA32" s="43" t="s">
        <v>128</v>
      </c>
      <c r="BB32" s="52" t="s">
        <v>301</v>
      </c>
      <c r="BC32" s="44" t="s">
        <v>130</v>
      </c>
      <c r="BD32" s="44" t="s">
        <v>131</v>
      </c>
      <c r="BE32" s="43" t="s">
        <v>97</v>
      </c>
      <c r="BF32" s="43" t="s">
        <v>132</v>
      </c>
      <c r="BG32" s="50">
        <v>5855200060</v>
      </c>
      <c r="BH32" s="44">
        <v>36526</v>
      </c>
      <c r="BI32" s="44">
        <v>51136</v>
      </c>
      <c r="BJ32" s="38" t="s">
        <v>133</v>
      </c>
      <c r="BK32" s="50" t="s">
        <v>134</v>
      </c>
      <c r="BL32" s="53">
        <v>32144</v>
      </c>
      <c r="BM32" s="54" t="s">
        <v>97</v>
      </c>
      <c r="BN32" s="43" t="s">
        <v>109</v>
      </c>
      <c r="BO32" s="38" t="s">
        <v>135</v>
      </c>
      <c r="BP32" s="55" t="s">
        <v>113</v>
      </c>
      <c r="BQ32" s="43" t="s">
        <v>136</v>
      </c>
      <c r="BR32" s="43" t="s">
        <v>97</v>
      </c>
      <c r="BS32" s="49" t="s">
        <v>124</v>
      </c>
      <c r="BT32" s="49" t="s">
        <v>113</v>
      </c>
      <c r="BU32" s="38" t="s">
        <v>137</v>
      </c>
      <c r="BV32" s="38" t="s">
        <v>138</v>
      </c>
      <c r="BW32" s="43" t="s">
        <v>139</v>
      </c>
      <c r="BX32" s="56" t="s">
        <v>140</v>
      </c>
      <c r="BY32" s="43" t="s">
        <v>141</v>
      </c>
      <c r="BZ32" s="43" t="s">
        <v>142</v>
      </c>
      <c r="CA32" s="43" t="s">
        <v>143</v>
      </c>
      <c r="CB32" s="43" t="s">
        <v>144</v>
      </c>
      <c r="CC32" s="56" t="s">
        <v>139</v>
      </c>
      <c r="CD32" s="40" t="s">
        <v>140</v>
      </c>
      <c r="CE32" s="43" t="s">
        <v>141</v>
      </c>
      <c r="CF32" s="43" t="s">
        <v>145</v>
      </c>
      <c r="CG32" s="43" t="s">
        <v>146</v>
      </c>
      <c r="CH32" s="43" t="s">
        <v>145</v>
      </c>
      <c r="CI32" s="57">
        <v>100</v>
      </c>
      <c r="CJ32" s="43" t="s">
        <v>147</v>
      </c>
      <c r="CK32" s="43" t="s">
        <v>148</v>
      </c>
      <c r="CL32" s="43" t="s">
        <v>97</v>
      </c>
      <c r="CM32" s="43" t="s">
        <v>149</v>
      </c>
      <c r="CN32" s="43" t="s">
        <v>150</v>
      </c>
      <c r="CO32" s="49" t="s">
        <v>113</v>
      </c>
      <c r="CP32" s="49" t="s">
        <v>113</v>
      </c>
      <c r="CQ32" s="58" t="s">
        <v>113</v>
      </c>
      <c r="CR32" s="53" t="s">
        <v>113</v>
      </c>
      <c r="CS32" s="49" t="s">
        <v>113</v>
      </c>
      <c r="CT32" s="59" t="s">
        <v>113</v>
      </c>
      <c r="CU32" s="59" t="s">
        <v>113</v>
      </c>
      <c r="CV32" s="35" t="s">
        <v>291</v>
      </c>
    </row>
    <row r="33" ht="14.5" customHeight="1" spans="1:100" x14ac:dyDescent="0.25">
      <c r="A33" s="35" t="s">
        <v>302</v>
      </c>
      <c r="B33" s="35" t="s">
        <v>303</v>
      </c>
      <c r="C33" s="35" t="s">
        <v>95</v>
      </c>
      <c r="D33" s="35" t="s">
        <v>293</v>
      </c>
      <c r="E33" s="38" t="s">
        <v>97</v>
      </c>
      <c r="F33" s="39" t="s">
        <v>304</v>
      </c>
      <c r="G33" s="39" t="s">
        <v>295</v>
      </c>
      <c r="H33" s="40" t="s">
        <v>100</v>
      </c>
      <c r="I33" s="40" t="s">
        <v>101</v>
      </c>
      <c r="J33" s="40" t="s">
        <v>102</v>
      </c>
      <c r="K33" s="41">
        <f t="shared" si="3"/>
        <v>45658</v>
      </c>
      <c r="L33" s="38" t="s">
        <v>97</v>
      </c>
      <c r="M33" s="40" t="s">
        <v>103</v>
      </c>
      <c r="N33" s="40" t="s">
        <v>154</v>
      </c>
      <c r="O33" s="42" t="s">
        <v>105</v>
      </c>
      <c r="P33" s="38" t="s">
        <v>155</v>
      </c>
      <c r="Q33" s="40" t="s">
        <v>107</v>
      </c>
      <c r="R33" s="40" t="s">
        <v>108</v>
      </c>
      <c r="S33" s="43" t="s">
        <v>109</v>
      </c>
      <c r="T33" s="43" t="s">
        <v>109</v>
      </c>
      <c r="U33" s="40" t="s">
        <v>102</v>
      </c>
      <c r="V33" s="44" t="s">
        <v>110</v>
      </c>
      <c r="W33" s="45" t="s">
        <v>111</v>
      </c>
      <c r="X33" s="40" t="s">
        <v>102</v>
      </c>
      <c r="Y33" s="46">
        <v>45658</v>
      </c>
      <c r="Z33" s="40" t="s">
        <v>112</v>
      </c>
      <c r="AA33" s="47" t="s">
        <v>305</v>
      </c>
      <c r="AB33" s="48" t="s">
        <v>240</v>
      </c>
      <c r="AC33" s="48" t="s">
        <v>297</v>
      </c>
      <c r="AD33" s="39" t="s">
        <v>298</v>
      </c>
      <c r="AE33" s="38">
        <v>970</v>
      </c>
      <c r="AF33" s="38" t="s">
        <v>57</v>
      </c>
      <c r="AG33" s="39">
        <v>40</v>
      </c>
      <c r="AH33" s="49" t="s">
        <v>170</v>
      </c>
      <c r="AI33" s="48" t="s">
        <v>118</v>
      </c>
      <c r="AJ33" s="46" t="s">
        <v>113</v>
      </c>
      <c r="AK33" s="41">
        <f t="shared" si="0"/>
        <v>45748</v>
      </c>
      <c r="AL33" s="40" t="s">
        <v>119</v>
      </c>
      <c r="AM33" s="39" t="s">
        <v>299</v>
      </c>
      <c r="AN33" s="39" t="s">
        <v>300</v>
      </c>
      <c r="AO33" s="40" t="s">
        <v>122</v>
      </c>
      <c r="AP33" s="50" t="s">
        <v>123</v>
      </c>
      <c r="AQ33" s="40" t="s">
        <v>124</v>
      </c>
      <c r="AR33" s="35" t="s">
        <v>124</v>
      </c>
      <c r="AS33" s="44" t="s">
        <v>113</v>
      </c>
      <c r="AT33" s="40" t="s">
        <v>125</v>
      </c>
      <c r="AU33" s="50" t="str">
        <f t="shared" si="6"/>
        <v>Permanent</v>
      </c>
      <c r="AV33" s="44" t="s">
        <v>127</v>
      </c>
      <c r="AW33" s="51">
        <f t="shared" si="5"/>
        <v>45657</v>
      </c>
      <c r="AX33" s="51">
        <f t="shared" si="1"/>
        <v>45657</v>
      </c>
      <c r="AY33" s="41">
        <f t="shared" si="2"/>
        <v>NaN</v>
      </c>
      <c r="AZ33" s="43" t="s">
        <v>97</v>
      </c>
      <c r="BA33" s="43" t="s">
        <v>128</v>
      </c>
      <c r="BB33" s="52" t="s">
        <v>306</v>
      </c>
      <c r="BC33" s="44">
        <v>36526</v>
      </c>
      <c r="BD33" s="44">
        <v>51136</v>
      </c>
      <c r="BE33" s="43" t="s">
        <v>97</v>
      </c>
      <c r="BF33" s="43" t="s">
        <v>132</v>
      </c>
      <c r="BG33" s="50">
        <v>5855200061</v>
      </c>
      <c r="BH33" s="44">
        <v>36526</v>
      </c>
      <c r="BI33" s="44">
        <v>51136</v>
      </c>
      <c r="BJ33" s="38" t="s">
        <v>133</v>
      </c>
      <c r="BK33" s="50" t="s">
        <v>157</v>
      </c>
      <c r="BL33" s="53">
        <v>32144</v>
      </c>
      <c r="BM33" s="54" t="s">
        <v>97</v>
      </c>
      <c r="BN33" s="43" t="s">
        <v>109</v>
      </c>
      <c r="BO33" s="38" t="s">
        <v>135</v>
      </c>
      <c r="BP33" s="55" t="s">
        <v>113</v>
      </c>
      <c r="BQ33" s="43" t="s">
        <v>136</v>
      </c>
      <c r="BR33" s="43" t="s">
        <v>97</v>
      </c>
      <c r="BS33" s="49" t="s">
        <v>124</v>
      </c>
      <c r="BT33" s="49" t="s">
        <v>113</v>
      </c>
      <c r="BU33" s="38" t="s">
        <v>137</v>
      </c>
      <c r="BV33" s="38" t="s">
        <v>138</v>
      </c>
      <c r="BW33" s="43" t="s">
        <v>139</v>
      </c>
      <c r="BX33" s="56" t="s">
        <v>158</v>
      </c>
      <c r="BY33" s="43" t="s">
        <v>141</v>
      </c>
      <c r="BZ33" s="43" t="s">
        <v>142</v>
      </c>
      <c r="CA33" s="43" t="s">
        <v>143</v>
      </c>
      <c r="CB33" s="43" t="s">
        <v>144</v>
      </c>
      <c r="CC33" s="56" t="s">
        <v>139</v>
      </c>
      <c r="CD33" s="40" t="s">
        <v>140</v>
      </c>
      <c r="CE33" s="43" t="s">
        <v>141</v>
      </c>
      <c r="CF33" s="43" t="s">
        <v>145</v>
      </c>
      <c r="CG33" s="43" t="s">
        <v>146</v>
      </c>
      <c r="CH33" s="43" t="s">
        <v>145</v>
      </c>
      <c r="CI33" s="57">
        <v>100</v>
      </c>
      <c r="CJ33" s="43" t="s">
        <v>147</v>
      </c>
      <c r="CK33" s="43" t="s">
        <v>148</v>
      </c>
      <c r="CL33" s="43" t="s">
        <v>97</v>
      </c>
      <c r="CM33" s="43" t="s">
        <v>159</v>
      </c>
      <c r="CN33" s="43" t="s">
        <v>150</v>
      </c>
      <c r="CO33" s="49" t="s">
        <v>160</v>
      </c>
      <c r="CP33" s="49" t="s">
        <v>161</v>
      </c>
      <c r="CQ33" s="58" t="s">
        <v>109</v>
      </c>
      <c r="CR33" s="53">
        <f t="shared" ref="CR33" si="7">TODAY()-1500</f>
        <v>44271</v>
      </c>
      <c r="CS33" s="49" t="s">
        <v>162</v>
      </c>
      <c r="CT33" s="59">
        <v>1234032</v>
      </c>
      <c r="CU33" s="59">
        <v>123456025</v>
      </c>
      <c r="CV33" s="35" t="s">
        <v>302</v>
      </c>
    </row>
    <row r="34" ht="14.5" customHeight="1" spans="1:100" x14ac:dyDescent="0.25">
      <c r="A34" s="35" t="s">
        <v>307</v>
      </c>
      <c r="B34" s="35" t="s">
        <v>308</v>
      </c>
      <c r="C34" s="35" t="s">
        <v>95</v>
      </c>
      <c r="D34" s="35" t="s">
        <v>293</v>
      </c>
      <c r="E34" s="38" t="s">
        <v>97</v>
      </c>
      <c r="F34" s="39" t="s">
        <v>309</v>
      </c>
      <c r="G34" s="39" t="s">
        <v>310</v>
      </c>
      <c r="H34" s="40" t="s">
        <v>100</v>
      </c>
      <c r="I34" s="40" t="s">
        <v>101</v>
      </c>
      <c r="J34" s="40" t="s">
        <v>102</v>
      </c>
      <c r="K34" s="41">
        <f t="shared" si="3"/>
        <v>45658</v>
      </c>
      <c r="L34" s="38" t="s">
        <v>97</v>
      </c>
      <c r="M34" s="40" t="s">
        <v>103</v>
      </c>
      <c r="N34" s="40" t="s">
        <v>104</v>
      </c>
      <c r="O34" s="42" t="s">
        <v>105</v>
      </c>
      <c r="P34" s="38" t="s">
        <v>106</v>
      </c>
      <c r="Q34" s="40" t="s">
        <v>107</v>
      </c>
      <c r="R34" s="40" t="s">
        <v>108</v>
      </c>
      <c r="S34" s="43" t="s">
        <v>109</v>
      </c>
      <c r="T34" s="43" t="s">
        <v>109</v>
      </c>
      <c r="U34" s="40" t="s">
        <v>102</v>
      </c>
      <c r="V34" s="44" t="s">
        <v>110</v>
      </c>
      <c r="W34" s="45" t="s">
        <v>111</v>
      </c>
      <c r="X34" s="40" t="s">
        <v>102</v>
      </c>
      <c r="Y34" s="46">
        <v>45658</v>
      </c>
      <c r="Z34" s="40" t="s">
        <v>112</v>
      </c>
      <c r="AA34" s="47" t="s">
        <v>311</v>
      </c>
      <c r="AB34" s="48" t="s">
        <v>240</v>
      </c>
      <c r="AC34" s="48" t="s">
        <v>312</v>
      </c>
      <c r="AD34" s="39" t="s">
        <v>298</v>
      </c>
      <c r="AE34" s="38">
        <v>970</v>
      </c>
      <c r="AF34" s="38" t="s">
        <v>57</v>
      </c>
      <c r="AG34" s="39">
        <v>40</v>
      </c>
      <c r="AH34" s="49" t="s">
        <v>117</v>
      </c>
      <c r="AI34" s="48" t="s">
        <v>118</v>
      </c>
      <c r="AJ34" s="46" t="s">
        <v>113</v>
      </c>
      <c r="AK34" s="41">
        <f t="shared" si="0"/>
        <v>45748</v>
      </c>
      <c r="AL34" s="40" t="s">
        <v>119</v>
      </c>
      <c r="AM34" s="39" t="s">
        <v>299</v>
      </c>
      <c r="AN34" s="39" t="s">
        <v>300</v>
      </c>
      <c r="AO34" s="40" t="s">
        <v>122</v>
      </c>
      <c r="AP34" s="50" t="s">
        <v>123</v>
      </c>
      <c r="AQ34" s="40" t="s">
        <v>124</v>
      </c>
      <c r="AR34" s="35" t="s">
        <v>124</v>
      </c>
      <c r="AS34" s="44" t="s">
        <v>113</v>
      </c>
      <c r="AT34" s="40" t="s">
        <v>125</v>
      </c>
      <c r="AU34" s="50" t="str">
        <f t="shared" si="6"/>
        <v>Permanent</v>
      </c>
      <c r="AV34" s="44" t="s">
        <v>127</v>
      </c>
      <c r="AW34" s="51">
        <f t="shared" si="5"/>
        <v>45657</v>
      </c>
      <c r="AX34" s="51">
        <f t="shared" si="1"/>
        <v>45657</v>
      </c>
      <c r="AY34" s="41">
        <f t="shared" si="2"/>
        <v>NaN</v>
      </c>
      <c r="AZ34" s="43" t="s">
        <v>97</v>
      </c>
      <c r="BA34" s="43" t="s">
        <v>128</v>
      </c>
      <c r="BB34" s="52" t="s">
        <v>313</v>
      </c>
      <c r="BC34" s="44" t="s">
        <v>130</v>
      </c>
      <c r="BD34" s="44" t="s">
        <v>131</v>
      </c>
      <c r="BE34" s="43" t="s">
        <v>97</v>
      </c>
      <c r="BF34" s="43" t="s">
        <v>132</v>
      </c>
      <c r="BG34" s="50">
        <v>5855200062</v>
      </c>
      <c r="BH34" s="44">
        <v>36526</v>
      </c>
      <c r="BI34" s="44">
        <v>51136</v>
      </c>
      <c r="BJ34" s="38" t="s">
        <v>133</v>
      </c>
      <c r="BK34" s="50" t="s">
        <v>134</v>
      </c>
      <c r="BL34" s="53">
        <v>32144</v>
      </c>
      <c r="BM34" s="54" t="s">
        <v>97</v>
      </c>
      <c r="BN34" s="43" t="s">
        <v>109</v>
      </c>
      <c r="BO34" s="38" t="s">
        <v>135</v>
      </c>
      <c r="BP34" s="55" t="s">
        <v>113</v>
      </c>
      <c r="BQ34" s="43" t="s">
        <v>136</v>
      </c>
      <c r="BR34" s="43" t="s">
        <v>97</v>
      </c>
      <c r="BS34" s="39" t="s">
        <v>123</v>
      </c>
      <c r="BT34" s="39">
        <v>20</v>
      </c>
      <c r="BU34" s="38" t="s">
        <v>137</v>
      </c>
      <c r="BV34" s="38" t="s">
        <v>138</v>
      </c>
      <c r="BW34" s="43" t="s">
        <v>139</v>
      </c>
      <c r="BX34" s="56" t="s">
        <v>140</v>
      </c>
      <c r="BY34" s="43" t="s">
        <v>141</v>
      </c>
      <c r="BZ34" s="43" t="s">
        <v>142</v>
      </c>
      <c r="CA34" s="43" t="s">
        <v>143</v>
      </c>
      <c r="CB34" s="43" t="s">
        <v>144</v>
      </c>
      <c r="CC34" s="56" t="s">
        <v>139</v>
      </c>
      <c r="CD34" s="40" t="s">
        <v>140</v>
      </c>
      <c r="CE34" s="43" t="s">
        <v>141</v>
      </c>
      <c r="CF34" s="43" t="s">
        <v>145</v>
      </c>
      <c r="CG34" s="43" t="s">
        <v>146</v>
      </c>
      <c r="CH34" s="43" t="s">
        <v>145</v>
      </c>
      <c r="CI34" s="57">
        <v>100</v>
      </c>
      <c r="CJ34" s="43" t="s">
        <v>147</v>
      </c>
      <c r="CK34" s="43" t="s">
        <v>148</v>
      </c>
      <c r="CL34" s="43" t="s">
        <v>97</v>
      </c>
      <c r="CM34" s="43" t="s">
        <v>149</v>
      </c>
      <c r="CN34" s="43" t="s">
        <v>150</v>
      </c>
      <c r="CO34" s="39" t="s">
        <v>113</v>
      </c>
      <c r="CP34" s="39" t="s">
        <v>113</v>
      </c>
      <c r="CQ34" s="39" t="s">
        <v>113</v>
      </c>
      <c r="CR34" s="39" t="s">
        <v>113</v>
      </c>
      <c r="CS34" s="39" t="s">
        <v>113</v>
      </c>
      <c r="CT34" s="39" t="s">
        <v>113</v>
      </c>
      <c r="CU34" s="39" t="s">
        <v>113</v>
      </c>
      <c r="CV34" s="35" t="s">
        <v>307</v>
      </c>
    </row>
    <row r="35" ht="14.5" customHeight="1" spans="1:100" x14ac:dyDescent="0.25">
      <c r="A35" s="35" t="s">
        <v>314</v>
      </c>
      <c r="B35" s="35" t="s">
        <v>315</v>
      </c>
      <c r="C35" s="35" t="s">
        <v>95</v>
      </c>
      <c r="D35" s="35" t="s">
        <v>293</v>
      </c>
      <c r="E35" s="38" t="s">
        <v>97</v>
      </c>
      <c r="F35" s="39" t="s">
        <v>316</v>
      </c>
      <c r="G35" s="39" t="s">
        <v>310</v>
      </c>
      <c r="H35" s="40" t="s">
        <v>100</v>
      </c>
      <c r="I35" s="40" t="s">
        <v>101</v>
      </c>
      <c r="J35" s="40" t="s">
        <v>102</v>
      </c>
      <c r="K35" s="41">
        <f t="shared" si="3"/>
        <v>45658</v>
      </c>
      <c r="L35" s="38" t="s">
        <v>97</v>
      </c>
      <c r="M35" s="40" t="s">
        <v>103</v>
      </c>
      <c r="N35" s="40" t="s">
        <v>154</v>
      </c>
      <c r="O35" s="42" t="s">
        <v>105</v>
      </c>
      <c r="P35" s="38" t="s">
        <v>155</v>
      </c>
      <c r="Q35" s="40" t="s">
        <v>107</v>
      </c>
      <c r="R35" s="40" t="s">
        <v>108</v>
      </c>
      <c r="S35" s="43" t="s">
        <v>109</v>
      </c>
      <c r="T35" s="43" t="s">
        <v>109</v>
      </c>
      <c r="U35" s="40" t="s">
        <v>102</v>
      </c>
      <c r="V35" s="44" t="s">
        <v>110</v>
      </c>
      <c r="W35" s="45" t="s">
        <v>111</v>
      </c>
      <c r="X35" s="40" t="s">
        <v>102</v>
      </c>
      <c r="Y35" s="46">
        <v>45658</v>
      </c>
      <c r="Z35" s="40" t="s">
        <v>112</v>
      </c>
      <c r="AA35" s="47" t="s">
        <v>317</v>
      </c>
      <c r="AB35" s="48" t="s">
        <v>240</v>
      </c>
      <c r="AC35" s="48" t="s">
        <v>312</v>
      </c>
      <c r="AD35" s="39" t="s">
        <v>298</v>
      </c>
      <c r="AE35" s="38">
        <v>970</v>
      </c>
      <c r="AF35" s="38" t="s">
        <v>57</v>
      </c>
      <c r="AG35" s="39">
        <v>40</v>
      </c>
      <c r="AH35" s="49" t="s">
        <v>170</v>
      </c>
      <c r="AI35" s="48" t="s">
        <v>118</v>
      </c>
      <c r="AJ35" s="46" t="s">
        <v>113</v>
      </c>
      <c r="AK35" s="41">
        <f t="shared" si="0"/>
        <v>45748</v>
      </c>
      <c r="AL35" s="40" t="s">
        <v>119</v>
      </c>
      <c r="AM35" s="39" t="s">
        <v>299</v>
      </c>
      <c r="AN35" s="39" t="s">
        <v>300</v>
      </c>
      <c r="AO35" s="40" t="s">
        <v>122</v>
      </c>
      <c r="AP35" s="50" t="s">
        <v>123</v>
      </c>
      <c r="AQ35" s="40" t="s">
        <v>124</v>
      </c>
      <c r="AR35" s="35" t="s">
        <v>124</v>
      </c>
      <c r="AS35" s="44" t="s">
        <v>113</v>
      </c>
      <c r="AT35" s="40" t="s">
        <v>125</v>
      </c>
      <c r="AU35" s="50" t="str">
        <f t="shared" si="6"/>
        <v>Permanent</v>
      </c>
      <c r="AV35" s="44" t="s">
        <v>127</v>
      </c>
      <c r="AW35" s="51">
        <f t="shared" si="5"/>
        <v>45657</v>
      </c>
      <c r="AX35" s="51">
        <f t="shared" si="1"/>
        <v>45657</v>
      </c>
      <c r="AY35" s="41">
        <f t="shared" si="2"/>
        <v>NaN</v>
      </c>
      <c r="AZ35" s="43" t="s">
        <v>97</v>
      </c>
      <c r="BA35" s="43" t="s">
        <v>128</v>
      </c>
      <c r="BB35" s="52" t="s">
        <v>318</v>
      </c>
      <c r="BC35" s="44">
        <v>36526</v>
      </c>
      <c r="BD35" s="44">
        <v>51136</v>
      </c>
      <c r="BE35" s="43" t="s">
        <v>97</v>
      </c>
      <c r="BF35" s="43" t="s">
        <v>132</v>
      </c>
      <c r="BG35" s="50">
        <v>5855200063</v>
      </c>
      <c r="BH35" s="44">
        <v>36526</v>
      </c>
      <c r="BI35" s="44">
        <v>51136</v>
      </c>
      <c r="BJ35" s="38" t="s">
        <v>133</v>
      </c>
      <c r="BK35" s="50" t="s">
        <v>157</v>
      </c>
      <c r="BL35" s="53">
        <v>32144</v>
      </c>
      <c r="BM35" s="54" t="s">
        <v>97</v>
      </c>
      <c r="BN35" s="43" t="s">
        <v>109</v>
      </c>
      <c r="BO35" s="38" t="s">
        <v>135</v>
      </c>
      <c r="BP35" s="55" t="s">
        <v>113</v>
      </c>
      <c r="BQ35" s="43" t="s">
        <v>136</v>
      </c>
      <c r="BR35" s="43" t="s">
        <v>97</v>
      </c>
      <c r="BS35" s="39" t="s">
        <v>124</v>
      </c>
      <c r="BT35" s="39" t="s">
        <v>113</v>
      </c>
      <c r="BU35" s="38" t="s">
        <v>137</v>
      </c>
      <c r="BV35" s="38" t="s">
        <v>138</v>
      </c>
      <c r="BW35" s="43" t="s">
        <v>139</v>
      </c>
      <c r="BX35" s="56" t="s">
        <v>158</v>
      </c>
      <c r="BY35" s="43" t="s">
        <v>141</v>
      </c>
      <c r="BZ35" s="43" t="s">
        <v>142</v>
      </c>
      <c r="CA35" s="43" t="s">
        <v>143</v>
      </c>
      <c r="CB35" s="43" t="s">
        <v>144</v>
      </c>
      <c r="CC35" s="56" t="s">
        <v>139</v>
      </c>
      <c r="CD35" s="40" t="s">
        <v>140</v>
      </c>
      <c r="CE35" s="43" t="s">
        <v>141</v>
      </c>
      <c r="CF35" s="43" t="s">
        <v>145</v>
      </c>
      <c r="CG35" s="43" t="s">
        <v>146</v>
      </c>
      <c r="CH35" s="43" t="s">
        <v>145</v>
      </c>
      <c r="CI35" s="57">
        <v>100</v>
      </c>
      <c r="CJ35" s="43" t="s">
        <v>147</v>
      </c>
      <c r="CK35" s="43" t="s">
        <v>148</v>
      </c>
      <c r="CL35" s="43" t="s">
        <v>97</v>
      </c>
      <c r="CM35" s="43" t="s">
        <v>159</v>
      </c>
      <c r="CN35" s="43" t="s">
        <v>150</v>
      </c>
      <c r="CO35" s="39" t="s">
        <v>160</v>
      </c>
      <c r="CP35" s="39" t="s">
        <v>161</v>
      </c>
      <c r="CQ35" s="39" t="s">
        <v>109</v>
      </c>
      <c r="CR35" s="53">
        <f t="shared" ref="CR35:CR37" si="8">TODAY()-1500</f>
        <v>44271</v>
      </c>
      <c r="CS35" s="39" t="s">
        <v>162</v>
      </c>
      <c r="CT35" s="59">
        <v>1234041</v>
      </c>
      <c r="CU35" s="59">
        <v>123456041</v>
      </c>
      <c r="CV35" s="35" t="s">
        <v>314</v>
      </c>
    </row>
    <row r="36" ht="14.5" customHeight="1" spans="1:100" x14ac:dyDescent="0.25">
      <c r="A36" s="35" t="s">
        <v>319</v>
      </c>
      <c r="B36" s="35" t="s">
        <v>320</v>
      </c>
      <c r="C36" s="35" t="s">
        <v>95</v>
      </c>
      <c r="D36" s="35" t="s">
        <v>293</v>
      </c>
      <c r="E36" s="38" t="s">
        <v>97</v>
      </c>
      <c r="F36" s="39" t="s">
        <v>321</v>
      </c>
      <c r="G36" s="39" t="s">
        <v>322</v>
      </c>
      <c r="H36" s="40" t="s">
        <v>100</v>
      </c>
      <c r="I36" s="40" t="s">
        <v>101</v>
      </c>
      <c r="J36" s="40" t="s">
        <v>102</v>
      </c>
      <c r="K36" s="41">
        <f t="shared" si="3"/>
        <v>45658</v>
      </c>
      <c r="L36" s="38" t="s">
        <v>97</v>
      </c>
      <c r="M36" s="40" t="s">
        <v>103</v>
      </c>
      <c r="N36" s="40" t="s">
        <v>104</v>
      </c>
      <c r="O36" s="42" t="s">
        <v>105</v>
      </c>
      <c r="P36" s="38" t="s">
        <v>106</v>
      </c>
      <c r="Q36" s="40" t="s">
        <v>107</v>
      </c>
      <c r="R36" s="40" t="s">
        <v>108</v>
      </c>
      <c r="S36" s="43" t="s">
        <v>109</v>
      </c>
      <c r="T36" s="43" t="s">
        <v>109</v>
      </c>
      <c r="U36" s="40" t="s">
        <v>102</v>
      </c>
      <c r="V36" s="44" t="s">
        <v>110</v>
      </c>
      <c r="W36" s="45" t="s">
        <v>111</v>
      </c>
      <c r="X36" s="40" t="s">
        <v>102</v>
      </c>
      <c r="Y36" s="46">
        <v>45658</v>
      </c>
      <c r="Z36" s="40" t="s">
        <v>112</v>
      </c>
      <c r="AA36" s="47" t="s">
        <v>323</v>
      </c>
      <c r="AB36" s="48" t="s">
        <v>240</v>
      </c>
      <c r="AC36" s="48" t="s">
        <v>324</v>
      </c>
      <c r="AD36" s="39" t="s">
        <v>298</v>
      </c>
      <c r="AE36" s="38">
        <v>970</v>
      </c>
      <c r="AF36" s="38" t="s">
        <v>57</v>
      </c>
      <c r="AG36" s="39">
        <v>40</v>
      </c>
      <c r="AH36" s="49" t="s">
        <v>117</v>
      </c>
      <c r="AI36" s="48" t="s">
        <v>118</v>
      </c>
      <c r="AJ36" s="46" t="s">
        <v>113</v>
      </c>
      <c r="AK36" s="41">
        <f t="shared" si="0"/>
        <v>45748</v>
      </c>
      <c r="AL36" s="40" t="s">
        <v>119</v>
      </c>
      <c r="AM36" s="39" t="s">
        <v>299</v>
      </c>
      <c r="AN36" s="39" t="s">
        <v>300</v>
      </c>
      <c r="AO36" s="40" t="s">
        <v>122</v>
      </c>
      <c r="AP36" s="50" t="s">
        <v>123</v>
      </c>
      <c r="AQ36" s="40" t="s">
        <v>124</v>
      </c>
      <c r="AR36" s="35" t="s">
        <v>124</v>
      </c>
      <c r="AS36" s="44" t="s">
        <v>113</v>
      </c>
      <c r="AT36" s="40" t="s">
        <v>125</v>
      </c>
      <c r="AU36" s="50" t="str">
        <f t="shared" si="6"/>
        <v>Permanent</v>
      </c>
      <c r="AV36" s="44" t="s">
        <v>127</v>
      </c>
      <c r="AW36" s="51">
        <f t="shared" si="5"/>
        <v>45657</v>
      </c>
      <c r="AX36" s="51">
        <f t="shared" si="1"/>
        <v>45657</v>
      </c>
      <c r="AY36" s="41">
        <f t="shared" si="2"/>
        <v>NaN</v>
      </c>
      <c r="AZ36" s="43" t="s">
        <v>97</v>
      </c>
      <c r="BA36" s="43" t="s">
        <v>128</v>
      </c>
      <c r="BB36" s="52" t="s">
        <v>325</v>
      </c>
      <c r="BC36" s="44" t="s">
        <v>130</v>
      </c>
      <c r="BD36" s="44" t="s">
        <v>131</v>
      </c>
      <c r="BE36" s="43" t="s">
        <v>97</v>
      </c>
      <c r="BF36" s="43" t="s">
        <v>132</v>
      </c>
      <c r="BG36" s="50">
        <v>5855200064</v>
      </c>
      <c r="BH36" s="44">
        <v>36526</v>
      </c>
      <c r="BI36" s="44">
        <v>51136</v>
      </c>
      <c r="BJ36" s="38" t="s">
        <v>133</v>
      </c>
      <c r="BK36" s="50" t="s">
        <v>134</v>
      </c>
      <c r="BL36" s="53">
        <v>32144</v>
      </c>
      <c r="BM36" s="54" t="s">
        <v>97</v>
      </c>
      <c r="BN36" s="43" t="s">
        <v>109</v>
      </c>
      <c r="BO36" s="38" t="s">
        <v>135</v>
      </c>
      <c r="BP36" s="55" t="s">
        <v>113</v>
      </c>
      <c r="BQ36" s="43" t="s">
        <v>136</v>
      </c>
      <c r="BR36" s="43" t="s">
        <v>97</v>
      </c>
      <c r="BS36" s="39" t="s">
        <v>124</v>
      </c>
      <c r="BT36" s="39" t="s">
        <v>113</v>
      </c>
      <c r="BU36" s="38" t="s">
        <v>137</v>
      </c>
      <c r="BV36" s="38" t="s">
        <v>138</v>
      </c>
      <c r="BW36" s="43" t="s">
        <v>139</v>
      </c>
      <c r="BX36" s="56" t="s">
        <v>140</v>
      </c>
      <c r="BY36" s="43" t="s">
        <v>141</v>
      </c>
      <c r="BZ36" s="43" t="s">
        <v>142</v>
      </c>
      <c r="CA36" s="43" t="s">
        <v>143</v>
      </c>
      <c r="CB36" s="43" t="s">
        <v>144</v>
      </c>
      <c r="CC36" s="56" t="s">
        <v>139</v>
      </c>
      <c r="CD36" s="40" t="s">
        <v>140</v>
      </c>
      <c r="CE36" s="43" t="s">
        <v>141</v>
      </c>
      <c r="CF36" s="43" t="s">
        <v>145</v>
      </c>
      <c r="CG36" s="43" t="s">
        <v>146</v>
      </c>
      <c r="CH36" s="43" t="s">
        <v>145</v>
      </c>
      <c r="CI36" s="57">
        <v>100</v>
      </c>
      <c r="CJ36" s="43" t="s">
        <v>147</v>
      </c>
      <c r="CK36" s="43" t="s">
        <v>148</v>
      </c>
      <c r="CL36" s="43" t="s">
        <v>97</v>
      </c>
      <c r="CM36" s="43" t="s">
        <v>149</v>
      </c>
      <c r="CN36" s="43" t="s">
        <v>150</v>
      </c>
      <c r="CO36" s="39" t="s">
        <v>113</v>
      </c>
      <c r="CP36" s="39" t="s">
        <v>113</v>
      </c>
      <c r="CQ36" s="39" t="s">
        <v>113</v>
      </c>
      <c r="CR36" s="39" t="s">
        <v>113</v>
      </c>
      <c r="CS36" s="39" t="s">
        <v>113</v>
      </c>
      <c r="CT36" s="39" t="s">
        <v>113</v>
      </c>
      <c r="CU36" s="39" t="s">
        <v>113</v>
      </c>
      <c r="CV36" s="35" t="s">
        <v>319</v>
      </c>
    </row>
    <row r="37" ht="14.5" customHeight="1" spans="1:100" x14ac:dyDescent="0.25">
      <c r="A37" s="35" t="s">
        <v>326</v>
      </c>
      <c r="B37" s="35" t="s">
        <v>327</v>
      </c>
      <c r="C37" s="35" t="s">
        <v>95</v>
      </c>
      <c r="D37" s="35" t="s">
        <v>293</v>
      </c>
      <c r="E37" s="38" t="s">
        <v>97</v>
      </c>
      <c r="F37" s="39" t="s">
        <v>328</v>
      </c>
      <c r="G37" s="39" t="s">
        <v>329</v>
      </c>
      <c r="H37" s="40" t="s">
        <v>100</v>
      </c>
      <c r="I37" s="40" t="s">
        <v>101</v>
      </c>
      <c r="J37" s="40" t="s">
        <v>102</v>
      </c>
      <c r="K37" s="41">
        <f t="shared" si="3"/>
        <v>45658</v>
      </c>
      <c r="L37" s="38" t="s">
        <v>97</v>
      </c>
      <c r="M37" s="40" t="s">
        <v>103</v>
      </c>
      <c r="N37" s="40" t="s">
        <v>154</v>
      </c>
      <c r="O37" s="42" t="s">
        <v>105</v>
      </c>
      <c r="P37" s="38" t="s">
        <v>155</v>
      </c>
      <c r="Q37" s="40" t="s">
        <v>107</v>
      </c>
      <c r="R37" s="40" t="s">
        <v>108</v>
      </c>
      <c r="S37" s="43" t="s">
        <v>109</v>
      </c>
      <c r="T37" s="43" t="s">
        <v>109</v>
      </c>
      <c r="U37" s="40" t="s">
        <v>102</v>
      </c>
      <c r="V37" s="44" t="s">
        <v>110</v>
      </c>
      <c r="W37" s="45" t="s">
        <v>111</v>
      </c>
      <c r="X37" s="40" t="s">
        <v>102</v>
      </c>
      <c r="Y37" s="46">
        <v>45658</v>
      </c>
      <c r="Z37" s="40" t="s">
        <v>112</v>
      </c>
      <c r="AA37" s="47" t="s">
        <v>330</v>
      </c>
      <c r="AB37" s="48" t="s">
        <v>240</v>
      </c>
      <c r="AC37" s="48" t="s">
        <v>324</v>
      </c>
      <c r="AD37" s="39" t="s">
        <v>298</v>
      </c>
      <c r="AE37" s="38">
        <v>970</v>
      </c>
      <c r="AF37" s="38" t="s">
        <v>57</v>
      </c>
      <c r="AG37" s="39">
        <v>40</v>
      </c>
      <c r="AH37" s="49" t="s">
        <v>170</v>
      </c>
      <c r="AI37" s="48" t="s">
        <v>118</v>
      </c>
      <c r="AJ37" s="46" t="s">
        <v>113</v>
      </c>
      <c r="AK37" s="41">
        <f t="shared" si="0"/>
        <v>45748</v>
      </c>
      <c r="AL37" s="40" t="s">
        <v>119</v>
      </c>
      <c r="AM37" s="39" t="s">
        <v>299</v>
      </c>
      <c r="AN37" s="39" t="s">
        <v>300</v>
      </c>
      <c r="AO37" s="40" t="s">
        <v>122</v>
      </c>
      <c r="AP37" s="50" t="s">
        <v>123</v>
      </c>
      <c r="AQ37" s="40" t="s">
        <v>124</v>
      </c>
      <c r="AR37" s="35" t="s">
        <v>124</v>
      </c>
      <c r="AS37" s="44" t="s">
        <v>113</v>
      </c>
      <c r="AT37" s="40" t="s">
        <v>125</v>
      </c>
      <c r="AU37" s="50" t="str">
        <f t="shared" si="6"/>
        <v>Permanent</v>
      </c>
      <c r="AV37" s="44" t="s">
        <v>127</v>
      </c>
      <c r="AW37" s="51">
        <f t="shared" si="5"/>
        <v>45657</v>
      </c>
      <c r="AX37" s="51">
        <f t="shared" si="1"/>
        <v>45657</v>
      </c>
      <c r="AY37" s="41">
        <f t="shared" si="2"/>
        <v>NaN</v>
      </c>
      <c r="AZ37" s="43" t="s">
        <v>97</v>
      </c>
      <c r="BA37" s="43" t="s">
        <v>128</v>
      </c>
      <c r="BB37" s="52" t="s">
        <v>331</v>
      </c>
      <c r="BC37" s="44">
        <v>36526</v>
      </c>
      <c r="BD37" s="44">
        <v>51136</v>
      </c>
      <c r="BE37" s="43" t="s">
        <v>97</v>
      </c>
      <c r="BF37" s="43" t="s">
        <v>132</v>
      </c>
      <c r="BG37" s="50">
        <v>5855200065</v>
      </c>
      <c r="BH37" s="44">
        <v>36526</v>
      </c>
      <c r="BI37" s="44">
        <v>51136</v>
      </c>
      <c r="BJ37" s="38" t="s">
        <v>133</v>
      </c>
      <c r="BK37" s="50" t="s">
        <v>157</v>
      </c>
      <c r="BL37" s="53">
        <v>29953</v>
      </c>
      <c r="BM37" s="54" t="s">
        <v>97</v>
      </c>
      <c r="BN37" s="43" t="s">
        <v>109</v>
      </c>
      <c r="BO37" s="38" t="s">
        <v>135</v>
      </c>
      <c r="BP37" s="55" t="s">
        <v>113</v>
      </c>
      <c r="BQ37" s="43" t="s">
        <v>136</v>
      </c>
      <c r="BR37" s="43" t="s">
        <v>97</v>
      </c>
      <c r="BS37" s="39" t="s">
        <v>123</v>
      </c>
      <c r="BT37" s="39">
        <v>10</v>
      </c>
      <c r="BU37" s="38" t="s">
        <v>137</v>
      </c>
      <c r="BV37" s="38" t="s">
        <v>138</v>
      </c>
      <c r="BW37" s="43" t="s">
        <v>139</v>
      </c>
      <c r="BX37" s="56" t="s">
        <v>158</v>
      </c>
      <c r="BY37" s="43" t="s">
        <v>141</v>
      </c>
      <c r="BZ37" s="43" t="s">
        <v>142</v>
      </c>
      <c r="CA37" s="43" t="s">
        <v>143</v>
      </c>
      <c r="CB37" s="43" t="s">
        <v>144</v>
      </c>
      <c r="CC37" s="56" t="s">
        <v>139</v>
      </c>
      <c r="CD37" s="40" t="s">
        <v>140</v>
      </c>
      <c r="CE37" s="43" t="s">
        <v>141</v>
      </c>
      <c r="CF37" s="43" t="s">
        <v>145</v>
      </c>
      <c r="CG37" s="43" t="s">
        <v>146</v>
      </c>
      <c r="CH37" s="43" t="s">
        <v>145</v>
      </c>
      <c r="CI37" s="57">
        <v>100</v>
      </c>
      <c r="CJ37" s="43" t="s">
        <v>147</v>
      </c>
      <c r="CK37" s="43" t="s">
        <v>148</v>
      </c>
      <c r="CL37" s="43" t="s">
        <v>97</v>
      </c>
      <c r="CM37" s="43" t="s">
        <v>159</v>
      </c>
      <c r="CN37" s="43" t="s">
        <v>150</v>
      </c>
      <c r="CO37" s="39" t="s">
        <v>160</v>
      </c>
      <c r="CP37" s="39" t="s">
        <v>161</v>
      </c>
      <c r="CQ37" s="39" t="s">
        <v>109</v>
      </c>
      <c r="CR37" s="53">
        <f t="shared" si="8"/>
        <v>44271</v>
      </c>
      <c r="CS37" s="39" t="s">
        <v>162</v>
      </c>
      <c r="CT37" s="59">
        <v>1234033</v>
      </c>
      <c r="CU37" s="59">
        <v>123456026</v>
      </c>
      <c r="CV37" s="35" t="s">
        <v>326</v>
      </c>
    </row>
    <row r="38" ht="14.5" customHeight="1" spans="1:100" x14ac:dyDescent="0.25">
      <c r="A38" s="35" t="s">
        <v>332</v>
      </c>
      <c r="B38" s="35" t="s">
        <v>333</v>
      </c>
      <c r="C38" s="35" t="s">
        <v>224</v>
      </c>
      <c r="D38" s="35" t="s">
        <v>293</v>
      </c>
      <c r="E38" s="38" t="s">
        <v>97</v>
      </c>
      <c r="F38" s="39" t="s">
        <v>334</v>
      </c>
      <c r="G38" s="39" t="s">
        <v>322</v>
      </c>
      <c r="H38" s="40" t="s">
        <v>100</v>
      </c>
      <c r="I38" s="40" t="s">
        <v>101</v>
      </c>
      <c r="J38" s="40" t="s">
        <v>102</v>
      </c>
      <c r="K38" s="41">
        <f t="shared" si="3"/>
        <v>45658</v>
      </c>
      <c r="L38" s="38" t="s">
        <v>97</v>
      </c>
      <c r="M38" s="40" t="s">
        <v>103</v>
      </c>
      <c r="N38" s="40" t="s">
        <v>104</v>
      </c>
      <c r="O38" s="42" t="s">
        <v>105</v>
      </c>
      <c r="P38" s="38" t="s">
        <v>106</v>
      </c>
      <c r="Q38" s="40" t="s">
        <v>107</v>
      </c>
      <c r="R38" s="40" t="s">
        <v>108</v>
      </c>
      <c r="S38" s="43" t="s">
        <v>109</v>
      </c>
      <c r="T38" s="43" t="s">
        <v>109</v>
      </c>
      <c r="U38" s="40" t="s">
        <v>102</v>
      </c>
      <c r="V38" s="44" t="s">
        <v>110</v>
      </c>
      <c r="W38" s="45" t="s">
        <v>111</v>
      </c>
      <c r="X38" s="40" t="s">
        <v>102</v>
      </c>
      <c r="Y38" s="46">
        <v>45658</v>
      </c>
      <c r="Z38" s="40" t="s">
        <v>112</v>
      </c>
      <c r="AA38" s="47" t="s">
        <v>335</v>
      </c>
      <c r="AB38" s="48" t="s">
        <v>240</v>
      </c>
      <c r="AC38" s="48" t="s">
        <v>336</v>
      </c>
      <c r="AD38" s="39" t="s">
        <v>298</v>
      </c>
      <c r="AE38" s="38">
        <v>970</v>
      </c>
      <c r="AF38" s="38" t="s">
        <v>57</v>
      </c>
      <c r="AG38" s="39">
        <v>40</v>
      </c>
      <c r="AH38" s="49" t="s">
        <v>117</v>
      </c>
      <c r="AI38" s="48" t="s">
        <v>118</v>
      </c>
      <c r="AJ38" s="46" t="s">
        <v>113</v>
      </c>
      <c r="AK38" s="41">
        <f t="shared" si="0"/>
        <v>45748</v>
      </c>
      <c r="AL38" s="40" t="s">
        <v>119</v>
      </c>
      <c r="AM38" s="39" t="s">
        <v>299</v>
      </c>
      <c r="AN38" s="39" t="s">
        <v>300</v>
      </c>
      <c r="AO38" s="40" t="s">
        <v>122</v>
      </c>
      <c r="AP38" s="50" t="s">
        <v>123</v>
      </c>
      <c r="AQ38" s="40" t="s">
        <v>124</v>
      </c>
      <c r="AR38" s="35" t="s">
        <v>124</v>
      </c>
      <c r="AS38" s="44" t="s">
        <v>113</v>
      </c>
      <c r="AT38" s="40" t="s">
        <v>125</v>
      </c>
      <c r="AU38" s="50" t="str">
        <f t="shared" si="6"/>
        <v>Permanent</v>
      </c>
      <c r="AV38" s="44" t="s">
        <v>127</v>
      </c>
      <c r="AW38" s="51">
        <f t="shared" si="5"/>
        <v>45657</v>
      </c>
      <c r="AX38" s="51">
        <f t="shared" si="1"/>
        <v>45657</v>
      </c>
      <c r="AY38" s="41">
        <f t="shared" si="2"/>
        <v>NaN</v>
      </c>
      <c r="AZ38" s="43" t="s">
        <v>97</v>
      </c>
      <c r="BA38" s="43" t="s">
        <v>128</v>
      </c>
      <c r="BB38" s="52" t="s">
        <v>337</v>
      </c>
      <c r="BC38" s="44" t="s">
        <v>130</v>
      </c>
      <c r="BD38" s="44" t="s">
        <v>131</v>
      </c>
      <c r="BE38" s="43" t="s">
        <v>97</v>
      </c>
      <c r="BF38" s="43" t="s">
        <v>132</v>
      </c>
      <c r="BG38" s="50">
        <v>5855200066</v>
      </c>
      <c r="BH38" s="44">
        <v>36526</v>
      </c>
      <c r="BI38" s="44">
        <v>51136</v>
      </c>
      <c r="BJ38" s="38" t="s">
        <v>133</v>
      </c>
      <c r="BK38" s="50" t="s">
        <v>134</v>
      </c>
      <c r="BL38" s="53">
        <v>32144</v>
      </c>
      <c r="BM38" s="54" t="s">
        <v>97</v>
      </c>
      <c r="BN38" s="43" t="s">
        <v>109</v>
      </c>
      <c r="BO38" s="38" t="s">
        <v>135</v>
      </c>
      <c r="BP38" s="55" t="s">
        <v>113</v>
      </c>
      <c r="BQ38" s="43" t="s">
        <v>136</v>
      </c>
      <c r="BR38" s="43" t="s">
        <v>97</v>
      </c>
      <c r="BS38" s="49" t="s">
        <v>124</v>
      </c>
      <c r="BT38" s="49" t="s">
        <v>113</v>
      </c>
      <c r="BU38" s="38" t="s">
        <v>137</v>
      </c>
      <c r="BV38" s="38" t="s">
        <v>138</v>
      </c>
      <c r="BW38" s="43" t="s">
        <v>139</v>
      </c>
      <c r="BX38" s="56" t="s">
        <v>140</v>
      </c>
      <c r="BY38" s="43" t="s">
        <v>141</v>
      </c>
      <c r="BZ38" s="43" t="s">
        <v>142</v>
      </c>
      <c r="CA38" s="43" t="s">
        <v>143</v>
      </c>
      <c r="CB38" s="43" t="s">
        <v>144</v>
      </c>
      <c r="CC38" s="56" t="s">
        <v>139</v>
      </c>
      <c r="CD38" s="40" t="s">
        <v>140</v>
      </c>
      <c r="CE38" s="43" t="s">
        <v>141</v>
      </c>
      <c r="CF38" s="43" t="s">
        <v>145</v>
      </c>
      <c r="CG38" s="43" t="s">
        <v>146</v>
      </c>
      <c r="CH38" s="43" t="s">
        <v>145</v>
      </c>
      <c r="CI38" s="57">
        <v>100</v>
      </c>
      <c r="CJ38" s="43" t="s">
        <v>147</v>
      </c>
      <c r="CK38" s="43" t="s">
        <v>148</v>
      </c>
      <c r="CL38" s="43" t="s">
        <v>97</v>
      </c>
      <c r="CM38" s="43" t="s">
        <v>149</v>
      </c>
      <c r="CN38" s="43" t="s">
        <v>150</v>
      </c>
      <c r="CO38" s="49" t="s">
        <v>113</v>
      </c>
      <c r="CP38" s="49" t="s">
        <v>113</v>
      </c>
      <c r="CQ38" s="58" t="s">
        <v>113</v>
      </c>
      <c r="CR38" s="53" t="s">
        <v>113</v>
      </c>
      <c r="CS38" s="49" t="s">
        <v>113</v>
      </c>
      <c r="CT38" s="59" t="s">
        <v>113</v>
      </c>
      <c r="CU38" s="59" t="s">
        <v>113</v>
      </c>
      <c r="CV38" s="35" t="s">
        <v>332</v>
      </c>
    </row>
    <row r="39" ht="14.5" customHeight="1" spans="1:100" x14ac:dyDescent="0.25">
      <c r="A39" s="35" t="s">
        <v>338</v>
      </c>
      <c r="B39" s="35" t="s">
        <v>339</v>
      </c>
      <c r="C39" s="35" t="s">
        <v>95</v>
      </c>
      <c r="D39" s="35" t="s">
        <v>293</v>
      </c>
      <c r="E39" s="38" t="s">
        <v>97</v>
      </c>
      <c r="F39" s="39" t="s">
        <v>340</v>
      </c>
      <c r="G39" s="39" t="s">
        <v>322</v>
      </c>
      <c r="H39" s="40" t="s">
        <v>100</v>
      </c>
      <c r="I39" s="40" t="s">
        <v>101</v>
      </c>
      <c r="J39" s="40" t="s">
        <v>102</v>
      </c>
      <c r="K39" s="41">
        <f t="shared" si="3"/>
        <v>45658</v>
      </c>
      <c r="L39" s="38" t="s">
        <v>97</v>
      </c>
      <c r="M39" s="40" t="s">
        <v>103</v>
      </c>
      <c r="N39" s="40" t="s">
        <v>154</v>
      </c>
      <c r="O39" s="42" t="s">
        <v>105</v>
      </c>
      <c r="P39" s="38" t="s">
        <v>155</v>
      </c>
      <c r="Q39" s="40" t="s">
        <v>107</v>
      </c>
      <c r="R39" s="40" t="s">
        <v>108</v>
      </c>
      <c r="S39" s="43" t="s">
        <v>109</v>
      </c>
      <c r="T39" s="43" t="s">
        <v>109</v>
      </c>
      <c r="U39" s="40" t="s">
        <v>102</v>
      </c>
      <c r="V39" s="44" t="s">
        <v>110</v>
      </c>
      <c r="W39" s="45" t="s">
        <v>111</v>
      </c>
      <c r="X39" s="40" t="s">
        <v>102</v>
      </c>
      <c r="Y39" s="46">
        <v>45658</v>
      </c>
      <c r="Z39" s="40" t="s">
        <v>112</v>
      </c>
      <c r="AA39" s="47" t="s">
        <v>341</v>
      </c>
      <c r="AB39" s="48" t="s">
        <v>240</v>
      </c>
      <c r="AC39" s="48" t="s">
        <v>336</v>
      </c>
      <c r="AD39" s="39" t="s">
        <v>298</v>
      </c>
      <c r="AE39" s="38">
        <v>970</v>
      </c>
      <c r="AF39" s="38" t="s">
        <v>57</v>
      </c>
      <c r="AG39" s="39">
        <v>40</v>
      </c>
      <c r="AH39" s="49" t="s">
        <v>170</v>
      </c>
      <c r="AI39" s="48" t="s">
        <v>118</v>
      </c>
      <c r="AJ39" s="46" t="s">
        <v>113</v>
      </c>
      <c r="AK39" s="41">
        <f t="shared" si="0"/>
        <v>45748</v>
      </c>
      <c r="AL39" s="40" t="s">
        <v>119</v>
      </c>
      <c r="AM39" s="39" t="s">
        <v>299</v>
      </c>
      <c r="AN39" s="39" t="s">
        <v>300</v>
      </c>
      <c r="AO39" s="40" t="s">
        <v>122</v>
      </c>
      <c r="AP39" s="50" t="s">
        <v>123</v>
      </c>
      <c r="AQ39" s="40" t="s">
        <v>124</v>
      </c>
      <c r="AR39" s="35" t="s">
        <v>124</v>
      </c>
      <c r="AS39" s="44" t="s">
        <v>113</v>
      </c>
      <c r="AT39" s="40" t="s">
        <v>125</v>
      </c>
      <c r="AU39" s="50" t="str">
        <f t="shared" si="6"/>
        <v>Permanent</v>
      </c>
      <c r="AV39" s="44" t="s">
        <v>127</v>
      </c>
      <c r="AW39" s="51">
        <f t="shared" si="5"/>
        <v>45657</v>
      </c>
      <c r="AX39" s="51">
        <f t="shared" si="1"/>
        <v>45657</v>
      </c>
      <c r="AY39" s="41">
        <f t="shared" si="2"/>
        <v>NaN</v>
      </c>
      <c r="AZ39" s="43" t="s">
        <v>97</v>
      </c>
      <c r="BA39" s="43" t="s">
        <v>128</v>
      </c>
      <c r="BB39" s="52" t="s">
        <v>342</v>
      </c>
      <c r="BC39" s="44">
        <v>36526</v>
      </c>
      <c r="BD39" s="44">
        <v>51136</v>
      </c>
      <c r="BE39" s="43" t="s">
        <v>97</v>
      </c>
      <c r="BF39" s="43" t="s">
        <v>132</v>
      </c>
      <c r="BG39" s="50">
        <v>5855200067</v>
      </c>
      <c r="BH39" s="44">
        <v>36526</v>
      </c>
      <c r="BI39" s="44">
        <v>51136</v>
      </c>
      <c r="BJ39" s="38" t="s">
        <v>133</v>
      </c>
      <c r="BK39" s="50" t="s">
        <v>157</v>
      </c>
      <c r="BL39" s="53">
        <v>32144</v>
      </c>
      <c r="BM39" s="54" t="s">
        <v>97</v>
      </c>
      <c r="BN39" s="43" t="s">
        <v>109</v>
      </c>
      <c r="BO39" s="38" t="s">
        <v>135</v>
      </c>
      <c r="BP39" s="55" t="s">
        <v>113</v>
      </c>
      <c r="BQ39" s="43" t="s">
        <v>136</v>
      </c>
      <c r="BR39" s="43" t="s">
        <v>97</v>
      </c>
      <c r="BS39" s="49" t="s">
        <v>124</v>
      </c>
      <c r="BT39" s="49" t="s">
        <v>113</v>
      </c>
      <c r="BU39" s="38" t="s">
        <v>137</v>
      </c>
      <c r="BV39" s="38" t="s">
        <v>138</v>
      </c>
      <c r="BW39" s="43" t="s">
        <v>139</v>
      </c>
      <c r="BX39" s="56" t="s">
        <v>158</v>
      </c>
      <c r="BY39" s="43" t="s">
        <v>141</v>
      </c>
      <c r="BZ39" s="43" t="s">
        <v>142</v>
      </c>
      <c r="CA39" s="43" t="s">
        <v>143</v>
      </c>
      <c r="CB39" s="43" t="s">
        <v>144</v>
      </c>
      <c r="CC39" s="56" t="s">
        <v>139</v>
      </c>
      <c r="CD39" s="40" t="s">
        <v>140</v>
      </c>
      <c r="CE39" s="43" t="s">
        <v>141</v>
      </c>
      <c r="CF39" s="43" t="s">
        <v>145</v>
      </c>
      <c r="CG39" s="43" t="s">
        <v>146</v>
      </c>
      <c r="CH39" s="43" t="s">
        <v>145</v>
      </c>
      <c r="CI39" s="57">
        <v>100</v>
      </c>
      <c r="CJ39" s="43" t="s">
        <v>147</v>
      </c>
      <c r="CK39" s="43" t="s">
        <v>148</v>
      </c>
      <c r="CL39" s="43" t="s">
        <v>97</v>
      </c>
      <c r="CM39" s="43" t="s">
        <v>159</v>
      </c>
      <c r="CN39" s="43" t="s">
        <v>150</v>
      </c>
      <c r="CO39" s="49" t="s">
        <v>160</v>
      </c>
      <c r="CP39" s="49" t="s">
        <v>161</v>
      </c>
      <c r="CQ39" s="58" t="s">
        <v>109</v>
      </c>
      <c r="CR39" s="53">
        <f t="shared" ref="CR39" si="9">TODAY()-1500</f>
        <v>44271</v>
      </c>
      <c r="CS39" s="49" t="s">
        <v>162</v>
      </c>
      <c r="CT39" s="59">
        <v>1234034</v>
      </c>
      <c r="CU39" s="59">
        <v>123456027</v>
      </c>
      <c r="CV39" s="35" t="s">
        <v>338</v>
      </c>
    </row>
    <row r="40" ht="14.5" customHeight="1" spans="1:100" x14ac:dyDescent="0.25">
      <c r="A40" s="35" t="s">
        <v>343</v>
      </c>
      <c r="B40" s="35" t="s">
        <v>344</v>
      </c>
      <c r="C40" s="35" t="s">
        <v>95</v>
      </c>
      <c r="D40" s="35" t="s">
        <v>293</v>
      </c>
      <c r="E40" s="38" t="s">
        <v>97</v>
      </c>
      <c r="F40" s="39" t="s">
        <v>345</v>
      </c>
      <c r="G40" s="39" t="s">
        <v>346</v>
      </c>
      <c r="H40" s="40" t="s">
        <v>100</v>
      </c>
      <c r="I40" s="40" t="s">
        <v>101</v>
      </c>
      <c r="J40" s="40" t="s">
        <v>102</v>
      </c>
      <c r="K40" s="41">
        <f t="shared" si="3"/>
        <v>45658</v>
      </c>
      <c r="L40" s="38" t="s">
        <v>97</v>
      </c>
      <c r="M40" s="40" t="s">
        <v>103</v>
      </c>
      <c r="N40" s="40" t="s">
        <v>104</v>
      </c>
      <c r="O40" s="42" t="s">
        <v>105</v>
      </c>
      <c r="P40" s="38" t="s">
        <v>106</v>
      </c>
      <c r="Q40" s="40" t="s">
        <v>107</v>
      </c>
      <c r="R40" s="40" t="s">
        <v>108</v>
      </c>
      <c r="S40" s="43" t="s">
        <v>109</v>
      </c>
      <c r="T40" s="43" t="s">
        <v>109</v>
      </c>
      <c r="U40" s="40" t="s">
        <v>102</v>
      </c>
      <c r="V40" s="44" t="s">
        <v>110</v>
      </c>
      <c r="W40" s="45" t="s">
        <v>111</v>
      </c>
      <c r="X40" s="40" t="s">
        <v>102</v>
      </c>
      <c r="Y40" s="46">
        <v>45658</v>
      </c>
      <c r="Z40" s="40" t="s">
        <v>112</v>
      </c>
      <c r="AA40" s="47" t="s">
        <v>347</v>
      </c>
      <c r="AB40" s="48" t="s">
        <v>240</v>
      </c>
      <c r="AC40" s="48" t="s">
        <v>348</v>
      </c>
      <c r="AD40" s="39" t="s">
        <v>298</v>
      </c>
      <c r="AE40" s="38">
        <v>970</v>
      </c>
      <c r="AF40" s="38" t="s">
        <v>57</v>
      </c>
      <c r="AG40" s="39">
        <v>40</v>
      </c>
      <c r="AH40" s="49" t="s">
        <v>117</v>
      </c>
      <c r="AI40" s="48" t="s">
        <v>118</v>
      </c>
      <c r="AJ40" s="46" t="s">
        <v>113</v>
      </c>
      <c r="AK40" s="41">
        <f t="shared" si="0"/>
        <v>45748</v>
      </c>
      <c r="AL40" s="40" t="s">
        <v>119</v>
      </c>
      <c r="AM40" s="39" t="s">
        <v>299</v>
      </c>
      <c r="AN40" s="39" t="s">
        <v>300</v>
      </c>
      <c r="AO40" s="40" t="s">
        <v>122</v>
      </c>
      <c r="AP40" s="50" t="s">
        <v>123</v>
      </c>
      <c r="AQ40" s="40" t="s">
        <v>124</v>
      </c>
      <c r="AR40" s="35" t="s">
        <v>124</v>
      </c>
      <c r="AS40" s="44" t="s">
        <v>113</v>
      </c>
      <c r="AT40" s="40" t="s">
        <v>125</v>
      </c>
      <c r="AU40" s="50" t="str">
        <f t="shared" si="6"/>
        <v>Permanent</v>
      </c>
      <c r="AV40" s="44" t="s">
        <v>127</v>
      </c>
      <c r="AW40" s="51">
        <f t="shared" si="5"/>
        <v>45657</v>
      </c>
      <c r="AX40" s="51">
        <f t="shared" si="1"/>
        <v>45657</v>
      </c>
      <c r="AY40" s="41">
        <f t="shared" si="2"/>
        <v>NaN</v>
      </c>
      <c r="AZ40" s="43" t="s">
        <v>97</v>
      </c>
      <c r="BA40" s="43" t="s">
        <v>128</v>
      </c>
      <c r="BB40" s="52" t="s">
        <v>349</v>
      </c>
      <c r="BC40" s="44" t="s">
        <v>130</v>
      </c>
      <c r="BD40" s="44" t="s">
        <v>131</v>
      </c>
      <c r="BE40" s="43" t="s">
        <v>97</v>
      </c>
      <c r="BF40" s="43" t="s">
        <v>132</v>
      </c>
      <c r="BG40" s="50">
        <v>5855200068</v>
      </c>
      <c r="BH40" s="44">
        <v>36526</v>
      </c>
      <c r="BI40" s="44">
        <v>51136</v>
      </c>
      <c r="BJ40" s="38" t="s">
        <v>133</v>
      </c>
      <c r="BK40" s="50" t="s">
        <v>134</v>
      </c>
      <c r="BL40" s="53">
        <v>32144</v>
      </c>
      <c r="BM40" s="54" t="s">
        <v>97</v>
      </c>
      <c r="BN40" s="43" t="s">
        <v>109</v>
      </c>
      <c r="BO40" s="38" t="s">
        <v>135</v>
      </c>
      <c r="BP40" s="55" t="s">
        <v>113</v>
      </c>
      <c r="BQ40" s="43" t="s">
        <v>136</v>
      </c>
      <c r="BR40" s="43" t="s">
        <v>97</v>
      </c>
      <c r="BS40" s="39" t="s">
        <v>123</v>
      </c>
      <c r="BT40" s="39">
        <v>20</v>
      </c>
      <c r="BU40" s="38" t="s">
        <v>137</v>
      </c>
      <c r="BV40" s="38" t="s">
        <v>138</v>
      </c>
      <c r="BW40" s="43" t="s">
        <v>139</v>
      </c>
      <c r="BX40" s="56" t="s">
        <v>140</v>
      </c>
      <c r="BY40" s="43" t="s">
        <v>141</v>
      </c>
      <c r="BZ40" s="43" t="s">
        <v>142</v>
      </c>
      <c r="CA40" s="43" t="s">
        <v>143</v>
      </c>
      <c r="CB40" s="43" t="s">
        <v>144</v>
      </c>
      <c r="CC40" s="56" t="s">
        <v>139</v>
      </c>
      <c r="CD40" s="40" t="s">
        <v>140</v>
      </c>
      <c r="CE40" s="43" t="s">
        <v>141</v>
      </c>
      <c r="CF40" s="43" t="s">
        <v>145</v>
      </c>
      <c r="CG40" s="43" t="s">
        <v>146</v>
      </c>
      <c r="CH40" s="43" t="s">
        <v>145</v>
      </c>
      <c r="CI40" s="57">
        <v>100</v>
      </c>
      <c r="CJ40" s="43" t="s">
        <v>147</v>
      </c>
      <c r="CK40" s="43" t="s">
        <v>148</v>
      </c>
      <c r="CL40" s="43" t="s">
        <v>97</v>
      </c>
      <c r="CM40" s="43" t="s">
        <v>149</v>
      </c>
      <c r="CN40" s="43" t="s">
        <v>150</v>
      </c>
      <c r="CO40" s="39" t="s">
        <v>113</v>
      </c>
      <c r="CP40" s="39" t="s">
        <v>113</v>
      </c>
      <c r="CQ40" s="39" t="s">
        <v>113</v>
      </c>
      <c r="CR40" s="39" t="s">
        <v>113</v>
      </c>
      <c r="CS40" s="39" t="s">
        <v>113</v>
      </c>
      <c r="CT40" s="39" t="s">
        <v>113</v>
      </c>
      <c r="CU40" s="39" t="s">
        <v>113</v>
      </c>
      <c r="CV40" s="35" t="s">
        <v>343</v>
      </c>
    </row>
    <row r="41" ht="14.5" customHeight="1" spans="1:100" x14ac:dyDescent="0.25">
      <c r="A41" s="35" t="s">
        <v>350</v>
      </c>
      <c r="B41" s="35" t="s">
        <v>351</v>
      </c>
      <c r="C41" s="35" t="s">
        <v>224</v>
      </c>
      <c r="D41" s="35" t="s">
        <v>293</v>
      </c>
      <c r="E41" s="38" t="s">
        <v>97</v>
      </c>
      <c r="F41" s="39" t="s">
        <v>352</v>
      </c>
      <c r="G41" s="39" t="s">
        <v>353</v>
      </c>
      <c r="H41" s="40" t="s">
        <v>100</v>
      </c>
      <c r="I41" s="40" t="s">
        <v>101</v>
      </c>
      <c r="J41" s="40" t="s">
        <v>102</v>
      </c>
      <c r="K41" s="41">
        <f t="shared" si="3"/>
        <v>45658</v>
      </c>
      <c r="L41" s="38" t="s">
        <v>97</v>
      </c>
      <c r="M41" s="40" t="s">
        <v>103</v>
      </c>
      <c r="N41" s="40" t="s">
        <v>154</v>
      </c>
      <c r="O41" s="42" t="s">
        <v>105</v>
      </c>
      <c r="P41" s="38" t="s">
        <v>155</v>
      </c>
      <c r="Q41" s="40" t="s">
        <v>107</v>
      </c>
      <c r="R41" s="40" t="s">
        <v>108</v>
      </c>
      <c r="S41" s="43" t="s">
        <v>109</v>
      </c>
      <c r="T41" s="43" t="s">
        <v>109</v>
      </c>
      <c r="U41" s="40" t="s">
        <v>102</v>
      </c>
      <c r="V41" s="44" t="s">
        <v>110</v>
      </c>
      <c r="W41" s="45" t="s">
        <v>111</v>
      </c>
      <c r="X41" s="40" t="s">
        <v>102</v>
      </c>
      <c r="Y41" s="46">
        <v>45658</v>
      </c>
      <c r="Z41" s="40" t="s">
        <v>112</v>
      </c>
      <c r="AA41" s="47" t="s">
        <v>354</v>
      </c>
      <c r="AB41" s="48" t="s">
        <v>240</v>
      </c>
      <c r="AC41" s="48" t="s">
        <v>348</v>
      </c>
      <c r="AD41" s="39" t="s">
        <v>298</v>
      </c>
      <c r="AE41" s="38">
        <v>970</v>
      </c>
      <c r="AF41" s="38" t="s">
        <v>57</v>
      </c>
      <c r="AG41" s="39">
        <v>40</v>
      </c>
      <c r="AH41" s="49" t="s">
        <v>170</v>
      </c>
      <c r="AI41" s="48" t="s">
        <v>118</v>
      </c>
      <c r="AJ41" s="46" t="s">
        <v>113</v>
      </c>
      <c r="AK41" s="41">
        <f t="shared" si="0"/>
        <v>45748</v>
      </c>
      <c r="AL41" s="40" t="s">
        <v>119</v>
      </c>
      <c r="AM41" s="39" t="s">
        <v>299</v>
      </c>
      <c r="AN41" s="39" t="s">
        <v>300</v>
      </c>
      <c r="AO41" s="40" t="s">
        <v>122</v>
      </c>
      <c r="AP41" s="50" t="s">
        <v>123</v>
      </c>
      <c r="AQ41" s="40" t="s">
        <v>124</v>
      </c>
      <c r="AR41" s="35" t="s">
        <v>124</v>
      </c>
      <c r="AS41" s="44" t="s">
        <v>113</v>
      </c>
      <c r="AT41" s="40" t="s">
        <v>125</v>
      </c>
      <c r="AU41" s="50" t="str">
        <f t="shared" si="6"/>
        <v>Permanent</v>
      </c>
      <c r="AV41" s="44" t="s">
        <v>127</v>
      </c>
      <c r="AW41" s="51">
        <f t="shared" si="5"/>
        <v>45657</v>
      </c>
      <c r="AX41" s="51">
        <f t="shared" si="1"/>
        <v>45657</v>
      </c>
      <c r="AY41" s="41">
        <f t="shared" si="2"/>
        <v>NaN</v>
      </c>
      <c r="AZ41" s="43" t="s">
        <v>97</v>
      </c>
      <c r="BA41" s="43" t="s">
        <v>128</v>
      </c>
      <c r="BB41" s="52" t="s">
        <v>355</v>
      </c>
      <c r="BC41" s="44">
        <v>36526</v>
      </c>
      <c r="BD41" s="44">
        <v>51136</v>
      </c>
      <c r="BE41" s="43" t="s">
        <v>97</v>
      </c>
      <c r="BF41" s="43" t="s">
        <v>132</v>
      </c>
      <c r="BG41" s="50">
        <v>5855200069</v>
      </c>
      <c r="BH41" s="44">
        <v>36526</v>
      </c>
      <c r="BI41" s="44">
        <v>51136</v>
      </c>
      <c r="BJ41" s="38" t="s">
        <v>133</v>
      </c>
      <c r="BK41" s="50" t="s">
        <v>157</v>
      </c>
      <c r="BL41" s="53">
        <v>32144</v>
      </c>
      <c r="BM41" s="54" t="s">
        <v>97</v>
      </c>
      <c r="BN41" s="43" t="s">
        <v>109</v>
      </c>
      <c r="BO41" s="38" t="s">
        <v>135</v>
      </c>
      <c r="BP41" s="55" t="s">
        <v>113</v>
      </c>
      <c r="BQ41" s="43" t="s">
        <v>136</v>
      </c>
      <c r="BR41" s="43" t="s">
        <v>97</v>
      </c>
      <c r="BS41" s="39" t="s">
        <v>124</v>
      </c>
      <c r="BT41" s="39" t="s">
        <v>113</v>
      </c>
      <c r="BU41" s="38" t="s">
        <v>137</v>
      </c>
      <c r="BV41" s="38" t="s">
        <v>138</v>
      </c>
      <c r="BW41" s="43" t="s">
        <v>139</v>
      </c>
      <c r="BX41" s="56" t="s">
        <v>158</v>
      </c>
      <c r="BY41" s="43" t="s">
        <v>141</v>
      </c>
      <c r="BZ41" s="43" t="s">
        <v>142</v>
      </c>
      <c r="CA41" s="43" t="s">
        <v>143</v>
      </c>
      <c r="CB41" s="43" t="s">
        <v>144</v>
      </c>
      <c r="CC41" s="56" t="s">
        <v>139</v>
      </c>
      <c r="CD41" s="40" t="s">
        <v>140</v>
      </c>
      <c r="CE41" s="43" t="s">
        <v>141</v>
      </c>
      <c r="CF41" s="43" t="s">
        <v>145</v>
      </c>
      <c r="CG41" s="43" t="s">
        <v>146</v>
      </c>
      <c r="CH41" s="43" t="s">
        <v>145</v>
      </c>
      <c r="CI41" s="57">
        <v>100</v>
      </c>
      <c r="CJ41" s="43" t="s">
        <v>147</v>
      </c>
      <c r="CK41" s="43" t="s">
        <v>148</v>
      </c>
      <c r="CL41" s="43" t="s">
        <v>97</v>
      </c>
      <c r="CM41" s="43" t="s">
        <v>159</v>
      </c>
      <c r="CN41" s="43" t="s">
        <v>150</v>
      </c>
      <c r="CO41" s="39" t="s">
        <v>160</v>
      </c>
      <c r="CP41" s="39" t="s">
        <v>161</v>
      </c>
      <c r="CQ41" s="39" t="s">
        <v>109</v>
      </c>
      <c r="CR41" s="53">
        <f t="shared" ref="CR41" si="10">TODAY()-1500</f>
        <v>44271</v>
      </c>
      <c r="CS41" s="39" t="s">
        <v>162</v>
      </c>
      <c r="CT41" s="59">
        <v>1234035</v>
      </c>
      <c r="CU41" s="59">
        <v>123456028</v>
      </c>
      <c r="CV41" s="35" t="s">
        <v>350</v>
      </c>
    </row>
    <row r="42" ht="14.5" customHeight="1" spans="1:100" x14ac:dyDescent="0.25">
      <c r="A42" s="35" t="s">
        <v>356</v>
      </c>
      <c r="B42" s="35" t="s">
        <v>357</v>
      </c>
      <c r="C42" s="35" t="s">
        <v>95</v>
      </c>
      <c r="D42" s="35" t="s">
        <v>293</v>
      </c>
      <c r="E42" s="38" t="s">
        <v>97</v>
      </c>
      <c r="F42" s="39" t="s">
        <v>358</v>
      </c>
      <c r="G42" s="39" t="s">
        <v>359</v>
      </c>
      <c r="H42" s="40" t="s">
        <v>100</v>
      </c>
      <c r="I42" s="40" t="s">
        <v>101</v>
      </c>
      <c r="J42" s="40" t="s">
        <v>102</v>
      </c>
      <c r="K42" s="41">
        <f t="shared" si="3"/>
        <v>45658</v>
      </c>
      <c r="L42" s="38" t="s">
        <v>97</v>
      </c>
      <c r="M42" s="40" t="s">
        <v>103</v>
      </c>
      <c r="N42" s="40" t="s">
        <v>104</v>
      </c>
      <c r="O42" s="42" t="s">
        <v>105</v>
      </c>
      <c r="P42" s="38" t="s">
        <v>106</v>
      </c>
      <c r="Q42" s="40" t="s">
        <v>107</v>
      </c>
      <c r="R42" s="40" t="s">
        <v>108</v>
      </c>
      <c r="S42" s="43" t="s">
        <v>109</v>
      </c>
      <c r="T42" s="43" t="s">
        <v>109</v>
      </c>
      <c r="U42" s="40" t="s">
        <v>102</v>
      </c>
      <c r="V42" s="44" t="s">
        <v>110</v>
      </c>
      <c r="W42" s="45" t="s">
        <v>111</v>
      </c>
      <c r="X42" s="40" t="s">
        <v>102</v>
      </c>
      <c r="Y42" s="46">
        <v>45658</v>
      </c>
      <c r="Z42" s="40" t="s">
        <v>112</v>
      </c>
      <c r="AA42" s="47" t="s">
        <v>360</v>
      </c>
      <c r="AB42" s="48" t="s">
        <v>240</v>
      </c>
      <c r="AC42" s="39" t="s">
        <v>361</v>
      </c>
      <c r="AD42" s="39" t="s">
        <v>298</v>
      </c>
      <c r="AE42" s="38">
        <v>970</v>
      </c>
      <c r="AF42" s="38" t="s">
        <v>57</v>
      </c>
      <c r="AG42" s="39">
        <v>40</v>
      </c>
      <c r="AH42" s="49" t="s">
        <v>117</v>
      </c>
      <c r="AI42" s="48" t="s">
        <v>118</v>
      </c>
      <c r="AJ42" s="46" t="s">
        <v>113</v>
      </c>
      <c r="AK42" s="41">
        <f t="shared" si="0"/>
        <v>45748</v>
      </c>
      <c r="AL42" s="40" t="s">
        <v>119</v>
      </c>
      <c r="AM42" s="39" t="s">
        <v>299</v>
      </c>
      <c r="AN42" s="39" t="s">
        <v>300</v>
      </c>
      <c r="AO42" s="40" t="s">
        <v>122</v>
      </c>
      <c r="AP42" s="50" t="s">
        <v>123</v>
      </c>
      <c r="AQ42" s="40" t="s">
        <v>124</v>
      </c>
      <c r="AR42" s="35" t="s">
        <v>124</v>
      </c>
      <c r="AS42" s="44" t="s">
        <v>113</v>
      </c>
      <c r="AT42" s="40" t="s">
        <v>125</v>
      </c>
      <c r="AU42" s="50" t="str">
        <f t="shared" si="6"/>
        <v>Permanent</v>
      </c>
      <c r="AV42" s="44" t="s">
        <v>127</v>
      </c>
      <c r="AW42" s="51">
        <f t="shared" si="5"/>
        <v>45657</v>
      </c>
      <c r="AX42" s="51">
        <f t="shared" si="1"/>
        <v>45657</v>
      </c>
      <c r="AY42" s="41">
        <f t="shared" si="2"/>
        <v>NaN</v>
      </c>
      <c r="AZ42" s="43" t="s">
        <v>97</v>
      </c>
      <c r="BA42" s="43" t="s">
        <v>128</v>
      </c>
      <c r="BB42" s="52" t="s">
        <v>362</v>
      </c>
      <c r="BC42" s="44" t="s">
        <v>130</v>
      </c>
      <c r="BD42" s="44" t="s">
        <v>131</v>
      </c>
      <c r="BE42" s="43" t="s">
        <v>97</v>
      </c>
      <c r="BF42" s="43" t="s">
        <v>132</v>
      </c>
      <c r="BG42" s="50">
        <v>5855200070</v>
      </c>
      <c r="BH42" s="44">
        <v>36526</v>
      </c>
      <c r="BI42" s="44">
        <v>51136</v>
      </c>
      <c r="BJ42" s="38" t="s">
        <v>133</v>
      </c>
      <c r="BK42" s="50" t="s">
        <v>134</v>
      </c>
      <c r="BL42" s="53">
        <v>32144</v>
      </c>
      <c r="BM42" s="54" t="s">
        <v>97</v>
      </c>
      <c r="BN42" s="43" t="s">
        <v>109</v>
      </c>
      <c r="BO42" s="38" t="s">
        <v>135</v>
      </c>
      <c r="BP42" s="55" t="s">
        <v>113</v>
      </c>
      <c r="BQ42" s="43" t="s">
        <v>136</v>
      </c>
      <c r="BR42" s="43" t="s">
        <v>97</v>
      </c>
      <c r="BS42" s="39" t="s">
        <v>124</v>
      </c>
      <c r="BT42" s="39" t="s">
        <v>113</v>
      </c>
      <c r="BU42" s="38" t="s">
        <v>137</v>
      </c>
      <c r="BV42" s="38" t="s">
        <v>138</v>
      </c>
      <c r="BW42" s="43" t="s">
        <v>139</v>
      </c>
      <c r="BX42" s="56" t="s">
        <v>140</v>
      </c>
      <c r="BY42" s="43" t="s">
        <v>141</v>
      </c>
      <c r="BZ42" s="43" t="s">
        <v>142</v>
      </c>
      <c r="CA42" s="43" t="s">
        <v>143</v>
      </c>
      <c r="CB42" s="43" t="s">
        <v>144</v>
      </c>
      <c r="CC42" s="56" t="s">
        <v>139</v>
      </c>
      <c r="CD42" s="40" t="s">
        <v>140</v>
      </c>
      <c r="CE42" s="43" t="s">
        <v>141</v>
      </c>
      <c r="CF42" s="43" t="s">
        <v>145</v>
      </c>
      <c r="CG42" s="43" t="s">
        <v>146</v>
      </c>
      <c r="CH42" s="43" t="s">
        <v>145</v>
      </c>
      <c r="CI42" s="57">
        <v>100</v>
      </c>
      <c r="CJ42" s="43" t="s">
        <v>147</v>
      </c>
      <c r="CK42" s="43" t="s">
        <v>148</v>
      </c>
      <c r="CL42" s="43" t="s">
        <v>97</v>
      </c>
      <c r="CM42" s="43" t="s">
        <v>149</v>
      </c>
      <c r="CN42" s="43" t="s">
        <v>150</v>
      </c>
      <c r="CO42" s="39" t="s">
        <v>113</v>
      </c>
      <c r="CP42" s="39" t="s">
        <v>113</v>
      </c>
      <c r="CQ42" s="39" t="s">
        <v>113</v>
      </c>
      <c r="CR42" s="39" t="s">
        <v>113</v>
      </c>
      <c r="CS42" s="39" t="s">
        <v>113</v>
      </c>
      <c r="CT42" s="39" t="s">
        <v>113</v>
      </c>
      <c r="CU42" s="39" t="s">
        <v>113</v>
      </c>
      <c r="CV42" s="35" t="s">
        <v>356</v>
      </c>
    </row>
    <row r="43" ht="14.5" customHeight="1" spans="1:100" x14ac:dyDescent="0.25">
      <c r="A43" s="35" t="s">
        <v>363</v>
      </c>
      <c r="B43" s="35" t="s">
        <v>364</v>
      </c>
      <c r="C43" s="35" t="s">
        <v>95</v>
      </c>
      <c r="D43" s="35" t="s">
        <v>293</v>
      </c>
      <c r="E43" s="38" t="s">
        <v>97</v>
      </c>
      <c r="F43" s="39" t="s">
        <v>365</v>
      </c>
      <c r="G43" s="39" t="s">
        <v>359</v>
      </c>
      <c r="H43" s="40" t="s">
        <v>100</v>
      </c>
      <c r="I43" s="40" t="s">
        <v>101</v>
      </c>
      <c r="J43" s="40" t="s">
        <v>102</v>
      </c>
      <c r="K43" s="41">
        <f t="shared" si="3"/>
        <v>45658</v>
      </c>
      <c r="L43" s="38" t="s">
        <v>97</v>
      </c>
      <c r="M43" s="40" t="s">
        <v>103</v>
      </c>
      <c r="N43" s="40" t="s">
        <v>154</v>
      </c>
      <c r="O43" s="42" t="s">
        <v>105</v>
      </c>
      <c r="P43" s="38" t="s">
        <v>155</v>
      </c>
      <c r="Q43" s="40" t="s">
        <v>107</v>
      </c>
      <c r="R43" s="40" t="s">
        <v>108</v>
      </c>
      <c r="S43" s="43" t="s">
        <v>109</v>
      </c>
      <c r="T43" s="43" t="s">
        <v>109</v>
      </c>
      <c r="U43" s="40" t="s">
        <v>102</v>
      </c>
      <c r="V43" s="44" t="s">
        <v>110</v>
      </c>
      <c r="W43" s="45" t="s">
        <v>111</v>
      </c>
      <c r="X43" s="40" t="s">
        <v>102</v>
      </c>
      <c r="Y43" s="46">
        <v>45658</v>
      </c>
      <c r="Z43" s="40" t="s">
        <v>112</v>
      </c>
      <c r="AA43" s="47" t="s">
        <v>366</v>
      </c>
      <c r="AB43" s="48" t="s">
        <v>240</v>
      </c>
      <c r="AC43" s="39" t="s">
        <v>361</v>
      </c>
      <c r="AD43" s="39" t="s">
        <v>298</v>
      </c>
      <c r="AE43" s="38">
        <v>970</v>
      </c>
      <c r="AF43" s="38" t="s">
        <v>57</v>
      </c>
      <c r="AG43" s="39">
        <v>40</v>
      </c>
      <c r="AH43" s="49" t="s">
        <v>170</v>
      </c>
      <c r="AI43" s="48" t="s">
        <v>118</v>
      </c>
      <c r="AJ43" s="46" t="s">
        <v>113</v>
      </c>
      <c r="AK43" s="41">
        <f t="shared" si="0"/>
        <v>45748</v>
      </c>
      <c r="AL43" s="40" t="s">
        <v>119</v>
      </c>
      <c r="AM43" s="39" t="s">
        <v>299</v>
      </c>
      <c r="AN43" s="39" t="s">
        <v>300</v>
      </c>
      <c r="AO43" s="40" t="s">
        <v>122</v>
      </c>
      <c r="AP43" s="50" t="s">
        <v>123</v>
      </c>
      <c r="AQ43" s="40" t="s">
        <v>124</v>
      </c>
      <c r="AR43" s="35" t="s">
        <v>124</v>
      </c>
      <c r="AS43" s="44" t="s">
        <v>113</v>
      </c>
      <c r="AT43" s="40" t="s">
        <v>125</v>
      </c>
      <c r="AU43" s="50" t="str">
        <f t="shared" si="6"/>
        <v>Permanent</v>
      </c>
      <c r="AV43" s="44" t="s">
        <v>127</v>
      </c>
      <c r="AW43" s="51">
        <f t="shared" si="5"/>
        <v>45657</v>
      </c>
      <c r="AX43" s="51">
        <f t="shared" si="1"/>
        <v>45657</v>
      </c>
      <c r="AY43" s="41">
        <f t="shared" si="2"/>
        <v>NaN</v>
      </c>
      <c r="AZ43" s="43" t="s">
        <v>97</v>
      </c>
      <c r="BA43" s="43" t="s">
        <v>128</v>
      </c>
      <c r="BB43" s="52" t="s">
        <v>367</v>
      </c>
      <c r="BC43" s="44">
        <v>36526</v>
      </c>
      <c r="BD43" s="44">
        <v>51136</v>
      </c>
      <c r="BE43" s="43" t="s">
        <v>97</v>
      </c>
      <c r="BF43" s="43" t="s">
        <v>132</v>
      </c>
      <c r="BG43" s="50">
        <v>5855200071</v>
      </c>
      <c r="BH43" s="44">
        <v>36526</v>
      </c>
      <c r="BI43" s="44">
        <v>51136</v>
      </c>
      <c r="BJ43" s="38" t="s">
        <v>133</v>
      </c>
      <c r="BK43" s="50" t="s">
        <v>157</v>
      </c>
      <c r="BL43" s="53">
        <v>32144</v>
      </c>
      <c r="BM43" s="54" t="s">
        <v>97</v>
      </c>
      <c r="BN43" s="43" t="s">
        <v>109</v>
      </c>
      <c r="BO43" s="38" t="s">
        <v>135</v>
      </c>
      <c r="BP43" s="55" t="s">
        <v>113</v>
      </c>
      <c r="BQ43" s="43" t="s">
        <v>136</v>
      </c>
      <c r="BR43" s="43" t="s">
        <v>97</v>
      </c>
      <c r="BS43" s="39" t="s">
        <v>123</v>
      </c>
      <c r="BT43" s="39">
        <v>10</v>
      </c>
      <c r="BU43" s="38" t="s">
        <v>137</v>
      </c>
      <c r="BV43" s="38" t="s">
        <v>138</v>
      </c>
      <c r="BW43" s="43" t="s">
        <v>139</v>
      </c>
      <c r="BX43" s="56" t="s">
        <v>158</v>
      </c>
      <c r="BY43" s="43" t="s">
        <v>141</v>
      </c>
      <c r="BZ43" s="43" t="s">
        <v>142</v>
      </c>
      <c r="CA43" s="43" t="s">
        <v>143</v>
      </c>
      <c r="CB43" s="43" t="s">
        <v>144</v>
      </c>
      <c r="CC43" s="56" t="s">
        <v>139</v>
      </c>
      <c r="CD43" s="40" t="s">
        <v>140</v>
      </c>
      <c r="CE43" s="43" t="s">
        <v>141</v>
      </c>
      <c r="CF43" s="43" t="s">
        <v>145</v>
      </c>
      <c r="CG43" s="43" t="s">
        <v>146</v>
      </c>
      <c r="CH43" s="43" t="s">
        <v>145</v>
      </c>
      <c r="CI43" s="57">
        <v>100</v>
      </c>
      <c r="CJ43" s="43" t="s">
        <v>147</v>
      </c>
      <c r="CK43" s="43" t="s">
        <v>148</v>
      </c>
      <c r="CL43" s="43" t="s">
        <v>97</v>
      </c>
      <c r="CM43" s="43" t="s">
        <v>159</v>
      </c>
      <c r="CN43" s="43" t="s">
        <v>150</v>
      </c>
      <c r="CO43" s="39" t="s">
        <v>160</v>
      </c>
      <c r="CP43" s="39" t="s">
        <v>161</v>
      </c>
      <c r="CQ43" s="39" t="s">
        <v>109</v>
      </c>
      <c r="CR43" s="53">
        <f t="shared" ref="CR43" si="11">TODAY()-1500</f>
        <v>44271</v>
      </c>
      <c r="CS43" s="39" t="s">
        <v>162</v>
      </c>
      <c r="CT43" s="59">
        <v>1234048</v>
      </c>
      <c r="CU43" s="59">
        <v>123456048</v>
      </c>
      <c r="CV43" s="35" t="s">
        <v>363</v>
      </c>
    </row>
    <row r="44" ht="14.5" customHeight="1" spans="1:100" x14ac:dyDescent="0.25">
      <c r="A44" s="35" t="s">
        <v>368</v>
      </c>
      <c r="B44" s="35" t="s">
        <v>369</v>
      </c>
      <c r="C44" s="35" t="s">
        <v>95</v>
      </c>
      <c r="D44" s="35" t="s">
        <v>293</v>
      </c>
      <c r="E44" s="38" t="s">
        <v>97</v>
      </c>
      <c r="F44" s="39" t="s">
        <v>370</v>
      </c>
      <c r="G44" s="39" t="s">
        <v>371</v>
      </c>
      <c r="H44" s="40" t="s">
        <v>100</v>
      </c>
      <c r="I44" s="40" t="s">
        <v>101</v>
      </c>
      <c r="J44" s="40" t="s">
        <v>102</v>
      </c>
      <c r="K44" s="41">
        <f t="shared" si="3"/>
        <v>45658</v>
      </c>
      <c r="L44" s="38" t="s">
        <v>97</v>
      </c>
      <c r="M44" s="40" t="s">
        <v>103</v>
      </c>
      <c r="N44" s="40" t="s">
        <v>104</v>
      </c>
      <c r="O44" s="42" t="s">
        <v>105</v>
      </c>
      <c r="P44" s="38" t="s">
        <v>106</v>
      </c>
      <c r="Q44" s="40" t="s">
        <v>107</v>
      </c>
      <c r="R44" s="40" t="s">
        <v>108</v>
      </c>
      <c r="S44" s="43" t="s">
        <v>109</v>
      </c>
      <c r="T44" s="43" t="s">
        <v>109</v>
      </c>
      <c r="U44" s="40" t="s">
        <v>102</v>
      </c>
      <c r="V44" s="44" t="s">
        <v>110</v>
      </c>
      <c r="W44" s="45" t="s">
        <v>111</v>
      </c>
      <c r="X44" s="40" t="s">
        <v>102</v>
      </c>
      <c r="Y44" s="46">
        <v>45658</v>
      </c>
      <c r="Z44" s="40" t="s">
        <v>112</v>
      </c>
      <c r="AA44" s="47" t="s">
        <v>372</v>
      </c>
      <c r="AB44" s="48" t="s">
        <v>240</v>
      </c>
      <c r="AC44" s="39" t="s">
        <v>373</v>
      </c>
      <c r="AD44" s="39" t="s">
        <v>298</v>
      </c>
      <c r="AE44" s="38">
        <v>970</v>
      </c>
      <c r="AF44" s="38" t="s">
        <v>57</v>
      </c>
      <c r="AG44" s="39">
        <v>40</v>
      </c>
      <c r="AH44" s="49" t="s">
        <v>117</v>
      </c>
      <c r="AI44" s="48" t="s">
        <v>118</v>
      </c>
      <c r="AJ44" s="46" t="s">
        <v>113</v>
      </c>
      <c r="AK44" s="41">
        <f t="shared" si="0"/>
        <v>45748</v>
      </c>
      <c r="AL44" s="40" t="s">
        <v>119</v>
      </c>
      <c r="AM44" s="39" t="s">
        <v>299</v>
      </c>
      <c r="AN44" s="39" t="s">
        <v>300</v>
      </c>
      <c r="AO44" s="40" t="s">
        <v>122</v>
      </c>
      <c r="AP44" s="50" t="s">
        <v>123</v>
      </c>
      <c r="AQ44" s="40" t="s">
        <v>124</v>
      </c>
      <c r="AR44" s="35" t="s">
        <v>124</v>
      </c>
      <c r="AS44" s="44" t="s">
        <v>113</v>
      </c>
      <c r="AT44" s="40" t="s">
        <v>125</v>
      </c>
      <c r="AU44" s="50" t="str">
        <f t="shared" si="6"/>
        <v>Permanent</v>
      </c>
      <c r="AV44" s="44" t="s">
        <v>127</v>
      </c>
      <c r="AW44" s="51">
        <f t="shared" si="5"/>
        <v>45657</v>
      </c>
      <c r="AX44" s="51">
        <f t="shared" si="1"/>
        <v>45657</v>
      </c>
      <c r="AY44" s="41">
        <f t="shared" si="2"/>
        <v>NaN</v>
      </c>
      <c r="AZ44" s="43" t="s">
        <v>97</v>
      </c>
      <c r="BA44" s="43" t="s">
        <v>128</v>
      </c>
      <c r="BB44" s="52" t="s">
        <v>374</v>
      </c>
      <c r="BC44" s="44" t="s">
        <v>130</v>
      </c>
      <c r="BD44" s="44" t="s">
        <v>131</v>
      </c>
      <c r="BE44" s="43" t="s">
        <v>97</v>
      </c>
      <c r="BF44" s="43" t="s">
        <v>132</v>
      </c>
      <c r="BG44" s="50">
        <v>5855200072</v>
      </c>
      <c r="BH44" s="44">
        <v>36526</v>
      </c>
      <c r="BI44" s="44">
        <v>51136</v>
      </c>
      <c r="BJ44" s="38" t="s">
        <v>133</v>
      </c>
      <c r="BK44" s="50" t="s">
        <v>134</v>
      </c>
      <c r="BL44" s="53">
        <v>31049</v>
      </c>
      <c r="BM44" s="54" t="s">
        <v>97</v>
      </c>
      <c r="BN44" s="43" t="s">
        <v>109</v>
      </c>
      <c r="BO44" s="38" t="s">
        <v>135</v>
      </c>
      <c r="BP44" s="55" t="s">
        <v>113</v>
      </c>
      <c r="BQ44" s="43" t="s">
        <v>136</v>
      </c>
      <c r="BR44" s="43" t="s">
        <v>97</v>
      </c>
      <c r="BS44" s="49" t="s">
        <v>124</v>
      </c>
      <c r="BT44" s="49" t="s">
        <v>113</v>
      </c>
      <c r="BU44" s="38" t="s">
        <v>137</v>
      </c>
      <c r="BV44" s="38" t="s">
        <v>138</v>
      </c>
      <c r="BW44" s="43" t="s">
        <v>139</v>
      </c>
      <c r="BX44" s="56" t="s">
        <v>140</v>
      </c>
      <c r="BY44" s="43" t="s">
        <v>141</v>
      </c>
      <c r="BZ44" s="43" t="s">
        <v>142</v>
      </c>
      <c r="CA44" s="43" t="s">
        <v>143</v>
      </c>
      <c r="CB44" s="43" t="s">
        <v>144</v>
      </c>
      <c r="CC44" s="56" t="s">
        <v>139</v>
      </c>
      <c r="CD44" s="40" t="s">
        <v>140</v>
      </c>
      <c r="CE44" s="43" t="s">
        <v>141</v>
      </c>
      <c r="CF44" s="43" t="s">
        <v>145</v>
      </c>
      <c r="CG44" s="43" t="s">
        <v>146</v>
      </c>
      <c r="CH44" s="43" t="s">
        <v>145</v>
      </c>
      <c r="CI44" s="57">
        <v>100</v>
      </c>
      <c r="CJ44" s="43" t="s">
        <v>147</v>
      </c>
      <c r="CK44" s="43" t="s">
        <v>148</v>
      </c>
      <c r="CL44" s="43" t="s">
        <v>97</v>
      </c>
      <c r="CM44" s="43" t="s">
        <v>149</v>
      </c>
      <c r="CN44" s="43" t="s">
        <v>150</v>
      </c>
      <c r="CO44" s="49" t="s">
        <v>113</v>
      </c>
      <c r="CP44" s="49" t="s">
        <v>113</v>
      </c>
      <c r="CQ44" s="58" t="s">
        <v>113</v>
      </c>
      <c r="CR44" s="53" t="s">
        <v>113</v>
      </c>
      <c r="CS44" s="49" t="s">
        <v>113</v>
      </c>
      <c r="CT44" s="59" t="s">
        <v>113</v>
      </c>
      <c r="CU44" s="59" t="s">
        <v>113</v>
      </c>
      <c r="CV44" s="35" t="s">
        <v>368</v>
      </c>
    </row>
    <row r="45" ht="14.5" customHeight="1" spans="1:100" x14ac:dyDescent="0.25">
      <c r="A45" s="35" t="s">
        <v>375</v>
      </c>
      <c r="B45" s="35" t="s">
        <v>376</v>
      </c>
      <c r="C45" s="35" t="s">
        <v>95</v>
      </c>
      <c r="D45" s="35" t="s">
        <v>293</v>
      </c>
      <c r="E45" s="38" t="s">
        <v>97</v>
      </c>
      <c r="F45" s="39" t="s">
        <v>377</v>
      </c>
      <c r="G45" s="39" t="s">
        <v>371</v>
      </c>
      <c r="H45" s="40" t="s">
        <v>100</v>
      </c>
      <c r="I45" s="40" t="s">
        <v>101</v>
      </c>
      <c r="J45" s="40" t="s">
        <v>102</v>
      </c>
      <c r="K45" s="41">
        <f t="shared" si="3"/>
        <v>45658</v>
      </c>
      <c r="L45" s="38" t="s">
        <v>97</v>
      </c>
      <c r="M45" s="40" t="s">
        <v>103</v>
      </c>
      <c r="N45" s="40" t="s">
        <v>154</v>
      </c>
      <c r="O45" s="42" t="s">
        <v>105</v>
      </c>
      <c r="P45" s="38" t="s">
        <v>155</v>
      </c>
      <c r="Q45" s="40" t="s">
        <v>107</v>
      </c>
      <c r="R45" s="40" t="s">
        <v>108</v>
      </c>
      <c r="S45" s="43" t="s">
        <v>109</v>
      </c>
      <c r="T45" s="43" t="s">
        <v>109</v>
      </c>
      <c r="U45" s="40" t="s">
        <v>102</v>
      </c>
      <c r="V45" s="44" t="s">
        <v>110</v>
      </c>
      <c r="W45" s="45" t="s">
        <v>111</v>
      </c>
      <c r="X45" s="40" t="s">
        <v>102</v>
      </c>
      <c r="Y45" s="46">
        <v>45658</v>
      </c>
      <c r="Z45" s="40" t="s">
        <v>112</v>
      </c>
      <c r="AA45" s="47" t="s">
        <v>378</v>
      </c>
      <c r="AB45" s="48" t="s">
        <v>240</v>
      </c>
      <c r="AC45" s="39" t="s">
        <v>373</v>
      </c>
      <c r="AD45" s="39" t="s">
        <v>298</v>
      </c>
      <c r="AE45" s="38">
        <v>970</v>
      </c>
      <c r="AF45" s="38" t="s">
        <v>57</v>
      </c>
      <c r="AG45" s="39">
        <v>40</v>
      </c>
      <c r="AH45" s="49" t="s">
        <v>170</v>
      </c>
      <c r="AI45" s="48" t="s">
        <v>118</v>
      </c>
      <c r="AJ45" s="46" t="s">
        <v>113</v>
      </c>
      <c r="AK45" s="41">
        <f t="shared" si="0"/>
        <v>45748</v>
      </c>
      <c r="AL45" s="40" t="s">
        <v>119</v>
      </c>
      <c r="AM45" s="39" t="s">
        <v>299</v>
      </c>
      <c r="AN45" s="39" t="s">
        <v>300</v>
      </c>
      <c r="AO45" s="40" t="s">
        <v>122</v>
      </c>
      <c r="AP45" s="50" t="s">
        <v>123</v>
      </c>
      <c r="AQ45" s="40" t="s">
        <v>124</v>
      </c>
      <c r="AR45" s="35" t="s">
        <v>124</v>
      </c>
      <c r="AS45" s="44" t="s">
        <v>113</v>
      </c>
      <c r="AT45" s="40" t="s">
        <v>125</v>
      </c>
      <c r="AU45" s="50" t="str">
        <f t="shared" si="6"/>
        <v>Permanent</v>
      </c>
      <c r="AV45" s="44" t="s">
        <v>127</v>
      </c>
      <c r="AW45" s="51">
        <f t="shared" si="5"/>
        <v>45657</v>
      </c>
      <c r="AX45" s="51">
        <f t="shared" si="1"/>
        <v>45657</v>
      </c>
      <c r="AY45" s="41">
        <f t="shared" si="2"/>
        <v>NaN</v>
      </c>
      <c r="AZ45" s="43" t="s">
        <v>97</v>
      </c>
      <c r="BA45" s="43" t="s">
        <v>128</v>
      </c>
      <c r="BB45" s="52" t="s">
        <v>379</v>
      </c>
      <c r="BC45" s="44">
        <v>36526</v>
      </c>
      <c r="BD45" s="44">
        <v>51136</v>
      </c>
      <c r="BE45" s="43" t="s">
        <v>97</v>
      </c>
      <c r="BF45" s="43" t="s">
        <v>132</v>
      </c>
      <c r="BG45" s="50">
        <v>5855200073</v>
      </c>
      <c r="BH45" s="44">
        <v>36526</v>
      </c>
      <c r="BI45" s="44">
        <v>51136</v>
      </c>
      <c r="BJ45" s="38" t="s">
        <v>133</v>
      </c>
      <c r="BK45" s="50" t="s">
        <v>157</v>
      </c>
      <c r="BL45" s="53">
        <v>32144</v>
      </c>
      <c r="BM45" s="54" t="s">
        <v>97</v>
      </c>
      <c r="BN45" s="43" t="s">
        <v>109</v>
      </c>
      <c r="BO45" s="38" t="s">
        <v>135</v>
      </c>
      <c r="BP45" s="55" t="s">
        <v>113</v>
      </c>
      <c r="BQ45" s="43" t="s">
        <v>136</v>
      </c>
      <c r="BR45" s="43" t="s">
        <v>97</v>
      </c>
      <c r="BS45" s="49" t="s">
        <v>124</v>
      </c>
      <c r="BT45" s="49" t="s">
        <v>113</v>
      </c>
      <c r="BU45" s="38" t="s">
        <v>137</v>
      </c>
      <c r="BV45" s="38" t="s">
        <v>138</v>
      </c>
      <c r="BW45" s="43" t="s">
        <v>139</v>
      </c>
      <c r="BX45" s="56" t="s">
        <v>158</v>
      </c>
      <c r="BY45" s="43" t="s">
        <v>141</v>
      </c>
      <c r="BZ45" s="43" t="s">
        <v>142</v>
      </c>
      <c r="CA45" s="43" t="s">
        <v>143</v>
      </c>
      <c r="CB45" s="43" t="s">
        <v>144</v>
      </c>
      <c r="CC45" s="56" t="s">
        <v>139</v>
      </c>
      <c r="CD45" s="40" t="s">
        <v>140</v>
      </c>
      <c r="CE45" s="43" t="s">
        <v>141</v>
      </c>
      <c r="CF45" s="43" t="s">
        <v>145</v>
      </c>
      <c r="CG45" s="43" t="s">
        <v>146</v>
      </c>
      <c r="CH45" s="43" t="s">
        <v>145</v>
      </c>
      <c r="CI45" s="57">
        <v>100</v>
      </c>
      <c r="CJ45" s="43" t="s">
        <v>147</v>
      </c>
      <c r="CK45" s="43" t="s">
        <v>148</v>
      </c>
      <c r="CL45" s="43" t="s">
        <v>97</v>
      </c>
      <c r="CM45" s="43" t="s">
        <v>159</v>
      </c>
      <c r="CN45" s="43" t="s">
        <v>150</v>
      </c>
      <c r="CO45" s="49" t="s">
        <v>160</v>
      </c>
      <c r="CP45" s="49" t="s">
        <v>161</v>
      </c>
      <c r="CQ45" s="58" t="s">
        <v>109</v>
      </c>
      <c r="CR45" s="53">
        <f t="shared" ref="CR45" si="12">TODAY()-1500</f>
        <v>44271</v>
      </c>
      <c r="CS45" s="49" t="s">
        <v>162</v>
      </c>
      <c r="CT45" s="59">
        <v>1234036</v>
      </c>
      <c r="CU45" s="59">
        <v>123456029</v>
      </c>
      <c r="CV45" s="35" t="s">
        <v>375</v>
      </c>
    </row>
    <row r="46" ht="14.5" customHeight="1" spans="1:100" x14ac:dyDescent="0.25">
      <c r="A46" s="35" t="s">
        <v>380</v>
      </c>
      <c r="B46" s="36" t="s">
        <v>381</v>
      </c>
      <c r="C46" s="35" t="s">
        <v>224</v>
      </c>
      <c r="D46" s="37" t="s">
        <v>96</v>
      </c>
      <c r="E46" s="38" t="s">
        <v>97</v>
      </c>
      <c r="F46" s="39" t="s">
        <v>382</v>
      </c>
      <c r="G46" s="39" t="s">
        <v>383</v>
      </c>
      <c r="H46" s="40" t="s">
        <v>100</v>
      </c>
      <c r="I46" s="40" t="s">
        <v>101</v>
      </c>
      <c r="J46" s="40" t="s">
        <v>102</v>
      </c>
      <c r="K46" s="41">
        <f>Y46</f>
        <v>45658</v>
      </c>
      <c r="L46" s="38" t="s">
        <v>97</v>
      </c>
      <c r="M46" s="40" t="s">
        <v>103</v>
      </c>
      <c r="N46" s="40" t="s">
        <v>104</v>
      </c>
      <c r="O46" s="42" t="s">
        <v>105</v>
      </c>
      <c r="P46" s="38" t="s">
        <v>106</v>
      </c>
      <c r="Q46" s="40" t="s">
        <v>107</v>
      </c>
      <c r="R46" s="40" t="s">
        <v>108</v>
      </c>
      <c r="S46" s="43" t="s">
        <v>109</v>
      </c>
      <c r="T46" s="43" t="s">
        <v>109</v>
      </c>
      <c r="U46" s="40" t="s">
        <v>102</v>
      </c>
      <c r="V46" s="44" t="s">
        <v>110</v>
      </c>
      <c r="W46" s="45" t="s">
        <v>111</v>
      </c>
      <c r="X46" s="40" t="s">
        <v>102</v>
      </c>
      <c r="Y46" s="46">
        <v>45658</v>
      </c>
      <c r="Z46" s="40" t="s">
        <v>112</v>
      </c>
      <c r="AA46" s="47" t="s">
        <v>113</v>
      </c>
      <c r="AB46" s="48" t="s">
        <v>114</v>
      </c>
      <c r="AC46" s="48" t="s">
        <v>115</v>
      </c>
      <c r="AD46" s="48" t="s">
        <v>116</v>
      </c>
      <c r="AE46" s="38">
        <v>970</v>
      </c>
      <c r="AF46" s="38" t="s">
        <v>57</v>
      </c>
      <c r="AG46" s="48">
        <v>15</v>
      </c>
      <c r="AH46" s="49" t="s">
        <v>117</v>
      </c>
      <c r="AI46" s="48" t="s">
        <v>118</v>
      </c>
      <c r="AJ46" s="46">
        <f>Y46+365</f>
        <v>46023</v>
      </c>
      <c r="AK46" s="41">
        <f t="shared" si="0"/>
        <v>45748</v>
      </c>
      <c r="AL46" s="40" t="s">
        <v>119</v>
      </c>
      <c r="AM46" s="49" t="s">
        <v>120</v>
      </c>
      <c r="AN46" s="48" t="s">
        <v>121</v>
      </c>
      <c r="AO46" s="40" t="s">
        <v>122</v>
      </c>
      <c r="AP46" s="50" t="s">
        <v>123</v>
      </c>
      <c r="AQ46" s="40" t="s">
        <v>124</v>
      </c>
      <c r="AR46" s="35" t="s">
        <v>124</v>
      </c>
      <c r="AS46" s="44" t="s">
        <v>113</v>
      </c>
      <c r="AT46" s="40" t="s">
        <v>125</v>
      </c>
      <c r="AU46" s="50" t="str">
        <f t="shared" si="6"/>
        <v>Fixed Term (Fixed Term)</v>
      </c>
      <c r="AV46" s="44" t="s">
        <v>127</v>
      </c>
      <c r="AW46" s="51">
        <f t="shared" si="5"/>
        <v>45657</v>
      </c>
      <c r="AX46" s="51">
        <f t="shared" si="1"/>
        <v>45657</v>
      </c>
      <c r="AY46" s="41">
        <f t="shared" si="2"/>
        <v>46023</v>
      </c>
      <c r="AZ46" s="43" t="s">
        <v>97</v>
      </c>
      <c r="BA46" s="43" t="s">
        <v>128</v>
      </c>
      <c r="BB46" s="52" t="s">
        <v>384</v>
      </c>
      <c r="BC46" s="44" t="s">
        <v>130</v>
      </c>
      <c r="BD46" s="44" t="s">
        <v>131</v>
      </c>
      <c r="BE46" s="43" t="s">
        <v>97</v>
      </c>
      <c r="BF46" s="43" t="s">
        <v>132</v>
      </c>
      <c r="BG46" s="50">
        <v>5855200074</v>
      </c>
      <c r="BH46" s="44">
        <v>36526</v>
      </c>
      <c r="BI46" s="44">
        <v>51136</v>
      </c>
      <c r="BJ46" s="38" t="s">
        <v>133</v>
      </c>
      <c r="BK46" s="50" t="s">
        <v>134</v>
      </c>
      <c r="BL46" s="53">
        <v>39449</v>
      </c>
      <c r="BM46" s="54" t="s">
        <v>97</v>
      </c>
      <c r="BN46" s="43" t="s">
        <v>109</v>
      </c>
      <c r="BO46" s="38" t="s">
        <v>135</v>
      </c>
      <c r="BP46" s="55" t="s">
        <v>113</v>
      </c>
      <c r="BQ46" s="43" t="s">
        <v>136</v>
      </c>
      <c r="BR46" s="43" t="s">
        <v>97</v>
      </c>
      <c r="BS46" s="49" t="s">
        <v>124</v>
      </c>
      <c r="BT46" s="49" t="s">
        <v>113</v>
      </c>
      <c r="BU46" s="38" t="s">
        <v>137</v>
      </c>
      <c r="BV46" s="38" t="s">
        <v>138</v>
      </c>
      <c r="BW46" s="43" t="s">
        <v>139</v>
      </c>
      <c r="BX46" s="56" t="s">
        <v>140</v>
      </c>
      <c r="BY46" s="43" t="s">
        <v>141</v>
      </c>
      <c r="BZ46" s="43" t="s">
        <v>142</v>
      </c>
      <c r="CA46" s="43" t="s">
        <v>143</v>
      </c>
      <c r="CB46" s="43" t="s">
        <v>144</v>
      </c>
      <c r="CC46" s="56" t="s">
        <v>139</v>
      </c>
      <c r="CD46" s="40" t="s">
        <v>140</v>
      </c>
      <c r="CE46" s="43" t="s">
        <v>141</v>
      </c>
      <c r="CF46" s="43" t="s">
        <v>145</v>
      </c>
      <c r="CG46" s="43" t="s">
        <v>146</v>
      </c>
      <c r="CH46" s="43" t="s">
        <v>145</v>
      </c>
      <c r="CI46" s="57">
        <v>100</v>
      </c>
      <c r="CJ46" s="43" t="s">
        <v>147</v>
      </c>
      <c r="CK46" s="43" t="s">
        <v>148</v>
      </c>
      <c r="CL46" s="43" t="s">
        <v>97</v>
      </c>
      <c r="CM46" s="43" t="s">
        <v>149</v>
      </c>
      <c r="CN46" s="43" t="s">
        <v>150</v>
      </c>
      <c r="CO46" s="49" t="s">
        <v>113</v>
      </c>
      <c r="CP46" s="49" t="s">
        <v>113</v>
      </c>
      <c r="CQ46" s="58" t="s">
        <v>113</v>
      </c>
      <c r="CR46" s="53" t="s">
        <v>113</v>
      </c>
      <c r="CS46" s="49" t="s">
        <v>113</v>
      </c>
      <c r="CT46" s="59" t="s">
        <v>113</v>
      </c>
      <c r="CU46" s="59" t="s">
        <v>113</v>
      </c>
      <c r="CV46" s="35" t="s">
        <v>380</v>
      </c>
    </row>
    <row r="47" ht="14.5" customHeight="1" spans="1:100" x14ac:dyDescent="0.25">
      <c r="A47" s="35" t="s">
        <v>385</v>
      </c>
      <c r="B47" s="36" t="s">
        <v>386</v>
      </c>
      <c r="C47" s="35" t="s">
        <v>95</v>
      </c>
      <c r="D47" s="37" t="s">
        <v>96</v>
      </c>
      <c r="E47" s="38" t="s">
        <v>97</v>
      </c>
      <c r="F47" s="39" t="s">
        <v>387</v>
      </c>
      <c r="G47" s="39" t="s">
        <v>383</v>
      </c>
      <c r="H47" s="40" t="s">
        <v>100</v>
      </c>
      <c r="I47" s="40" t="s">
        <v>101</v>
      </c>
      <c r="J47" s="40" t="s">
        <v>102</v>
      </c>
      <c r="K47" s="41">
        <f t="shared" ref="K47:K57" si="13">Y47</f>
        <v>45658</v>
      </c>
      <c r="L47" s="38" t="s">
        <v>97</v>
      </c>
      <c r="M47" s="40" t="s">
        <v>103</v>
      </c>
      <c r="N47" s="40" t="s">
        <v>154</v>
      </c>
      <c r="O47" s="42" t="s">
        <v>105</v>
      </c>
      <c r="P47" s="38" t="s">
        <v>155</v>
      </c>
      <c r="Q47" s="40" t="s">
        <v>107</v>
      </c>
      <c r="R47" s="40" t="s">
        <v>108</v>
      </c>
      <c r="S47" s="43" t="s">
        <v>109</v>
      </c>
      <c r="T47" s="43" t="s">
        <v>109</v>
      </c>
      <c r="U47" s="40" t="s">
        <v>102</v>
      </c>
      <c r="V47" s="44" t="s">
        <v>110</v>
      </c>
      <c r="W47" s="45" t="s">
        <v>111</v>
      </c>
      <c r="X47" s="40" t="s">
        <v>102</v>
      </c>
      <c r="Y47" s="46">
        <v>45658</v>
      </c>
      <c r="Z47" s="40" t="s">
        <v>112</v>
      </c>
      <c r="AA47" s="47" t="s">
        <v>113</v>
      </c>
      <c r="AB47" s="48" t="s">
        <v>114</v>
      </c>
      <c r="AC47" s="48" t="s">
        <v>115</v>
      </c>
      <c r="AD47" s="48" t="s">
        <v>116</v>
      </c>
      <c r="AE47" s="38">
        <v>970</v>
      </c>
      <c r="AF47" s="38" t="s">
        <v>57</v>
      </c>
      <c r="AG47" s="48">
        <v>15</v>
      </c>
      <c r="AH47" s="49" t="s">
        <v>117</v>
      </c>
      <c r="AI47" s="48" t="s">
        <v>118</v>
      </c>
      <c r="AJ47" s="46">
        <f t="shared" ref="AJ47:AJ51" si="14">Y47+365</f>
        <v>46023</v>
      </c>
      <c r="AK47" s="41">
        <f t="shared" si="0"/>
        <v>45748</v>
      </c>
      <c r="AL47" s="40" t="s">
        <v>119</v>
      </c>
      <c r="AM47" s="49" t="s">
        <v>120</v>
      </c>
      <c r="AN47" s="48" t="s">
        <v>121</v>
      </c>
      <c r="AO47" s="40" t="s">
        <v>122</v>
      </c>
      <c r="AP47" s="50" t="s">
        <v>123</v>
      </c>
      <c r="AQ47" s="40" t="s">
        <v>124</v>
      </c>
      <c r="AR47" s="35" t="s">
        <v>124</v>
      </c>
      <c r="AS47" s="44" t="s">
        <v>113</v>
      </c>
      <c r="AT47" s="40" t="s">
        <v>125</v>
      </c>
      <c r="AU47" s="50" t="str">
        <f t="shared" si="6"/>
        <v>Fixed Term (Fixed Term)</v>
      </c>
      <c r="AV47" s="44" t="s">
        <v>127</v>
      </c>
      <c r="AW47" s="51">
        <f t="shared" si="5"/>
        <v>45657</v>
      </c>
      <c r="AX47" s="51">
        <f t="shared" si="1"/>
        <v>45657</v>
      </c>
      <c r="AY47" s="41">
        <f t="shared" si="2"/>
        <v>46023</v>
      </c>
      <c r="AZ47" s="43" t="s">
        <v>97</v>
      </c>
      <c r="BA47" s="43" t="s">
        <v>128</v>
      </c>
      <c r="BB47" s="52" t="s">
        <v>388</v>
      </c>
      <c r="BC47" s="44">
        <v>36526</v>
      </c>
      <c r="BD47" s="44">
        <v>51136</v>
      </c>
      <c r="BE47" s="43" t="s">
        <v>97</v>
      </c>
      <c r="BF47" s="43" t="s">
        <v>132</v>
      </c>
      <c r="BG47" s="50">
        <v>5855200075</v>
      </c>
      <c r="BH47" s="44">
        <v>36526</v>
      </c>
      <c r="BI47" s="44">
        <v>51136</v>
      </c>
      <c r="BJ47" s="38" t="s">
        <v>133</v>
      </c>
      <c r="BK47" s="50" t="s">
        <v>157</v>
      </c>
      <c r="BL47" s="53">
        <v>39449</v>
      </c>
      <c r="BM47" s="54" t="s">
        <v>97</v>
      </c>
      <c r="BN47" s="43" t="s">
        <v>109</v>
      </c>
      <c r="BO47" s="38" t="s">
        <v>135</v>
      </c>
      <c r="BP47" s="55" t="s">
        <v>113</v>
      </c>
      <c r="BQ47" s="43" t="s">
        <v>136</v>
      </c>
      <c r="BR47" s="43" t="s">
        <v>97</v>
      </c>
      <c r="BS47" s="49" t="s">
        <v>124</v>
      </c>
      <c r="BT47" s="49" t="s">
        <v>113</v>
      </c>
      <c r="BU47" s="38" t="s">
        <v>137</v>
      </c>
      <c r="BV47" s="38" t="s">
        <v>138</v>
      </c>
      <c r="BW47" s="43" t="s">
        <v>139</v>
      </c>
      <c r="BX47" s="56" t="s">
        <v>158</v>
      </c>
      <c r="BY47" s="43" t="s">
        <v>141</v>
      </c>
      <c r="BZ47" s="43" t="s">
        <v>142</v>
      </c>
      <c r="CA47" s="43" t="s">
        <v>143</v>
      </c>
      <c r="CB47" s="43" t="s">
        <v>144</v>
      </c>
      <c r="CC47" s="56" t="s">
        <v>139</v>
      </c>
      <c r="CD47" s="40" t="s">
        <v>140</v>
      </c>
      <c r="CE47" s="43" t="s">
        <v>141</v>
      </c>
      <c r="CF47" s="43" t="s">
        <v>145</v>
      </c>
      <c r="CG47" s="43" t="s">
        <v>146</v>
      </c>
      <c r="CH47" s="43" t="s">
        <v>145</v>
      </c>
      <c r="CI47" s="57">
        <v>100</v>
      </c>
      <c r="CJ47" s="43" t="s">
        <v>147</v>
      </c>
      <c r="CK47" s="43" t="s">
        <v>148</v>
      </c>
      <c r="CL47" s="43" t="s">
        <v>97</v>
      </c>
      <c r="CM47" s="43" t="s">
        <v>159</v>
      </c>
      <c r="CN47" s="43" t="s">
        <v>150</v>
      </c>
      <c r="CO47" s="49" t="s">
        <v>113</v>
      </c>
      <c r="CP47" s="49" t="s">
        <v>113</v>
      </c>
      <c r="CQ47" s="58" t="s">
        <v>113</v>
      </c>
      <c r="CR47" s="53" t="s">
        <v>113</v>
      </c>
      <c r="CS47" s="49" t="s">
        <v>113</v>
      </c>
      <c r="CT47" s="59" t="s">
        <v>113</v>
      </c>
      <c r="CU47" s="59" t="s">
        <v>113</v>
      </c>
      <c r="CV47" s="35" t="s">
        <v>385</v>
      </c>
    </row>
    <row r="48" ht="14.5" customHeight="1" spans="1:100" x14ac:dyDescent="0.25">
      <c r="A48" s="35" t="s">
        <v>389</v>
      </c>
      <c r="B48" s="35" t="s">
        <v>390</v>
      </c>
      <c r="C48" s="35" t="s">
        <v>224</v>
      </c>
      <c r="D48" s="37" t="s">
        <v>96</v>
      </c>
      <c r="E48" s="38" t="s">
        <v>97</v>
      </c>
      <c r="F48" s="39" t="s">
        <v>391</v>
      </c>
      <c r="G48" s="39" t="s">
        <v>383</v>
      </c>
      <c r="H48" s="40" t="s">
        <v>100</v>
      </c>
      <c r="I48" s="40" t="s">
        <v>101</v>
      </c>
      <c r="J48" s="40" t="s">
        <v>102</v>
      </c>
      <c r="K48" s="41">
        <f t="shared" si="13"/>
        <v>45658</v>
      </c>
      <c r="L48" s="38" t="s">
        <v>97</v>
      </c>
      <c r="M48" s="40" t="s">
        <v>103</v>
      </c>
      <c r="N48" s="40" t="s">
        <v>104</v>
      </c>
      <c r="O48" s="42" t="s">
        <v>105</v>
      </c>
      <c r="P48" s="38" t="s">
        <v>106</v>
      </c>
      <c r="Q48" s="40" t="s">
        <v>107</v>
      </c>
      <c r="R48" s="40" t="s">
        <v>108</v>
      </c>
      <c r="S48" s="43" t="s">
        <v>109</v>
      </c>
      <c r="T48" s="43" t="s">
        <v>109</v>
      </c>
      <c r="U48" s="40" t="s">
        <v>102</v>
      </c>
      <c r="V48" s="44" t="s">
        <v>110</v>
      </c>
      <c r="W48" s="45" t="s">
        <v>111</v>
      </c>
      <c r="X48" s="40" t="s">
        <v>102</v>
      </c>
      <c r="Y48" s="46">
        <v>45658</v>
      </c>
      <c r="Z48" s="40" t="s">
        <v>112</v>
      </c>
      <c r="AA48" s="47" t="s">
        <v>113</v>
      </c>
      <c r="AB48" s="48" t="s">
        <v>114</v>
      </c>
      <c r="AC48" s="48" t="s">
        <v>115</v>
      </c>
      <c r="AD48" s="39" t="s">
        <v>116</v>
      </c>
      <c r="AE48" s="38">
        <v>970</v>
      </c>
      <c r="AF48" s="38" t="s">
        <v>57</v>
      </c>
      <c r="AG48" s="39">
        <v>20</v>
      </c>
      <c r="AH48" s="49" t="s">
        <v>117</v>
      </c>
      <c r="AI48" s="48" t="s">
        <v>118</v>
      </c>
      <c r="AJ48" s="46">
        <f t="shared" si="14"/>
        <v>46023</v>
      </c>
      <c r="AK48" s="41">
        <f t="shared" si="0"/>
        <v>45748</v>
      </c>
      <c r="AL48" s="40" t="s">
        <v>119</v>
      </c>
      <c r="AM48" s="49" t="s">
        <v>120</v>
      </c>
      <c r="AN48" s="39" t="s">
        <v>392</v>
      </c>
      <c r="AO48" s="40" t="s">
        <v>122</v>
      </c>
      <c r="AP48" s="50" t="s">
        <v>123</v>
      </c>
      <c r="AQ48" s="40" t="s">
        <v>124</v>
      </c>
      <c r="AR48" s="35" t="s">
        <v>124</v>
      </c>
      <c r="AS48" s="44" t="s">
        <v>113</v>
      </c>
      <c r="AT48" s="40" t="s">
        <v>125</v>
      </c>
      <c r="AU48" s="50" t="str">
        <f t="shared" si="6"/>
        <v>Fixed Term (Fixed Term)</v>
      </c>
      <c r="AV48" s="44" t="s">
        <v>127</v>
      </c>
      <c r="AW48" s="51">
        <f t="shared" si="5"/>
        <v>45657</v>
      </c>
      <c r="AX48" s="51">
        <f t="shared" si="1"/>
        <v>45657</v>
      </c>
      <c r="AY48" s="41">
        <f t="shared" si="2"/>
        <v>46023</v>
      </c>
      <c r="AZ48" s="43" t="s">
        <v>97</v>
      </c>
      <c r="BA48" s="43" t="s">
        <v>128</v>
      </c>
      <c r="BB48" s="52" t="s">
        <v>393</v>
      </c>
      <c r="BC48" s="44" t="s">
        <v>130</v>
      </c>
      <c r="BD48" s="44" t="s">
        <v>131</v>
      </c>
      <c r="BE48" s="43" t="s">
        <v>97</v>
      </c>
      <c r="BF48" s="43" t="s">
        <v>132</v>
      </c>
      <c r="BG48" s="50">
        <v>5855200076</v>
      </c>
      <c r="BH48" s="44">
        <v>36526</v>
      </c>
      <c r="BI48" s="44">
        <v>51136</v>
      </c>
      <c r="BJ48" s="38" t="s">
        <v>133</v>
      </c>
      <c r="BK48" s="50" t="s">
        <v>134</v>
      </c>
      <c r="BL48" s="53">
        <v>39449</v>
      </c>
      <c r="BM48" s="54" t="s">
        <v>97</v>
      </c>
      <c r="BN48" s="43" t="s">
        <v>109</v>
      </c>
      <c r="BO48" s="38" t="s">
        <v>135</v>
      </c>
      <c r="BP48" s="55" t="s">
        <v>113</v>
      </c>
      <c r="BQ48" s="43" t="s">
        <v>136</v>
      </c>
      <c r="BR48" s="43" t="s">
        <v>97</v>
      </c>
      <c r="BS48" s="49" t="s">
        <v>124</v>
      </c>
      <c r="BT48" s="49" t="s">
        <v>113</v>
      </c>
      <c r="BU48" s="38" t="s">
        <v>137</v>
      </c>
      <c r="BV48" s="38" t="s">
        <v>138</v>
      </c>
      <c r="BW48" s="43" t="s">
        <v>139</v>
      </c>
      <c r="BX48" s="56" t="s">
        <v>140</v>
      </c>
      <c r="BY48" s="43" t="s">
        <v>141</v>
      </c>
      <c r="BZ48" s="43" t="s">
        <v>142</v>
      </c>
      <c r="CA48" s="43" t="s">
        <v>143</v>
      </c>
      <c r="CB48" s="43" t="s">
        <v>144</v>
      </c>
      <c r="CC48" s="56" t="s">
        <v>139</v>
      </c>
      <c r="CD48" s="40" t="s">
        <v>140</v>
      </c>
      <c r="CE48" s="43" t="s">
        <v>141</v>
      </c>
      <c r="CF48" s="43" t="s">
        <v>145</v>
      </c>
      <c r="CG48" s="43" t="s">
        <v>146</v>
      </c>
      <c r="CH48" s="43" t="s">
        <v>145</v>
      </c>
      <c r="CI48" s="57">
        <v>100</v>
      </c>
      <c r="CJ48" s="43" t="s">
        <v>147</v>
      </c>
      <c r="CK48" s="43" t="s">
        <v>148</v>
      </c>
      <c r="CL48" s="43" t="s">
        <v>97</v>
      </c>
      <c r="CM48" s="43" t="s">
        <v>149</v>
      </c>
      <c r="CN48" s="43" t="s">
        <v>150</v>
      </c>
      <c r="CO48" s="49" t="s">
        <v>113</v>
      </c>
      <c r="CP48" s="49" t="s">
        <v>113</v>
      </c>
      <c r="CQ48" s="58" t="s">
        <v>113</v>
      </c>
      <c r="CR48" s="53" t="s">
        <v>113</v>
      </c>
      <c r="CS48" s="49" t="s">
        <v>113</v>
      </c>
      <c r="CT48" s="59" t="s">
        <v>113</v>
      </c>
      <c r="CU48" s="59" t="s">
        <v>113</v>
      </c>
      <c r="CV48" s="35" t="s">
        <v>389</v>
      </c>
    </row>
    <row r="49" ht="14.5" customHeight="1" spans="1:100" x14ac:dyDescent="0.25">
      <c r="A49" s="35" t="s">
        <v>394</v>
      </c>
      <c r="B49" s="35" t="s">
        <v>395</v>
      </c>
      <c r="C49" s="35" t="s">
        <v>224</v>
      </c>
      <c r="D49" s="37" t="s">
        <v>96</v>
      </c>
      <c r="E49" s="38" t="s">
        <v>97</v>
      </c>
      <c r="F49" s="39" t="s">
        <v>396</v>
      </c>
      <c r="G49" s="39" t="s">
        <v>383</v>
      </c>
      <c r="H49" s="40" t="s">
        <v>100</v>
      </c>
      <c r="I49" s="40" t="s">
        <v>101</v>
      </c>
      <c r="J49" s="40" t="s">
        <v>102</v>
      </c>
      <c r="K49" s="41">
        <f t="shared" si="13"/>
        <v>45658</v>
      </c>
      <c r="L49" s="38" t="s">
        <v>97</v>
      </c>
      <c r="M49" s="40" t="s">
        <v>103</v>
      </c>
      <c r="N49" s="40" t="s">
        <v>154</v>
      </c>
      <c r="O49" s="42" t="s">
        <v>105</v>
      </c>
      <c r="P49" s="38" t="s">
        <v>155</v>
      </c>
      <c r="Q49" s="40" t="s">
        <v>107</v>
      </c>
      <c r="R49" s="40" t="s">
        <v>108</v>
      </c>
      <c r="S49" s="43" t="s">
        <v>109</v>
      </c>
      <c r="T49" s="43" t="s">
        <v>109</v>
      </c>
      <c r="U49" s="40" t="s">
        <v>102</v>
      </c>
      <c r="V49" s="44" t="s">
        <v>110</v>
      </c>
      <c r="W49" s="45" t="s">
        <v>111</v>
      </c>
      <c r="X49" s="40" t="s">
        <v>102</v>
      </c>
      <c r="Y49" s="46">
        <v>45658</v>
      </c>
      <c r="Z49" s="40" t="s">
        <v>112</v>
      </c>
      <c r="AA49" s="47" t="s">
        <v>113</v>
      </c>
      <c r="AB49" s="48" t="s">
        <v>114</v>
      </c>
      <c r="AC49" s="48" t="s">
        <v>115</v>
      </c>
      <c r="AD49" s="39" t="s">
        <v>116</v>
      </c>
      <c r="AE49" s="38">
        <v>970</v>
      </c>
      <c r="AF49" s="38" t="s">
        <v>57</v>
      </c>
      <c r="AG49" s="39">
        <v>20</v>
      </c>
      <c r="AH49" s="49" t="s">
        <v>117</v>
      </c>
      <c r="AI49" s="48" t="s">
        <v>118</v>
      </c>
      <c r="AJ49" s="46">
        <f t="shared" si="14"/>
        <v>46023</v>
      </c>
      <c r="AK49" s="41">
        <f t="shared" si="0"/>
        <v>45748</v>
      </c>
      <c r="AL49" s="40" t="s">
        <v>119</v>
      </c>
      <c r="AM49" s="49" t="s">
        <v>120</v>
      </c>
      <c r="AN49" s="39" t="s">
        <v>392</v>
      </c>
      <c r="AO49" s="40" t="s">
        <v>122</v>
      </c>
      <c r="AP49" s="50" t="s">
        <v>123</v>
      </c>
      <c r="AQ49" s="40" t="s">
        <v>124</v>
      </c>
      <c r="AR49" s="35" t="s">
        <v>124</v>
      </c>
      <c r="AS49" s="44" t="s">
        <v>113</v>
      </c>
      <c r="AT49" s="40" t="s">
        <v>125</v>
      </c>
      <c r="AU49" s="50" t="str">
        <f t="shared" si="6"/>
        <v>Fixed Term (Fixed Term)</v>
      </c>
      <c r="AV49" s="44" t="s">
        <v>127</v>
      </c>
      <c r="AW49" s="51">
        <f t="shared" si="5"/>
        <v>45657</v>
      </c>
      <c r="AX49" s="51">
        <f t="shared" si="1"/>
        <v>45657</v>
      </c>
      <c r="AY49" s="41">
        <f t="shared" si="2"/>
        <v>46023</v>
      </c>
      <c r="AZ49" s="43" t="s">
        <v>97</v>
      </c>
      <c r="BA49" s="43" t="s">
        <v>128</v>
      </c>
      <c r="BB49" s="52" t="s">
        <v>397</v>
      </c>
      <c r="BC49" s="44">
        <v>36526</v>
      </c>
      <c r="BD49" s="44">
        <v>51136</v>
      </c>
      <c r="BE49" s="43" t="s">
        <v>97</v>
      </c>
      <c r="BF49" s="43" t="s">
        <v>132</v>
      </c>
      <c r="BG49" s="50">
        <v>5855200077</v>
      </c>
      <c r="BH49" s="44">
        <v>36526</v>
      </c>
      <c r="BI49" s="44">
        <v>51136</v>
      </c>
      <c r="BJ49" s="38" t="s">
        <v>133</v>
      </c>
      <c r="BK49" s="50" t="s">
        <v>157</v>
      </c>
      <c r="BL49" s="53">
        <v>39449</v>
      </c>
      <c r="BM49" s="54" t="s">
        <v>97</v>
      </c>
      <c r="BN49" s="43" t="s">
        <v>109</v>
      </c>
      <c r="BO49" s="38" t="s">
        <v>135</v>
      </c>
      <c r="BP49" s="55" t="s">
        <v>113</v>
      </c>
      <c r="BQ49" s="43" t="s">
        <v>136</v>
      </c>
      <c r="BR49" s="43" t="s">
        <v>97</v>
      </c>
      <c r="BS49" s="49" t="s">
        <v>123</v>
      </c>
      <c r="BT49" s="49">
        <v>10</v>
      </c>
      <c r="BU49" s="38" t="s">
        <v>137</v>
      </c>
      <c r="BV49" s="38" t="s">
        <v>138</v>
      </c>
      <c r="BW49" s="43" t="s">
        <v>139</v>
      </c>
      <c r="BX49" s="56" t="s">
        <v>158</v>
      </c>
      <c r="BY49" s="43" t="s">
        <v>141</v>
      </c>
      <c r="BZ49" s="43" t="s">
        <v>142</v>
      </c>
      <c r="CA49" s="43" t="s">
        <v>143</v>
      </c>
      <c r="CB49" s="43" t="s">
        <v>144</v>
      </c>
      <c r="CC49" s="56" t="s">
        <v>139</v>
      </c>
      <c r="CD49" s="40" t="s">
        <v>140</v>
      </c>
      <c r="CE49" s="43" t="s">
        <v>141</v>
      </c>
      <c r="CF49" s="43" t="s">
        <v>145</v>
      </c>
      <c r="CG49" s="43" t="s">
        <v>146</v>
      </c>
      <c r="CH49" s="43" t="s">
        <v>145</v>
      </c>
      <c r="CI49" s="57">
        <v>100</v>
      </c>
      <c r="CJ49" s="43" t="s">
        <v>147</v>
      </c>
      <c r="CK49" s="43" t="s">
        <v>148</v>
      </c>
      <c r="CL49" s="43" t="s">
        <v>97</v>
      </c>
      <c r="CM49" s="43" t="s">
        <v>159</v>
      </c>
      <c r="CN49" s="43" t="s">
        <v>150</v>
      </c>
      <c r="CO49" s="49" t="s">
        <v>113</v>
      </c>
      <c r="CP49" s="49" t="s">
        <v>113</v>
      </c>
      <c r="CQ49" s="58" t="s">
        <v>113</v>
      </c>
      <c r="CR49" s="53" t="s">
        <v>113</v>
      </c>
      <c r="CS49" s="49" t="s">
        <v>113</v>
      </c>
      <c r="CT49" s="59" t="s">
        <v>113</v>
      </c>
      <c r="CU49" s="59" t="s">
        <v>113</v>
      </c>
      <c r="CV49" s="35" t="s">
        <v>394</v>
      </c>
    </row>
    <row r="50" ht="14.5" customHeight="1" spans="1:100" x14ac:dyDescent="0.25">
      <c r="A50" s="35" t="s">
        <v>398</v>
      </c>
      <c r="B50" s="35" t="s">
        <v>399</v>
      </c>
      <c r="C50" s="35" t="s">
        <v>95</v>
      </c>
      <c r="D50" s="37" t="s">
        <v>96</v>
      </c>
      <c r="E50" s="38" t="s">
        <v>97</v>
      </c>
      <c r="F50" s="39" t="s">
        <v>400</v>
      </c>
      <c r="G50" s="39" t="s">
        <v>383</v>
      </c>
      <c r="H50" s="40" t="s">
        <v>100</v>
      </c>
      <c r="I50" s="40" t="s">
        <v>101</v>
      </c>
      <c r="J50" s="40" t="s">
        <v>102</v>
      </c>
      <c r="K50" s="41">
        <f t="shared" si="13"/>
        <v>45658</v>
      </c>
      <c r="L50" s="38" t="s">
        <v>97</v>
      </c>
      <c r="M50" s="40" t="s">
        <v>103</v>
      </c>
      <c r="N50" s="40" t="s">
        <v>104</v>
      </c>
      <c r="O50" s="42" t="s">
        <v>105</v>
      </c>
      <c r="P50" s="38" t="s">
        <v>106</v>
      </c>
      <c r="Q50" s="40" t="s">
        <v>107</v>
      </c>
      <c r="R50" s="40" t="s">
        <v>108</v>
      </c>
      <c r="S50" s="43" t="s">
        <v>109</v>
      </c>
      <c r="T50" s="43" t="s">
        <v>109</v>
      </c>
      <c r="U50" s="40" t="s">
        <v>102</v>
      </c>
      <c r="V50" s="44" t="s">
        <v>110</v>
      </c>
      <c r="W50" s="45" t="s">
        <v>111</v>
      </c>
      <c r="X50" s="40" t="s">
        <v>102</v>
      </c>
      <c r="Y50" s="46">
        <v>45658</v>
      </c>
      <c r="Z50" s="40" t="s">
        <v>112</v>
      </c>
      <c r="AA50" s="47" t="s">
        <v>113</v>
      </c>
      <c r="AB50" s="48" t="s">
        <v>114</v>
      </c>
      <c r="AC50" s="48" t="s">
        <v>211</v>
      </c>
      <c r="AD50" s="48" t="s">
        <v>116</v>
      </c>
      <c r="AE50" s="38">
        <v>970</v>
      </c>
      <c r="AF50" s="38" t="s">
        <v>57</v>
      </c>
      <c r="AG50" s="39">
        <v>25</v>
      </c>
      <c r="AH50" s="49" t="s">
        <v>117</v>
      </c>
      <c r="AI50" s="48" t="s">
        <v>118</v>
      </c>
      <c r="AJ50" s="46">
        <f t="shared" si="14"/>
        <v>46023</v>
      </c>
      <c r="AK50" s="41">
        <f t="shared" si="0"/>
        <v>45748</v>
      </c>
      <c r="AL50" s="40" t="s">
        <v>119</v>
      </c>
      <c r="AM50" s="49" t="s">
        <v>120</v>
      </c>
      <c r="AN50" s="39" t="s">
        <v>212</v>
      </c>
      <c r="AO50" s="40" t="s">
        <v>122</v>
      </c>
      <c r="AP50" s="50" t="s">
        <v>123</v>
      </c>
      <c r="AQ50" s="40" t="s">
        <v>124</v>
      </c>
      <c r="AR50" s="35" t="s">
        <v>124</v>
      </c>
      <c r="AS50" s="44" t="s">
        <v>113</v>
      </c>
      <c r="AT50" s="40" t="s">
        <v>125</v>
      </c>
      <c r="AU50" s="50" t="str">
        <f t="shared" si="6"/>
        <v>Fixed Term (Fixed Term)</v>
      </c>
      <c r="AV50" s="44" t="s">
        <v>127</v>
      </c>
      <c r="AW50" s="51">
        <f t="shared" si="5"/>
        <v>45657</v>
      </c>
      <c r="AX50" s="51">
        <f t="shared" si="1"/>
        <v>45657</v>
      </c>
      <c r="AY50" s="41">
        <f t="shared" si="2"/>
        <v>46023</v>
      </c>
      <c r="AZ50" s="43" t="s">
        <v>97</v>
      </c>
      <c r="BA50" s="43" t="s">
        <v>128</v>
      </c>
      <c r="BB50" s="52" t="s">
        <v>401</v>
      </c>
      <c r="BC50" s="44" t="s">
        <v>130</v>
      </c>
      <c r="BD50" s="44" t="s">
        <v>131</v>
      </c>
      <c r="BE50" s="43" t="s">
        <v>97</v>
      </c>
      <c r="BF50" s="43" t="s">
        <v>132</v>
      </c>
      <c r="BG50" s="50">
        <v>5855200078</v>
      </c>
      <c r="BH50" s="44">
        <v>36526</v>
      </c>
      <c r="BI50" s="44">
        <v>51136</v>
      </c>
      <c r="BJ50" s="38" t="s">
        <v>133</v>
      </c>
      <c r="BK50" s="50" t="s">
        <v>134</v>
      </c>
      <c r="BL50" s="53">
        <v>39516</v>
      </c>
      <c r="BM50" s="54" t="s">
        <v>97</v>
      </c>
      <c r="BN50" s="43" t="s">
        <v>109</v>
      </c>
      <c r="BO50" s="38" t="s">
        <v>135</v>
      </c>
      <c r="BP50" s="55" t="s">
        <v>113</v>
      </c>
      <c r="BQ50" s="43" t="s">
        <v>136</v>
      </c>
      <c r="BR50" s="43" t="s">
        <v>97</v>
      </c>
      <c r="BS50" s="49" t="s">
        <v>124</v>
      </c>
      <c r="BT50" s="49" t="s">
        <v>113</v>
      </c>
      <c r="BU50" s="38" t="s">
        <v>137</v>
      </c>
      <c r="BV50" s="38" t="s">
        <v>138</v>
      </c>
      <c r="BW50" s="43" t="s">
        <v>139</v>
      </c>
      <c r="BX50" s="56" t="s">
        <v>140</v>
      </c>
      <c r="BY50" s="43" t="s">
        <v>141</v>
      </c>
      <c r="BZ50" s="43" t="s">
        <v>142</v>
      </c>
      <c r="CA50" s="43" t="s">
        <v>143</v>
      </c>
      <c r="CB50" s="43" t="s">
        <v>144</v>
      </c>
      <c r="CC50" s="56" t="s">
        <v>139</v>
      </c>
      <c r="CD50" s="40" t="s">
        <v>140</v>
      </c>
      <c r="CE50" s="43" t="s">
        <v>141</v>
      </c>
      <c r="CF50" s="43" t="s">
        <v>145</v>
      </c>
      <c r="CG50" s="43" t="s">
        <v>146</v>
      </c>
      <c r="CH50" s="43" t="s">
        <v>145</v>
      </c>
      <c r="CI50" s="57">
        <v>100</v>
      </c>
      <c r="CJ50" s="43" t="s">
        <v>147</v>
      </c>
      <c r="CK50" s="43" t="s">
        <v>148</v>
      </c>
      <c r="CL50" s="43" t="s">
        <v>97</v>
      </c>
      <c r="CM50" s="43" t="s">
        <v>149</v>
      </c>
      <c r="CN50" s="43" t="s">
        <v>150</v>
      </c>
      <c r="CO50" s="49" t="s">
        <v>113</v>
      </c>
      <c r="CP50" s="49" t="s">
        <v>113</v>
      </c>
      <c r="CQ50" s="58" t="s">
        <v>113</v>
      </c>
      <c r="CR50" s="53" t="s">
        <v>113</v>
      </c>
      <c r="CS50" s="49" t="s">
        <v>113</v>
      </c>
      <c r="CT50" s="59" t="s">
        <v>113</v>
      </c>
      <c r="CU50" s="59" t="s">
        <v>113</v>
      </c>
      <c r="CV50" s="35" t="s">
        <v>398</v>
      </c>
    </row>
    <row r="51" ht="14.5" customHeight="1" spans="1:100" x14ac:dyDescent="0.25">
      <c r="A51" s="35" t="s">
        <v>402</v>
      </c>
      <c r="B51" s="35" t="s">
        <v>403</v>
      </c>
      <c r="C51" s="35" t="s">
        <v>224</v>
      </c>
      <c r="D51" s="37" t="s">
        <v>96</v>
      </c>
      <c r="E51" s="38" t="s">
        <v>97</v>
      </c>
      <c r="F51" s="39" t="s">
        <v>404</v>
      </c>
      <c r="G51" s="39" t="s">
        <v>383</v>
      </c>
      <c r="H51" s="40" t="s">
        <v>100</v>
      </c>
      <c r="I51" s="40" t="s">
        <v>101</v>
      </c>
      <c r="J51" s="40" t="s">
        <v>102</v>
      </c>
      <c r="K51" s="41">
        <f t="shared" si="13"/>
        <v>45658</v>
      </c>
      <c r="L51" s="38" t="s">
        <v>97</v>
      </c>
      <c r="M51" s="40" t="s">
        <v>103</v>
      </c>
      <c r="N51" s="40" t="s">
        <v>154</v>
      </c>
      <c r="O51" s="42" t="s">
        <v>105</v>
      </c>
      <c r="P51" s="38" t="s">
        <v>155</v>
      </c>
      <c r="Q51" s="40" t="s">
        <v>107</v>
      </c>
      <c r="R51" s="40" t="s">
        <v>108</v>
      </c>
      <c r="S51" s="43" t="s">
        <v>109</v>
      </c>
      <c r="T51" s="43" t="s">
        <v>109</v>
      </c>
      <c r="U51" s="40" t="s">
        <v>102</v>
      </c>
      <c r="V51" s="44" t="s">
        <v>110</v>
      </c>
      <c r="W51" s="45" t="s">
        <v>111</v>
      </c>
      <c r="X51" s="40" t="s">
        <v>102</v>
      </c>
      <c r="Y51" s="46">
        <v>45658</v>
      </c>
      <c r="Z51" s="40" t="s">
        <v>112</v>
      </c>
      <c r="AA51" s="47" t="s">
        <v>113</v>
      </c>
      <c r="AB51" s="48" t="s">
        <v>114</v>
      </c>
      <c r="AC51" s="48" t="s">
        <v>211</v>
      </c>
      <c r="AD51" s="48" t="s">
        <v>116</v>
      </c>
      <c r="AE51" s="38">
        <v>970</v>
      </c>
      <c r="AF51" s="38" t="s">
        <v>57</v>
      </c>
      <c r="AG51" s="39">
        <v>25</v>
      </c>
      <c r="AH51" s="49" t="s">
        <v>117</v>
      </c>
      <c r="AI51" s="48" t="s">
        <v>118</v>
      </c>
      <c r="AJ51" s="46">
        <f t="shared" si="14"/>
        <v>46023</v>
      </c>
      <c r="AK51" s="41">
        <f t="shared" si="0"/>
        <v>45748</v>
      </c>
      <c r="AL51" s="40" t="s">
        <v>119</v>
      </c>
      <c r="AM51" s="49" t="s">
        <v>120</v>
      </c>
      <c r="AN51" s="39" t="s">
        <v>212</v>
      </c>
      <c r="AO51" s="40" t="s">
        <v>122</v>
      </c>
      <c r="AP51" s="50" t="s">
        <v>123</v>
      </c>
      <c r="AQ51" s="40" t="s">
        <v>124</v>
      </c>
      <c r="AR51" s="35" t="s">
        <v>124</v>
      </c>
      <c r="AS51" s="44" t="s">
        <v>113</v>
      </c>
      <c r="AT51" s="40" t="s">
        <v>125</v>
      </c>
      <c r="AU51" s="50" t="str">
        <f t="shared" si="6"/>
        <v>Fixed Term (Fixed Term)</v>
      </c>
      <c r="AV51" s="44" t="s">
        <v>127</v>
      </c>
      <c r="AW51" s="51">
        <f t="shared" si="5"/>
        <v>45657</v>
      </c>
      <c r="AX51" s="51">
        <f t="shared" si="1"/>
        <v>45657</v>
      </c>
      <c r="AY51" s="41">
        <f t="shared" si="2"/>
        <v>46023</v>
      </c>
      <c r="AZ51" s="43" t="s">
        <v>97</v>
      </c>
      <c r="BA51" s="43" t="s">
        <v>128</v>
      </c>
      <c r="BB51" s="52" t="s">
        <v>405</v>
      </c>
      <c r="BC51" s="44">
        <v>36526</v>
      </c>
      <c r="BD51" s="44">
        <v>51136</v>
      </c>
      <c r="BE51" s="43" t="s">
        <v>97</v>
      </c>
      <c r="BF51" s="43" t="s">
        <v>132</v>
      </c>
      <c r="BG51" s="50">
        <v>5855200079</v>
      </c>
      <c r="BH51" s="44">
        <v>36526</v>
      </c>
      <c r="BI51" s="44">
        <v>51136</v>
      </c>
      <c r="BJ51" s="38" t="s">
        <v>133</v>
      </c>
      <c r="BK51" s="50" t="s">
        <v>157</v>
      </c>
      <c r="BL51" s="53">
        <v>39449</v>
      </c>
      <c r="BM51" s="54" t="s">
        <v>97</v>
      </c>
      <c r="BN51" s="43" t="s">
        <v>109</v>
      </c>
      <c r="BO51" s="38" t="s">
        <v>135</v>
      </c>
      <c r="BP51" s="55" t="s">
        <v>113</v>
      </c>
      <c r="BQ51" s="43" t="s">
        <v>136</v>
      </c>
      <c r="BR51" s="43" t="s">
        <v>97</v>
      </c>
      <c r="BS51" s="49" t="s">
        <v>124</v>
      </c>
      <c r="BT51" s="49" t="s">
        <v>113</v>
      </c>
      <c r="BU51" s="38" t="s">
        <v>137</v>
      </c>
      <c r="BV51" s="38" t="s">
        <v>138</v>
      </c>
      <c r="BW51" s="43" t="s">
        <v>139</v>
      </c>
      <c r="BX51" s="56" t="s">
        <v>158</v>
      </c>
      <c r="BY51" s="43" t="s">
        <v>141</v>
      </c>
      <c r="BZ51" s="43" t="s">
        <v>142</v>
      </c>
      <c r="CA51" s="43" t="s">
        <v>143</v>
      </c>
      <c r="CB51" s="43" t="s">
        <v>144</v>
      </c>
      <c r="CC51" s="56" t="s">
        <v>139</v>
      </c>
      <c r="CD51" s="40" t="s">
        <v>140</v>
      </c>
      <c r="CE51" s="43" t="s">
        <v>141</v>
      </c>
      <c r="CF51" s="43" t="s">
        <v>145</v>
      </c>
      <c r="CG51" s="43" t="s">
        <v>146</v>
      </c>
      <c r="CH51" s="43" t="s">
        <v>145</v>
      </c>
      <c r="CI51" s="57">
        <v>100</v>
      </c>
      <c r="CJ51" s="43" t="s">
        <v>147</v>
      </c>
      <c r="CK51" s="43" t="s">
        <v>148</v>
      </c>
      <c r="CL51" s="43" t="s">
        <v>97</v>
      </c>
      <c r="CM51" s="43" t="s">
        <v>159</v>
      </c>
      <c r="CN51" s="43" t="s">
        <v>150</v>
      </c>
      <c r="CO51" s="49" t="s">
        <v>113</v>
      </c>
      <c r="CP51" s="49" t="s">
        <v>113</v>
      </c>
      <c r="CQ51" s="58" t="s">
        <v>113</v>
      </c>
      <c r="CR51" s="53" t="s">
        <v>113</v>
      </c>
      <c r="CS51" s="49" t="s">
        <v>113</v>
      </c>
      <c r="CT51" s="59" t="s">
        <v>113</v>
      </c>
      <c r="CU51" s="59" t="s">
        <v>113</v>
      </c>
      <c r="CV51" s="35" t="s">
        <v>402</v>
      </c>
    </row>
    <row r="52" ht="14.5" customHeight="1" spans="1:100" x14ac:dyDescent="0.25">
      <c r="A52" s="35" t="s">
        <v>406</v>
      </c>
      <c r="B52" s="35" t="s">
        <v>407</v>
      </c>
      <c r="C52" s="35" t="s">
        <v>95</v>
      </c>
      <c r="D52" s="37" t="s">
        <v>96</v>
      </c>
      <c r="E52" s="38" t="s">
        <v>97</v>
      </c>
      <c r="F52" s="39" t="s">
        <v>408</v>
      </c>
      <c r="G52" s="39" t="s">
        <v>383</v>
      </c>
      <c r="H52" s="40" t="s">
        <v>100</v>
      </c>
      <c r="I52" s="40" t="s">
        <v>101</v>
      </c>
      <c r="J52" s="40" t="s">
        <v>102</v>
      </c>
      <c r="K52" s="41">
        <f t="shared" si="13"/>
        <v>45292</v>
      </c>
      <c r="L52" s="38" t="s">
        <v>97</v>
      </c>
      <c r="M52" s="40" t="s">
        <v>103</v>
      </c>
      <c r="N52" s="40" t="s">
        <v>104</v>
      </c>
      <c r="O52" s="42" t="s">
        <v>105</v>
      </c>
      <c r="P52" s="38" t="s">
        <v>106</v>
      </c>
      <c r="Q52" s="40" t="s">
        <v>107</v>
      </c>
      <c r="R52" s="40" t="s">
        <v>108</v>
      </c>
      <c r="S52" s="43" t="s">
        <v>109</v>
      </c>
      <c r="T52" s="43" t="s">
        <v>109</v>
      </c>
      <c r="U52" s="40" t="s">
        <v>102</v>
      </c>
      <c r="V52" s="44" t="s">
        <v>110</v>
      </c>
      <c r="W52" s="45" t="s">
        <v>111</v>
      </c>
      <c r="X52" s="40" t="s">
        <v>102</v>
      </c>
      <c r="Y52" s="46">
        <v>45292</v>
      </c>
      <c r="Z52" s="40" t="s">
        <v>112</v>
      </c>
      <c r="AA52" s="47" t="s">
        <v>113</v>
      </c>
      <c r="AB52" s="48" t="s">
        <v>240</v>
      </c>
      <c r="AC52" s="48" t="s">
        <v>241</v>
      </c>
      <c r="AD52" s="39" t="s">
        <v>116</v>
      </c>
      <c r="AE52" s="38">
        <v>970</v>
      </c>
      <c r="AF52" s="38" t="s">
        <v>57</v>
      </c>
      <c r="AG52" s="39">
        <v>30</v>
      </c>
      <c r="AH52" s="49" t="s">
        <v>117</v>
      </c>
      <c r="AI52" s="48" t="s">
        <v>118</v>
      </c>
      <c r="AJ52" s="46" t="s">
        <v>113</v>
      </c>
      <c r="AK52" s="41">
        <f t="shared" si="0"/>
        <v>45382</v>
      </c>
      <c r="AL52" s="40" t="s">
        <v>119</v>
      </c>
      <c r="AM52" s="49" t="s">
        <v>120</v>
      </c>
      <c r="AN52" s="39" t="s">
        <v>242</v>
      </c>
      <c r="AO52" s="40" t="s">
        <v>122</v>
      </c>
      <c r="AP52" s="50" t="s">
        <v>123</v>
      </c>
      <c r="AQ52" s="40" t="s">
        <v>124</v>
      </c>
      <c r="AR52" s="35" t="s">
        <v>124</v>
      </c>
      <c r="AS52" s="44" t="s">
        <v>113</v>
      </c>
      <c r="AT52" s="40" t="s">
        <v>125</v>
      </c>
      <c r="AU52" s="50" t="str">
        <f t="shared" si="6"/>
        <v>Permanent</v>
      </c>
      <c r="AV52" s="44" t="s">
        <v>127</v>
      </c>
      <c r="AW52" s="51">
        <f t="shared" si="5"/>
        <v>45291</v>
      </c>
      <c r="AX52" s="51">
        <f t="shared" si="1"/>
        <v>45291</v>
      </c>
      <c r="AY52" s="41">
        <f t="shared" si="2"/>
        <v>NaN</v>
      </c>
      <c r="AZ52" s="43" t="s">
        <v>97</v>
      </c>
      <c r="BA52" s="43" t="s">
        <v>128</v>
      </c>
      <c r="BB52" s="52" t="s">
        <v>409</v>
      </c>
      <c r="BC52" s="44" t="s">
        <v>130</v>
      </c>
      <c r="BD52" s="44" t="s">
        <v>131</v>
      </c>
      <c r="BE52" s="43" t="s">
        <v>97</v>
      </c>
      <c r="BF52" s="43" t="s">
        <v>132</v>
      </c>
      <c r="BG52" s="50">
        <v>5855200080</v>
      </c>
      <c r="BH52" s="44">
        <v>36526</v>
      </c>
      <c r="BI52" s="44">
        <v>51136</v>
      </c>
      <c r="BJ52" s="38" t="s">
        <v>133</v>
      </c>
      <c r="BK52" s="50" t="s">
        <v>134</v>
      </c>
      <c r="BL52" s="53">
        <v>39449</v>
      </c>
      <c r="BM52" s="54" t="s">
        <v>97</v>
      </c>
      <c r="BN52" s="43" t="s">
        <v>109</v>
      </c>
      <c r="BO52" s="38" t="s">
        <v>135</v>
      </c>
      <c r="BP52" s="55" t="s">
        <v>113</v>
      </c>
      <c r="BQ52" s="43" t="s">
        <v>136</v>
      </c>
      <c r="BR52" s="43" t="s">
        <v>97</v>
      </c>
      <c r="BS52" s="49" t="s">
        <v>123</v>
      </c>
      <c r="BT52" s="49">
        <v>10</v>
      </c>
      <c r="BU52" s="38" t="s">
        <v>137</v>
      </c>
      <c r="BV52" s="38" t="s">
        <v>138</v>
      </c>
      <c r="BW52" s="43" t="s">
        <v>139</v>
      </c>
      <c r="BX52" s="56" t="s">
        <v>140</v>
      </c>
      <c r="BY52" s="43" t="s">
        <v>141</v>
      </c>
      <c r="BZ52" s="43" t="s">
        <v>142</v>
      </c>
      <c r="CA52" s="43" t="s">
        <v>143</v>
      </c>
      <c r="CB52" s="43" t="s">
        <v>144</v>
      </c>
      <c r="CC52" s="56" t="s">
        <v>139</v>
      </c>
      <c r="CD52" s="40" t="s">
        <v>140</v>
      </c>
      <c r="CE52" s="43" t="s">
        <v>141</v>
      </c>
      <c r="CF52" s="43" t="s">
        <v>145</v>
      </c>
      <c r="CG52" s="43" t="s">
        <v>146</v>
      </c>
      <c r="CH52" s="43" t="s">
        <v>145</v>
      </c>
      <c r="CI52" s="57">
        <v>100</v>
      </c>
      <c r="CJ52" s="43" t="s">
        <v>147</v>
      </c>
      <c r="CK52" s="43" t="s">
        <v>148</v>
      </c>
      <c r="CL52" s="43" t="s">
        <v>97</v>
      </c>
      <c r="CM52" s="43" t="s">
        <v>149</v>
      </c>
      <c r="CN52" s="43" t="s">
        <v>150</v>
      </c>
      <c r="CO52" s="49" t="s">
        <v>113</v>
      </c>
      <c r="CP52" s="49" t="s">
        <v>113</v>
      </c>
      <c r="CQ52" s="58" t="s">
        <v>113</v>
      </c>
      <c r="CR52" s="53" t="s">
        <v>113</v>
      </c>
      <c r="CS52" s="49" t="s">
        <v>113</v>
      </c>
      <c r="CT52" s="59" t="s">
        <v>113</v>
      </c>
      <c r="CU52" s="59" t="s">
        <v>113</v>
      </c>
      <c r="CV52" s="35" t="s">
        <v>406</v>
      </c>
    </row>
    <row r="53" ht="14.5" customHeight="1" spans="1:100" x14ac:dyDescent="0.25">
      <c r="A53" s="35" t="s">
        <v>410</v>
      </c>
      <c r="B53" s="35" t="s">
        <v>411</v>
      </c>
      <c r="C53" s="35" t="s">
        <v>95</v>
      </c>
      <c r="D53" s="37" t="s">
        <v>96</v>
      </c>
      <c r="E53" s="38" t="s">
        <v>97</v>
      </c>
      <c r="F53" s="39" t="s">
        <v>412</v>
      </c>
      <c r="G53" s="39" t="s">
        <v>383</v>
      </c>
      <c r="H53" s="40" t="s">
        <v>100</v>
      </c>
      <c r="I53" s="40" t="s">
        <v>101</v>
      </c>
      <c r="J53" s="40" t="s">
        <v>102</v>
      </c>
      <c r="K53" s="41">
        <f t="shared" si="13"/>
        <v>45658</v>
      </c>
      <c r="L53" s="38" t="s">
        <v>97</v>
      </c>
      <c r="M53" s="40" t="s">
        <v>103</v>
      </c>
      <c r="N53" s="40" t="s">
        <v>154</v>
      </c>
      <c r="O53" s="42" t="s">
        <v>105</v>
      </c>
      <c r="P53" s="38" t="s">
        <v>155</v>
      </c>
      <c r="Q53" s="40" t="s">
        <v>107</v>
      </c>
      <c r="R53" s="40" t="s">
        <v>108</v>
      </c>
      <c r="S53" s="43" t="s">
        <v>109</v>
      </c>
      <c r="T53" s="43" t="s">
        <v>109</v>
      </c>
      <c r="U53" s="40" t="s">
        <v>102</v>
      </c>
      <c r="V53" s="44" t="s">
        <v>110</v>
      </c>
      <c r="W53" s="45" t="s">
        <v>111</v>
      </c>
      <c r="X53" s="40" t="s">
        <v>102</v>
      </c>
      <c r="Y53" s="46">
        <v>45658</v>
      </c>
      <c r="Z53" s="40" t="s">
        <v>112</v>
      </c>
      <c r="AA53" s="47" t="s">
        <v>113</v>
      </c>
      <c r="AB53" s="48" t="s">
        <v>240</v>
      </c>
      <c r="AC53" s="48" t="s">
        <v>241</v>
      </c>
      <c r="AD53" s="39" t="s">
        <v>116</v>
      </c>
      <c r="AE53" s="38">
        <v>970</v>
      </c>
      <c r="AF53" s="38" t="s">
        <v>57</v>
      </c>
      <c r="AG53" s="39">
        <v>30</v>
      </c>
      <c r="AH53" s="49" t="s">
        <v>117</v>
      </c>
      <c r="AI53" s="48" t="s">
        <v>118</v>
      </c>
      <c r="AJ53" s="46" t="s">
        <v>113</v>
      </c>
      <c r="AK53" s="41">
        <f t="shared" si="0"/>
        <v>45748</v>
      </c>
      <c r="AL53" s="40" t="s">
        <v>119</v>
      </c>
      <c r="AM53" s="49" t="s">
        <v>120</v>
      </c>
      <c r="AN53" s="39" t="s">
        <v>242</v>
      </c>
      <c r="AO53" s="40" t="s">
        <v>122</v>
      </c>
      <c r="AP53" s="50" t="s">
        <v>123</v>
      </c>
      <c r="AQ53" s="40" t="s">
        <v>124</v>
      </c>
      <c r="AR53" s="35" t="s">
        <v>124</v>
      </c>
      <c r="AS53" s="44" t="s">
        <v>113</v>
      </c>
      <c r="AT53" s="40" t="s">
        <v>125</v>
      </c>
      <c r="AU53" s="50" t="str">
        <f t="shared" si="6"/>
        <v>Permanent</v>
      </c>
      <c r="AV53" s="44" t="s">
        <v>127</v>
      </c>
      <c r="AW53" s="51">
        <f t="shared" si="5"/>
        <v>45657</v>
      </c>
      <c r="AX53" s="51">
        <f t="shared" si="1"/>
        <v>45657</v>
      </c>
      <c r="AY53" s="41">
        <f t="shared" si="2"/>
        <v>NaN</v>
      </c>
      <c r="AZ53" s="43" t="s">
        <v>97</v>
      </c>
      <c r="BA53" s="43" t="s">
        <v>128</v>
      </c>
      <c r="BB53" s="52" t="s">
        <v>413</v>
      </c>
      <c r="BC53" s="44">
        <v>36526</v>
      </c>
      <c r="BD53" s="44">
        <v>51136</v>
      </c>
      <c r="BE53" s="43" t="s">
        <v>97</v>
      </c>
      <c r="BF53" s="43" t="s">
        <v>132</v>
      </c>
      <c r="BG53" s="50">
        <v>5855200081</v>
      </c>
      <c r="BH53" s="44">
        <v>36526</v>
      </c>
      <c r="BI53" s="44">
        <v>51136</v>
      </c>
      <c r="BJ53" s="38" t="s">
        <v>133</v>
      </c>
      <c r="BK53" s="50" t="s">
        <v>157</v>
      </c>
      <c r="BL53" s="53">
        <v>39449</v>
      </c>
      <c r="BM53" s="54" t="s">
        <v>97</v>
      </c>
      <c r="BN53" s="43" t="s">
        <v>109</v>
      </c>
      <c r="BO53" s="38" t="s">
        <v>135</v>
      </c>
      <c r="BP53" s="55" t="s">
        <v>113</v>
      </c>
      <c r="BQ53" s="43" t="s">
        <v>136</v>
      </c>
      <c r="BR53" s="43" t="s">
        <v>97</v>
      </c>
      <c r="BS53" s="49" t="s">
        <v>124</v>
      </c>
      <c r="BT53" s="49" t="s">
        <v>113</v>
      </c>
      <c r="BU53" s="38" t="s">
        <v>137</v>
      </c>
      <c r="BV53" s="38" t="s">
        <v>138</v>
      </c>
      <c r="BW53" s="43" t="s">
        <v>139</v>
      </c>
      <c r="BX53" s="56" t="s">
        <v>158</v>
      </c>
      <c r="BY53" s="43" t="s">
        <v>141</v>
      </c>
      <c r="BZ53" s="43" t="s">
        <v>142</v>
      </c>
      <c r="CA53" s="43" t="s">
        <v>143</v>
      </c>
      <c r="CB53" s="43" t="s">
        <v>144</v>
      </c>
      <c r="CC53" s="56" t="s">
        <v>139</v>
      </c>
      <c r="CD53" s="40" t="s">
        <v>140</v>
      </c>
      <c r="CE53" s="43" t="s">
        <v>141</v>
      </c>
      <c r="CF53" s="43" t="s">
        <v>145</v>
      </c>
      <c r="CG53" s="43" t="s">
        <v>146</v>
      </c>
      <c r="CH53" s="43" t="s">
        <v>145</v>
      </c>
      <c r="CI53" s="57">
        <v>100</v>
      </c>
      <c r="CJ53" s="43" t="s">
        <v>147</v>
      </c>
      <c r="CK53" s="43" t="s">
        <v>148</v>
      </c>
      <c r="CL53" s="43" t="s">
        <v>97</v>
      </c>
      <c r="CM53" s="43" t="s">
        <v>159</v>
      </c>
      <c r="CN53" s="43" t="s">
        <v>150</v>
      </c>
      <c r="CO53" s="49" t="s">
        <v>113</v>
      </c>
      <c r="CP53" s="49" t="s">
        <v>113</v>
      </c>
      <c r="CQ53" s="58" t="s">
        <v>113</v>
      </c>
      <c r="CR53" s="53" t="s">
        <v>113</v>
      </c>
      <c r="CS53" s="49" t="s">
        <v>113</v>
      </c>
      <c r="CT53" s="59" t="s">
        <v>113</v>
      </c>
      <c r="CU53" s="59" t="s">
        <v>113</v>
      </c>
      <c r="CV53" s="35" t="s">
        <v>410</v>
      </c>
    </row>
    <row r="54" ht="14.5" customHeight="1" spans="1:100" x14ac:dyDescent="0.25">
      <c r="A54" s="35" t="s">
        <v>414</v>
      </c>
      <c r="B54" s="35" t="s">
        <v>415</v>
      </c>
      <c r="C54" s="35" t="s">
        <v>95</v>
      </c>
      <c r="D54" s="37" t="s">
        <v>96</v>
      </c>
      <c r="E54" s="38" t="s">
        <v>97</v>
      </c>
      <c r="F54" s="39" t="s">
        <v>416</v>
      </c>
      <c r="G54" s="39" t="s">
        <v>383</v>
      </c>
      <c r="H54" s="40" t="s">
        <v>100</v>
      </c>
      <c r="I54" s="40" t="s">
        <v>101</v>
      </c>
      <c r="J54" s="40" t="s">
        <v>102</v>
      </c>
      <c r="K54" s="41">
        <f t="shared" si="13"/>
        <v>45292</v>
      </c>
      <c r="L54" s="38" t="s">
        <v>97</v>
      </c>
      <c r="M54" s="40" t="s">
        <v>103</v>
      </c>
      <c r="N54" s="40" t="s">
        <v>104</v>
      </c>
      <c r="O54" s="42" t="s">
        <v>105</v>
      </c>
      <c r="P54" s="38" t="s">
        <v>106</v>
      </c>
      <c r="Q54" s="40" t="s">
        <v>107</v>
      </c>
      <c r="R54" s="40" t="s">
        <v>108</v>
      </c>
      <c r="S54" s="43" t="s">
        <v>109</v>
      </c>
      <c r="T54" s="43" t="s">
        <v>109</v>
      </c>
      <c r="U54" s="40" t="s">
        <v>102</v>
      </c>
      <c r="V54" s="44" t="s">
        <v>110</v>
      </c>
      <c r="W54" s="45" t="s">
        <v>111</v>
      </c>
      <c r="X54" s="40" t="s">
        <v>102</v>
      </c>
      <c r="Y54" s="46">
        <v>45292</v>
      </c>
      <c r="Z54" s="40" t="s">
        <v>112</v>
      </c>
      <c r="AA54" s="47" t="s">
        <v>113</v>
      </c>
      <c r="AB54" s="48" t="s">
        <v>240</v>
      </c>
      <c r="AC54" s="48" t="s">
        <v>266</v>
      </c>
      <c r="AD54" s="48" t="s">
        <v>116</v>
      </c>
      <c r="AE54" s="38">
        <v>970</v>
      </c>
      <c r="AF54" s="38" t="s">
        <v>57</v>
      </c>
      <c r="AG54" s="39">
        <v>30</v>
      </c>
      <c r="AH54" s="49" t="s">
        <v>117</v>
      </c>
      <c r="AI54" s="48" t="s">
        <v>118</v>
      </c>
      <c r="AJ54" s="46" t="s">
        <v>113</v>
      </c>
      <c r="AK54" s="41">
        <f t="shared" si="0"/>
        <v>45382</v>
      </c>
      <c r="AL54" s="40" t="s">
        <v>119</v>
      </c>
      <c r="AM54" s="49" t="s">
        <v>120</v>
      </c>
      <c r="AN54" s="39" t="s">
        <v>267</v>
      </c>
      <c r="AO54" s="40" t="s">
        <v>122</v>
      </c>
      <c r="AP54" s="50" t="s">
        <v>123</v>
      </c>
      <c r="AQ54" s="40" t="s">
        <v>124</v>
      </c>
      <c r="AR54" s="35" t="s">
        <v>124</v>
      </c>
      <c r="AS54" s="44" t="s">
        <v>113</v>
      </c>
      <c r="AT54" s="40" t="s">
        <v>125</v>
      </c>
      <c r="AU54" s="50" t="str">
        <f t="shared" si="6"/>
        <v>Permanent</v>
      </c>
      <c r="AV54" s="44" t="s">
        <v>127</v>
      </c>
      <c r="AW54" s="51">
        <f t="shared" si="5"/>
        <v>45291</v>
      </c>
      <c r="AX54" s="51">
        <f t="shared" si="1"/>
        <v>45291</v>
      </c>
      <c r="AY54" s="41">
        <f t="shared" si="2"/>
        <v>NaN</v>
      </c>
      <c r="AZ54" s="43" t="s">
        <v>97</v>
      </c>
      <c r="BA54" s="43" t="s">
        <v>128</v>
      </c>
      <c r="BB54" s="52" t="s">
        <v>417</v>
      </c>
      <c r="BC54" s="44" t="s">
        <v>130</v>
      </c>
      <c r="BD54" s="44" t="s">
        <v>131</v>
      </c>
      <c r="BE54" s="43" t="s">
        <v>97</v>
      </c>
      <c r="BF54" s="43" t="s">
        <v>132</v>
      </c>
      <c r="BG54" s="50">
        <v>5855200082</v>
      </c>
      <c r="BH54" s="44">
        <v>36526</v>
      </c>
      <c r="BI54" s="44">
        <v>51136</v>
      </c>
      <c r="BJ54" s="38" t="s">
        <v>133</v>
      </c>
      <c r="BK54" s="50" t="s">
        <v>134</v>
      </c>
      <c r="BL54" s="53">
        <v>39449</v>
      </c>
      <c r="BM54" s="54" t="s">
        <v>97</v>
      </c>
      <c r="BN54" s="43" t="s">
        <v>109</v>
      </c>
      <c r="BO54" s="38" t="s">
        <v>135</v>
      </c>
      <c r="BP54" s="55" t="s">
        <v>113</v>
      </c>
      <c r="BQ54" s="43" t="s">
        <v>136</v>
      </c>
      <c r="BR54" s="43" t="s">
        <v>97</v>
      </c>
      <c r="BS54" s="49" t="s">
        <v>124</v>
      </c>
      <c r="BT54" s="49" t="s">
        <v>113</v>
      </c>
      <c r="BU54" s="38" t="s">
        <v>137</v>
      </c>
      <c r="BV54" s="38" t="s">
        <v>138</v>
      </c>
      <c r="BW54" s="43" t="s">
        <v>139</v>
      </c>
      <c r="BX54" s="56" t="s">
        <v>140</v>
      </c>
      <c r="BY54" s="43" t="s">
        <v>141</v>
      </c>
      <c r="BZ54" s="43" t="s">
        <v>142</v>
      </c>
      <c r="CA54" s="43" t="s">
        <v>143</v>
      </c>
      <c r="CB54" s="43" t="s">
        <v>144</v>
      </c>
      <c r="CC54" s="56" t="s">
        <v>139</v>
      </c>
      <c r="CD54" s="40" t="s">
        <v>140</v>
      </c>
      <c r="CE54" s="43" t="s">
        <v>141</v>
      </c>
      <c r="CF54" s="43" t="s">
        <v>145</v>
      </c>
      <c r="CG54" s="43" t="s">
        <v>146</v>
      </c>
      <c r="CH54" s="43" t="s">
        <v>145</v>
      </c>
      <c r="CI54" s="57">
        <v>100</v>
      </c>
      <c r="CJ54" s="43" t="s">
        <v>147</v>
      </c>
      <c r="CK54" s="43" t="s">
        <v>148</v>
      </c>
      <c r="CL54" s="43" t="s">
        <v>97</v>
      </c>
      <c r="CM54" s="43" t="s">
        <v>149</v>
      </c>
      <c r="CN54" s="43" t="s">
        <v>150</v>
      </c>
      <c r="CO54" s="49" t="s">
        <v>113</v>
      </c>
      <c r="CP54" s="49" t="s">
        <v>113</v>
      </c>
      <c r="CQ54" s="58" t="s">
        <v>113</v>
      </c>
      <c r="CR54" s="53" t="s">
        <v>113</v>
      </c>
      <c r="CS54" s="49" t="s">
        <v>113</v>
      </c>
      <c r="CT54" s="59" t="s">
        <v>113</v>
      </c>
      <c r="CU54" s="59" t="s">
        <v>113</v>
      </c>
      <c r="CV54" s="35" t="s">
        <v>414</v>
      </c>
    </row>
    <row r="55" ht="14.5" customHeight="1" spans="1:100" x14ac:dyDescent="0.25">
      <c r="A55" s="35" t="s">
        <v>418</v>
      </c>
      <c r="B55" s="35" t="s">
        <v>419</v>
      </c>
      <c r="C55" s="35" t="s">
        <v>224</v>
      </c>
      <c r="D55" s="37" t="s">
        <v>96</v>
      </c>
      <c r="E55" s="38" t="s">
        <v>97</v>
      </c>
      <c r="F55" s="39" t="s">
        <v>420</v>
      </c>
      <c r="G55" s="39" t="s">
        <v>383</v>
      </c>
      <c r="H55" s="40" t="s">
        <v>100</v>
      </c>
      <c r="I55" s="40" t="s">
        <v>101</v>
      </c>
      <c r="J55" s="40" t="s">
        <v>102</v>
      </c>
      <c r="K55" s="41">
        <f t="shared" si="13"/>
        <v>45658</v>
      </c>
      <c r="L55" s="38" t="s">
        <v>97</v>
      </c>
      <c r="M55" s="40" t="s">
        <v>103</v>
      </c>
      <c r="N55" s="40" t="s">
        <v>154</v>
      </c>
      <c r="O55" s="42" t="s">
        <v>105</v>
      </c>
      <c r="P55" s="38" t="s">
        <v>155</v>
      </c>
      <c r="Q55" s="40" t="s">
        <v>107</v>
      </c>
      <c r="R55" s="40" t="s">
        <v>108</v>
      </c>
      <c r="S55" s="43" t="s">
        <v>109</v>
      </c>
      <c r="T55" s="43" t="s">
        <v>109</v>
      </c>
      <c r="U55" s="40" t="s">
        <v>102</v>
      </c>
      <c r="V55" s="44" t="s">
        <v>110</v>
      </c>
      <c r="W55" s="45" t="s">
        <v>111</v>
      </c>
      <c r="X55" s="40" t="s">
        <v>102</v>
      </c>
      <c r="Y55" s="46">
        <v>45658</v>
      </c>
      <c r="Z55" s="40" t="s">
        <v>112</v>
      </c>
      <c r="AA55" s="47" t="s">
        <v>113</v>
      </c>
      <c r="AB55" s="48" t="s">
        <v>240</v>
      </c>
      <c r="AC55" s="48" t="s">
        <v>266</v>
      </c>
      <c r="AD55" s="48" t="s">
        <v>116</v>
      </c>
      <c r="AE55" s="38">
        <v>970</v>
      </c>
      <c r="AF55" s="38" t="s">
        <v>57</v>
      </c>
      <c r="AG55" s="39">
        <v>40</v>
      </c>
      <c r="AH55" s="49" t="s">
        <v>117</v>
      </c>
      <c r="AI55" s="48" t="s">
        <v>118</v>
      </c>
      <c r="AJ55" s="46" t="s">
        <v>113</v>
      </c>
      <c r="AK55" s="41">
        <f t="shared" si="0"/>
        <v>45748</v>
      </c>
      <c r="AL55" s="40" t="s">
        <v>119</v>
      </c>
      <c r="AM55" s="49" t="s">
        <v>120</v>
      </c>
      <c r="AN55" s="39" t="s">
        <v>267</v>
      </c>
      <c r="AO55" s="40" t="s">
        <v>122</v>
      </c>
      <c r="AP55" s="50" t="s">
        <v>123</v>
      </c>
      <c r="AQ55" s="40" t="s">
        <v>124</v>
      </c>
      <c r="AR55" s="35" t="s">
        <v>124</v>
      </c>
      <c r="AS55" s="44" t="s">
        <v>113</v>
      </c>
      <c r="AT55" s="40" t="s">
        <v>125</v>
      </c>
      <c r="AU55" s="50" t="str">
        <f t="shared" si="6"/>
        <v>Permanent</v>
      </c>
      <c r="AV55" s="44" t="s">
        <v>127</v>
      </c>
      <c r="AW55" s="51">
        <f t="shared" si="5"/>
        <v>45657</v>
      </c>
      <c r="AX55" s="51">
        <f t="shared" si="1"/>
        <v>45657</v>
      </c>
      <c r="AY55" s="41">
        <f t="shared" si="2"/>
        <v>NaN</v>
      </c>
      <c r="AZ55" s="43" t="s">
        <v>97</v>
      </c>
      <c r="BA55" s="43" t="s">
        <v>128</v>
      </c>
      <c r="BB55" s="52" t="s">
        <v>421</v>
      </c>
      <c r="BC55" s="44">
        <v>36526</v>
      </c>
      <c r="BD55" s="44">
        <v>51136</v>
      </c>
      <c r="BE55" s="43" t="s">
        <v>97</v>
      </c>
      <c r="BF55" s="43" t="s">
        <v>132</v>
      </c>
      <c r="BG55" s="50">
        <v>5855200083</v>
      </c>
      <c r="BH55" s="44">
        <v>36526</v>
      </c>
      <c r="BI55" s="44">
        <v>51136</v>
      </c>
      <c r="BJ55" s="38" t="s">
        <v>133</v>
      </c>
      <c r="BK55" s="50" t="s">
        <v>157</v>
      </c>
      <c r="BL55" s="53">
        <v>39449</v>
      </c>
      <c r="BM55" s="54" t="s">
        <v>97</v>
      </c>
      <c r="BN55" s="43" t="s">
        <v>109</v>
      </c>
      <c r="BO55" s="38" t="s">
        <v>135</v>
      </c>
      <c r="BP55" s="55" t="s">
        <v>113</v>
      </c>
      <c r="BQ55" s="43" t="s">
        <v>136</v>
      </c>
      <c r="BR55" s="43" t="s">
        <v>97</v>
      </c>
      <c r="BS55" s="49" t="s">
        <v>124</v>
      </c>
      <c r="BT55" s="49" t="s">
        <v>113</v>
      </c>
      <c r="BU55" s="38" t="s">
        <v>137</v>
      </c>
      <c r="BV55" s="38" t="s">
        <v>138</v>
      </c>
      <c r="BW55" s="43" t="s">
        <v>139</v>
      </c>
      <c r="BX55" s="56" t="s">
        <v>158</v>
      </c>
      <c r="BY55" s="43" t="s">
        <v>141</v>
      </c>
      <c r="BZ55" s="43" t="s">
        <v>142</v>
      </c>
      <c r="CA55" s="43" t="s">
        <v>143</v>
      </c>
      <c r="CB55" s="43" t="s">
        <v>144</v>
      </c>
      <c r="CC55" s="56" t="s">
        <v>139</v>
      </c>
      <c r="CD55" s="40" t="s">
        <v>140</v>
      </c>
      <c r="CE55" s="43" t="s">
        <v>141</v>
      </c>
      <c r="CF55" s="43" t="s">
        <v>145</v>
      </c>
      <c r="CG55" s="43" t="s">
        <v>146</v>
      </c>
      <c r="CH55" s="43" t="s">
        <v>145</v>
      </c>
      <c r="CI55" s="57">
        <v>100</v>
      </c>
      <c r="CJ55" s="43" t="s">
        <v>147</v>
      </c>
      <c r="CK55" s="43" t="s">
        <v>148</v>
      </c>
      <c r="CL55" s="43" t="s">
        <v>97</v>
      </c>
      <c r="CM55" s="43" t="s">
        <v>159</v>
      </c>
      <c r="CN55" s="43" t="s">
        <v>150</v>
      </c>
      <c r="CO55" s="49" t="s">
        <v>113</v>
      </c>
      <c r="CP55" s="49" t="s">
        <v>113</v>
      </c>
      <c r="CQ55" s="58" t="s">
        <v>113</v>
      </c>
      <c r="CR55" s="53" t="s">
        <v>113</v>
      </c>
      <c r="CS55" s="49" t="s">
        <v>113</v>
      </c>
      <c r="CT55" s="59" t="s">
        <v>113</v>
      </c>
      <c r="CU55" s="59" t="s">
        <v>113</v>
      </c>
      <c r="CV55" s="35" t="s">
        <v>418</v>
      </c>
    </row>
    <row r="56" ht="14.5" customHeight="1" spans="1:100" x14ac:dyDescent="0.25">
      <c r="A56" s="35" t="s">
        <v>422</v>
      </c>
      <c r="B56" s="35" t="s">
        <v>423</v>
      </c>
      <c r="C56" s="35" t="s">
        <v>95</v>
      </c>
      <c r="D56" s="37" t="s">
        <v>96</v>
      </c>
      <c r="E56" s="38" t="s">
        <v>97</v>
      </c>
      <c r="F56" s="39" t="s">
        <v>424</v>
      </c>
      <c r="G56" s="39" t="s">
        <v>383</v>
      </c>
      <c r="H56" s="40" t="s">
        <v>100</v>
      </c>
      <c r="I56" s="40" t="s">
        <v>101</v>
      </c>
      <c r="J56" s="40" t="s">
        <v>102</v>
      </c>
      <c r="K56" s="41">
        <f t="shared" si="13"/>
        <v>45292</v>
      </c>
      <c r="L56" s="38" t="s">
        <v>97</v>
      </c>
      <c r="M56" s="40" t="s">
        <v>103</v>
      </c>
      <c r="N56" s="40" t="s">
        <v>104</v>
      </c>
      <c r="O56" s="42" t="s">
        <v>105</v>
      </c>
      <c r="P56" s="38" t="s">
        <v>106</v>
      </c>
      <c r="Q56" s="40" t="s">
        <v>107</v>
      </c>
      <c r="R56" s="40" t="s">
        <v>108</v>
      </c>
      <c r="S56" s="43" t="s">
        <v>109</v>
      </c>
      <c r="T56" s="43" t="s">
        <v>109</v>
      </c>
      <c r="U56" s="40" t="s">
        <v>102</v>
      </c>
      <c r="V56" s="44" t="s">
        <v>110</v>
      </c>
      <c r="W56" s="45" t="s">
        <v>111</v>
      </c>
      <c r="X56" s="40" t="s">
        <v>102</v>
      </c>
      <c r="Y56" s="46">
        <v>45292</v>
      </c>
      <c r="Z56" s="40" t="s">
        <v>112</v>
      </c>
      <c r="AA56" s="47" t="s">
        <v>113</v>
      </c>
      <c r="AB56" s="48" t="s">
        <v>240</v>
      </c>
      <c r="AC56" s="48" t="s">
        <v>115</v>
      </c>
      <c r="AD56" s="39" t="s">
        <v>298</v>
      </c>
      <c r="AE56" s="38">
        <v>970</v>
      </c>
      <c r="AF56" s="38" t="s">
        <v>57</v>
      </c>
      <c r="AG56" s="39">
        <v>40</v>
      </c>
      <c r="AH56" s="49" t="s">
        <v>117</v>
      </c>
      <c r="AI56" s="48" t="s">
        <v>118</v>
      </c>
      <c r="AJ56" s="46" t="s">
        <v>113</v>
      </c>
      <c r="AK56" s="41">
        <f>Y56+90</f>
        <v>45382</v>
      </c>
      <c r="AL56" s="40" t="s">
        <v>119</v>
      </c>
      <c r="AM56" s="49" t="s">
        <v>120</v>
      </c>
      <c r="AN56" s="48" t="s">
        <v>121</v>
      </c>
      <c r="AO56" s="40" t="s">
        <v>122</v>
      </c>
      <c r="AP56" s="50" t="s">
        <v>123</v>
      </c>
      <c r="AQ56" s="40" t="s">
        <v>124</v>
      </c>
      <c r="AR56" s="35" t="s">
        <v>124</v>
      </c>
      <c r="AS56" s="44" t="s">
        <v>113</v>
      </c>
      <c r="AT56" s="40" t="s">
        <v>125</v>
      </c>
      <c r="AU56" s="50" t="str">
        <f t="shared" si="6"/>
        <v>Permanent</v>
      </c>
      <c r="AV56" s="44" t="s">
        <v>127</v>
      </c>
      <c r="AW56" s="51">
        <f t="shared" si="5"/>
        <v>45291</v>
      </c>
      <c r="AX56" s="51">
        <f t="shared" si="1"/>
        <v>45291</v>
      </c>
      <c r="AY56" s="41">
        <f t="shared" si="2"/>
        <v>NaN</v>
      </c>
      <c r="AZ56" s="43" t="s">
        <v>97</v>
      </c>
      <c r="BA56" s="43" t="s">
        <v>128</v>
      </c>
      <c r="BB56" s="52" t="s">
        <v>425</v>
      </c>
      <c r="BC56" s="44" t="s">
        <v>130</v>
      </c>
      <c r="BD56" s="44" t="s">
        <v>131</v>
      </c>
      <c r="BE56" s="43" t="s">
        <v>97</v>
      </c>
      <c r="BF56" s="43" t="s">
        <v>132</v>
      </c>
      <c r="BG56" s="50">
        <v>5855200084</v>
      </c>
      <c r="BH56" s="44">
        <v>36526</v>
      </c>
      <c r="BI56" s="44">
        <v>51136</v>
      </c>
      <c r="BJ56" s="38" t="s">
        <v>133</v>
      </c>
      <c r="BK56" s="50" t="s">
        <v>134</v>
      </c>
      <c r="BL56" s="53">
        <v>39449</v>
      </c>
      <c r="BM56" s="54" t="s">
        <v>97</v>
      </c>
      <c r="BN56" s="43" t="s">
        <v>109</v>
      </c>
      <c r="BO56" s="38" t="s">
        <v>135</v>
      </c>
      <c r="BP56" s="55" t="s">
        <v>113</v>
      </c>
      <c r="BQ56" s="43" t="s">
        <v>136</v>
      </c>
      <c r="BR56" s="43" t="s">
        <v>97</v>
      </c>
      <c r="BS56" s="49" t="s">
        <v>124</v>
      </c>
      <c r="BT56" s="49" t="s">
        <v>113</v>
      </c>
      <c r="BU56" s="38" t="s">
        <v>137</v>
      </c>
      <c r="BV56" s="38" t="s">
        <v>138</v>
      </c>
      <c r="BW56" s="43" t="s">
        <v>139</v>
      </c>
      <c r="BX56" s="56" t="s">
        <v>140</v>
      </c>
      <c r="BY56" s="43" t="s">
        <v>141</v>
      </c>
      <c r="BZ56" s="43" t="s">
        <v>142</v>
      </c>
      <c r="CA56" s="43" t="s">
        <v>143</v>
      </c>
      <c r="CB56" s="43" t="s">
        <v>144</v>
      </c>
      <c r="CC56" s="56" t="s">
        <v>139</v>
      </c>
      <c r="CD56" s="40" t="s">
        <v>140</v>
      </c>
      <c r="CE56" s="43" t="s">
        <v>141</v>
      </c>
      <c r="CF56" s="43" t="s">
        <v>145</v>
      </c>
      <c r="CG56" s="43" t="s">
        <v>146</v>
      </c>
      <c r="CH56" s="43" t="s">
        <v>145</v>
      </c>
      <c r="CI56" s="57">
        <v>100</v>
      </c>
      <c r="CJ56" s="43" t="s">
        <v>147</v>
      </c>
      <c r="CK56" s="43" t="s">
        <v>148</v>
      </c>
      <c r="CL56" s="43" t="s">
        <v>97</v>
      </c>
      <c r="CM56" s="43" t="s">
        <v>149</v>
      </c>
      <c r="CN56" s="43" t="s">
        <v>150</v>
      </c>
      <c r="CO56" s="49" t="s">
        <v>113</v>
      </c>
      <c r="CP56" s="49" t="s">
        <v>113</v>
      </c>
      <c r="CQ56" s="58" t="s">
        <v>113</v>
      </c>
      <c r="CR56" s="53" t="s">
        <v>113</v>
      </c>
      <c r="CS56" s="49" t="s">
        <v>113</v>
      </c>
      <c r="CT56" s="59" t="s">
        <v>113</v>
      </c>
      <c r="CU56" s="59" t="s">
        <v>113</v>
      </c>
      <c r="CV56" s="35" t="s">
        <v>422</v>
      </c>
    </row>
    <row r="57" ht="14.5" customHeight="1" spans="1:100" x14ac:dyDescent="0.25">
      <c r="A57" s="35" t="s">
        <v>426</v>
      </c>
      <c r="B57" s="35" t="s">
        <v>427</v>
      </c>
      <c r="C57" s="35" t="s">
        <v>95</v>
      </c>
      <c r="D57" s="37" t="s">
        <v>96</v>
      </c>
      <c r="E57" s="38" t="s">
        <v>97</v>
      </c>
      <c r="F57" s="39" t="s">
        <v>428</v>
      </c>
      <c r="G57" s="39" t="s">
        <v>429</v>
      </c>
      <c r="H57" s="40" t="s">
        <v>100</v>
      </c>
      <c r="I57" s="40" t="s">
        <v>101</v>
      </c>
      <c r="J57" s="40" t="s">
        <v>102</v>
      </c>
      <c r="K57" s="41">
        <f t="shared" si="13"/>
        <v>45658</v>
      </c>
      <c r="L57" s="38" t="s">
        <v>97</v>
      </c>
      <c r="M57" s="40" t="s">
        <v>103</v>
      </c>
      <c r="N57" s="40" t="s">
        <v>154</v>
      </c>
      <c r="O57" s="42" t="s">
        <v>105</v>
      </c>
      <c r="P57" s="38" t="s">
        <v>155</v>
      </c>
      <c r="Q57" s="40" t="s">
        <v>107</v>
      </c>
      <c r="R57" s="40" t="s">
        <v>108</v>
      </c>
      <c r="S57" s="43" t="s">
        <v>109</v>
      </c>
      <c r="T57" s="43" t="s">
        <v>109</v>
      </c>
      <c r="U57" s="40" t="s">
        <v>102</v>
      </c>
      <c r="V57" s="44" t="s">
        <v>110</v>
      </c>
      <c r="W57" s="45" t="s">
        <v>111</v>
      </c>
      <c r="X57" s="40" t="s">
        <v>102</v>
      </c>
      <c r="Y57" s="46">
        <v>45658</v>
      </c>
      <c r="Z57" s="40" t="s">
        <v>112</v>
      </c>
      <c r="AA57" s="47" t="s">
        <v>113</v>
      </c>
      <c r="AB57" s="48" t="s">
        <v>240</v>
      </c>
      <c r="AC57" s="48" t="s">
        <v>115</v>
      </c>
      <c r="AD57" s="39" t="s">
        <v>298</v>
      </c>
      <c r="AE57" s="38">
        <v>970</v>
      </c>
      <c r="AF57" s="38" t="s">
        <v>57</v>
      </c>
      <c r="AG57" s="39">
        <v>40</v>
      </c>
      <c r="AH57" s="49" t="s">
        <v>117</v>
      </c>
      <c r="AI57" s="48" t="s">
        <v>118</v>
      </c>
      <c r="AJ57" s="46" t="s">
        <v>113</v>
      </c>
      <c r="AK57" s="41">
        <f t="shared" ref="AK57:AK69" si="15">Y57+90</f>
        <v>45748</v>
      </c>
      <c r="AL57" s="40" t="s">
        <v>119</v>
      </c>
      <c r="AM57" s="49" t="s">
        <v>120</v>
      </c>
      <c r="AN57" s="48" t="s">
        <v>121</v>
      </c>
      <c r="AO57" s="40" t="s">
        <v>122</v>
      </c>
      <c r="AP57" s="50" t="s">
        <v>123</v>
      </c>
      <c r="AQ57" s="40" t="s">
        <v>124</v>
      </c>
      <c r="AR57" s="35" t="s">
        <v>124</v>
      </c>
      <c r="AS57" s="44" t="s">
        <v>113</v>
      </c>
      <c r="AT57" s="40" t="s">
        <v>125</v>
      </c>
      <c r="AU57" s="50" t="str">
        <f t="shared" si="6"/>
        <v>Permanent</v>
      </c>
      <c r="AV57" s="44" t="s">
        <v>127</v>
      </c>
      <c r="AW57" s="51">
        <f t="shared" si="5"/>
        <v>45657</v>
      </c>
      <c r="AX57" s="51">
        <f t="shared" si="1"/>
        <v>45657</v>
      </c>
      <c r="AY57" s="41">
        <f t="shared" si="2"/>
        <v>NaN</v>
      </c>
      <c r="AZ57" s="43" t="s">
        <v>97</v>
      </c>
      <c r="BA57" s="43" t="s">
        <v>128</v>
      </c>
      <c r="BB57" s="52" t="s">
        <v>430</v>
      </c>
      <c r="BC57" s="44">
        <v>36526</v>
      </c>
      <c r="BD57" s="44">
        <v>51136</v>
      </c>
      <c r="BE57" s="43" t="s">
        <v>97</v>
      </c>
      <c r="BF57" s="43" t="s">
        <v>132</v>
      </c>
      <c r="BG57" s="50">
        <v>5855200085</v>
      </c>
      <c r="BH57" s="44">
        <v>36526</v>
      </c>
      <c r="BI57" s="44">
        <v>51136</v>
      </c>
      <c r="BJ57" s="38" t="s">
        <v>133</v>
      </c>
      <c r="BK57" s="50" t="s">
        <v>157</v>
      </c>
      <c r="BL57" s="53">
        <v>39580</v>
      </c>
      <c r="BM57" s="54" t="s">
        <v>97</v>
      </c>
      <c r="BN57" s="43" t="s">
        <v>109</v>
      </c>
      <c r="BO57" s="38" t="s">
        <v>135</v>
      </c>
      <c r="BP57" s="55" t="s">
        <v>113</v>
      </c>
      <c r="BQ57" s="43" t="s">
        <v>136</v>
      </c>
      <c r="BR57" s="43" t="s">
        <v>97</v>
      </c>
      <c r="BS57" s="49" t="s">
        <v>124</v>
      </c>
      <c r="BT57" s="49" t="s">
        <v>113</v>
      </c>
      <c r="BU57" s="38" t="s">
        <v>137</v>
      </c>
      <c r="BV57" s="38" t="s">
        <v>138</v>
      </c>
      <c r="BW57" s="43" t="s">
        <v>139</v>
      </c>
      <c r="BX57" s="56" t="s">
        <v>158</v>
      </c>
      <c r="BY57" s="43" t="s">
        <v>141</v>
      </c>
      <c r="BZ57" s="43" t="s">
        <v>142</v>
      </c>
      <c r="CA57" s="43" t="s">
        <v>143</v>
      </c>
      <c r="CB57" s="43" t="s">
        <v>144</v>
      </c>
      <c r="CC57" s="56" t="s">
        <v>139</v>
      </c>
      <c r="CD57" s="40" t="s">
        <v>140</v>
      </c>
      <c r="CE57" s="43" t="s">
        <v>141</v>
      </c>
      <c r="CF57" s="43" t="s">
        <v>145</v>
      </c>
      <c r="CG57" s="43" t="s">
        <v>146</v>
      </c>
      <c r="CH57" s="43" t="s">
        <v>145</v>
      </c>
      <c r="CI57" s="57">
        <v>100</v>
      </c>
      <c r="CJ57" s="43" t="s">
        <v>147</v>
      </c>
      <c r="CK57" s="43" t="s">
        <v>148</v>
      </c>
      <c r="CL57" s="43" t="s">
        <v>97</v>
      </c>
      <c r="CM57" s="43" t="s">
        <v>159</v>
      </c>
      <c r="CN57" s="43" t="s">
        <v>150</v>
      </c>
      <c r="CO57" s="49" t="s">
        <v>113</v>
      </c>
      <c r="CP57" s="49" t="s">
        <v>113</v>
      </c>
      <c r="CQ57" s="58" t="s">
        <v>113</v>
      </c>
      <c r="CR57" s="53" t="s">
        <v>113</v>
      </c>
      <c r="CS57" s="49" t="s">
        <v>113</v>
      </c>
      <c r="CT57" s="59" t="s">
        <v>113</v>
      </c>
      <c r="CU57" s="59" t="s">
        <v>113</v>
      </c>
      <c r="CV57" s="35" t="s">
        <v>426</v>
      </c>
    </row>
    <row r="58" ht="14.5" customHeight="1" spans="1:100" x14ac:dyDescent="0.25">
      <c r="A58" s="35" t="s">
        <v>431</v>
      </c>
      <c r="B58" s="36" t="s">
        <v>432</v>
      </c>
      <c r="C58" s="35" t="s">
        <v>95</v>
      </c>
      <c r="D58" s="37" t="s">
        <v>96</v>
      </c>
      <c r="E58" s="38" t="s">
        <v>97</v>
      </c>
      <c r="F58" s="39" t="s">
        <v>433</v>
      </c>
      <c r="G58" s="39" t="s">
        <v>429</v>
      </c>
      <c r="H58" s="40" t="s">
        <v>100</v>
      </c>
      <c r="I58" s="40" t="s">
        <v>101</v>
      </c>
      <c r="J58" s="40" t="s">
        <v>102</v>
      </c>
      <c r="K58" s="41">
        <f>Y58</f>
        <v>45658</v>
      </c>
      <c r="L58" s="38" t="s">
        <v>97</v>
      </c>
      <c r="M58" s="40" t="s">
        <v>103</v>
      </c>
      <c r="N58" s="40" t="s">
        <v>104</v>
      </c>
      <c r="O58" s="42" t="s">
        <v>105</v>
      </c>
      <c r="P58" s="38" t="s">
        <v>106</v>
      </c>
      <c r="Q58" s="40" t="s">
        <v>107</v>
      </c>
      <c r="R58" s="40" t="s">
        <v>108</v>
      </c>
      <c r="S58" s="43" t="s">
        <v>109</v>
      </c>
      <c r="T58" s="43" t="s">
        <v>109</v>
      </c>
      <c r="U58" s="40" t="s">
        <v>102</v>
      </c>
      <c r="V58" s="44" t="s">
        <v>110</v>
      </c>
      <c r="W58" s="45" t="s">
        <v>111</v>
      </c>
      <c r="X58" s="40" t="s">
        <v>102</v>
      </c>
      <c r="Y58" s="46">
        <v>45658</v>
      </c>
      <c r="Z58" s="40" t="s">
        <v>112</v>
      </c>
      <c r="AA58" s="47" t="s">
        <v>113</v>
      </c>
      <c r="AB58" s="48" t="s">
        <v>114</v>
      </c>
      <c r="AC58" s="48" t="s">
        <v>115</v>
      </c>
      <c r="AD58" s="48" t="s">
        <v>116</v>
      </c>
      <c r="AE58" s="38">
        <v>970</v>
      </c>
      <c r="AF58" s="38" t="s">
        <v>57</v>
      </c>
      <c r="AG58" s="48">
        <v>40</v>
      </c>
      <c r="AH58" s="49" t="s">
        <v>117</v>
      </c>
      <c r="AI58" s="48" t="s">
        <v>118</v>
      </c>
      <c r="AJ58" s="46">
        <f>Y58+365</f>
        <v>46023</v>
      </c>
      <c r="AK58" s="41">
        <f t="shared" si="15"/>
        <v>45748</v>
      </c>
      <c r="AL58" s="40" t="s">
        <v>119</v>
      </c>
      <c r="AM58" s="49" t="s">
        <v>120</v>
      </c>
      <c r="AN58" s="48" t="s">
        <v>121</v>
      </c>
      <c r="AO58" s="40" t="s">
        <v>122</v>
      </c>
      <c r="AP58" s="50" t="s">
        <v>123</v>
      </c>
      <c r="AQ58" s="40" t="s">
        <v>124</v>
      </c>
      <c r="AR58" s="35" t="s">
        <v>124</v>
      </c>
      <c r="AS58" s="44" t="s">
        <v>113</v>
      </c>
      <c r="AT58" s="40" t="s">
        <v>125</v>
      </c>
      <c r="AU58" t="s">
        <v>126</v>
      </c>
      <c r="AV58" s="44" t="s">
        <v>127</v>
      </c>
      <c r="AW58" s="51">
        <f t="shared" si="5"/>
        <v>45657</v>
      </c>
      <c r="AX58" s="51">
        <f t="shared" si="1"/>
        <v>45657</v>
      </c>
      <c r="AY58" s="41">
        <f t="shared" si="2"/>
        <v>46023</v>
      </c>
      <c r="AZ58" s="43" t="s">
        <v>97</v>
      </c>
      <c r="BA58" s="43" t="s">
        <v>128</v>
      </c>
      <c r="BB58" s="52" t="s">
        <v>434</v>
      </c>
      <c r="BC58" s="44" t="s">
        <v>130</v>
      </c>
      <c r="BD58" s="44" t="s">
        <v>131</v>
      </c>
      <c r="BE58" s="43" t="s">
        <v>97</v>
      </c>
      <c r="BF58" s="43" t="s">
        <v>132</v>
      </c>
      <c r="BG58" s="50">
        <v>5855200030</v>
      </c>
      <c r="BH58" s="44">
        <v>36526</v>
      </c>
      <c r="BI58" s="44">
        <v>51136</v>
      </c>
      <c r="BJ58" s="38" t="s">
        <v>133</v>
      </c>
      <c r="BK58" s="50" t="s">
        <v>134</v>
      </c>
      <c r="BL58" s="53">
        <v>32144</v>
      </c>
      <c r="BM58" s="54" t="s">
        <v>97</v>
      </c>
      <c r="BN58" s="43" t="s">
        <v>109</v>
      </c>
      <c r="BO58" s="38" t="s">
        <v>135</v>
      </c>
      <c r="BP58" s="55" t="s">
        <v>113</v>
      </c>
      <c r="BQ58" s="43" t="s">
        <v>136</v>
      </c>
      <c r="BR58" s="43" t="s">
        <v>97</v>
      </c>
      <c r="BS58" s="49" t="s">
        <v>123</v>
      </c>
      <c r="BT58" s="49">
        <v>10</v>
      </c>
      <c r="BU58" s="38" t="s">
        <v>137</v>
      </c>
      <c r="BV58" s="38" t="s">
        <v>138</v>
      </c>
      <c r="BW58" s="43" t="s">
        <v>139</v>
      </c>
      <c r="BX58" s="56" t="s">
        <v>140</v>
      </c>
      <c r="BY58" s="43" t="s">
        <v>141</v>
      </c>
      <c r="BZ58" s="43" t="s">
        <v>142</v>
      </c>
      <c r="CA58" s="43" t="s">
        <v>143</v>
      </c>
      <c r="CB58" s="43" t="s">
        <v>144</v>
      </c>
      <c r="CC58" s="56" t="s">
        <v>139</v>
      </c>
      <c r="CD58" s="40" t="s">
        <v>140</v>
      </c>
      <c r="CE58" s="43" t="s">
        <v>141</v>
      </c>
      <c r="CF58" s="43" t="s">
        <v>145</v>
      </c>
      <c r="CG58" s="43" t="s">
        <v>146</v>
      </c>
      <c r="CH58" s="43" t="s">
        <v>145</v>
      </c>
      <c r="CI58" s="57">
        <v>100</v>
      </c>
      <c r="CJ58" s="43" t="s">
        <v>147</v>
      </c>
      <c r="CK58" s="43" t="s">
        <v>148</v>
      </c>
      <c r="CL58" s="43" t="s">
        <v>97</v>
      </c>
      <c r="CM58" s="43" t="s">
        <v>149</v>
      </c>
      <c r="CN58" s="43" t="s">
        <v>150</v>
      </c>
      <c r="CO58" s="49" t="s">
        <v>160</v>
      </c>
      <c r="CP58" s="49" t="s">
        <v>161</v>
      </c>
      <c r="CQ58" s="58" t="s">
        <v>109</v>
      </c>
      <c r="CR58" s="53">
        <f>TODAY()-1500</f>
        <v>44271</v>
      </c>
      <c r="CS58" s="49" t="s">
        <v>162</v>
      </c>
      <c r="CT58" s="59">
        <v>1234037</v>
      </c>
      <c r="CU58" s="59">
        <v>123456030</v>
      </c>
      <c r="CV58" s="35" t="s">
        <v>431</v>
      </c>
    </row>
    <row r="59" ht="14.5" customHeight="1" spans="1:100" x14ac:dyDescent="0.25">
      <c r="A59" s="35" t="s">
        <v>435</v>
      </c>
      <c r="B59" s="36" t="s">
        <v>436</v>
      </c>
      <c r="C59" s="35" t="s">
        <v>95</v>
      </c>
      <c r="D59" s="37" t="s">
        <v>96</v>
      </c>
      <c r="E59" s="38" t="s">
        <v>97</v>
      </c>
      <c r="F59" s="39" t="s">
        <v>437</v>
      </c>
      <c r="G59" s="39" t="s">
        <v>429</v>
      </c>
      <c r="H59" s="40" t="s">
        <v>100</v>
      </c>
      <c r="I59" s="40" t="s">
        <v>101</v>
      </c>
      <c r="J59" s="40" t="s">
        <v>102</v>
      </c>
      <c r="K59" s="41">
        <f t="shared" ref="K59:K69" si="16">Y59</f>
        <v>45658</v>
      </c>
      <c r="L59" s="38" t="s">
        <v>97</v>
      </c>
      <c r="M59" s="40" t="s">
        <v>103</v>
      </c>
      <c r="N59" s="40" t="s">
        <v>154</v>
      </c>
      <c r="O59" s="42" t="s">
        <v>105</v>
      </c>
      <c r="P59" s="38" t="s">
        <v>155</v>
      </c>
      <c r="Q59" s="40" t="s">
        <v>107</v>
      </c>
      <c r="R59" s="40" t="s">
        <v>108</v>
      </c>
      <c r="S59" s="43" t="s">
        <v>109</v>
      </c>
      <c r="T59" s="43" t="s">
        <v>109</v>
      </c>
      <c r="U59" s="40" t="s">
        <v>102</v>
      </c>
      <c r="V59" s="44" t="s">
        <v>110</v>
      </c>
      <c r="W59" s="45" t="s">
        <v>111</v>
      </c>
      <c r="X59" s="40" t="s">
        <v>102</v>
      </c>
      <c r="Y59" s="46">
        <v>45658</v>
      </c>
      <c r="Z59" s="40" t="s">
        <v>112</v>
      </c>
      <c r="AA59" s="47" t="s">
        <v>113</v>
      </c>
      <c r="AB59" s="48" t="s">
        <v>114</v>
      </c>
      <c r="AC59" s="48" t="s">
        <v>115</v>
      </c>
      <c r="AD59" s="48" t="s">
        <v>116</v>
      </c>
      <c r="AE59" s="38">
        <v>970</v>
      </c>
      <c r="AF59" s="38" t="s">
        <v>57</v>
      </c>
      <c r="AG59" s="48">
        <v>40</v>
      </c>
      <c r="AH59" s="49" t="s">
        <v>117</v>
      </c>
      <c r="AI59" s="48" t="s">
        <v>118</v>
      </c>
      <c r="AJ59" s="46">
        <f t="shared" ref="AJ59" si="17">Y59+365</f>
        <v>46023</v>
      </c>
      <c r="AK59" s="41">
        <f t="shared" si="15"/>
        <v>45748</v>
      </c>
      <c r="AL59" s="40" t="s">
        <v>119</v>
      </c>
      <c r="AM59" s="49" t="s">
        <v>120</v>
      </c>
      <c r="AN59" s="48" t="s">
        <v>165</v>
      </c>
      <c r="AO59" s="40" t="s">
        <v>122</v>
      </c>
      <c r="AP59" s="50" t="s">
        <v>123</v>
      </c>
      <c r="AQ59" s="40" t="s">
        <v>124</v>
      </c>
      <c r="AR59" s="35" t="s">
        <v>124</v>
      </c>
      <c r="AS59" s="44" t="s">
        <v>113</v>
      </c>
      <c r="AT59" s="40" t="s">
        <v>125</v>
      </c>
      <c r="AU59" t="s">
        <v>126</v>
      </c>
      <c r="AV59" s="44" t="s">
        <v>127</v>
      </c>
      <c r="AW59" s="51">
        <f t="shared" si="5"/>
        <v>45657</v>
      </c>
      <c r="AX59" s="51">
        <f t="shared" si="1"/>
        <v>45657</v>
      </c>
      <c r="AY59" s="41">
        <f t="shared" si="2"/>
        <v>46023</v>
      </c>
      <c r="AZ59" s="43" t="s">
        <v>97</v>
      </c>
      <c r="BA59" s="43" t="s">
        <v>128</v>
      </c>
      <c r="BB59" s="52" t="s">
        <v>438</v>
      </c>
      <c r="BC59" s="44">
        <v>36526</v>
      </c>
      <c r="BD59" s="44">
        <v>51136</v>
      </c>
      <c r="BE59" s="43" t="s">
        <v>97</v>
      </c>
      <c r="BF59" s="43" t="s">
        <v>132</v>
      </c>
      <c r="BG59" s="50">
        <v>5855200031</v>
      </c>
      <c r="BH59" s="44">
        <v>36526</v>
      </c>
      <c r="BI59" s="44">
        <v>51136</v>
      </c>
      <c r="BJ59" s="38" t="s">
        <v>133</v>
      </c>
      <c r="BK59" s="50" t="s">
        <v>157</v>
      </c>
      <c r="BL59" s="53">
        <v>32144</v>
      </c>
      <c r="BM59" s="54" t="s">
        <v>97</v>
      </c>
      <c r="BN59" s="43" t="s">
        <v>109</v>
      </c>
      <c r="BO59" s="38" t="s">
        <v>135</v>
      </c>
      <c r="BP59" s="55" t="s">
        <v>113</v>
      </c>
      <c r="BQ59" s="43" t="s">
        <v>136</v>
      </c>
      <c r="BR59" s="43" t="s">
        <v>97</v>
      </c>
      <c r="BS59" s="49" t="s">
        <v>124</v>
      </c>
      <c r="BT59" s="49" t="s">
        <v>113</v>
      </c>
      <c r="BU59" s="38" t="s">
        <v>137</v>
      </c>
      <c r="BV59" s="38" t="s">
        <v>138</v>
      </c>
      <c r="BW59" s="43" t="s">
        <v>139</v>
      </c>
      <c r="BX59" s="56" t="s">
        <v>158</v>
      </c>
      <c r="BY59" s="43" t="s">
        <v>141</v>
      </c>
      <c r="BZ59" s="43" t="s">
        <v>142</v>
      </c>
      <c r="CA59" s="43" t="s">
        <v>143</v>
      </c>
      <c r="CB59" s="43" t="s">
        <v>144</v>
      </c>
      <c r="CC59" s="56" t="s">
        <v>139</v>
      </c>
      <c r="CD59" s="40" t="s">
        <v>140</v>
      </c>
      <c r="CE59" s="43" t="s">
        <v>141</v>
      </c>
      <c r="CF59" s="43" t="s">
        <v>145</v>
      </c>
      <c r="CG59" s="43" t="s">
        <v>146</v>
      </c>
      <c r="CH59" s="43" t="s">
        <v>145</v>
      </c>
      <c r="CI59" s="57">
        <v>100</v>
      </c>
      <c r="CJ59" s="43" t="s">
        <v>147</v>
      </c>
      <c r="CK59" s="43" t="s">
        <v>148</v>
      </c>
      <c r="CL59" s="43" t="s">
        <v>97</v>
      </c>
      <c r="CM59" s="43" t="s">
        <v>159</v>
      </c>
      <c r="CN59" s="43" t="s">
        <v>150</v>
      </c>
      <c r="CO59" s="49" t="s">
        <v>160</v>
      </c>
      <c r="CP59" s="49" t="s">
        <v>161</v>
      </c>
      <c r="CQ59" s="58" t="s">
        <v>109</v>
      </c>
      <c r="CR59" s="53">
        <v>38790</v>
      </c>
      <c r="CS59" s="49" t="s">
        <v>162</v>
      </c>
      <c r="CT59" s="59">
        <v>1234038</v>
      </c>
      <c r="CU59" s="59">
        <v>123456031</v>
      </c>
      <c r="CV59" s="35" t="s">
        <v>435</v>
      </c>
    </row>
    <row r="60" ht="14.5" customHeight="1" spans="1:100" x14ac:dyDescent="0.25">
      <c r="A60" s="35" t="s">
        <v>439</v>
      </c>
      <c r="B60" s="35" t="s">
        <v>440</v>
      </c>
      <c r="C60" s="35" t="s">
        <v>95</v>
      </c>
      <c r="D60" s="37" t="s">
        <v>96</v>
      </c>
      <c r="E60" s="38" t="s">
        <v>97</v>
      </c>
      <c r="F60" s="39" t="s">
        <v>441</v>
      </c>
      <c r="G60" s="39" t="s">
        <v>429</v>
      </c>
      <c r="H60" s="40" t="s">
        <v>100</v>
      </c>
      <c r="I60" s="40" t="s">
        <v>101</v>
      </c>
      <c r="J60" s="40" t="s">
        <v>102</v>
      </c>
      <c r="K60" s="41">
        <f t="shared" si="16"/>
        <v>45292</v>
      </c>
      <c r="L60" s="38" t="s">
        <v>97</v>
      </c>
      <c r="M60" s="40" t="s">
        <v>103</v>
      </c>
      <c r="N60" s="40" t="s">
        <v>104</v>
      </c>
      <c r="O60" s="42" t="s">
        <v>105</v>
      </c>
      <c r="P60" s="38" t="s">
        <v>106</v>
      </c>
      <c r="Q60" s="40" t="s">
        <v>107</v>
      </c>
      <c r="R60" s="40" t="s">
        <v>108</v>
      </c>
      <c r="S60" s="43" t="s">
        <v>109</v>
      </c>
      <c r="T60" s="43" t="s">
        <v>109</v>
      </c>
      <c r="U60" s="40" t="s">
        <v>102</v>
      </c>
      <c r="V60" s="44" t="s">
        <v>110</v>
      </c>
      <c r="W60" s="45" t="s">
        <v>111</v>
      </c>
      <c r="X60" s="40" t="s">
        <v>102</v>
      </c>
      <c r="Y60" s="46">
        <v>45292</v>
      </c>
      <c r="Z60" s="40" t="s">
        <v>112</v>
      </c>
      <c r="AA60" s="47" t="s">
        <v>113</v>
      </c>
      <c r="AB60" s="48" t="s">
        <v>240</v>
      </c>
      <c r="AC60" s="48" t="s">
        <v>115</v>
      </c>
      <c r="AD60" s="39" t="s">
        <v>116</v>
      </c>
      <c r="AE60" s="38">
        <v>970</v>
      </c>
      <c r="AF60" s="38" t="s">
        <v>57</v>
      </c>
      <c r="AG60" s="39">
        <v>40</v>
      </c>
      <c r="AH60" s="49" t="s">
        <v>170</v>
      </c>
      <c r="AI60" s="48" t="s">
        <v>118</v>
      </c>
      <c r="AJ60" s="46" t="s">
        <v>113</v>
      </c>
      <c r="AK60" s="41">
        <f t="shared" si="15"/>
        <v>45382</v>
      </c>
      <c r="AL60" s="40" t="s">
        <v>119</v>
      </c>
      <c r="AM60" s="49" t="s">
        <v>120</v>
      </c>
      <c r="AN60" s="48" t="s">
        <v>165</v>
      </c>
      <c r="AO60" s="40" t="s">
        <v>122</v>
      </c>
      <c r="AP60" s="50" t="s">
        <v>123</v>
      </c>
      <c r="AQ60" s="40" t="s">
        <v>124</v>
      </c>
      <c r="AR60" s="35" t="s">
        <v>124</v>
      </c>
      <c r="AS60" s="44" t="s">
        <v>113</v>
      </c>
      <c r="AT60" s="40" t="s">
        <v>125</v>
      </c>
      <c r="AU60" s="50" t="str">
        <f t="shared" ref="AU60:AU61" si="18">AB60</f>
        <v>Permanent</v>
      </c>
      <c r="AV60" s="44" t="s">
        <v>127</v>
      </c>
      <c r="AW60" s="51">
        <f t="shared" si="5"/>
        <v>45291</v>
      </c>
      <c r="AX60" s="51">
        <f t="shared" si="1"/>
        <v>45291</v>
      </c>
      <c r="AY60" s="41">
        <f t="shared" si="2"/>
        <v>NaN</v>
      </c>
      <c r="AZ60" s="43" t="s">
        <v>97</v>
      </c>
      <c r="BA60" s="43" t="s">
        <v>128</v>
      </c>
      <c r="BB60" s="52" t="s">
        <v>442</v>
      </c>
      <c r="BC60" s="44" t="s">
        <v>130</v>
      </c>
      <c r="BD60" s="44" t="s">
        <v>131</v>
      </c>
      <c r="BE60" s="43" t="s">
        <v>97</v>
      </c>
      <c r="BF60" s="43" t="s">
        <v>132</v>
      </c>
      <c r="BG60" s="50">
        <v>5855200032</v>
      </c>
      <c r="BH60" s="44">
        <v>36526</v>
      </c>
      <c r="BI60" s="44">
        <v>51136</v>
      </c>
      <c r="BJ60" s="38" t="s">
        <v>133</v>
      </c>
      <c r="BK60" s="50" t="s">
        <v>134</v>
      </c>
      <c r="BL60" s="53">
        <v>32144</v>
      </c>
      <c r="BM60" s="54" t="s">
        <v>97</v>
      </c>
      <c r="BN60" s="43" t="s">
        <v>109</v>
      </c>
      <c r="BO60" s="38" t="s">
        <v>135</v>
      </c>
      <c r="BP60" s="55" t="s">
        <v>113</v>
      </c>
      <c r="BQ60" s="43" t="s">
        <v>136</v>
      </c>
      <c r="BR60" s="43" t="s">
        <v>97</v>
      </c>
      <c r="BS60" s="39" t="s">
        <v>123</v>
      </c>
      <c r="BT60" s="39">
        <v>10</v>
      </c>
      <c r="BU60" s="38" t="s">
        <v>137</v>
      </c>
      <c r="BV60" s="38" t="s">
        <v>138</v>
      </c>
      <c r="BW60" s="43" t="s">
        <v>139</v>
      </c>
      <c r="BX60" s="56" t="s">
        <v>140</v>
      </c>
      <c r="BY60" s="43" t="s">
        <v>141</v>
      </c>
      <c r="BZ60" s="43" t="s">
        <v>142</v>
      </c>
      <c r="CA60" s="43" t="s">
        <v>143</v>
      </c>
      <c r="CB60" s="43" t="s">
        <v>144</v>
      </c>
      <c r="CC60" s="56" t="s">
        <v>139</v>
      </c>
      <c r="CD60" s="40" t="s">
        <v>140</v>
      </c>
      <c r="CE60" s="43" t="s">
        <v>141</v>
      </c>
      <c r="CF60" s="43" t="s">
        <v>145</v>
      </c>
      <c r="CG60" s="43" t="s">
        <v>146</v>
      </c>
      <c r="CH60" s="43" t="s">
        <v>145</v>
      </c>
      <c r="CI60" s="57">
        <v>100</v>
      </c>
      <c r="CJ60" s="43" t="s">
        <v>147</v>
      </c>
      <c r="CK60" s="43" t="s">
        <v>148</v>
      </c>
      <c r="CL60" s="43" t="s">
        <v>97</v>
      </c>
      <c r="CM60" s="43" t="s">
        <v>149</v>
      </c>
      <c r="CN60" s="43" t="s">
        <v>150</v>
      </c>
      <c r="CO60" s="49" t="s">
        <v>160</v>
      </c>
      <c r="CP60" s="49" t="s">
        <v>161</v>
      </c>
      <c r="CQ60" s="58" t="s">
        <v>109</v>
      </c>
      <c r="CR60" s="53">
        <f>TODAY()-1500</f>
        <v>44271</v>
      </c>
      <c r="CS60" s="49" t="s">
        <v>162</v>
      </c>
      <c r="CT60" s="59">
        <v>1234039</v>
      </c>
      <c r="CU60" s="59">
        <v>123456032</v>
      </c>
      <c r="CV60" s="35" t="s">
        <v>439</v>
      </c>
    </row>
    <row r="61" ht="14.5" customHeight="1" spans="1:100" x14ac:dyDescent="0.25">
      <c r="A61" s="35" t="s">
        <v>443</v>
      </c>
      <c r="B61" s="35" t="s">
        <v>444</v>
      </c>
      <c r="C61" s="35" t="s">
        <v>95</v>
      </c>
      <c r="D61" s="37" t="s">
        <v>96</v>
      </c>
      <c r="E61" s="38" t="s">
        <v>97</v>
      </c>
      <c r="F61" s="39" t="s">
        <v>445</v>
      </c>
      <c r="G61" s="39" t="s">
        <v>429</v>
      </c>
      <c r="H61" s="40" t="s">
        <v>100</v>
      </c>
      <c r="I61" s="40" t="s">
        <v>101</v>
      </c>
      <c r="J61" s="40" t="s">
        <v>102</v>
      </c>
      <c r="K61" s="41">
        <f t="shared" si="16"/>
        <v>45658</v>
      </c>
      <c r="L61" s="38" t="s">
        <v>97</v>
      </c>
      <c r="M61" s="40" t="s">
        <v>103</v>
      </c>
      <c r="N61" s="40" t="s">
        <v>154</v>
      </c>
      <c r="O61" s="42" t="s">
        <v>105</v>
      </c>
      <c r="P61" s="38" t="s">
        <v>155</v>
      </c>
      <c r="Q61" s="40" t="s">
        <v>107</v>
      </c>
      <c r="R61" s="40" t="s">
        <v>108</v>
      </c>
      <c r="S61" s="43" t="s">
        <v>109</v>
      </c>
      <c r="T61" s="43" t="s">
        <v>109</v>
      </c>
      <c r="U61" s="40" t="s">
        <v>102</v>
      </c>
      <c r="V61" s="44" t="s">
        <v>110</v>
      </c>
      <c r="W61" s="45" t="s">
        <v>111</v>
      </c>
      <c r="X61" s="40" t="s">
        <v>102</v>
      </c>
      <c r="Y61" s="46">
        <v>45658</v>
      </c>
      <c r="Z61" s="40" t="s">
        <v>112</v>
      </c>
      <c r="AA61" s="47" t="s">
        <v>113</v>
      </c>
      <c r="AB61" s="48" t="s">
        <v>240</v>
      </c>
      <c r="AC61" s="48" t="s">
        <v>115</v>
      </c>
      <c r="AD61" s="39" t="s">
        <v>116</v>
      </c>
      <c r="AE61" s="38">
        <v>970</v>
      </c>
      <c r="AF61" s="38" t="s">
        <v>57</v>
      </c>
      <c r="AG61" s="48">
        <v>40</v>
      </c>
      <c r="AH61" s="49" t="s">
        <v>170</v>
      </c>
      <c r="AI61" s="48" t="s">
        <v>118</v>
      </c>
      <c r="AJ61" s="46" t="s">
        <v>113</v>
      </c>
      <c r="AK61" s="41">
        <f t="shared" si="15"/>
        <v>45748</v>
      </c>
      <c r="AL61" s="40" t="s">
        <v>119</v>
      </c>
      <c r="AM61" s="49" t="s">
        <v>120</v>
      </c>
      <c r="AN61" s="48" t="s">
        <v>121</v>
      </c>
      <c r="AO61" s="40" t="s">
        <v>122</v>
      </c>
      <c r="AP61" s="50" t="s">
        <v>123</v>
      </c>
      <c r="AQ61" s="40" t="s">
        <v>124</v>
      </c>
      <c r="AR61" s="35" t="s">
        <v>124</v>
      </c>
      <c r="AS61" s="44" t="s">
        <v>113</v>
      </c>
      <c r="AT61" s="40" t="s">
        <v>125</v>
      </c>
      <c r="AU61" s="50" t="str">
        <f t="shared" si="18"/>
        <v>Permanent</v>
      </c>
      <c r="AV61" s="44" t="s">
        <v>127</v>
      </c>
      <c r="AW61" s="51">
        <f t="shared" si="5"/>
        <v>45657</v>
      </c>
      <c r="AX61" s="51">
        <f t="shared" si="1"/>
        <v>45657</v>
      </c>
      <c r="AY61" s="41">
        <f t="shared" si="2"/>
        <v>NaN</v>
      </c>
      <c r="AZ61" s="43" t="s">
        <v>97</v>
      </c>
      <c r="BA61" s="43" t="s">
        <v>128</v>
      </c>
      <c r="BB61" s="52" t="s">
        <v>446</v>
      </c>
      <c r="BC61" s="44">
        <v>36526</v>
      </c>
      <c r="BD61" s="44">
        <v>51136</v>
      </c>
      <c r="BE61" s="43" t="s">
        <v>97</v>
      </c>
      <c r="BF61" s="43" t="s">
        <v>132</v>
      </c>
      <c r="BG61" s="50">
        <v>5855200033</v>
      </c>
      <c r="BH61" s="44">
        <v>36526</v>
      </c>
      <c r="BI61" s="44">
        <v>51136</v>
      </c>
      <c r="BJ61" s="38" t="s">
        <v>133</v>
      </c>
      <c r="BK61" s="50" t="s">
        <v>157</v>
      </c>
      <c r="BL61" s="53">
        <v>30683</v>
      </c>
      <c r="BM61" s="54" t="s">
        <v>97</v>
      </c>
      <c r="BN61" s="43" t="s">
        <v>109</v>
      </c>
      <c r="BO61" s="38" t="s">
        <v>135</v>
      </c>
      <c r="BP61" s="55" t="s">
        <v>113</v>
      </c>
      <c r="BQ61" s="43" t="s">
        <v>136</v>
      </c>
      <c r="BR61" s="43" t="s">
        <v>97</v>
      </c>
      <c r="BS61" s="39" t="s">
        <v>124</v>
      </c>
      <c r="BT61" s="39" t="s">
        <v>113</v>
      </c>
      <c r="BU61" s="38" t="s">
        <v>137</v>
      </c>
      <c r="BV61" s="38" t="s">
        <v>138</v>
      </c>
      <c r="BW61" s="43" t="s">
        <v>139</v>
      </c>
      <c r="BX61" s="56" t="s">
        <v>158</v>
      </c>
      <c r="BY61" s="43" t="s">
        <v>141</v>
      </c>
      <c r="BZ61" s="43" t="s">
        <v>142</v>
      </c>
      <c r="CA61" s="43" t="s">
        <v>143</v>
      </c>
      <c r="CB61" s="43" t="s">
        <v>144</v>
      </c>
      <c r="CC61" s="56" t="s">
        <v>139</v>
      </c>
      <c r="CD61" s="40" t="s">
        <v>140</v>
      </c>
      <c r="CE61" s="43" t="s">
        <v>141</v>
      </c>
      <c r="CF61" s="43" t="s">
        <v>145</v>
      </c>
      <c r="CG61" s="43" t="s">
        <v>146</v>
      </c>
      <c r="CH61" s="43" t="s">
        <v>145</v>
      </c>
      <c r="CI61" s="57">
        <v>100</v>
      </c>
      <c r="CJ61" s="43" t="s">
        <v>147</v>
      </c>
      <c r="CK61" s="43" t="s">
        <v>148</v>
      </c>
      <c r="CL61" s="43" t="s">
        <v>97</v>
      </c>
      <c r="CM61" s="43" t="s">
        <v>159</v>
      </c>
      <c r="CN61" s="43" t="s">
        <v>150</v>
      </c>
      <c r="CO61" s="49" t="s">
        <v>113</v>
      </c>
      <c r="CP61" s="49" t="s">
        <v>113</v>
      </c>
      <c r="CQ61" s="58" t="s">
        <v>113</v>
      </c>
      <c r="CR61" s="53" t="s">
        <v>113</v>
      </c>
      <c r="CS61" s="49" t="s">
        <v>113</v>
      </c>
      <c r="CT61" s="59" t="s">
        <v>113</v>
      </c>
      <c r="CU61" s="59" t="s">
        <v>113</v>
      </c>
      <c r="CV61" s="35" t="s">
        <v>443</v>
      </c>
    </row>
    <row r="62" ht="14.5" customHeight="1" spans="1:100" x14ac:dyDescent="0.25">
      <c r="A62" s="35" t="s">
        <v>447</v>
      </c>
      <c r="B62" s="35" t="s">
        <v>448</v>
      </c>
      <c r="C62" s="35" t="s">
        <v>224</v>
      </c>
      <c r="D62" s="37" t="s">
        <v>96</v>
      </c>
      <c r="E62" s="38" t="s">
        <v>97</v>
      </c>
      <c r="F62" s="39" t="s">
        <v>449</v>
      </c>
      <c r="G62" s="39" t="s">
        <v>184</v>
      </c>
      <c r="H62" s="40" t="s">
        <v>100</v>
      </c>
      <c r="I62" s="40" t="s">
        <v>101</v>
      </c>
      <c r="J62" s="40" t="s">
        <v>102</v>
      </c>
      <c r="K62" s="41">
        <f t="shared" si="16"/>
        <v>45658</v>
      </c>
      <c r="L62" s="38" t="s">
        <v>97</v>
      </c>
      <c r="M62" s="40" t="s">
        <v>103</v>
      </c>
      <c r="N62" s="40" t="s">
        <v>154</v>
      </c>
      <c r="O62" s="42" t="s">
        <v>105</v>
      </c>
      <c r="P62" s="38" t="s">
        <v>155</v>
      </c>
      <c r="Q62" s="40" t="s">
        <v>107</v>
      </c>
      <c r="R62" s="40" t="s">
        <v>108</v>
      </c>
      <c r="S62" s="43" t="s">
        <v>109</v>
      </c>
      <c r="T62" s="43" t="s">
        <v>109</v>
      </c>
      <c r="U62" s="40" t="s">
        <v>102</v>
      </c>
      <c r="V62" s="44" t="s">
        <v>110</v>
      </c>
      <c r="W62" s="45" t="s">
        <v>111</v>
      </c>
      <c r="X62" s="40" t="s">
        <v>102</v>
      </c>
      <c r="Y62" s="46">
        <v>45658</v>
      </c>
      <c r="Z62" s="40" t="s">
        <v>112</v>
      </c>
      <c r="AA62" s="47" t="s">
        <v>113</v>
      </c>
      <c r="AB62" s="48" t="s">
        <v>114</v>
      </c>
      <c r="AC62" s="48" t="s">
        <v>115</v>
      </c>
      <c r="AD62" s="39" t="s">
        <v>116</v>
      </c>
      <c r="AE62" s="38">
        <v>970</v>
      </c>
      <c r="AF62" s="38" t="s">
        <v>57</v>
      </c>
      <c r="AG62" s="48">
        <v>30</v>
      </c>
      <c r="AH62" s="49" t="s">
        <v>117</v>
      </c>
      <c r="AI62" s="48" t="s">
        <v>118</v>
      </c>
      <c r="AJ62" s="46">
        <f t="shared" ref="AJ62" si="19">Y62+365</f>
        <v>46023</v>
      </c>
      <c r="AK62" s="41">
        <f t="shared" si="15"/>
        <v>45748</v>
      </c>
      <c r="AL62" s="40" t="s">
        <v>119</v>
      </c>
      <c r="AM62" s="49" t="s">
        <v>120</v>
      </c>
      <c r="AN62" s="39" t="s">
        <v>185</v>
      </c>
      <c r="AO62" s="40" t="s">
        <v>122</v>
      </c>
      <c r="AP62" s="50" t="s">
        <v>123</v>
      </c>
      <c r="AQ62" s="40" t="s">
        <v>124</v>
      </c>
      <c r="AR62" s="35" t="s">
        <v>124</v>
      </c>
      <c r="AS62" s="44" t="s">
        <v>113</v>
      </c>
      <c r="AT62" s="40" t="s">
        <v>125</v>
      </c>
      <c r="AU62" t="s">
        <v>126</v>
      </c>
      <c r="AV62" s="44" t="s">
        <v>127</v>
      </c>
      <c r="AW62" s="51">
        <f t="shared" si="5"/>
        <v>45657</v>
      </c>
      <c r="AX62" s="51">
        <f t="shared" si="1"/>
        <v>45657</v>
      </c>
      <c r="AY62" s="41">
        <f t="shared" si="2"/>
        <v>46023</v>
      </c>
      <c r="AZ62" s="43" t="s">
        <v>97</v>
      </c>
      <c r="BA62" s="43" t="s">
        <v>128</v>
      </c>
      <c r="BB62" s="52" t="s">
        <v>175</v>
      </c>
      <c r="BC62" s="44" t="s">
        <v>130</v>
      </c>
      <c r="BD62" s="44" t="s">
        <v>131</v>
      </c>
      <c r="BE62" s="43" t="s">
        <v>97</v>
      </c>
      <c r="BF62" s="43" t="s">
        <v>132</v>
      </c>
      <c r="BG62" s="50">
        <v>5855200034</v>
      </c>
      <c r="BH62" s="44">
        <v>36526</v>
      </c>
      <c r="BI62" s="44">
        <v>51136</v>
      </c>
      <c r="BJ62" s="38" t="s">
        <v>133</v>
      </c>
      <c r="BK62" s="50" t="s">
        <v>134</v>
      </c>
      <c r="BL62" s="53">
        <v>31414</v>
      </c>
      <c r="BM62" s="54" t="s">
        <v>97</v>
      </c>
      <c r="BN62" s="43" t="s">
        <v>109</v>
      </c>
      <c r="BO62" s="38" t="s">
        <v>135</v>
      </c>
      <c r="BP62" s="55" t="s">
        <v>113</v>
      </c>
      <c r="BQ62" s="43" t="s">
        <v>136</v>
      </c>
      <c r="BR62" s="43" t="s">
        <v>97</v>
      </c>
      <c r="BS62" s="49" t="s">
        <v>124</v>
      </c>
      <c r="BT62" s="49" t="s">
        <v>113</v>
      </c>
      <c r="BU62" s="38" t="s">
        <v>137</v>
      </c>
      <c r="BV62" s="38" t="s">
        <v>138</v>
      </c>
      <c r="BW62" s="43" t="s">
        <v>139</v>
      </c>
      <c r="BX62" s="56" t="s">
        <v>158</v>
      </c>
      <c r="BY62" s="43" t="s">
        <v>141</v>
      </c>
      <c r="BZ62" s="43" t="s">
        <v>142</v>
      </c>
      <c r="CA62" s="43" t="s">
        <v>143</v>
      </c>
      <c r="CB62" s="43" t="s">
        <v>144</v>
      </c>
      <c r="CC62" s="56" t="s">
        <v>139</v>
      </c>
      <c r="CD62" s="40" t="s">
        <v>140</v>
      </c>
      <c r="CE62" s="43" t="s">
        <v>141</v>
      </c>
      <c r="CF62" s="43" t="s">
        <v>145</v>
      </c>
      <c r="CG62" s="43" t="s">
        <v>146</v>
      </c>
      <c r="CH62" s="43" t="s">
        <v>145</v>
      </c>
      <c r="CI62" s="57">
        <v>100</v>
      </c>
      <c r="CJ62" s="43" t="s">
        <v>147</v>
      </c>
      <c r="CK62" s="43" t="s">
        <v>148</v>
      </c>
      <c r="CL62" s="43" t="s">
        <v>97</v>
      </c>
      <c r="CM62" s="43" t="s">
        <v>159</v>
      </c>
      <c r="CN62" s="43" t="s">
        <v>150</v>
      </c>
      <c r="CO62" s="49" t="s">
        <v>113</v>
      </c>
      <c r="CP62" s="49" t="s">
        <v>113</v>
      </c>
      <c r="CQ62" s="58" t="s">
        <v>113</v>
      </c>
      <c r="CR62" s="49" t="s">
        <v>113</v>
      </c>
      <c r="CS62" s="49" t="s">
        <v>113</v>
      </c>
      <c r="CT62" s="49" t="s">
        <v>113</v>
      </c>
      <c r="CU62" s="49" t="s">
        <v>113</v>
      </c>
      <c r="CV62" s="35" t="s">
        <v>447</v>
      </c>
    </row>
    <row r="63" ht="14.5" customHeight="1" spans="1:100" x14ac:dyDescent="0.25">
      <c r="A63" s="35" t="s">
        <v>450</v>
      </c>
      <c r="B63" s="35" t="s">
        <v>451</v>
      </c>
      <c r="C63" s="35" t="s">
        <v>224</v>
      </c>
      <c r="D63" s="37" t="s">
        <v>96</v>
      </c>
      <c r="E63" s="38" t="s">
        <v>97</v>
      </c>
      <c r="F63" s="39" t="s">
        <v>452</v>
      </c>
      <c r="G63" s="39" t="s">
        <v>184</v>
      </c>
      <c r="H63" s="40" t="s">
        <v>100</v>
      </c>
      <c r="I63" s="40" t="s">
        <v>101</v>
      </c>
      <c r="J63" s="40" t="s">
        <v>102</v>
      </c>
      <c r="K63" s="41">
        <f t="shared" si="16"/>
        <v>45292</v>
      </c>
      <c r="L63" s="38" t="s">
        <v>97</v>
      </c>
      <c r="M63" s="40" t="s">
        <v>103</v>
      </c>
      <c r="N63" s="40" t="s">
        <v>104</v>
      </c>
      <c r="O63" s="42" t="s">
        <v>105</v>
      </c>
      <c r="P63" s="38" t="s">
        <v>106</v>
      </c>
      <c r="Q63" s="40" t="s">
        <v>107</v>
      </c>
      <c r="R63" s="40" t="s">
        <v>108</v>
      </c>
      <c r="S63" s="43" t="s">
        <v>109</v>
      </c>
      <c r="T63" s="43" t="s">
        <v>109</v>
      </c>
      <c r="U63" s="40" t="s">
        <v>102</v>
      </c>
      <c r="V63" s="44" t="s">
        <v>110</v>
      </c>
      <c r="W63" s="45" t="s">
        <v>111</v>
      </c>
      <c r="X63" s="40" t="s">
        <v>102</v>
      </c>
      <c r="Y63" s="46">
        <v>45292</v>
      </c>
      <c r="Z63" s="40" t="s">
        <v>112</v>
      </c>
      <c r="AA63" s="47" t="s">
        <v>113</v>
      </c>
      <c r="AB63" s="48" t="s">
        <v>240</v>
      </c>
      <c r="AC63" s="48" t="s">
        <v>115</v>
      </c>
      <c r="AD63" s="39" t="s">
        <v>116</v>
      </c>
      <c r="AE63" s="38">
        <v>970</v>
      </c>
      <c r="AF63" s="38" t="s">
        <v>57</v>
      </c>
      <c r="AG63" s="48">
        <v>25</v>
      </c>
      <c r="AH63" s="49" t="s">
        <v>117</v>
      </c>
      <c r="AI63" s="48" t="s">
        <v>118</v>
      </c>
      <c r="AJ63" s="46" t="s">
        <v>113</v>
      </c>
      <c r="AK63" s="41">
        <f t="shared" si="15"/>
        <v>45382</v>
      </c>
      <c r="AL63" s="40" t="s">
        <v>119</v>
      </c>
      <c r="AM63" s="49" t="s">
        <v>120</v>
      </c>
      <c r="AN63" s="48" t="s">
        <v>121</v>
      </c>
      <c r="AO63" s="40" t="s">
        <v>122</v>
      </c>
      <c r="AP63" s="50" t="s">
        <v>123</v>
      </c>
      <c r="AQ63" s="40" t="s">
        <v>124</v>
      </c>
      <c r="AR63" s="35" t="s">
        <v>124</v>
      </c>
      <c r="AS63" s="44" t="s">
        <v>113</v>
      </c>
      <c r="AT63" s="40" t="s">
        <v>125</v>
      </c>
      <c r="AU63" s="50" t="str">
        <f t="shared" ref="AU63:AU68" si="20">AB63</f>
        <v>Permanent</v>
      </c>
      <c r="AV63" s="44" t="s">
        <v>127</v>
      </c>
      <c r="AW63" s="51">
        <f t="shared" si="5"/>
        <v>45291</v>
      </c>
      <c r="AX63" s="51">
        <f t="shared" si="1"/>
        <v>45291</v>
      </c>
      <c r="AY63" s="41">
        <f t="shared" si="2"/>
        <v>NaN</v>
      </c>
      <c r="AZ63" s="43" t="s">
        <v>97</v>
      </c>
      <c r="BA63" s="43" t="s">
        <v>128</v>
      </c>
      <c r="BB63" s="52" t="s">
        <v>453</v>
      </c>
      <c r="BC63" s="44">
        <v>36526</v>
      </c>
      <c r="BD63" s="44">
        <v>51136</v>
      </c>
      <c r="BE63" s="43" t="s">
        <v>97</v>
      </c>
      <c r="BF63" s="43" t="s">
        <v>132</v>
      </c>
      <c r="BG63" s="50">
        <v>5155200035</v>
      </c>
      <c r="BH63" s="44">
        <v>36526</v>
      </c>
      <c r="BI63" s="44">
        <v>51136</v>
      </c>
      <c r="BJ63" s="38" t="s">
        <v>133</v>
      </c>
      <c r="BK63" s="50" t="s">
        <v>157</v>
      </c>
      <c r="BL63" s="53">
        <v>32875</v>
      </c>
      <c r="BM63" s="54" t="s">
        <v>97</v>
      </c>
      <c r="BN63" s="43" t="s">
        <v>109</v>
      </c>
      <c r="BO63" s="38" t="s">
        <v>135</v>
      </c>
      <c r="BP63" s="55" t="s">
        <v>113</v>
      </c>
      <c r="BQ63" s="43" t="s">
        <v>136</v>
      </c>
      <c r="BR63" s="43" t="s">
        <v>97</v>
      </c>
      <c r="BS63" s="49" t="s">
        <v>123</v>
      </c>
      <c r="BT63" s="39">
        <v>10</v>
      </c>
      <c r="BU63" s="38" t="s">
        <v>137</v>
      </c>
      <c r="BV63" s="38" t="s">
        <v>138</v>
      </c>
      <c r="BW63" s="43" t="s">
        <v>139</v>
      </c>
      <c r="BX63" s="56" t="s">
        <v>140</v>
      </c>
      <c r="BY63" s="43" t="s">
        <v>141</v>
      </c>
      <c r="BZ63" s="43" t="s">
        <v>142</v>
      </c>
      <c r="CA63" s="43" t="s">
        <v>143</v>
      </c>
      <c r="CB63" s="43" t="s">
        <v>144</v>
      </c>
      <c r="CC63" s="56" t="s">
        <v>139</v>
      </c>
      <c r="CD63" s="40" t="s">
        <v>140</v>
      </c>
      <c r="CE63" s="43" t="s">
        <v>141</v>
      </c>
      <c r="CF63" s="43" t="s">
        <v>145</v>
      </c>
      <c r="CG63" s="43" t="s">
        <v>146</v>
      </c>
      <c r="CH63" s="43" t="s">
        <v>145</v>
      </c>
      <c r="CI63" s="57">
        <v>100</v>
      </c>
      <c r="CJ63" s="43" t="s">
        <v>147</v>
      </c>
      <c r="CK63" s="43" t="s">
        <v>148</v>
      </c>
      <c r="CL63" s="43" t="s">
        <v>97</v>
      </c>
      <c r="CM63" s="43" t="s">
        <v>149</v>
      </c>
      <c r="CN63" s="43" t="s">
        <v>150</v>
      </c>
      <c r="CO63" s="49" t="s">
        <v>113</v>
      </c>
      <c r="CP63" s="49" t="s">
        <v>113</v>
      </c>
      <c r="CQ63" s="58" t="s">
        <v>113</v>
      </c>
      <c r="CR63" s="49" t="s">
        <v>113</v>
      </c>
      <c r="CS63" s="49" t="s">
        <v>113</v>
      </c>
      <c r="CT63" s="49" t="s">
        <v>113</v>
      </c>
      <c r="CU63" s="49" t="s">
        <v>113</v>
      </c>
      <c r="CV63" s="35" t="s">
        <v>450</v>
      </c>
    </row>
    <row r="64" ht="14.5" customHeight="1" spans="1:100" x14ac:dyDescent="0.25">
      <c r="A64" s="35" t="s">
        <v>454</v>
      </c>
      <c r="B64" s="35" t="s">
        <v>455</v>
      </c>
      <c r="C64" s="35" t="s">
        <v>95</v>
      </c>
      <c r="D64" s="37" t="s">
        <v>96</v>
      </c>
      <c r="E64" s="38" t="s">
        <v>97</v>
      </c>
      <c r="F64" s="39" t="s">
        <v>456</v>
      </c>
      <c r="G64" s="39" t="s">
        <v>429</v>
      </c>
      <c r="H64" s="40" t="s">
        <v>100</v>
      </c>
      <c r="I64" s="40" t="s">
        <v>101</v>
      </c>
      <c r="J64" s="40" t="s">
        <v>102</v>
      </c>
      <c r="K64" s="41">
        <f t="shared" si="16"/>
        <v>45658</v>
      </c>
      <c r="L64" s="38" t="s">
        <v>97</v>
      </c>
      <c r="M64" s="40" t="s">
        <v>103</v>
      </c>
      <c r="N64" s="40" t="s">
        <v>154</v>
      </c>
      <c r="O64" s="42" t="s">
        <v>105</v>
      </c>
      <c r="P64" s="38" t="s">
        <v>155</v>
      </c>
      <c r="Q64" s="40" t="s">
        <v>107</v>
      </c>
      <c r="R64" s="40" t="s">
        <v>108</v>
      </c>
      <c r="S64" s="43" t="s">
        <v>109</v>
      </c>
      <c r="T64" s="43" t="s">
        <v>109</v>
      </c>
      <c r="U64" s="40" t="s">
        <v>102</v>
      </c>
      <c r="V64" s="44" t="s">
        <v>110</v>
      </c>
      <c r="W64" s="45" t="s">
        <v>111</v>
      </c>
      <c r="X64" s="40" t="s">
        <v>102</v>
      </c>
      <c r="Y64" s="46">
        <v>45658</v>
      </c>
      <c r="Z64" s="40" t="s">
        <v>112</v>
      </c>
      <c r="AA64" s="47" t="s">
        <v>113</v>
      </c>
      <c r="AB64" s="48" t="s">
        <v>240</v>
      </c>
      <c r="AC64" s="48" t="s">
        <v>115</v>
      </c>
      <c r="AD64" s="39" t="s">
        <v>116</v>
      </c>
      <c r="AE64" s="38">
        <v>970</v>
      </c>
      <c r="AF64" s="38" t="s">
        <v>57</v>
      </c>
      <c r="AG64" s="48">
        <v>40</v>
      </c>
      <c r="AH64" s="49" t="s">
        <v>117</v>
      </c>
      <c r="AI64" s="48" t="s">
        <v>118</v>
      </c>
      <c r="AJ64" s="46" t="s">
        <v>113</v>
      </c>
      <c r="AK64" s="41">
        <f t="shared" si="15"/>
        <v>45748</v>
      </c>
      <c r="AL64" s="40" t="s">
        <v>119</v>
      </c>
      <c r="AM64" s="49" t="s">
        <v>120</v>
      </c>
      <c r="AN64" s="48" t="s">
        <v>165</v>
      </c>
      <c r="AO64" s="40" t="s">
        <v>122</v>
      </c>
      <c r="AP64" s="50" t="s">
        <v>123</v>
      </c>
      <c r="AQ64" s="40" t="s">
        <v>124</v>
      </c>
      <c r="AR64" s="35" t="s">
        <v>124</v>
      </c>
      <c r="AS64" s="44" t="s">
        <v>113</v>
      </c>
      <c r="AT64" s="40" t="s">
        <v>125</v>
      </c>
      <c r="AU64" s="50" t="str">
        <f t="shared" si="20"/>
        <v>Permanent</v>
      </c>
      <c r="AV64" s="44" t="s">
        <v>127</v>
      </c>
      <c r="AW64" s="51">
        <f t="shared" si="5"/>
        <v>45657</v>
      </c>
      <c r="AX64" s="51">
        <f t="shared" si="1"/>
        <v>45657</v>
      </c>
      <c r="AY64" s="41">
        <f t="shared" si="2"/>
        <v>NaN</v>
      </c>
      <c r="AZ64" s="43" t="s">
        <v>97</v>
      </c>
      <c r="BA64" s="43" t="s">
        <v>128</v>
      </c>
      <c r="BB64" s="52" t="s">
        <v>457</v>
      </c>
      <c r="BC64" s="44" t="s">
        <v>130</v>
      </c>
      <c r="BD64" s="44" t="s">
        <v>131</v>
      </c>
      <c r="BE64" s="43" t="s">
        <v>97</v>
      </c>
      <c r="BF64" s="43" t="s">
        <v>132</v>
      </c>
      <c r="BG64" s="50">
        <v>5855200036</v>
      </c>
      <c r="BH64" s="44">
        <v>36526</v>
      </c>
      <c r="BI64" s="44">
        <v>51136</v>
      </c>
      <c r="BJ64" s="38" t="s">
        <v>133</v>
      </c>
      <c r="BK64" s="50" t="s">
        <v>134</v>
      </c>
      <c r="BL64" s="53">
        <v>33605</v>
      </c>
      <c r="BM64" s="54" t="s">
        <v>97</v>
      </c>
      <c r="BN64" s="43" t="s">
        <v>109</v>
      </c>
      <c r="BO64" s="38" t="s">
        <v>135</v>
      </c>
      <c r="BP64" s="55" t="s">
        <v>113</v>
      </c>
      <c r="BQ64" s="43" t="s">
        <v>136</v>
      </c>
      <c r="BR64" s="43" t="s">
        <v>97</v>
      </c>
      <c r="BS64" s="49" t="s">
        <v>124</v>
      </c>
      <c r="BT64" s="39" t="s">
        <v>113</v>
      </c>
      <c r="BU64" s="38" t="s">
        <v>137</v>
      </c>
      <c r="BV64" s="38" t="s">
        <v>138</v>
      </c>
      <c r="BW64" s="43" t="s">
        <v>139</v>
      </c>
      <c r="BX64" s="56" t="s">
        <v>158</v>
      </c>
      <c r="BY64" s="43" t="s">
        <v>141</v>
      </c>
      <c r="BZ64" s="43" t="s">
        <v>142</v>
      </c>
      <c r="CA64" s="43" t="s">
        <v>143</v>
      </c>
      <c r="CB64" s="43" t="s">
        <v>144</v>
      </c>
      <c r="CC64" s="56" t="s">
        <v>139</v>
      </c>
      <c r="CD64" s="40" t="s">
        <v>140</v>
      </c>
      <c r="CE64" s="43" t="s">
        <v>141</v>
      </c>
      <c r="CF64" s="43" t="s">
        <v>145</v>
      </c>
      <c r="CG64" s="43" t="s">
        <v>146</v>
      </c>
      <c r="CH64" s="43" t="s">
        <v>145</v>
      </c>
      <c r="CI64" s="57">
        <v>100</v>
      </c>
      <c r="CJ64" s="43" t="s">
        <v>147</v>
      </c>
      <c r="CK64" s="43" t="s">
        <v>148</v>
      </c>
      <c r="CL64" s="43" t="s">
        <v>97</v>
      </c>
      <c r="CM64" s="43" t="s">
        <v>159</v>
      </c>
      <c r="CN64" s="43" t="s">
        <v>150</v>
      </c>
      <c r="CO64" s="49" t="s">
        <v>113</v>
      </c>
      <c r="CP64" s="49" t="s">
        <v>113</v>
      </c>
      <c r="CQ64" s="58" t="s">
        <v>113</v>
      </c>
      <c r="CR64" s="53" t="s">
        <v>113</v>
      </c>
      <c r="CS64" s="49" t="s">
        <v>113</v>
      </c>
      <c r="CT64" s="59" t="s">
        <v>113</v>
      </c>
      <c r="CU64" s="59" t="s">
        <v>113</v>
      </c>
      <c r="CV64" s="35" t="s">
        <v>454</v>
      </c>
    </row>
    <row r="65" ht="14.5" customHeight="1" spans="1:100" x14ac:dyDescent="0.25">
      <c r="A65" s="35" t="s">
        <v>458</v>
      </c>
      <c r="B65" s="35" t="s">
        <v>459</v>
      </c>
      <c r="C65" s="35" t="s">
        <v>224</v>
      </c>
      <c r="D65" s="37" t="s">
        <v>96</v>
      </c>
      <c r="E65" s="38" t="s">
        <v>97</v>
      </c>
      <c r="F65" s="39" t="s">
        <v>460</v>
      </c>
      <c r="G65" s="39" t="s">
        <v>184</v>
      </c>
      <c r="H65" s="40" t="s">
        <v>100</v>
      </c>
      <c r="I65" s="40" t="s">
        <v>101</v>
      </c>
      <c r="J65" s="40" t="s">
        <v>102</v>
      </c>
      <c r="K65" s="41">
        <f t="shared" si="16"/>
        <v>45658</v>
      </c>
      <c r="L65" s="38" t="s">
        <v>97</v>
      </c>
      <c r="M65" s="40" t="s">
        <v>103</v>
      </c>
      <c r="N65" s="40" t="s">
        <v>154</v>
      </c>
      <c r="O65" s="42" t="s">
        <v>105</v>
      </c>
      <c r="P65" s="38" t="s">
        <v>155</v>
      </c>
      <c r="Q65" s="40" t="s">
        <v>107</v>
      </c>
      <c r="R65" s="40" t="s">
        <v>108</v>
      </c>
      <c r="S65" s="43" t="s">
        <v>109</v>
      </c>
      <c r="T65" s="43" t="s">
        <v>109</v>
      </c>
      <c r="U65" s="40" t="s">
        <v>102</v>
      </c>
      <c r="V65" s="44" t="s">
        <v>110</v>
      </c>
      <c r="W65" s="45" t="s">
        <v>111</v>
      </c>
      <c r="X65" s="40" t="s">
        <v>102</v>
      </c>
      <c r="Y65" s="46">
        <v>45658</v>
      </c>
      <c r="Z65" s="40" t="s">
        <v>112</v>
      </c>
      <c r="AA65" s="47" t="s">
        <v>113</v>
      </c>
      <c r="AB65" s="48" t="s">
        <v>114</v>
      </c>
      <c r="AC65" s="48" t="s">
        <v>115</v>
      </c>
      <c r="AD65" s="39" t="s">
        <v>116</v>
      </c>
      <c r="AE65" s="38">
        <v>970</v>
      </c>
      <c r="AF65" s="38" t="s">
        <v>57</v>
      </c>
      <c r="AG65" s="48">
        <v>30</v>
      </c>
      <c r="AH65" s="49" t="s">
        <v>170</v>
      </c>
      <c r="AI65" s="48" t="s">
        <v>118</v>
      </c>
      <c r="AJ65" s="46">
        <f t="shared" ref="AJ65" si="21">Y65+365</f>
        <v>46023</v>
      </c>
      <c r="AK65" s="41">
        <f t="shared" si="15"/>
        <v>45748</v>
      </c>
      <c r="AL65" s="40" t="s">
        <v>119</v>
      </c>
      <c r="AM65" s="49" t="s">
        <v>120</v>
      </c>
      <c r="AN65" s="39" t="s">
        <v>185</v>
      </c>
      <c r="AO65" s="40" t="s">
        <v>122</v>
      </c>
      <c r="AP65" s="50" t="s">
        <v>123</v>
      </c>
      <c r="AQ65" s="40" t="s">
        <v>124</v>
      </c>
      <c r="AR65" s="35" t="s">
        <v>124</v>
      </c>
      <c r="AS65" s="44" t="s">
        <v>113</v>
      </c>
      <c r="AT65" s="40" t="s">
        <v>125</v>
      </c>
      <c r="AU65" t="s">
        <v>126</v>
      </c>
      <c r="AV65" s="44" t="s">
        <v>127</v>
      </c>
      <c r="AW65" s="51">
        <f t="shared" si="5"/>
        <v>45657</v>
      </c>
      <c r="AX65" s="51">
        <f t="shared" si="1"/>
        <v>45657</v>
      </c>
      <c r="AY65" s="41">
        <f t="shared" si="2"/>
        <v>46023</v>
      </c>
      <c r="AZ65" s="43" t="s">
        <v>97</v>
      </c>
      <c r="BA65" s="43" t="s">
        <v>128</v>
      </c>
      <c r="BB65" s="52" t="s">
        <v>190</v>
      </c>
      <c r="BC65" s="44">
        <v>36526</v>
      </c>
      <c r="BD65" s="44">
        <v>51136</v>
      </c>
      <c r="BE65" s="43" t="s">
        <v>97</v>
      </c>
      <c r="BF65" s="43" t="s">
        <v>132</v>
      </c>
      <c r="BG65" s="50">
        <v>5855200037</v>
      </c>
      <c r="BH65" s="44">
        <v>36526</v>
      </c>
      <c r="BI65" s="44">
        <v>51136</v>
      </c>
      <c r="BJ65" s="38" t="s">
        <v>133</v>
      </c>
      <c r="BK65" s="50" t="s">
        <v>157</v>
      </c>
      <c r="BL65" s="53">
        <v>34336</v>
      </c>
      <c r="BM65" s="54" t="s">
        <v>97</v>
      </c>
      <c r="BN65" s="43" t="s">
        <v>109</v>
      </c>
      <c r="BO65" s="38" t="s">
        <v>135</v>
      </c>
      <c r="BP65" s="55" t="s">
        <v>113</v>
      </c>
      <c r="BQ65" s="43" t="s">
        <v>136</v>
      </c>
      <c r="BR65" s="43" t="s">
        <v>97</v>
      </c>
      <c r="BS65" s="49" t="s">
        <v>124</v>
      </c>
      <c r="BT65" s="39" t="s">
        <v>113</v>
      </c>
      <c r="BU65" s="38" t="s">
        <v>137</v>
      </c>
      <c r="BV65" s="38" t="s">
        <v>138</v>
      </c>
      <c r="BW65" s="43" t="s">
        <v>139</v>
      </c>
      <c r="BX65" s="56" t="s">
        <v>158</v>
      </c>
      <c r="BY65" s="43" t="s">
        <v>141</v>
      </c>
      <c r="BZ65" s="43" t="s">
        <v>142</v>
      </c>
      <c r="CA65" s="43" t="s">
        <v>143</v>
      </c>
      <c r="CB65" s="43" t="s">
        <v>144</v>
      </c>
      <c r="CC65" s="56" t="s">
        <v>139</v>
      </c>
      <c r="CD65" s="40" t="s">
        <v>140</v>
      </c>
      <c r="CE65" s="43" t="s">
        <v>141</v>
      </c>
      <c r="CF65" s="43" t="s">
        <v>145</v>
      </c>
      <c r="CG65" s="43" t="s">
        <v>146</v>
      </c>
      <c r="CH65" s="43" t="s">
        <v>145</v>
      </c>
      <c r="CI65" s="57">
        <v>100</v>
      </c>
      <c r="CJ65" s="43" t="s">
        <v>147</v>
      </c>
      <c r="CK65" s="43" t="s">
        <v>148</v>
      </c>
      <c r="CL65" s="43" t="s">
        <v>97</v>
      </c>
      <c r="CM65" s="43" t="s">
        <v>159</v>
      </c>
      <c r="CN65" s="43" t="s">
        <v>150</v>
      </c>
      <c r="CO65" s="49" t="s">
        <v>160</v>
      </c>
      <c r="CP65" s="49" t="s">
        <v>161</v>
      </c>
      <c r="CQ65" s="58" t="s">
        <v>109</v>
      </c>
      <c r="CR65" s="53">
        <f>TODAY()-1500</f>
        <v>44271</v>
      </c>
      <c r="CS65" s="49" t="s">
        <v>162</v>
      </c>
      <c r="CT65" s="59">
        <v>1234040</v>
      </c>
      <c r="CU65" s="59">
        <v>123456033</v>
      </c>
      <c r="CV65" s="35" t="s">
        <v>458</v>
      </c>
    </row>
    <row r="66" ht="14.5" customHeight="1" spans="1:100" x14ac:dyDescent="0.25">
      <c r="A66" s="35" t="s">
        <v>461</v>
      </c>
      <c r="B66" s="60" t="s">
        <v>462</v>
      </c>
      <c r="C66" s="35" t="s">
        <v>224</v>
      </c>
      <c r="D66" s="37" t="s">
        <v>96</v>
      </c>
      <c r="E66" s="38" t="s">
        <v>97</v>
      </c>
      <c r="F66" s="39" t="s">
        <v>463</v>
      </c>
      <c r="G66" s="39" t="s">
        <v>184</v>
      </c>
      <c r="H66" s="40" t="s">
        <v>100</v>
      </c>
      <c r="I66" s="40" t="s">
        <v>101</v>
      </c>
      <c r="J66" s="40" t="s">
        <v>102</v>
      </c>
      <c r="K66" s="41">
        <f t="shared" si="16"/>
        <v>45292</v>
      </c>
      <c r="L66" s="38" t="s">
        <v>97</v>
      </c>
      <c r="M66" s="40" t="s">
        <v>103</v>
      </c>
      <c r="N66" s="40" t="s">
        <v>104</v>
      </c>
      <c r="O66" s="42" t="s">
        <v>105</v>
      </c>
      <c r="P66" s="38" t="s">
        <v>106</v>
      </c>
      <c r="Q66" s="40" t="s">
        <v>107</v>
      </c>
      <c r="R66" s="40" t="s">
        <v>108</v>
      </c>
      <c r="S66" s="43" t="s">
        <v>109</v>
      </c>
      <c r="T66" s="43" t="s">
        <v>109</v>
      </c>
      <c r="U66" s="40" t="s">
        <v>102</v>
      </c>
      <c r="V66" s="44" t="s">
        <v>110</v>
      </c>
      <c r="W66" s="45" t="s">
        <v>111</v>
      </c>
      <c r="X66" s="40" t="s">
        <v>102</v>
      </c>
      <c r="Y66" s="46">
        <v>45292</v>
      </c>
      <c r="Z66" s="40" t="s">
        <v>112</v>
      </c>
      <c r="AA66" s="47" t="s">
        <v>113</v>
      </c>
      <c r="AB66" s="48" t="s">
        <v>114</v>
      </c>
      <c r="AC66" s="48" t="s">
        <v>115</v>
      </c>
      <c r="AD66" s="39" t="s">
        <v>116</v>
      </c>
      <c r="AE66" s="38">
        <v>970</v>
      </c>
      <c r="AF66" s="38" t="s">
        <v>57</v>
      </c>
      <c r="AG66" s="48">
        <v>20</v>
      </c>
      <c r="AH66" s="49" t="s">
        <v>170</v>
      </c>
      <c r="AI66" s="48" t="s">
        <v>118</v>
      </c>
      <c r="AJ66" s="46">
        <f>Y66+740</f>
        <v>46032</v>
      </c>
      <c r="AK66" s="41">
        <f t="shared" si="15"/>
        <v>45382</v>
      </c>
      <c r="AL66" s="40" t="s">
        <v>119</v>
      </c>
      <c r="AM66" s="49" t="s">
        <v>120</v>
      </c>
      <c r="AN66" s="48" t="s">
        <v>121</v>
      </c>
      <c r="AO66" s="40" t="s">
        <v>122</v>
      </c>
      <c r="AP66" s="50" t="s">
        <v>123</v>
      </c>
      <c r="AQ66" s="40" t="s">
        <v>124</v>
      </c>
      <c r="AR66" s="35" t="s">
        <v>124</v>
      </c>
      <c r="AS66" s="44" t="s">
        <v>113</v>
      </c>
      <c r="AT66" s="40" t="s">
        <v>125</v>
      </c>
      <c r="AU66" t="s">
        <v>126</v>
      </c>
      <c r="AV66" s="44" t="s">
        <v>127</v>
      </c>
      <c r="AW66" s="51">
        <f t="shared" si="5"/>
        <v>45291</v>
      </c>
      <c r="AX66" s="51">
        <f t="shared" ref="AX66:AX69" si="22">Y66-1</f>
        <v>45291</v>
      </c>
      <c r="AY66" s="41">
        <f t="shared" ref="AY66:AY69" si="23">AJ66</f>
        <v>46032</v>
      </c>
      <c r="AZ66" s="43" t="s">
        <v>97</v>
      </c>
      <c r="BA66" s="43" t="s">
        <v>128</v>
      </c>
      <c r="BB66" s="52" t="s">
        <v>194</v>
      </c>
      <c r="BC66" s="44" t="s">
        <v>130</v>
      </c>
      <c r="BD66" s="44" t="s">
        <v>131</v>
      </c>
      <c r="BE66" s="43" t="s">
        <v>97</v>
      </c>
      <c r="BF66" s="43" t="s">
        <v>132</v>
      </c>
      <c r="BG66" s="50">
        <v>5855200038</v>
      </c>
      <c r="BH66" s="44">
        <v>36526</v>
      </c>
      <c r="BI66" s="44">
        <v>51136</v>
      </c>
      <c r="BJ66" s="38" t="s">
        <v>133</v>
      </c>
      <c r="BK66" s="50" t="s">
        <v>134</v>
      </c>
      <c r="BL66" s="53">
        <v>35109</v>
      </c>
      <c r="BM66" s="54" t="s">
        <v>97</v>
      </c>
      <c r="BN66" s="43" t="s">
        <v>109</v>
      </c>
      <c r="BO66" s="38" t="s">
        <v>135</v>
      </c>
      <c r="BP66" s="55" t="s">
        <v>113</v>
      </c>
      <c r="BQ66" s="43" t="s">
        <v>136</v>
      </c>
      <c r="BR66" s="43" t="s">
        <v>97</v>
      </c>
      <c r="BS66" s="49" t="s">
        <v>123</v>
      </c>
      <c r="BT66" s="39">
        <v>10</v>
      </c>
      <c r="BU66" s="38" t="s">
        <v>137</v>
      </c>
      <c r="BV66" s="38" t="s">
        <v>138</v>
      </c>
      <c r="BW66" s="43" t="s">
        <v>139</v>
      </c>
      <c r="BX66" s="56" t="s">
        <v>140</v>
      </c>
      <c r="BY66" s="43" t="s">
        <v>141</v>
      </c>
      <c r="BZ66" s="43" t="s">
        <v>142</v>
      </c>
      <c r="CA66" s="43" t="s">
        <v>143</v>
      </c>
      <c r="CB66" s="43" t="s">
        <v>144</v>
      </c>
      <c r="CC66" s="56" t="s">
        <v>139</v>
      </c>
      <c r="CD66" s="40" t="s">
        <v>140</v>
      </c>
      <c r="CE66" s="43" t="s">
        <v>141</v>
      </c>
      <c r="CF66" s="43" t="s">
        <v>145</v>
      </c>
      <c r="CG66" s="43" t="s">
        <v>146</v>
      </c>
      <c r="CH66" s="43" t="s">
        <v>145</v>
      </c>
      <c r="CI66" s="57">
        <v>100</v>
      </c>
      <c r="CJ66" s="43" t="s">
        <v>147</v>
      </c>
      <c r="CK66" s="43" t="s">
        <v>148</v>
      </c>
      <c r="CL66" s="43" t="s">
        <v>97</v>
      </c>
      <c r="CM66" s="43" t="s">
        <v>149</v>
      </c>
      <c r="CN66" s="43" t="s">
        <v>150</v>
      </c>
      <c r="CO66" s="49" t="s">
        <v>113</v>
      </c>
      <c r="CP66" s="49" t="s">
        <v>113</v>
      </c>
      <c r="CQ66" s="58" t="s">
        <v>113</v>
      </c>
      <c r="CR66" s="53" t="s">
        <v>113</v>
      </c>
      <c r="CS66" s="49" t="s">
        <v>113</v>
      </c>
      <c r="CT66" s="49" t="s">
        <v>113</v>
      </c>
      <c r="CU66" s="59" t="s">
        <v>113</v>
      </c>
      <c r="CV66" s="35" t="s">
        <v>461</v>
      </c>
    </row>
    <row r="67" ht="14.5" customHeight="1" spans="1:100" x14ac:dyDescent="0.25">
      <c r="A67" s="35" t="s">
        <v>464</v>
      </c>
      <c r="B67" s="35" t="s">
        <v>465</v>
      </c>
      <c r="C67" s="35" t="s">
        <v>224</v>
      </c>
      <c r="D67" s="37" t="s">
        <v>96</v>
      </c>
      <c r="E67" s="38" t="s">
        <v>97</v>
      </c>
      <c r="F67" s="39" t="s">
        <v>466</v>
      </c>
      <c r="G67" s="39" t="s">
        <v>184</v>
      </c>
      <c r="H67" s="40" t="s">
        <v>100</v>
      </c>
      <c r="I67" s="40" t="s">
        <v>101</v>
      </c>
      <c r="J67" s="40" t="s">
        <v>102</v>
      </c>
      <c r="K67" s="41">
        <f t="shared" si="16"/>
        <v>45658</v>
      </c>
      <c r="L67" s="38" t="s">
        <v>97</v>
      </c>
      <c r="M67" s="40" t="s">
        <v>103</v>
      </c>
      <c r="N67" s="40" t="s">
        <v>154</v>
      </c>
      <c r="O67" s="42" t="s">
        <v>105</v>
      </c>
      <c r="P67" s="38" t="s">
        <v>155</v>
      </c>
      <c r="Q67" s="40" t="s">
        <v>107</v>
      </c>
      <c r="R67" s="40" t="s">
        <v>108</v>
      </c>
      <c r="S67" s="43" t="s">
        <v>109</v>
      </c>
      <c r="T67" s="43" t="s">
        <v>109</v>
      </c>
      <c r="U67" s="40" t="s">
        <v>102</v>
      </c>
      <c r="V67" s="44" t="s">
        <v>110</v>
      </c>
      <c r="W67" s="45" t="s">
        <v>111</v>
      </c>
      <c r="X67" s="40" t="s">
        <v>102</v>
      </c>
      <c r="Y67" s="46">
        <v>45658</v>
      </c>
      <c r="Z67" s="40" t="s">
        <v>112</v>
      </c>
      <c r="AA67" s="47" t="s">
        <v>113</v>
      </c>
      <c r="AB67" s="48" t="s">
        <v>240</v>
      </c>
      <c r="AC67" s="48" t="s">
        <v>115</v>
      </c>
      <c r="AD67" s="39" t="s">
        <v>116</v>
      </c>
      <c r="AE67" s="38">
        <v>970</v>
      </c>
      <c r="AF67" s="38" t="s">
        <v>57</v>
      </c>
      <c r="AG67" s="48">
        <v>30</v>
      </c>
      <c r="AH67" s="49" t="s">
        <v>117</v>
      </c>
      <c r="AI67" s="48" t="s">
        <v>118</v>
      </c>
      <c r="AJ67" s="46" t="s">
        <v>113</v>
      </c>
      <c r="AK67" s="41">
        <f t="shared" si="15"/>
        <v>45748</v>
      </c>
      <c r="AL67" s="40" t="s">
        <v>119</v>
      </c>
      <c r="AM67" s="49" t="s">
        <v>120</v>
      </c>
      <c r="AN67" s="48" t="s">
        <v>165</v>
      </c>
      <c r="AO67" s="40" t="s">
        <v>122</v>
      </c>
      <c r="AP67" s="50" t="s">
        <v>123</v>
      </c>
      <c r="AQ67" s="40" t="s">
        <v>124</v>
      </c>
      <c r="AR67" s="35" t="s">
        <v>124</v>
      </c>
      <c r="AS67" s="44" t="s">
        <v>113</v>
      </c>
      <c r="AT67" s="40" t="s">
        <v>125</v>
      </c>
      <c r="AU67" s="50" t="str">
        <f t="shared" si="20"/>
        <v>Permanent</v>
      </c>
      <c r="AV67" s="44" t="s">
        <v>127</v>
      </c>
      <c r="AW67" s="51">
        <f t="shared" ref="AW67:AW69" si="24">Y67-1</f>
        <v>45657</v>
      </c>
      <c r="AX67" s="51">
        <f t="shared" si="22"/>
        <v>45657</v>
      </c>
      <c r="AY67" s="41">
        <f t="shared" si="23"/>
        <v>NaN</v>
      </c>
      <c r="AZ67" s="43" t="s">
        <v>97</v>
      </c>
      <c r="BA67" s="43" t="s">
        <v>128</v>
      </c>
      <c r="BB67" s="52" t="s">
        <v>198</v>
      </c>
      <c r="BC67" s="44">
        <v>36526</v>
      </c>
      <c r="BD67" s="44">
        <v>51136</v>
      </c>
      <c r="BE67" s="43" t="s">
        <v>97</v>
      </c>
      <c r="BF67" s="43" t="s">
        <v>132</v>
      </c>
      <c r="BG67" s="50">
        <v>5855200039</v>
      </c>
      <c r="BH67" s="44">
        <v>36526</v>
      </c>
      <c r="BI67" s="44">
        <v>51136</v>
      </c>
      <c r="BJ67" s="38" t="s">
        <v>133</v>
      </c>
      <c r="BK67" s="50" t="s">
        <v>157</v>
      </c>
      <c r="BL67" s="53">
        <v>36162</v>
      </c>
      <c r="BM67" s="54" t="s">
        <v>97</v>
      </c>
      <c r="BN67" s="43" t="s">
        <v>109</v>
      </c>
      <c r="BO67" s="38" t="s">
        <v>135</v>
      </c>
      <c r="BP67" s="55" t="s">
        <v>113</v>
      </c>
      <c r="BQ67" s="43" t="s">
        <v>136</v>
      </c>
      <c r="BR67" s="43" t="s">
        <v>97</v>
      </c>
      <c r="BS67" s="49" t="s">
        <v>124</v>
      </c>
      <c r="BT67" s="39" t="s">
        <v>113</v>
      </c>
      <c r="BU67" s="38" t="s">
        <v>137</v>
      </c>
      <c r="BV67" s="38" t="s">
        <v>138</v>
      </c>
      <c r="BW67" s="43" t="s">
        <v>139</v>
      </c>
      <c r="BX67" s="56" t="s">
        <v>158</v>
      </c>
      <c r="BY67" s="43" t="s">
        <v>141</v>
      </c>
      <c r="BZ67" s="43" t="s">
        <v>142</v>
      </c>
      <c r="CA67" s="43" t="s">
        <v>143</v>
      </c>
      <c r="CB67" s="43" t="s">
        <v>144</v>
      </c>
      <c r="CC67" s="56" t="s">
        <v>139</v>
      </c>
      <c r="CD67" s="40" t="s">
        <v>140</v>
      </c>
      <c r="CE67" s="43" t="s">
        <v>141</v>
      </c>
      <c r="CF67" s="43" t="s">
        <v>145</v>
      </c>
      <c r="CG67" s="43" t="s">
        <v>146</v>
      </c>
      <c r="CH67" s="43" t="s">
        <v>145</v>
      </c>
      <c r="CI67" s="57">
        <v>100</v>
      </c>
      <c r="CJ67" s="43" t="s">
        <v>147</v>
      </c>
      <c r="CK67" s="43" t="s">
        <v>148</v>
      </c>
      <c r="CL67" s="43" t="s">
        <v>97</v>
      </c>
      <c r="CM67" s="43" t="s">
        <v>159</v>
      </c>
      <c r="CN67" s="43" t="s">
        <v>150</v>
      </c>
      <c r="CO67" s="49" t="s">
        <v>113</v>
      </c>
      <c r="CP67" s="49" t="s">
        <v>113</v>
      </c>
      <c r="CQ67" s="58" t="s">
        <v>113</v>
      </c>
      <c r="CR67" s="53" t="s">
        <v>113</v>
      </c>
      <c r="CS67" s="49" t="s">
        <v>113</v>
      </c>
      <c r="CT67" s="49" t="s">
        <v>113</v>
      </c>
      <c r="CU67" s="59" t="s">
        <v>113</v>
      </c>
      <c r="CV67" s="35" t="s">
        <v>464</v>
      </c>
    </row>
    <row r="68" ht="14.5" customHeight="1" spans="1:100" x14ac:dyDescent="0.25">
      <c r="A68" s="35" t="s">
        <v>467</v>
      </c>
      <c r="B68" s="60" t="s">
        <v>468</v>
      </c>
      <c r="C68" s="35" t="s">
        <v>224</v>
      </c>
      <c r="D68" s="37" t="s">
        <v>96</v>
      </c>
      <c r="E68" s="38" t="s">
        <v>97</v>
      </c>
      <c r="F68" s="39" t="s">
        <v>469</v>
      </c>
      <c r="G68" s="39" t="s">
        <v>184</v>
      </c>
      <c r="H68" s="40" t="s">
        <v>100</v>
      </c>
      <c r="I68" s="40" t="s">
        <v>101</v>
      </c>
      <c r="J68" s="40" t="s">
        <v>102</v>
      </c>
      <c r="K68" s="41">
        <f t="shared" si="16"/>
        <v>45292</v>
      </c>
      <c r="L68" s="38" t="s">
        <v>97</v>
      </c>
      <c r="M68" s="40" t="s">
        <v>103</v>
      </c>
      <c r="N68" s="40" t="s">
        <v>154</v>
      </c>
      <c r="O68" s="42" t="s">
        <v>105</v>
      </c>
      <c r="P68" s="38" t="s">
        <v>155</v>
      </c>
      <c r="Q68" s="40" t="s">
        <v>107</v>
      </c>
      <c r="R68" s="40" t="s">
        <v>108</v>
      </c>
      <c r="S68" s="43" t="s">
        <v>109</v>
      </c>
      <c r="T68" s="43" t="s">
        <v>109</v>
      </c>
      <c r="U68" s="40" t="s">
        <v>102</v>
      </c>
      <c r="V68" s="44" t="s">
        <v>110</v>
      </c>
      <c r="W68" s="45" t="s">
        <v>111</v>
      </c>
      <c r="X68" s="40" t="s">
        <v>102</v>
      </c>
      <c r="Y68" s="46">
        <v>45292</v>
      </c>
      <c r="Z68" s="40" t="s">
        <v>112</v>
      </c>
      <c r="AA68" s="47" t="s">
        <v>113</v>
      </c>
      <c r="AB68" s="48" t="s">
        <v>240</v>
      </c>
      <c r="AC68" s="48" t="s">
        <v>115</v>
      </c>
      <c r="AD68" s="39" t="s">
        <v>116</v>
      </c>
      <c r="AE68" s="38">
        <v>970</v>
      </c>
      <c r="AF68" s="38" t="s">
        <v>57</v>
      </c>
      <c r="AG68" s="48">
        <v>30</v>
      </c>
      <c r="AH68" s="49" t="s">
        <v>117</v>
      </c>
      <c r="AI68" s="48" t="s">
        <v>118</v>
      </c>
      <c r="AJ68" s="46" t="s">
        <v>113</v>
      </c>
      <c r="AK68" s="41">
        <f t="shared" si="15"/>
        <v>45382</v>
      </c>
      <c r="AL68" s="40" t="s">
        <v>119</v>
      </c>
      <c r="AM68" s="49" t="s">
        <v>120</v>
      </c>
      <c r="AN68" s="39" t="s">
        <v>185</v>
      </c>
      <c r="AO68" s="40" t="s">
        <v>122</v>
      </c>
      <c r="AP68" s="50" t="s">
        <v>123</v>
      </c>
      <c r="AQ68" s="40" t="s">
        <v>124</v>
      </c>
      <c r="AR68" s="35" t="s">
        <v>124</v>
      </c>
      <c r="AS68" s="44" t="s">
        <v>113</v>
      </c>
      <c r="AT68" s="40" t="s">
        <v>125</v>
      </c>
      <c r="AU68" s="50" t="str">
        <f t="shared" si="20"/>
        <v>Permanent</v>
      </c>
      <c r="AV68" s="44" t="s">
        <v>127</v>
      </c>
      <c r="AW68" s="51">
        <f t="shared" si="24"/>
        <v>45291</v>
      </c>
      <c r="AX68" s="51">
        <f t="shared" si="22"/>
        <v>45291</v>
      </c>
      <c r="AY68" s="41">
        <f t="shared" si="23"/>
        <v>NaN</v>
      </c>
      <c r="AZ68" s="43" t="s">
        <v>97</v>
      </c>
      <c r="BA68" s="43" t="s">
        <v>128</v>
      </c>
      <c r="BB68" s="52" t="s">
        <v>202</v>
      </c>
      <c r="BC68" s="44" t="s">
        <v>130</v>
      </c>
      <c r="BD68" s="44" t="s">
        <v>131</v>
      </c>
      <c r="BE68" s="43" t="s">
        <v>97</v>
      </c>
      <c r="BF68" s="43" t="s">
        <v>132</v>
      </c>
      <c r="BG68" s="50">
        <v>5855200040</v>
      </c>
      <c r="BH68" s="44">
        <v>36526</v>
      </c>
      <c r="BI68" s="44">
        <v>51136</v>
      </c>
      <c r="BJ68" s="38" t="s">
        <v>133</v>
      </c>
      <c r="BK68" s="50" t="s">
        <v>134</v>
      </c>
      <c r="BL68" s="53">
        <v>37258</v>
      </c>
      <c r="BM68" s="54" t="s">
        <v>97</v>
      </c>
      <c r="BN68" s="43" t="s">
        <v>109</v>
      </c>
      <c r="BO68" s="38" t="s">
        <v>135</v>
      </c>
      <c r="BP68" s="55" t="s">
        <v>113</v>
      </c>
      <c r="BQ68" s="43" t="s">
        <v>136</v>
      </c>
      <c r="BR68" s="43" t="s">
        <v>97</v>
      </c>
      <c r="BS68" s="49" t="s">
        <v>123</v>
      </c>
      <c r="BT68" s="39">
        <v>10</v>
      </c>
      <c r="BU68" s="38" t="s">
        <v>137</v>
      </c>
      <c r="BV68" s="38" t="s">
        <v>138</v>
      </c>
      <c r="BW68" s="43" t="s">
        <v>139</v>
      </c>
      <c r="BX68" s="56" t="s">
        <v>158</v>
      </c>
      <c r="BY68" s="43" t="s">
        <v>141</v>
      </c>
      <c r="BZ68" s="43" t="s">
        <v>142</v>
      </c>
      <c r="CA68" s="43" t="s">
        <v>143</v>
      </c>
      <c r="CB68" s="43" t="s">
        <v>144</v>
      </c>
      <c r="CC68" s="56" t="s">
        <v>139</v>
      </c>
      <c r="CD68" s="40" t="s">
        <v>140</v>
      </c>
      <c r="CE68" s="43" t="s">
        <v>141</v>
      </c>
      <c r="CF68" s="43" t="s">
        <v>145</v>
      </c>
      <c r="CG68" s="43" t="s">
        <v>146</v>
      </c>
      <c r="CH68" s="43" t="s">
        <v>145</v>
      </c>
      <c r="CI68" s="57">
        <v>100</v>
      </c>
      <c r="CJ68" s="43" t="s">
        <v>147</v>
      </c>
      <c r="CK68" s="43" t="s">
        <v>148</v>
      </c>
      <c r="CL68" s="43" t="s">
        <v>97</v>
      </c>
      <c r="CM68" s="43" t="s">
        <v>159</v>
      </c>
      <c r="CN68" s="43" t="s">
        <v>150</v>
      </c>
      <c r="CO68" s="49" t="s">
        <v>160</v>
      </c>
      <c r="CP68" s="49" t="s">
        <v>161</v>
      </c>
      <c r="CQ68" s="58" t="s">
        <v>109</v>
      </c>
      <c r="CR68" s="53">
        <f>TODAY()-1500</f>
        <v>44271</v>
      </c>
      <c r="CS68" s="49" t="s">
        <v>162</v>
      </c>
      <c r="CT68" s="59">
        <v>1234041</v>
      </c>
      <c r="CU68" s="59">
        <v>123456034</v>
      </c>
      <c r="CV68" s="35" t="s">
        <v>467</v>
      </c>
    </row>
    <row r="69" ht="14.5" customHeight="1" spans="1:100" x14ac:dyDescent="0.25">
      <c r="A69" s="35" t="s">
        <v>470</v>
      </c>
      <c r="B69" s="60" t="s">
        <v>471</v>
      </c>
      <c r="C69" s="35" t="s">
        <v>224</v>
      </c>
      <c r="D69" s="37" t="s">
        <v>96</v>
      </c>
      <c r="E69" s="38" t="s">
        <v>97</v>
      </c>
      <c r="F69" s="39" t="s">
        <v>472</v>
      </c>
      <c r="G69" s="39" t="s">
        <v>429</v>
      </c>
      <c r="H69" s="40" t="s">
        <v>100</v>
      </c>
      <c r="I69" s="40" t="s">
        <v>101</v>
      </c>
      <c r="J69" s="40" t="s">
        <v>102</v>
      </c>
      <c r="K69" s="41">
        <f t="shared" si="16"/>
        <v>45658</v>
      </c>
      <c r="L69" s="38" t="s">
        <v>97</v>
      </c>
      <c r="M69" s="40" t="s">
        <v>103</v>
      </c>
      <c r="N69" s="40" t="s">
        <v>154</v>
      </c>
      <c r="O69" s="42" t="s">
        <v>105</v>
      </c>
      <c r="P69" s="38" t="s">
        <v>155</v>
      </c>
      <c r="Q69" s="40" t="s">
        <v>107</v>
      </c>
      <c r="R69" s="40" t="s">
        <v>108</v>
      </c>
      <c r="S69" s="43" t="s">
        <v>109</v>
      </c>
      <c r="T69" s="43" t="s">
        <v>109</v>
      </c>
      <c r="U69" s="40" t="s">
        <v>102</v>
      </c>
      <c r="V69" s="44" t="s">
        <v>110</v>
      </c>
      <c r="W69" s="45" t="s">
        <v>111</v>
      </c>
      <c r="X69" s="40" t="s">
        <v>102</v>
      </c>
      <c r="Y69" s="46">
        <v>45658</v>
      </c>
      <c r="Z69" s="40" t="s">
        <v>112</v>
      </c>
      <c r="AA69" s="47" t="s">
        <v>113</v>
      </c>
      <c r="AB69" s="48" t="s">
        <v>114</v>
      </c>
      <c r="AC69" s="48" t="s">
        <v>115</v>
      </c>
      <c r="AD69" s="39" t="s">
        <v>116</v>
      </c>
      <c r="AE69" s="38">
        <v>970</v>
      </c>
      <c r="AF69" s="38" t="s">
        <v>57</v>
      </c>
      <c r="AG69" s="48">
        <v>30</v>
      </c>
      <c r="AH69" s="49" t="s">
        <v>117</v>
      </c>
      <c r="AI69" s="48" t="s">
        <v>118</v>
      </c>
      <c r="AJ69" s="46">
        <f t="shared" ref="AJ69" si="25">Y69+365</f>
        <v>46023</v>
      </c>
      <c r="AK69" s="41">
        <f t="shared" si="15"/>
        <v>45748</v>
      </c>
      <c r="AL69" s="40" t="s">
        <v>119</v>
      </c>
      <c r="AM69" s="49" t="s">
        <v>120</v>
      </c>
      <c r="AN69" s="39" t="s">
        <v>185</v>
      </c>
      <c r="AO69" s="40" t="s">
        <v>122</v>
      </c>
      <c r="AP69" s="50" t="s">
        <v>123</v>
      </c>
      <c r="AQ69" s="40" t="s">
        <v>124</v>
      </c>
      <c r="AR69" s="35" t="s">
        <v>124</v>
      </c>
      <c r="AS69" s="44" t="s">
        <v>113</v>
      </c>
      <c r="AT69" s="40" t="s">
        <v>125</v>
      </c>
      <c r="AU69" t="s">
        <v>126</v>
      </c>
      <c r="AV69" s="44" t="s">
        <v>127</v>
      </c>
      <c r="AW69" s="51">
        <f t="shared" si="24"/>
        <v>45657</v>
      </c>
      <c r="AX69" s="51">
        <f t="shared" si="22"/>
        <v>45657</v>
      </c>
      <c r="AY69" s="41">
        <f t="shared" si="23"/>
        <v>46023</v>
      </c>
      <c r="AZ69" s="43" t="s">
        <v>97</v>
      </c>
      <c r="BA69" s="43" t="s">
        <v>128</v>
      </c>
      <c r="BB69" s="52" t="s">
        <v>175</v>
      </c>
      <c r="BC69" s="44" t="s">
        <v>130</v>
      </c>
      <c r="BD69" s="44" t="s">
        <v>131</v>
      </c>
      <c r="BE69" s="43" t="s">
        <v>97</v>
      </c>
      <c r="BF69" s="43" t="s">
        <v>132</v>
      </c>
      <c r="BG69" s="50">
        <v>5855200034</v>
      </c>
      <c r="BH69" s="44">
        <v>36526</v>
      </c>
      <c r="BI69" s="44">
        <v>51136</v>
      </c>
      <c r="BJ69" s="38" t="s">
        <v>133</v>
      </c>
      <c r="BK69" s="50" t="s">
        <v>134</v>
      </c>
      <c r="BL69" s="53">
        <v>39884</v>
      </c>
      <c r="BM69" s="54" t="s">
        <v>97</v>
      </c>
      <c r="BN69" s="43" t="s">
        <v>109</v>
      </c>
      <c r="BO69" s="38" t="s">
        <v>135</v>
      </c>
      <c r="BP69" s="55" t="s">
        <v>113</v>
      </c>
      <c r="BQ69" s="43" t="s">
        <v>136</v>
      </c>
      <c r="BR69" s="43" t="s">
        <v>97</v>
      </c>
      <c r="BS69" s="49" t="s">
        <v>124</v>
      </c>
      <c r="BT69" s="49" t="s">
        <v>113</v>
      </c>
      <c r="BU69" s="38" t="s">
        <v>137</v>
      </c>
      <c r="BV69" s="38" t="s">
        <v>138</v>
      </c>
      <c r="BW69" s="43" t="s">
        <v>139</v>
      </c>
      <c r="BX69" s="56" t="s">
        <v>158</v>
      </c>
      <c r="BY69" s="43" t="s">
        <v>141</v>
      </c>
      <c r="BZ69" s="43" t="s">
        <v>142</v>
      </c>
      <c r="CA69" s="43" t="s">
        <v>143</v>
      </c>
      <c r="CB69" s="43" t="s">
        <v>144</v>
      </c>
      <c r="CC69" s="56" t="s">
        <v>139</v>
      </c>
      <c r="CD69" s="40" t="s">
        <v>140</v>
      </c>
      <c r="CE69" s="43" t="s">
        <v>141</v>
      </c>
      <c r="CF69" s="43" t="s">
        <v>145</v>
      </c>
      <c r="CG69" s="43" t="s">
        <v>146</v>
      </c>
      <c r="CH69" s="43" t="s">
        <v>145</v>
      </c>
      <c r="CI69" s="57">
        <v>100</v>
      </c>
      <c r="CJ69" s="43" t="s">
        <v>147</v>
      </c>
      <c r="CK69" s="43" t="s">
        <v>148</v>
      </c>
      <c r="CL69" s="43" t="s">
        <v>97</v>
      </c>
      <c r="CM69" s="43" t="s">
        <v>159</v>
      </c>
      <c r="CN69" s="43" t="s">
        <v>150</v>
      </c>
      <c r="CO69" s="49" t="s">
        <v>113</v>
      </c>
      <c r="CP69" s="49" t="s">
        <v>113</v>
      </c>
      <c r="CQ69" s="58" t="s">
        <v>113</v>
      </c>
      <c r="CR69" s="49" t="s">
        <v>113</v>
      </c>
      <c r="CS69" s="49" t="s">
        <v>113</v>
      </c>
      <c r="CT69" s="49" t="s">
        <v>113</v>
      </c>
      <c r="CU69" s="49" t="s">
        <v>113</v>
      </c>
      <c r="CV69" s="35" t="s">
        <v>470</v>
      </c>
    </row>
    <row r="70" ht="14.5" customHeight="1" spans="1:100" x14ac:dyDescent="0.25">
      <c r="A70" s="35" t="s">
        <v>473</v>
      </c>
      <c r="B70" s="60" t="s">
        <v>474</v>
      </c>
      <c r="C70" s="35" t="s">
        <v>224</v>
      </c>
      <c r="D70" s="37" t="s">
        <v>96</v>
      </c>
      <c r="E70" s="38" t="s">
        <v>97</v>
      </c>
      <c r="F70" s="39" t="s">
        <v>475</v>
      </c>
      <c r="G70" s="39" t="s">
        <v>184</v>
      </c>
      <c r="H70" s="40" t="s">
        <v>100</v>
      </c>
      <c r="I70" s="40" t="s">
        <v>101</v>
      </c>
      <c r="J70" s="40" t="s">
        <v>102</v>
      </c>
      <c r="K70" s="41">
        <v>45658</v>
      </c>
      <c r="L70" s="38" t="s">
        <v>97</v>
      </c>
      <c r="M70" s="40" t="s">
        <v>103</v>
      </c>
      <c r="N70" s="40" t="s">
        <v>154</v>
      </c>
      <c r="O70" s="42" t="s">
        <v>105</v>
      </c>
      <c r="P70" s="38" t="s">
        <v>155</v>
      </c>
      <c r="Q70" s="40" t="s">
        <v>107</v>
      </c>
      <c r="R70" s="40" t="s">
        <v>108</v>
      </c>
      <c r="S70" s="43" t="s">
        <v>109</v>
      </c>
      <c r="T70" s="43" t="s">
        <v>109</v>
      </c>
      <c r="U70" s="40" t="s">
        <v>102</v>
      </c>
      <c r="V70" s="44" t="s">
        <v>110</v>
      </c>
      <c r="W70" s="45" t="s">
        <v>111</v>
      </c>
      <c r="X70" s="40" t="s">
        <v>102</v>
      </c>
      <c r="Y70" s="46">
        <v>45658</v>
      </c>
      <c r="Z70" s="40" t="s">
        <v>112</v>
      </c>
      <c r="AA70" s="47" t="s">
        <v>113</v>
      </c>
      <c r="AB70" s="48" t="s">
        <v>114</v>
      </c>
      <c r="AC70" s="48" t="s">
        <v>115</v>
      </c>
      <c r="AD70" s="39" t="s">
        <v>116</v>
      </c>
      <c r="AE70" s="38">
        <v>970</v>
      </c>
      <c r="AF70" s="38" t="s">
        <v>57</v>
      </c>
      <c r="AG70" s="39">
        <v>15</v>
      </c>
      <c r="AH70" s="49" t="s">
        <v>170</v>
      </c>
      <c r="AI70" s="48" t="s">
        <v>118</v>
      </c>
      <c r="AJ70" s="46">
        <v>46023</v>
      </c>
      <c r="AK70" s="41">
        <v>45748</v>
      </c>
      <c r="AL70" s="40" t="s">
        <v>119</v>
      </c>
      <c r="AM70" s="49" t="s">
        <v>120</v>
      </c>
      <c r="AN70" s="48" t="s">
        <v>121</v>
      </c>
      <c r="AO70" s="40" t="s">
        <v>122</v>
      </c>
      <c r="AP70" s="50" t="s">
        <v>123</v>
      </c>
      <c r="AQ70" s="40" t="s">
        <v>124</v>
      </c>
      <c r="AR70" s="35" t="s">
        <v>124</v>
      </c>
      <c r="AS70" s="44" t="s">
        <v>113</v>
      </c>
      <c r="AT70" s="40" t="s">
        <v>125</v>
      </c>
      <c r="AU70" t="s">
        <v>126</v>
      </c>
      <c r="AV70" s="44" t="s">
        <v>127</v>
      </c>
      <c r="AW70" s="51">
        <v>45657</v>
      </c>
      <c r="AX70" s="51">
        <v>45657</v>
      </c>
      <c r="AY70" s="41">
        <v>46023</v>
      </c>
      <c r="AZ70" s="43" t="s">
        <v>97</v>
      </c>
      <c r="BA70" s="43" t="s">
        <v>128</v>
      </c>
      <c r="BB70" s="52" t="s">
        <v>476</v>
      </c>
      <c r="BC70" s="44">
        <v>36526</v>
      </c>
      <c r="BD70" s="44">
        <v>51136</v>
      </c>
      <c r="BE70" s="43" t="s">
        <v>97</v>
      </c>
      <c r="BF70" s="43" t="s">
        <v>132</v>
      </c>
      <c r="BG70" s="50">
        <v>5755200035</v>
      </c>
      <c r="BH70" s="44">
        <v>36526</v>
      </c>
      <c r="BI70" s="44">
        <v>51136</v>
      </c>
      <c r="BJ70" s="38" t="s">
        <v>133</v>
      </c>
      <c r="BK70" s="50" t="s">
        <v>157</v>
      </c>
      <c r="BL70" s="53">
        <v>31049</v>
      </c>
      <c r="BM70" s="54" t="s">
        <v>97</v>
      </c>
      <c r="BN70" s="43" t="s">
        <v>109</v>
      </c>
      <c r="BO70" s="38" t="s">
        <v>135</v>
      </c>
      <c r="BP70" s="55" t="s">
        <v>113</v>
      </c>
      <c r="BQ70" s="43" t="s">
        <v>136</v>
      </c>
      <c r="BR70" s="43" t="s">
        <v>97</v>
      </c>
      <c r="BS70" s="39" t="s">
        <v>123</v>
      </c>
      <c r="BT70" s="39">
        <v>10</v>
      </c>
      <c r="BU70" s="38" t="s">
        <v>137</v>
      </c>
      <c r="BV70" s="38" t="s">
        <v>138</v>
      </c>
      <c r="BW70" s="43" t="s">
        <v>139</v>
      </c>
      <c r="BX70" s="56" t="s">
        <v>158</v>
      </c>
      <c r="BY70" s="43" t="s">
        <v>141</v>
      </c>
      <c r="BZ70" s="43" t="s">
        <v>142</v>
      </c>
      <c r="CA70" s="43" t="s">
        <v>143</v>
      </c>
      <c r="CB70" s="43" t="s">
        <v>144</v>
      </c>
      <c r="CC70" s="56" t="s">
        <v>139</v>
      </c>
      <c r="CD70" s="40" t="s">
        <v>140</v>
      </c>
      <c r="CE70" s="43" t="s">
        <v>141</v>
      </c>
      <c r="CF70" s="43" t="s">
        <v>145</v>
      </c>
      <c r="CG70" s="43" t="s">
        <v>146</v>
      </c>
      <c r="CH70" s="43" t="s">
        <v>145</v>
      </c>
      <c r="CI70" s="57">
        <v>100</v>
      </c>
      <c r="CJ70" s="43" t="s">
        <v>147</v>
      </c>
      <c r="CK70" s="43" t="s">
        <v>148</v>
      </c>
      <c r="CL70" s="43" t="s">
        <v>97</v>
      </c>
      <c r="CM70" s="43" t="s">
        <v>159</v>
      </c>
      <c r="CN70" s="43" t="s">
        <v>150</v>
      </c>
      <c r="CO70" s="49" t="s">
        <v>160</v>
      </c>
      <c r="CP70" s="49" t="s">
        <v>161</v>
      </c>
      <c r="CQ70" s="58" t="s">
        <v>109</v>
      </c>
      <c r="CR70" s="53">
        <v>39886</v>
      </c>
      <c r="CS70" s="49" t="s">
        <v>162</v>
      </c>
      <c r="CT70" s="59">
        <v>1634089</v>
      </c>
      <c r="CU70" s="59">
        <v>123416098</v>
      </c>
      <c r="CV70" s="35" t="s">
        <v>473</v>
      </c>
    </row>
    <row r="71" ht="14.5" customHeight="1" spans="1:100" x14ac:dyDescent="0.25">
      <c r="A71" s="35" t="s">
        <v>477</v>
      </c>
      <c r="B71" s="35" t="s">
        <v>478</v>
      </c>
      <c r="C71" s="35" t="s">
        <v>95</v>
      </c>
      <c r="D71" s="37" t="s">
        <v>96</v>
      </c>
      <c r="E71" s="38" t="s">
        <v>97</v>
      </c>
      <c r="F71" s="39" t="s">
        <v>479</v>
      </c>
      <c r="G71" s="39" t="s">
        <v>429</v>
      </c>
      <c r="H71" s="40" t="s">
        <v>100</v>
      </c>
      <c r="I71" s="40" t="s">
        <v>101</v>
      </c>
      <c r="J71" s="40" t="s">
        <v>102</v>
      </c>
      <c r="K71" s="41">
        <v>45658</v>
      </c>
      <c r="L71" s="38" t="s">
        <v>97</v>
      </c>
      <c r="M71" s="40" t="s">
        <v>103</v>
      </c>
      <c r="N71" s="40" t="s">
        <v>104</v>
      </c>
      <c r="O71" s="42" t="s">
        <v>105</v>
      </c>
      <c r="P71" s="38" t="s">
        <v>106</v>
      </c>
      <c r="Q71" s="40" t="s">
        <v>107</v>
      </c>
      <c r="R71" s="40" t="s">
        <v>108</v>
      </c>
      <c r="S71" s="43" t="s">
        <v>109</v>
      </c>
      <c r="T71" s="43" t="s">
        <v>109</v>
      </c>
      <c r="U71" s="40" t="s">
        <v>102</v>
      </c>
      <c r="V71" s="44" t="s">
        <v>110</v>
      </c>
      <c r="W71" s="45" t="s">
        <v>111</v>
      </c>
      <c r="X71" s="40" t="s">
        <v>102</v>
      </c>
      <c r="Y71" s="46">
        <v>45658</v>
      </c>
      <c r="Z71" s="40" t="s">
        <v>112</v>
      </c>
      <c r="AA71" s="47" t="s">
        <v>113</v>
      </c>
      <c r="AB71" s="48" t="s">
        <v>240</v>
      </c>
      <c r="AC71" s="48" t="s">
        <v>241</v>
      </c>
      <c r="AD71" s="39" t="s">
        <v>116</v>
      </c>
      <c r="AE71" s="38">
        <v>970</v>
      </c>
      <c r="AF71" s="38" t="s">
        <v>57</v>
      </c>
      <c r="AG71" s="39">
        <v>30</v>
      </c>
      <c r="AH71" s="39" t="s">
        <v>117</v>
      </c>
      <c r="AI71" s="48" t="s">
        <v>118</v>
      </c>
      <c r="AJ71" s="46" t="s">
        <v>113</v>
      </c>
      <c r="AK71" s="41">
        <v>45748</v>
      </c>
      <c r="AL71" s="40" t="s">
        <v>119</v>
      </c>
      <c r="AM71" s="49" t="s">
        <v>120</v>
      </c>
      <c r="AN71" s="39" t="s">
        <v>242</v>
      </c>
      <c r="AO71" s="40" t="s">
        <v>122</v>
      </c>
      <c r="AP71" s="50" t="s">
        <v>123</v>
      </c>
      <c r="AQ71" s="40" t="s">
        <v>124</v>
      </c>
      <c r="AR71" s="35" t="s">
        <v>124</v>
      </c>
      <c r="AS71" s="44" t="s">
        <v>113</v>
      </c>
      <c r="AT71" s="40" t="s">
        <v>125</v>
      </c>
      <c r="AU71" s="50" t="s">
        <v>240</v>
      </c>
      <c r="AV71" s="44" t="s">
        <v>127</v>
      </c>
      <c r="AW71" s="51">
        <v>45657</v>
      </c>
      <c r="AX71" s="51">
        <v>45657</v>
      </c>
      <c r="AY71" s="41" t="s">
        <v>113</v>
      </c>
      <c r="AZ71" s="43" t="s">
        <v>97</v>
      </c>
      <c r="BA71" s="43" t="s">
        <v>128</v>
      </c>
      <c r="BB71" s="52" t="s">
        <v>249</v>
      </c>
      <c r="BC71" s="44" t="s">
        <v>130</v>
      </c>
      <c r="BD71" s="44" t="s">
        <v>131</v>
      </c>
      <c r="BE71" s="43" t="s">
        <v>97</v>
      </c>
      <c r="BF71" s="43" t="s">
        <v>132</v>
      </c>
      <c r="BG71" s="50">
        <v>5855200050</v>
      </c>
      <c r="BH71" s="44">
        <v>36526</v>
      </c>
      <c r="BI71" s="44">
        <v>51136</v>
      </c>
      <c r="BJ71" s="38" t="s">
        <v>133</v>
      </c>
      <c r="BK71" s="50" t="s">
        <v>134</v>
      </c>
      <c r="BL71" s="53">
        <v>27396</v>
      </c>
      <c r="BM71" s="54" t="s">
        <v>97</v>
      </c>
      <c r="BN71" s="43" t="s">
        <v>109</v>
      </c>
      <c r="BO71" s="38" t="s">
        <v>135</v>
      </c>
      <c r="BP71" s="55" t="s">
        <v>113</v>
      </c>
      <c r="BQ71" s="43" t="s">
        <v>136</v>
      </c>
      <c r="BR71" s="43" t="s">
        <v>97</v>
      </c>
      <c r="BS71" s="39" t="s">
        <v>123</v>
      </c>
      <c r="BT71" s="39">
        <v>10</v>
      </c>
      <c r="BU71" s="38" t="s">
        <v>137</v>
      </c>
      <c r="BV71" s="38" t="s">
        <v>138</v>
      </c>
      <c r="BW71" s="43" t="s">
        <v>139</v>
      </c>
      <c r="BX71" s="56" t="s">
        <v>140</v>
      </c>
      <c r="BY71" s="43" t="s">
        <v>141</v>
      </c>
      <c r="BZ71" s="43" t="s">
        <v>142</v>
      </c>
      <c r="CA71" s="43" t="s">
        <v>143</v>
      </c>
      <c r="CB71" s="43" t="s">
        <v>144</v>
      </c>
      <c r="CC71" s="56" t="s">
        <v>139</v>
      </c>
      <c r="CD71" s="40" t="s">
        <v>140</v>
      </c>
      <c r="CE71" s="43" t="s">
        <v>141</v>
      </c>
      <c r="CF71" s="43" t="s">
        <v>145</v>
      </c>
      <c r="CG71" s="43" t="s">
        <v>146</v>
      </c>
      <c r="CH71" s="43" t="s">
        <v>145</v>
      </c>
      <c r="CI71" s="57">
        <v>100</v>
      </c>
      <c r="CJ71" s="43" t="s">
        <v>147</v>
      </c>
      <c r="CK71" s="43" t="s">
        <v>148</v>
      </c>
      <c r="CL71" s="43" t="s">
        <v>97</v>
      </c>
      <c r="CM71" s="43" t="s">
        <v>149</v>
      </c>
      <c r="CN71" s="43" t="s">
        <v>150</v>
      </c>
      <c r="CO71" s="49" t="s">
        <v>160</v>
      </c>
      <c r="CP71" s="49" t="s">
        <v>161</v>
      </c>
      <c r="CQ71" s="58" t="s">
        <v>109</v>
      </c>
      <c r="CR71" s="53">
        <v>39521</v>
      </c>
      <c r="CS71" s="49" t="s">
        <v>162</v>
      </c>
      <c r="CT71" s="59">
        <v>1634090</v>
      </c>
      <c r="CU71" s="59">
        <v>123416099</v>
      </c>
      <c r="CV71" s="35" t="s">
        <v>477</v>
      </c>
    </row>
    <row r="72" ht="14.5" customHeight="1" spans="1:100" x14ac:dyDescent="0.25">
      <c r="A72" s="35" t="s">
        <v>480</v>
      </c>
      <c r="B72" s="35" t="s">
        <v>481</v>
      </c>
      <c r="C72" s="35" t="s">
        <v>95</v>
      </c>
      <c r="D72" s="37" t="s">
        <v>96</v>
      </c>
      <c r="E72" s="38" t="s">
        <v>97</v>
      </c>
      <c r="F72" s="39" t="s">
        <v>482</v>
      </c>
      <c r="G72" s="39" t="s">
        <v>429</v>
      </c>
      <c r="H72" s="40" t="s">
        <v>100</v>
      </c>
      <c r="I72" s="40" t="s">
        <v>101</v>
      </c>
      <c r="J72" s="40" t="s">
        <v>102</v>
      </c>
      <c r="K72" s="41">
        <v>45658</v>
      </c>
      <c r="L72" s="38" t="s">
        <v>97</v>
      </c>
      <c r="M72" s="40" t="s">
        <v>103</v>
      </c>
      <c r="N72" s="40" t="s">
        <v>104</v>
      </c>
      <c r="O72" s="42" t="s">
        <v>105</v>
      </c>
      <c r="P72" s="38" t="s">
        <v>106</v>
      </c>
      <c r="Q72" s="40" t="s">
        <v>107</v>
      </c>
      <c r="R72" s="40" t="s">
        <v>108</v>
      </c>
      <c r="S72" s="43" t="s">
        <v>109</v>
      </c>
      <c r="T72" s="43" t="s">
        <v>109</v>
      </c>
      <c r="U72" s="40" t="s">
        <v>102</v>
      </c>
      <c r="V72" s="44" t="s">
        <v>110</v>
      </c>
      <c r="W72" s="45" t="s">
        <v>111</v>
      </c>
      <c r="X72" s="40" t="s">
        <v>102</v>
      </c>
      <c r="Y72" s="46">
        <v>45658</v>
      </c>
      <c r="Z72" s="40" t="s">
        <v>112</v>
      </c>
      <c r="AA72" s="47" t="s">
        <v>113</v>
      </c>
      <c r="AB72" s="48" t="s">
        <v>240</v>
      </c>
      <c r="AC72" s="48" t="s">
        <v>266</v>
      </c>
      <c r="AD72" s="39" t="s">
        <v>116</v>
      </c>
      <c r="AE72" s="38">
        <v>970</v>
      </c>
      <c r="AF72" s="38" t="s">
        <v>57</v>
      </c>
      <c r="AG72" s="39">
        <v>30</v>
      </c>
      <c r="AH72" s="39" t="s">
        <v>117</v>
      </c>
      <c r="AI72" s="48" t="s">
        <v>118</v>
      </c>
      <c r="AJ72" s="46" t="s">
        <v>113</v>
      </c>
      <c r="AK72" s="41">
        <v>45748</v>
      </c>
      <c r="AL72" s="40" t="s">
        <v>119</v>
      </c>
      <c r="AM72" s="49" t="s">
        <v>120</v>
      </c>
      <c r="AN72" s="39" t="s">
        <v>267</v>
      </c>
      <c r="AO72" s="40" t="s">
        <v>122</v>
      </c>
      <c r="AP72" s="50" t="s">
        <v>123</v>
      </c>
      <c r="AQ72" s="40" t="s">
        <v>124</v>
      </c>
      <c r="AR72" s="35" t="s">
        <v>124</v>
      </c>
      <c r="AS72" s="44" t="s">
        <v>113</v>
      </c>
      <c r="AT72" s="40" t="s">
        <v>125</v>
      </c>
      <c r="AU72" s="50" t="s">
        <v>240</v>
      </c>
      <c r="AV72" s="44" t="s">
        <v>127</v>
      </c>
      <c r="AW72" s="51">
        <v>45657</v>
      </c>
      <c r="AX72" s="51">
        <v>45657</v>
      </c>
      <c r="AY72" s="41" t="s">
        <v>113</v>
      </c>
      <c r="AZ72" s="43" t="s">
        <v>97</v>
      </c>
      <c r="BA72" s="43" t="s">
        <v>128</v>
      </c>
      <c r="BB72" s="52" t="s">
        <v>277</v>
      </c>
      <c r="BC72" s="44" t="s">
        <v>130</v>
      </c>
      <c r="BD72" s="44" t="s">
        <v>131</v>
      </c>
      <c r="BE72" s="43" t="s">
        <v>97</v>
      </c>
      <c r="BF72" s="43" t="s">
        <v>132</v>
      </c>
      <c r="BG72" s="50">
        <v>5955200056</v>
      </c>
      <c r="BH72" s="44">
        <v>36526</v>
      </c>
      <c r="BI72" s="44">
        <v>51136</v>
      </c>
      <c r="BJ72" s="38" t="s">
        <v>133</v>
      </c>
      <c r="BK72" s="50" t="s">
        <v>134</v>
      </c>
      <c r="BL72" s="53">
        <v>27031</v>
      </c>
      <c r="BM72" s="54" t="s">
        <v>97</v>
      </c>
      <c r="BN72" s="43" t="s">
        <v>109</v>
      </c>
      <c r="BO72" s="38" t="s">
        <v>135</v>
      </c>
      <c r="BP72" s="55" t="s">
        <v>113</v>
      </c>
      <c r="BQ72" s="43" t="s">
        <v>136</v>
      </c>
      <c r="BR72" s="43" t="s">
        <v>97</v>
      </c>
      <c r="BS72" s="39" t="s">
        <v>123</v>
      </c>
      <c r="BT72" s="39">
        <v>20</v>
      </c>
      <c r="BU72" s="38" t="s">
        <v>137</v>
      </c>
      <c r="BV72" s="38" t="s">
        <v>138</v>
      </c>
      <c r="BW72" s="43" t="s">
        <v>139</v>
      </c>
      <c r="BX72" s="56" t="s">
        <v>140</v>
      </c>
      <c r="BY72" s="43" t="s">
        <v>141</v>
      </c>
      <c r="BZ72" s="43" t="s">
        <v>142</v>
      </c>
      <c r="CA72" s="43" t="s">
        <v>143</v>
      </c>
      <c r="CB72" s="43" t="s">
        <v>144</v>
      </c>
      <c r="CC72" s="56" t="s">
        <v>139</v>
      </c>
      <c r="CD72" s="40" t="s">
        <v>140</v>
      </c>
      <c r="CE72" s="43" t="s">
        <v>141</v>
      </c>
      <c r="CF72" s="43" t="s">
        <v>145</v>
      </c>
      <c r="CG72" s="43" t="s">
        <v>146</v>
      </c>
      <c r="CH72" s="43" t="s">
        <v>145</v>
      </c>
      <c r="CI72" s="57">
        <v>100</v>
      </c>
      <c r="CJ72" s="43" t="s">
        <v>147</v>
      </c>
      <c r="CK72" s="43" t="s">
        <v>148</v>
      </c>
      <c r="CL72" s="43" t="s">
        <v>97</v>
      </c>
      <c r="CM72" s="43" t="s">
        <v>149</v>
      </c>
      <c r="CN72" s="43" t="s">
        <v>150</v>
      </c>
      <c r="CO72" s="49" t="s">
        <v>160</v>
      </c>
      <c r="CP72" s="49" t="s">
        <v>161</v>
      </c>
      <c r="CQ72" s="58" t="s">
        <v>109</v>
      </c>
      <c r="CR72" s="53">
        <v>39155</v>
      </c>
      <c r="CS72" s="49" t="s">
        <v>162</v>
      </c>
      <c r="CT72" s="59">
        <v>1634091</v>
      </c>
      <c r="CU72" s="59">
        <v>123416100</v>
      </c>
      <c r="CV72" s="35" t="s">
        <v>480</v>
      </c>
    </row>
    <row r="73" ht="14.5" customHeight="1" spans="1:99" x14ac:dyDescent="0.25">
      <c r="A73" s="61" t="s">
        <v>483</v>
      </c>
      <c r="B73" s="61" t="s">
        <v>484</v>
      </c>
      <c r="C73" s="61" t="s">
        <v>95</v>
      </c>
      <c r="D73" s="61" t="s">
        <v>293</v>
      </c>
      <c r="E73" s="38" t="s">
        <v>97</v>
      </c>
      <c r="F73" s="39" t="s">
        <v>485</v>
      </c>
      <c r="G73" s="39" t="s">
        <v>184</v>
      </c>
      <c r="H73" s="40" t="s">
        <v>100</v>
      </c>
      <c r="I73" s="40" t="s">
        <v>101</v>
      </c>
      <c r="J73" s="40" t="s">
        <v>102</v>
      </c>
      <c r="K73" s="41">
        <v>45658</v>
      </c>
      <c r="L73" s="38" t="s">
        <v>97</v>
      </c>
      <c r="M73" s="40" t="s">
        <v>103</v>
      </c>
      <c r="N73" s="40" t="s">
        <v>154</v>
      </c>
      <c r="O73" s="42" t="s">
        <v>105</v>
      </c>
      <c r="P73" s="38" t="s">
        <v>155</v>
      </c>
      <c r="Q73" s="40">
        <v>123</v>
      </c>
      <c r="R73" s="40">
        <v>1046</v>
      </c>
      <c r="S73" s="43" t="s">
        <v>109</v>
      </c>
      <c r="T73" s="43" t="s">
        <v>109</v>
      </c>
      <c r="U73" s="40" t="s">
        <v>102</v>
      </c>
      <c r="V73" s="44" t="s">
        <v>110</v>
      </c>
      <c r="W73" s="45" t="s">
        <v>111</v>
      </c>
      <c r="X73" s="40" t="s">
        <v>102</v>
      </c>
      <c r="Y73" s="46">
        <v>45658</v>
      </c>
      <c r="Z73" s="40" t="s">
        <v>112</v>
      </c>
      <c r="AA73" s="47" t="s">
        <v>486</v>
      </c>
      <c r="AB73" s="48" t="s">
        <v>240</v>
      </c>
      <c r="AC73" s="48" t="s">
        <v>324</v>
      </c>
      <c r="AD73" s="39" t="s">
        <v>298</v>
      </c>
      <c r="AE73" s="38">
        <v>970</v>
      </c>
      <c r="AF73" s="38" t="s">
        <v>57</v>
      </c>
      <c r="AG73" s="39">
        <v>40</v>
      </c>
      <c r="AH73" s="49" t="s">
        <v>170</v>
      </c>
      <c r="AI73" s="48" t="s">
        <v>118</v>
      </c>
      <c r="AJ73" s="46" t="s">
        <v>113</v>
      </c>
      <c r="AK73" s="41">
        <v>45748</v>
      </c>
      <c r="AL73" s="40" t="s">
        <v>119</v>
      </c>
      <c r="AM73" s="39" t="s">
        <v>299</v>
      </c>
      <c r="AN73" s="39" t="s">
        <v>300</v>
      </c>
      <c r="AO73" s="40" t="s">
        <v>122</v>
      </c>
      <c r="AP73" s="50" t="s">
        <v>123</v>
      </c>
      <c r="AQ73" s="40" t="s">
        <v>124</v>
      </c>
      <c r="AR73" s="61" t="s">
        <v>124</v>
      </c>
      <c r="AS73" s="44" t="s">
        <v>113</v>
      </c>
      <c r="AT73" s="40" t="s">
        <v>125</v>
      </c>
      <c r="AU73" s="50" t="s">
        <v>240</v>
      </c>
      <c r="AV73" s="44" t="s">
        <v>127</v>
      </c>
      <c r="AW73" s="51">
        <v>45657</v>
      </c>
      <c r="AX73" s="51">
        <v>45657</v>
      </c>
      <c r="AY73" s="41" t="s">
        <v>113</v>
      </c>
      <c r="AZ73" s="43" t="s">
        <v>97</v>
      </c>
      <c r="BA73" s="43" t="s">
        <v>128</v>
      </c>
      <c r="BB73" s="52" t="s">
        <v>487</v>
      </c>
      <c r="BC73" s="44">
        <v>36526</v>
      </c>
      <c r="BD73" s="44">
        <v>51136</v>
      </c>
      <c r="BE73" s="43" t="s">
        <v>97</v>
      </c>
      <c r="BF73" s="43" t="s">
        <v>132</v>
      </c>
      <c r="BG73" s="50">
        <v>5955200065</v>
      </c>
      <c r="BH73" s="44">
        <v>36526</v>
      </c>
      <c r="BI73" s="44">
        <v>51136</v>
      </c>
      <c r="BJ73" s="38" t="s">
        <v>133</v>
      </c>
      <c r="BK73" s="50" t="s">
        <v>157</v>
      </c>
      <c r="BL73" s="53">
        <v>29953</v>
      </c>
      <c r="BM73" s="54" t="s">
        <v>97</v>
      </c>
      <c r="BN73" s="43" t="s">
        <v>109</v>
      </c>
      <c r="BO73" s="38" t="s">
        <v>135</v>
      </c>
      <c r="BP73" s="55" t="s">
        <v>113</v>
      </c>
      <c r="BQ73" s="43" t="s">
        <v>136</v>
      </c>
      <c r="BR73" s="43" t="s">
        <v>97</v>
      </c>
      <c r="BS73" s="39" t="s">
        <v>123</v>
      </c>
      <c r="BT73" s="39">
        <v>10</v>
      </c>
      <c r="BU73" s="38" t="s">
        <v>137</v>
      </c>
      <c r="BV73" s="38" t="s">
        <v>138</v>
      </c>
      <c r="BW73" s="43" t="s">
        <v>139</v>
      </c>
      <c r="BX73" s="56" t="s">
        <v>158</v>
      </c>
      <c r="BY73" s="43" t="s">
        <v>141</v>
      </c>
      <c r="BZ73" s="43" t="s">
        <v>142</v>
      </c>
      <c r="CA73" s="43" t="s">
        <v>143</v>
      </c>
      <c r="CB73" s="43" t="s">
        <v>144</v>
      </c>
      <c r="CC73" s="56" t="s">
        <v>139</v>
      </c>
      <c r="CD73" s="40" t="s">
        <v>140</v>
      </c>
      <c r="CE73" s="43" t="s">
        <v>141</v>
      </c>
      <c r="CF73" s="43" t="s">
        <v>145</v>
      </c>
      <c r="CG73" s="43" t="s">
        <v>146</v>
      </c>
      <c r="CH73" s="43" t="s">
        <v>145</v>
      </c>
      <c r="CI73" s="57">
        <v>100</v>
      </c>
      <c r="CJ73" s="43" t="s">
        <v>147</v>
      </c>
      <c r="CK73" s="43" t="s">
        <v>148</v>
      </c>
      <c r="CL73" s="43" t="s">
        <v>97</v>
      </c>
      <c r="CM73" s="43" t="s">
        <v>159</v>
      </c>
      <c r="CN73" s="43" t="s">
        <v>150</v>
      </c>
      <c r="CO73" s="39" t="s">
        <v>160</v>
      </c>
      <c r="CP73" s="39" t="s">
        <v>161</v>
      </c>
      <c r="CQ73" s="39" t="s">
        <v>109</v>
      </c>
      <c r="CR73" s="53">
        <v>44269</v>
      </c>
      <c r="CS73" s="39" t="s">
        <v>162</v>
      </c>
      <c r="CT73" s="59">
        <v>1634092</v>
      </c>
      <c r="CU73" s="59">
        <v>123416101</v>
      </c>
    </row>
    <row r="74" ht="14.5" customHeight="1" spans="1:99" x14ac:dyDescent="0.25">
      <c r="A74" s="61" t="s">
        <v>488</v>
      </c>
      <c r="B74" s="61" t="s">
        <v>489</v>
      </c>
      <c r="C74" s="61" t="s">
        <v>95</v>
      </c>
      <c r="D74" s="61" t="s">
        <v>293</v>
      </c>
      <c r="E74" s="38" t="s">
        <v>97</v>
      </c>
      <c r="F74" s="39" t="s">
        <v>490</v>
      </c>
      <c r="G74" s="39" t="s">
        <v>184</v>
      </c>
      <c r="H74" s="40" t="s">
        <v>100</v>
      </c>
      <c r="I74" s="40" t="s">
        <v>101</v>
      </c>
      <c r="J74" s="40" t="s">
        <v>102</v>
      </c>
      <c r="K74" s="41">
        <v>45658</v>
      </c>
      <c r="L74" s="38" t="s">
        <v>97</v>
      </c>
      <c r="M74" s="40" t="s">
        <v>103</v>
      </c>
      <c r="N74" s="40" t="s">
        <v>154</v>
      </c>
      <c r="O74" s="42" t="s">
        <v>105</v>
      </c>
      <c r="P74" s="38" t="s">
        <v>155</v>
      </c>
      <c r="Q74" s="40">
        <v>123</v>
      </c>
      <c r="R74" s="40">
        <v>1046</v>
      </c>
      <c r="S74" s="43" t="s">
        <v>109</v>
      </c>
      <c r="T74" s="43" t="s">
        <v>109</v>
      </c>
      <c r="U74" s="40" t="s">
        <v>102</v>
      </c>
      <c r="V74" s="44" t="s">
        <v>110</v>
      </c>
      <c r="W74" s="45" t="s">
        <v>111</v>
      </c>
      <c r="X74" s="40" t="s">
        <v>102</v>
      </c>
      <c r="Y74" s="46">
        <v>45658</v>
      </c>
      <c r="Z74" s="40" t="s">
        <v>112</v>
      </c>
      <c r="AA74" s="47" t="s">
        <v>491</v>
      </c>
      <c r="AB74" s="48" t="s">
        <v>240</v>
      </c>
      <c r="AC74" s="39" t="s">
        <v>361</v>
      </c>
      <c r="AD74" s="39" t="s">
        <v>298</v>
      </c>
      <c r="AE74" s="38">
        <v>970</v>
      </c>
      <c r="AF74" s="38" t="s">
        <v>57</v>
      </c>
      <c r="AG74" s="39">
        <v>40</v>
      </c>
      <c r="AH74" s="49" t="s">
        <v>170</v>
      </c>
      <c r="AI74" s="48" t="s">
        <v>118</v>
      </c>
      <c r="AJ74" s="46" t="s">
        <v>113</v>
      </c>
      <c r="AK74" s="41">
        <v>45748</v>
      </c>
      <c r="AL74" s="40" t="s">
        <v>119</v>
      </c>
      <c r="AM74" s="39" t="s">
        <v>299</v>
      </c>
      <c r="AN74" s="39" t="s">
        <v>300</v>
      </c>
      <c r="AO74" s="40" t="s">
        <v>122</v>
      </c>
      <c r="AP74" s="50" t="s">
        <v>123</v>
      </c>
      <c r="AQ74" s="40" t="s">
        <v>124</v>
      </c>
      <c r="AR74" s="61" t="s">
        <v>124</v>
      </c>
      <c r="AS74" s="44" t="s">
        <v>113</v>
      </c>
      <c r="AT74" s="40" t="s">
        <v>125</v>
      </c>
      <c r="AU74" s="50" t="s">
        <v>240</v>
      </c>
      <c r="AV74" s="44" t="s">
        <v>127</v>
      </c>
      <c r="AW74" s="51">
        <v>45657</v>
      </c>
      <c r="AX74" s="51">
        <v>45657</v>
      </c>
      <c r="AY74" s="41" t="s">
        <v>113</v>
      </c>
      <c r="AZ74" s="43" t="s">
        <v>97</v>
      </c>
      <c r="BA74" s="43" t="s">
        <v>128</v>
      </c>
      <c r="BB74" s="52" t="s">
        <v>492</v>
      </c>
      <c r="BC74" s="44">
        <v>36526</v>
      </c>
      <c r="BD74" s="44">
        <v>51136</v>
      </c>
      <c r="BE74" s="43" t="s">
        <v>97</v>
      </c>
      <c r="BF74" s="43" t="s">
        <v>132</v>
      </c>
      <c r="BG74" s="50">
        <v>5955200071</v>
      </c>
      <c r="BH74" s="44">
        <v>36526</v>
      </c>
      <c r="BI74" s="44">
        <v>51136</v>
      </c>
      <c r="BJ74" s="38" t="s">
        <v>133</v>
      </c>
      <c r="BK74" s="50" t="s">
        <v>157</v>
      </c>
      <c r="BL74" s="53">
        <v>32144</v>
      </c>
      <c r="BM74" s="54" t="s">
        <v>97</v>
      </c>
      <c r="BN74" s="43" t="s">
        <v>109</v>
      </c>
      <c r="BO74" s="38" t="s">
        <v>135</v>
      </c>
      <c r="BP74" s="55" t="s">
        <v>113</v>
      </c>
      <c r="BQ74" s="43" t="s">
        <v>136</v>
      </c>
      <c r="BR74" s="43" t="s">
        <v>97</v>
      </c>
      <c r="BS74" s="39" t="s">
        <v>123</v>
      </c>
      <c r="BT74" s="39">
        <v>10</v>
      </c>
      <c r="BU74" s="38" t="s">
        <v>137</v>
      </c>
      <c r="BV74" s="38" t="s">
        <v>138</v>
      </c>
      <c r="BW74" s="43" t="s">
        <v>139</v>
      </c>
      <c r="BX74" s="56" t="s">
        <v>158</v>
      </c>
      <c r="BY74" s="43" t="s">
        <v>141</v>
      </c>
      <c r="BZ74" s="43" t="s">
        <v>142</v>
      </c>
      <c r="CA74" s="43" t="s">
        <v>143</v>
      </c>
      <c r="CB74" s="43" t="s">
        <v>144</v>
      </c>
      <c r="CC74" s="56" t="s">
        <v>139</v>
      </c>
      <c r="CD74" s="40" t="s">
        <v>140</v>
      </c>
      <c r="CE74" s="43" t="s">
        <v>141</v>
      </c>
      <c r="CF74" s="43" t="s">
        <v>145</v>
      </c>
      <c r="CG74" s="43" t="s">
        <v>146</v>
      </c>
      <c r="CH74" s="43" t="s">
        <v>145</v>
      </c>
      <c r="CI74" s="57">
        <v>100</v>
      </c>
      <c r="CJ74" s="43" t="s">
        <v>147</v>
      </c>
      <c r="CK74" s="43" t="s">
        <v>148</v>
      </c>
      <c r="CL74" s="43" t="s">
        <v>97</v>
      </c>
      <c r="CM74" s="43" t="s">
        <v>159</v>
      </c>
      <c r="CN74" s="43" t="s">
        <v>150</v>
      </c>
      <c r="CO74" s="39" t="s">
        <v>160</v>
      </c>
      <c r="CP74" s="39" t="s">
        <v>161</v>
      </c>
      <c r="CQ74" s="39" t="s">
        <v>109</v>
      </c>
      <c r="CR74" s="53">
        <v>42077</v>
      </c>
      <c r="CS74" s="39" t="s">
        <v>162</v>
      </c>
      <c r="CT74" s="59">
        <v>1634093</v>
      </c>
      <c r="CU74" s="59">
        <v>123416102</v>
      </c>
    </row>
    <row r="75" ht="14.5" customHeight="1" spans="1:100" x14ac:dyDescent="0.25">
      <c r="A75" s="35" t="s">
        <v>493</v>
      </c>
      <c r="B75" s="36" t="s">
        <v>494</v>
      </c>
      <c r="C75" s="35" t="s">
        <v>95</v>
      </c>
      <c r="D75" s="37" t="s">
        <v>96</v>
      </c>
      <c r="E75" s="38" t="s">
        <v>97</v>
      </c>
      <c r="F75" s="39" t="s">
        <v>495</v>
      </c>
      <c r="G75" s="39" t="s">
        <v>429</v>
      </c>
      <c r="H75" s="40" t="s">
        <v>100</v>
      </c>
      <c r="I75" s="40" t="s">
        <v>101</v>
      </c>
      <c r="J75" s="40" t="s">
        <v>102</v>
      </c>
      <c r="K75" s="41">
        <v>45658</v>
      </c>
      <c r="L75" s="38" t="s">
        <v>97</v>
      </c>
      <c r="M75" s="40" t="s">
        <v>103</v>
      </c>
      <c r="N75" s="40" t="s">
        <v>104</v>
      </c>
      <c r="O75" s="42" t="s">
        <v>105</v>
      </c>
      <c r="P75" s="38" t="s">
        <v>106</v>
      </c>
      <c r="Q75" s="40" t="s">
        <v>107</v>
      </c>
      <c r="R75" s="40" t="s">
        <v>108</v>
      </c>
      <c r="S75" s="43" t="s">
        <v>109</v>
      </c>
      <c r="T75" s="43" t="s">
        <v>109</v>
      </c>
      <c r="U75" s="40" t="s">
        <v>102</v>
      </c>
      <c r="V75" s="44" t="s">
        <v>110</v>
      </c>
      <c r="W75" s="45" t="s">
        <v>111</v>
      </c>
      <c r="X75" s="40" t="s">
        <v>102</v>
      </c>
      <c r="Y75" s="46">
        <v>45658</v>
      </c>
      <c r="Z75" s="40" t="s">
        <v>112</v>
      </c>
      <c r="AA75" s="47" t="s">
        <v>113</v>
      </c>
      <c r="AB75" s="48" t="s">
        <v>114</v>
      </c>
      <c r="AC75" s="48" t="s">
        <v>115</v>
      </c>
      <c r="AD75" s="48" t="s">
        <v>116</v>
      </c>
      <c r="AE75" s="38">
        <v>970</v>
      </c>
      <c r="AF75" s="38" t="s">
        <v>57</v>
      </c>
      <c r="AG75" s="48">
        <v>40</v>
      </c>
      <c r="AH75" s="49" t="s">
        <v>117</v>
      </c>
      <c r="AI75" s="48" t="s">
        <v>118</v>
      </c>
      <c r="AJ75" s="46">
        <v>46023</v>
      </c>
      <c r="AK75" s="41">
        <v>45748</v>
      </c>
      <c r="AL75" s="40" t="s">
        <v>119</v>
      </c>
      <c r="AM75" s="49" t="s">
        <v>120</v>
      </c>
      <c r="AN75" s="48" t="s">
        <v>121</v>
      </c>
      <c r="AO75" s="40" t="s">
        <v>122</v>
      </c>
      <c r="AP75" s="50" t="s">
        <v>123</v>
      </c>
      <c r="AQ75" s="40" t="s">
        <v>124</v>
      </c>
      <c r="AR75" s="35" t="s">
        <v>124</v>
      </c>
      <c r="AS75" s="44" t="s">
        <v>113</v>
      </c>
      <c r="AT75" s="40" t="s">
        <v>125</v>
      </c>
      <c r="AU75" t="s">
        <v>126</v>
      </c>
      <c r="AV75" s="44" t="s">
        <v>127</v>
      </c>
      <c r="AW75" s="51">
        <v>45657</v>
      </c>
      <c r="AX75" s="51">
        <v>45657</v>
      </c>
      <c r="AY75" s="41">
        <v>46023</v>
      </c>
      <c r="AZ75" s="43" t="s">
        <v>97</v>
      </c>
      <c r="BA75" s="43" t="s">
        <v>128</v>
      </c>
      <c r="BB75" s="52" t="s">
        <v>434</v>
      </c>
      <c r="BC75" s="44" t="s">
        <v>130</v>
      </c>
      <c r="BD75" s="44" t="s">
        <v>131</v>
      </c>
      <c r="BE75" s="43" t="s">
        <v>97</v>
      </c>
      <c r="BF75" s="43" t="s">
        <v>132</v>
      </c>
      <c r="BG75" s="50">
        <v>5855200030</v>
      </c>
      <c r="BH75" s="44">
        <v>36526</v>
      </c>
      <c r="BI75" s="44">
        <v>51136</v>
      </c>
      <c r="BJ75" s="38" t="s">
        <v>133</v>
      </c>
      <c r="BK75" s="50" t="s">
        <v>134</v>
      </c>
      <c r="BL75" s="53">
        <v>32144</v>
      </c>
      <c r="BM75" s="54" t="s">
        <v>97</v>
      </c>
      <c r="BN75" s="43" t="s">
        <v>109</v>
      </c>
      <c r="BO75" s="38" t="s">
        <v>135</v>
      </c>
      <c r="BP75" s="55" t="s">
        <v>113</v>
      </c>
      <c r="BQ75" s="43" t="s">
        <v>136</v>
      </c>
      <c r="BR75" s="43" t="s">
        <v>97</v>
      </c>
      <c r="BS75" s="49" t="s">
        <v>123</v>
      </c>
      <c r="BT75" s="49">
        <v>10</v>
      </c>
      <c r="BU75" s="38" t="s">
        <v>137</v>
      </c>
      <c r="BV75" s="38" t="s">
        <v>138</v>
      </c>
      <c r="BW75" s="43" t="s">
        <v>139</v>
      </c>
      <c r="BX75" s="56" t="s">
        <v>140</v>
      </c>
      <c r="BY75" s="43" t="s">
        <v>141</v>
      </c>
      <c r="BZ75" s="43" t="s">
        <v>142</v>
      </c>
      <c r="CA75" s="43" t="s">
        <v>143</v>
      </c>
      <c r="CB75" s="43" t="s">
        <v>144</v>
      </c>
      <c r="CC75" s="56" t="s">
        <v>139</v>
      </c>
      <c r="CD75" s="40" t="s">
        <v>140</v>
      </c>
      <c r="CE75" s="43" t="s">
        <v>141</v>
      </c>
      <c r="CF75" s="43" t="s">
        <v>145</v>
      </c>
      <c r="CG75" s="43" t="s">
        <v>146</v>
      </c>
      <c r="CH75" s="43" t="s">
        <v>145</v>
      </c>
      <c r="CI75" s="57">
        <v>100</v>
      </c>
      <c r="CJ75" s="43" t="s">
        <v>147</v>
      </c>
      <c r="CK75" s="43" t="s">
        <v>148</v>
      </c>
      <c r="CL75" s="43" t="s">
        <v>97</v>
      </c>
      <c r="CM75" s="43" t="s">
        <v>149</v>
      </c>
      <c r="CN75" s="43" t="s">
        <v>150</v>
      </c>
      <c r="CO75" s="49" t="s">
        <v>160</v>
      </c>
      <c r="CP75" s="49" t="s">
        <v>161</v>
      </c>
      <c r="CQ75" s="58" t="s">
        <v>109</v>
      </c>
      <c r="CR75" s="53">
        <v>44269</v>
      </c>
      <c r="CS75" s="49" t="s">
        <v>162</v>
      </c>
      <c r="CT75" s="59">
        <v>1634094</v>
      </c>
      <c r="CU75" s="59">
        <v>123416103</v>
      </c>
      <c r="CV75" s="35" t="s">
        <v>483</v>
      </c>
    </row>
    <row r="76" ht="14.5" customHeight="1" spans="1:100" x14ac:dyDescent="0.25">
      <c r="A76" s="35" t="s">
        <v>496</v>
      </c>
      <c r="B76" s="60" t="s">
        <v>497</v>
      </c>
      <c r="C76" s="35" t="s">
        <v>95</v>
      </c>
      <c r="D76" s="37" t="s">
        <v>96</v>
      </c>
      <c r="E76" s="38" t="s">
        <v>97</v>
      </c>
      <c r="F76" s="39" t="s">
        <v>498</v>
      </c>
      <c r="G76" s="39" t="s">
        <v>184</v>
      </c>
      <c r="H76" s="40" t="s">
        <v>100</v>
      </c>
      <c r="I76" s="40" t="s">
        <v>101</v>
      </c>
      <c r="J76" s="40" t="s">
        <v>102</v>
      </c>
      <c r="K76" s="41">
        <v>45292</v>
      </c>
      <c r="L76" s="38" t="s">
        <v>97</v>
      </c>
      <c r="M76" s="40" t="s">
        <v>103</v>
      </c>
      <c r="N76" s="40" t="s">
        <v>104</v>
      </c>
      <c r="O76" s="42" t="s">
        <v>105</v>
      </c>
      <c r="P76" s="38" t="s">
        <v>106</v>
      </c>
      <c r="Q76" s="40" t="s">
        <v>107</v>
      </c>
      <c r="R76" s="40" t="s">
        <v>108</v>
      </c>
      <c r="S76" s="43" t="s">
        <v>109</v>
      </c>
      <c r="T76" s="43" t="s">
        <v>109</v>
      </c>
      <c r="U76" s="40" t="s">
        <v>102</v>
      </c>
      <c r="V76" s="44" t="s">
        <v>110</v>
      </c>
      <c r="W76" s="45" t="s">
        <v>111</v>
      </c>
      <c r="X76" s="40" t="s">
        <v>102</v>
      </c>
      <c r="Y76" s="46">
        <v>45658</v>
      </c>
      <c r="Z76" s="40" t="s">
        <v>112</v>
      </c>
      <c r="AA76" s="47" t="s">
        <v>113</v>
      </c>
      <c r="AB76" s="48" t="s">
        <v>240</v>
      </c>
      <c r="AC76" s="48" t="s">
        <v>115</v>
      </c>
      <c r="AD76" s="39" t="s">
        <v>116</v>
      </c>
      <c r="AE76" s="38">
        <v>970</v>
      </c>
      <c r="AF76" s="38" t="s">
        <v>57</v>
      </c>
      <c r="AG76" s="39">
        <v>40</v>
      </c>
      <c r="AH76" s="49" t="s">
        <v>170</v>
      </c>
      <c r="AI76" s="48" t="s">
        <v>118</v>
      </c>
      <c r="AJ76" s="46" t="s">
        <v>113</v>
      </c>
      <c r="AK76" s="41">
        <v>45382</v>
      </c>
      <c r="AL76" s="40" t="s">
        <v>119</v>
      </c>
      <c r="AM76" s="49" t="s">
        <v>120</v>
      </c>
      <c r="AN76" s="48" t="s">
        <v>165</v>
      </c>
      <c r="AO76" s="40" t="s">
        <v>122</v>
      </c>
      <c r="AP76" s="50" t="s">
        <v>123</v>
      </c>
      <c r="AQ76" s="40" t="s">
        <v>124</v>
      </c>
      <c r="AR76" s="35" t="s">
        <v>124</v>
      </c>
      <c r="AS76" s="44" t="s">
        <v>113</v>
      </c>
      <c r="AT76" s="40" t="s">
        <v>125</v>
      </c>
      <c r="AU76" s="50" t="s">
        <v>240</v>
      </c>
      <c r="AV76" s="44" t="s">
        <v>127</v>
      </c>
      <c r="AW76" s="51">
        <v>45291</v>
      </c>
      <c r="AX76" s="51">
        <v>45291</v>
      </c>
      <c r="AY76" s="41" t="s">
        <v>113</v>
      </c>
      <c r="AZ76" s="43" t="s">
        <v>97</v>
      </c>
      <c r="BA76" s="43" t="s">
        <v>128</v>
      </c>
      <c r="BB76" s="52" t="s">
        <v>442</v>
      </c>
      <c r="BC76" s="44" t="s">
        <v>130</v>
      </c>
      <c r="BD76" s="44" t="s">
        <v>131</v>
      </c>
      <c r="BE76" s="43" t="s">
        <v>97</v>
      </c>
      <c r="BF76" s="43" t="s">
        <v>132</v>
      </c>
      <c r="BG76" s="50">
        <v>5855200032</v>
      </c>
      <c r="BH76" s="44">
        <v>36526</v>
      </c>
      <c r="BI76" s="44">
        <v>51136</v>
      </c>
      <c r="BJ76" s="38" t="s">
        <v>133</v>
      </c>
      <c r="BK76" s="50" t="s">
        <v>134</v>
      </c>
      <c r="BL76" s="53">
        <v>32144</v>
      </c>
      <c r="BM76" s="54" t="s">
        <v>97</v>
      </c>
      <c r="BN76" s="43" t="s">
        <v>109</v>
      </c>
      <c r="BO76" s="38" t="s">
        <v>135</v>
      </c>
      <c r="BP76" s="55" t="s">
        <v>113</v>
      </c>
      <c r="BQ76" s="43" t="s">
        <v>136</v>
      </c>
      <c r="BR76" s="43" t="s">
        <v>97</v>
      </c>
      <c r="BS76" s="39" t="s">
        <v>123</v>
      </c>
      <c r="BT76" s="39">
        <v>10</v>
      </c>
      <c r="BU76" s="38" t="s">
        <v>137</v>
      </c>
      <c r="BV76" s="38" t="s">
        <v>138</v>
      </c>
      <c r="BW76" s="43" t="s">
        <v>139</v>
      </c>
      <c r="BX76" s="56" t="s">
        <v>140</v>
      </c>
      <c r="BY76" s="43" t="s">
        <v>141</v>
      </c>
      <c r="BZ76" s="43" t="s">
        <v>142</v>
      </c>
      <c r="CA76" s="43" t="s">
        <v>143</v>
      </c>
      <c r="CB76" s="43" t="s">
        <v>144</v>
      </c>
      <c r="CC76" s="56" t="s">
        <v>139</v>
      </c>
      <c r="CD76" s="40" t="s">
        <v>140</v>
      </c>
      <c r="CE76" s="43" t="s">
        <v>141</v>
      </c>
      <c r="CF76" s="43" t="s">
        <v>145</v>
      </c>
      <c r="CG76" s="43" t="s">
        <v>146</v>
      </c>
      <c r="CH76" s="43" t="s">
        <v>145</v>
      </c>
      <c r="CI76" s="57">
        <v>100</v>
      </c>
      <c r="CJ76" s="43" t="s">
        <v>147</v>
      </c>
      <c r="CK76" s="43" t="s">
        <v>148</v>
      </c>
      <c r="CL76" s="43" t="s">
        <v>97</v>
      </c>
      <c r="CM76" s="43" t="s">
        <v>149</v>
      </c>
      <c r="CN76" s="43" t="s">
        <v>150</v>
      </c>
      <c r="CO76" s="49" t="s">
        <v>160</v>
      </c>
      <c r="CP76" s="49" t="s">
        <v>161</v>
      </c>
      <c r="CQ76" s="58" t="s">
        <v>109</v>
      </c>
      <c r="CR76" s="53">
        <v>39886</v>
      </c>
      <c r="CS76" s="49" t="s">
        <v>162</v>
      </c>
      <c r="CT76" s="59">
        <v>1634095</v>
      </c>
      <c r="CU76" s="59">
        <v>123416104</v>
      </c>
      <c r="CV76" s="35" t="s">
        <v>488</v>
      </c>
    </row>
    <row r="77" ht="14.5" customHeight="1" spans="1:100" x14ac:dyDescent="0.25">
      <c r="A77" s="35" t="s">
        <v>499</v>
      </c>
      <c r="B77" s="60" t="s">
        <v>500</v>
      </c>
      <c r="C77" s="35" t="s">
        <v>224</v>
      </c>
      <c r="D77" s="37" t="s">
        <v>96</v>
      </c>
      <c r="E77" s="38" t="s">
        <v>97</v>
      </c>
      <c r="F77" s="39" t="s">
        <v>501</v>
      </c>
      <c r="G77" s="39" t="s">
        <v>184</v>
      </c>
      <c r="H77" s="40" t="s">
        <v>100</v>
      </c>
      <c r="I77" s="40" t="s">
        <v>101</v>
      </c>
      <c r="J77" s="40" t="s">
        <v>102</v>
      </c>
      <c r="K77" s="41">
        <v>45292</v>
      </c>
      <c r="L77" s="38" t="s">
        <v>97</v>
      </c>
      <c r="M77" s="40" t="s">
        <v>103</v>
      </c>
      <c r="N77" s="40" t="s">
        <v>154</v>
      </c>
      <c r="O77" s="42" t="s">
        <v>105</v>
      </c>
      <c r="P77" s="38" t="s">
        <v>155</v>
      </c>
      <c r="Q77" s="40" t="s">
        <v>107</v>
      </c>
      <c r="R77" s="40" t="s">
        <v>108</v>
      </c>
      <c r="S77" s="43" t="s">
        <v>109</v>
      </c>
      <c r="T77" s="43" t="s">
        <v>109</v>
      </c>
      <c r="U77" s="40" t="s">
        <v>102</v>
      </c>
      <c r="V77" s="44" t="s">
        <v>110</v>
      </c>
      <c r="W77" s="45" t="s">
        <v>111</v>
      </c>
      <c r="X77" s="40" t="s">
        <v>102</v>
      </c>
      <c r="Y77" s="46">
        <v>45658</v>
      </c>
      <c r="Z77" s="40" t="s">
        <v>112</v>
      </c>
      <c r="AA77" s="47" t="s">
        <v>113</v>
      </c>
      <c r="AB77" s="48" t="s">
        <v>240</v>
      </c>
      <c r="AC77" s="48" t="s">
        <v>115</v>
      </c>
      <c r="AD77" s="39" t="s">
        <v>116</v>
      </c>
      <c r="AE77" s="38">
        <v>970</v>
      </c>
      <c r="AF77" s="38" t="s">
        <v>57</v>
      </c>
      <c r="AG77" s="48">
        <v>30</v>
      </c>
      <c r="AH77" s="49" t="s">
        <v>117</v>
      </c>
      <c r="AI77" s="48" t="s">
        <v>118</v>
      </c>
      <c r="AJ77" s="46" t="s">
        <v>113</v>
      </c>
      <c r="AK77" s="41">
        <v>45382</v>
      </c>
      <c r="AL77" s="40" t="s">
        <v>119</v>
      </c>
      <c r="AM77" s="49" t="s">
        <v>120</v>
      </c>
      <c r="AN77" s="39" t="s">
        <v>185</v>
      </c>
      <c r="AO77" s="40" t="s">
        <v>122</v>
      </c>
      <c r="AP77" s="50" t="s">
        <v>123</v>
      </c>
      <c r="AQ77" s="40" t="s">
        <v>124</v>
      </c>
      <c r="AR77" s="35" t="s">
        <v>124</v>
      </c>
      <c r="AS77" s="44" t="s">
        <v>113</v>
      </c>
      <c r="AT77" s="40" t="s">
        <v>125</v>
      </c>
      <c r="AU77" s="50" t="s">
        <v>240</v>
      </c>
      <c r="AV77" s="44" t="s">
        <v>127</v>
      </c>
      <c r="AW77" s="51">
        <v>45291</v>
      </c>
      <c r="AX77" s="51">
        <v>45291</v>
      </c>
      <c r="AY77" s="41" t="s">
        <v>113</v>
      </c>
      <c r="AZ77" s="43" t="s">
        <v>97</v>
      </c>
      <c r="BA77" s="43" t="s">
        <v>128</v>
      </c>
      <c r="BB77" s="52" t="s">
        <v>202</v>
      </c>
      <c r="BC77" s="44" t="s">
        <v>130</v>
      </c>
      <c r="BD77" s="44" t="s">
        <v>131</v>
      </c>
      <c r="BE77" s="43" t="s">
        <v>97</v>
      </c>
      <c r="BF77" s="43" t="s">
        <v>132</v>
      </c>
      <c r="BG77" s="50">
        <v>5855200040</v>
      </c>
      <c r="BH77" s="44">
        <v>36526</v>
      </c>
      <c r="BI77" s="44">
        <v>51136</v>
      </c>
      <c r="BJ77" s="38" t="s">
        <v>133</v>
      </c>
      <c r="BK77" s="50" t="s">
        <v>134</v>
      </c>
      <c r="BL77" s="53">
        <v>31414</v>
      </c>
      <c r="BM77" s="54" t="s">
        <v>97</v>
      </c>
      <c r="BN77" s="43" t="s">
        <v>109</v>
      </c>
      <c r="BO77" s="38" t="s">
        <v>135</v>
      </c>
      <c r="BP77" s="55" t="s">
        <v>113</v>
      </c>
      <c r="BQ77" s="43" t="s">
        <v>136</v>
      </c>
      <c r="BR77" s="43" t="s">
        <v>97</v>
      </c>
      <c r="BS77" s="49" t="s">
        <v>123</v>
      </c>
      <c r="BT77" s="39">
        <v>10</v>
      </c>
      <c r="BU77" s="38" t="s">
        <v>137</v>
      </c>
      <c r="BV77" s="38" t="s">
        <v>138</v>
      </c>
      <c r="BW77" s="43" t="s">
        <v>139</v>
      </c>
      <c r="BX77" s="56" t="s">
        <v>158</v>
      </c>
      <c r="BY77" s="43" t="s">
        <v>141</v>
      </c>
      <c r="BZ77" s="43" t="s">
        <v>142</v>
      </c>
      <c r="CA77" s="43" t="s">
        <v>143</v>
      </c>
      <c r="CB77" s="43" t="s">
        <v>144</v>
      </c>
      <c r="CC77" s="56" t="s">
        <v>139</v>
      </c>
      <c r="CD77" s="40" t="s">
        <v>140</v>
      </c>
      <c r="CE77" s="43" t="s">
        <v>141</v>
      </c>
      <c r="CF77" s="43" t="s">
        <v>145</v>
      </c>
      <c r="CG77" s="43" t="s">
        <v>146</v>
      </c>
      <c r="CH77" s="43" t="s">
        <v>145</v>
      </c>
      <c r="CI77" s="57">
        <v>100</v>
      </c>
      <c r="CJ77" s="43" t="s">
        <v>147</v>
      </c>
      <c r="CK77" s="43" t="s">
        <v>148</v>
      </c>
      <c r="CL77" s="43" t="s">
        <v>97</v>
      </c>
      <c r="CM77" s="43" t="s">
        <v>159</v>
      </c>
      <c r="CN77" s="43" t="s">
        <v>150</v>
      </c>
      <c r="CO77" s="49" t="s">
        <v>160</v>
      </c>
      <c r="CP77" s="49" t="s">
        <v>161</v>
      </c>
      <c r="CQ77" s="58" t="s">
        <v>109</v>
      </c>
      <c r="CR77" s="53">
        <v>44269</v>
      </c>
      <c r="CS77" s="49" t="s">
        <v>162</v>
      </c>
      <c r="CT77" s="59">
        <v>1634096</v>
      </c>
      <c r="CU77" s="59">
        <v>123416105</v>
      </c>
      <c r="CV77" s="35" t="s">
        <v>493</v>
      </c>
    </row>
    <row r="78" ht="14.5" customHeight="1" spans="1:100" x14ac:dyDescent="0.25">
      <c r="A78" s="35"/>
      <c r="B78" s="35" t="s">
        <v>502</v>
      </c>
      <c r="C78" s="35" t="s">
        <v>224</v>
      </c>
      <c r="D78" s="37"/>
      <c r="E78" s="38"/>
      <c r="F78" s="39"/>
      <c r="G78" s="39"/>
      <c r="H78" s="40"/>
      <c r="I78" s="40"/>
      <c r="J78" s="40"/>
      <c r="K78" s="41"/>
      <c r="L78" s="38"/>
      <c r="M78" s="40"/>
      <c r="N78" s="40"/>
      <c r="O78" s="42"/>
      <c r="P78" s="38"/>
      <c r="Q78" s="40"/>
      <c r="R78" s="40"/>
      <c r="S78" s="43"/>
      <c r="T78" s="43"/>
      <c r="U78" s="40"/>
      <c r="V78" s="44"/>
      <c r="W78" s="45"/>
      <c r="X78" s="40"/>
      <c r="Y78" s="46"/>
      <c r="Z78" s="40"/>
      <c r="AA78" s="47"/>
      <c r="AB78" s="48"/>
      <c r="AC78" s="48"/>
      <c r="AD78" s="39"/>
      <c r="AE78" s="38"/>
      <c r="AF78" s="38"/>
      <c r="AG78" s="39"/>
      <c r="AH78" s="49"/>
      <c r="AI78" s="48"/>
      <c r="AJ78" s="46"/>
      <c r="AK78" s="41"/>
      <c r="AL78" s="40"/>
      <c r="AM78" s="49"/>
      <c r="AN78" s="48"/>
      <c r="AO78" s="40"/>
      <c r="AP78" s="50"/>
      <c r="AQ78" s="40"/>
      <c r="AR78" s="35"/>
      <c r="AS78" s="44"/>
      <c r="AT78" s="40"/>
      <c r="AU78" s="50"/>
      <c r="AV78" s="44"/>
      <c r="AW78" s="51"/>
      <c r="AX78" s="51"/>
      <c r="AY78" s="41"/>
      <c r="AZ78" s="43"/>
      <c r="BA78" s="43"/>
      <c r="BB78" s="52"/>
      <c r="BC78" s="44"/>
      <c r="BD78" s="44"/>
      <c r="BE78" s="43"/>
      <c r="BF78" s="43"/>
      <c r="BG78" s="50"/>
      <c r="BH78" s="44"/>
      <c r="BI78" s="44"/>
      <c r="BJ78" s="38"/>
      <c r="BK78" s="50"/>
      <c r="BL78" s="53"/>
      <c r="BM78" s="54"/>
      <c r="BN78" s="43"/>
      <c r="BO78" s="38"/>
      <c r="BP78" s="55"/>
      <c r="BQ78" s="43"/>
      <c r="BR78" s="43"/>
      <c r="BS78" s="39"/>
      <c r="BT78" s="39"/>
      <c r="BU78" s="38"/>
      <c r="BV78" s="38"/>
      <c r="BW78" s="43"/>
      <c r="BX78" s="56"/>
      <c r="BY78" s="43"/>
      <c r="BZ78" s="43"/>
      <c r="CA78" s="43"/>
      <c r="CB78" s="43"/>
      <c r="CC78" s="56"/>
      <c r="CD78" s="40"/>
      <c r="CE78" s="43"/>
      <c r="CF78" s="43"/>
      <c r="CG78" s="43"/>
      <c r="CH78" s="43"/>
      <c r="CI78" s="57"/>
      <c r="CJ78" s="43"/>
      <c r="CK78" s="43"/>
      <c r="CL78" s="43"/>
      <c r="CM78" s="43"/>
      <c r="CN78" s="43"/>
      <c r="CO78" s="49"/>
      <c r="CP78" s="49"/>
      <c r="CQ78" s="58"/>
      <c r="CR78" s="53"/>
      <c r="CS78" s="49"/>
      <c r="CT78" s="59"/>
      <c r="CU78" s="59"/>
      <c r="CV78" s="35" t="s">
        <v>496</v>
      </c>
    </row>
    <row r="79" ht="14.5" customHeight="1" spans="1:100" x14ac:dyDescent="0.25">
      <c r="A79" s="35"/>
      <c r="B79" s="35" t="s">
        <v>502</v>
      </c>
      <c r="C79" s="35" t="s">
        <v>224</v>
      </c>
      <c r="D79" s="37"/>
      <c r="E79" s="38"/>
      <c r="F79" s="39"/>
      <c r="G79" s="39"/>
      <c r="H79" s="40"/>
      <c r="I79" s="40"/>
      <c r="J79" s="40"/>
      <c r="K79" s="41"/>
      <c r="L79" s="38"/>
      <c r="M79" s="40"/>
      <c r="N79" s="40"/>
      <c r="O79" s="42"/>
      <c r="P79" s="38"/>
      <c r="Q79" s="40"/>
      <c r="R79" s="40"/>
      <c r="S79" s="43"/>
      <c r="T79" s="43"/>
      <c r="U79" s="40"/>
      <c r="V79" s="44"/>
      <c r="W79" s="45"/>
      <c r="X79" s="40"/>
      <c r="Y79" s="46"/>
      <c r="Z79" s="40"/>
      <c r="AA79" s="47"/>
      <c r="AB79" s="48"/>
      <c r="AC79" s="48"/>
      <c r="AD79" s="39"/>
      <c r="AE79" s="38"/>
      <c r="AF79" s="38"/>
      <c r="AG79" s="48"/>
      <c r="AH79" s="49"/>
      <c r="AI79" s="48"/>
      <c r="AJ79" s="46"/>
      <c r="AK79" s="41"/>
      <c r="AL79" s="40"/>
      <c r="AM79" s="49"/>
      <c r="AN79" s="48"/>
      <c r="AO79" s="40"/>
      <c r="AP79" s="50"/>
      <c r="AQ79" s="40"/>
      <c r="AR79" s="35"/>
      <c r="AS79" s="44"/>
      <c r="AT79" s="40"/>
      <c r="AU79" s="50"/>
      <c r="AV79" s="44"/>
      <c r="AW79" s="51"/>
      <c r="AX79" s="51"/>
      <c r="AY79" s="41"/>
      <c r="AZ79" s="43"/>
      <c r="BA79" s="43"/>
      <c r="BB79" s="52"/>
      <c r="BC79" s="44"/>
      <c r="BD79" s="44"/>
      <c r="BE79" s="43"/>
      <c r="BF79" s="43"/>
      <c r="BG79" s="50"/>
      <c r="BH79" s="44"/>
      <c r="BI79" s="44"/>
      <c r="BJ79" s="38"/>
      <c r="BK79" s="50"/>
      <c r="BL79" s="53"/>
      <c r="BM79" s="54"/>
      <c r="BN79" s="43"/>
      <c r="BO79" s="38"/>
      <c r="BP79" s="55"/>
      <c r="BQ79" s="43"/>
      <c r="BR79" s="43"/>
      <c r="BS79" s="49"/>
      <c r="BT79" s="39"/>
      <c r="BU79" s="38"/>
      <c r="BV79" s="38"/>
      <c r="BW79" s="43"/>
      <c r="BX79" s="56"/>
      <c r="BY79" s="43"/>
      <c r="BZ79" s="43"/>
      <c r="CA79" s="43"/>
      <c r="CB79" s="43"/>
      <c r="CC79" s="56"/>
      <c r="CD79" s="40"/>
      <c r="CE79" s="43"/>
      <c r="CF79" s="43"/>
      <c r="CG79" s="43"/>
      <c r="CH79" s="43"/>
      <c r="CI79" s="57"/>
      <c r="CJ79" s="43"/>
      <c r="CK79" s="43"/>
      <c r="CL79" s="43"/>
      <c r="CM79" s="43"/>
      <c r="CN79" s="43"/>
      <c r="CO79" s="49"/>
      <c r="CP79" s="49"/>
      <c r="CQ79" s="58"/>
      <c r="CR79" s="53"/>
      <c r="CS79" s="49"/>
      <c r="CT79" s="59"/>
      <c r="CU79" s="59"/>
      <c r="CV79" s="35" t="s">
        <v>499</v>
      </c>
    </row>
  </sheetData>
  <autoFilter ref="A1:CU79"/>
  <dataValidations count="420">
    <dataValidation type="list" allowBlank="1" showInputMessage="1" showErrorMessage="1" sqref="AV10">
      <formula1>INDIRECT($C2)</formula1>
    </dataValidation>
    <dataValidation type="list" allowBlank="1" showInputMessage="1" showErrorMessage="1" sqref="AV11">
      <formula1>INDIRECT($E3)</formula1>
    </dataValidation>
    <dataValidation type="list" allowBlank="1" showInputMessage="1" showErrorMessage="1" sqref="AV12">
      <formula1>INDIRECT($C2)</formula1>
    </dataValidation>
    <dataValidation type="list" allowBlank="1" showInputMessage="1" showErrorMessage="1" sqref="AV13">
      <formula1>INDIRECT($E3)</formula1>
    </dataValidation>
    <dataValidation type="list" allowBlank="1" showInputMessage="1" showErrorMessage="1" sqref="AV14">
      <formula1>INDIRECT($C2)</formula1>
    </dataValidation>
    <dataValidation type="list" allowBlank="1" showInputMessage="1" showErrorMessage="1" sqref="AV15">
      <formula1>INDIRECT($E3)</formula1>
    </dataValidation>
    <dataValidation type="list" allowBlank="1" showInputMessage="1" showErrorMessage="1" sqref="AV16">
      <formula1>INDIRECT($C2)</formula1>
    </dataValidation>
    <dataValidation type="list" allowBlank="1" showInputMessage="1" showErrorMessage="1" sqref="AV17">
      <formula1>INDIRECT($E3)</formula1>
    </dataValidation>
    <dataValidation type="list" allowBlank="1" showInputMessage="1" showErrorMessage="1" sqref="AV18">
      <formula1>INDIRECT($C2)</formula1>
    </dataValidation>
    <dataValidation type="list" allowBlank="1" showInputMessage="1" showErrorMessage="1" sqref="AV19">
      <formula1>INDIRECT($E3)</formula1>
    </dataValidation>
    <dataValidation type="list" allowBlank="1" showInputMessage="1" showErrorMessage="1" sqref="AV2">
      <formula1>INDIRECT($C2)</formula1>
    </dataValidation>
    <dataValidation type="list" allowBlank="1" showInputMessage="1" showErrorMessage="1" sqref="AV20">
      <formula1>INDIRECT($C2)</formula1>
    </dataValidation>
    <dataValidation type="list" allowBlank="1" showInputMessage="1" showErrorMessage="1" sqref="AV21">
      <formula1>INDIRECT($E3)</formula1>
    </dataValidation>
    <dataValidation type="list" allowBlank="1" showInputMessage="1" showErrorMessage="1" sqref="AV22">
      <formula1>INDIRECT($C2)</formula1>
    </dataValidation>
    <dataValidation type="list" allowBlank="1" showInputMessage="1" showErrorMessage="1" sqref="AV23">
      <formula1>INDIRECT($E3)</formula1>
    </dataValidation>
    <dataValidation type="list" allowBlank="1" showInputMessage="1" showErrorMessage="1" sqref="AV24">
      <formula1>INDIRECT($C2)</formula1>
    </dataValidation>
    <dataValidation type="list" allowBlank="1" showInputMessage="1" showErrorMessage="1" sqref="AV25">
      <formula1>INDIRECT($E3)</formula1>
    </dataValidation>
    <dataValidation type="list" allowBlank="1" showInputMessage="1" showErrorMessage="1" sqref="AV26">
      <formula1>INDIRECT($C2)</formula1>
    </dataValidation>
    <dataValidation type="list" allowBlank="1" showInputMessage="1" showErrorMessage="1" sqref="AV27">
      <formula1>INDIRECT($E3)</formula1>
    </dataValidation>
    <dataValidation type="list" allowBlank="1" showInputMessage="1" showErrorMessage="1" sqref="AV28">
      <formula1>INDIRECT($C2)</formula1>
    </dataValidation>
    <dataValidation type="list" allowBlank="1" showInputMessage="1" showErrorMessage="1" sqref="AV29">
      <formula1>INDIRECT($E3)</formula1>
    </dataValidation>
    <dataValidation type="list" allowBlank="1" showInputMessage="1" showErrorMessage="1" sqref="AV3">
      <formula1>INDIRECT($E3)</formula1>
    </dataValidation>
    <dataValidation type="list" allowBlank="1" showInputMessage="1" showErrorMessage="1" sqref="AV30">
      <formula1>INDIRECT($C2)</formula1>
    </dataValidation>
    <dataValidation type="list" allowBlank="1" showInputMessage="1" showErrorMessage="1" sqref="AV31">
      <formula1>INDIRECT($E3)</formula1>
    </dataValidation>
    <dataValidation type="list" allowBlank="1" showInputMessage="1" showErrorMessage="1" sqref="AV32">
      <formula1>INDIRECT($C2)</formula1>
    </dataValidation>
    <dataValidation type="list" allowBlank="1" showInputMessage="1" showErrorMessage="1" sqref="AV33">
      <formula1>INDIRECT($E3)</formula1>
    </dataValidation>
    <dataValidation type="list" allowBlank="1" showInputMessage="1" showErrorMessage="1" sqref="AV34">
      <formula1>INDIRECT($C2)</formula1>
    </dataValidation>
    <dataValidation type="list" allowBlank="1" showInputMessage="1" showErrorMessage="1" sqref="AV35">
      <formula1>INDIRECT($E3)</formula1>
    </dataValidation>
    <dataValidation type="list" allowBlank="1" showInputMessage="1" showErrorMessage="1" sqref="AV36">
      <formula1>INDIRECT($C2)</formula1>
    </dataValidation>
    <dataValidation type="list" allowBlank="1" showInputMessage="1" showErrorMessage="1" sqref="AV37">
      <formula1>INDIRECT($E3)</formula1>
    </dataValidation>
    <dataValidation type="list" allowBlank="1" showInputMessage="1" showErrorMessage="1" sqref="AV38">
      <formula1>INDIRECT($C2)</formula1>
    </dataValidation>
    <dataValidation type="list" allowBlank="1" showInputMessage="1" showErrorMessage="1" sqref="AV39">
      <formula1>INDIRECT($E3)</formula1>
    </dataValidation>
    <dataValidation type="list" allowBlank="1" showInputMessage="1" showErrorMessage="1" sqref="AV4">
      <formula1>INDIRECT($C2)</formula1>
    </dataValidation>
    <dataValidation type="list" allowBlank="1" showInputMessage="1" showErrorMessage="1" sqref="AV40">
      <formula1>INDIRECT($C2)</formula1>
    </dataValidation>
    <dataValidation type="list" allowBlank="1" showInputMessage="1" showErrorMessage="1" sqref="AV41">
      <formula1>INDIRECT($E3)</formula1>
    </dataValidation>
    <dataValidation type="list" allowBlank="1" showInputMessage="1" showErrorMessage="1" sqref="AV42">
      <formula1>INDIRECT($C2)</formula1>
    </dataValidation>
    <dataValidation type="list" allowBlank="1" showInputMessage="1" showErrorMessage="1" sqref="AV43">
      <formula1>INDIRECT($E3)</formula1>
    </dataValidation>
    <dataValidation type="list" allowBlank="1" showInputMessage="1" showErrorMessage="1" sqref="AV44">
      <formula1>INDIRECT($C2)</formula1>
    </dataValidation>
    <dataValidation type="list" allowBlank="1" showInputMessage="1" showErrorMessage="1" sqref="AV45">
      <formula1>INDIRECT($E3)</formula1>
    </dataValidation>
    <dataValidation type="list" allowBlank="1" showInputMessage="1" showErrorMessage="1" sqref="AV46">
      <formula1>INDIRECT($C2)</formula1>
    </dataValidation>
    <dataValidation type="list" allowBlank="1" showInputMessage="1" showErrorMessage="1" sqref="AV47">
      <formula1>INDIRECT($E3)</formula1>
    </dataValidation>
    <dataValidation type="list" allowBlank="1" showInputMessage="1" showErrorMessage="1" sqref="AV48">
      <formula1>INDIRECT($C2)</formula1>
    </dataValidation>
    <dataValidation type="list" allowBlank="1" showInputMessage="1" showErrorMessage="1" sqref="AV49">
      <formula1>INDIRECT($E3)</formula1>
    </dataValidation>
    <dataValidation type="list" allowBlank="1" showInputMessage="1" showErrorMessage="1" sqref="AV5">
      <formula1>INDIRECT($E3)</formula1>
    </dataValidation>
    <dataValidation type="list" allowBlank="1" showInputMessage="1" showErrorMessage="1" sqref="AV50">
      <formula1>INDIRECT($C2)</formula1>
    </dataValidation>
    <dataValidation type="list" allowBlank="1" showInputMessage="1" showErrorMessage="1" sqref="AV51">
      <formula1>INDIRECT($E3)</formula1>
    </dataValidation>
    <dataValidation type="list" allowBlank="1" showInputMessage="1" showErrorMessage="1" sqref="AV52">
      <formula1>INDIRECT($C2)</formula1>
    </dataValidation>
    <dataValidation type="list" allowBlank="1" showInputMessage="1" showErrorMessage="1" sqref="AV53">
      <formula1>INDIRECT($E3)</formula1>
    </dataValidation>
    <dataValidation type="list" allowBlank="1" showInputMessage="1" showErrorMessage="1" sqref="AV54">
      <formula1>INDIRECT($C2)</formula1>
    </dataValidation>
    <dataValidation type="list" allowBlank="1" showInputMessage="1" showErrorMessage="1" sqref="AV55">
      <formula1>INDIRECT($E3)</formula1>
    </dataValidation>
    <dataValidation type="list" allowBlank="1" showInputMessage="1" showErrorMessage="1" sqref="AV56">
      <formula1>INDIRECT($C2)</formula1>
    </dataValidation>
    <dataValidation type="list" allowBlank="1" showInputMessage="1" showErrorMessage="1" sqref="AV57:AV72">
      <formula1>INDIRECT(#REF!)</formula1>
    </dataValidation>
    <dataValidation type="list" allowBlank="1" showInputMessage="1" showErrorMessage="1" sqref="AV6">
      <formula1>INDIRECT($C2)</formula1>
    </dataValidation>
    <dataValidation type="list" allowBlank="1" showInputMessage="1" showErrorMessage="1" sqref="AV7">
      <formula1>INDIRECT($E3)</formula1>
    </dataValidation>
    <dataValidation type="list" allowBlank="1" showInputMessage="1" showErrorMessage="1" sqref="AV73:AV74">
      <formula1>INDIRECT($E3)</formula1>
    </dataValidation>
    <dataValidation type="list" allowBlank="1" showInputMessage="1" showErrorMessage="1" sqref="AV75:AV77">
      <formula1>INDIRECT(#REF!)</formula1>
    </dataValidation>
    <dataValidation type="list" allowBlank="1" showInputMessage="1" showErrorMessage="1" sqref="AV78">
      <formula1>INDIRECT($C3)</formula1>
    </dataValidation>
    <dataValidation type="list" allowBlank="1" showInputMessage="1" showErrorMessage="1" sqref="AV79">
      <formula1>INDIRECT($E3)</formula1>
    </dataValidation>
    <dataValidation type="list" allowBlank="1" showInputMessage="1" showErrorMessage="1" sqref="AV8">
      <formula1>INDIRECT($C2)</formula1>
    </dataValidation>
    <dataValidation type="list" allowBlank="1" showInputMessage="1" showErrorMessage="1" sqref="AV9">
      <formula1>INDIRECT($E3)</formula1>
    </dataValidation>
    <dataValidation type="list" allowBlank="1" showInputMessage="1" showErrorMessage="1" sqref="BW10">
      <formula1>INDIRECT($C2)</formula1>
    </dataValidation>
    <dataValidation type="list" allowBlank="1" showInputMessage="1" showErrorMessage="1" sqref="BW11">
      <formula1>INDIRECT($E3)</formula1>
    </dataValidation>
    <dataValidation type="list" allowBlank="1" showInputMessage="1" showErrorMessage="1" sqref="BW12">
      <formula1>INDIRECT($C2)</formula1>
    </dataValidation>
    <dataValidation type="list" allowBlank="1" showInputMessage="1" showErrorMessage="1" sqref="BW13">
      <formula1>INDIRECT($E3)</formula1>
    </dataValidation>
    <dataValidation type="list" allowBlank="1" showInputMessage="1" showErrorMessage="1" sqref="BW14">
      <formula1>INDIRECT($C2)</formula1>
    </dataValidation>
    <dataValidation type="list" allowBlank="1" showInputMessage="1" showErrorMessage="1" sqref="BW15">
      <formula1>INDIRECT($E3)</formula1>
    </dataValidation>
    <dataValidation type="list" allowBlank="1" showInputMessage="1" showErrorMessage="1" sqref="BW16">
      <formula1>INDIRECT($C2)</formula1>
    </dataValidation>
    <dataValidation type="list" allowBlank="1" showInputMessage="1" showErrorMessage="1" sqref="BW17">
      <formula1>INDIRECT($E3)</formula1>
    </dataValidation>
    <dataValidation type="list" allowBlank="1" showInputMessage="1" showErrorMessage="1" sqref="BW18">
      <formula1>INDIRECT($C2)</formula1>
    </dataValidation>
    <dataValidation type="list" allowBlank="1" showInputMessage="1" showErrorMessage="1" sqref="BW19">
      <formula1>INDIRECT($E3)</formula1>
    </dataValidation>
    <dataValidation type="list" allowBlank="1" showInputMessage="1" showErrorMessage="1" sqref="BW2">
      <formula1>INDIRECT($C2)</formula1>
    </dataValidation>
    <dataValidation type="list" allowBlank="1" showInputMessage="1" showErrorMessage="1" sqref="BW20">
      <formula1>INDIRECT($C2)</formula1>
    </dataValidation>
    <dataValidation type="list" allowBlank="1" showInputMessage="1" showErrorMessage="1" sqref="BW21">
      <formula1>INDIRECT($E3)</formula1>
    </dataValidation>
    <dataValidation type="list" allowBlank="1" showInputMessage="1" showErrorMessage="1" sqref="BW22">
      <formula1>INDIRECT($C2)</formula1>
    </dataValidation>
    <dataValidation type="list" allowBlank="1" showInputMessage="1" showErrorMessage="1" sqref="BW23">
      <formula1>INDIRECT($E3)</formula1>
    </dataValidation>
    <dataValidation type="list" allowBlank="1" showInputMessage="1" showErrorMessage="1" sqref="BW24">
      <formula1>INDIRECT($C2)</formula1>
    </dataValidation>
    <dataValidation type="list" allowBlank="1" showInputMessage="1" showErrorMessage="1" sqref="BW25">
      <formula1>INDIRECT($E3)</formula1>
    </dataValidation>
    <dataValidation type="list" allowBlank="1" showInputMessage="1" showErrorMessage="1" sqref="BW26">
      <formula1>INDIRECT($C2)</formula1>
    </dataValidation>
    <dataValidation type="list" allowBlank="1" showInputMessage="1" showErrorMessage="1" sqref="BW27">
      <formula1>INDIRECT($E3)</formula1>
    </dataValidation>
    <dataValidation type="list" allowBlank="1" showInputMessage="1" showErrorMessage="1" sqref="BW28">
      <formula1>INDIRECT($C2)</formula1>
    </dataValidation>
    <dataValidation type="list" allowBlank="1" showInputMessage="1" showErrorMessage="1" sqref="BW29">
      <formula1>INDIRECT($E3)</formula1>
    </dataValidation>
    <dataValidation type="list" allowBlank="1" showInputMessage="1" showErrorMessage="1" sqref="BW3">
      <formula1>INDIRECT($E3)</formula1>
    </dataValidation>
    <dataValidation type="list" allowBlank="1" showInputMessage="1" showErrorMessage="1" sqref="BW30">
      <formula1>INDIRECT($C2)</formula1>
    </dataValidation>
    <dataValidation type="list" allowBlank="1" showInputMessage="1" showErrorMessage="1" sqref="BW31">
      <formula1>INDIRECT($E3)</formula1>
    </dataValidation>
    <dataValidation type="list" allowBlank="1" showInputMessage="1" showErrorMessage="1" sqref="BW32">
      <formula1>INDIRECT($C2)</formula1>
    </dataValidation>
    <dataValidation type="list" allowBlank="1" showInputMessage="1" showErrorMessage="1" sqref="BW33">
      <formula1>INDIRECT($E3)</formula1>
    </dataValidation>
    <dataValidation type="list" allowBlank="1" showInputMessage="1" showErrorMessage="1" sqref="BW34">
      <formula1>INDIRECT($C2)</formula1>
    </dataValidation>
    <dataValidation type="list" allowBlank="1" showInputMessage="1" showErrorMessage="1" sqref="BW35">
      <formula1>INDIRECT($E3)</formula1>
    </dataValidation>
    <dataValidation type="list" allowBlank="1" showInputMessage="1" showErrorMessage="1" sqref="BW36">
      <formula1>INDIRECT($C2)</formula1>
    </dataValidation>
    <dataValidation type="list" allowBlank="1" showInputMessage="1" showErrorMessage="1" sqref="BW37">
      <formula1>INDIRECT($E3)</formula1>
    </dataValidation>
    <dataValidation type="list" allowBlank="1" showInputMessage="1" showErrorMessage="1" sqref="BW38">
      <formula1>INDIRECT($C2)</formula1>
    </dataValidation>
    <dataValidation type="list" allowBlank="1" showInputMessage="1" showErrorMessage="1" sqref="BW39">
      <formula1>INDIRECT($E3)</formula1>
    </dataValidation>
    <dataValidation type="list" allowBlank="1" showInputMessage="1" showErrorMessage="1" sqref="BW4">
      <formula1>INDIRECT($C2)</formula1>
    </dataValidation>
    <dataValidation type="list" allowBlank="1" showInputMessage="1" showErrorMessage="1" sqref="BW40">
      <formula1>INDIRECT($C2)</formula1>
    </dataValidation>
    <dataValidation type="list" allowBlank="1" showInputMessage="1" showErrorMessage="1" sqref="BW41">
      <formula1>INDIRECT($E3)</formula1>
    </dataValidation>
    <dataValidation type="list" allowBlank="1" showInputMessage="1" showErrorMessage="1" sqref="BW42">
      <formula1>INDIRECT($C2)</formula1>
    </dataValidation>
    <dataValidation type="list" allowBlank="1" showInputMessage="1" showErrorMessage="1" sqref="BW43">
      <formula1>INDIRECT($E3)</formula1>
    </dataValidation>
    <dataValidation type="list" allowBlank="1" showInputMessage="1" showErrorMessage="1" sqref="BW44">
      <formula1>INDIRECT($C2)</formula1>
    </dataValidation>
    <dataValidation type="list" allowBlank="1" showInputMessage="1" showErrorMessage="1" sqref="BW45">
      <formula1>INDIRECT($E3)</formula1>
    </dataValidation>
    <dataValidation type="list" allowBlank="1" showInputMessage="1" showErrorMessage="1" sqref="BW46">
      <formula1>INDIRECT($C2)</formula1>
    </dataValidation>
    <dataValidation type="list" allowBlank="1" showInputMessage="1" showErrorMessage="1" sqref="BW47">
      <formula1>INDIRECT($E3)</formula1>
    </dataValidation>
    <dataValidation type="list" allowBlank="1" showInputMessage="1" showErrorMessage="1" sqref="BW48">
      <formula1>INDIRECT($C2)</formula1>
    </dataValidation>
    <dataValidation type="list" allowBlank="1" showInputMessage="1" showErrorMessage="1" sqref="BW49">
      <formula1>INDIRECT($E3)</formula1>
    </dataValidation>
    <dataValidation type="list" allowBlank="1" showInputMessage="1" showErrorMessage="1" sqref="BW5">
      <formula1>INDIRECT($E3)</formula1>
    </dataValidation>
    <dataValidation type="list" allowBlank="1" showInputMessage="1" showErrorMessage="1" sqref="BW50">
      <formula1>INDIRECT($C2)</formula1>
    </dataValidation>
    <dataValidation type="list" allowBlank="1" showInputMessage="1" showErrorMessage="1" sqref="BW51">
      <formula1>INDIRECT($E3)</formula1>
    </dataValidation>
    <dataValidation type="list" allowBlank="1" showInputMessage="1" showErrorMessage="1" sqref="BW52">
      <formula1>INDIRECT($C2)</formula1>
    </dataValidation>
    <dataValidation type="list" allowBlank="1" showInputMessage="1" showErrorMessage="1" sqref="BW53">
      <formula1>INDIRECT($E3)</formula1>
    </dataValidation>
    <dataValidation type="list" allowBlank="1" showInputMessage="1" showErrorMessage="1" sqref="BW54">
      <formula1>INDIRECT($C2)</formula1>
    </dataValidation>
    <dataValidation type="list" allowBlank="1" showInputMessage="1" showErrorMessage="1" sqref="BW55">
      <formula1>INDIRECT($E3)</formula1>
    </dataValidation>
    <dataValidation type="list" allowBlank="1" showInputMessage="1" showErrorMessage="1" sqref="BW56">
      <formula1>INDIRECT($C2)</formula1>
    </dataValidation>
    <dataValidation type="list" allowBlank="1" showInputMessage="1" showErrorMessage="1" sqref="BW57:BW72">
      <formula1>INDIRECT(#REF!)</formula1>
    </dataValidation>
    <dataValidation type="list" allowBlank="1" showInputMessage="1" showErrorMessage="1" sqref="BW6">
      <formula1>INDIRECT($C2)</formula1>
    </dataValidation>
    <dataValidation type="list" allowBlank="1" showInputMessage="1" showErrorMessage="1" sqref="BW7">
      <formula1>INDIRECT($E3)</formula1>
    </dataValidation>
    <dataValidation type="list" allowBlank="1" showInputMessage="1" showErrorMessage="1" sqref="BW73:BW74">
      <formula1>INDIRECT($E3)</formula1>
    </dataValidation>
    <dataValidation type="list" allowBlank="1" showInputMessage="1" showErrorMessage="1" sqref="BW75:BW77">
      <formula1>INDIRECT(#REF!)</formula1>
    </dataValidation>
    <dataValidation type="list" allowBlank="1" showInputMessage="1" showErrorMessage="1" sqref="BW78">
      <formula1>INDIRECT($C3)</formula1>
    </dataValidation>
    <dataValidation type="list" allowBlank="1" showInputMessage="1" showErrorMessage="1" sqref="BW79">
      <formula1>INDIRECT($E3)</formula1>
    </dataValidation>
    <dataValidation type="list" allowBlank="1" showInputMessage="1" showErrorMessage="1" sqref="BW8">
      <formula1>INDIRECT($C2)</formula1>
    </dataValidation>
    <dataValidation type="list" allowBlank="1" showInputMessage="1" showErrorMessage="1" sqref="BW9">
      <formula1>INDIRECT($E3)</formula1>
    </dataValidation>
    <dataValidation type="list" allowBlank="1" showInputMessage="1" showErrorMessage="1" sqref="CC10">
      <formula1>INDIRECT($C2)</formula1>
    </dataValidation>
    <dataValidation type="list" allowBlank="1" showInputMessage="1" showErrorMessage="1" sqref="CC11">
      <formula1>INDIRECT($E3)</formula1>
    </dataValidation>
    <dataValidation type="list" allowBlank="1" showInputMessage="1" showErrorMessage="1" sqref="CC12">
      <formula1>INDIRECT($C2)</formula1>
    </dataValidation>
    <dataValidation type="list" allowBlank="1" showInputMessage="1" showErrorMessage="1" sqref="CC13">
      <formula1>INDIRECT($E3)</formula1>
    </dataValidation>
    <dataValidation type="list" allowBlank="1" showInputMessage="1" showErrorMessage="1" sqref="CC14">
      <formula1>INDIRECT($C2)</formula1>
    </dataValidation>
    <dataValidation type="list" allowBlank="1" showInputMessage="1" showErrorMessage="1" sqref="CC15">
      <formula1>INDIRECT($E3)</formula1>
    </dataValidation>
    <dataValidation type="list" allowBlank="1" showInputMessage="1" showErrorMessage="1" sqref="CC16">
      <formula1>INDIRECT($C2)</formula1>
    </dataValidation>
    <dataValidation type="list" allowBlank="1" showInputMessage="1" showErrorMessage="1" sqref="CC17">
      <formula1>INDIRECT($E3)</formula1>
    </dataValidation>
    <dataValidation type="list" allowBlank="1" showInputMessage="1" showErrorMessage="1" sqref="CC18">
      <formula1>INDIRECT($C2)</formula1>
    </dataValidation>
    <dataValidation type="list" allowBlank="1" showInputMessage="1" showErrorMessage="1" sqref="CC19">
      <formula1>INDIRECT($E3)</formula1>
    </dataValidation>
    <dataValidation type="list" allowBlank="1" showInputMessage="1" showErrorMessage="1" sqref="CC2">
      <formula1>INDIRECT($C2)</formula1>
    </dataValidation>
    <dataValidation type="list" allowBlank="1" showInputMessage="1" showErrorMessage="1" sqref="CC20">
      <formula1>INDIRECT($C2)</formula1>
    </dataValidation>
    <dataValidation type="list" allowBlank="1" showInputMessage="1" showErrorMessage="1" sqref="CC21">
      <formula1>INDIRECT($E3)</formula1>
    </dataValidation>
    <dataValidation type="list" allowBlank="1" showInputMessage="1" showErrorMessage="1" sqref="CC22">
      <formula1>INDIRECT($C2)</formula1>
    </dataValidation>
    <dataValidation type="list" allowBlank="1" showInputMessage="1" showErrorMessage="1" sqref="CC23">
      <formula1>INDIRECT($E3)</formula1>
    </dataValidation>
    <dataValidation type="list" allowBlank="1" showInputMessage="1" showErrorMessage="1" sqref="CC24">
      <formula1>INDIRECT($C2)</formula1>
    </dataValidation>
    <dataValidation type="list" allowBlank="1" showInputMessage="1" showErrorMessage="1" sqref="CC25">
      <formula1>INDIRECT($E3)</formula1>
    </dataValidation>
    <dataValidation type="list" allowBlank="1" showInputMessage="1" showErrorMessage="1" sqref="CC26">
      <formula1>INDIRECT($C2)</formula1>
    </dataValidation>
    <dataValidation type="list" allowBlank="1" showInputMessage="1" showErrorMessage="1" sqref="CC27">
      <formula1>INDIRECT($E3)</formula1>
    </dataValidation>
    <dataValidation type="list" allowBlank="1" showInputMessage="1" showErrorMessage="1" sqref="CC28">
      <formula1>INDIRECT($C2)</formula1>
    </dataValidation>
    <dataValidation type="list" allowBlank="1" showInputMessage="1" showErrorMessage="1" sqref="CC29">
      <formula1>INDIRECT($E3)</formula1>
    </dataValidation>
    <dataValidation type="list" allowBlank="1" showInputMessage="1" showErrorMessage="1" sqref="CC3">
      <formula1>INDIRECT($E3)</formula1>
    </dataValidation>
    <dataValidation type="list" allowBlank="1" showInputMessage="1" showErrorMessage="1" sqref="CC30">
      <formula1>INDIRECT($C2)</formula1>
    </dataValidation>
    <dataValidation type="list" allowBlank="1" showInputMessage="1" showErrorMessage="1" sqref="CC31">
      <formula1>INDIRECT($E3)</formula1>
    </dataValidation>
    <dataValidation type="list" allowBlank="1" showInputMessage="1" showErrorMessage="1" sqref="CC32">
      <formula1>INDIRECT($C2)</formula1>
    </dataValidation>
    <dataValidation type="list" allowBlank="1" showInputMessage="1" showErrorMessage="1" sqref="CC33">
      <formula1>INDIRECT($E3)</formula1>
    </dataValidation>
    <dataValidation type="list" allowBlank="1" showInputMessage="1" showErrorMessage="1" sqref="CC34">
      <formula1>INDIRECT($C2)</formula1>
    </dataValidation>
    <dataValidation type="list" allowBlank="1" showInputMessage="1" showErrorMessage="1" sqref="CC35">
      <formula1>INDIRECT($E3)</formula1>
    </dataValidation>
    <dataValidation type="list" allowBlank="1" showInputMessage="1" showErrorMessage="1" sqref="CC36">
      <formula1>INDIRECT($C2)</formula1>
    </dataValidation>
    <dataValidation type="list" allowBlank="1" showInputMessage="1" showErrorMessage="1" sqref="CC37">
      <formula1>INDIRECT($E3)</formula1>
    </dataValidation>
    <dataValidation type="list" allowBlank="1" showInputMessage="1" showErrorMessage="1" sqref="CC38">
      <formula1>INDIRECT($C2)</formula1>
    </dataValidation>
    <dataValidation type="list" allowBlank="1" showInputMessage="1" showErrorMessage="1" sqref="CC39">
      <formula1>INDIRECT($E3)</formula1>
    </dataValidation>
    <dataValidation type="list" allowBlank="1" showInputMessage="1" showErrorMessage="1" sqref="CC4">
      <formula1>INDIRECT($C2)</formula1>
    </dataValidation>
    <dataValidation type="list" allowBlank="1" showInputMessage="1" showErrorMessage="1" sqref="CC40">
      <formula1>INDIRECT($C2)</formula1>
    </dataValidation>
    <dataValidation type="list" allowBlank="1" showInputMessage="1" showErrorMessage="1" sqref="CC41">
      <formula1>INDIRECT($E3)</formula1>
    </dataValidation>
    <dataValidation type="list" allowBlank="1" showInputMessage="1" showErrorMessage="1" sqref="CC42">
      <formula1>INDIRECT($C2)</formula1>
    </dataValidation>
    <dataValidation type="list" allowBlank="1" showInputMessage="1" showErrorMessage="1" sqref="CC43">
      <formula1>INDIRECT($E3)</formula1>
    </dataValidation>
    <dataValidation type="list" allowBlank="1" showInputMessage="1" showErrorMessage="1" sqref="CC44">
      <formula1>INDIRECT($C2)</formula1>
    </dataValidation>
    <dataValidation type="list" allowBlank="1" showInputMessage="1" showErrorMessage="1" sqref="CC45">
      <formula1>INDIRECT($E3)</formula1>
    </dataValidation>
    <dataValidation type="list" allowBlank="1" showInputMessage="1" showErrorMessage="1" sqref="CC46">
      <formula1>INDIRECT($C2)</formula1>
    </dataValidation>
    <dataValidation type="list" allowBlank="1" showInputMessage="1" showErrorMessage="1" sqref="CC47">
      <formula1>INDIRECT($E3)</formula1>
    </dataValidation>
    <dataValidation type="list" allowBlank="1" showInputMessage="1" showErrorMessage="1" sqref="CC48">
      <formula1>INDIRECT($C2)</formula1>
    </dataValidation>
    <dataValidation type="list" allowBlank="1" showInputMessage="1" showErrorMessage="1" sqref="CC49">
      <formula1>INDIRECT($E3)</formula1>
    </dataValidation>
    <dataValidation type="list" allowBlank="1" showInputMessage="1" showErrorMessage="1" sqref="CC5">
      <formula1>INDIRECT($E3)</formula1>
    </dataValidation>
    <dataValidation type="list" allowBlank="1" showInputMessage="1" showErrorMessage="1" sqref="CC50">
      <formula1>INDIRECT($C2)</formula1>
    </dataValidation>
    <dataValidation type="list" allowBlank="1" showInputMessage="1" showErrorMessage="1" sqref="CC51">
      <formula1>INDIRECT($E3)</formula1>
    </dataValidation>
    <dataValidation type="list" allowBlank="1" showInputMessage="1" showErrorMessage="1" sqref="CC52">
      <formula1>INDIRECT($C2)</formula1>
    </dataValidation>
    <dataValidation type="list" allowBlank="1" showInputMessage="1" showErrorMessage="1" sqref="CC53">
      <formula1>INDIRECT($E3)</formula1>
    </dataValidation>
    <dataValidation type="list" allowBlank="1" showInputMessage="1" showErrorMessage="1" sqref="CC54">
      <formula1>INDIRECT($C2)</formula1>
    </dataValidation>
    <dataValidation type="list" allowBlank="1" showInputMessage="1" showErrorMessage="1" sqref="CC55">
      <formula1>INDIRECT($E3)</formula1>
    </dataValidation>
    <dataValidation type="list" allowBlank="1" showInputMessage="1" showErrorMessage="1" sqref="CC56">
      <formula1>INDIRECT($C2)</formula1>
    </dataValidation>
    <dataValidation type="list" allowBlank="1" showInputMessage="1" showErrorMessage="1" sqref="CC57:CC72">
      <formula1>INDIRECT(#REF!)</formula1>
    </dataValidation>
    <dataValidation type="list" allowBlank="1" showInputMessage="1" showErrorMessage="1" sqref="CC6">
      <formula1>INDIRECT($C2)</formula1>
    </dataValidation>
    <dataValidation type="list" allowBlank="1" showInputMessage="1" showErrorMessage="1" sqref="CC7">
      <formula1>INDIRECT($E3)</formula1>
    </dataValidation>
    <dataValidation type="list" allowBlank="1" showInputMessage="1" showErrorMessage="1" sqref="CC73:CC74">
      <formula1>INDIRECT($E3)</formula1>
    </dataValidation>
    <dataValidation type="list" allowBlank="1" showInputMessage="1" showErrorMessage="1" sqref="CC75:CC77">
      <formula1>INDIRECT(#REF!)</formula1>
    </dataValidation>
    <dataValidation type="list" allowBlank="1" showInputMessage="1" showErrorMessage="1" sqref="CC78">
      <formula1>INDIRECT($C3)</formula1>
    </dataValidation>
    <dataValidation type="list" allowBlank="1" showInputMessage="1" showErrorMessage="1" sqref="CC79">
      <formula1>INDIRECT($E3)</formula1>
    </dataValidation>
    <dataValidation type="list" allowBlank="1" showInputMessage="1" showErrorMessage="1" sqref="CC8">
      <formula1>INDIRECT($C2)</formula1>
    </dataValidation>
    <dataValidation type="list" allowBlank="1" showInputMessage="1" showErrorMessage="1" sqref="CC9">
      <formula1>INDIRECT($E3)</formula1>
    </dataValidation>
    <dataValidation type="list" allowBlank="1" showInputMessage="1" showErrorMessage="1" sqref="I10:J10">
      <formula1>INDIRECT($C2)</formula1>
    </dataValidation>
    <dataValidation type="list" allowBlank="1" showInputMessage="1" showErrorMessage="1" sqref="I11:J11">
      <formula1>INDIRECT($E3)</formula1>
    </dataValidation>
    <dataValidation type="list" allowBlank="1" showInputMessage="1" showErrorMessage="1" sqref="I12:J12">
      <formula1>INDIRECT($C2)</formula1>
    </dataValidation>
    <dataValidation type="list" allowBlank="1" showInputMessage="1" showErrorMessage="1" sqref="I13:J13">
      <formula1>INDIRECT($E3)</formula1>
    </dataValidation>
    <dataValidation type="list" allowBlank="1" showInputMessage="1" showErrorMessage="1" sqref="I14:J14">
      <formula1>INDIRECT($C2)</formula1>
    </dataValidation>
    <dataValidation type="list" allowBlank="1" showInputMessage="1" showErrorMessage="1" sqref="I15:J15">
      <formula1>INDIRECT($E3)</formula1>
    </dataValidation>
    <dataValidation type="list" allowBlank="1" showInputMessage="1" showErrorMessage="1" sqref="I16:J16">
      <formula1>INDIRECT($C2)</formula1>
    </dataValidation>
    <dataValidation type="list" allowBlank="1" showInputMessage="1" showErrorMessage="1" sqref="I17:J17">
      <formula1>INDIRECT($E3)</formula1>
    </dataValidation>
    <dataValidation type="list" allowBlank="1" showInputMessage="1" showErrorMessage="1" sqref="I18:J18">
      <formula1>INDIRECT($C2)</formula1>
    </dataValidation>
    <dataValidation type="list" allowBlank="1" showInputMessage="1" showErrorMessage="1" sqref="I19:J19">
      <formula1>INDIRECT($E3)</formula1>
    </dataValidation>
    <dataValidation type="list" allowBlank="1" showInputMessage="1" showErrorMessage="1" sqref="I2:J2">
      <formula1>INDIRECT($C2)</formula1>
    </dataValidation>
    <dataValidation type="list" allowBlank="1" showInputMessage="1" showErrorMessage="1" sqref="I20:J20">
      <formula1>INDIRECT($C2)</formula1>
    </dataValidation>
    <dataValidation type="list" allowBlank="1" showInputMessage="1" showErrorMessage="1" sqref="I21:J21">
      <formula1>INDIRECT($E3)</formula1>
    </dataValidation>
    <dataValidation type="list" allowBlank="1" showInputMessage="1" showErrorMessage="1" sqref="I22:J22">
      <formula1>INDIRECT($C2)</formula1>
    </dataValidation>
    <dataValidation type="list" allowBlank="1" showInputMessage="1" showErrorMessage="1" sqref="I23:J23">
      <formula1>INDIRECT($E3)</formula1>
    </dataValidation>
    <dataValidation type="list" allowBlank="1" showInputMessage="1" showErrorMessage="1" sqref="I24:J24">
      <formula1>INDIRECT($C2)</formula1>
    </dataValidation>
    <dataValidation type="list" allowBlank="1" showInputMessage="1" showErrorMessage="1" sqref="I25:J25">
      <formula1>INDIRECT($E3)</formula1>
    </dataValidation>
    <dataValidation type="list" allowBlank="1" showInputMessage="1" showErrorMessage="1" sqref="I26:J26">
      <formula1>INDIRECT($C2)</formula1>
    </dataValidation>
    <dataValidation type="list" allowBlank="1" showInputMessage="1" showErrorMessage="1" sqref="I27:J27">
      <formula1>INDIRECT($E3)</formula1>
    </dataValidation>
    <dataValidation type="list" allowBlank="1" showInputMessage="1" showErrorMessage="1" sqref="I28:J28">
      <formula1>INDIRECT($C2)</formula1>
    </dataValidation>
    <dataValidation type="list" allowBlank="1" showInputMessage="1" showErrorMessage="1" sqref="I29:J29">
      <formula1>INDIRECT($E3)</formula1>
    </dataValidation>
    <dataValidation type="list" allowBlank="1" showInputMessage="1" showErrorMessage="1" sqref="I3:J3">
      <formula1>INDIRECT($E3)</formula1>
    </dataValidation>
    <dataValidation type="list" allowBlank="1" showInputMessage="1" showErrorMessage="1" sqref="I30:J30">
      <formula1>INDIRECT($C2)</formula1>
    </dataValidation>
    <dataValidation type="list" allowBlank="1" showInputMessage="1" showErrorMessage="1" sqref="I31:J31">
      <formula1>INDIRECT($E3)</formula1>
    </dataValidation>
    <dataValidation type="list" allowBlank="1" showInputMessage="1" showErrorMessage="1" sqref="I32:J32">
      <formula1>INDIRECT($C2)</formula1>
    </dataValidation>
    <dataValidation type="list" allowBlank="1" showInputMessage="1" showErrorMessage="1" sqref="I33:J33">
      <formula1>INDIRECT($E3)</formula1>
    </dataValidation>
    <dataValidation type="list" allowBlank="1" showInputMessage="1" showErrorMessage="1" sqref="I34:J34">
      <formula1>INDIRECT($C2)</formula1>
    </dataValidation>
    <dataValidation type="list" allowBlank="1" showInputMessage="1" showErrorMessage="1" sqref="I35:J35">
      <formula1>INDIRECT($E3)</formula1>
    </dataValidation>
    <dataValidation type="list" allowBlank="1" showInputMessage="1" showErrorMessage="1" sqref="I36:J36">
      <formula1>INDIRECT($C2)</formula1>
    </dataValidation>
    <dataValidation type="list" allowBlank="1" showInputMessage="1" showErrorMessage="1" sqref="I37:J37">
      <formula1>INDIRECT($E3)</formula1>
    </dataValidation>
    <dataValidation type="list" allowBlank="1" showInputMessage="1" showErrorMessage="1" sqref="I38:J38">
      <formula1>INDIRECT($C2)</formula1>
    </dataValidation>
    <dataValidation type="list" allowBlank="1" showInputMessage="1" showErrorMessage="1" sqref="I39:J39">
      <formula1>INDIRECT($E3)</formula1>
    </dataValidation>
    <dataValidation type="list" allowBlank="1" showInputMessage="1" showErrorMessage="1" sqref="I4:J4">
      <formula1>INDIRECT($C2)</formula1>
    </dataValidation>
    <dataValidation type="list" allowBlank="1" showInputMessage="1" showErrorMessage="1" sqref="I40:J40">
      <formula1>INDIRECT($C2)</formula1>
    </dataValidation>
    <dataValidation type="list" allowBlank="1" showInputMessage="1" showErrorMessage="1" sqref="I41:J41">
      <formula1>INDIRECT($E3)</formula1>
    </dataValidation>
    <dataValidation type="list" allowBlank="1" showInputMessage="1" showErrorMessage="1" sqref="I42:J42">
      <formula1>INDIRECT($C2)</formula1>
    </dataValidation>
    <dataValidation type="list" allowBlank="1" showInputMessage="1" showErrorMessage="1" sqref="I43:J43">
      <formula1>INDIRECT($E3)</formula1>
    </dataValidation>
    <dataValidation type="list" allowBlank="1" showInputMessage="1" showErrorMessage="1" sqref="I44:J44">
      <formula1>INDIRECT($C2)</formula1>
    </dataValidation>
    <dataValidation type="list" allowBlank="1" showInputMessage="1" showErrorMessage="1" sqref="I45:J45">
      <formula1>INDIRECT($E3)</formula1>
    </dataValidation>
    <dataValidation type="list" allowBlank="1" showInputMessage="1" showErrorMessage="1" sqref="I46:J46">
      <formula1>INDIRECT($C2)</formula1>
    </dataValidation>
    <dataValidation type="list" allowBlank="1" showInputMessage="1" showErrorMessage="1" sqref="I47:J47">
      <formula1>INDIRECT($E3)</formula1>
    </dataValidation>
    <dataValidation type="list" allowBlank="1" showInputMessage="1" showErrorMessage="1" sqref="I48:J48">
      <formula1>INDIRECT($C2)</formula1>
    </dataValidation>
    <dataValidation type="list" allowBlank="1" showInputMessage="1" showErrorMessage="1" sqref="I49:J49">
      <formula1>INDIRECT($E3)</formula1>
    </dataValidation>
    <dataValidation type="list" allowBlank="1" showInputMessage="1" showErrorMessage="1" sqref="I5:J5">
      <formula1>INDIRECT($E3)</formula1>
    </dataValidation>
    <dataValidation type="list" allowBlank="1" showInputMessage="1" showErrorMessage="1" sqref="I50:J50">
      <formula1>INDIRECT($C2)</formula1>
    </dataValidation>
    <dataValidation type="list" allowBlank="1" showInputMessage="1" showErrorMessage="1" sqref="I51:J51">
      <formula1>INDIRECT($E3)</formula1>
    </dataValidation>
    <dataValidation type="list" allowBlank="1" showInputMessage="1" showErrorMessage="1" sqref="I52:J52">
      <formula1>INDIRECT($C2)</formula1>
    </dataValidation>
    <dataValidation type="list" allowBlank="1" showInputMessage="1" showErrorMessage="1" sqref="I53:J53">
      <formula1>INDIRECT($E3)</formula1>
    </dataValidation>
    <dataValidation type="list" allowBlank="1" showInputMessage="1" showErrorMessage="1" sqref="I54:J54">
      <formula1>INDIRECT($C2)</formula1>
    </dataValidation>
    <dataValidation type="list" allowBlank="1" showInputMessage="1" showErrorMessage="1" sqref="I55:J55">
      <formula1>INDIRECT($E3)</formula1>
    </dataValidation>
    <dataValidation type="list" allowBlank="1" showInputMessage="1" showErrorMessage="1" sqref="I56:J56">
      <formula1>INDIRECT($C2)</formula1>
    </dataValidation>
    <dataValidation type="list" allowBlank="1" showInputMessage="1" showErrorMessage="1" sqref="I57:J72">
      <formula1>INDIRECT(#REF!)</formula1>
    </dataValidation>
    <dataValidation type="list" allowBlank="1" showInputMessage="1" showErrorMessage="1" sqref="I6:J6">
      <formula1>INDIRECT($C2)</formula1>
    </dataValidation>
    <dataValidation type="list" allowBlank="1" showInputMessage="1" showErrorMessage="1" sqref="I7:J7">
      <formula1>INDIRECT($E3)</formula1>
    </dataValidation>
    <dataValidation type="list" allowBlank="1" showInputMessage="1" showErrorMessage="1" sqref="I73:J74">
      <formula1>INDIRECT($E3)</formula1>
    </dataValidation>
    <dataValidation type="list" allowBlank="1" showInputMessage="1" showErrorMessage="1" sqref="I75:J77">
      <formula1>INDIRECT(#REF!)</formula1>
    </dataValidation>
    <dataValidation type="list" allowBlank="1" showInputMessage="1" showErrorMessage="1" sqref="I78:J78">
      <formula1>INDIRECT($C3)</formula1>
    </dataValidation>
    <dataValidation type="list" allowBlank="1" showInputMessage="1" showErrorMessage="1" sqref="I79:J79">
      <formula1>INDIRECT($E3)</formula1>
    </dataValidation>
    <dataValidation type="list" allowBlank="1" showInputMessage="1" showErrorMessage="1" sqref="I8:J8">
      <formula1>INDIRECT($C2)</formula1>
    </dataValidation>
    <dataValidation type="list" allowBlank="1" showInputMessage="1" showErrorMessage="1" sqref="I9:J9">
      <formula1>INDIRECT($E3)</formula1>
    </dataValidation>
    <dataValidation type="list" allowBlank="1" showInputMessage="1" showErrorMessage="1" sqref="U10">
      <formula1>INDIRECT($C2)</formula1>
    </dataValidation>
    <dataValidation type="list" allowBlank="1" showInputMessage="1" showErrorMessage="1" sqref="U11">
      <formula1>INDIRECT($E3)</formula1>
    </dataValidation>
    <dataValidation type="list" allowBlank="1" showInputMessage="1" showErrorMessage="1" sqref="U12">
      <formula1>INDIRECT($C2)</formula1>
    </dataValidation>
    <dataValidation type="list" allowBlank="1" showInputMessage="1" showErrorMessage="1" sqref="U13">
      <formula1>INDIRECT($E3)</formula1>
    </dataValidation>
    <dataValidation type="list" allowBlank="1" showInputMessage="1" showErrorMessage="1" sqref="U14">
      <formula1>INDIRECT($C2)</formula1>
    </dataValidation>
    <dataValidation type="list" allowBlank="1" showInputMessage="1" showErrorMessage="1" sqref="U15">
      <formula1>INDIRECT($E3)</formula1>
    </dataValidation>
    <dataValidation type="list" allowBlank="1" showInputMessage="1" showErrorMessage="1" sqref="U16">
      <formula1>INDIRECT($C2)</formula1>
    </dataValidation>
    <dataValidation type="list" allowBlank="1" showInputMessage="1" showErrorMessage="1" sqref="U17">
      <formula1>INDIRECT($E3)</formula1>
    </dataValidation>
    <dataValidation type="list" allowBlank="1" showInputMessage="1" showErrorMessage="1" sqref="U18">
      <formula1>INDIRECT($C2)</formula1>
    </dataValidation>
    <dataValidation type="list" allowBlank="1" showInputMessage="1" showErrorMessage="1" sqref="U19">
      <formula1>INDIRECT($E3)</formula1>
    </dataValidation>
    <dataValidation type="list" allowBlank="1" showInputMessage="1" showErrorMessage="1" sqref="U2">
      <formula1>INDIRECT($C2)</formula1>
    </dataValidation>
    <dataValidation type="list" allowBlank="1" showInputMessage="1" showErrorMessage="1" sqref="U20">
      <formula1>INDIRECT($C2)</formula1>
    </dataValidation>
    <dataValidation type="list" allowBlank="1" showInputMessage="1" showErrorMessage="1" sqref="U21">
      <formula1>INDIRECT($E3)</formula1>
    </dataValidation>
    <dataValidation type="list" allowBlank="1" showInputMessage="1" showErrorMessage="1" sqref="U22">
      <formula1>INDIRECT($C2)</formula1>
    </dataValidation>
    <dataValidation type="list" allowBlank="1" showInputMessage="1" showErrorMessage="1" sqref="U23">
      <formula1>INDIRECT($E3)</formula1>
    </dataValidation>
    <dataValidation type="list" allowBlank="1" showInputMessage="1" showErrorMessage="1" sqref="U24">
      <formula1>INDIRECT($C2)</formula1>
    </dataValidation>
    <dataValidation type="list" allowBlank="1" showInputMessage="1" showErrorMessage="1" sqref="U25">
      <formula1>INDIRECT($E3)</formula1>
    </dataValidation>
    <dataValidation type="list" allowBlank="1" showInputMessage="1" showErrorMessage="1" sqref="U26">
      <formula1>INDIRECT($C2)</formula1>
    </dataValidation>
    <dataValidation type="list" allowBlank="1" showInputMessage="1" showErrorMessage="1" sqref="U27">
      <formula1>INDIRECT($E3)</formula1>
    </dataValidation>
    <dataValidation type="list" allowBlank="1" showInputMessage="1" showErrorMessage="1" sqref="U28">
      <formula1>INDIRECT($C2)</formula1>
    </dataValidation>
    <dataValidation type="list" allowBlank="1" showInputMessage="1" showErrorMessage="1" sqref="U29">
      <formula1>INDIRECT($E3)</formula1>
    </dataValidation>
    <dataValidation type="list" allowBlank="1" showInputMessage="1" showErrorMessage="1" sqref="U3">
      <formula1>INDIRECT($E3)</formula1>
    </dataValidation>
    <dataValidation type="list" allowBlank="1" showInputMessage="1" showErrorMessage="1" sqref="U30">
      <formula1>INDIRECT($C2)</formula1>
    </dataValidation>
    <dataValidation type="list" allowBlank="1" showInputMessage="1" showErrorMessage="1" sqref="U31">
      <formula1>INDIRECT($E3)</formula1>
    </dataValidation>
    <dataValidation type="list" allowBlank="1" showInputMessage="1" showErrorMessage="1" sqref="U32">
      <formula1>INDIRECT($C2)</formula1>
    </dataValidation>
    <dataValidation type="list" allowBlank="1" showInputMessage="1" showErrorMessage="1" sqref="U33">
      <formula1>INDIRECT($E3)</formula1>
    </dataValidation>
    <dataValidation type="list" allowBlank="1" showInputMessage="1" showErrorMessage="1" sqref="U34">
      <formula1>INDIRECT($C2)</formula1>
    </dataValidation>
    <dataValidation type="list" allowBlank="1" showInputMessage="1" showErrorMessage="1" sqref="U35">
      <formula1>INDIRECT($E3)</formula1>
    </dataValidation>
    <dataValidation type="list" allowBlank="1" showInputMessage="1" showErrorMessage="1" sqref="U36">
      <formula1>INDIRECT($C2)</formula1>
    </dataValidation>
    <dataValidation type="list" allowBlank="1" showInputMessage="1" showErrorMessage="1" sqref="U37">
      <formula1>INDIRECT($E3)</formula1>
    </dataValidation>
    <dataValidation type="list" allowBlank="1" showInputMessage="1" showErrorMessage="1" sqref="U38">
      <formula1>INDIRECT($C2)</formula1>
    </dataValidation>
    <dataValidation type="list" allowBlank="1" showInputMessage="1" showErrorMessage="1" sqref="U39">
      <formula1>INDIRECT($E3)</formula1>
    </dataValidation>
    <dataValidation type="list" allowBlank="1" showInputMessage="1" showErrorMessage="1" sqref="U4">
      <formula1>INDIRECT($C2)</formula1>
    </dataValidation>
    <dataValidation type="list" allowBlank="1" showInputMessage="1" showErrorMessage="1" sqref="U40">
      <formula1>INDIRECT($C2)</formula1>
    </dataValidation>
    <dataValidation type="list" allowBlank="1" showInputMessage="1" showErrorMessage="1" sqref="U41">
      <formula1>INDIRECT($E3)</formula1>
    </dataValidation>
    <dataValidation type="list" allowBlank="1" showInputMessage="1" showErrorMessage="1" sqref="U42">
      <formula1>INDIRECT($C2)</formula1>
    </dataValidation>
    <dataValidation type="list" allowBlank="1" showInputMessage="1" showErrorMessage="1" sqref="U43">
      <formula1>INDIRECT($E3)</formula1>
    </dataValidation>
    <dataValidation type="list" allowBlank="1" showInputMessage="1" showErrorMessage="1" sqref="U44">
      <formula1>INDIRECT($C2)</formula1>
    </dataValidation>
    <dataValidation type="list" allowBlank="1" showInputMessage="1" showErrorMessage="1" sqref="U45">
      <formula1>INDIRECT($E3)</formula1>
    </dataValidation>
    <dataValidation type="list" allowBlank="1" showInputMessage="1" showErrorMessage="1" sqref="U46">
      <formula1>INDIRECT($C2)</formula1>
    </dataValidation>
    <dataValidation type="list" allowBlank="1" showInputMessage="1" showErrorMessage="1" sqref="U47">
      <formula1>INDIRECT($E3)</formula1>
    </dataValidation>
    <dataValidation type="list" allowBlank="1" showInputMessage="1" showErrorMessage="1" sqref="U48">
      <formula1>INDIRECT($C2)</formula1>
    </dataValidation>
    <dataValidation type="list" allowBlank="1" showInputMessage="1" showErrorMessage="1" sqref="U49">
      <formula1>INDIRECT($E3)</formula1>
    </dataValidation>
    <dataValidation type="list" allowBlank="1" showInputMessage="1" showErrorMessage="1" sqref="U5">
      <formula1>INDIRECT($E3)</formula1>
    </dataValidation>
    <dataValidation type="list" allowBlank="1" showInputMessage="1" showErrorMessage="1" sqref="U50">
      <formula1>INDIRECT($C2)</formula1>
    </dataValidation>
    <dataValidation type="list" allowBlank="1" showInputMessage="1" showErrorMessage="1" sqref="U51">
      <formula1>INDIRECT($E3)</formula1>
    </dataValidation>
    <dataValidation type="list" allowBlank="1" showInputMessage="1" showErrorMessage="1" sqref="U52">
      <formula1>INDIRECT($C2)</formula1>
    </dataValidation>
    <dataValidation type="list" allowBlank="1" showInputMessage="1" showErrorMessage="1" sqref="U53">
      <formula1>INDIRECT($E3)</formula1>
    </dataValidation>
    <dataValidation type="list" allowBlank="1" showInputMessage="1" showErrorMessage="1" sqref="U54">
      <formula1>INDIRECT($C2)</formula1>
    </dataValidation>
    <dataValidation type="list" allowBlank="1" showInputMessage="1" showErrorMessage="1" sqref="U55">
      <formula1>INDIRECT($E3)</formula1>
    </dataValidation>
    <dataValidation type="list" allowBlank="1" showInputMessage="1" showErrorMessage="1" sqref="U56">
      <formula1>INDIRECT($C2)</formula1>
    </dataValidation>
    <dataValidation type="list" allowBlank="1" showInputMessage="1" showErrorMessage="1" sqref="U57:U72">
      <formula1>INDIRECT(#REF!)</formula1>
    </dataValidation>
    <dataValidation type="list" allowBlank="1" showInputMessage="1" showErrorMessage="1" sqref="U6">
      <formula1>INDIRECT($C2)</formula1>
    </dataValidation>
    <dataValidation type="list" allowBlank="1" showInputMessage="1" showErrorMessage="1" sqref="U7">
      <formula1>INDIRECT($E3)</formula1>
    </dataValidation>
    <dataValidation type="list" allowBlank="1" showInputMessage="1" showErrorMessage="1" sqref="U73:U74">
      <formula1>INDIRECT($E3)</formula1>
    </dataValidation>
    <dataValidation type="list" allowBlank="1" showInputMessage="1" showErrorMessage="1" sqref="U75:U77">
      <formula1>INDIRECT(#REF!)</formula1>
    </dataValidation>
    <dataValidation type="list" allowBlank="1" showInputMessage="1" showErrorMessage="1" sqref="U78">
      <formula1>INDIRECT($C3)</formula1>
    </dataValidation>
    <dataValidation type="list" allowBlank="1" showInputMessage="1" showErrorMessage="1" sqref="U79">
      <formula1>INDIRECT($E3)</formula1>
    </dataValidation>
    <dataValidation type="list" allowBlank="1" showInputMessage="1" showErrorMessage="1" sqref="U8">
      <formula1>INDIRECT($C2)</formula1>
    </dataValidation>
    <dataValidation type="list" allowBlank="1" showInputMessage="1" showErrorMessage="1" sqref="U9">
      <formula1>INDIRECT($E3)</formula1>
    </dataValidation>
    <dataValidation type="list" allowBlank="1" showInputMessage="1" showErrorMessage="1" sqref="X10">
      <formula1>INDIRECT($C2)</formula1>
    </dataValidation>
    <dataValidation type="list" allowBlank="1" showInputMessage="1" showErrorMessage="1" sqref="X11">
      <formula1>INDIRECT($E3)</formula1>
    </dataValidation>
    <dataValidation type="list" allowBlank="1" showInputMessage="1" showErrorMessage="1" sqref="X12">
      <formula1>INDIRECT($C2)</formula1>
    </dataValidation>
    <dataValidation type="list" allowBlank="1" showInputMessage="1" showErrorMessage="1" sqref="X13">
      <formula1>INDIRECT($E3)</formula1>
    </dataValidation>
    <dataValidation type="list" allowBlank="1" showInputMessage="1" showErrorMessage="1" sqref="X14">
      <formula1>INDIRECT($C2)</formula1>
    </dataValidation>
    <dataValidation type="list" allowBlank="1" showInputMessage="1" showErrorMessage="1" sqref="X15">
      <formula1>INDIRECT($E3)</formula1>
    </dataValidation>
    <dataValidation type="list" allowBlank="1" showInputMessage="1" showErrorMessage="1" sqref="X16">
      <formula1>INDIRECT($C2)</formula1>
    </dataValidation>
    <dataValidation type="list" allowBlank="1" showInputMessage="1" showErrorMessage="1" sqref="X17">
      <formula1>INDIRECT($E3)</formula1>
    </dataValidation>
    <dataValidation type="list" allowBlank="1" showInputMessage="1" showErrorMessage="1" sqref="X18">
      <formula1>INDIRECT($C2)</formula1>
    </dataValidation>
    <dataValidation type="list" allowBlank="1" showInputMessage="1" showErrorMessage="1" sqref="X19">
      <formula1>INDIRECT($E3)</formula1>
    </dataValidation>
    <dataValidation type="list" allowBlank="1" showInputMessage="1" showErrorMessage="1" sqref="X2">
      <formula1>INDIRECT($C2)</formula1>
    </dataValidation>
    <dataValidation type="list" allowBlank="1" showInputMessage="1" showErrorMessage="1" sqref="X20">
      <formula1>INDIRECT($C2)</formula1>
    </dataValidation>
    <dataValidation type="list" allowBlank="1" showInputMessage="1" showErrorMessage="1" sqref="X21">
      <formula1>INDIRECT($E3)</formula1>
    </dataValidation>
    <dataValidation type="list" allowBlank="1" showInputMessage="1" showErrorMessage="1" sqref="X22">
      <formula1>INDIRECT($C2)</formula1>
    </dataValidation>
    <dataValidation type="list" allowBlank="1" showInputMessage="1" showErrorMessage="1" sqref="X23">
      <formula1>INDIRECT($E3)</formula1>
    </dataValidation>
    <dataValidation type="list" allowBlank="1" showInputMessage="1" showErrorMessage="1" sqref="X24">
      <formula1>INDIRECT($C2)</formula1>
    </dataValidation>
    <dataValidation type="list" allowBlank="1" showInputMessage="1" showErrorMessage="1" sqref="X25">
      <formula1>INDIRECT($E3)</formula1>
    </dataValidation>
    <dataValidation type="list" allowBlank="1" showInputMessage="1" showErrorMessage="1" sqref="X26">
      <formula1>INDIRECT($C2)</formula1>
    </dataValidation>
    <dataValidation type="list" allowBlank="1" showInputMessage="1" showErrorMessage="1" sqref="X27">
      <formula1>INDIRECT($E3)</formula1>
    </dataValidation>
    <dataValidation type="list" allowBlank="1" showInputMessage="1" showErrorMessage="1" sqref="X28">
      <formula1>INDIRECT($C2)</formula1>
    </dataValidation>
    <dataValidation type="list" allowBlank="1" showInputMessage="1" showErrorMessage="1" sqref="X29">
      <formula1>INDIRECT($E3)</formula1>
    </dataValidation>
    <dataValidation type="list" allowBlank="1" showInputMessage="1" showErrorMessage="1" sqref="X3">
      <formula1>INDIRECT($E3)</formula1>
    </dataValidation>
    <dataValidation type="list" allowBlank="1" showInputMessage="1" showErrorMessage="1" sqref="X30">
      <formula1>INDIRECT($C2)</formula1>
    </dataValidation>
    <dataValidation type="list" allowBlank="1" showInputMessage="1" showErrorMessage="1" sqref="X31">
      <formula1>INDIRECT($E3)</formula1>
    </dataValidation>
    <dataValidation type="list" allowBlank="1" showInputMessage="1" showErrorMessage="1" sqref="X32">
      <formula1>INDIRECT($C2)</formula1>
    </dataValidation>
    <dataValidation type="list" allowBlank="1" showInputMessage="1" showErrorMessage="1" sqref="X33">
      <formula1>INDIRECT($E3)</formula1>
    </dataValidation>
    <dataValidation type="list" allowBlank="1" showInputMessage="1" showErrorMessage="1" sqref="X34">
      <formula1>INDIRECT($C2)</formula1>
    </dataValidation>
    <dataValidation type="list" allowBlank="1" showInputMessage="1" showErrorMessage="1" sqref="X35">
      <formula1>INDIRECT($E3)</formula1>
    </dataValidation>
    <dataValidation type="list" allowBlank="1" showInputMessage="1" showErrorMessage="1" sqref="X36">
      <formula1>INDIRECT($C2)</formula1>
    </dataValidation>
    <dataValidation type="list" allowBlank="1" showInputMessage="1" showErrorMessage="1" sqref="X37">
      <formula1>INDIRECT($E3)</formula1>
    </dataValidation>
    <dataValidation type="list" allowBlank="1" showInputMessage="1" showErrorMessage="1" sqref="X38">
      <formula1>INDIRECT($C2)</formula1>
    </dataValidation>
    <dataValidation type="list" allowBlank="1" showInputMessage="1" showErrorMessage="1" sqref="X39">
      <formula1>INDIRECT($E3)</formula1>
    </dataValidation>
    <dataValidation type="list" allowBlank="1" showInputMessage="1" showErrorMessage="1" sqref="X4">
      <formula1>INDIRECT($C2)</formula1>
    </dataValidation>
    <dataValidation type="list" allowBlank="1" showInputMessage="1" showErrorMessage="1" sqref="X40">
      <formula1>INDIRECT($C2)</formula1>
    </dataValidation>
    <dataValidation type="list" allowBlank="1" showInputMessage="1" showErrorMessage="1" sqref="X41">
      <formula1>INDIRECT($E3)</formula1>
    </dataValidation>
    <dataValidation type="list" allowBlank="1" showInputMessage="1" showErrorMessage="1" sqref="X42">
      <formula1>INDIRECT($C2)</formula1>
    </dataValidation>
    <dataValidation type="list" allowBlank="1" showInputMessage="1" showErrorMessage="1" sqref="X43">
      <formula1>INDIRECT($E3)</formula1>
    </dataValidation>
    <dataValidation type="list" allowBlank="1" showInputMessage="1" showErrorMessage="1" sqref="X44">
      <formula1>INDIRECT($C2)</formula1>
    </dataValidation>
    <dataValidation type="list" allowBlank="1" showInputMessage="1" showErrorMessage="1" sqref="X45">
      <formula1>INDIRECT($E3)</formula1>
    </dataValidation>
    <dataValidation type="list" allowBlank="1" showInputMessage="1" showErrorMessage="1" sqref="X46">
      <formula1>INDIRECT($C2)</formula1>
    </dataValidation>
    <dataValidation type="list" allowBlank="1" showInputMessage="1" showErrorMessage="1" sqref="X47">
      <formula1>INDIRECT($E3)</formula1>
    </dataValidation>
    <dataValidation type="list" allowBlank="1" showInputMessage="1" showErrorMessage="1" sqref="X48">
      <formula1>INDIRECT($C2)</formula1>
    </dataValidation>
    <dataValidation type="list" allowBlank="1" showInputMessage="1" showErrorMessage="1" sqref="X49">
      <formula1>INDIRECT($E3)</formula1>
    </dataValidation>
    <dataValidation type="list" allowBlank="1" showInputMessage="1" showErrorMessage="1" sqref="X5">
      <formula1>INDIRECT($E3)</formula1>
    </dataValidation>
    <dataValidation type="list" allowBlank="1" showInputMessage="1" showErrorMessage="1" sqref="X50">
      <formula1>INDIRECT($C2)</formula1>
    </dataValidation>
    <dataValidation type="list" allowBlank="1" showInputMessage="1" showErrorMessage="1" sqref="X51">
      <formula1>INDIRECT($E3)</formula1>
    </dataValidation>
    <dataValidation type="list" allowBlank="1" showInputMessage="1" showErrorMessage="1" sqref="X52">
      <formula1>INDIRECT($C2)</formula1>
    </dataValidation>
    <dataValidation type="list" allowBlank="1" showInputMessage="1" showErrorMessage="1" sqref="X53">
      <formula1>INDIRECT($E3)</formula1>
    </dataValidation>
    <dataValidation type="list" allowBlank="1" showInputMessage="1" showErrorMessage="1" sqref="X54">
      <formula1>INDIRECT($C2)</formula1>
    </dataValidation>
    <dataValidation type="list" allowBlank="1" showInputMessage="1" showErrorMessage="1" sqref="X55">
      <formula1>INDIRECT($E3)</formula1>
    </dataValidation>
    <dataValidation type="list" allowBlank="1" showInputMessage="1" showErrorMessage="1" sqref="X56">
      <formula1>INDIRECT($C2)</formula1>
    </dataValidation>
    <dataValidation type="list" allowBlank="1" showInputMessage="1" showErrorMessage="1" sqref="X57:X72">
      <formula1>INDIRECT(#REF!)</formula1>
    </dataValidation>
    <dataValidation type="list" allowBlank="1" showInputMessage="1" showErrorMessage="1" sqref="X6">
      <formula1>INDIRECT($C2)</formula1>
    </dataValidation>
    <dataValidation type="list" allowBlank="1" showInputMessage="1" showErrorMessage="1" sqref="X7">
      <formula1>INDIRECT($E3)</formula1>
    </dataValidation>
    <dataValidation type="list" allowBlank="1" showInputMessage="1" showErrorMessage="1" sqref="X73:X74">
      <formula1>INDIRECT($E3)</formula1>
    </dataValidation>
    <dataValidation type="list" allowBlank="1" showInputMessage="1" showErrorMessage="1" sqref="X75:X77">
      <formula1>INDIRECT(#REF!)</formula1>
    </dataValidation>
    <dataValidation type="list" allowBlank="1" showInputMessage="1" showErrorMessage="1" sqref="X78">
      <formula1>INDIRECT($C3)</formula1>
    </dataValidation>
    <dataValidation type="list" allowBlank="1" showInputMessage="1" showErrorMessage="1" sqref="X79">
      <formula1>INDIRECT($E3)</formula1>
    </dataValidation>
    <dataValidation type="list" allowBlank="1" showInputMessage="1" showErrorMessage="1" sqref="X8">
      <formula1>INDIRECT($C2)</formula1>
    </dataValidation>
    <dataValidation type="list" allowBlank="1" showInputMessage="1" showErrorMessage="1" sqref="X9">
      <formula1>INDIRECT($E3)</formula1>
    </dataValidation>
    <dataValidation type="list" allowBlank="1" showInputMessage="1" showErrorMessage="1" sqref="Z10">
      <formula1>INDIRECT($C2)</formula1>
    </dataValidation>
    <dataValidation type="list" allowBlank="1" showInputMessage="1" showErrorMessage="1" sqref="Z11">
      <formula1>INDIRECT($E3)</formula1>
    </dataValidation>
    <dataValidation type="list" allowBlank="1" showInputMessage="1" showErrorMessage="1" sqref="Z12">
      <formula1>INDIRECT($C2)</formula1>
    </dataValidation>
    <dataValidation type="list" allowBlank="1" showInputMessage="1" showErrorMessage="1" sqref="Z13">
      <formula1>INDIRECT($E3)</formula1>
    </dataValidation>
    <dataValidation type="list" allowBlank="1" showInputMessage="1" showErrorMessage="1" sqref="Z14">
      <formula1>INDIRECT($C2)</formula1>
    </dataValidation>
    <dataValidation type="list" allowBlank="1" showInputMessage="1" showErrorMessage="1" sqref="Z15">
      <formula1>INDIRECT($E3)</formula1>
    </dataValidation>
    <dataValidation type="list" allowBlank="1" showInputMessage="1" showErrorMessage="1" sqref="Z16">
      <formula1>INDIRECT($C2)</formula1>
    </dataValidation>
    <dataValidation type="list" allowBlank="1" showInputMessage="1" showErrorMessage="1" sqref="Z17">
      <formula1>INDIRECT($E3)</formula1>
    </dataValidation>
    <dataValidation type="list" allowBlank="1" showInputMessage="1" showErrorMessage="1" sqref="Z18">
      <formula1>INDIRECT($C2)</formula1>
    </dataValidation>
    <dataValidation type="list" allowBlank="1" showInputMessage="1" showErrorMessage="1" sqref="Z19">
      <formula1>INDIRECT($E3)</formula1>
    </dataValidation>
    <dataValidation type="list" allowBlank="1" showInputMessage="1" showErrorMessage="1" sqref="Z2">
      <formula1>INDIRECT($C2)</formula1>
    </dataValidation>
    <dataValidation type="list" allowBlank="1" showInputMessage="1" showErrorMessage="1" sqref="Z20">
      <formula1>INDIRECT($C2)</formula1>
    </dataValidation>
    <dataValidation type="list" allowBlank="1" showInputMessage="1" showErrorMessage="1" sqref="Z21">
      <formula1>INDIRECT($E3)</formula1>
    </dataValidation>
    <dataValidation type="list" allowBlank="1" showInputMessage="1" showErrorMessage="1" sqref="Z22">
      <formula1>INDIRECT($C2)</formula1>
    </dataValidation>
    <dataValidation type="list" allowBlank="1" showInputMessage="1" showErrorMessage="1" sqref="Z23">
      <formula1>INDIRECT($E3)</formula1>
    </dataValidation>
    <dataValidation type="list" allowBlank="1" showInputMessage="1" showErrorMessage="1" sqref="Z24">
      <formula1>INDIRECT($C2)</formula1>
    </dataValidation>
    <dataValidation type="list" allowBlank="1" showInputMessage="1" showErrorMessage="1" sqref="Z25">
      <formula1>INDIRECT($E3)</formula1>
    </dataValidation>
    <dataValidation type="list" allowBlank="1" showInputMessage="1" showErrorMessage="1" sqref="Z26">
      <formula1>INDIRECT($C2)</formula1>
    </dataValidation>
    <dataValidation type="list" allowBlank="1" showInputMessage="1" showErrorMessage="1" sqref="Z27">
      <formula1>INDIRECT($E3)</formula1>
    </dataValidation>
    <dataValidation type="list" allowBlank="1" showInputMessage="1" showErrorMessage="1" sqref="Z28">
      <formula1>INDIRECT($C2)</formula1>
    </dataValidation>
    <dataValidation type="list" allowBlank="1" showInputMessage="1" showErrorMessage="1" sqref="Z29">
      <formula1>INDIRECT($E3)</formula1>
    </dataValidation>
    <dataValidation type="list" allowBlank="1" showInputMessage="1" showErrorMessage="1" sqref="Z3">
      <formula1>INDIRECT($E3)</formula1>
    </dataValidation>
    <dataValidation type="list" allowBlank="1" showInputMessage="1" showErrorMessage="1" sqref="Z30">
      <formula1>INDIRECT($C2)</formula1>
    </dataValidation>
    <dataValidation type="list" allowBlank="1" showInputMessage="1" showErrorMessage="1" sqref="Z31">
      <formula1>INDIRECT($E3)</formula1>
    </dataValidation>
    <dataValidation type="list" allowBlank="1" showInputMessage="1" showErrorMessage="1" sqref="Z32">
      <formula1>INDIRECT($C2)</formula1>
    </dataValidation>
    <dataValidation type="list" allowBlank="1" showInputMessage="1" showErrorMessage="1" sqref="Z33">
      <formula1>INDIRECT($E3)</formula1>
    </dataValidation>
    <dataValidation type="list" allowBlank="1" showInputMessage="1" showErrorMessage="1" sqref="Z34">
      <formula1>INDIRECT($C2)</formula1>
    </dataValidation>
    <dataValidation type="list" allowBlank="1" showInputMessage="1" showErrorMessage="1" sqref="Z35">
      <formula1>INDIRECT($E3)</formula1>
    </dataValidation>
    <dataValidation type="list" allowBlank="1" showInputMessage="1" showErrorMessage="1" sqref="Z36">
      <formula1>INDIRECT($C2)</formula1>
    </dataValidation>
    <dataValidation type="list" allowBlank="1" showInputMessage="1" showErrorMessage="1" sqref="Z37">
      <formula1>INDIRECT($E3)</formula1>
    </dataValidation>
    <dataValidation type="list" allowBlank="1" showInputMessage="1" showErrorMessage="1" sqref="Z38">
      <formula1>INDIRECT($C2)</formula1>
    </dataValidation>
    <dataValidation type="list" allowBlank="1" showInputMessage="1" showErrorMessage="1" sqref="Z39">
      <formula1>INDIRECT($E3)</formula1>
    </dataValidation>
    <dataValidation type="list" allowBlank="1" showInputMessage="1" showErrorMessage="1" sqref="Z4">
      <formula1>INDIRECT($C2)</formula1>
    </dataValidation>
    <dataValidation type="list" allowBlank="1" showInputMessage="1" showErrorMessage="1" sqref="Z40">
      <formula1>INDIRECT($C2)</formula1>
    </dataValidation>
    <dataValidation type="list" allowBlank="1" showInputMessage="1" showErrorMessage="1" sqref="Z41">
      <formula1>INDIRECT($E3)</formula1>
    </dataValidation>
    <dataValidation type="list" allowBlank="1" showInputMessage="1" showErrorMessage="1" sqref="Z42">
      <formula1>INDIRECT($C2)</formula1>
    </dataValidation>
    <dataValidation type="list" allowBlank="1" showInputMessage="1" showErrorMessage="1" sqref="Z43">
      <formula1>INDIRECT($E3)</formula1>
    </dataValidation>
    <dataValidation type="list" allowBlank="1" showInputMessage="1" showErrorMessage="1" sqref="Z44">
      <formula1>INDIRECT($C2)</formula1>
    </dataValidation>
    <dataValidation type="list" allowBlank="1" showInputMessage="1" showErrorMessage="1" sqref="Z45">
      <formula1>INDIRECT($E3)</formula1>
    </dataValidation>
    <dataValidation type="list" allowBlank="1" showInputMessage="1" showErrorMessage="1" sqref="Z46">
      <formula1>INDIRECT($C2)</formula1>
    </dataValidation>
    <dataValidation type="list" allowBlank="1" showInputMessage="1" showErrorMessage="1" sqref="Z47">
      <formula1>INDIRECT($E3)</formula1>
    </dataValidation>
    <dataValidation type="list" allowBlank="1" showInputMessage="1" showErrorMessage="1" sqref="Z48">
      <formula1>INDIRECT($C2)</formula1>
    </dataValidation>
    <dataValidation type="list" allowBlank="1" showInputMessage="1" showErrorMessage="1" sqref="Z49">
      <formula1>INDIRECT($E3)</formula1>
    </dataValidation>
    <dataValidation type="list" allowBlank="1" showInputMessage="1" showErrorMessage="1" sqref="Z5">
      <formula1>INDIRECT($E3)</formula1>
    </dataValidation>
    <dataValidation type="list" allowBlank="1" showInputMessage="1" showErrorMessage="1" sqref="Z50">
      <formula1>INDIRECT($C2)</formula1>
    </dataValidation>
    <dataValidation type="list" allowBlank="1" showInputMessage="1" showErrorMessage="1" sqref="Z51">
      <formula1>INDIRECT($E3)</formula1>
    </dataValidation>
    <dataValidation type="list" allowBlank="1" showInputMessage="1" showErrorMessage="1" sqref="Z52">
      <formula1>INDIRECT($C2)</formula1>
    </dataValidation>
    <dataValidation type="list" allowBlank="1" showInputMessage="1" showErrorMessage="1" sqref="Z53">
      <formula1>INDIRECT($E3)</formula1>
    </dataValidation>
    <dataValidation type="list" allowBlank="1" showInputMessage="1" showErrorMessage="1" sqref="Z54">
      <formula1>INDIRECT($C2)</formula1>
    </dataValidation>
    <dataValidation type="list" allowBlank="1" showInputMessage="1" showErrorMessage="1" sqref="Z55">
      <formula1>INDIRECT($E3)</formula1>
    </dataValidation>
    <dataValidation type="list" allowBlank="1" showInputMessage="1" showErrorMessage="1" sqref="Z56">
      <formula1>INDIRECT($C2)</formula1>
    </dataValidation>
    <dataValidation type="list" allowBlank="1" showInputMessage="1" showErrorMessage="1" sqref="Z57:Z72">
      <formula1>INDIRECT(#REF!)</formula1>
    </dataValidation>
    <dataValidation type="list" allowBlank="1" showInputMessage="1" showErrorMessage="1" sqref="Z6">
      <formula1>INDIRECT($C2)</formula1>
    </dataValidation>
    <dataValidation type="list" allowBlank="1" showInputMessage="1" showErrorMessage="1" sqref="Z7">
      <formula1>INDIRECT($E3)</formula1>
    </dataValidation>
    <dataValidation type="list" allowBlank="1" showInputMessage="1" showErrorMessage="1" sqref="Z73:Z74">
      <formula1>INDIRECT($E3)</formula1>
    </dataValidation>
    <dataValidation type="list" allowBlank="1" showInputMessage="1" showErrorMessage="1" sqref="Z75:Z77">
      <formula1>INDIRECT(#REF!)</formula1>
    </dataValidation>
    <dataValidation type="list" allowBlank="1" showInputMessage="1" showErrorMessage="1" sqref="Z78">
      <formula1>INDIRECT($C3)</formula1>
    </dataValidation>
    <dataValidation type="list" allowBlank="1" showInputMessage="1" showErrorMessage="1" sqref="Z79">
      <formula1>INDIRECT($E3)</formula1>
    </dataValidation>
    <dataValidation type="list" allowBlank="1" showInputMessage="1" showErrorMessage="1" sqref="Z8">
      <formula1>INDIRECT($C2)</formula1>
    </dataValidation>
    <dataValidation type="list" allowBlank="1" showInputMessage="1" showErrorMessage="1" sqref="Z9">
      <formula1>INDIRECT($E3)</formula1>
    </dataValidation>
  </dataValidations>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 ref="W16" r:id="rId15"/>
    <hyperlink ref="W17" r:id="rId16"/>
    <hyperlink ref="W18" r:id="rId17"/>
    <hyperlink ref="W19" r:id="rId18"/>
    <hyperlink ref="W20" r:id="rId19"/>
    <hyperlink ref="W21" r:id="rId20"/>
    <hyperlink ref="W22" r:id="rId21"/>
    <hyperlink ref="W23" r:id="rId22"/>
    <hyperlink ref="W24" r:id="rId23"/>
    <hyperlink ref="W25" r:id="rId24"/>
    <hyperlink ref="W26" r:id="rId25"/>
    <hyperlink ref="W27" r:id="rId26"/>
    <hyperlink ref="W28" r:id="rId27"/>
    <hyperlink ref="W29" r:id="rId28"/>
    <hyperlink ref="W30" r:id="rId29"/>
    <hyperlink ref="W31" r:id="rId30"/>
    <hyperlink ref="W32" r:id="rId31"/>
    <hyperlink ref="W33" r:id="rId32"/>
    <hyperlink ref="W34" r:id="rId33"/>
    <hyperlink ref="W35" r:id="rId34"/>
    <hyperlink ref="W36" r:id="rId35"/>
    <hyperlink ref="W37" r:id="rId36"/>
    <hyperlink ref="W38" r:id="rId37"/>
    <hyperlink ref="W39" r:id="rId38"/>
    <hyperlink ref="W40" r:id="rId39"/>
    <hyperlink ref="W41" r:id="rId40"/>
    <hyperlink ref="W42" r:id="rId41"/>
    <hyperlink ref="W43" r:id="rId42"/>
    <hyperlink ref="W44" r:id="rId43"/>
    <hyperlink ref="W45" r:id="rId44"/>
    <hyperlink ref="W46" r:id="rId45"/>
    <hyperlink ref="W47" r:id="rId46"/>
    <hyperlink ref="W48" r:id="rId47"/>
    <hyperlink ref="W49" r:id="rId48"/>
    <hyperlink ref="W50" r:id="rId49"/>
    <hyperlink ref="W51" r:id="rId50"/>
    <hyperlink ref="W52" r:id="rId51"/>
    <hyperlink ref="W53" r:id="rId52"/>
    <hyperlink ref="W54" r:id="rId53"/>
    <hyperlink ref="W55" r:id="rId54"/>
    <hyperlink ref="W56" r:id="rId55"/>
    <hyperlink ref="W57" r:id="rId56"/>
    <hyperlink ref="W58" r:id="rId57"/>
    <hyperlink ref="W59" r:id="rId58"/>
    <hyperlink ref="W60" r:id="rId59"/>
    <hyperlink ref="W61" r:id="rId60"/>
    <hyperlink ref="W62" r:id="rId61"/>
    <hyperlink ref="W63" r:id="rId62"/>
    <hyperlink ref="W64" r:id="rId63"/>
    <hyperlink ref="W65" r:id="rId64"/>
    <hyperlink ref="W66" r:id="rId65"/>
    <hyperlink ref="W67" r:id="rId66"/>
    <hyperlink ref="W68" r:id="rId67"/>
    <hyperlink ref="W69" r:id="rId68"/>
    <hyperlink ref="W70" r:id="rId69"/>
    <hyperlink ref="W71" r:id="rId70"/>
    <hyperlink ref="W72" r:id="rId71"/>
    <hyperlink ref="W73" r:id="rId72"/>
    <hyperlink ref="W74" r:id="rId73"/>
    <hyperlink ref="W75" r:id="rId74"/>
    <hyperlink ref="W76" r:id="rId75"/>
    <hyperlink ref="W77" r:id="rId76"/>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2025-04-24T07:35:56Z</dcterms:modified>
</cp:coreProperties>
</file>