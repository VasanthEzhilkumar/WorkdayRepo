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E336132-43AB-4551-A941-328D932A8F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4" i="1" l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<sst xmlns="http://schemas.openxmlformats.org/spreadsheetml/2006/main" count="3352" uniqueCount="426">
  <si>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</si>
  <si>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</si>
  <si>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</si>
  <si>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</si>
  <si>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</si>
  <si>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</si>
  <si>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</si>
  <si>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</si>
  <si>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</si>
  <si>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</si>
  <si>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</si>
  <si>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</si>
  <si>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</si>
  <si>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</si>
  <si>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</si>
  <si>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</si>
  <si>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</si>
  <si>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</si>
  <si>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</si>
  <si>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</si>
  <si>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</si>
  <si>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</si>
  <si>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</si>
  <si>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</si>
  <si>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</si>
  <si>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</si>
  <si>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</si>
  <si>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</si>
  <si>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</si>
  <si>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</si>
  <si>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</si>
  <si>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</si>
  <si>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</si>
  <si>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</si>
  <si>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</si>
  <si>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</si>
  <si>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</si>
  <si>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</si>
  <si>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</si>
  <si>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</si>
  <si>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</si>
  <si>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</si>
  <si>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</si>
  <si>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</si>
  <si>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</si>
  <si>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</si>
  <si>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</si>
  <si>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</si>
  <si>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</si>
  <si>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</si>
  <si>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</si>
  <si>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</si>
  <si>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</si>
  <si>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</si>
  <si>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</si>
  <si>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</si>
  <si>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</si>
  <si>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</si>
  <si>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</si>
  <si>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</si>
  <si>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</si>
  <si>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</si>
  <si>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</si>
  <si>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</si>
  <si>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</si>
  <si>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</si>
  <si>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</si>
  <si>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</si>
  <si>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</si>
  <si>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</si>
  <si>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</si>
  <si>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</si>
  <si>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</si>
  <si>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</si>
  <si>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</si>
  <si>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</si>
  <si>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</si>
  <si>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</si>
  <si>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</si>
  <si>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</si>
  <si>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</si>
  <si>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</si>
  <si>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</si>
  <si>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</si>
  <si>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</si>
  <si>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</si>
  <si>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</si>
  <si>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</si>
  <si>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</si>
  <si>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</si>
  <si>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</si>
  <si>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</si>
  <si>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</si>
  <si>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</si>
  <si>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</si>
  <si>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</si>
  <si>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</si>
  <si>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</si>
  <si>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</si>
  <si>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</si>
  <si>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</si>
  <si>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</si>
  <si>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</si>
  <si>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</si>
  <si>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</si>
  <si>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</si>
  <si>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</si>
  <si>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</si>
  <si>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</si>
  <si>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</si>
  <si>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</si>
  <si>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</si>
  <si>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</si>
  <si>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</si>
  <si>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</si>
  <si>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</si>
  <si>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</si>
  <si>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</si>
  <si>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</si>
  <si>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</si>
  <si>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</si>
  <si>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</si>
  <si>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</si>
  <si>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</si>
  <si>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</si>
  <si>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</si>
  <si>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</si>
  <si>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</si>
  <si>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</si>
  <si>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</si>
  <si>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</si>
  <si>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</si>
  <si>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</si>
  <si>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</si>
  <si>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</si>
  <si>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</si>
  <si>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</si>
  <si>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</si>
  <si>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</si>
  <si>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</si>
  <si>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</si>
  <si>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</si>
  <si>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</si>
  <si>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</si>
  <si>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</si>
  <si>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</si>
  <si>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</si>
  <si>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</si>
  <si>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</si>
  <si>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</si>
  <si>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</si>
  <si>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</si>
  <si>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</si>
  <si>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</si>
  <si>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</si>
  <si>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</si>
  <si>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</si>
  <si>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</si>
  <si>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</si>
  <si>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</si>
  <si>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</si>
  <si>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</si>
  <si>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</si>
  <si>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</si>
  <si>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</si>
  <si>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</si>
  <si>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</si>
  <si>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</si>
  <si>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</si>
  <si>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</si>
  <si>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</si>
  <si>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</si>
  <si>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</si>
  <si>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</si>
  <si>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</si>
  <si>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</si>
  <si>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</si>
  <si>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</si>
  <si>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</si>
  <si>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</si>
  <si>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</si>
  <si>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</si>
  <si>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</si>
  <si>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</si>
  <si>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</si>
  <si>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</si>
  <si>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</si>
  <si>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</si>
  <si>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</si>
  <si>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</si>
  <si>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</si>
  <si>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</si>
  <si>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</si>
  <si>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</si>
  <si>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</si>
  <si>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</si>
  <si>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</si>
  <si>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</si>
  <si>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</si>
  <si>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</si>
  <si>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</si>
  <si>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</si>
  <si>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</si>
  <si>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</si>
  <si>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</si>
  <si>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</si>
  <si>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</si>
  <si>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</si>
  <si>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</si>
  <si>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</si>
  <si>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</si>
  <si>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</si>
  <si>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</si>
  <si>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</si>
  <si>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</si>
  <si>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</si>
  <si>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</si>
  <si>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</si>
  <si>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</si>
  <si>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</si>
  <si>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</si>
  <si>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</si>
  <si>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</si>
  <si>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</si>
  <si>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</si>
  <si>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</si>
  <si>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</si>
  <si>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</si>
  <si>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</si>
  <si>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</si>
  <si>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</si>
  <si>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</si>
  <si>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</si>
  <si>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</si>
  <si>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</si>
  <si>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</si>
  <si>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</si>
  <si>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</si>
  <si>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</si>
  <si>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</si>
  <si>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</si>
  <si>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</si>
  <si>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</si>
  <si>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</si>
  <si>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</si>
  <si>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</si>
  <si>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</si>
  <si>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</si>
  <si>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</si>
  <si>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</si>
  <si>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</si>
  <si>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</si>
  <si>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</si>
  <si>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</si>
  <si>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</si>
  <si>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</si>
  <si>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</si>
  <si>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</si>
  <si>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</si>
  <si>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</si>
  <si>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</si>
  <si>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</si>
  <si>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</si>
  <si>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</si>
  <si>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</si>
  <si>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</si>
  <si>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</si>
  <si>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</si>
  <si>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</si>
  <si>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</si>
  <si>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</si>
  <si>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</si>
  <si>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</si>
  <si>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</si>
  <si>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</si>
  <si>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</si>
  <si>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</si>
  <si>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</si>
  <si>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</si>
  <si>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</si>
  <si>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</si>
  <si>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</si>
  <si>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</si>
  <si>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</si>
  <si>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</si>
  <si>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</si>
  <si>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</si>
  <si>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</si>
  <si>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</si>
  <si>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</si>
  <si>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</si>
  <si>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</si>
  <si>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</si>
  <si>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</si>
  <si>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</si>
  <si>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</si>
  <si>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</si>
  <si>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</si>
  <si>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</si>
  <si>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</si>
  <si>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</si>
  <si>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</si>
  <si>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</si>
  <si>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</si>
  <si>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</si>
  <si>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</si>
  <si>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</si>
  <si>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</si>
  <si>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</si>
  <si>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</si>
  <si>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</si>
  <si>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</si>
  <si>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</si>
  <si>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</si>
  <si>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</si>
  <si>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</si>
  <si>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</si>
  <si>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</si>
  <si>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</si>
  <si>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</si>
  <si>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</si>
  <si>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</si>
  <si>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</si>
  <si>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</si>
  <si>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</si>
  <si>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</si>
  <si>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</si>
  <si>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</si>
  <si>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</si>
  <si>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</si>
  <si>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</si>
  <si>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</si>
  <si>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</si>
  <si>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</si>
  <si>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</si>
  <si>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</si>
  <si>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</si>
  <si>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</si>
  <si>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</si>
  <si>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</si>
  <si>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</si>
  <si>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</si>
  <si>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</si>
  <si>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</si>
  <si>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</si>
  <si>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</si>
  <si>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</si>
  <si>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</si>
  <si>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</si>
  <si>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</si>
  <si>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</si>
  <si>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</si>
  <si>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</si>
  <si>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</si>
  <si>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</si>
  <si>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</si>
  <si>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</si>
  <si>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</si>
  <si>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</si>
  <si>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</si>
  <si>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</si>
  <si>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</si>
  <si>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</si>
  <si>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</si>
  <si>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</si>
  <si>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</si>
  <si>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</si>
  <si>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</si>
  <si>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</si>
  <si>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</si>
  <si>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</si>
  <si>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</si>
  <si>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</si>
  <si>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</si>
  <si>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</si>
  <si>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</si>
  <si>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</si>
  <si>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</si>
  <si>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</si>
  <si>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</si>
  <si>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</si>
  <si>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</si>
  <si>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</si>
  <si>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</si>
  <si>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</si>
  <si>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</si>
  <si>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</si>
  <si>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</si>
  <si>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</si>
  <si>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</si>
  <si>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</si>
  <si>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</si>
  <si>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</si>
  <si>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</si>
  <si>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</si>
  <si>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</si>
  <si>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</si>
  <si>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</si>
  <si>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</si>
  <si>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</si>
  <si>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</si>
  <si>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</si>
  <si>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</si>
  <si>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</si>
  <si>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</si>
  <si>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</si>
  <si>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</si>
  <si>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</si>
  <si>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</si>
  <si>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</si>
  <si>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</si>
  <si>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</si>
  <si>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</si>
  <si>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</si>
  <si>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</si>
  <si>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</si>
  <si>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</si>
  <si>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</si>
  <si>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</si>
  <si>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</si>
  <si>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</si>
  <si>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</si>
  <si>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Fixed(Failed Grade Profile Issue)</t>
  </si>
  <si>
    <t>10697782</t>
  </si>
  <si>
    <t>10697783</t>
  </si>
  <si>
    <t>VDI slowness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</si>
</sst>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53"/>
  <sheetViews>
    <sheetView tabSelected="1" topLeftCell="B33" zoomScaleNormal="100" workbookViewId="0">
      <selection activeCell="B55" sqref="B55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hidden="1" x14ac:dyDescent="0.35">
      <c r="A2" s="37" t="s">
        <v>283</v>
      </c>
      <c r="B2" s="38" t="s">
        <v>416</v>
      </c>
      <c r="C2" s="36" t="s">
        <v>76</v>
      </c>
      <c r="D2" s="39" t="s">
        <v>77</v>
      </c>
      <c r="E2" s="34" t="s">
        <v>78</v>
      </c>
      <c r="F2" s="40" t="s">
        <v>284</v>
      </c>
      <c r="G2" s="41" t="s">
        <v>285</v>
      </c>
      <c r="H2" s="31" t="s">
        <v>81</v>
      </c>
      <c r="I2" s="31" t="s">
        <v>82</v>
      </c>
      <c r="J2" s="31" t="s">
        <v>83</v>
      </c>
      <c r="K2" s="33">
        <f ca="1"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45691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286</v>
      </c>
      <c r="AI2" s="18">
        <v>43831</v>
      </c>
      <c r="AJ2" s="18">
        <v>45293</v>
      </c>
      <c r="AK2" s="31" t="s">
        <v>136</v>
      </c>
      <c r="AL2" s="31" t="s">
        <v>287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45691</v>
      </c>
      <c r="AS2" s="43">
        <v>46012</v>
      </c>
      <c r="AT2" s="31" t="s">
        <v>102</v>
      </c>
      <c r="AU2" s="31" t="s">
        <v>103</v>
      </c>
      <c r="AV2" s="34" t="s">
        <v>270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288</v>
      </c>
      <c r="BM2" s="31" t="s">
        <v>130</v>
      </c>
      <c r="BN2" s="44">
        <v>35591</v>
      </c>
      <c r="BO2" s="31" t="s">
        <v>131</v>
      </c>
      <c r="BP2" s="31" t="s">
        <v>289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hidden="1" x14ac:dyDescent="0.5">
      <c r="A3" t="s">
        <v>296</v>
      </c>
      <c r="B3" t="s">
        <v>290</v>
      </c>
      <c r="C3" s="36" t="s">
        <v>76</v>
      </c>
      <c r="D3" s="39" t="s">
        <v>77</v>
      </c>
      <c r="E3" s="34" t="s">
        <v>78</v>
      </c>
      <c r="F3" t="s">
        <v>291</v>
      </c>
      <c r="G3" t="s">
        <v>292</v>
      </c>
      <c r="H3" s="47" t="s">
        <v>81</v>
      </c>
      <c r="I3" s="47" t="s">
        <v>82</v>
      </c>
      <c r="J3" s="47" t="s">
        <v>83</v>
      </c>
      <c r="K3" s="48">
        <f ca="1">TODAY()-31</f>
        <v>45691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45691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286</v>
      </c>
      <c r="AI3" s="48">
        <v>43831</v>
      </c>
      <c r="AJ3" s="48">
        <v>45293</v>
      </c>
      <c r="AK3" s="56" t="s">
        <v>293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45691</v>
      </c>
      <c r="AS3" s="61">
        <f ca="1">X3</f>
        <v>45691</v>
      </c>
      <c r="AT3" s="58" t="str">
        <f>AM3</f>
        <v>N/A</v>
      </c>
      <c r="AU3" s="59" t="s">
        <v>103</v>
      </c>
      <c r="AV3" s="62" t="s">
        <v>294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295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hidden="1" x14ac:dyDescent="0.35">
      <c r="A4" t="s">
        <v>249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250</v>
      </c>
      <c r="G4" t="s">
        <v>251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45691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45691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45691</v>
      </c>
      <c r="AS4" s="33">
        <f ca="1">X4</f>
        <v>45691</v>
      </c>
      <c r="AT4" s="34" t="str">
        <f t="shared" ref="AT4" si="2">AM4</f>
        <v>N/A</v>
      </c>
      <c r="AU4" s="34" t="s">
        <v>103</v>
      </c>
      <c r="AV4" s="34" t="s">
        <v>252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253</v>
      </c>
      <c r="BM4" s="31" t="s">
        <v>130</v>
      </c>
      <c r="BN4" s="44">
        <v>35591</v>
      </c>
      <c r="BO4" s="31" t="s">
        <v>131</v>
      </c>
      <c r="BP4" s="31" t="s">
        <v>289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hidden="1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45691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45691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46087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45691</v>
      </c>
      <c r="AS5" s="33">
        <f ca="1">X5</f>
        <v>45691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hidden="1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45691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45691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46087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45691</v>
      </c>
      <c r="AS6" s="33">
        <f ca="1">X6</f>
        <v>45691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289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hidden="1" x14ac:dyDescent="0.5">
      <c r="A7" t="s">
        <v>254</v>
      </c>
      <c r="B7" t="s">
        <v>257</v>
      </c>
      <c r="C7" s="36" t="s">
        <v>76</v>
      </c>
      <c r="D7" s="30" t="s">
        <v>77</v>
      </c>
      <c r="E7" t="s">
        <v>78</v>
      </c>
      <c r="F7" t="s">
        <v>258</v>
      </c>
      <c r="G7" t="s">
        <v>259</v>
      </c>
      <c r="H7" s="31" t="s">
        <v>81</v>
      </c>
      <c r="I7" s="32" t="s">
        <v>82</v>
      </c>
      <c r="J7" s="32" t="s">
        <v>83</v>
      </c>
      <c r="K7" s="33">
        <f t="shared" ca="1" si="3"/>
        <v>45691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45691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260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45691</v>
      </c>
      <c r="AS7" s="33">
        <f t="shared" ref="AS7:AS9" ca="1" si="7">X7</f>
        <v>45691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261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hidden="1" x14ac:dyDescent="0.35">
      <c r="A8" t="s">
        <v>255</v>
      </c>
      <c r="B8" t="s">
        <v>262</v>
      </c>
      <c r="C8" s="36" t="s">
        <v>76</v>
      </c>
      <c r="D8" s="30" t="s">
        <v>77</v>
      </c>
      <c r="E8" t="s">
        <v>78</v>
      </c>
      <c r="F8" t="s">
        <v>263</v>
      </c>
      <c r="G8" t="s">
        <v>264</v>
      </c>
      <c r="H8" s="31" t="s">
        <v>81</v>
      </c>
      <c r="I8" s="32" t="s">
        <v>82</v>
      </c>
      <c r="J8" s="32" t="s">
        <v>83</v>
      </c>
      <c r="K8" s="33">
        <f t="shared" ca="1" si="3"/>
        <v>45691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45691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45691</v>
      </c>
      <c r="AS8" s="33">
        <f t="shared" ca="1" si="7"/>
        <v>45691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265</v>
      </c>
      <c r="BM8" s="31" t="s">
        <v>130</v>
      </c>
      <c r="BN8" s="44">
        <v>35591</v>
      </c>
      <c r="BO8" s="31" t="s">
        <v>131</v>
      </c>
      <c r="BP8" s="31" t="s">
        <v>289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hidden="1" x14ac:dyDescent="0.5">
      <c r="A9" t="s">
        <v>256</v>
      </c>
      <c r="B9" t="s">
        <v>266</v>
      </c>
      <c r="C9" s="36" t="s">
        <v>76</v>
      </c>
      <c r="D9" s="30" t="s">
        <v>77</v>
      </c>
      <c r="E9" t="s">
        <v>78</v>
      </c>
      <c r="F9" t="s">
        <v>267</v>
      </c>
      <c r="G9" t="s">
        <v>268</v>
      </c>
      <c r="H9" s="31" t="s">
        <v>81</v>
      </c>
      <c r="I9" s="32" t="s">
        <v>82</v>
      </c>
      <c r="J9" s="32" t="s">
        <v>83</v>
      </c>
      <c r="K9" s="33">
        <f t="shared" ca="1" si="3"/>
        <v>45691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45691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269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45691</v>
      </c>
      <c r="AS9" s="33">
        <f t="shared" ca="1" si="7"/>
        <v>45691</v>
      </c>
      <c r="AT9" s="34" t="str">
        <f t="shared" si="8"/>
        <v>N/A</v>
      </c>
      <c r="AU9" s="34" t="s">
        <v>103</v>
      </c>
      <c r="AV9" s="34" t="s">
        <v>270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271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hidden="1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45691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45691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46087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45691</v>
      </c>
      <c r="AS10" s="33">
        <f t="shared" ref="AS10:AS53" ca="1" si="10">X10</f>
        <v>45691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289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hidden="1" x14ac:dyDescent="0.5">
      <c r="A11" t="s">
        <v>272</v>
      </c>
      <c r="B11" t="s">
        <v>273</v>
      </c>
      <c r="C11" s="36" t="s">
        <v>76</v>
      </c>
      <c r="D11" s="30" t="s">
        <v>77</v>
      </c>
      <c r="E11" t="s">
        <v>78</v>
      </c>
      <c r="F11" t="s">
        <v>274</v>
      </c>
      <c r="G11" t="s">
        <v>275</v>
      </c>
      <c r="H11" s="31" t="s">
        <v>81</v>
      </c>
      <c r="I11" s="32" t="s">
        <v>82</v>
      </c>
      <c r="J11" s="32" t="s">
        <v>83</v>
      </c>
      <c r="K11" s="33">
        <f t="shared" ca="1" si="3"/>
        <v>45691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45691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45691</v>
      </c>
      <c r="AS11" s="33">
        <f t="shared" ca="1" si="10"/>
        <v>45691</v>
      </c>
      <c r="AT11" s="34" t="str">
        <f t="shared" ref="AT11" si="11">AM11</f>
        <v>N/A</v>
      </c>
      <c r="AU11" s="34" t="s">
        <v>103</v>
      </c>
      <c r="AV11" s="34" t="s">
        <v>276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277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hidden="1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45691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45691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46087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45691</v>
      </c>
      <c r="AS12" s="33">
        <f t="shared" ca="1" si="10"/>
        <v>45691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289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hidden="1" x14ac:dyDescent="0.5">
      <c r="A13" t="s">
        <v>147</v>
      </c>
      <c r="B13" t="s">
        <v>246</v>
      </c>
      <c r="C13" s="36" t="s">
        <v>76</v>
      </c>
      <c r="D13" s="30" t="s">
        <v>77</v>
      </c>
      <c r="E13" t="s">
        <v>78</v>
      </c>
      <c r="F13" t="s">
        <v>247</v>
      </c>
      <c r="G13" t="s">
        <v>248</v>
      </c>
      <c r="H13" s="31" t="s">
        <v>81</v>
      </c>
      <c r="I13" s="32" t="s">
        <v>82</v>
      </c>
      <c r="J13" s="32" t="s">
        <v>83</v>
      </c>
      <c r="K13" s="33">
        <f t="shared" ca="1" si="3"/>
        <v>45691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45691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46087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45691</v>
      </c>
      <c r="AS13" s="33">
        <f t="shared" ca="1" si="10"/>
        <v>45691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hidden="1" x14ac:dyDescent="0.35">
      <c r="A14" t="s">
        <v>153</v>
      </c>
      <c r="B14" s="69" t="s">
        <v>423</v>
      </c>
      <c r="C14" s="36" t="s">
        <v>76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45691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45691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45691</v>
      </c>
      <c r="AS14" s="33">
        <f t="shared" ca="1" si="10"/>
        <v>45691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289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hidden="1" x14ac:dyDescent="0.5">
      <c r="A15" t="s">
        <v>160</v>
      </c>
      <c r="B15" s="69" t="s">
        <v>424</v>
      </c>
      <c r="C15" s="36" t="s">
        <v>76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45691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45691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45691</v>
      </c>
      <c r="AS15" s="33">
        <f t="shared" ca="1" si="10"/>
        <v>45691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hidden="1" x14ac:dyDescent="0.35">
      <c r="A16" t="s">
        <v>165</v>
      </c>
      <c r="B16" t="s">
        <v>417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45691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45691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45691</v>
      </c>
      <c r="AS16" s="33">
        <f t="shared" ca="1" si="10"/>
        <v>45691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289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hidden="1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45691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45691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46087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45691</v>
      </c>
      <c r="AS17" s="33">
        <f t="shared" ca="1" si="10"/>
        <v>45691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84" x14ac:dyDescent="0.35">
      <c r="A18" t="s">
        <v>176</v>
      </c>
      <c r="B18" t="s">
        <v>425</v>
      </c>
      <c r="C18" s="71" t="s">
        <v>415</v>
      </c>
      <c r="D18" s="30" t="s">
        <v>77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45782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45782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46087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45782</v>
      </c>
      <c r="AS18" s="33">
        <f t="shared" ca="1" si="10"/>
        <v>45782</v>
      </c>
      <c r="AT18" s="68">
        <f t="shared" ref="AT18:AT19" ca="1" si="12">TODAY()+365</f>
        <v>46087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289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hidden="1" x14ac:dyDescent="0.5">
      <c r="A19" t="s">
        <v>181</v>
      </c>
      <c r="B19" t="s">
        <v>418</v>
      </c>
      <c r="C19" s="36" t="s">
        <v>76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3">TODAY()-31</f>
        <v>45691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45691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46087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45691</v>
      </c>
      <c r="AS19" s="33">
        <f t="shared" ca="1" si="10"/>
        <v>45691</v>
      </c>
      <c r="AT19" s="68">
        <f t="shared" ca="1" si="12"/>
        <v>46087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hidden="1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3"/>
        <v>45691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45691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46087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45691</v>
      </c>
      <c r="AS20" s="33">
        <f t="shared" ca="1" si="10"/>
        <v>45691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289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hidden="1" x14ac:dyDescent="0.5">
      <c r="A21" t="s">
        <v>278</v>
      </c>
      <c r="B21" t="s">
        <v>279</v>
      </c>
      <c r="C21" s="36" t="s">
        <v>76</v>
      </c>
      <c r="D21" s="30" t="s">
        <v>77</v>
      </c>
      <c r="E21" t="s">
        <v>78</v>
      </c>
      <c r="F21" t="s">
        <v>280</v>
      </c>
      <c r="G21" t="s">
        <v>281</v>
      </c>
      <c r="H21" s="34" t="s">
        <v>81</v>
      </c>
      <c r="I21" s="34" t="s">
        <v>82</v>
      </c>
      <c r="J21" s="34" t="s">
        <v>83</v>
      </c>
      <c r="K21" s="33">
        <f t="shared" ca="1" si="13"/>
        <v>45691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45691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45691</v>
      </c>
      <c r="AS21" s="33">
        <f t="shared" ca="1" si="10"/>
        <v>45691</v>
      </c>
      <c r="AT21" s="34" t="str">
        <f t="shared" ref="AT21" si="14">AM21</f>
        <v>N/A</v>
      </c>
      <c r="AU21" s="34" t="s">
        <v>103</v>
      </c>
      <c r="AV21" s="34" t="s">
        <v>244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282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hidden="1" x14ac:dyDescent="0.35">
      <c r="A22" t="s">
        <v>192</v>
      </c>
      <c r="B22" t="s">
        <v>419</v>
      </c>
      <c r="C22" s="36" t="s">
        <v>76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3"/>
        <v>45691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45691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45691</v>
      </c>
      <c r="AS22" s="33">
        <f t="shared" ca="1" si="10"/>
        <v>45691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289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hidden="1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3"/>
        <v>45691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45691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46087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45691</v>
      </c>
      <c r="AS23" s="33">
        <f t="shared" ca="1" si="10"/>
        <v>45691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hidden="1" x14ac:dyDescent="0.35">
      <c r="A24" t="s">
        <v>201</v>
      </c>
      <c r="B24" t="s">
        <v>420</v>
      </c>
      <c r="C24" s="36" t="s">
        <v>76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3"/>
        <v>45691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45691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45691</v>
      </c>
      <c r="AS24" s="33">
        <f t="shared" ca="1" si="10"/>
        <v>45691</v>
      </c>
      <c r="AT24" s="31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289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hidden="1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3"/>
        <v>45691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45691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46087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45691</v>
      </c>
      <c r="AS25" s="33">
        <f t="shared" ca="1" si="10"/>
        <v>45691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84" x14ac:dyDescent="0.35">
      <c r="A26" t="s">
        <v>212</v>
      </c>
      <c r="B26" t="s">
        <v>425</v>
      </c>
      <c r="C26" s="71" t="s">
        <v>415</v>
      </c>
      <c r="D26" s="30" t="s">
        <v>77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3"/>
        <v>45691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45691</v>
      </c>
      <c r="Y26" s="34" t="s">
        <v>91</v>
      </c>
      <c r="Z26" s="34" t="s">
        <v>92</v>
      </c>
      <c r="AA26" s="34" t="s">
        <v>93</v>
      </c>
      <c r="AB26" s="70" t="s">
        <v>414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46087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45691</v>
      </c>
      <c r="AS26" s="33">
        <f t="shared" ca="1" si="10"/>
        <v>45691</v>
      </c>
      <c r="AT26" s="33" t="s">
        <v>102</v>
      </c>
      <c r="AU26" s="34" t="s">
        <v>103</v>
      </c>
      <c r="AV26" s="34" t="s">
        <v>215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216</v>
      </c>
      <c r="BM26" s="31" t="s">
        <v>130</v>
      </c>
      <c r="BN26" s="44">
        <v>35591</v>
      </c>
      <c r="BO26" s="31" t="s">
        <v>131</v>
      </c>
      <c r="BP26" s="31" t="s">
        <v>289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84" x14ac:dyDescent="0.5">
      <c r="A27" t="s">
        <v>217</v>
      </c>
      <c r="B27" t="s">
        <v>425</v>
      </c>
      <c r="C27" s="71" t="s">
        <v>415</v>
      </c>
      <c r="D27" s="30" t="s">
        <v>77</v>
      </c>
      <c r="E27" t="s">
        <v>78</v>
      </c>
      <c r="F27" t="s">
        <v>218</v>
      </c>
      <c r="G27" t="s">
        <v>219</v>
      </c>
      <c r="H27" s="34" t="s">
        <v>81</v>
      </c>
      <c r="I27" s="34" t="s">
        <v>82</v>
      </c>
      <c r="J27" s="34" t="s">
        <v>83</v>
      </c>
      <c r="K27" s="33">
        <f ca="1">TODAY()+91</f>
        <v>45813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45813</v>
      </c>
      <c r="Y27" s="34" t="s">
        <v>91</v>
      </c>
      <c r="Z27" s="34" t="s">
        <v>92</v>
      </c>
      <c r="AA27" s="34" t="s">
        <v>93</v>
      </c>
      <c r="AB27" s="70" t="s">
        <v>414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46087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45813</v>
      </c>
      <c r="AS27" s="33">
        <f t="shared" ca="1" si="10"/>
        <v>45813</v>
      </c>
      <c r="AT27" s="33" t="s">
        <v>102</v>
      </c>
      <c r="AU27" s="34" t="s">
        <v>103</v>
      </c>
      <c r="AV27" s="34" t="s">
        <v>215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220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84" x14ac:dyDescent="0.35">
      <c r="A28" t="s">
        <v>221</v>
      </c>
      <c r="B28" t="s">
        <v>425</v>
      </c>
      <c r="C28" s="71" t="s">
        <v>415</v>
      </c>
      <c r="D28" s="30" t="s">
        <v>77</v>
      </c>
      <c r="E28" t="s">
        <v>78</v>
      </c>
      <c r="F28" t="s">
        <v>222</v>
      </c>
      <c r="G28" t="s">
        <v>223</v>
      </c>
      <c r="H28" s="34" t="s">
        <v>81</v>
      </c>
      <c r="I28" s="34" t="s">
        <v>82</v>
      </c>
      <c r="J28" s="34" t="s">
        <v>83</v>
      </c>
      <c r="K28" s="33">
        <f ca="1">TODAY()-31</f>
        <v>45691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45691</v>
      </c>
      <c r="Y28" s="34" t="s">
        <v>91</v>
      </c>
      <c r="Z28" s="34" t="s">
        <v>92</v>
      </c>
      <c r="AA28" s="34" t="s">
        <v>156</v>
      </c>
      <c r="AB28" s="70" t="s">
        <v>414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46087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45691</v>
      </c>
      <c r="AS28" s="33">
        <f t="shared" ca="1" si="10"/>
        <v>45691</v>
      </c>
      <c r="AT28" s="33" t="s">
        <v>102</v>
      </c>
      <c r="AU28" s="34" t="s">
        <v>103</v>
      </c>
      <c r="AV28" s="34" t="s">
        <v>215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224</v>
      </c>
      <c r="BM28" s="31" t="s">
        <v>130</v>
      </c>
      <c r="BN28" s="44">
        <v>35591</v>
      </c>
      <c r="BO28" s="31" t="s">
        <v>131</v>
      </c>
      <c r="BP28" s="31" t="s">
        <v>289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84" x14ac:dyDescent="0.5">
      <c r="A29" t="s">
        <v>225</v>
      </c>
      <c r="B29" t="s">
        <v>425</v>
      </c>
      <c r="C29" s="71" t="s">
        <v>415</v>
      </c>
      <c r="D29" s="30" t="s">
        <v>77</v>
      </c>
      <c r="E29" t="s">
        <v>78</v>
      </c>
      <c r="F29" t="s">
        <v>226</v>
      </c>
      <c r="G29" t="s">
        <v>227</v>
      </c>
      <c r="H29" s="34" t="s">
        <v>81</v>
      </c>
      <c r="I29" s="34" t="s">
        <v>82</v>
      </c>
      <c r="J29" s="34" t="s">
        <v>83</v>
      </c>
      <c r="K29" s="33">
        <f ca="1">TODAY()+91</f>
        <v>45813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45813</v>
      </c>
      <c r="Y29" s="34" t="s">
        <v>91</v>
      </c>
      <c r="Z29" s="34" t="s">
        <v>92</v>
      </c>
      <c r="AA29" s="34" t="s">
        <v>93</v>
      </c>
      <c r="AB29" s="70" t="s">
        <v>414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45813</v>
      </c>
      <c r="AS29" s="33">
        <f t="shared" ca="1" si="10"/>
        <v>45813</v>
      </c>
      <c r="AT29" s="33" t="s">
        <v>102</v>
      </c>
      <c r="AU29" s="34" t="s">
        <v>103</v>
      </c>
      <c r="AV29" s="34" t="s">
        <v>215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228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84" x14ac:dyDescent="0.35">
      <c r="A30" t="s">
        <v>229</v>
      </c>
      <c r="B30" t="s">
        <v>425</v>
      </c>
      <c r="C30" s="71" t="s">
        <v>415</v>
      </c>
      <c r="D30" s="30" t="s">
        <v>77</v>
      </c>
      <c r="E30" t="s">
        <v>78</v>
      </c>
      <c r="F30" t="s">
        <v>230</v>
      </c>
      <c r="G30" t="s">
        <v>231</v>
      </c>
      <c r="H30" s="34" t="s">
        <v>81</v>
      </c>
      <c r="I30" s="34" t="s">
        <v>82</v>
      </c>
      <c r="J30" s="34" t="s">
        <v>83</v>
      </c>
      <c r="K30" s="33">
        <f ca="1">TODAY()-31</f>
        <v>45691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45691</v>
      </c>
      <c r="Y30" s="34" t="s">
        <v>91</v>
      </c>
      <c r="Z30" s="34" t="s">
        <v>92</v>
      </c>
      <c r="AA30" s="34" t="s">
        <v>93</v>
      </c>
      <c r="AB30" s="70" t="s">
        <v>413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 t="s">
        <v>102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45691</v>
      </c>
      <c r="AS30" s="33">
        <f t="shared" ca="1" si="10"/>
        <v>45691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232</v>
      </c>
      <c r="BM30" s="31" t="s">
        <v>130</v>
      </c>
      <c r="BN30" s="44">
        <v>35591</v>
      </c>
      <c r="BO30" s="31" t="s">
        <v>131</v>
      </c>
      <c r="BP30" s="31" t="s">
        <v>289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84" x14ac:dyDescent="0.5">
      <c r="A31" t="s">
        <v>233</v>
      </c>
      <c r="B31" t="s">
        <v>425</v>
      </c>
      <c r="C31" s="71" t="s">
        <v>415</v>
      </c>
      <c r="D31" s="30" t="s">
        <v>77</v>
      </c>
      <c r="E31" t="s">
        <v>78</v>
      </c>
      <c r="F31" t="s">
        <v>234</v>
      </c>
      <c r="G31" t="s">
        <v>235</v>
      </c>
      <c r="H31" s="34" t="s">
        <v>81</v>
      </c>
      <c r="I31" s="34" t="s">
        <v>82</v>
      </c>
      <c r="J31" s="34" t="s">
        <v>83</v>
      </c>
      <c r="K31" s="33">
        <f ca="1">TODAY()-31</f>
        <v>45691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45691</v>
      </c>
      <c r="Y31" s="34" t="s">
        <v>91</v>
      </c>
      <c r="Z31" s="34" t="s">
        <v>92</v>
      </c>
      <c r="AA31" s="34" t="s">
        <v>93</v>
      </c>
      <c r="AB31" s="70" t="s">
        <v>413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46087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45691</v>
      </c>
      <c r="AS31" s="33">
        <f t="shared" ca="1" si="10"/>
        <v>45691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236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84" x14ac:dyDescent="0.35">
      <c r="A32" t="s">
        <v>237</v>
      </c>
      <c r="B32" t="s">
        <v>425</v>
      </c>
      <c r="C32" s="71" t="s">
        <v>415</v>
      </c>
      <c r="D32" s="30" t="s">
        <v>77</v>
      </c>
      <c r="E32" t="s">
        <v>78</v>
      </c>
      <c r="F32" t="s">
        <v>238</v>
      </c>
      <c r="G32" t="s">
        <v>239</v>
      </c>
      <c r="H32" s="34" t="s">
        <v>81</v>
      </c>
      <c r="I32" s="34" t="s">
        <v>82</v>
      </c>
      <c r="J32" s="34" t="s">
        <v>83</v>
      </c>
      <c r="K32" s="33">
        <f ca="1">TODAY()-31</f>
        <v>45691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45691</v>
      </c>
      <c r="Y32" s="34" t="s">
        <v>91</v>
      </c>
      <c r="Z32" s="34" t="s">
        <v>92</v>
      </c>
      <c r="AA32" s="34" t="s">
        <v>156</v>
      </c>
      <c r="AB32" s="70" t="s">
        <v>413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45691</v>
      </c>
      <c r="AS32" s="33">
        <f t="shared" ca="1" si="10"/>
        <v>45691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240</v>
      </c>
      <c r="BM32" s="31" t="s">
        <v>130</v>
      </c>
      <c r="BN32" s="44">
        <v>35591</v>
      </c>
      <c r="BO32" s="31" t="s">
        <v>131</v>
      </c>
      <c r="BP32" s="31" t="s">
        <v>289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84" x14ac:dyDescent="0.5">
      <c r="A33" t="s">
        <v>241</v>
      </c>
      <c r="B33" t="s">
        <v>425</v>
      </c>
      <c r="C33" s="71" t="s">
        <v>415</v>
      </c>
      <c r="D33" s="30" t="s">
        <v>77</v>
      </c>
      <c r="E33" t="s">
        <v>78</v>
      </c>
      <c r="F33" t="s">
        <v>242</v>
      </c>
      <c r="G33" t="s">
        <v>243</v>
      </c>
      <c r="H33" s="34" t="s">
        <v>81</v>
      </c>
      <c r="I33" s="34" t="s">
        <v>82</v>
      </c>
      <c r="J33" s="34" t="s">
        <v>83</v>
      </c>
      <c r="K33" s="33">
        <f ca="1">TODAY()-31</f>
        <v>45691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45691</v>
      </c>
      <c r="Y33" s="34" t="s">
        <v>91</v>
      </c>
      <c r="Z33" s="34" t="s">
        <v>92</v>
      </c>
      <c r="AA33" s="34" t="s">
        <v>156</v>
      </c>
      <c r="AB33" s="70" t="s">
        <v>413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46087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45691</v>
      </c>
      <c r="AS33" s="33">
        <f t="shared" ca="1" si="10"/>
        <v>45691</v>
      </c>
      <c r="AT33" s="33" t="s">
        <v>102</v>
      </c>
      <c r="AU33" s="34" t="s">
        <v>103</v>
      </c>
      <c r="AV33" s="34" t="s">
        <v>244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245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297</v>
      </c>
      <c r="B34" t="s">
        <v>425</v>
      </c>
      <c r="C34" s="71" t="s">
        <v>415</v>
      </c>
      <c r="D34" s="67" t="s">
        <v>298</v>
      </c>
      <c r="E34" t="s">
        <v>78</v>
      </c>
      <c r="F34" t="s">
        <v>299</v>
      </c>
      <c r="G34" t="s">
        <v>300</v>
      </c>
      <c r="H34" s="34" t="s">
        <v>81</v>
      </c>
      <c r="I34" s="34" t="s">
        <v>82</v>
      </c>
      <c r="J34" s="34" t="s">
        <v>83</v>
      </c>
      <c r="K34" s="68">
        <f ca="1">TODAY()+14</f>
        <v>45736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45736</v>
      </c>
      <c r="Y34" s="34" t="s">
        <v>91</v>
      </c>
      <c r="Z34" s="34" t="s">
        <v>301</v>
      </c>
      <c r="AA34" s="34" t="s">
        <v>93</v>
      </c>
      <c r="AB34" s="34" t="s">
        <v>302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46087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45736</v>
      </c>
      <c r="AS34" s="68">
        <f t="shared" ca="1" si="10"/>
        <v>45736</v>
      </c>
      <c r="AT34" s="68">
        <f ca="1">TODAY()+365</f>
        <v>46087</v>
      </c>
      <c r="AU34" s="34" t="s">
        <v>303</v>
      </c>
      <c r="AV34" s="34" t="s">
        <v>304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305</v>
      </c>
      <c r="BM34" s="34" t="s">
        <v>130</v>
      </c>
      <c r="BN34" s="68">
        <v>35591</v>
      </c>
      <c r="BO34" s="34" t="s">
        <v>131</v>
      </c>
      <c r="BP34" s="34" t="s">
        <v>306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hidden="1" x14ac:dyDescent="0.35">
      <c r="A35" t="s">
        <v>307</v>
      </c>
      <c r="B35" t="s">
        <v>308</v>
      </c>
      <c r="C35" s="1" t="s">
        <v>148</v>
      </c>
      <c r="D35" s="67" t="s">
        <v>298</v>
      </c>
      <c r="E35" t="s">
        <v>78</v>
      </c>
      <c r="F35" t="s">
        <v>309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45691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45691</v>
      </c>
      <c r="Y35" s="34" t="s">
        <v>91</v>
      </c>
      <c r="Z35" s="34" t="s">
        <v>310</v>
      </c>
      <c r="AA35" s="34" t="s">
        <v>156</v>
      </c>
      <c r="AB35" s="34" t="s">
        <v>302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45691</v>
      </c>
      <c r="AS35" s="68">
        <f t="shared" ca="1" si="10"/>
        <v>45691</v>
      </c>
      <c r="AT35" s="31" t="s">
        <v>102</v>
      </c>
      <c r="AU35" s="34" t="s">
        <v>303</v>
      </c>
      <c r="AV35" s="34" t="s">
        <v>304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311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312</v>
      </c>
      <c r="BM35" s="34" t="s">
        <v>130</v>
      </c>
      <c r="BN35" s="68">
        <v>35591</v>
      </c>
      <c r="BO35" s="34" t="s">
        <v>131</v>
      </c>
      <c r="BP35" s="34" t="s">
        <v>306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hidden="1" x14ac:dyDescent="0.35">
      <c r="A36" s="21" t="s">
        <v>313</v>
      </c>
      <c r="B36" s="21" t="s">
        <v>421</v>
      </c>
      <c r="C36" s="71" t="s">
        <v>422</v>
      </c>
      <c r="D36" s="67" t="s">
        <v>298</v>
      </c>
      <c r="E36" t="s">
        <v>78</v>
      </c>
      <c r="F36" t="s">
        <v>314</v>
      </c>
      <c r="G36" t="s">
        <v>315</v>
      </c>
      <c r="H36" s="34" t="s">
        <v>81</v>
      </c>
      <c r="I36" s="34" t="s">
        <v>82</v>
      </c>
      <c r="J36" s="34" t="s">
        <v>83</v>
      </c>
      <c r="K36" s="68">
        <f ca="1">TODAY()-31</f>
        <v>45691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45691</v>
      </c>
      <c r="Y36" s="34" t="s">
        <v>91</v>
      </c>
      <c r="Z36" s="34" t="s">
        <v>316</v>
      </c>
      <c r="AA36" s="34" t="s">
        <v>93</v>
      </c>
      <c r="AB36" s="34" t="s">
        <v>302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46087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45691</v>
      </c>
      <c r="AS36" s="68">
        <f t="shared" ca="1" si="10"/>
        <v>45691</v>
      </c>
      <c r="AT36" s="68">
        <f ca="1">TODAY()+365</f>
        <v>46087</v>
      </c>
      <c r="AU36" s="34" t="s">
        <v>303</v>
      </c>
      <c r="AV36" s="34" t="s">
        <v>304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317</v>
      </c>
      <c r="BM36" s="34" t="s">
        <v>130</v>
      </c>
      <c r="BN36" s="68">
        <v>35591</v>
      </c>
      <c r="BO36" s="34" t="s">
        <v>131</v>
      </c>
      <c r="BP36" s="34" t="s">
        <v>306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hidden="1" x14ac:dyDescent="0.35">
      <c r="A37" t="s">
        <v>318</v>
      </c>
      <c r="B37" t="s">
        <v>319</v>
      </c>
      <c r="C37" s="1" t="s">
        <v>148</v>
      </c>
      <c r="D37" s="67" t="s">
        <v>298</v>
      </c>
      <c r="E37" t="s">
        <v>78</v>
      </c>
      <c r="F37" t="s">
        <v>320</v>
      </c>
      <c r="G37" t="s">
        <v>321</v>
      </c>
      <c r="H37" s="34" t="s">
        <v>81</v>
      </c>
      <c r="I37" s="34" t="s">
        <v>82</v>
      </c>
      <c r="J37" s="34" t="s">
        <v>83</v>
      </c>
      <c r="K37" s="68">
        <f ca="1">TODAY()-31</f>
        <v>45691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45691</v>
      </c>
      <c r="Y37" s="34" t="s">
        <v>91</v>
      </c>
      <c r="Z37" s="34" t="s">
        <v>322</v>
      </c>
      <c r="AA37" s="34" t="s">
        <v>156</v>
      </c>
      <c r="AB37" s="34" t="s">
        <v>302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45691</v>
      </c>
      <c r="AS37" s="68">
        <f t="shared" ca="1" si="10"/>
        <v>45691</v>
      </c>
      <c r="AT37" s="31" t="s">
        <v>102</v>
      </c>
      <c r="AU37" s="34" t="s">
        <v>303</v>
      </c>
      <c r="AV37" s="34" t="s">
        <v>304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323</v>
      </c>
      <c r="BM37" s="34" t="s">
        <v>130</v>
      </c>
      <c r="BN37" s="68">
        <v>35591</v>
      </c>
      <c r="BO37" s="34" t="s">
        <v>131</v>
      </c>
      <c r="BP37" s="34" t="s">
        <v>306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hidden="1" x14ac:dyDescent="0.35">
      <c r="A38" t="s">
        <v>324</v>
      </c>
      <c r="B38" t="s">
        <v>325</v>
      </c>
      <c r="C38" s="1" t="s">
        <v>148</v>
      </c>
      <c r="D38" s="67" t="s">
        <v>298</v>
      </c>
      <c r="E38" t="s">
        <v>78</v>
      </c>
      <c r="F38" t="s">
        <v>326</v>
      </c>
      <c r="G38" t="s">
        <v>327</v>
      </c>
      <c r="H38" s="34" t="s">
        <v>81</v>
      </c>
      <c r="I38" s="34" t="s">
        <v>82</v>
      </c>
      <c r="J38" s="34" t="s">
        <v>83</v>
      </c>
      <c r="K38" s="68">
        <f ca="1">TODAY()-31</f>
        <v>45691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45691</v>
      </c>
      <c r="Y38" s="34" t="s">
        <v>91</v>
      </c>
      <c r="Z38" s="34" t="s">
        <v>328</v>
      </c>
      <c r="AA38" s="34" t="s">
        <v>93</v>
      </c>
      <c r="AB38" s="34" t="s">
        <v>302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46087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45691</v>
      </c>
      <c r="AS38" s="68">
        <f t="shared" ca="1" si="10"/>
        <v>45691</v>
      </c>
      <c r="AT38" s="68">
        <f ca="1">TODAY()+365</f>
        <v>46087</v>
      </c>
      <c r="AU38" s="34" t="s">
        <v>303</v>
      </c>
      <c r="AV38" s="34" t="s">
        <v>304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329</v>
      </c>
      <c r="BM38" s="34" t="s">
        <v>130</v>
      </c>
      <c r="BN38" s="68">
        <v>35591</v>
      </c>
      <c r="BO38" s="34" t="s">
        <v>131</v>
      </c>
      <c r="BP38" s="34" t="s">
        <v>306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hidden="1" x14ac:dyDescent="0.35">
      <c r="A39" t="s">
        <v>330</v>
      </c>
      <c r="B39" t="s">
        <v>331</v>
      </c>
      <c r="C39" s="1" t="s">
        <v>148</v>
      </c>
      <c r="D39" s="67" t="s">
        <v>298</v>
      </c>
      <c r="E39" t="s">
        <v>78</v>
      </c>
      <c r="F39" t="s">
        <v>332</v>
      </c>
      <c r="G39" t="s">
        <v>333</v>
      </c>
      <c r="H39" s="34" t="s">
        <v>81</v>
      </c>
      <c r="I39" s="34" t="s">
        <v>82</v>
      </c>
      <c r="J39" s="34" t="s">
        <v>83</v>
      </c>
      <c r="K39" s="68">
        <f ca="1">TODAY()-60</f>
        <v>45662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45662</v>
      </c>
      <c r="Y39" s="34" t="s">
        <v>91</v>
      </c>
      <c r="Z39" s="34" t="s">
        <v>334</v>
      </c>
      <c r="AA39" s="34" t="s">
        <v>156</v>
      </c>
      <c r="AB39" s="34" t="s">
        <v>302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45662</v>
      </c>
      <c r="AS39" s="68">
        <f t="shared" ca="1" si="10"/>
        <v>45662</v>
      </c>
      <c r="AT39" s="31" t="s">
        <v>102</v>
      </c>
      <c r="AU39" s="34" t="s">
        <v>303</v>
      </c>
      <c r="AV39" s="34" t="s">
        <v>304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335</v>
      </c>
      <c r="BM39" s="34" t="s">
        <v>130</v>
      </c>
      <c r="BN39" s="68">
        <v>35591</v>
      </c>
      <c r="BO39" s="34" t="s">
        <v>131</v>
      </c>
      <c r="BP39" s="34" t="s">
        <v>306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hidden="1" x14ac:dyDescent="0.35">
      <c r="A40" t="s">
        <v>336</v>
      </c>
      <c r="B40" t="s">
        <v>337</v>
      </c>
      <c r="C40" s="1" t="s">
        <v>148</v>
      </c>
      <c r="D40" s="67" t="s">
        <v>298</v>
      </c>
      <c r="E40" t="s">
        <v>78</v>
      </c>
      <c r="F40" t="s">
        <v>338</v>
      </c>
      <c r="G40" t="s">
        <v>339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45691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45691</v>
      </c>
      <c r="Y40" s="34" t="s">
        <v>91</v>
      </c>
      <c r="Z40" s="34" t="s">
        <v>340</v>
      </c>
      <c r="AA40" s="34" t="s">
        <v>93</v>
      </c>
      <c r="AB40" s="34" t="s">
        <v>341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46087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45691</v>
      </c>
      <c r="AS40" s="68">
        <f t="shared" ca="1" si="10"/>
        <v>45691</v>
      </c>
      <c r="AT40" s="68">
        <f ca="1">TODAY()+365</f>
        <v>46087</v>
      </c>
      <c r="AU40" s="34" t="s">
        <v>303</v>
      </c>
      <c r="AV40" s="34" t="s">
        <v>304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342</v>
      </c>
      <c r="BM40" s="34" t="s">
        <v>130</v>
      </c>
      <c r="BN40" s="68">
        <v>35591</v>
      </c>
      <c r="BO40" s="34" t="s">
        <v>131</v>
      </c>
      <c r="BP40" s="34" t="s">
        <v>306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hidden="1" x14ac:dyDescent="0.35">
      <c r="A41" t="s">
        <v>343</v>
      </c>
      <c r="B41" t="s">
        <v>344</v>
      </c>
      <c r="C41" s="1" t="s">
        <v>148</v>
      </c>
      <c r="D41" s="67" t="s">
        <v>298</v>
      </c>
      <c r="E41" t="s">
        <v>78</v>
      </c>
      <c r="F41" t="s">
        <v>345</v>
      </c>
      <c r="G41" t="s">
        <v>346</v>
      </c>
      <c r="H41" s="34" t="s">
        <v>81</v>
      </c>
      <c r="I41" s="34" t="s">
        <v>82</v>
      </c>
      <c r="J41" s="34" t="s">
        <v>83</v>
      </c>
      <c r="K41" s="68">
        <f t="shared" ca="1" si="16"/>
        <v>45691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45691</v>
      </c>
      <c r="Y41" s="34" t="s">
        <v>91</v>
      </c>
      <c r="Z41" s="34" t="s">
        <v>347</v>
      </c>
      <c r="AA41" s="34" t="s">
        <v>156</v>
      </c>
      <c r="AB41" s="34" t="s">
        <v>341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45691</v>
      </c>
      <c r="AS41" s="68">
        <f t="shared" ca="1" si="10"/>
        <v>45691</v>
      </c>
      <c r="AT41" s="31" t="s">
        <v>102</v>
      </c>
      <c r="AU41" s="34" t="s">
        <v>303</v>
      </c>
      <c r="AV41" s="34" t="s">
        <v>304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348</v>
      </c>
      <c r="BM41" s="34" t="s">
        <v>130</v>
      </c>
      <c r="BN41" s="68">
        <v>35591</v>
      </c>
      <c r="BO41" s="34" t="s">
        <v>131</v>
      </c>
      <c r="BP41" s="34" t="s">
        <v>306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hidden="1" x14ac:dyDescent="0.35">
      <c r="A42" t="s">
        <v>349</v>
      </c>
      <c r="B42" t="s">
        <v>350</v>
      </c>
      <c r="C42" s="1" t="s">
        <v>148</v>
      </c>
      <c r="D42" s="67" t="s">
        <v>298</v>
      </c>
      <c r="E42" t="s">
        <v>78</v>
      </c>
      <c r="F42" t="s">
        <v>351</v>
      </c>
      <c r="G42" t="s">
        <v>352</v>
      </c>
      <c r="H42" s="34" t="s">
        <v>81</v>
      </c>
      <c r="I42" s="34" t="s">
        <v>82</v>
      </c>
      <c r="J42" s="34" t="s">
        <v>83</v>
      </c>
      <c r="K42" s="68">
        <f t="shared" ca="1" si="16"/>
        <v>45691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45691</v>
      </c>
      <c r="Y42" s="34" t="s">
        <v>91</v>
      </c>
      <c r="Z42" s="34" t="s">
        <v>353</v>
      </c>
      <c r="AA42" s="34" t="s">
        <v>93</v>
      </c>
      <c r="AB42" s="34" t="s">
        <v>354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46087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45691</v>
      </c>
      <c r="AS42" s="68">
        <f t="shared" ca="1" si="10"/>
        <v>45691</v>
      </c>
      <c r="AT42" s="68">
        <f ca="1">TODAY()+365</f>
        <v>46087</v>
      </c>
      <c r="AU42" s="34" t="s">
        <v>303</v>
      </c>
      <c r="AV42" s="34" t="s">
        <v>304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311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355</v>
      </c>
      <c r="BM42" s="34" t="s">
        <v>130</v>
      </c>
      <c r="BN42" s="68">
        <v>35591</v>
      </c>
      <c r="BO42" s="34" t="s">
        <v>131</v>
      </c>
      <c r="BP42" s="34" t="s">
        <v>306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hidden="1" x14ac:dyDescent="0.35">
      <c r="A43" t="s">
        <v>356</v>
      </c>
      <c r="B43" t="s">
        <v>357</v>
      </c>
      <c r="C43" s="1" t="s">
        <v>148</v>
      </c>
      <c r="D43" s="67" t="s">
        <v>298</v>
      </c>
      <c r="E43" t="s">
        <v>78</v>
      </c>
      <c r="F43" t="s">
        <v>358</v>
      </c>
      <c r="G43" t="s">
        <v>359</v>
      </c>
      <c r="H43" s="34" t="s">
        <v>81</v>
      </c>
      <c r="I43" s="34" t="s">
        <v>82</v>
      </c>
      <c r="J43" s="34" t="s">
        <v>83</v>
      </c>
      <c r="K43" s="68">
        <f t="shared" ca="1" si="16"/>
        <v>45691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45691</v>
      </c>
      <c r="Y43" s="34" t="s">
        <v>91</v>
      </c>
      <c r="Z43" s="34" t="s">
        <v>360</v>
      </c>
      <c r="AA43" s="34" t="s">
        <v>156</v>
      </c>
      <c r="AB43" s="34" t="s">
        <v>354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45691</v>
      </c>
      <c r="AS43" s="68">
        <f t="shared" ca="1" si="10"/>
        <v>45691</v>
      </c>
      <c r="AT43" s="31" t="s">
        <v>102</v>
      </c>
      <c r="AU43" s="34" t="s">
        <v>303</v>
      </c>
      <c r="AV43" s="34" t="s">
        <v>304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361</v>
      </c>
      <c r="BM43" s="34" t="s">
        <v>130</v>
      </c>
      <c r="BN43" s="68">
        <v>35591</v>
      </c>
      <c r="BO43" s="34" t="s">
        <v>131</v>
      </c>
      <c r="BP43" s="34" t="s">
        <v>306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362</v>
      </c>
      <c r="B44" t="s">
        <v>425</v>
      </c>
      <c r="C44" s="71" t="s">
        <v>415</v>
      </c>
      <c r="D44" s="67" t="s">
        <v>298</v>
      </c>
      <c r="E44" t="s">
        <v>78</v>
      </c>
      <c r="F44" t="s">
        <v>363</v>
      </c>
      <c r="G44" t="s">
        <v>364</v>
      </c>
      <c r="H44" s="34" t="s">
        <v>81</v>
      </c>
      <c r="I44" s="34" t="s">
        <v>82</v>
      </c>
      <c r="J44" s="34" t="s">
        <v>83</v>
      </c>
      <c r="K44" s="68">
        <f t="shared" ca="1" si="16"/>
        <v>45691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45691</v>
      </c>
      <c r="Y44" s="34" t="s">
        <v>91</v>
      </c>
      <c r="Z44" s="34" t="s">
        <v>311</v>
      </c>
      <c r="AA44" s="34" t="s">
        <v>93</v>
      </c>
      <c r="AB44" s="34" t="s">
        <v>365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46087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45691</v>
      </c>
      <c r="AS44" s="68">
        <f t="shared" ca="1" si="10"/>
        <v>45691</v>
      </c>
      <c r="AT44" s="68">
        <f ca="1">TODAY()+365</f>
        <v>46087</v>
      </c>
      <c r="AU44" s="34" t="s">
        <v>303</v>
      </c>
      <c r="AV44" s="34" t="s">
        <v>304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311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366</v>
      </c>
      <c r="BM44" s="34" t="s">
        <v>130</v>
      </c>
      <c r="BN44" s="68">
        <v>35591</v>
      </c>
      <c r="BO44" s="34" t="s">
        <v>131</v>
      </c>
      <c r="BP44" s="34" t="s">
        <v>306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367</v>
      </c>
      <c r="B45" t="s">
        <v>425</v>
      </c>
      <c r="C45" s="71" t="s">
        <v>415</v>
      </c>
      <c r="D45" s="67" t="s">
        <v>298</v>
      </c>
      <c r="E45" t="s">
        <v>78</v>
      </c>
      <c r="F45" t="s">
        <v>368</v>
      </c>
      <c r="G45" t="s">
        <v>369</v>
      </c>
      <c r="H45" s="34" t="s">
        <v>81</v>
      </c>
      <c r="I45" s="34" t="s">
        <v>82</v>
      </c>
      <c r="J45" s="34" t="s">
        <v>83</v>
      </c>
      <c r="K45" s="68">
        <f t="shared" ca="1" si="16"/>
        <v>45691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45691</v>
      </c>
      <c r="Y45" s="34" t="s">
        <v>91</v>
      </c>
      <c r="Z45" s="34" t="s">
        <v>311</v>
      </c>
      <c r="AA45" s="34" t="s">
        <v>156</v>
      </c>
      <c r="AB45" s="34" t="s">
        <v>365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45691</v>
      </c>
      <c r="AS45" s="68">
        <f t="shared" ca="1" si="10"/>
        <v>45691</v>
      </c>
      <c r="AT45" s="31" t="s">
        <v>102</v>
      </c>
      <c r="AU45" s="34" t="s">
        <v>303</v>
      </c>
      <c r="AV45" s="34" t="s">
        <v>304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370</v>
      </c>
      <c r="BM45" s="34" t="s">
        <v>130</v>
      </c>
      <c r="BN45" s="68">
        <v>35591</v>
      </c>
      <c r="BO45" s="34" t="s">
        <v>131</v>
      </c>
      <c r="BP45" s="34" t="s">
        <v>306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hidden="1" x14ac:dyDescent="0.35">
      <c r="A46" t="s">
        <v>371</v>
      </c>
      <c r="B46" t="s">
        <v>372</v>
      </c>
      <c r="C46" s="36" t="s">
        <v>76</v>
      </c>
      <c r="D46" s="30" t="s">
        <v>77</v>
      </c>
      <c r="E46" t="s">
        <v>78</v>
      </c>
      <c r="F46" t="s">
        <v>373</v>
      </c>
      <c r="G46" t="s">
        <v>231</v>
      </c>
      <c r="H46" s="34" t="s">
        <v>81</v>
      </c>
      <c r="I46" s="34" t="s">
        <v>82</v>
      </c>
      <c r="J46" s="34" t="s">
        <v>83</v>
      </c>
      <c r="K46" s="68">
        <f t="shared" ca="1" si="16"/>
        <v>45691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45691</v>
      </c>
      <c r="Y46" s="34" t="s">
        <v>91</v>
      </c>
      <c r="Z46" s="34" t="s">
        <v>92</v>
      </c>
      <c r="AA46" s="34" t="s">
        <v>93</v>
      </c>
      <c r="AB46" s="34" t="s">
        <v>374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46087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45691</v>
      </c>
      <c r="AS46" s="68">
        <f t="shared" ca="1" si="10"/>
        <v>45691</v>
      </c>
      <c r="AT46" s="68">
        <f ca="1">TODAY()+365</f>
        <v>46087</v>
      </c>
      <c r="AU46" s="34" t="s">
        <v>103</v>
      </c>
      <c r="AV46" s="34" t="s">
        <v>375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376</v>
      </c>
      <c r="BM46" s="34" t="s">
        <v>130</v>
      </c>
      <c r="BN46" s="68">
        <v>35591</v>
      </c>
      <c r="BO46" s="34" t="s">
        <v>131</v>
      </c>
      <c r="BP46" s="34" t="s">
        <v>306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hidden="1" x14ac:dyDescent="0.35">
      <c r="A47" t="s">
        <v>377</v>
      </c>
      <c r="B47" t="s">
        <v>378</v>
      </c>
      <c r="C47" s="36" t="s">
        <v>76</v>
      </c>
      <c r="D47" s="30" t="s">
        <v>77</v>
      </c>
      <c r="E47" t="s">
        <v>78</v>
      </c>
      <c r="F47" t="s">
        <v>379</v>
      </c>
      <c r="G47" t="s">
        <v>380</v>
      </c>
      <c r="H47" s="34" t="s">
        <v>81</v>
      </c>
      <c r="I47" s="34" t="s">
        <v>82</v>
      </c>
      <c r="J47" s="34" t="s">
        <v>83</v>
      </c>
      <c r="K47" s="68">
        <f t="shared" ca="1" si="16"/>
        <v>45691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45691</v>
      </c>
      <c r="Y47" s="34" t="s">
        <v>91</v>
      </c>
      <c r="Z47" s="34" t="s">
        <v>92</v>
      </c>
      <c r="AA47" s="34" t="s">
        <v>93</v>
      </c>
      <c r="AB47" s="34" t="s">
        <v>374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46087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45691</v>
      </c>
      <c r="AS47" s="68">
        <f t="shared" ca="1" si="10"/>
        <v>45691</v>
      </c>
      <c r="AT47" s="68">
        <f ca="1">TODAY()+365</f>
        <v>46087</v>
      </c>
      <c r="AU47" s="34" t="s">
        <v>103</v>
      </c>
      <c r="AV47" s="34" t="s">
        <v>375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381</v>
      </c>
      <c r="BM47" s="34" t="s">
        <v>130</v>
      </c>
      <c r="BN47" s="68">
        <v>35591</v>
      </c>
      <c r="BO47" s="34" t="s">
        <v>131</v>
      </c>
      <c r="BP47" s="34" t="s">
        <v>306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hidden="1" x14ac:dyDescent="0.35">
      <c r="A48" t="s">
        <v>382</v>
      </c>
      <c r="B48" t="s">
        <v>383</v>
      </c>
      <c r="C48" s="36" t="s">
        <v>76</v>
      </c>
      <c r="D48" s="30" t="s">
        <v>77</v>
      </c>
      <c r="E48" t="s">
        <v>78</v>
      </c>
      <c r="F48" t="s">
        <v>384</v>
      </c>
      <c r="G48" t="s">
        <v>385</v>
      </c>
      <c r="H48" s="34" t="s">
        <v>81</v>
      </c>
      <c r="I48" s="34" t="s">
        <v>82</v>
      </c>
      <c r="J48" s="34" t="s">
        <v>83</v>
      </c>
      <c r="K48" s="68">
        <f t="shared" ca="1" si="16"/>
        <v>45691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45691</v>
      </c>
      <c r="Y48" s="34" t="s">
        <v>91</v>
      </c>
      <c r="Z48" s="34" t="s">
        <v>92</v>
      </c>
      <c r="AA48" s="34" t="s">
        <v>156</v>
      </c>
      <c r="AB48" s="34" t="s">
        <v>374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45691</v>
      </c>
      <c r="AS48" s="68">
        <f t="shared" ca="1" si="10"/>
        <v>45691</v>
      </c>
      <c r="AT48" s="68" t="s">
        <v>102</v>
      </c>
      <c r="AU48" s="34" t="s">
        <v>103</v>
      </c>
      <c r="AV48" s="34" t="s">
        <v>375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386</v>
      </c>
      <c r="BM48" s="34" t="s">
        <v>130</v>
      </c>
      <c r="BN48" s="68">
        <v>35591</v>
      </c>
      <c r="BO48" s="34" t="s">
        <v>131</v>
      </c>
      <c r="BP48" s="34" t="s">
        <v>306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hidden="1" x14ac:dyDescent="0.35">
      <c r="A49" t="s">
        <v>387</v>
      </c>
      <c r="B49" t="s">
        <v>388</v>
      </c>
      <c r="C49" s="36" t="s">
        <v>76</v>
      </c>
      <c r="D49" s="30" t="s">
        <v>77</v>
      </c>
      <c r="E49" t="s">
        <v>78</v>
      </c>
      <c r="F49" t="s">
        <v>389</v>
      </c>
      <c r="G49" t="s">
        <v>390</v>
      </c>
      <c r="H49" s="34" t="s">
        <v>81</v>
      </c>
      <c r="I49" s="34" t="s">
        <v>82</v>
      </c>
      <c r="J49" s="34" t="s">
        <v>83</v>
      </c>
      <c r="K49" s="68">
        <f t="shared" ca="1" si="16"/>
        <v>45691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45691</v>
      </c>
      <c r="Y49" s="34" t="s">
        <v>91</v>
      </c>
      <c r="Z49" s="34" t="s">
        <v>92</v>
      </c>
      <c r="AA49" s="34" t="s">
        <v>156</v>
      </c>
      <c r="AB49" s="34" t="s">
        <v>374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45691</v>
      </c>
      <c r="AS49" s="68">
        <f t="shared" ca="1" si="10"/>
        <v>45691</v>
      </c>
      <c r="AT49" s="68" t="s">
        <v>102</v>
      </c>
      <c r="AU49" s="34" t="s">
        <v>103</v>
      </c>
      <c r="AV49" s="34" t="s">
        <v>375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391</v>
      </c>
      <c r="BM49" s="34" t="s">
        <v>130</v>
      </c>
      <c r="BN49" s="68">
        <v>35591</v>
      </c>
      <c r="BO49" s="34" t="s">
        <v>131</v>
      </c>
      <c r="BP49" s="34" t="s">
        <v>306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hidden="1" x14ac:dyDescent="0.35">
      <c r="A50" t="s">
        <v>392</v>
      </c>
      <c r="B50" t="s">
        <v>393</v>
      </c>
      <c r="C50" s="36" t="s">
        <v>76</v>
      </c>
      <c r="D50" s="30" t="s">
        <v>77</v>
      </c>
      <c r="E50" t="s">
        <v>78</v>
      </c>
      <c r="F50" t="s">
        <v>394</v>
      </c>
      <c r="G50" t="s">
        <v>395</v>
      </c>
      <c r="H50" s="34" t="s">
        <v>81</v>
      </c>
      <c r="I50" s="34" t="s">
        <v>82</v>
      </c>
      <c r="J50" s="34" t="s">
        <v>83</v>
      </c>
      <c r="K50" s="68">
        <f t="shared" ca="1" si="16"/>
        <v>45691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45691</v>
      </c>
      <c r="Y50" s="34" t="s">
        <v>91</v>
      </c>
      <c r="Z50" s="34" t="s">
        <v>92</v>
      </c>
      <c r="AA50" s="34" t="s">
        <v>93</v>
      </c>
      <c r="AB50" s="34" t="s">
        <v>396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46087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45691</v>
      </c>
      <c r="AS50" s="68">
        <f t="shared" ca="1" si="10"/>
        <v>45691</v>
      </c>
      <c r="AT50" s="68">
        <f ca="1">TODAY()+365</f>
        <v>46087</v>
      </c>
      <c r="AU50" s="34" t="s">
        <v>103</v>
      </c>
      <c r="AV50" s="34" t="s">
        <v>375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397</v>
      </c>
      <c r="BM50" s="34" t="s">
        <v>130</v>
      </c>
      <c r="BN50" s="68">
        <v>35591</v>
      </c>
      <c r="BO50" s="34" t="s">
        <v>131</v>
      </c>
      <c r="BP50" s="34" t="s">
        <v>306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hidden="1" x14ac:dyDescent="0.35">
      <c r="A51" t="s">
        <v>398</v>
      </c>
      <c r="B51" t="s">
        <v>399</v>
      </c>
      <c r="C51" s="36" t="s">
        <v>76</v>
      </c>
      <c r="D51" s="30" t="s">
        <v>77</v>
      </c>
      <c r="E51" t="s">
        <v>78</v>
      </c>
      <c r="F51" t="s">
        <v>400</v>
      </c>
      <c r="G51" t="s">
        <v>401</v>
      </c>
      <c r="H51" s="34" t="s">
        <v>81</v>
      </c>
      <c r="I51" s="34" t="s">
        <v>82</v>
      </c>
      <c r="J51" s="34" t="s">
        <v>83</v>
      </c>
      <c r="K51" s="68">
        <f t="shared" ca="1" si="16"/>
        <v>45691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45691</v>
      </c>
      <c r="Y51" s="34" t="s">
        <v>91</v>
      </c>
      <c r="Z51" s="34" t="s">
        <v>92</v>
      </c>
      <c r="AA51" s="34" t="s">
        <v>93</v>
      </c>
      <c r="AB51" s="34" t="s">
        <v>396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46087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45691</v>
      </c>
      <c r="AS51" s="68">
        <f t="shared" ca="1" si="10"/>
        <v>45691</v>
      </c>
      <c r="AT51" s="68">
        <f ca="1">TODAY()+365</f>
        <v>46087</v>
      </c>
      <c r="AU51" s="34" t="s">
        <v>103</v>
      </c>
      <c r="AV51" s="34" t="s">
        <v>375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402</v>
      </c>
      <c r="BM51" s="34" t="s">
        <v>130</v>
      </c>
      <c r="BN51" s="68">
        <v>35591</v>
      </c>
      <c r="BO51" s="34" t="s">
        <v>131</v>
      </c>
      <c r="BP51" s="34" t="s">
        <v>306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hidden="1" x14ac:dyDescent="0.35">
      <c r="A52" t="s">
        <v>403</v>
      </c>
      <c r="B52" t="s">
        <v>404</v>
      </c>
      <c r="C52" s="36" t="s">
        <v>76</v>
      </c>
      <c r="D52" s="30" t="s">
        <v>77</v>
      </c>
      <c r="E52" t="s">
        <v>78</v>
      </c>
      <c r="F52" t="s">
        <v>405</v>
      </c>
      <c r="G52" t="s">
        <v>406</v>
      </c>
      <c r="H52" s="34" t="s">
        <v>81</v>
      </c>
      <c r="I52" s="34" t="s">
        <v>82</v>
      </c>
      <c r="J52" s="34" t="s">
        <v>83</v>
      </c>
      <c r="K52" s="68">
        <f t="shared" ca="1" si="16"/>
        <v>45691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45691</v>
      </c>
      <c r="Y52" s="34" t="s">
        <v>91</v>
      </c>
      <c r="Z52" s="34" t="s">
        <v>92</v>
      </c>
      <c r="AA52" s="34" t="s">
        <v>156</v>
      </c>
      <c r="AB52" s="34" t="s">
        <v>396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45691</v>
      </c>
      <c r="AS52" s="68">
        <f t="shared" ca="1" si="10"/>
        <v>45691</v>
      </c>
      <c r="AT52" s="68" t="s">
        <v>102</v>
      </c>
      <c r="AU52" s="34" t="s">
        <v>103</v>
      </c>
      <c r="AV52" s="34" t="s">
        <v>375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407</v>
      </c>
      <c r="BM52" s="34" t="s">
        <v>130</v>
      </c>
      <c r="BN52" s="68">
        <v>35591</v>
      </c>
      <c r="BO52" s="34" t="s">
        <v>131</v>
      </c>
      <c r="BP52" s="34" t="s">
        <v>306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hidden="1" x14ac:dyDescent="0.35">
      <c r="A53" t="s">
        <v>408</v>
      </c>
      <c r="B53" s="69" t="s">
        <v>409</v>
      </c>
      <c r="C53" s="36" t="s">
        <v>76</v>
      </c>
      <c r="D53" s="30" t="s">
        <v>77</v>
      </c>
      <c r="E53" t="s">
        <v>78</v>
      </c>
      <c r="F53" t="s">
        <v>410</v>
      </c>
      <c r="G53" t="s">
        <v>411</v>
      </c>
      <c r="H53" s="34" t="s">
        <v>81</v>
      </c>
      <c r="I53" s="34" t="s">
        <v>82</v>
      </c>
      <c r="J53" s="34" t="s">
        <v>83</v>
      </c>
      <c r="K53" s="68">
        <f t="shared" ca="1" si="16"/>
        <v>45691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45691</v>
      </c>
      <c r="Y53" s="34" t="s">
        <v>91</v>
      </c>
      <c r="Z53" s="34" t="s">
        <v>92</v>
      </c>
      <c r="AA53" s="34" t="s">
        <v>156</v>
      </c>
      <c r="AB53" s="34" t="s">
        <v>396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45691</v>
      </c>
      <c r="AS53" s="68">
        <f t="shared" ca="1" si="10"/>
        <v>45691</v>
      </c>
      <c r="AT53" s="68" t="s">
        <v>102</v>
      </c>
      <c r="AU53" s="34" t="s">
        <v>103</v>
      </c>
      <c r="AV53" s="34" t="s">
        <v>375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412</v>
      </c>
      <c r="BM53" s="34" t="s">
        <v>130</v>
      </c>
      <c r="BN53" s="68">
        <v>35591</v>
      </c>
      <c r="BO53" s="34" t="s">
        <v>131</v>
      </c>
      <c r="BP53" s="34" t="s">
        <v>306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>
    <filterColumn colId="2">
      <filters>
        <filter val="Fixed"/>
      </filters>
    </filterColumn>
  </autoFilter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2025-03-06T09:29:45Z</dcterms:modified>
</cp:coreProperties>
</file>