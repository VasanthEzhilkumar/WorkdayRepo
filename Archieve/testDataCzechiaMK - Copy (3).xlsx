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" yWindow="20" windowWidth="19180" windowHeight="101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<sst xmlns="http://schemas.openxmlformats.org/spreadsheetml/2006/main" count="134" uniqueCount="115">
  <si>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</si>
  <si>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</si>
  <si>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</si>
  <si>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</si>
  <si>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</si>
  <si>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</si>
  <si>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</si>
  <si>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</si>
  <si>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</si>
  <si>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</si>
  <si>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</si>
  <si>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</si>
  <si>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</si>
  <si>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</si>
  <si>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</si>
  <si>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</si>
  <si>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</si>
  <si>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</si>
  <si>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</si>
  <si>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</si>
  <si>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</si>
  <si>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</si>
  <si>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</si>
  <si>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</si>
  <si>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</si>
  <si>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</si>
  <si>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</si>
  <si>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</si>
  <si>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</si>
  <si>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</si>
  <si>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</si>
  <si>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</si>
  <si>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</si>
  <si>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</si>
  <si>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</si>
  <si>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</si>
  <si>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</si>
  <si>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</si>
  <si>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</si>
  <si>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</si>
  <si>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</si>
  <si>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</si>
  <si>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</si>
  <si>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</si>
  <si>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</si>
  <si>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</si>
  <si>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</si>
  <si>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</si>
  <si>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</si>
  <si>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</si>
  <si>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</si>
  <si>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</si>
  <si>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</si>
  <si>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</si>
  <si>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</si>
  <si>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</si>
  <si>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</si>
  <si>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</si>
  <si>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</si>
  <si>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</si>
  <si>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</si>
  <si>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</si>
  <si>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</si>
  <si>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</si>
  <si>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</si>
  <si>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</si>
  <si>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</si>
  <si>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10652514</t>
  </si>
  <si>
    <t>Passed</t>
  </si>
  <si>
    <t>896 Retail Team (Vuvip Kevozi (10525382) (Inherited))</t>
  </si>
  <si>
    <t>Czechia</t>
  </si>
  <si>
    <t>CZSITOne</t>
  </si>
  <si>
    <t>CzechOne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</si>
  <si>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</si>
  <si>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</si>
  <si>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</si>
  <si>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</si>
  <si>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</si>
  <si>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</si>
  <si>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</si>
  <si>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</si>
  <si>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</si>
  <si>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</si>
  <si>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</si>
  <si>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</si>
  <si>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</si>
  <si>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</si>
  <si>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</si>
  <si>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</si>
  <si>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</si>
  <si>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</si>
  <si>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</si>
  <si>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</si>
  <si>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</si>
  <si>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</si>
  <si>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</si>
  <si>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11/11/1999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</si>
  <si>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</si>
  <si>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</si>
  <si>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</si>
  <si>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</si>
  <si>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</si>
  <si>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</si>
  <si>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</si>
  <si>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</si>
  <si>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</si>
  <si>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</si>
  <si>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</si>
  <si>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</si>
  <si>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</si>
  <si>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</si>
  <si>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37.5</t>
  </si>
  <si>
    <t>Test2</t>
  </si>
  <si>
    <t>Test failed for 'Samanta Breitenberg-Bednar' Employee:{undefined}TypeError: Cannot read properties of undefined (reading 'split')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</si>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</sst>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2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family val="2"/>
      <sz val="14"/>
      <name val="Arial"/>
    </font>
    <font>
      <color rgb="FF9CDCFE"/>
      <family val="3"/>
      <sz val="7"/>
      <name val="Consolas"/>
    </font>
    <font>
      <color rgb="FFFF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z val="10"/>
      <name val="Arial"/>
    </font>
    <font>
      <family val="2"/>
      <scheme val="minor"/>
      <sz val="10"/>
      <name val="Calibri"/>
    </font>
    <font>
      <color rgb="FF000000"/>
      <sz val="10"/>
      <name val="Arial"/>
    </font>
    <font>
      <b/>
      <color rgb="FF000000"/>
      <family val="2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5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6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5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49" fontId="2" fillId="8" borderId="3" xfId="0" applyNumberFormat="1" applyFont="1" applyFill="1" applyBorder="1" applyAlignment="1">
      <alignment horizontal="left"/>
    </xf>
    <xf numFmtId="49" fontId="7" fillId="8" borderId="3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/>
    <xf numFmtId="0" fontId="8" fillId="9" borderId="3" xfId="0" applyFont="1" applyFill="1" applyBorder="1" applyAlignment="1">
      <alignment horizontal="left" vertical="top"/>
    </xf>
    <xf numFmtId="14" fontId="9" fillId="10" borderId="3" xfId="0" applyNumberFormat="1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14" fontId="9" fillId="5" borderId="3" xfId="0" applyNumberFormat="1" applyFont="1" applyFill="1" applyBorder="1" applyAlignment="1">
      <alignment horizontal="left" vertical="top"/>
    </xf>
    <xf numFmtId="14" fontId="9" fillId="0" borderId="3" xfId="0" applyNumberFormat="1" applyFont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9" fillId="11" borderId="3" xfId="0" applyFont="1" applyFill="1" applyBorder="1" applyAlignment="1">
      <alignment horizontal="left" vertical="top"/>
    </xf>
    <xf numFmtId="0" fontId="9" fillId="11" borderId="4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1" fillId="4" borderId="5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"/>
  <sheetViews>
    <sheetView workbookViewId="0" zoomScale="100" zoomScaleNormal="100">
      <selection activeCell="G11" sqref="G11"/>
    </sheetView>
  </sheetViews>
  <sheetFormatPr defaultRowHeight="14.4" outlineLevelRow="0" outlineLevelCol="0" x14ac:dyDescent="0.35" customHeight="1"/>
  <cols>
    <col min="4" max="102" width="17" customWidth="1"/>
  </cols>
  <sheetData>
    <row r="1" ht="18" customHeight="1" spans="1:10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9" t="s">
        <v>65</v>
      </c>
      <c r="BU1" s="10"/>
      <c r="BV1" s="10"/>
      <c r="BW1" s="10"/>
      <c r="BX1" s="10"/>
      <c r="BY1" s="10"/>
      <c r="BZ1" s="11"/>
      <c r="CA1" s="10"/>
      <c r="CB1" s="10"/>
      <c r="CC1" s="10"/>
      <c r="CD1" s="10"/>
      <c r="CE1" s="11"/>
      <c r="CF1" s="10"/>
      <c r="CG1" s="10"/>
      <c r="CH1" s="12"/>
      <c r="CI1" s="11"/>
      <c r="CJ1" s="10"/>
      <c r="CK1" s="11"/>
      <c r="CL1" s="11"/>
      <c r="CM1" s="10"/>
      <c r="CN1" s="10"/>
      <c r="CO1" s="10"/>
      <c r="CP1" s="10"/>
      <c r="CQ1" s="10"/>
      <c r="CR1" s="10"/>
      <c r="CS1" s="10"/>
      <c r="CT1" s="10"/>
      <c r="CU1" s="11"/>
      <c r="CV1" s="11"/>
      <c r="CW1" s="10"/>
      <c r="CX1" s="11"/>
    </row>
    <row r="2" ht="19.25" customHeight="1" spans="1:102" x14ac:dyDescent="0.25">
      <c r="A2" s="13" t="s">
        <v>66</v>
      </c>
      <c r="B2" t="s">
        <v>67</v>
      </c>
      <c r="C2" s="14" t="s">
        <v>68</v>
      </c>
      <c r="D2" s="15" t="s">
        <v>69</v>
      </c>
      <c r="E2" s="16" t="s">
        <v>70</v>
      </c>
      <c r="F2" s="17" t="s">
        <v>71</v>
      </c>
      <c r="G2" s="18" t="s">
        <v>72</v>
      </c>
      <c r="H2" s="19" t="s">
        <v>73</v>
      </c>
      <c r="I2" s="19" t="s">
        <v>74</v>
      </c>
      <c r="J2" s="19" t="s">
        <v>75</v>
      </c>
      <c r="K2" s="20">
        <f>TODAY()-61</f>
        <v>45605</v>
      </c>
      <c r="L2" s="16" t="s">
        <v>70</v>
      </c>
      <c r="M2" s="16" t="s">
        <v>76</v>
      </c>
      <c r="N2" s="16">
        <v>1</v>
      </c>
      <c r="O2" s="19" t="s">
        <v>77</v>
      </c>
      <c r="P2" s="19" t="s">
        <v>78</v>
      </c>
      <c r="Q2" s="19" t="s">
        <v>77</v>
      </c>
      <c r="R2" s="19" t="s">
        <v>79</v>
      </c>
      <c r="S2" s="19" t="s">
        <v>75</v>
      </c>
      <c r="T2" s="21" t="s">
        <v>80</v>
      </c>
      <c r="U2" s="22" t="s">
        <v>81</v>
      </c>
      <c r="V2" s="19" t="s">
        <v>75</v>
      </c>
      <c r="W2" s="20">
        <f>K2</f>
        <v>45605</v>
      </c>
      <c r="X2" s="19" t="s">
        <v>82</v>
      </c>
      <c r="Y2" s="17" t="s">
        <v>83</v>
      </c>
      <c r="Z2" s="23" t="s">
        <v>84</v>
      </c>
      <c r="AA2" s="23" t="s">
        <v>85</v>
      </c>
      <c r="AB2" s="23" t="s">
        <v>86</v>
      </c>
      <c r="AC2" s="24" t="s">
        <v>87</v>
      </c>
      <c r="AD2" s="24" t="s">
        <v>88</v>
      </c>
      <c r="AE2" s="23" t="s">
        <v>89</v>
      </c>
      <c r="AF2" s="25">
        <v>37.5</v>
      </c>
      <c r="AG2" s="26" t="s">
        <v>90</v>
      </c>
      <c r="AH2" s="27" t="s">
        <v>91</v>
      </c>
      <c r="AI2" s="27" t="s">
        <v>92</v>
      </c>
      <c r="AJ2" s="28">
        <f>K2</f>
        <v>45605</v>
      </c>
      <c r="AK2" s="26">
        <f>AG2</f>
        <v>NaN</v>
      </c>
      <c r="AL2" s="29">
        <f>K2</f>
        <v>45605</v>
      </c>
      <c r="AM2" s="29">
        <f>K2</f>
        <v>45605</v>
      </c>
      <c r="AN2" s="27" t="s">
        <v>93</v>
      </c>
      <c r="AO2" s="23" t="s">
        <v>94</v>
      </c>
      <c r="AP2" s="16">
        <v>100</v>
      </c>
      <c r="AQ2" s="29">
        <f>TODAY()+20</f>
        <v>45686</v>
      </c>
      <c r="AR2" s="16" t="s">
        <v>70</v>
      </c>
      <c r="AS2" s="30" t="s">
        <v>95</v>
      </c>
      <c r="AT2" s="31">
        <v>436429800</v>
      </c>
      <c r="AU2" s="29" t="s">
        <v>96</v>
      </c>
      <c r="AV2" s="29" t="s">
        <v>97</v>
      </c>
      <c r="AW2" s="16" t="s">
        <v>70</v>
      </c>
      <c r="AX2" s="30" t="s">
        <v>98</v>
      </c>
      <c r="AY2" s="31">
        <v>354957630</v>
      </c>
      <c r="AZ2" s="29" t="s">
        <v>96</v>
      </c>
      <c r="BA2" s="29" t="s">
        <v>97</v>
      </c>
      <c r="BB2" s="32" t="s">
        <v>99</v>
      </c>
      <c r="BC2" s="29" t="s">
        <v>96</v>
      </c>
      <c r="BD2" s="30" t="s">
        <v>77</v>
      </c>
      <c r="BE2" s="30" t="s">
        <v>100</v>
      </c>
      <c r="BF2" s="30" t="s">
        <v>101</v>
      </c>
      <c r="BG2" s="33" t="s">
        <v>102</v>
      </c>
      <c r="BH2" s="33" t="s">
        <v>103</v>
      </c>
      <c r="BI2" s="34" t="s">
        <v>104</v>
      </c>
      <c r="BJ2" s="35" t="s">
        <v>105</v>
      </c>
      <c r="BK2" s="16" t="s">
        <v>106</v>
      </c>
      <c r="BL2" s="16" t="s">
        <v>70</v>
      </c>
      <c r="BM2" s="16" t="s">
        <v>71</v>
      </c>
      <c r="BN2" s="16" t="s">
        <v>72</v>
      </c>
      <c r="BO2" s="16" t="s">
        <v>107</v>
      </c>
      <c r="BP2" s="16" t="s">
        <v>108</v>
      </c>
      <c r="BQ2" s="19" t="s">
        <v>109</v>
      </c>
      <c r="BR2" s="19" t="s">
        <v>110</v>
      </c>
      <c r="BS2" t="s">
        <v>111</v>
      </c>
      <c r="BT2" s="36">
        <v>213111231</v>
      </c>
      <c r="BU2" s="37"/>
      <c r="BV2" s="38"/>
      <c r="BW2" s="39"/>
      <c r="BX2" s="40"/>
      <c r="BY2" s="41"/>
      <c r="BZ2" s="40"/>
      <c r="CA2" s="42"/>
      <c r="CB2" s="38"/>
      <c r="CC2" s="43"/>
      <c r="CD2" s="43"/>
      <c r="CE2" s="44"/>
      <c r="CF2" s="37"/>
      <c r="CG2" s="37"/>
      <c r="CH2" s="38"/>
      <c r="CI2" s="45"/>
      <c r="CJ2" s="45"/>
      <c r="CK2" s="45"/>
      <c r="CL2" s="46"/>
      <c r="CM2" s="46"/>
      <c r="CN2" s="46"/>
      <c r="CO2" s="46"/>
      <c r="CP2" s="47"/>
      <c r="CQ2" s="43"/>
      <c r="CR2" s="43"/>
      <c r="CS2" s="39"/>
      <c r="CT2" s="39"/>
      <c r="CU2" s="48"/>
      <c r="CV2" s="39"/>
      <c r="CW2" s="39"/>
      <c r="CX2" s="39"/>
    </row>
    <row r="3" ht="19.25" customHeight="1" spans="1:102" x14ac:dyDescent="0.25">
      <c r="A3" s="13" t="s">
        <v>112</v>
      </c>
      <c r="B3" t="s">
        <v>113</v>
      </c>
      <c r="C3" s="14" t="s">
        <v>114</v>
      </c>
      <c r="D3" s="4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50"/>
      <c r="X3" s="10"/>
      <c r="Y3" s="51"/>
      <c r="Z3" s="51"/>
      <c r="AA3" s="51"/>
      <c r="AB3" s="51"/>
      <c r="AC3" s="10"/>
      <c r="AD3" s="10"/>
      <c r="AE3" s="51"/>
      <c r="AF3" s="51"/>
      <c r="AG3" s="49"/>
      <c r="AH3" s="51"/>
      <c r="AI3" s="51"/>
      <c r="AJ3" s="51"/>
      <c r="AK3" s="49"/>
      <c r="AL3" s="10"/>
      <c r="AM3" s="10"/>
      <c r="AN3" s="51"/>
      <c r="AO3" s="51"/>
      <c r="AP3" s="10"/>
      <c r="AQ3" s="10"/>
      <c r="AR3" s="10"/>
      <c r="AS3" s="10"/>
      <c r="AT3" s="7"/>
      <c r="AU3" s="10"/>
      <c r="AV3" s="10"/>
      <c r="AW3" s="10"/>
      <c r="AX3" s="10"/>
      <c r="AY3" s="7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52"/>
      <c r="BK3" s="10"/>
      <c r="BL3" s="10"/>
      <c r="BM3" s="10"/>
      <c r="BN3" s="10"/>
      <c r="BO3" s="10"/>
      <c r="BP3" s="10"/>
      <c r="BQ3" s="10"/>
      <c r="BR3" s="10"/>
      <c r="BT3" s="53"/>
      <c r="BU3" s="37"/>
      <c r="BV3" s="38"/>
      <c r="BW3" s="39"/>
      <c r="BX3" s="40"/>
      <c r="BY3" s="41"/>
      <c r="BZ3" s="40"/>
      <c r="CA3" s="42"/>
      <c r="CB3" s="38"/>
      <c r="CC3" s="43"/>
      <c r="CD3" s="43"/>
      <c r="CE3" s="44"/>
      <c r="CF3" s="37"/>
      <c r="CG3" s="37"/>
      <c r="CH3" s="38"/>
      <c r="CI3" s="45"/>
      <c r="CJ3" s="45"/>
      <c r="CK3" s="45"/>
      <c r="CL3" s="46"/>
      <c r="CM3" s="46"/>
      <c r="CN3" s="46"/>
      <c r="CO3" s="46"/>
      <c r="CP3" s="47"/>
      <c r="CQ3" s="43"/>
      <c r="CR3" s="43"/>
      <c r="CS3" s="39"/>
      <c r="CT3" s="39"/>
      <c r="CU3" s="39"/>
      <c r="CV3" s="39"/>
      <c r="CW3" s="39"/>
      <c r="CX3" s="39"/>
    </row>
  </sheetData>
  <dataValidations count="6">
    <dataValidation type="list" allowBlank="1" showInputMessage="1" showErrorMessage="1" sqref="AI2">
      <formula1>INDIRECT($E2)</formula1>
    </dataValidation>
    <dataValidation type="list" allowBlank="1" showInputMessage="1" showErrorMessage="1" sqref="BH2">
      <formula1>INDIRECT($E2)</formula1>
    </dataValidation>
    <dataValidation type="list" allowBlank="1" showInputMessage="1" showErrorMessage="1" sqref="J2">
      <formula1>INDIRECT($E2)</formula1>
    </dataValidation>
    <dataValidation type="list" allowBlank="1" showInputMessage="1" showErrorMessage="1" sqref="S2">
      <formula1>INDIRECT($E2)</formula1>
    </dataValidation>
    <dataValidation type="list" allowBlank="1" showInputMessage="1" showErrorMessage="1" sqref="V2">
      <formula1>INDIRECT($E2)</formula1>
    </dataValidation>
    <dataValidation type="list" allowBlank="1" showInputMessage="1" showErrorMessage="1" sqref="X2">
      <formula1>INDIRECT($E2)</formula1>
    </dataValidation>
  </dataValidations>
  <hyperlinks>
    <hyperlink ref="U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2025-01-09T17:16:21Z</dcterms:modified>
</cp:coreProperties>
</file>