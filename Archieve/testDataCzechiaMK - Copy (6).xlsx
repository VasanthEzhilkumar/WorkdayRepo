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" yWindow="620" windowWidth="19180" windowHeight="101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<sst xmlns="http://schemas.openxmlformats.org/spreadsheetml/2006/main" count="422" uniqueCount="153">
  <si>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</si>
  <si>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</si>
  <si>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</si>
  <si>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</si>
  <si>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</si>
  <si>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</si>
  <si>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</si>
  <si>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</si>
  <si>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</si>
  <si>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</si>
  <si>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</si>
  <si>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</si>
  <si>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</si>
  <si>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</si>
  <si>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</si>
  <si>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</si>
  <si>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</si>
  <si>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</si>
  <si>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</si>
  <si>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</si>
  <si>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</si>
  <si>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</si>
  <si>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</si>
  <si>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</si>
  <si>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</si>
  <si>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</si>
  <si>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</si>
  <si>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</si>
  <si>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</si>
  <si>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</si>
  <si>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</si>
  <si>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</si>
  <si>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</si>
  <si>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</si>
  <si>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</si>
  <si>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</si>
  <si>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</si>
  <si>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</si>
  <si>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</si>
  <si>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</si>
  <si>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</si>
  <si>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</si>
  <si>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</si>
  <si>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</si>
  <si>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</si>
  <si>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</si>
  <si>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</si>
  <si>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</si>
  <si>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</si>
  <si>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</si>
  <si>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</si>
  <si>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</si>
  <si>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</si>
  <si>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</si>
  <si>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</si>
  <si>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</si>
  <si>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</si>
  <si>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</si>
  <si>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</si>
  <si>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</si>
  <si>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</si>
  <si>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</si>
  <si>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</si>
  <si>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</si>
  <si>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</si>
  <si>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</si>
  <si>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</si>
  <si>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10652514</t>
  </si>
  <si>
    <t>Passed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</si>
  <si>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</si>
  <si>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</si>
  <si>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</si>
  <si>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</si>
  <si>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</si>
  <si>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</si>
  <si>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</si>
  <si>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</si>
  <si>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</si>
  <si>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</si>
  <si>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</si>
  <si>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</si>
  <si>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</si>
  <si>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</si>
  <si>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</si>
  <si>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</si>
  <si>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</si>
  <si>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</si>
  <si>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</si>
  <si>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</si>
  <si>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</si>
  <si>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</si>
  <si>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</si>
  <si>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</si>
  <si>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</si>
  <si>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</si>
  <si>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</si>
  <si>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</si>
  <si>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</si>
  <si>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</si>
  <si>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</si>
  <si>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</si>
  <si>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</si>
  <si>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</si>
  <si>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</si>
  <si>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</si>
  <si>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</si>
  <si>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</si>
  <si>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</si>
  <si>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</si>
  <si>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</si>
  <si>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</si>
  <si>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</si>
  <si>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Test2</t>
  </si>
  <si>
    <t>10652521</t>
  </si>
  <si>
    <t>896 Store Management (Byluz Ripine (10509258))</t>
  </si>
  <si>
    <t>CZSITTwo</t>
  </si>
  <si>
    <t>CzechTwo</t>
  </si>
  <si>
    <t>Auto 5145353</t>
  </si>
  <si>
    <t>Department Manager_NEW</t>
  </si>
  <si>
    <t>92 Retail Management</t>
  </si>
  <si>
    <t>251 Management Retail</t>
  </si>
  <si>
    <t>Rosalinda</t>
  </si>
  <si>
    <t>Emmerich</t>
  </si>
  <si>
    <t>Test3</t>
  </si>
  <si>
    <t>10652520</t>
  </si>
  <si>
    <t>CZSITThreea</t>
  </si>
  <si>
    <t>CzechThree</t>
  </si>
  <si>
    <t>Fixed Term (Fixed Term)</t>
  </si>
  <si>
    <t>11 Household</t>
  </si>
  <si>
    <t>Raphael</t>
  </si>
  <si>
    <t>Zemlak</t>
  </si>
  <si>
    <t>Test4</t>
  </si>
  <si>
    <t>10652522</t>
  </si>
  <si>
    <t>CZSITFour</t>
  </si>
  <si>
    <t>CzechFour</t>
  </si>
  <si>
    <t>Auto 56192966</t>
  </si>
  <si>
    <t>Assistant Store Manager_NEW</t>
  </si>
  <si>
    <t>Stephen</t>
  </si>
  <si>
    <t>Pfannerstill</t>
  </si>
  <si>
    <t>Test5</t>
  </si>
  <si>
    <t xml:space="preserve">Test failed for 'Tyra Lakin' Employee:{undefined}TimeoutError: locator.fill: Timeout 30000ms exceeded.
Call log:
  [2m- waiting for locator('text=Email AddressEmail AddressTypeType0 items selectedPrimary WorkPrimary WorkPrimar').locator('input[role="textbox"]')[22m
</t>
  </si>
  <si>
    <t>Failed</t>
  </si>
  <si>
    <t>CZSITFive</t>
  </si>
  <si>
    <t>CzechFive</t>
  </si>
  <si>
    <t>08 Ladieswear</t>
  </si>
  <si>
    <t>Tyra</t>
  </si>
  <si>
    <t>Lakin</t>
  </si>
  <si>
    <t>Test6</t>
  </si>
  <si>
    <t>CZSITSix</t>
  </si>
  <si>
    <t>CzechSix</t>
  </si>
  <si>
    <t>771 272 784</t>
  </si>
  <si>
    <t>Auto 26102024 185305</t>
  </si>
  <si>
    <t>In-Store Visual Merchandising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</si>
</sst>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family val="2"/>
      <sz val="14"/>
      <name val="Arial"/>
    </font>
    <font>
      <color rgb="FF9CDCFE"/>
      <family val="3"/>
      <sz val="7"/>
      <name val="Consolas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z val="10"/>
      <name val="Arial"/>
    </font>
    <font>
      <family val="2"/>
      <scheme val="minor"/>
      <sz val="10"/>
      <name val="Calibri"/>
    </font>
    <font>
      <color rgb="FF000000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5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6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5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49" fontId="2" fillId="8" borderId="3" xfId="0" applyNumberFormat="1" applyFont="1" applyFill="1" applyBorder="1" applyAlignment="1">
      <alignment horizontal="left"/>
    </xf>
    <xf numFmtId="49" fontId="7" fillId="8" borderId="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0" fontId="8" fillId="9" borderId="3" xfId="0" applyFont="1" applyFill="1" applyBorder="1" applyAlignment="1">
      <alignment horizontal="left" vertical="top"/>
    </xf>
    <xf numFmtId="14" fontId="9" fillId="10" borderId="3" xfId="0" applyNumberFormat="1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4" fontId="9" fillId="5" borderId="3" xfId="0" applyNumberFormat="1" applyFont="1" applyFill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9" fillId="11" borderId="3" xfId="0" applyFont="1" applyFill="1" applyBorder="1" applyAlignment="1">
      <alignment horizontal="left" vertical="top"/>
    </xf>
    <xf numFmtId="0" fontId="9" fillId="11" borderId="4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/>
    </xf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8"/>
  <sheetViews>
    <sheetView workbookViewId="0" zoomScale="100" zoomScaleNormal="100">
      <selection activeCell="H12" sqref="H12"/>
    </sheetView>
  </sheetViews>
  <sheetFormatPr defaultRowHeight="14.4" outlineLevelRow="0" outlineLevelCol="0" x14ac:dyDescent="0.35" customHeight="1"/>
  <cols>
    <col min="4" max="102" width="17" customWidth="1"/>
  </cols>
  <sheetData>
    <row r="1" ht="18" customHeight="1" spans="1:10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9" t="s">
        <v>65</v>
      </c>
      <c r="BU1" s="10"/>
      <c r="BV1" s="10"/>
      <c r="BW1" s="10"/>
      <c r="BX1" s="10"/>
      <c r="BY1" s="10"/>
      <c r="BZ1" s="11"/>
      <c r="CA1" s="10"/>
      <c r="CB1" s="10"/>
      <c r="CC1" s="10"/>
      <c r="CD1" s="10"/>
      <c r="CE1" s="11"/>
      <c r="CF1" s="10"/>
      <c r="CG1" s="10"/>
      <c r="CH1" s="12"/>
      <c r="CI1" s="11"/>
      <c r="CJ1" s="10"/>
      <c r="CK1" s="11"/>
      <c r="CL1" s="11"/>
      <c r="CM1" s="10"/>
      <c r="CN1" s="10"/>
      <c r="CO1" s="10"/>
      <c r="CP1" s="10"/>
      <c r="CQ1" s="10"/>
      <c r="CR1" s="10"/>
      <c r="CS1" s="10"/>
      <c r="CT1" s="10"/>
      <c r="CU1" s="11"/>
      <c r="CV1" s="11"/>
      <c r="CW1" s="10"/>
      <c r="CX1" s="11"/>
    </row>
    <row r="2" ht="19.25" customHeight="1" spans="1:102" x14ac:dyDescent="0.25">
      <c r="A2" s="13" t="s">
        <v>66</v>
      </c>
      <c r="B2" t="s">
        <v>67</v>
      </c>
      <c r="C2" s="14" t="s">
        <v>68</v>
      </c>
      <c r="D2" s="15" t="s">
        <v>69</v>
      </c>
      <c r="E2" s="16" t="s">
        <v>70</v>
      </c>
      <c r="F2" s="17" t="s">
        <v>71</v>
      </c>
      <c r="G2" s="18" t="s">
        <v>72</v>
      </c>
      <c r="H2" s="19" t="s">
        <v>73</v>
      </c>
      <c r="I2" s="19" t="s">
        <v>74</v>
      </c>
      <c r="J2" s="19" t="s">
        <v>75</v>
      </c>
      <c r="K2" s="20">
        <f t="shared" ref="K2:K7" si="0">TODAY()-61</f>
        <v>45606</v>
      </c>
      <c r="L2" s="16" t="s">
        <v>70</v>
      </c>
      <c r="M2" s="16" t="s">
        <v>76</v>
      </c>
      <c r="N2" s="16">
        <v>1</v>
      </c>
      <c r="O2" s="19" t="s">
        <v>77</v>
      </c>
      <c r="P2" s="19" t="s">
        <v>78</v>
      </c>
      <c r="Q2" s="19" t="s">
        <v>77</v>
      </c>
      <c r="R2" s="19" t="s">
        <v>79</v>
      </c>
      <c r="S2" s="19" t="s">
        <v>75</v>
      </c>
      <c r="T2" s="21" t="s">
        <v>80</v>
      </c>
      <c r="U2" s="22" t="s">
        <v>81</v>
      </c>
      <c r="V2" s="19" t="s">
        <v>75</v>
      </c>
      <c r="W2" s="20">
        <f t="shared" ref="W2:W7" si="1">K2</f>
        <v>45606</v>
      </c>
      <c r="X2" s="19" t="s">
        <v>82</v>
      </c>
      <c r="Y2" s="17" t="s">
        <v>83</v>
      </c>
      <c r="Z2" s="23" t="s">
        <v>84</v>
      </c>
      <c r="AA2" s="23" t="s">
        <v>85</v>
      </c>
      <c r="AB2" s="23" t="s">
        <v>86</v>
      </c>
      <c r="AC2" s="24" t="s">
        <v>87</v>
      </c>
      <c r="AD2" s="24" t="s">
        <v>88</v>
      </c>
      <c r="AE2" s="23" t="s">
        <v>89</v>
      </c>
      <c r="AF2" s="25">
        <v>37.5</v>
      </c>
      <c r="AG2" s="26" t="s">
        <v>90</v>
      </c>
      <c r="AH2" s="27" t="s">
        <v>91</v>
      </c>
      <c r="AI2" s="27" t="s">
        <v>92</v>
      </c>
      <c r="AJ2" s="28">
        <f t="shared" ref="AJ2:AJ7" si="2">K2</f>
        <v>45606</v>
      </c>
      <c r="AK2" s="26">
        <f t="shared" ref="AK2:AK7" si="3">AG2</f>
        <v>NaN</v>
      </c>
      <c r="AL2" s="29">
        <f t="shared" ref="AL2:AL7" si="4">K2</f>
        <v>45606</v>
      </c>
      <c r="AM2" s="29">
        <f t="shared" ref="AM2:AM7" si="5">K2</f>
        <v>45606</v>
      </c>
      <c r="AN2" s="27" t="s">
        <v>93</v>
      </c>
      <c r="AO2" s="23" t="s">
        <v>94</v>
      </c>
      <c r="AP2" s="16">
        <v>100</v>
      </c>
      <c r="AQ2" s="29">
        <f t="shared" ref="AQ2:AQ7" si="6">TODAY()+20</f>
        <v>45687</v>
      </c>
      <c r="AR2" s="16" t="s">
        <v>70</v>
      </c>
      <c r="AS2" s="30" t="s">
        <v>95</v>
      </c>
      <c r="AT2" s="31">
        <v>436429800</v>
      </c>
      <c r="AU2" s="29" t="s">
        <v>96</v>
      </c>
      <c r="AV2" s="29" t="s">
        <v>97</v>
      </c>
      <c r="AW2" s="16" t="s">
        <v>70</v>
      </c>
      <c r="AX2" s="30" t="s">
        <v>98</v>
      </c>
      <c r="AY2" s="31">
        <v>354957630</v>
      </c>
      <c r="AZ2" s="29" t="s">
        <v>96</v>
      </c>
      <c r="BA2" s="29" t="s">
        <v>97</v>
      </c>
      <c r="BB2" s="32" t="s">
        <v>99</v>
      </c>
      <c r="BC2" s="29" t="s">
        <v>96</v>
      </c>
      <c r="BD2" s="30" t="s">
        <v>77</v>
      </c>
      <c r="BE2" s="30" t="s">
        <v>100</v>
      </c>
      <c r="BF2" s="30" t="s">
        <v>101</v>
      </c>
      <c r="BG2" s="33" t="s">
        <v>102</v>
      </c>
      <c r="BH2" s="33" t="s">
        <v>103</v>
      </c>
      <c r="BI2" s="34" t="s">
        <v>104</v>
      </c>
      <c r="BJ2" s="35" t="s">
        <v>105</v>
      </c>
      <c r="BK2" s="16" t="s">
        <v>106</v>
      </c>
      <c r="BL2" s="16" t="s">
        <v>70</v>
      </c>
      <c r="BM2" s="16" t="s">
        <v>76</v>
      </c>
      <c r="BN2" s="16" t="s">
        <v>76</v>
      </c>
      <c r="BO2" s="16" t="s">
        <v>107</v>
      </c>
      <c r="BP2" s="16" t="s">
        <v>108</v>
      </c>
      <c r="BQ2" s="19" t="s">
        <v>109</v>
      </c>
      <c r="BR2" s="19" t="s">
        <v>110</v>
      </c>
      <c r="BS2" t="s">
        <v>111</v>
      </c>
      <c r="BT2" s="36">
        <v>213111231</v>
      </c>
      <c r="BU2" s="37"/>
      <c r="BV2" s="38"/>
      <c r="BW2" s="39"/>
      <c r="BX2" s="40"/>
      <c r="BY2" s="41"/>
      <c r="BZ2" s="40"/>
      <c r="CA2" s="42"/>
      <c r="CB2" s="38"/>
      <c r="CC2" s="43"/>
      <c r="CD2" s="43"/>
      <c r="CE2" s="44"/>
      <c r="CF2" s="37"/>
      <c r="CG2" s="37"/>
      <c r="CH2" s="38"/>
      <c r="CI2" s="45"/>
      <c r="CJ2" s="45"/>
      <c r="CK2" s="45"/>
      <c r="CL2" s="46"/>
      <c r="CM2" s="46"/>
      <c r="CN2" s="46"/>
      <c r="CO2" s="46"/>
      <c r="CP2" s="47"/>
      <c r="CQ2" s="43"/>
      <c r="CR2" s="43"/>
      <c r="CS2" s="39"/>
      <c r="CT2" s="39"/>
      <c r="CU2" s="48"/>
      <c r="CV2" s="39"/>
      <c r="CW2" s="39"/>
      <c r="CX2" s="39"/>
    </row>
    <row r="3" ht="19.25" customHeight="1" spans="1:102" x14ac:dyDescent="0.25">
      <c r="A3" s="13" t="s">
        <v>112</v>
      </c>
      <c r="B3" t="s">
        <v>113</v>
      </c>
      <c r="C3" s="14" t="s">
        <v>68</v>
      </c>
      <c r="D3" s="15" t="s">
        <v>114</v>
      </c>
      <c r="E3" s="16" t="s">
        <v>70</v>
      </c>
      <c r="F3" s="17" t="s">
        <v>115</v>
      </c>
      <c r="G3" s="18" t="s">
        <v>116</v>
      </c>
      <c r="H3" s="19" t="s">
        <v>73</v>
      </c>
      <c r="I3" s="19" t="s">
        <v>74</v>
      </c>
      <c r="J3" s="19" t="s">
        <v>75</v>
      </c>
      <c r="K3" s="20">
        <f t="shared" si="0"/>
        <v>45606</v>
      </c>
      <c r="L3" s="16" t="s">
        <v>70</v>
      </c>
      <c r="M3" s="16" t="s">
        <v>76</v>
      </c>
      <c r="N3" s="16">
        <v>1</v>
      </c>
      <c r="O3" s="19" t="s">
        <v>77</v>
      </c>
      <c r="P3" s="19" t="s">
        <v>78</v>
      </c>
      <c r="Q3" s="19" t="s">
        <v>77</v>
      </c>
      <c r="R3" s="19" t="s">
        <v>79</v>
      </c>
      <c r="S3" s="19" t="s">
        <v>75</v>
      </c>
      <c r="T3" s="21" t="s">
        <v>80</v>
      </c>
      <c r="U3" s="22" t="s">
        <v>81</v>
      </c>
      <c r="V3" s="19" t="s">
        <v>75</v>
      </c>
      <c r="W3" s="20">
        <f t="shared" si="1"/>
        <v>45606</v>
      </c>
      <c r="X3" s="19" t="s">
        <v>82</v>
      </c>
      <c r="Y3" s="17" t="s">
        <v>117</v>
      </c>
      <c r="Z3" s="23" t="s">
        <v>84</v>
      </c>
      <c r="AA3" s="23" t="s">
        <v>118</v>
      </c>
      <c r="AB3" s="23" t="s">
        <v>86</v>
      </c>
      <c r="AC3" s="24" t="s">
        <v>87</v>
      </c>
      <c r="AD3" s="24" t="s">
        <v>88</v>
      </c>
      <c r="AE3" s="23" t="s">
        <v>89</v>
      </c>
      <c r="AF3" s="25">
        <v>37.5</v>
      </c>
      <c r="AG3" s="26" t="s">
        <v>90</v>
      </c>
      <c r="AH3" s="27" t="s">
        <v>91</v>
      </c>
      <c r="AI3" s="27" t="s">
        <v>92</v>
      </c>
      <c r="AJ3" s="28">
        <f t="shared" si="2"/>
        <v>45606</v>
      </c>
      <c r="AK3" s="26">
        <f t="shared" si="3"/>
        <v>NaN</v>
      </c>
      <c r="AL3" s="29">
        <f t="shared" si="4"/>
        <v>45606</v>
      </c>
      <c r="AM3" s="29">
        <f t="shared" si="5"/>
        <v>45606</v>
      </c>
      <c r="AN3" s="27" t="s">
        <v>119</v>
      </c>
      <c r="AO3" s="23" t="s">
        <v>120</v>
      </c>
      <c r="AP3" s="16">
        <v>100</v>
      </c>
      <c r="AQ3" s="29">
        <f t="shared" si="6"/>
        <v>45687</v>
      </c>
      <c r="AR3" s="16" t="s">
        <v>70</v>
      </c>
      <c r="AS3" s="30" t="s">
        <v>95</v>
      </c>
      <c r="AT3" s="49">
        <v>235399258</v>
      </c>
      <c r="AU3" s="29" t="s">
        <v>96</v>
      </c>
      <c r="AV3" s="29" t="s">
        <v>97</v>
      </c>
      <c r="AW3" s="16" t="s">
        <v>70</v>
      </c>
      <c r="AX3" s="30" t="s">
        <v>98</v>
      </c>
      <c r="AY3" s="49">
        <v>152992157</v>
      </c>
      <c r="AZ3" s="29" t="s">
        <v>96</v>
      </c>
      <c r="BA3" s="29" t="s">
        <v>97</v>
      </c>
      <c r="BB3" s="32" t="s">
        <v>99</v>
      </c>
      <c r="BC3" s="29" t="s">
        <v>96</v>
      </c>
      <c r="BD3" s="30" t="s">
        <v>77</v>
      </c>
      <c r="BE3" s="30" t="s">
        <v>100</v>
      </c>
      <c r="BF3" s="30" t="s">
        <v>101</v>
      </c>
      <c r="BG3" s="16" t="s">
        <v>102</v>
      </c>
      <c r="BH3" s="16" t="s">
        <v>103</v>
      </c>
      <c r="BI3" s="50" t="s">
        <v>104</v>
      </c>
      <c r="BJ3" t="s">
        <v>105</v>
      </c>
      <c r="BK3" s="16" t="s">
        <v>106</v>
      </c>
      <c r="BL3" s="16" t="s">
        <v>70</v>
      </c>
      <c r="BM3" s="16" t="s">
        <v>121</v>
      </c>
      <c r="BN3" s="16" t="s">
        <v>122</v>
      </c>
      <c r="BO3" s="16" t="s">
        <v>107</v>
      </c>
      <c r="BP3" s="16" t="s">
        <v>108</v>
      </c>
      <c r="BQ3" s="19" t="s">
        <v>109</v>
      </c>
      <c r="BR3" s="19" t="s">
        <v>110</v>
      </c>
      <c r="BS3" t="s">
        <v>111</v>
      </c>
      <c r="BT3" s="36">
        <v>213111231</v>
      </c>
      <c r="BU3" s="37"/>
      <c r="BV3" s="38"/>
      <c r="BW3" s="39"/>
      <c r="BX3" s="40"/>
      <c r="BY3" s="41"/>
      <c r="BZ3" s="40"/>
      <c r="CA3" s="42"/>
      <c r="CB3" s="38"/>
      <c r="CC3" s="43"/>
      <c r="CD3" s="43"/>
      <c r="CE3" s="44"/>
      <c r="CF3" s="37"/>
      <c r="CG3" s="37"/>
      <c r="CH3" s="38"/>
      <c r="CI3" s="45"/>
      <c r="CJ3" s="45"/>
      <c r="CK3" s="45"/>
      <c r="CL3" s="46"/>
      <c r="CM3" s="46"/>
      <c r="CN3" s="46"/>
      <c r="CO3" s="46"/>
      <c r="CP3" s="47"/>
      <c r="CQ3" s="43"/>
      <c r="CR3" s="43"/>
      <c r="CS3" s="39"/>
      <c r="CT3" s="39"/>
      <c r="CU3" s="39"/>
      <c r="CV3" s="39"/>
      <c r="CW3" s="39"/>
      <c r="CX3" s="39"/>
    </row>
    <row r="4" ht="14.4" customHeight="1" spans="1:72" x14ac:dyDescent="0.25">
      <c r="A4" s="13" t="s">
        <v>123</v>
      </c>
      <c r="B4" t="s">
        <v>124</v>
      </c>
      <c r="C4" s="14" t="s">
        <v>68</v>
      </c>
      <c r="D4" s="15" t="s">
        <v>69</v>
      </c>
      <c r="E4" s="16" t="s">
        <v>70</v>
      </c>
      <c r="F4" s="17" t="s">
        <v>125</v>
      </c>
      <c r="G4" s="18" t="s">
        <v>126</v>
      </c>
      <c r="H4" s="19" t="s">
        <v>73</v>
      </c>
      <c r="I4" s="19" t="s">
        <v>74</v>
      </c>
      <c r="J4" s="19" t="s">
        <v>75</v>
      </c>
      <c r="K4" s="20">
        <f t="shared" si="0"/>
        <v>45606</v>
      </c>
      <c r="L4" s="16" t="s">
        <v>70</v>
      </c>
      <c r="M4" s="16" t="s">
        <v>76</v>
      </c>
      <c r="N4" s="16">
        <v>1</v>
      </c>
      <c r="O4" s="19" t="s">
        <v>77</v>
      </c>
      <c r="P4" s="19" t="s">
        <v>78</v>
      </c>
      <c r="Q4" s="19" t="s">
        <v>77</v>
      </c>
      <c r="R4" s="19" t="s">
        <v>79</v>
      </c>
      <c r="S4" s="19" t="s">
        <v>75</v>
      </c>
      <c r="T4" s="21" t="s">
        <v>80</v>
      </c>
      <c r="U4" s="22" t="s">
        <v>81</v>
      </c>
      <c r="V4" s="19" t="s">
        <v>75</v>
      </c>
      <c r="W4" s="20">
        <f t="shared" si="1"/>
        <v>45606</v>
      </c>
      <c r="X4" s="19" t="s">
        <v>82</v>
      </c>
      <c r="Y4" s="17" t="s">
        <v>83</v>
      </c>
      <c r="Z4" s="28" t="s">
        <v>127</v>
      </c>
      <c r="AA4" s="23" t="s">
        <v>85</v>
      </c>
      <c r="AB4" s="23" t="s">
        <v>86</v>
      </c>
      <c r="AC4" s="24" t="s">
        <v>87</v>
      </c>
      <c r="AD4" s="24" t="s">
        <v>88</v>
      </c>
      <c r="AE4" s="23" t="s">
        <v>89</v>
      </c>
      <c r="AF4" s="25">
        <v>37.5</v>
      </c>
      <c r="AG4" s="26">
        <f>TODAY()+365</f>
        <v>46032</v>
      </c>
      <c r="AH4" s="27" t="s">
        <v>91</v>
      </c>
      <c r="AI4" s="27" t="s">
        <v>92</v>
      </c>
      <c r="AJ4" s="28">
        <f t="shared" si="2"/>
        <v>45606</v>
      </c>
      <c r="AK4" s="26">
        <f t="shared" si="3"/>
        <v>46032</v>
      </c>
      <c r="AL4" s="29">
        <f t="shared" si="4"/>
        <v>45606</v>
      </c>
      <c r="AM4" s="29">
        <f t="shared" si="5"/>
        <v>45606</v>
      </c>
      <c r="AN4" s="27" t="s">
        <v>93</v>
      </c>
      <c r="AO4" s="23" t="s">
        <v>128</v>
      </c>
      <c r="AP4" s="16">
        <v>100</v>
      </c>
      <c r="AQ4" s="29">
        <f t="shared" si="6"/>
        <v>45687</v>
      </c>
      <c r="AR4" s="16" t="s">
        <v>70</v>
      </c>
      <c r="AS4" s="30" t="s">
        <v>95</v>
      </c>
      <c r="AT4" s="49">
        <v>235399257</v>
      </c>
      <c r="AU4" s="29" t="s">
        <v>96</v>
      </c>
      <c r="AV4" s="29" t="s">
        <v>97</v>
      </c>
      <c r="AW4" s="16" t="s">
        <v>70</v>
      </c>
      <c r="AX4" s="30" t="s">
        <v>98</v>
      </c>
      <c r="AY4" s="49">
        <v>152982156</v>
      </c>
      <c r="AZ4" s="29" t="s">
        <v>96</v>
      </c>
      <c r="BA4" s="29" t="s">
        <v>97</v>
      </c>
      <c r="BB4" s="32" t="s">
        <v>99</v>
      </c>
      <c r="BC4" s="29" t="s">
        <v>96</v>
      </c>
      <c r="BD4" s="30" t="s">
        <v>77</v>
      </c>
      <c r="BE4" s="30" t="s">
        <v>100</v>
      </c>
      <c r="BF4" s="30" t="s">
        <v>101</v>
      </c>
      <c r="BG4" s="16" t="s">
        <v>102</v>
      </c>
      <c r="BH4" s="16" t="s">
        <v>103</v>
      </c>
      <c r="BI4" s="50" t="s">
        <v>104</v>
      </c>
      <c r="BJ4" t="s">
        <v>105</v>
      </c>
      <c r="BK4" s="16" t="s">
        <v>106</v>
      </c>
      <c r="BL4" s="16" t="s">
        <v>70</v>
      </c>
      <c r="BM4" s="16" t="s">
        <v>129</v>
      </c>
      <c r="BN4" s="16" t="s">
        <v>130</v>
      </c>
      <c r="BO4" s="16" t="s">
        <v>107</v>
      </c>
      <c r="BP4" s="16" t="s">
        <v>108</v>
      </c>
      <c r="BQ4" s="19" t="s">
        <v>109</v>
      </c>
      <c r="BR4" s="19" t="s">
        <v>110</v>
      </c>
      <c r="BS4" t="s">
        <v>111</v>
      </c>
      <c r="BT4" s="36">
        <v>213111231</v>
      </c>
    </row>
    <row r="5" ht="14.4" customHeight="1" spans="1:72" x14ac:dyDescent="0.25">
      <c r="A5" s="13" t="s">
        <v>131</v>
      </c>
      <c r="B5" t="s">
        <v>132</v>
      </c>
      <c r="C5" s="14" t="s">
        <v>68</v>
      </c>
      <c r="D5" s="15" t="s">
        <v>114</v>
      </c>
      <c r="E5" s="16" t="s">
        <v>70</v>
      </c>
      <c r="F5" s="17" t="s">
        <v>133</v>
      </c>
      <c r="G5" s="18" t="s">
        <v>134</v>
      </c>
      <c r="H5" s="19" t="s">
        <v>73</v>
      </c>
      <c r="I5" s="19" t="s">
        <v>74</v>
      </c>
      <c r="J5" s="19" t="s">
        <v>75</v>
      </c>
      <c r="K5" s="20">
        <f t="shared" si="0"/>
        <v>45606</v>
      </c>
      <c r="L5" s="16" t="s">
        <v>70</v>
      </c>
      <c r="M5" s="16" t="s">
        <v>76</v>
      </c>
      <c r="N5" s="16">
        <v>1</v>
      </c>
      <c r="O5" s="19" t="s">
        <v>77</v>
      </c>
      <c r="P5" s="19" t="s">
        <v>78</v>
      </c>
      <c r="Q5" s="19" t="s">
        <v>77</v>
      </c>
      <c r="R5" s="19" t="s">
        <v>79</v>
      </c>
      <c r="S5" s="19" t="s">
        <v>75</v>
      </c>
      <c r="T5" s="21" t="s">
        <v>80</v>
      </c>
      <c r="U5" s="22" t="s">
        <v>81</v>
      </c>
      <c r="V5" s="19" t="s">
        <v>75</v>
      </c>
      <c r="W5" s="20">
        <f t="shared" si="1"/>
        <v>45606</v>
      </c>
      <c r="X5" s="19" t="s">
        <v>82</v>
      </c>
      <c r="Y5" s="17" t="s">
        <v>135</v>
      </c>
      <c r="Z5" s="28" t="s">
        <v>127</v>
      </c>
      <c r="AA5" s="23" t="s">
        <v>136</v>
      </c>
      <c r="AB5" s="23" t="s">
        <v>86</v>
      </c>
      <c r="AC5" s="24" t="s">
        <v>87</v>
      </c>
      <c r="AD5" s="24" t="s">
        <v>88</v>
      </c>
      <c r="AE5" s="23" t="s">
        <v>89</v>
      </c>
      <c r="AF5" s="25">
        <v>37.5</v>
      </c>
      <c r="AG5" s="26">
        <f>TODAY()+365</f>
        <v>46032</v>
      </c>
      <c r="AH5" s="27" t="s">
        <v>91</v>
      </c>
      <c r="AI5" s="27" t="s">
        <v>92</v>
      </c>
      <c r="AJ5" s="28">
        <f t="shared" si="2"/>
        <v>45606</v>
      </c>
      <c r="AK5" s="26">
        <f t="shared" si="3"/>
        <v>46032</v>
      </c>
      <c r="AL5" s="29">
        <f t="shared" si="4"/>
        <v>45606</v>
      </c>
      <c r="AM5" s="29">
        <f t="shared" si="5"/>
        <v>45606</v>
      </c>
      <c r="AN5" s="27" t="s">
        <v>119</v>
      </c>
      <c r="AO5" s="23" t="s">
        <v>120</v>
      </c>
      <c r="AP5" s="16">
        <v>100</v>
      </c>
      <c r="AQ5" s="29">
        <f t="shared" si="6"/>
        <v>45687</v>
      </c>
      <c r="AR5" s="16" t="s">
        <v>70</v>
      </c>
      <c r="AS5" s="30" t="s">
        <v>95</v>
      </c>
      <c r="AT5" s="49">
        <v>235399256</v>
      </c>
      <c r="AU5" s="29" t="s">
        <v>96</v>
      </c>
      <c r="AV5" s="29" t="s">
        <v>97</v>
      </c>
      <c r="AW5" s="16" t="s">
        <v>70</v>
      </c>
      <c r="AX5" s="30" t="s">
        <v>98</v>
      </c>
      <c r="AY5" s="49">
        <v>152972155</v>
      </c>
      <c r="AZ5" s="29" t="s">
        <v>96</v>
      </c>
      <c r="BA5" s="29" t="s">
        <v>97</v>
      </c>
      <c r="BB5" s="32" t="s">
        <v>99</v>
      </c>
      <c r="BC5" s="29" t="s">
        <v>96</v>
      </c>
      <c r="BD5" s="30" t="s">
        <v>77</v>
      </c>
      <c r="BE5" s="30" t="s">
        <v>100</v>
      </c>
      <c r="BF5" s="30" t="s">
        <v>101</v>
      </c>
      <c r="BG5" s="16" t="s">
        <v>102</v>
      </c>
      <c r="BH5" s="16" t="s">
        <v>103</v>
      </c>
      <c r="BI5" s="50" t="s">
        <v>104</v>
      </c>
      <c r="BJ5" t="s">
        <v>105</v>
      </c>
      <c r="BK5" s="16" t="s">
        <v>106</v>
      </c>
      <c r="BL5" s="16" t="s">
        <v>70</v>
      </c>
      <c r="BM5" s="16" t="s">
        <v>137</v>
      </c>
      <c r="BN5" s="16" t="s">
        <v>138</v>
      </c>
      <c r="BO5" s="16" t="s">
        <v>107</v>
      </c>
      <c r="BP5" s="16" t="s">
        <v>108</v>
      </c>
      <c r="BQ5" s="19" t="s">
        <v>109</v>
      </c>
      <c r="BR5" s="19" t="s">
        <v>110</v>
      </c>
      <c r="BS5" t="s">
        <v>111</v>
      </c>
      <c r="BT5" s="36">
        <v>213111231</v>
      </c>
    </row>
    <row r="6" ht="14.4" customHeight="1" spans="1:72" x14ac:dyDescent="0.25">
      <c r="A6" s="13" t="s">
        <v>139</v>
      </c>
      <c r="B6" t="s">
        <v>140</v>
      </c>
      <c r="C6" s="51" t="s">
        <v>141</v>
      </c>
      <c r="D6" s="15" t="s">
        <v>69</v>
      </c>
      <c r="E6" s="16" t="s">
        <v>70</v>
      </c>
      <c r="F6" s="17" t="s">
        <v>142</v>
      </c>
      <c r="G6" s="18" t="s">
        <v>143</v>
      </c>
      <c r="H6" s="19" t="s">
        <v>73</v>
      </c>
      <c r="I6" s="19" t="s">
        <v>74</v>
      </c>
      <c r="J6" s="19" t="s">
        <v>75</v>
      </c>
      <c r="K6" s="20">
        <f t="shared" si="0"/>
        <v>45606</v>
      </c>
      <c r="L6" s="16" t="s">
        <v>70</v>
      </c>
      <c r="M6" s="16" t="s">
        <v>76</v>
      </c>
      <c r="N6" s="16">
        <v>1</v>
      </c>
      <c r="O6" s="19" t="s">
        <v>77</v>
      </c>
      <c r="P6" s="19" t="s">
        <v>78</v>
      </c>
      <c r="Q6" s="19" t="s">
        <v>77</v>
      </c>
      <c r="R6" s="19" t="s">
        <v>79</v>
      </c>
      <c r="S6" s="19" t="s">
        <v>75</v>
      </c>
      <c r="T6" s="21" t="s">
        <v>80</v>
      </c>
      <c r="U6" s="22" t="s">
        <v>81</v>
      </c>
      <c r="V6" s="19" t="s">
        <v>75</v>
      </c>
      <c r="W6" s="20">
        <f t="shared" si="1"/>
        <v>45606</v>
      </c>
      <c r="X6" s="19" t="s">
        <v>82</v>
      </c>
      <c r="Y6" s="17" t="s">
        <v>83</v>
      </c>
      <c r="Z6" s="23" t="s">
        <v>84</v>
      </c>
      <c r="AA6" s="23" t="s">
        <v>85</v>
      </c>
      <c r="AB6" s="23" t="s">
        <v>86</v>
      </c>
      <c r="AC6" s="24" t="s">
        <v>87</v>
      </c>
      <c r="AD6" s="24" t="s">
        <v>88</v>
      </c>
      <c r="AE6" s="23" t="s">
        <v>89</v>
      </c>
      <c r="AF6" s="25">
        <v>37.5</v>
      </c>
      <c r="AG6" s="26" t="s">
        <v>90</v>
      </c>
      <c r="AH6" s="27" t="s">
        <v>91</v>
      </c>
      <c r="AI6" s="27" t="s">
        <v>92</v>
      </c>
      <c r="AJ6" s="28">
        <f t="shared" si="2"/>
        <v>45606</v>
      </c>
      <c r="AK6" s="26">
        <f t="shared" si="3"/>
        <v>NaN</v>
      </c>
      <c r="AL6" s="29">
        <f t="shared" si="4"/>
        <v>45606</v>
      </c>
      <c r="AM6" s="29">
        <f t="shared" si="5"/>
        <v>45606</v>
      </c>
      <c r="AN6" s="27" t="s">
        <v>93</v>
      </c>
      <c r="AO6" s="23" t="s">
        <v>144</v>
      </c>
      <c r="AP6" s="16">
        <v>100</v>
      </c>
      <c r="AQ6" s="29">
        <f t="shared" si="6"/>
        <v>45687</v>
      </c>
      <c r="AR6" s="16" t="s">
        <v>70</v>
      </c>
      <c r="AS6" s="30" t="s">
        <v>95</v>
      </c>
      <c r="AT6" s="49">
        <v>235399255</v>
      </c>
      <c r="AU6" s="29" t="s">
        <v>96</v>
      </c>
      <c r="AV6" s="29" t="s">
        <v>97</v>
      </c>
      <c r="AW6" s="16" t="s">
        <v>70</v>
      </c>
      <c r="AX6" s="30" t="s">
        <v>98</v>
      </c>
      <c r="AY6" s="49">
        <v>152962154</v>
      </c>
      <c r="AZ6" s="29" t="s">
        <v>96</v>
      </c>
      <c r="BA6" s="29" t="s">
        <v>97</v>
      </c>
      <c r="BB6" s="32" t="s">
        <v>99</v>
      </c>
      <c r="BC6" s="29" t="s">
        <v>96</v>
      </c>
      <c r="BD6" s="30" t="s">
        <v>77</v>
      </c>
      <c r="BE6" s="30" t="s">
        <v>100</v>
      </c>
      <c r="BF6" s="30" t="s">
        <v>101</v>
      </c>
      <c r="BG6" s="16" t="s">
        <v>102</v>
      </c>
      <c r="BH6" s="16" t="s">
        <v>103</v>
      </c>
      <c r="BI6" s="50" t="s">
        <v>104</v>
      </c>
      <c r="BJ6" t="s">
        <v>105</v>
      </c>
      <c r="BK6" s="16" t="s">
        <v>106</v>
      </c>
      <c r="BL6" s="16" t="s">
        <v>70</v>
      </c>
      <c r="BM6" s="16" t="s">
        <v>145</v>
      </c>
      <c r="BN6" s="16" t="s">
        <v>146</v>
      </c>
      <c r="BO6" s="16" t="s">
        <v>107</v>
      </c>
      <c r="BP6" s="16" t="s">
        <v>108</v>
      </c>
      <c r="BQ6" s="19" t="s">
        <v>109</v>
      </c>
      <c r="BR6" s="19" t="s">
        <v>110</v>
      </c>
      <c r="BS6" t="s">
        <v>111</v>
      </c>
      <c r="BT6" s="36">
        <v>213111231</v>
      </c>
    </row>
    <row r="7" ht="14.4" customHeight="1" spans="1:72" x14ac:dyDescent="0.25">
      <c r="A7" s="13" t="s">
        <v>147</v>
      </c>
      <c r="D7" s="15" t="s">
        <v>114</v>
      </c>
      <c r="E7" s="16" t="s">
        <v>70</v>
      </c>
      <c r="F7" s="17" t="s">
        <v>148</v>
      </c>
      <c r="G7" s="18" t="s">
        <v>149</v>
      </c>
      <c r="H7" s="19" t="s">
        <v>150</v>
      </c>
      <c r="I7" s="19" t="s">
        <v>74</v>
      </c>
      <c r="J7" s="19" t="s">
        <v>75</v>
      </c>
      <c r="K7" s="20">
        <f t="shared" si="0"/>
        <v>45606</v>
      </c>
      <c r="L7" s="16" t="s">
        <v>70</v>
      </c>
      <c r="M7" s="16" t="s">
        <v>76</v>
      </c>
      <c r="N7" s="16">
        <v>1</v>
      </c>
      <c r="O7" s="19" t="s">
        <v>77</v>
      </c>
      <c r="P7" s="19" t="s">
        <v>78</v>
      </c>
      <c r="Q7" s="19" t="s">
        <v>77</v>
      </c>
      <c r="R7" s="19" t="s">
        <v>79</v>
      </c>
      <c r="S7" s="19" t="s">
        <v>75</v>
      </c>
      <c r="T7" s="21" t="s">
        <v>80</v>
      </c>
      <c r="U7" s="22" t="s">
        <v>81</v>
      </c>
      <c r="V7" s="19" t="s">
        <v>75</v>
      </c>
      <c r="W7" s="20">
        <f t="shared" si="1"/>
        <v>45606</v>
      </c>
      <c r="X7" s="19" t="s">
        <v>82</v>
      </c>
      <c r="Y7" s="17" t="s">
        <v>151</v>
      </c>
      <c r="Z7" s="23" t="s">
        <v>84</v>
      </c>
      <c r="AA7" s="23" t="s">
        <v>152</v>
      </c>
      <c r="AB7" s="23" t="s">
        <v>86</v>
      </c>
      <c r="AC7" s="24" t="s">
        <v>87</v>
      </c>
      <c r="AD7" s="24" t="s">
        <v>88</v>
      </c>
      <c r="AE7" s="23" t="s">
        <v>89</v>
      </c>
      <c r="AF7" s="25">
        <v>37.5</v>
      </c>
      <c r="AG7" s="26" t="s">
        <v>90</v>
      </c>
      <c r="AH7" s="27" t="s">
        <v>91</v>
      </c>
      <c r="AI7" s="27" t="s">
        <v>92</v>
      </c>
      <c r="AJ7" s="28">
        <f t="shared" si="2"/>
        <v>45606</v>
      </c>
      <c r="AK7" s="26">
        <f t="shared" si="3"/>
        <v>NaN</v>
      </c>
      <c r="AL7" s="29">
        <f t="shared" si="4"/>
        <v>45606</v>
      </c>
      <c r="AM7" s="29">
        <f t="shared" si="5"/>
        <v>45606</v>
      </c>
      <c r="AN7" s="27" t="s">
        <v>119</v>
      </c>
      <c r="AO7" s="23" t="s">
        <v>120</v>
      </c>
      <c r="AP7" s="16">
        <v>100</v>
      </c>
      <c r="AQ7" s="29">
        <f t="shared" si="6"/>
        <v>45687</v>
      </c>
      <c r="AR7" s="16" t="s">
        <v>70</v>
      </c>
      <c r="AS7" s="30" t="s">
        <v>95</v>
      </c>
      <c r="AT7" s="49">
        <v>235399254</v>
      </c>
      <c r="AU7" s="29" t="s">
        <v>96</v>
      </c>
      <c r="AV7" s="29" t="s">
        <v>97</v>
      </c>
      <c r="AW7" s="16" t="s">
        <v>70</v>
      </c>
      <c r="AX7" s="30" t="s">
        <v>98</v>
      </c>
      <c r="AY7" s="49">
        <v>152952153</v>
      </c>
      <c r="AZ7" s="29" t="s">
        <v>96</v>
      </c>
      <c r="BA7" s="29" t="s">
        <v>97</v>
      </c>
      <c r="BB7" s="32" t="s">
        <v>99</v>
      </c>
      <c r="BC7" s="29" t="s">
        <v>96</v>
      </c>
      <c r="BD7" s="30" t="s">
        <v>77</v>
      </c>
      <c r="BE7" s="30" t="s">
        <v>100</v>
      </c>
      <c r="BF7" s="30" t="s">
        <v>101</v>
      </c>
      <c r="BG7" s="16" t="s">
        <v>102</v>
      </c>
      <c r="BH7" s="16" t="s">
        <v>103</v>
      </c>
      <c r="BI7" s="50" t="s">
        <v>104</v>
      </c>
      <c r="BJ7" t="s">
        <v>105</v>
      </c>
      <c r="BK7" s="16" t="s">
        <v>106</v>
      </c>
      <c r="BL7" s="16" t="s">
        <v>70</v>
      </c>
      <c r="BM7" s="16" t="s">
        <v>76</v>
      </c>
      <c r="BN7" s="16" t="s">
        <v>76</v>
      </c>
      <c r="BO7" s="16" t="s">
        <v>107</v>
      </c>
      <c r="BP7" s="16" t="s">
        <v>108</v>
      </c>
      <c r="BQ7" s="19" t="s">
        <v>109</v>
      </c>
      <c r="BR7" s="19" t="s">
        <v>110</v>
      </c>
      <c r="BS7" t="s">
        <v>111</v>
      </c>
      <c r="BT7" s="36">
        <v>213111231</v>
      </c>
    </row>
    <row r="8" ht="14.4" customHeight="1" spans="46:51" x14ac:dyDescent="0.25">
      <c r="AT8" s="49">
        <v>235399253</v>
      </c>
      <c r="AY8" s="49">
        <v>152942152</v>
      </c>
    </row>
  </sheetData>
  <dataValidations count="6">
    <dataValidation type="list" allowBlank="1" showInputMessage="1" showErrorMessage="1" sqref="AI2:AI7">
      <formula1>INDIRECT($E2)</formula1>
    </dataValidation>
    <dataValidation type="list" allowBlank="1" showInputMessage="1" showErrorMessage="1" sqref="BH2:BH7">
      <formula1>INDIRECT($E2)</formula1>
    </dataValidation>
    <dataValidation type="list" allowBlank="1" showInputMessage="1" showErrorMessage="1" sqref="J2:J7">
      <formula1>INDIRECT($E2)</formula1>
    </dataValidation>
    <dataValidation type="list" allowBlank="1" showInputMessage="1" showErrorMessage="1" sqref="S2:S7">
      <formula1>INDIRECT($E2)</formula1>
    </dataValidation>
    <dataValidation type="list" allowBlank="1" showInputMessage="1" showErrorMessage="1" sqref="V2:V7">
      <formula1>INDIRECT($E2)</formula1>
    </dataValidation>
    <dataValidation type="list" allowBlank="1" showInputMessage="1" showErrorMessage="1" sqref="X2:X7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2025-01-10T07:38:25Z</dcterms:modified>
</cp:coreProperties>
</file>