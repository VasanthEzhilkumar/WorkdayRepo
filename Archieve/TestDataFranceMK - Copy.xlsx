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303D379E-2BDA-4C3D-B743-B24D82E7E8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3" i="1" l="1"/>
  <c r="BB52" i="1"/>
  <c r="BB51" i="1"/>
  <c r="BB50" i="1"/>
  <c r="BB49" i="1"/>
  <c r="BB48" i="1"/>
  <c r="BA28" i="1" a="1"/>
  <c r="BA45" i="1" s="1"/>
  <c r="AY28" i="1" a="1"/>
  <c r="AY46" i="1" s="1"/>
  <c r="AV16" i="1"/>
  <c r="AN16" i="1"/>
  <c r="L16" i="1"/>
  <c r="V16" i="1" s="1"/>
  <c r="AL16" i="1" s="1"/>
  <c r="AV15" i="1"/>
  <c r="L15" i="1"/>
  <c r="V15" i="1" s="1"/>
  <c r="AV14" i="1"/>
  <c r="AN14" i="1"/>
  <c r="L14" i="1"/>
  <c r="V14" i="1" s="1"/>
  <c r="AV13" i="1"/>
  <c r="L13" i="1"/>
  <c r="V13" i="1" s="1"/>
  <c r="AV12" i="1"/>
  <c r="AN12" i="1"/>
  <c r="L12" i="1"/>
  <c r="V12" i="1" s="1"/>
  <c r="AV11" i="1"/>
  <c r="L11" i="1"/>
  <c r="V11" i="1" s="1"/>
  <c r="AV10" i="1"/>
  <c r="L10" i="1"/>
  <c r="V10" i="1" s="1"/>
  <c r="AK10" i="1" s="1"/>
  <c r="AV9" i="1"/>
  <c r="AN9" i="1"/>
  <c r="L9" i="1"/>
  <c r="V9" i="1" s="1"/>
  <c r="AL9" i="1" s="1"/>
  <c r="AV8" i="1"/>
  <c r="L8" i="1"/>
  <c r="V8" i="1" s="1"/>
  <c r="AV7" i="1"/>
  <c r="AN7" i="1"/>
  <c r="L7" i="1"/>
  <c r="V7" i="1" s="1"/>
  <c r="AV6" i="1"/>
  <c r="AN6" i="1"/>
  <c r="L6" i="1"/>
  <c r="V6" i="1" s="1"/>
  <c r="AV5" i="1"/>
  <c r="L5" i="1"/>
  <c r="V5" i="1" s="1"/>
  <c r="AV4" i="1"/>
  <c r="AN4" i="1"/>
  <c r="L4" i="1"/>
  <c r="V4" i="1" s="1"/>
  <c r="AV3" i="1"/>
  <c r="AN3" i="1"/>
  <c r="L3" i="1"/>
  <c r="V3" i="1" s="1"/>
  <c r="BV2" i="1" a="1"/>
  <c r="BV14" i="1" s="1"/>
  <c r="AV2" i="1"/>
  <c r="AN2" i="1"/>
  <c r="L2" i="1"/>
  <c r="V2" i="1" s="1"/>
  <c r="AL15" i="1" l="1"/>
  <c r="AG15" i="1"/>
  <c r="AN15" i="1" s="1"/>
  <c r="AM14" i="1"/>
  <c r="AK14" i="1"/>
  <c r="AL14" i="1"/>
  <c r="BV8" i="1"/>
  <c r="BV4" i="1"/>
  <c r="BV12" i="1"/>
  <c r="AK15" i="1"/>
  <c r="AK12" i="1"/>
  <c r="AM12" i="1"/>
  <c r="AL12" i="1"/>
  <c r="AK4" i="1"/>
  <c r="AM4" i="1"/>
  <c r="AL4" i="1"/>
  <c r="AM7" i="1"/>
  <c r="AL7" i="1"/>
  <c r="AK7" i="1"/>
  <c r="AG11" i="1"/>
  <c r="AN11" i="1" s="1"/>
  <c r="AK11" i="1"/>
  <c r="AM11" i="1"/>
  <c r="AL11" i="1"/>
  <c r="AM5" i="1"/>
  <c r="AG5" i="1"/>
  <c r="AN5" i="1" s="1"/>
  <c r="AL5" i="1"/>
  <c r="AK5" i="1"/>
  <c r="AL8" i="1"/>
  <c r="AM8" i="1"/>
  <c r="AK8" i="1"/>
  <c r="AG8" i="1"/>
  <c r="AN8" i="1" s="1"/>
  <c r="AK2" i="1"/>
  <c r="AM2" i="1"/>
  <c r="AL2" i="1"/>
  <c r="AK3" i="1"/>
  <c r="AM3" i="1"/>
  <c r="AL3" i="1"/>
  <c r="AM6" i="1"/>
  <c r="AL6" i="1"/>
  <c r="AK6" i="1"/>
  <c r="AM13" i="1"/>
  <c r="AG13" i="1"/>
  <c r="AN13" i="1" s="1"/>
  <c r="AL13" i="1"/>
  <c r="AK13" i="1"/>
  <c r="BV16" i="1"/>
  <c r="AM10" i="1"/>
  <c r="BV2" i="1"/>
  <c r="BV5" i="1"/>
  <c r="BV9" i="1"/>
  <c r="BV13" i="1"/>
  <c r="AK9" i="1"/>
  <c r="AG10" i="1"/>
  <c r="AN10" i="1" s="1"/>
  <c r="AK16" i="1"/>
  <c r="AY29" i="1"/>
  <c r="AY33" i="1"/>
  <c r="AY37" i="1"/>
  <c r="AY41" i="1"/>
  <c r="AY45" i="1"/>
  <c r="BB45" i="1" s="1"/>
  <c r="BV3" i="1"/>
  <c r="BV7" i="1"/>
  <c r="BV11" i="1"/>
  <c r="BV15" i="1"/>
  <c r="AM9" i="1"/>
  <c r="AL10" i="1"/>
  <c r="AM15" i="1"/>
  <c r="AM16" i="1"/>
  <c r="AY28" i="1"/>
  <c r="AY31" i="1"/>
  <c r="AY35" i="1"/>
  <c r="BB35" i="1" s="1"/>
  <c r="AY9" i="1" s="1"/>
  <c r="AY39" i="1"/>
  <c r="AY43" i="1"/>
  <c r="AY47" i="1"/>
  <c r="BA30" i="1"/>
  <c r="BA34" i="1"/>
  <c r="BA38" i="1"/>
  <c r="BA42" i="1"/>
  <c r="BA46" i="1"/>
  <c r="BB46" i="1" s="1"/>
  <c r="AY32" i="1"/>
  <c r="AY36" i="1"/>
  <c r="AY40" i="1"/>
  <c r="AY44" i="1"/>
  <c r="BB44" i="1" s="1"/>
  <c r="BA28" i="1"/>
  <c r="BA31" i="1"/>
  <c r="BA35" i="1"/>
  <c r="BA39" i="1"/>
  <c r="BA43" i="1"/>
  <c r="BA47" i="1"/>
  <c r="BA32" i="1"/>
  <c r="BA36" i="1"/>
  <c r="BA40" i="1"/>
  <c r="BA44" i="1"/>
  <c r="BV6" i="1"/>
  <c r="BV10" i="1"/>
  <c r="AY30" i="1"/>
  <c r="AY34" i="1"/>
  <c r="AY38" i="1"/>
  <c r="AY42" i="1"/>
  <c r="BB42" i="1" s="1"/>
  <c r="AY16" i="1" s="1"/>
  <c r="BA29" i="1"/>
  <c r="BA33" i="1"/>
  <c r="BA37" i="1"/>
  <c r="BA41" i="1"/>
  <c r="BB30" i="1" l="1"/>
  <c r="AY4" i="1" s="1"/>
  <c r="BB32" i="1"/>
  <c r="AY6" i="1" s="1"/>
  <c r="BB38" i="1"/>
  <c r="AY12" i="1" s="1"/>
  <c r="BB40" i="1"/>
  <c r="AY14" i="1" s="1"/>
  <c r="BB47" i="1"/>
  <c r="BB31" i="1"/>
  <c r="AY5" i="1" s="1"/>
  <c r="BB37" i="1"/>
  <c r="AY11" i="1" s="1"/>
  <c r="BB41" i="1"/>
  <c r="AY15" i="1" s="1"/>
  <c r="BB34" i="1"/>
  <c r="AY8" i="1" s="1"/>
  <c r="BB36" i="1"/>
  <c r="AY10" i="1" s="1"/>
  <c r="BB43" i="1"/>
  <c r="BB28" i="1"/>
  <c r="AY2" i="1" s="1"/>
  <c r="BB33" i="1"/>
  <c r="AY7" i="1" s="1"/>
  <c r="BB39" i="1"/>
  <c r="AY13" i="1" s="1"/>
  <c r="BB29" i="1"/>
  <c r="AY3" i="1" s="1"/>
</calcChain>
</file>

<file path=xl/sharedStrings.xml><?xml version="1.0" encoding="utf-8"?>
<sst xmlns="http://schemas.openxmlformats.org/spreadsheetml/2006/main" count="1035" uniqueCount="198">
  <si>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</si>
  <si>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</si>
  <si>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</si>
  <si>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</si>
  <si>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</si>
  <si>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</si>
  <si>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</si>
  <si>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</si>
  <si>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</si>
  <si>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</si>
  <si>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</si>
  <si>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</si>
  <si>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StreetNameAndType</t>
  </si>
  <si>
    <t>City</t>
  </si>
  <si>
    <t>Department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</si>
  <si>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</si>
  <si>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</si>
  <si>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</si>
  <si>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</si>
  <si>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</si>
  <si>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</si>
  <si>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</si>
  <si>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</si>
  <si>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</si>
  <si>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</si>
  <si>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</si>
  <si>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</si>
  <si>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</si>
  <si>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</si>
  <si>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</si>
  <si>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</si>
  <si>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</si>
  <si>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</si>
  <si>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</si>
  <si>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</si>
  <si>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</si>
  <si>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</si>
  <si>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</si>
  <si>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</si>
  <si>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</si>
  <si>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</si>
  <si>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</si>
  <si>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</si>
  <si>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</si>
  <si>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</si>
  <si>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</si>
  <si>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</si>
  <si>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</si>
  <si>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</t>
  </si>
  <si>
    <t>ExpirationDate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</si>
  <si>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</si>
  <si>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</si>
  <si>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</si>
  <si>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</si>
  <si>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</si>
  <si>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</si>
  <si>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</si>
  <si>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</si>
  <si>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BankName</t>
  </si>
  <si>
    <t>BankIdentificationCode</t>
  </si>
  <si>
    <t>AccountType</t>
  </si>
  <si>
    <t>IBAN</t>
  </si>
  <si>
    <t>NameOnAccount</t>
  </si>
  <si>
    <t>Prefix1</t>
  </si>
  <si>
    <t>NameType</t>
  </si>
  <si>
    <t>GivenName1</t>
  </si>
  <si>
    <t>FamilyName1</t>
  </si>
  <si>
    <t>PassportIDType</t>
  </si>
  <si>
    <t>IdentificationNo</t>
  </si>
  <si>
    <t>ProposedPayGroupFinal</t>
  </si>
  <si>
    <t>Test2</t>
  </si>
  <si>
    <t>221 Recruitment (Rivel Hehyte (10216960))</t>
  </si>
  <si>
    <t>France</t>
  </si>
  <si>
    <t>Madame</t>
  </si>
  <si>
    <t>03 48 29 85 70</t>
  </si>
  <si>
    <t>Landline</t>
  </si>
  <si>
    <t>Home</t>
  </si>
  <si>
    <t>Test</t>
  </si>
  <si>
    <t>Nord-Pas-de-Calais</t>
  </si>
  <si>
    <t>Paris</t>
  </si>
  <si>
    <t>59700</t>
  </si>
  <si>
    <t>Street Address</t>
  </si>
  <si>
    <t>Test@email.com</t>
  </si>
  <si>
    <t>New Hire</t>
  </si>
  <si>
    <t>No</t>
  </si>
  <si>
    <t>Permanent</t>
  </si>
  <si>
    <t>Retail Assistant</t>
  </si>
  <si>
    <t>Full time</t>
  </si>
  <si>
    <t>221 Paris-Villeneuve La Garenne</t>
  </si>
  <si>
    <t>Hourly</t>
  </si>
  <si>
    <t>Employe@5 - Jeudi - (Contracted Days of the Week (France)-France)</t>
  </si>
  <si>
    <t>5 jours (France)</t>
  </si>
  <si>
    <t>N/A</t>
  </si>
  <si>
    <t>CDI (Permanent)</t>
  </si>
  <si>
    <t>Active</t>
  </si>
  <si>
    <t>CDI (Aucune raison nécessaire)</t>
  </si>
  <si>
    <t>94 Retail Operatives</t>
  </si>
  <si>
    <t>01 Accessories</t>
  </si>
  <si>
    <t>Collective Agreement - France</t>
  </si>
  <si>
    <t>Agent de Maîtrise</t>
  </si>
  <si>
    <t>AM1</t>
  </si>
  <si>
    <t>France Retail Assistant &gt;=1yr Exp</t>
  </si>
  <si>
    <t>1yr Exp. or Diploma</t>
  </si>
  <si>
    <t>National Identity Card (CNI)</t>
  </si>
  <si>
    <t>01/01/1999</t>
  </si>
  <si>
    <t>01/01/2045</t>
  </si>
  <si>
    <t>Female</t>
  </si>
  <si>
    <t>Celibataire</t>
  </si>
  <si>
    <t>BNPAFRPPTAS</t>
  </si>
  <si>
    <t>Checking</t>
  </si>
  <si>
    <t>FR1420041010050500013M02606</t>
  </si>
  <si>
    <t>GrunB FrunB</t>
  </si>
  <si>
    <t>Maiden</t>
  </si>
  <si>
    <t>Anthony</t>
  </si>
  <si>
    <t>Senger</t>
  </si>
  <si>
    <t>Standard</t>
  </si>
  <si>
    <t>FR Monthly</t>
  </si>
  <si>
    <t>Test3</t>
  </si>
  <si>
    <t>221 Store Management (Pucyw Zipato (9221018))</t>
  </si>
  <si>
    <t>Auto 95829030</t>
  </si>
  <si>
    <t>Store Manager</t>
  </si>
  <si>
    <t>Salary</t>
  </si>
  <si>
    <t>92 Retail Management</t>
  </si>
  <si>
    <t>251 Management Retail</t>
  </si>
  <si>
    <t>France Store Manager</t>
  </si>
  <si>
    <t>Grun Frun</t>
  </si>
  <si>
    <t>Mrun</t>
  </si>
  <si>
    <t>Frun</t>
  </si>
  <si>
    <t>Test4</t>
  </si>
  <si>
    <t>Auto 22393833</t>
  </si>
  <si>
    <t>Department Manager</t>
  </si>
  <si>
    <t>France Department Manager</t>
  </si>
  <si>
    <t>Test5</t>
  </si>
  <si>
    <t>Auto 25448389</t>
  </si>
  <si>
    <t>Fixed Term (Fixed Term)</t>
  </si>
  <si>
    <t>Senior Department Manager</t>
  </si>
  <si>
    <t>Part time</t>
  </si>
  <si>
    <t>CDD (Durée determinée)</t>
  </si>
  <si>
    <t>Cadre</t>
  </si>
  <si>
    <t>C2</t>
  </si>
  <si>
    <t>France Senior Department Manager</t>
  </si>
  <si>
    <t>MrunB</t>
  </si>
  <si>
    <t>FrunB</t>
  </si>
  <si>
    <t>Test6</t>
  </si>
  <si>
    <t>Auto 5156499</t>
  </si>
  <si>
    <t>Trainee Manager</t>
  </si>
  <si>
    <t>C1</t>
  </si>
  <si>
    <t>France Trainee Manager</t>
  </si>
  <si>
    <t>Test7</t>
  </si>
  <si>
    <t>4 48 29 85 70</t>
  </si>
  <si>
    <t>Auto 60652971</t>
  </si>
  <si>
    <t>Assistant Manager</t>
  </si>
  <si>
    <t>France Assistant Manager</t>
  </si>
  <si>
    <t>Test8</t>
  </si>
  <si>
    <t>5 48 29 85 70</t>
  </si>
  <si>
    <t>P&amp;C Assistant (NLD/FRA/USA/ITA/PL/CZ ONLY)</t>
  </si>
  <si>
    <t>250 Human Resources Retail</t>
  </si>
  <si>
    <t>Employé</t>
  </si>
  <si>
    <t>E3</t>
  </si>
  <si>
    <t>France P&amp;C Assistant/P&amp;C Supervisor</t>
  </si>
  <si>
    <t>Test9</t>
  </si>
  <si>
    <t>221 Store Management (Rykil Wuhoga (9221018))</t>
  </si>
  <si>
    <t>6 48 29 85 70</t>
  </si>
  <si>
    <t>Auto 09112024 230837</t>
  </si>
  <si>
    <t>P&amp;C Manager Stores</t>
  </si>
  <si>
    <t>France P&amp;C Manager</t>
  </si>
  <si>
    <t>Test10</t>
  </si>
  <si>
    <t>7 48 29 85 70</t>
  </si>
  <si>
    <t>255 Stockroom</t>
  </si>
  <si>
    <t>Test11</t>
  </si>
  <si>
    <t>Supervisor</t>
  </si>
  <si>
    <t>2 jours (France)</t>
  </si>
  <si>
    <t>253 Supervisors</t>
  </si>
  <si>
    <t>France Supervisor</t>
  </si>
  <si>
    <t>Test12</t>
  </si>
  <si>
    <t>P&amp;C Supervisor (NLD/FRA/USA/ITA/PL/CZ ONLY)</t>
  </si>
  <si>
    <t>Test13</t>
  </si>
  <si>
    <t>Contrat apprentissage</t>
  </si>
  <si>
    <t>Work Placement</t>
  </si>
  <si>
    <t>1 jour (France)</t>
  </si>
  <si>
    <t>Contrat Apprentissage</t>
  </si>
  <si>
    <t>Autre (préciser)</t>
  </si>
  <si>
    <t>16 Mens Accessories</t>
  </si>
  <si>
    <t>Apprenti</t>
  </si>
  <si>
    <t>E2</t>
  </si>
  <si>
    <t>France Contrat en alternance</t>
  </si>
  <si>
    <t>Test14</t>
  </si>
  <si>
    <t>Visuel Merchandiser</t>
  </si>
  <si>
    <t>256 Visual Merchandising</t>
  </si>
  <si>
    <t>E4</t>
  </si>
  <si>
    <t>France Visual Merchandiser &gt;=1yr Exp., or Diploma</t>
  </si>
  <si>
    <t>France Visual Merchandiser &gt;=1yr Exp. or Diploma (E4)</t>
  </si>
  <si>
    <t>Test15</t>
  </si>
  <si>
    <t>08 Ladieswear</t>
  </si>
  <si>
    <t>Test16</t>
  </si>
  <si>
    <t>05 Childrens Wear</t>
  </si>
  <si>
    <t>X</t>
  </si>
  <si>
    <t>RRBABA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</si>
</sst>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49" fontId="0" fillId="3" borderId="0" xfId="0" applyNumberForma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horizontal="left"/>
    </xf>
    <xf numFmtId="0" fontId="2" fillId="0" borderId="0" xfId="0" applyFont="1"/>
    <xf numFmtId="0" fontId="2" fillId="5" borderId="3" xfId="0" applyFont="1" applyFill="1" applyBorder="1" applyAlignment="1" applyProtection="1">
      <alignment horizontal="left"/>
      <protection locked="0"/>
    </xf>
    <xf numFmtId="0" fontId="2" fillId="5" borderId="3" xfId="0" applyFont="1" applyFill="1" applyBorder="1"/>
    <xf numFmtId="0" fontId="4" fillId="0" borderId="0" xfId="0" applyFont="1"/>
    <xf numFmtId="0" fontId="2" fillId="0" borderId="3" xfId="0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0" fontId="2" fillId="0" borderId="0" xfId="0" applyFont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3" fillId="0" borderId="0" xfId="0" applyNumberFormat="1" applyFont="1"/>
    <xf numFmtId="14" fontId="6" fillId="0" borderId="3" xfId="0" applyNumberFormat="1" applyFont="1" applyBorder="1" applyAlignment="1">
      <alignment horizontal="left"/>
    </xf>
    <xf numFmtId="164" fontId="2" fillId="0" borderId="3" xfId="0" applyNumberFormat="1" applyFont="1" applyBorder="1" applyAlignment="1" applyProtection="1">
      <alignment horizontal="left"/>
      <protection locked="0"/>
    </xf>
    <xf numFmtId="0" fontId="2" fillId="6" borderId="0" xfId="0" applyFont="1" applyFill="1" applyAlignment="1">
      <alignment horizontal="left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164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1" fontId="1" fillId="6" borderId="3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0" fillId="6" borderId="0" xfId="0" applyFill="1"/>
    <xf numFmtId="0" fontId="0" fillId="6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3" xfId="0" applyFont="1" applyBorder="1" applyAlignment="1">
      <alignment vertical="top" wrapText="1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3"/>
  <sheetViews>
    <sheetView tabSelected="1" topLeftCell="A4" zoomScale="115" zoomScaleNormal="115" workbookViewId="0">
      <selection activeCell="BV2" sqref="BV2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8.90625" style="1" customWidth="1"/>
    <col min="5" max="5" width="9.81640625" style="1" customWidth="1"/>
    <col min="6" max="6" width="7.36328125" style="1" customWidth="1"/>
    <col min="7" max="7" width="14.36328125" style="1" customWidth="1"/>
    <col min="8" max="8" width="15.1796875" style="1" customWidth="1"/>
    <col min="9" max="9" width="17.6328125" style="1" customWidth="1"/>
    <col min="10" max="10" width="16" style="1" customWidth="1"/>
    <col min="11" max="11" width="6.453125" style="1" customWidth="1"/>
    <col min="12" max="12" width="16" style="1" customWidth="1"/>
    <col min="13" max="13" width="9.81640625" style="2" customWidth="1"/>
    <col min="14" max="14" width="24.81640625" style="1" customWidth="1"/>
    <col min="15" max="15" width="5.26953125" style="1" customWidth="1"/>
    <col min="16" max="16" width="14.36328125" style="1" customWidth="1"/>
    <col min="17" max="17" width="14.08984375" style="1" customWidth="1"/>
    <col min="18" max="18" width="6.453125" style="1" customWidth="1"/>
    <col min="19" max="19" width="9.26953125" style="1" customWidth="1"/>
    <col min="20" max="20" width="16.81640625" style="1" customWidth="1"/>
    <col min="21" max="21" width="6.453125" style="1" customWidth="1"/>
    <col min="22" max="22" width="10.81640625" style="1" customWidth="1"/>
    <col min="23" max="23" width="9.6328125" style="1" customWidth="1"/>
    <col min="24" max="24" width="10" style="1" customWidth="1"/>
    <col min="25" max="25" width="17.81640625" style="2" customWidth="1"/>
    <col min="26" max="26" width="12.08984375" style="1" customWidth="1"/>
    <col min="27" max="27" width="12" style="1" customWidth="1"/>
    <col min="28" max="28" width="10.54296875" style="1" customWidth="1"/>
    <col min="29" max="29" width="16.08984375" style="1" customWidth="1"/>
    <col min="30" max="30" width="28.453125" style="1" customWidth="1"/>
    <col min="31" max="31" width="32.7265625" style="1" customWidth="1"/>
    <col min="32" max="32" width="12.1796875" style="1" customWidth="1"/>
    <col min="33" max="33" width="18.6328125" style="1" customWidth="1"/>
    <col min="34" max="34" width="16.08984375" style="1" customWidth="1"/>
    <col min="35" max="35" width="8.26953125" style="1" customWidth="1"/>
    <col min="36" max="36" width="19.36328125" style="1" customWidth="1"/>
    <col min="37" max="37" width="21.453125" style="1" customWidth="1"/>
    <col min="38" max="38" width="25.81640625" style="1" customWidth="1"/>
    <col min="39" max="39" width="25.1796875" style="1" customWidth="1"/>
    <col min="40" max="40" width="15.08984375" style="1" customWidth="1"/>
    <col min="41" max="41" width="13.81640625" style="1" customWidth="1"/>
    <col min="42" max="42" width="23" style="1" customWidth="1"/>
    <col min="43" max="43" width="24.453125" style="1" customWidth="1"/>
    <col min="44" max="44" width="25.08984375" style="1" customWidth="1"/>
    <col min="45" max="45" width="6.90625" style="1" customWidth="1"/>
    <col min="46" max="46" width="15.08984375" style="1" customWidth="1"/>
    <col min="47" max="47" width="6.26953125" style="1" customWidth="1"/>
    <col min="48" max="48" width="22" style="1" customWidth="1"/>
    <col min="49" max="49" width="11.26953125" style="1" customWidth="1"/>
    <col min="50" max="50" width="19.81640625" style="1" customWidth="1"/>
    <col min="51" max="51" width="14.1796875" style="2" customWidth="1"/>
    <col min="52" max="52" width="13.90625" style="1" customWidth="1"/>
    <col min="53" max="53" width="17.6328125" style="2" customWidth="1"/>
    <col min="54" max="54" width="9.453125" style="1" customWidth="1"/>
    <col min="55" max="55" width="14.36328125" style="1" customWidth="1"/>
    <col min="56" max="56" width="17.26953125" style="1" customWidth="1"/>
    <col min="57" max="57" width="16.36328125" style="1" customWidth="1"/>
    <col min="58" max="58" width="12.6328125" style="1" customWidth="1"/>
    <col min="59" max="59" width="15.81640625" style="1" customWidth="1"/>
    <col min="60" max="60" width="15.90625" style="1" customWidth="1"/>
    <col min="61" max="61" width="21.54296875" style="1" customWidth="1"/>
    <col min="62" max="62" width="13.6328125" style="1" customWidth="1"/>
    <col min="63" max="63" width="27.36328125" style="1" customWidth="1"/>
    <col min="64" max="64" width="15.81640625" style="1" customWidth="1"/>
    <col min="65" max="65" width="7" style="1" customWidth="1"/>
    <col min="66" max="66" width="20.6328125" style="1" customWidth="1"/>
    <col min="67" max="67" width="8.81640625" customWidth="1"/>
    <col min="68" max="68" width="13.26953125" customWidth="1"/>
    <col min="69" max="69" width="11.26953125" customWidth="1"/>
    <col min="70" max="70" width="15.81640625" customWidth="1"/>
    <col min="71" max="71" width="16.6328125" customWidth="1"/>
    <col min="72" max="72" width="11.26953125" customWidth="1"/>
    <col min="73" max="73" width="19.1796875" customWidth="1"/>
    <col min="74" max="74" width="18.54296875" customWidth="1"/>
    <col min="75" max="75" width="13.90625" customWidth="1"/>
    <col min="76" max="76" width="17.6328125" customWidth="1"/>
    <col min="77" max="77" width="29" customWidth="1"/>
  </cols>
  <sheetData>
    <row r="1" spans="1:77" s="3" customFormat="1" ht="14.5" customHeight="1" outlineLevel="1" collapsed="1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10</v>
      </c>
      <c r="S1" s="6" t="s">
        <v>16</v>
      </c>
      <c r="T1" s="6" t="s">
        <v>17</v>
      </c>
      <c r="U1" s="6" t="s">
        <v>10</v>
      </c>
      <c r="V1" s="5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7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7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8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45</v>
      </c>
      <c r="BR1" s="6" t="s">
        <v>65</v>
      </c>
      <c r="BS1" s="6" t="s">
        <v>66</v>
      </c>
      <c r="BT1" s="6" t="s">
        <v>45</v>
      </c>
      <c r="BU1" s="6" t="s">
        <v>67</v>
      </c>
      <c r="BV1" s="5" t="s">
        <v>68</v>
      </c>
      <c r="BW1" s="6" t="s">
        <v>48</v>
      </c>
      <c r="BX1" s="6" t="s">
        <v>49</v>
      </c>
      <c r="BY1" s="6" t="s">
        <v>69</v>
      </c>
    </row>
    <row r="2" spans="1:77" ht="15.65" customHeight="1" x14ac:dyDescent="0.35">
      <c r="A2" s="1" t="s">
        <v>70</v>
      </c>
      <c r="C2" s="9"/>
      <c r="D2" s="10" t="s">
        <v>71</v>
      </c>
      <c r="E2" s="11" t="s">
        <v>72</v>
      </c>
      <c r="F2" s="12" t="s">
        <v>73</v>
      </c>
      <c r="G2" s="13"/>
      <c r="H2" s="14"/>
      <c r="I2" s="15" t="s">
        <v>74</v>
      </c>
      <c r="J2" s="16" t="s">
        <v>75</v>
      </c>
      <c r="K2" s="16" t="s">
        <v>76</v>
      </c>
      <c r="L2" s="17">
        <f t="shared" ref="L2:L16" ca="1" si="0">TODAY()-31</f>
        <v>45723</v>
      </c>
      <c r="M2" s="11" t="s">
        <v>72</v>
      </c>
      <c r="N2" s="11" t="s">
        <v>77</v>
      </c>
      <c r="O2" s="12" t="s">
        <v>78</v>
      </c>
      <c r="P2" s="16" t="s">
        <v>79</v>
      </c>
      <c r="Q2" s="16" t="s">
        <v>80</v>
      </c>
      <c r="R2" s="16" t="s">
        <v>76</v>
      </c>
      <c r="S2" s="18" t="s">
        <v>81</v>
      </c>
      <c r="T2" s="19" t="s">
        <v>82</v>
      </c>
      <c r="U2" s="16" t="s">
        <v>76</v>
      </c>
      <c r="V2" s="17">
        <f t="shared" ref="V2:V16" ca="1" si="1">L2</f>
        <v>45723</v>
      </c>
      <c r="W2" s="16" t="s">
        <v>83</v>
      </c>
      <c r="X2" s="13" t="s">
        <v>84</v>
      </c>
      <c r="Y2" s="12" t="s">
        <v>85</v>
      </c>
      <c r="Z2" s="12" t="s">
        <v>86</v>
      </c>
      <c r="AA2" s="12" t="s">
        <v>87</v>
      </c>
      <c r="AB2" s="20" t="s">
        <v>88</v>
      </c>
      <c r="AC2" s="20" t="s">
        <v>89</v>
      </c>
      <c r="AD2" s="21">
        <v>35</v>
      </c>
      <c r="AE2" s="22" t="s">
        <v>90</v>
      </c>
      <c r="AF2" s="12" t="s">
        <v>91</v>
      </c>
      <c r="AG2" s="23" t="s">
        <v>92</v>
      </c>
      <c r="AH2" s="16" t="s">
        <v>93</v>
      </c>
      <c r="AI2" s="16" t="s">
        <v>94</v>
      </c>
      <c r="AJ2" s="16" t="s">
        <v>95</v>
      </c>
      <c r="AK2" s="24">
        <f t="shared" ref="AK2:AK16" ca="1" si="2">V2</f>
        <v>45723</v>
      </c>
      <c r="AL2" s="24">
        <f t="shared" ref="AL2:AL16" ca="1" si="3">V2</f>
        <v>45723</v>
      </c>
      <c r="AM2" s="24">
        <f t="shared" ref="AM2:AM16" ca="1" si="4">V2</f>
        <v>45723</v>
      </c>
      <c r="AN2" s="17" t="str">
        <f t="shared" ref="AN2:AN16" si="5">AG2</f>
        <v>N/A</v>
      </c>
      <c r="AO2" s="16" t="s">
        <v>96</v>
      </c>
      <c r="AP2" s="16" t="s">
        <v>97</v>
      </c>
      <c r="AQ2" s="16" t="s">
        <v>98</v>
      </c>
      <c r="AR2" s="16" t="s">
        <v>99</v>
      </c>
      <c r="AS2" s="16" t="s">
        <v>100</v>
      </c>
      <c r="AT2" s="11" t="s">
        <v>101</v>
      </c>
      <c r="AU2" s="11" t="s">
        <v>102</v>
      </c>
      <c r="AV2" s="24">
        <f t="shared" ref="AV2:AV16" ca="1" si="6">TODAY()+20</f>
        <v>45774</v>
      </c>
      <c r="AW2" s="11" t="s">
        <v>72</v>
      </c>
      <c r="AX2" s="25" t="s">
        <v>103</v>
      </c>
      <c r="AY2" s="26" t="str">
        <f ca="1">BB28</f>
        <v>X4RRBABA95</v>
      </c>
      <c r="AZ2" s="24" t="s">
        <v>104</v>
      </c>
      <c r="BA2" s="24" t="s">
        <v>105</v>
      </c>
      <c r="BB2" s="12" t="s">
        <v>106</v>
      </c>
      <c r="BC2" s="24" t="s">
        <v>104</v>
      </c>
      <c r="BD2" s="27" t="s">
        <v>72</v>
      </c>
      <c r="BE2" s="27" t="s">
        <v>79</v>
      </c>
      <c r="BF2" s="27" t="s">
        <v>79</v>
      </c>
      <c r="BG2" s="28" t="s">
        <v>107</v>
      </c>
      <c r="BH2" s="24" t="s">
        <v>92</v>
      </c>
      <c r="BI2" s="29" t="s">
        <v>72</v>
      </c>
      <c r="BJ2" s="11" t="s">
        <v>78</v>
      </c>
      <c r="BK2" s="30" t="s">
        <v>108</v>
      </c>
      <c r="BL2" s="11" t="s">
        <v>109</v>
      </c>
      <c r="BM2" s="29" t="s">
        <v>110</v>
      </c>
      <c r="BN2" s="11" t="s">
        <v>111</v>
      </c>
      <c r="BO2" s="11" t="s">
        <v>73</v>
      </c>
      <c r="BP2" s="11" t="s">
        <v>112</v>
      </c>
      <c r="BQ2" s="11" t="s">
        <v>72</v>
      </c>
      <c r="BR2" s="11" t="s">
        <v>113</v>
      </c>
      <c r="BS2" s="11" t="s">
        <v>114</v>
      </c>
      <c r="BT2" s="11" t="s">
        <v>72</v>
      </c>
      <c r="BU2" s="11" t="s">
        <v>115</v>
      </c>
      <c r="BV2" s="31">
        <f t="array" aca="1" ref="BV2:BV16" ca="1">_xlfn.RANDARRAY(15,1,12345,99999,TRUE)</f>
        <v>49967</v>
      </c>
      <c r="BW2" s="24">
        <v>44562</v>
      </c>
      <c r="BX2" s="24">
        <v>47119</v>
      </c>
      <c r="BY2" s="16" t="s">
        <v>116</v>
      </c>
    </row>
    <row r="3" spans="1:77" ht="15.65" customHeight="1" x14ac:dyDescent="0.35">
      <c r="A3" s="1" t="s">
        <v>117</v>
      </c>
      <c r="C3" s="9"/>
      <c r="D3" s="10" t="s">
        <v>118</v>
      </c>
      <c r="E3" s="11" t="s">
        <v>72</v>
      </c>
      <c r="F3" s="12" t="s">
        <v>73</v>
      </c>
      <c r="G3" s="13"/>
      <c r="H3" s="14"/>
      <c r="I3" s="15" t="s">
        <v>74</v>
      </c>
      <c r="J3" s="16" t="s">
        <v>75</v>
      </c>
      <c r="K3" s="16" t="s">
        <v>76</v>
      </c>
      <c r="L3" s="17">
        <f t="shared" ca="1" si="0"/>
        <v>45723</v>
      </c>
      <c r="M3" s="11" t="s">
        <v>72</v>
      </c>
      <c r="N3" s="11" t="s">
        <v>77</v>
      </c>
      <c r="O3" s="12" t="s">
        <v>78</v>
      </c>
      <c r="P3" s="16" t="s">
        <v>79</v>
      </c>
      <c r="Q3" s="16" t="s">
        <v>80</v>
      </c>
      <c r="R3" s="16" t="s">
        <v>76</v>
      </c>
      <c r="S3" s="18" t="s">
        <v>81</v>
      </c>
      <c r="T3" s="19" t="s">
        <v>82</v>
      </c>
      <c r="U3" s="16" t="s">
        <v>76</v>
      </c>
      <c r="V3" s="17">
        <f t="shared" ca="1" si="1"/>
        <v>45723</v>
      </c>
      <c r="W3" s="16" t="s">
        <v>83</v>
      </c>
      <c r="X3" s="13" t="s">
        <v>119</v>
      </c>
      <c r="Y3" s="12" t="s">
        <v>85</v>
      </c>
      <c r="Z3" s="12" t="s">
        <v>120</v>
      </c>
      <c r="AA3" s="12" t="s">
        <v>87</v>
      </c>
      <c r="AB3" s="20" t="s">
        <v>88</v>
      </c>
      <c r="AC3" s="20" t="s">
        <v>121</v>
      </c>
      <c r="AD3" s="21">
        <v>35</v>
      </c>
      <c r="AE3" s="22" t="s">
        <v>90</v>
      </c>
      <c r="AF3" s="12" t="s">
        <v>91</v>
      </c>
      <c r="AG3" s="23" t="s">
        <v>92</v>
      </c>
      <c r="AH3" s="16" t="s">
        <v>93</v>
      </c>
      <c r="AI3" s="16" t="s">
        <v>94</v>
      </c>
      <c r="AJ3" s="16" t="s">
        <v>95</v>
      </c>
      <c r="AK3" s="24">
        <f t="shared" ca="1" si="2"/>
        <v>45723</v>
      </c>
      <c r="AL3" s="24">
        <f t="shared" ca="1" si="3"/>
        <v>45723</v>
      </c>
      <c r="AM3" s="24">
        <f t="shared" ca="1" si="4"/>
        <v>45723</v>
      </c>
      <c r="AN3" s="17" t="str">
        <f t="shared" si="5"/>
        <v>N/A</v>
      </c>
      <c r="AO3" s="16" t="s">
        <v>122</v>
      </c>
      <c r="AP3" s="16" t="s">
        <v>123</v>
      </c>
      <c r="AQ3" s="16" t="s">
        <v>98</v>
      </c>
      <c r="AR3" s="16" t="s">
        <v>99</v>
      </c>
      <c r="AS3" s="16" t="s">
        <v>100</v>
      </c>
      <c r="AT3" s="11" t="s">
        <v>124</v>
      </c>
      <c r="AU3" s="11" t="s">
        <v>92</v>
      </c>
      <c r="AV3" s="24">
        <f t="shared" ca="1" si="6"/>
        <v>45774</v>
      </c>
      <c r="AW3" s="11" t="s">
        <v>72</v>
      </c>
      <c r="AX3" s="25" t="s">
        <v>103</v>
      </c>
      <c r="AY3" s="26" t="str">
        <f t="shared" ref="AY3:AY16" ca="1" si="7">BB29</f>
        <v>X1RRBABA83</v>
      </c>
      <c r="AZ3" s="24" t="s">
        <v>104</v>
      </c>
      <c r="BA3" s="24" t="s">
        <v>105</v>
      </c>
      <c r="BB3" s="12" t="s">
        <v>106</v>
      </c>
      <c r="BC3" s="24" t="s">
        <v>104</v>
      </c>
      <c r="BD3" s="27" t="s">
        <v>72</v>
      </c>
      <c r="BE3" s="27" t="s">
        <v>79</v>
      </c>
      <c r="BF3" s="27" t="s">
        <v>79</v>
      </c>
      <c r="BG3" s="28" t="s">
        <v>107</v>
      </c>
      <c r="BH3" s="24" t="s">
        <v>92</v>
      </c>
      <c r="BI3" s="29" t="s">
        <v>72</v>
      </c>
      <c r="BJ3" s="11" t="s">
        <v>78</v>
      </c>
      <c r="BK3" s="30" t="s">
        <v>108</v>
      </c>
      <c r="BL3" s="11" t="s">
        <v>109</v>
      </c>
      <c r="BM3" s="29" t="s">
        <v>110</v>
      </c>
      <c r="BN3" s="11" t="s">
        <v>125</v>
      </c>
      <c r="BO3" s="11" t="s">
        <v>73</v>
      </c>
      <c r="BP3" s="11" t="s">
        <v>112</v>
      </c>
      <c r="BQ3" s="11" t="s">
        <v>72</v>
      </c>
      <c r="BR3" s="11" t="s">
        <v>126</v>
      </c>
      <c r="BS3" s="11" t="s">
        <v>127</v>
      </c>
      <c r="BT3" s="11" t="s">
        <v>72</v>
      </c>
      <c r="BU3" s="11" t="s">
        <v>115</v>
      </c>
      <c r="BV3" s="31">
        <f ca="1"/>
        <v>40157</v>
      </c>
      <c r="BW3" s="24">
        <v>44562</v>
      </c>
      <c r="BX3" s="24">
        <v>47119</v>
      </c>
      <c r="BY3" s="16" t="s">
        <v>116</v>
      </c>
    </row>
    <row r="4" spans="1:77" ht="15.65" customHeight="1" x14ac:dyDescent="0.35">
      <c r="A4" s="1" t="s">
        <v>128</v>
      </c>
      <c r="C4" s="9"/>
      <c r="D4" s="10" t="s">
        <v>118</v>
      </c>
      <c r="E4" s="11" t="s">
        <v>72</v>
      </c>
      <c r="F4" s="12" t="s">
        <v>73</v>
      </c>
      <c r="G4" s="13"/>
      <c r="H4" s="14"/>
      <c r="I4" s="15" t="s">
        <v>74</v>
      </c>
      <c r="J4" s="16" t="s">
        <v>75</v>
      </c>
      <c r="K4" s="16" t="s">
        <v>76</v>
      </c>
      <c r="L4" s="17">
        <f t="shared" ca="1" si="0"/>
        <v>45723</v>
      </c>
      <c r="M4" s="11" t="s">
        <v>72</v>
      </c>
      <c r="N4" s="11" t="s">
        <v>77</v>
      </c>
      <c r="O4" s="12" t="s">
        <v>78</v>
      </c>
      <c r="P4" s="16" t="s">
        <v>79</v>
      </c>
      <c r="Q4" s="16" t="s">
        <v>80</v>
      </c>
      <c r="R4" s="16" t="s">
        <v>76</v>
      </c>
      <c r="S4" s="18" t="s">
        <v>81</v>
      </c>
      <c r="T4" s="19" t="s">
        <v>82</v>
      </c>
      <c r="U4" s="16" t="s">
        <v>76</v>
      </c>
      <c r="V4" s="17">
        <f t="shared" ca="1" si="1"/>
        <v>45723</v>
      </c>
      <c r="W4" s="16" t="s">
        <v>83</v>
      </c>
      <c r="X4" s="13" t="s">
        <v>129</v>
      </c>
      <c r="Y4" s="12" t="s">
        <v>85</v>
      </c>
      <c r="Z4" s="12" t="s">
        <v>130</v>
      </c>
      <c r="AA4" s="12" t="s">
        <v>87</v>
      </c>
      <c r="AB4" s="20">
        <v>221</v>
      </c>
      <c r="AC4" s="20" t="s">
        <v>121</v>
      </c>
      <c r="AD4" s="21">
        <v>35</v>
      </c>
      <c r="AE4" s="22" t="s">
        <v>90</v>
      </c>
      <c r="AF4" s="12" t="s">
        <v>91</v>
      </c>
      <c r="AG4" s="23" t="s">
        <v>92</v>
      </c>
      <c r="AH4" s="16" t="s">
        <v>93</v>
      </c>
      <c r="AI4" s="16" t="s">
        <v>94</v>
      </c>
      <c r="AJ4" s="16" t="s">
        <v>95</v>
      </c>
      <c r="AK4" s="24">
        <f t="shared" ca="1" si="2"/>
        <v>45723</v>
      </c>
      <c r="AL4" s="24">
        <f t="shared" ca="1" si="3"/>
        <v>45723</v>
      </c>
      <c r="AM4" s="24">
        <f t="shared" ca="1" si="4"/>
        <v>45723</v>
      </c>
      <c r="AN4" s="17" t="str">
        <f t="shared" si="5"/>
        <v>N/A</v>
      </c>
      <c r="AO4" s="16" t="s">
        <v>122</v>
      </c>
      <c r="AP4" s="16" t="s">
        <v>123</v>
      </c>
      <c r="AQ4" s="16" t="s">
        <v>98</v>
      </c>
      <c r="AR4" s="16" t="s">
        <v>99</v>
      </c>
      <c r="AS4" s="16" t="s">
        <v>100</v>
      </c>
      <c r="AT4" s="11" t="s">
        <v>131</v>
      </c>
      <c r="AU4" s="11" t="s">
        <v>92</v>
      </c>
      <c r="AV4" s="24">
        <f t="shared" ca="1" si="6"/>
        <v>45774</v>
      </c>
      <c r="AW4" s="11" t="s">
        <v>72</v>
      </c>
      <c r="AX4" s="25" t="s">
        <v>103</v>
      </c>
      <c r="AY4" s="26" t="str">
        <f t="shared" ca="1" si="7"/>
        <v>X2RRBABA73</v>
      </c>
      <c r="AZ4" s="24" t="s">
        <v>104</v>
      </c>
      <c r="BA4" s="24" t="s">
        <v>105</v>
      </c>
      <c r="BB4" s="12" t="s">
        <v>106</v>
      </c>
      <c r="BC4" s="24" t="s">
        <v>104</v>
      </c>
      <c r="BD4" s="27" t="s">
        <v>72</v>
      </c>
      <c r="BE4" s="27" t="s">
        <v>79</v>
      </c>
      <c r="BF4" s="27" t="s">
        <v>79</v>
      </c>
      <c r="BG4" s="28" t="s">
        <v>107</v>
      </c>
      <c r="BH4" s="24" t="s">
        <v>92</v>
      </c>
      <c r="BI4" s="29" t="s">
        <v>72</v>
      </c>
      <c r="BJ4" s="11" t="s">
        <v>78</v>
      </c>
      <c r="BK4" s="30" t="s">
        <v>108</v>
      </c>
      <c r="BL4" s="11" t="s">
        <v>109</v>
      </c>
      <c r="BM4" s="29" t="s">
        <v>110</v>
      </c>
      <c r="BN4" s="11" t="s">
        <v>125</v>
      </c>
      <c r="BO4" s="11" t="s">
        <v>73</v>
      </c>
      <c r="BP4" s="11" t="s">
        <v>112</v>
      </c>
      <c r="BQ4" s="11" t="s">
        <v>72</v>
      </c>
      <c r="BR4" s="11" t="s">
        <v>126</v>
      </c>
      <c r="BS4" s="11" t="s">
        <v>127</v>
      </c>
      <c r="BT4" s="11" t="s">
        <v>72</v>
      </c>
      <c r="BU4" s="11" t="s">
        <v>115</v>
      </c>
      <c r="BV4" s="31">
        <f ca="1"/>
        <v>18527</v>
      </c>
      <c r="BW4" s="24">
        <v>44562</v>
      </c>
      <c r="BX4" s="24">
        <v>47119</v>
      </c>
      <c r="BY4" s="16" t="s">
        <v>116</v>
      </c>
    </row>
    <row r="5" spans="1:77" ht="15.65" customHeight="1" x14ac:dyDescent="0.35">
      <c r="A5" s="1" t="s">
        <v>132</v>
      </c>
      <c r="C5" s="9"/>
      <c r="D5" s="10" t="s">
        <v>118</v>
      </c>
      <c r="E5" s="11" t="s">
        <v>72</v>
      </c>
      <c r="F5" s="12" t="s">
        <v>73</v>
      </c>
      <c r="G5" s="13"/>
      <c r="H5" s="14"/>
      <c r="I5" s="15" t="s">
        <v>74</v>
      </c>
      <c r="J5" s="16" t="s">
        <v>75</v>
      </c>
      <c r="K5" s="16" t="s">
        <v>76</v>
      </c>
      <c r="L5" s="17">
        <f t="shared" ca="1" si="0"/>
        <v>45723</v>
      </c>
      <c r="M5" s="11" t="s">
        <v>72</v>
      </c>
      <c r="N5" s="11" t="s">
        <v>77</v>
      </c>
      <c r="O5" s="12" t="s">
        <v>78</v>
      </c>
      <c r="P5" s="16" t="s">
        <v>79</v>
      </c>
      <c r="Q5" s="16" t="s">
        <v>80</v>
      </c>
      <c r="R5" s="16" t="s">
        <v>76</v>
      </c>
      <c r="S5" s="18" t="s">
        <v>81</v>
      </c>
      <c r="T5" s="19" t="s">
        <v>82</v>
      </c>
      <c r="U5" s="16" t="s">
        <v>76</v>
      </c>
      <c r="V5" s="17">
        <f t="shared" ca="1" si="1"/>
        <v>45723</v>
      </c>
      <c r="W5" s="16" t="s">
        <v>83</v>
      </c>
      <c r="X5" s="13" t="s">
        <v>133</v>
      </c>
      <c r="Y5" s="12" t="s">
        <v>134</v>
      </c>
      <c r="Z5" s="12" t="s">
        <v>135</v>
      </c>
      <c r="AA5" s="12" t="s">
        <v>136</v>
      </c>
      <c r="AB5" s="20" t="s">
        <v>88</v>
      </c>
      <c r="AC5" s="20" t="s">
        <v>121</v>
      </c>
      <c r="AD5" s="21">
        <v>25</v>
      </c>
      <c r="AE5" s="22" t="s">
        <v>90</v>
      </c>
      <c r="AF5" s="12" t="s">
        <v>91</v>
      </c>
      <c r="AG5" s="23">
        <f ca="1">V5+365</f>
        <v>46088</v>
      </c>
      <c r="AH5" s="16" t="s">
        <v>137</v>
      </c>
      <c r="AI5" s="16" t="s">
        <v>94</v>
      </c>
      <c r="AJ5" s="16" t="s">
        <v>95</v>
      </c>
      <c r="AK5" s="24">
        <f t="shared" ca="1" si="2"/>
        <v>45723</v>
      </c>
      <c r="AL5" s="24">
        <f t="shared" ca="1" si="3"/>
        <v>45723</v>
      </c>
      <c r="AM5" s="24">
        <f t="shared" ca="1" si="4"/>
        <v>45723</v>
      </c>
      <c r="AN5" s="17">
        <f t="shared" ca="1" si="5"/>
        <v>46088</v>
      </c>
      <c r="AO5" s="16" t="s">
        <v>122</v>
      </c>
      <c r="AP5" s="16" t="s">
        <v>123</v>
      </c>
      <c r="AQ5" s="16" t="s">
        <v>98</v>
      </c>
      <c r="AR5" s="16" t="s">
        <v>138</v>
      </c>
      <c r="AS5" s="16" t="s">
        <v>139</v>
      </c>
      <c r="AT5" s="32" t="s">
        <v>140</v>
      </c>
      <c r="AU5" s="11" t="s">
        <v>92</v>
      </c>
      <c r="AV5" s="24">
        <f t="shared" ca="1" si="6"/>
        <v>45774</v>
      </c>
      <c r="AW5" s="11" t="s">
        <v>72</v>
      </c>
      <c r="AX5" s="25" t="s">
        <v>103</v>
      </c>
      <c r="AY5" s="26" t="str">
        <f t="shared" ca="1" si="7"/>
        <v>X1RRBABA96</v>
      </c>
      <c r="AZ5" s="24" t="s">
        <v>104</v>
      </c>
      <c r="BA5" s="24" t="s">
        <v>105</v>
      </c>
      <c r="BB5" s="12" t="s">
        <v>106</v>
      </c>
      <c r="BC5" s="24" t="s">
        <v>104</v>
      </c>
      <c r="BD5" s="27" t="s">
        <v>72</v>
      </c>
      <c r="BE5" s="27" t="s">
        <v>79</v>
      </c>
      <c r="BF5" s="27" t="s">
        <v>79</v>
      </c>
      <c r="BG5" s="28" t="s">
        <v>107</v>
      </c>
      <c r="BH5" s="24" t="s">
        <v>92</v>
      </c>
      <c r="BI5" s="29" t="s">
        <v>72</v>
      </c>
      <c r="BJ5" s="11" t="s">
        <v>78</v>
      </c>
      <c r="BK5" s="30" t="s">
        <v>108</v>
      </c>
      <c r="BL5" s="11" t="s">
        <v>109</v>
      </c>
      <c r="BM5" s="29" t="s">
        <v>110</v>
      </c>
      <c r="BN5" s="11" t="s">
        <v>111</v>
      </c>
      <c r="BO5" s="11" t="s">
        <v>73</v>
      </c>
      <c r="BP5" s="11" t="s">
        <v>112</v>
      </c>
      <c r="BQ5" s="11" t="s">
        <v>72</v>
      </c>
      <c r="BR5" s="11" t="s">
        <v>141</v>
      </c>
      <c r="BS5" s="11" t="s">
        <v>142</v>
      </c>
      <c r="BT5" s="11" t="s">
        <v>72</v>
      </c>
      <c r="BU5" s="11" t="s">
        <v>115</v>
      </c>
      <c r="BV5" s="31">
        <f ca="1"/>
        <v>21203</v>
      </c>
      <c r="BW5" s="24">
        <v>44562</v>
      </c>
      <c r="BX5" s="24">
        <v>47119</v>
      </c>
      <c r="BY5" s="16" t="s">
        <v>116</v>
      </c>
    </row>
    <row r="6" spans="1:77" ht="15.65" customHeight="1" x14ac:dyDescent="0.35">
      <c r="A6" s="1" t="s">
        <v>143</v>
      </c>
      <c r="C6" s="9"/>
      <c r="D6" s="10" t="s">
        <v>118</v>
      </c>
      <c r="E6" s="11" t="s">
        <v>72</v>
      </c>
      <c r="F6" s="12" t="s">
        <v>73</v>
      </c>
      <c r="G6" s="13"/>
      <c r="H6" s="14"/>
      <c r="I6" s="15" t="s">
        <v>74</v>
      </c>
      <c r="J6" s="16" t="s">
        <v>75</v>
      </c>
      <c r="K6" s="16" t="s">
        <v>76</v>
      </c>
      <c r="L6" s="17">
        <f t="shared" ca="1" si="0"/>
        <v>45723</v>
      </c>
      <c r="M6" s="11" t="s">
        <v>72</v>
      </c>
      <c r="N6" s="11" t="s">
        <v>77</v>
      </c>
      <c r="O6" s="12" t="s">
        <v>78</v>
      </c>
      <c r="P6" s="16" t="s">
        <v>79</v>
      </c>
      <c r="Q6" s="16" t="s">
        <v>80</v>
      </c>
      <c r="R6" s="16" t="s">
        <v>76</v>
      </c>
      <c r="S6" s="18" t="s">
        <v>81</v>
      </c>
      <c r="T6" s="19" t="s">
        <v>82</v>
      </c>
      <c r="U6" s="16" t="s">
        <v>76</v>
      </c>
      <c r="V6" s="17">
        <f t="shared" ca="1" si="1"/>
        <v>45723</v>
      </c>
      <c r="W6" s="16" t="s">
        <v>83</v>
      </c>
      <c r="X6" s="13" t="s">
        <v>144</v>
      </c>
      <c r="Y6" s="12" t="s">
        <v>85</v>
      </c>
      <c r="Z6" s="12" t="s">
        <v>145</v>
      </c>
      <c r="AA6" s="12" t="s">
        <v>87</v>
      </c>
      <c r="AB6" s="20" t="s">
        <v>88</v>
      </c>
      <c r="AC6" s="20" t="s">
        <v>121</v>
      </c>
      <c r="AD6" s="21">
        <v>35</v>
      </c>
      <c r="AE6" s="22" t="s">
        <v>90</v>
      </c>
      <c r="AF6" s="12" t="s">
        <v>91</v>
      </c>
      <c r="AG6" s="23" t="s">
        <v>92</v>
      </c>
      <c r="AH6" s="16" t="s">
        <v>93</v>
      </c>
      <c r="AI6" s="16" t="s">
        <v>94</v>
      </c>
      <c r="AJ6" s="16" t="s">
        <v>95</v>
      </c>
      <c r="AK6" s="24">
        <f t="shared" ca="1" si="2"/>
        <v>45723</v>
      </c>
      <c r="AL6" s="24">
        <f t="shared" ca="1" si="3"/>
        <v>45723</v>
      </c>
      <c r="AM6" s="24">
        <f t="shared" ca="1" si="4"/>
        <v>45723</v>
      </c>
      <c r="AN6" s="17" t="str">
        <f t="shared" si="5"/>
        <v>N/A</v>
      </c>
      <c r="AO6" s="16" t="s">
        <v>122</v>
      </c>
      <c r="AP6" s="16" t="s">
        <v>123</v>
      </c>
      <c r="AQ6" s="16" t="s">
        <v>98</v>
      </c>
      <c r="AR6" s="16" t="s">
        <v>138</v>
      </c>
      <c r="AS6" s="16" t="s">
        <v>146</v>
      </c>
      <c r="AT6" s="11" t="s">
        <v>147</v>
      </c>
      <c r="AU6" s="11" t="s">
        <v>92</v>
      </c>
      <c r="AV6" s="24">
        <f t="shared" ca="1" si="6"/>
        <v>45774</v>
      </c>
      <c r="AW6" s="11" t="s">
        <v>72</v>
      </c>
      <c r="AX6" s="25" t="s">
        <v>103</v>
      </c>
      <c r="AY6" s="26" t="str">
        <f t="shared" ca="1" si="7"/>
        <v>X1RRBABA37</v>
      </c>
      <c r="AZ6" s="24" t="s">
        <v>104</v>
      </c>
      <c r="BA6" s="24" t="s">
        <v>105</v>
      </c>
      <c r="BB6" s="12" t="s">
        <v>106</v>
      </c>
      <c r="BC6" s="24" t="s">
        <v>104</v>
      </c>
      <c r="BD6" s="27" t="s">
        <v>72</v>
      </c>
      <c r="BE6" s="27" t="s">
        <v>79</v>
      </c>
      <c r="BF6" s="27" t="s">
        <v>79</v>
      </c>
      <c r="BG6" s="28" t="s">
        <v>107</v>
      </c>
      <c r="BH6" s="24" t="s">
        <v>92</v>
      </c>
      <c r="BI6" s="29" t="s">
        <v>72</v>
      </c>
      <c r="BJ6" s="11" t="s">
        <v>78</v>
      </c>
      <c r="BK6" s="30" t="s">
        <v>108</v>
      </c>
      <c r="BL6" s="11" t="s">
        <v>109</v>
      </c>
      <c r="BM6" s="29" t="s">
        <v>110</v>
      </c>
      <c r="BN6" s="11" t="s">
        <v>111</v>
      </c>
      <c r="BO6" s="11" t="s">
        <v>73</v>
      </c>
      <c r="BP6" s="11" t="s">
        <v>112</v>
      </c>
      <c r="BQ6" s="11" t="s">
        <v>72</v>
      </c>
      <c r="BR6" s="11" t="s">
        <v>141</v>
      </c>
      <c r="BS6" s="11" t="s">
        <v>142</v>
      </c>
      <c r="BT6" s="11" t="s">
        <v>72</v>
      </c>
      <c r="BU6" s="11" t="s">
        <v>115</v>
      </c>
      <c r="BV6" s="31">
        <f ca="1"/>
        <v>35495</v>
      </c>
      <c r="BW6" s="24">
        <v>44562</v>
      </c>
      <c r="BX6" s="24">
        <v>47119</v>
      </c>
      <c r="BY6" s="16" t="s">
        <v>116</v>
      </c>
    </row>
    <row r="7" spans="1:77" s="33" customFormat="1" ht="15.65" customHeight="1" x14ac:dyDescent="0.35">
      <c r="A7" s="9" t="s">
        <v>148</v>
      </c>
      <c r="B7" s="34"/>
      <c r="C7" s="9"/>
      <c r="D7" s="10" t="s">
        <v>118</v>
      </c>
      <c r="E7" s="11" t="s">
        <v>72</v>
      </c>
      <c r="F7" s="12" t="s">
        <v>73</v>
      </c>
      <c r="G7" s="13"/>
      <c r="H7" s="14"/>
      <c r="I7" s="15" t="s">
        <v>149</v>
      </c>
      <c r="J7" s="16" t="s">
        <v>75</v>
      </c>
      <c r="K7" s="16" t="s">
        <v>76</v>
      </c>
      <c r="L7" s="17">
        <f t="shared" ca="1" si="0"/>
        <v>45723</v>
      </c>
      <c r="M7" s="11" t="s">
        <v>72</v>
      </c>
      <c r="N7" s="11" t="s">
        <v>77</v>
      </c>
      <c r="O7" s="12" t="s">
        <v>78</v>
      </c>
      <c r="P7" s="16" t="s">
        <v>79</v>
      </c>
      <c r="Q7" s="16" t="s">
        <v>80</v>
      </c>
      <c r="R7" s="16" t="s">
        <v>76</v>
      </c>
      <c r="S7" s="18" t="s">
        <v>81</v>
      </c>
      <c r="T7" s="19" t="s">
        <v>82</v>
      </c>
      <c r="U7" s="16" t="s">
        <v>76</v>
      </c>
      <c r="V7" s="17">
        <f t="shared" ca="1" si="1"/>
        <v>45723</v>
      </c>
      <c r="W7" s="16" t="s">
        <v>83</v>
      </c>
      <c r="X7" s="13" t="s">
        <v>150</v>
      </c>
      <c r="Y7" s="12" t="s">
        <v>85</v>
      </c>
      <c r="Z7" s="12" t="s">
        <v>151</v>
      </c>
      <c r="AA7" s="12" t="s">
        <v>87</v>
      </c>
      <c r="AB7" s="20" t="s">
        <v>88</v>
      </c>
      <c r="AC7" s="20" t="s">
        <v>121</v>
      </c>
      <c r="AD7" s="21">
        <v>35</v>
      </c>
      <c r="AE7" s="22" t="s">
        <v>90</v>
      </c>
      <c r="AF7" s="12" t="s">
        <v>91</v>
      </c>
      <c r="AG7" s="23" t="s">
        <v>92</v>
      </c>
      <c r="AH7" s="16" t="s">
        <v>93</v>
      </c>
      <c r="AI7" s="16" t="s">
        <v>94</v>
      </c>
      <c r="AJ7" s="16" t="s">
        <v>95</v>
      </c>
      <c r="AK7" s="24">
        <f t="shared" ca="1" si="2"/>
        <v>45723</v>
      </c>
      <c r="AL7" s="24">
        <f t="shared" ca="1" si="3"/>
        <v>45723</v>
      </c>
      <c r="AM7" s="24">
        <f t="shared" ca="1" si="4"/>
        <v>45723</v>
      </c>
      <c r="AN7" s="17" t="str">
        <f t="shared" si="5"/>
        <v>N/A</v>
      </c>
      <c r="AO7" s="16" t="s">
        <v>122</v>
      </c>
      <c r="AP7" s="16" t="s">
        <v>123</v>
      </c>
      <c r="AQ7" s="16" t="s">
        <v>98</v>
      </c>
      <c r="AR7" s="16" t="s">
        <v>138</v>
      </c>
      <c r="AS7" s="16" t="s">
        <v>139</v>
      </c>
      <c r="AT7" s="32" t="s">
        <v>152</v>
      </c>
      <c r="AU7" s="11" t="s">
        <v>92</v>
      </c>
      <c r="AV7" s="24">
        <f t="shared" ca="1" si="6"/>
        <v>45774</v>
      </c>
      <c r="AW7" s="11" t="s">
        <v>72</v>
      </c>
      <c r="AX7" s="25" t="s">
        <v>103</v>
      </c>
      <c r="AY7" s="26" t="str">
        <f t="shared" ca="1" si="7"/>
        <v>X3RRBABA76</v>
      </c>
      <c r="AZ7" s="24" t="s">
        <v>104</v>
      </c>
      <c r="BA7" s="24" t="s">
        <v>105</v>
      </c>
      <c r="BB7" s="12" t="s">
        <v>106</v>
      </c>
      <c r="BC7" s="24" t="s">
        <v>104</v>
      </c>
      <c r="BD7" s="27" t="s">
        <v>72</v>
      </c>
      <c r="BE7" s="27" t="s">
        <v>79</v>
      </c>
      <c r="BF7" s="27" t="s">
        <v>79</v>
      </c>
      <c r="BG7" s="28" t="s">
        <v>107</v>
      </c>
      <c r="BH7" s="24" t="s">
        <v>92</v>
      </c>
      <c r="BI7" s="29" t="s">
        <v>72</v>
      </c>
      <c r="BJ7" s="11" t="s">
        <v>78</v>
      </c>
      <c r="BK7" s="30" t="s">
        <v>108</v>
      </c>
      <c r="BL7" s="11" t="s">
        <v>109</v>
      </c>
      <c r="BM7" s="29" t="s">
        <v>110</v>
      </c>
      <c r="BN7" s="11" t="s">
        <v>111</v>
      </c>
      <c r="BO7" s="11" t="s">
        <v>73</v>
      </c>
      <c r="BP7" s="11" t="s">
        <v>112</v>
      </c>
      <c r="BQ7" s="11" t="s">
        <v>72</v>
      </c>
      <c r="BR7" s="11" t="s">
        <v>141</v>
      </c>
      <c r="BS7" s="11" t="s">
        <v>142</v>
      </c>
      <c r="BT7" s="11" t="s">
        <v>72</v>
      </c>
      <c r="BU7" s="11" t="s">
        <v>115</v>
      </c>
      <c r="BV7" s="31">
        <f ca="1"/>
        <v>68957</v>
      </c>
      <c r="BW7" s="24">
        <v>44562</v>
      </c>
      <c r="BX7" s="24">
        <v>47119</v>
      </c>
      <c r="BY7" s="16" t="s">
        <v>116</v>
      </c>
    </row>
    <row r="8" spans="1:77" s="33" customFormat="1" ht="15.65" customHeight="1" x14ac:dyDescent="0.35">
      <c r="A8" s="9" t="s">
        <v>153</v>
      </c>
      <c r="B8" s="9"/>
      <c r="C8" s="9"/>
      <c r="D8" s="10" t="s">
        <v>71</v>
      </c>
      <c r="E8" s="11" t="s">
        <v>72</v>
      </c>
      <c r="F8" s="12" t="s">
        <v>73</v>
      </c>
      <c r="G8" s="13"/>
      <c r="H8" s="14"/>
      <c r="I8" s="15" t="s">
        <v>154</v>
      </c>
      <c r="J8" s="16" t="s">
        <v>75</v>
      </c>
      <c r="K8" s="16" t="s">
        <v>76</v>
      </c>
      <c r="L8" s="17">
        <f t="shared" ca="1" si="0"/>
        <v>45723</v>
      </c>
      <c r="M8" s="11" t="s">
        <v>72</v>
      </c>
      <c r="N8" s="11" t="s">
        <v>77</v>
      </c>
      <c r="O8" s="12" t="s">
        <v>78</v>
      </c>
      <c r="P8" s="16" t="s">
        <v>79</v>
      </c>
      <c r="Q8" s="16" t="s">
        <v>80</v>
      </c>
      <c r="R8" s="16" t="s">
        <v>76</v>
      </c>
      <c r="S8" s="18" t="s">
        <v>81</v>
      </c>
      <c r="T8" s="19" t="s">
        <v>82</v>
      </c>
      <c r="U8" s="16" t="s">
        <v>76</v>
      </c>
      <c r="V8" s="17">
        <f t="shared" ca="1" si="1"/>
        <v>45723</v>
      </c>
      <c r="W8" s="16" t="s">
        <v>83</v>
      </c>
      <c r="X8" s="13" t="s">
        <v>84</v>
      </c>
      <c r="Y8" s="12" t="s">
        <v>134</v>
      </c>
      <c r="Z8" s="12" t="s">
        <v>155</v>
      </c>
      <c r="AA8" s="12" t="s">
        <v>136</v>
      </c>
      <c r="AB8" s="20" t="s">
        <v>88</v>
      </c>
      <c r="AC8" s="20" t="s">
        <v>121</v>
      </c>
      <c r="AD8" s="21">
        <v>25</v>
      </c>
      <c r="AE8" s="22" t="s">
        <v>90</v>
      </c>
      <c r="AF8" s="12" t="s">
        <v>91</v>
      </c>
      <c r="AG8" s="23">
        <f ca="1">V8+365</f>
        <v>46088</v>
      </c>
      <c r="AH8" s="16" t="s">
        <v>137</v>
      </c>
      <c r="AI8" s="16" t="s">
        <v>94</v>
      </c>
      <c r="AJ8" s="16" t="s">
        <v>95</v>
      </c>
      <c r="AK8" s="24">
        <f t="shared" ca="1" si="2"/>
        <v>45723</v>
      </c>
      <c r="AL8" s="24">
        <f t="shared" ca="1" si="3"/>
        <v>45723</v>
      </c>
      <c r="AM8" s="24">
        <f t="shared" ca="1" si="4"/>
        <v>45723</v>
      </c>
      <c r="AN8" s="17">
        <f t="shared" ca="1" si="5"/>
        <v>46088</v>
      </c>
      <c r="AO8" s="16" t="s">
        <v>96</v>
      </c>
      <c r="AP8" s="16" t="s">
        <v>156</v>
      </c>
      <c r="AQ8" s="16" t="s">
        <v>98</v>
      </c>
      <c r="AR8" s="16" t="s">
        <v>157</v>
      </c>
      <c r="AS8" s="16" t="s">
        <v>158</v>
      </c>
      <c r="AT8" s="11" t="s">
        <v>159</v>
      </c>
      <c r="AU8" s="11" t="s">
        <v>92</v>
      </c>
      <c r="AV8" s="24">
        <f t="shared" ca="1" si="6"/>
        <v>45774</v>
      </c>
      <c r="AW8" s="11" t="s">
        <v>72</v>
      </c>
      <c r="AX8" s="25" t="s">
        <v>103</v>
      </c>
      <c r="AY8" s="26" t="str">
        <f t="shared" ca="1" si="7"/>
        <v>X3RRBABA55</v>
      </c>
      <c r="AZ8" s="24" t="s">
        <v>104</v>
      </c>
      <c r="BA8" s="24" t="s">
        <v>105</v>
      </c>
      <c r="BB8" s="12" t="s">
        <v>106</v>
      </c>
      <c r="BC8" s="24" t="s">
        <v>104</v>
      </c>
      <c r="BD8" s="27" t="s">
        <v>72</v>
      </c>
      <c r="BE8" s="27" t="s">
        <v>79</v>
      </c>
      <c r="BF8" s="27" t="s">
        <v>79</v>
      </c>
      <c r="BG8" s="28" t="s">
        <v>107</v>
      </c>
      <c r="BH8" s="24" t="s">
        <v>92</v>
      </c>
      <c r="BI8" s="29" t="s">
        <v>72</v>
      </c>
      <c r="BJ8" s="11" t="s">
        <v>78</v>
      </c>
      <c r="BK8" s="30" t="s">
        <v>108</v>
      </c>
      <c r="BL8" s="11" t="s">
        <v>109</v>
      </c>
      <c r="BM8" s="29" t="s">
        <v>110</v>
      </c>
      <c r="BN8" s="11" t="s">
        <v>111</v>
      </c>
      <c r="BO8" s="11" t="s">
        <v>73</v>
      </c>
      <c r="BP8" s="11" t="s">
        <v>112</v>
      </c>
      <c r="BQ8" s="11" t="s">
        <v>72</v>
      </c>
      <c r="BR8" s="11" t="s">
        <v>141</v>
      </c>
      <c r="BS8" s="11" t="s">
        <v>142</v>
      </c>
      <c r="BT8" s="11" t="s">
        <v>72</v>
      </c>
      <c r="BU8" s="11" t="s">
        <v>115</v>
      </c>
      <c r="BV8" s="31">
        <f ca="1"/>
        <v>59523</v>
      </c>
      <c r="BW8" s="24">
        <v>44562</v>
      </c>
      <c r="BX8" s="24">
        <v>47119</v>
      </c>
      <c r="BY8" s="16" t="s">
        <v>116</v>
      </c>
    </row>
    <row r="9" spans="1:77" ht="15.65" customHeight="1" x14ac:dyDescent="0.35">
      <c r="A9" s="1" t="s">
        <v>160</v>
      </c>
      <c r="C9" s="9"/>
      <c r="D9" s="10" t="s">
        <v>161</v>
      </c>
      <c r="E9" s="11" t="s">
        <v>72</v>
      </c>
      <c r="F9" s="12" t="s">
        <v>73</v>
      </c>
      <c r="G9" s="13"/>
      <c r="H9" s="14"/>
      <c r="I9" s="15" t="s">
        <v>162</v>
      </c>
      <c r="J9" s="16" t="s">
        <v>75</v>
      </c>
      <c r="K9" s="16" t="s">
        <v>76</v>
      </c>
      <c r="L9" s="17">
        <f t="shared" ca="1" si="0"/>
        <v>45723</v>
      </c>
      <c r="M9" s="11" t="s">
        <v>72</v>
      </c>
      <c r="N9" s="11" t="s">
        <v>77</v>
      </c>
      <c r="O9" s="12" t="s">
        <v>78</v>
      </c>
      <c r="P9" s="16" t="s">
        <v>79</v>
      </c>
      <c r="Q9" s="16" t="s">
        <v>80</v>
      </c>
      <c r="R9" s="16" t="s">
        <v>76</v>
      </c>
      <c r="S9" s="18" t="s">
        <v>81</v>
      </c>
      <c r="T9" s="19" t="s">
        <v>82</v>
      </c>
      <c r="U9" s="16" t="s">
        <v>76</v>
      </c>
      <c r="V9" s="17">
        <f t="shared" ca="1" si="1"/>
        <v>45723</v>
      </c>
      <c r="W9" s="16" t="s">
        <v>83</v>
      </c>
      <c r="X9" s="13" t="s">
        <v>163</v>
      </c>
      <c r="Y9" s="12" t="s">
        <v>85</v>
      </c>
      <c r="Z9" s="12" t="s">
        <v>164</v>
      </c>
      <c r="AA9" s="12" t="s">
        <v>87</v>
      </c>
      <c r="AB9" s="20" t="s">
        <v>88</v>
      </c>
      <c r="AC9" s="20" t="s">
        <v>121</v>
      </c>
      <c r="AD9" s="21">
        <v>35</v>
      </c>
      <c r="AE9" s="22" t="s">
        <v>90</v>
      </c>
      <c r="AF9" s="12" t="s">
        <v>91</v>
      </c>
      <c r="AG9" s="23" t="s">
        <v>92</v>
      </c>
      <c r="AH9" s="16" t="s">
        <v>93</v>
      </c>
      <c r="AI9" s="16" t="s">
        <v>94</v>
      </c>
      <c r="AJ9" s="16" t="s">
        <v>95</v>
      </c>
      <c r="AK9" s="24">
        <f t="shared" ca="1" si="2"/>
        <v>45723</v>
      </c>
      <c r="AL9" s="24">
        <f t="shared" ca="1" si="3"/>
        <v>45723</v>
      </c>
      <c r="AM9" s="24">
        <f t="shared" ca="1" si="4"/>
        <v>45723</v>
      </c>
      <c r="AN9" s="17" t="str">
        <f t="shared" si="5"/>
        <v>N/A</v>
      </c>
      <c r="AO9" s="16" t="s">
        <v>122</v>
      </c>
      <c r="AP9" s="16" t="s">
        <v>123</v>
      </c>
      <c r="AQ9" s="16" t="s">
        <v>98</v>
      </c>
      <c r="AR9" s="16" t="s">
        <v>138</v>
      </c>
      <c r="AS9" s="16" t="s">
        <v>139</v>
      </c>
      <c r="AT9" s="11" t="s">
        <v>165</v>
      </c>
      <c r="AU9" s="11" t="s">
        <v>92</v>
      </c>
      <c r="AV9" s="24">
        <f t="shared" ca="1" si="6"/>
        <v>45774</v>
      </c>
      <c r="AW9" s="11" t="s">
        <v>72</v>
      </c>
      <c r="AX9" s="25" t="s">
        <v>103</v>
      </c>
      <c r="AY9" s="26" t="str">
        <f t="shared" ca="1" si="7"/>
        <v>X7RRBABA30</v>
      </c>
      <c r="AZ9" s="24" t="s">
        <v>104</v>
      </c>
      <c r="BA9" s="24" t="s">
        <v>105</v>
      </c>
      <c r="BB9" s="12" t="s">
        <v>106</v>
      </c>
      <c r="BC9" s="24" t="s">
        <v>104</v>
      </c>
      <c r="BD9" s="27" t="s">
        <v>72</v>
      </c>
      <c r="BE9" s="27" t="s">
        <v>79</v>
      </c>
      <c r="BF9" s="27" t="s">
        <v>79</v>
      </c>
      <c r="BG9" s="28" t="s">
        <v>107</v>
      </c>
      <c r="BH9" s="24" t="s">
        <v>92</v>
      </c>
      <c r="BI9" s="29" t="s">
        <v>72</v>
      </c>
      <c r="BJ9" s="11" t="s">
        <v>78</v>
      </c>
      <c r="BK9" s="30" t="s">
        <v>108</v>
      </c>
      <c r="BL9" s="11" t="s">
        <v>109</v>
      </c>
      <c r="BM9" s="29" t="s">
        <v>110</v>
      </c>
      <c r="BN9" s="11" t="s">
        <v>111</v>
      </c>
      <c r="BO9" s="11" t="s">
        <v>73</v>
      </c>
      <c r="BP9" s="11" t="s">
        <v>112</v>
      </c>
      <c r="BQ9" s="11" t="s">
        <v>72</v>
      </c>
      <c r="BR9" s="11" t="s">
        <v>141</v>
      </c>
      <c r="BS9" s="11" t="s">
        <v>142</v>
      </c>
      <c r="BT9" s="11" t="s">
        <v>72</v>
      </c>
      <c r="BU9" s="11" t="s">
        <v>115</v>
      </c>
      <c r="BV9" s="31">
        <f ca="1"/>
        <v>74465</v>
      </c>
      <c r="BW9" s="24">
        <v>44562</v>
      </c>
      <c r="BX9" s="24">
        <v>47119</v>
      </c>
      <c r="BY9" s="16" t="s">
        <v>116</v>
      </c>
    </row>
    <row r="10" spans="1:77" s="33" customFormat="1" ht="15.65" customHeight="1" x14ac:dyDescent="0.35">
      <c r="A10" s="9" t="s">
        <v>166</v>
      </c>
      <c r="B10" s="9"/>
      <c r="C10" s="9"/>
      <c r="D10" s="10" t="s">
        <v>71</v>
      </c>
      <c r="E10" s="11" t="s">
        <v>72</v>
      </c>
      <c r="F10" s="12" t="s">
        <v>73</v>
      </c>
      <c r="G10" s="13"/>
      <c r="H10" s="14"/>
      <c r="I10" s="15" t="s">
        <v>167</v>
      </c>
      <c r="J10" s="16" t="s">
        <v>75</v>
      </c>
      <c r="K10" s="16" t="s">
        <v>76</v>
      </c>
      <c r="L10" s="17">
        <f t="shared" ca="1" si="0"/>
        <v>45723</v>
      </c>
      <c r="M10" s="11" t="s">
        <v>72</v>
      </c>
      <c r="N10" s="11" t="s">
        <v>77</v>
      </c>
      <c r="O10" s="12" t="s">
        <v>78</v>
      </c>
      <c r="P10" s="16" t="s">
        <v>79</v>
      </c>
      <c r="Q10" s="16" t="s">
        <v>80</v>
      </c>
      <c r="R10" s="16" t="s">
        <v>76</v>
      </c>
      <c r="S10" s="18" t="s">
        <v>81</v>
      </c>
      <c r="T10" s="19" t="s">
        <v>82</v>
      </c>
      <c r="U10" s="16" t="s">
        <v>76</v>
      </c>
      <c r="V10" s="17">
        <f t="shared" ca="1" si="1"/>
        <v>45723</v>
      </c>
      <c r="W10" s="16" t="s">
        <v>83</v>
      </c>
      <c r="X10" s="13" t="s">
        <v>84</v>
      </c>
      <c r="Y10" s="12" t="s">
        <v>134</v>
      </c>
      <c r="Z10" s="12" t="s">
        <v>86</v>
      </c>
      <c r="AA10" s="12" t="s">
        <v>87</v>
      </c>
      <c r="AB10" s="20" t="s">
        <v>88</v>
      </c>
      <c r="AC10" s="20" t="s">
        <v>89</v>
      </c>
      <c r="AD10" s="21">
        <v>35</v>
      </c>
      <c r="AE10" s="22" t="s">
        <v>90</v>
      </c>
      <c r="AF10" s="12" t="s">
        <v>91</v>
      </c>
      <c r="AG10" s="23">
        <f ca="1">V10+365</f>
        <v>46088</v>
      </c>
      <c r="AH10" s="16" t="s">
        <v>137</v>
      </c>
      <c r="AI10" s="16" t="s">
        <v>94</v>
      </c>
      <c r="AJ10" s="16" t="s">
        <v>95</v>
      </c>
      <c r="AK10" s="24">
        <f t="shared" ca="1" si="2"/>
        <v>45723</v>
      </c>
      <c r="AL10" s="24">
        <f t="shared" ca="1" si="3"/>
        <v>45723</v>
      </c>
      <c r="AM10" s="24">
        <f t="shared" ca="1" si="4"/>
        <v>45723</v>
      </c>
      <c r="AN10" s="17">
        <f t="shared" ca="1" si="5"/>
        <v>46088</v>
      </c>
      <c r="AO10" s="16" t="s">
        <v>96</v>
      </c>
      <c r="AP10" s="16" t="s">
        <v>168</v>
      </c>
      <c r="AQ10" s="16" t="s">
        <v>98</v>
      </c>
      <c r="AR10" s="16" t="s">
        <v>157</v>
      </c>
      <c r="AS10" s="16" t="s">
        <v>158</v>
      </c>
      <c r="AT10" s="11" t="s">
        <v>101</v>
      </c>
      <c r="AU10" s="11" t="s">
        <v>102</v>
      </c>
      <c r="AV10" s="24">
        <f t="shared" ca="1" si="6"/>
        <v>45774</v>
      </c>
      <c r="AW10" s="11" t="s">
        <v>72</v>
      </c>
      <c r="AX10" s="25" t="s">
        <v>103</v>
      </c>
      <c r="AY10" s="26" t="str">
        <f t="shared" ca="1" si="7"/>
        <v>X8RRBABA69</v>
      </c>
      <c r="AZ10" s="24" t="s">
        <v>104</v>
      </c>
      <c r="BA10" s="24" t="s">
        <v>105</v>
      </c>
      <c r="BB10" s="12" t="s">
        <v>106</v>
      </c>
      <c r="BC10" s="24" t="s">
        <v>104</v>
      </c>
      <c r="BD10" s="27" t="s">
        <v>72</v>
      </c>
      <c r="BE10" s="27" t="s">
        <v>79</v>
      </c>
      <c r="BF10" s="27" t="s">
        <v>79</v>
      </c>
      <c r="BG10" s="28" t="s">
        <v>107</v>
      </c>
      <c r="BH10" s="24" t="s">
        <v>92</v>
      </c>
      <c r="BI10" s="29" t="s">
        <v>72</v>
      </c>
      <c r="BJ10" s="11" t="s">
        <v>78</v>
      </c>
      <c r="BK10" s="30" t="s">
        <v>108</v>
      </c>
      <c r="BL10" s="11" t="s">
        <v>109</v>
      </c>
      <c r="BM10" s="29" t="s">
        <v>110</v>
      </c>
      <c r="BN10" s="11" t="s">
        <v>111</v>
      </c>
      <c r="BO10" s="11" t="s">
        <v>73</v>
      </c>
      <c r="BP10" s="11" t="s">
        <v>112</v>
      </c>
      <c r="BQ10" s="11" t="s">
        <v>72</v>
      </c>
      <c r="BR10" s="11" t="s">
        <v>141</v>
      </c>
      <c r="BS10" s="11" t="s">
        <v>142</v>
      </c>
      <c r="BT10" s="11" t="s">
        <v>72</v>
      </c>
      <c r="BU10" s="11" t="s">
        <v>115</v>
      </c>
      <c r="BV10" s="31">
        <f ca="1"/>
        <v>40354</v>
      </c>
      <c r="BW10" s="24">
        <v>44562</v>
      </c>
      <c r="BX10" s="24">
        <v>47119</v>
      </c>
      <c r="BY10" s="16" t="s">
        <v>116</v>
      </c>
    </row>
    <row r="11" spans="1:77" ht="15.65" customHeight="1" x14ac:dyDescent="0.35">
      <c r="A11" s="1" t="s">
        <v>169</v>
      </c>
      <c r="C11" s="9"/>
      <c r="D11" s="10" t="s">
        <v>71</v>
      </c>
      <c r="E11" s="11" t="s">
        <v>72</v>
      </c>
      <c r="F11" s="12" t="s">
        <v>73</v>
      </c>
      <c r="G11" s="13"/>
      <c r="H11" s="14"/>
      <c r="I11" s="15" t="s">
        <v>162</v>
      </c>
      <c r="J11" s="16" t="s">
        <v>75</v>
      </c>
      <c r="K11" s="16" t="s">
        <v>76</v>
      </c>
      <c r="L11" s="17">
        <f t="shared" ca="1" si="0"/>
        <v>45723</v>
      </c>
      <c r="M11" s="11" t="s">
        <v>72</v>
      </c>
      <c r="N11" s="11" t="s">
        <v>77</v>
      </c>
      <c r="O11" s="12" t="s">
        <v>78</v>
      </c>
      <c r="P11" s="16" t="s">
        <v>79</v>
      </c>
      <c r="Q11" s="16" t="s">
        <v>80</v>
      </c>
      <c r="R11" s="16" t="s">
        <v>76</v>
      </c>
      <c r="S11" s="18" t="s">
        <v>81</v>
      </c>
      <c r="T11" s="19" t="s">
        <v>82</v>
      </c>
      <c r="U11" s="16" t="s">
        <v>76</v>
      </c>
      <c r="V11" s="17">
        <f t="shared" ca="1" si="1"/>
        <v>45723</v>
      </c>
      <c r="W11" s="16" t="s">
        <v>83</v>
      </c>
      <c r="X11" s="13" t="s">
        <v>84</v>
      </c>
      <c r="Y11" s="12" t="s">
        <v>134</v>
      </c>
      <c r="Z11" s="12" t="s">
        <v>170</v>
      </c>
      <c r="AA11" s="12" t="s">
        <v>136</v>
      </c>
      <c r="AB11" s="20" t="s">
        <v>88</v>
      </c>
      <c r="AC11" s="20" t="s">
        <v>89</v>
      </c>
      <c r="AD11" s="21">
        <v>12</v>
      </c>
      <c r="AE11" s="22" t="s">
        <v>90</v>
      </c>
      <c r="AF11" s="12" t="s">
        <v>171</v>
      </c>
      <c r="AG11" s="23">
        <f ca="1">V11+365</f>
        <v>46088</v>
      </c>
      <c r="AH11" s="16" t="s">
        <v>137</v>
      </c>
      <c r="AI11" s="16" t="s">
        <v>94</v>
      </c>
      <c r="AJ11" s="16" t="s">
        <v>95</v>
      </c>
      <c r="AK11" s="24">
        <f t="shared" ca="1" si="2"/>
        <v>45723</v>
      </c>
      <c r="AL11" s="24">
        <f t="shared" ca="1" si="3"/>
        <v>45723</v>
      </c>
      <c r="AM11" s="24">
        <f t="shared" ca="1" si="4"/>
        <v>45723</v>
      </c>
      <c r="AN11" s="17">
        <f t="shared" ca="1" si="5"/>
        <v>46088</v>
      </c>
      <c r="AO11" s="16" t="s">
        <v>96</v>
      </c>
      <c r="AP11" s="16" t="s">
        <v>172</v>
      </c>
      <c r="AQ11" s="16" t="s">
        <v>98</v>
      </c>
      <c r="AR11" s="16" t="s">
        <v>99</v>
      </c>
      <c r="AS11" s="16" t="s">
        <v>100</v>
      </c>
      <c r="AT11" s="11" t="s">
        <v>173</v>
      </c>
      <c r="AU11" s="11" t="s">
        <v>173</v>
      </c>
      <c r="AV11" s="24">
        <f t="shared" ca="1" si="6"/>
        <v>45774</v>
      </c>
      <c r="AW11" s="11" t="s">
        <v>72</v>
      </c>
      <c r="AX11" s="25" t="s">
        <v>103</v>
      </c>
      <c r="AY11" s="26" t="str">
        <f t="shared" ca="1" si="7"/>
        <v>X5RRBABA90</v>
      </c>
      <c r="AZ11" s="24" t="s">
        <v>104</v>
      </c>
      <c r="BA11" s="24" t="s">
        <v>105</v>
      </c>
      <c r="BB11" s="12" t="s">
        <v>106</v>
      </c>
      <c r="BC11" s="24" t="s">
        <v>104</v>
      </c>
      <c r="BD11" s="27" t="s">
        <v>72</v>
      </c>
      <c r="BE11" s="27" t="s">
        <v>79</v>
      </c>
      <c r="BF11" s="27" t="s">
        <v>79</v>
      </c>
      <c r="BG11" s="28" t="s">
        <v>107</v>
      </c>
      <c r="BH11" s="24" t="s">
        <v>92</v>
      </c>
      <c r="BI11" s="29" t="s">
        <v>72</v>
      </c>
      <c r="BJ11" s="11" t="s">
        <v>78</v>
      </c>
      <c r="BK11" s="30" t="s">
        <v>108</v>
      </c>
      <c r="BL11" s="11" t="s">
        <v>109</v>
      </c>
      <c r="BM11" s="29" t="s">
        <v>110</v>
      </c>
      <c r="BN11" s="11" t="s">
        <v>111</v>
      </c>
      <c r="BO11" s="11" t="s">
        <v>73</v>
      </c>
      <c r="BP11" s="11" t="s">
        <v>112</v>
      </c>
      <c r="BQ11" s="11" t="s">
        <v>72</v>
      </c>
      <c r="BR11" s="11" t="s">
        <v>141</v>
      </c>
      <c r="BS11" s="11" t="s">
        <v>142</v>
      </c>
      <c r="BT11" s="11" t="s">
        <v>72</v>
      </c>
      <c r="BU11" s="11" t="s">
        <v>115</v>
      </c>
      <c r="BV11" s="31">
        <f ca="1"/>
        <v>44517</v>
      </c>
      <c r="BW11" s="24">
        <v>44562</v>
      </c>
      <c r="BX11" s="24">
        <v>47119</v>
      </c>
      <c r="BY11" s="16" t="s">
        <v>116</v>
      </c>
    </row>
    <row r="12" spans="1:77" s="33" customFormat="1" ht="15.65" customHeight="1" x14ac:dyDescent="0.35">
      <c r="A12" s="9" t="s">
        <v>174</v>
      </c>
      <c r="B12" s="9"/>
      <c r="C12" s="9"/>
      <c r="D12" s="10" t="s">
        <v>71</v>
      </c>
      <c r="E12" s="11" t="s">
        <v>72</v>
      </c>
      <c r="F12" s="12" t="s">
        <v>73</v>
      </c>
      <c r="G12" s="13"/>
      <c r="H12" s="14"/>
      <c r="I12" s="15" t="s">
        <v>162</v>
      </c>
      <c r="J12" s="16" t="s">
        <v>75</v>
      </c>
      <c r="K12" s="16" t="s">
        <v>76</v>
      </c>
      <c r="L12" s="17">
        <f t="shared" ca="1" si="0"/>
        <v>45723</v>
      </c>
      <c r="M12" s="11" t="s">
        <v>72</v>
      </c>
      <c r="N12" s="11" t="s">
        <v>77</v>
      </c>
      <c r="O12" s="12" t="s">
        <v>78</v>
      </c>
      <c r="P12" s="16" t="s">
        <v>79</v>
      </c>
      <c r="Q12" s="16" t="s">
        <v>80</v>
      </c>
      <c r="R12" s="16" t="s">
        <v>76</v>
      </c>
      <c r="S12" s="18" t="s">
        <v>81</v>
      </c>
      <c r="T12" s="19" t="s">
        <v>82</v>
      </c>
      <c r="U12" s="16" t="s">
        <v>76</v>
      </c>
      <c r="V12" s="17">
        <f t="shared" ca="1" si="1"/>
        <v>45723</v>
      </c>
      <c r="W12" s="16" t="s">
        <v>83</v>
      </c>
      <c r="X12" s="13" t="s">
        <v>84</v>
      </c>
      <c r="Y12" s="12" t="s">
        <v>85</v>
      </c>
      <c r="Z12" s="12" t="s">
        <v>175</v>
      </c>
      <c r="AA12" s="12" t="s">
        <v>87</v>
      </c>
      <c r="AB12" s="20" t="s">
        <v>88</v>
      </c>
      <c r="AC12" s="20" t="s">
        <v>121</v>
      </c>
      <c r="AD12" s="21">
        <v>35</v>
      </c>
      <c r="AE12" s="22" t="s">
        <v>90</v>
      </c>
      <c r="AF12" s="12" t="s">
        <v>91</v>
      </c>
      <c r="AG12" s="23" t="s">
        <v>92</v>
      </c>
      <c r="AH12" s="16" t="s">
        <v>93</v>
      </c>
      <c r="AI12" s="16" t="s">
        <v>94</v>
      </c>
      <c r="AJ12" s="16" t="s">
        <v>95</v>
      </c>
      <c r="AK12" s="24">
        <f t="shared" ca="1" si="2"/>
        <v>45723</v>
      </c>
      <c r="AL12" s="24">
        <f t="shared" ca="1" si="3"/>
        <v>45723</v>
      </c>
      <c r="AM12" s="24">
        <f t="shared" ca="1" si="4"/>
        <v>45723</v>
      </c>
      <c r="AN12" s="17" t="str">
        <f t="shared" si="5"/>
        <v>N/A</v>
      </c>
      <c r="AO12" s="16" t="s">
        <v>96</v>
      </c>
      <c r="AP12" s="16" t="s">
        <v>156</v>
      </c>
      <c r="AQ12" s="16" t="s">
        <v>98</v>
      </c>
      <c r="AR12" s="16" t="s">
        <v>99</v>
      </c>
      <c r="AS12" s="16" t="s">
        <v>100</v>
      </c>
      <c r="AT12" s="11" t="s">
        <v>159</v>
      </c>
      <c r="AU12" s="11" t="s">
        <v>92</v>
      </c>
      <c r="AV12" s="24">
        <f t="shared" ca="1" si="6"/>
        <v>45774</v>
      </c>
      <c r="AW12" s="11" t="s">
        <v>72</v>
      </c>
      <c r="AX12" s="25" t="s">
        <v>103</v>
      </c>
      <c r="AY12" s="26" t="str">
        <f t="shared" ca="1" si="7"/>
        <v>X6RRBABA32</v>
      </c>
      <c r="AZ12" s="24" t="s">
        <v>104</v>
      </c>
      <c r="BA12" s="24" t="s">
        <v>105</v>
      </c>
      <c r="BB12" s="12" t="s">
        <v>106</v>
      </c>
      <c r="BC12" s="24" t="s">
        <v>104</v>
      </c>
      <c r="BD12" s="27" t="s">
        <v>72</v>
      </c>
      <c r="BE12" s="27" t="s">
        <v>79</v>
      </c>
      <c r="BF12" s="27" t="s">
        <v>79</v>
      </c>
      <c r="BG12" s="28" t="s">
        <v>107</v>
      </c>
      <c r="BH12" s="24" t="s">
        <v>92</v>
      </c>
      <c r="BI12" s="29" t="s">
        <v>72</v>
      </c>
      <c r="BJ12" s="11" t="s">
        <v>78</v>
      </c>
      <c r="BK12" s="30" t="s">
        <v>108</v>
      </c>
      <c r="BL12" s="11" t="s">
        <v>109</v>
      </c>
      <c r="BM12" s="29" t="s">
        <v>110</v>
      </c>
      <c r="BN12" s="11" t="s">
        <v>111</v>
      </c>
      <c r="BO12" s="11" t="s">
        <v>73</v>
      </c>
      <c r="BP12" s="11" t="s">
        <v>112</v>
      </c>
      <c r="BQ12" s="11" t="s">
        <v>72</v>
      </c>
      <c r="BR12" s="11" t="s">
        <v>141</v>
      </c>
      <c r="BS12" s="11" t="s">
        <v>142</v>
      </c>
      <c r="BT12" s="11" t="s">
        <v>72</v>
      </c>
      <c r="BU12" s="11" t="s">
        <v>115</v>
      </c>
      <c r="BV12" s="31">
        <f ca="1"/>
        <v>93644</v>
      </c>
      <c r="BW12" s="24">
        <v>44562</v>
      </c>
      <c r="BX12" s="24">
        <v>47119</v>
      </c>
      <c r="BY12" s="16" t="s">
        <v>116</v>
      </c>
    </row>
    <row r="13" spans="1:77" ht="15.65" customHeight="1" x14ac:dyDescent="0.35">
      <c r="A13" s="1" t="s">
        <v>176</v>
      </c>
      <c r="B13" s="35"/>
      <c r="C13" s="9"/>
      <c r="D13" s="10" t="s">
        <v>71</v>
      </c>
      <c r="E13" s="11" t="s">
        <v>72</v>
      </c>
      <c r="F13" s="12" t="s">
        <v>73</v>
      </c>
      <c r="G13" s="13"/>
      <c r="H13" s="14"/>
      <c r="I13" s="15" t="s">
        <v>162</v>
      </c>
      <c r="J13" s="16" t="s">
        <v>75</v>
      </c>
      <c r="K13" s="16" t="s">
        <v>76</v>
      </c>
      <c r="L13" s="17">
        <f t="shared" ca="1" si="0"/>
        <v>45723</v>
      </c>
      <c r="M13" s="11" t="s">
        <v>72</v>
      </c>
      <c r="N13" s="11" t="s">
        <v>77</v>
      </c>
      <c r="O13" s="12" t="s">
        <v>78</v>
      </c>
      <c r="P13" s="16" t="s">
        <v>79</v>
      </c>
      <c r="Q13" s="16" t="s">
        <v>80</v>
      </c>
      <c r="R13" s="16" t="s">
        <v>76</v>
      </c>
      <c r="S13" s="18" t="s">
        <v>81</v>
      </c>
      <c r="T13" s="19" t="s">
        <v>82</v>
      </c>
      <c r="U13" s="16" t="s">
        <v>76</v>
      </c>
      <c r="V13" s="17">
        <f t="shared" ca="1" si="1"/>
        <v>45723</v>
      </c>
      <c r="W13" s="16" t="s">
        <v>83</v>
      </c>
      <c r="X13" s="13" t="s">
        <v>84</v>
      </c>
      <c r="Y13" s="12" t="s">
        <v>177</v>
      </c>
      <c r="Z13" s="12" t="s">
        <v>178</v>
      </c>
      <c r="AA13" s="12" t="s">
        <v>136</v>
      </c>
      <c r="AB13" s="20" t="s">
        <v>88</v>
      </c>
      <c r="AC13" s="20" t="s">
        <v>121</v>
      </c>
      <c r="AD13" s="21">
        <v>8</v>
      </c>
      <c r="AE13" s="22" t="s">
        <v>90</v>
      </c>
      <c r="AF13" s="12" t="s">
        <v>179</v>
      </c>
      <c r="AG13" s="23">
        <f ca="1">V13+365</f>
        <v>46088</v>
      </c>
      <c r="AH13" s="16" t="s">
        <v>180</v>
      </c>
      <c r="AI13" s="16" t="s">
        <v>94</v>
      </c>
      <c r="AJ13" s="16" t="s">
        <v>181</v>
      </c>
      <c r="AK13" s="24">
        <f t="shared" ca="1" si="2"/>
        <v>45723</v>
      </c>
      <c r="AL13" s="24">
        <f t="shared" ca="1" si="3"/>
        <v>45723</v>
      </c>
      <c r="AM13" s="24">
        <f t="shared" ca="1" si="4"/>
        <v>45723</v>
      </c>
      <c r="AN13" s="17">
        <f t="shared" ca="1" si="5"/>
        <v>46088</v>
      </c>
      <c r="AO13" s="16" t="s">
        <v>96</v>
      </c>
      <c r="AP13" s="36" t="s">
        <v>182</v>
      </c>
      <c r="AQ13" s="16" t="s">
        <v>98</v>
      </c>
      <c r="AR13" s="16" t="s">
        <v>183</v>
      </c>
      <c r="AS13" s="16" t="s">
        <v>184</v>
      </c>
      <c r="AT13" s="11" t="s">
        <v>185</v>
      </c>
      <c r="AU13" s="11" t="s">
        <v>92</v>
      </c>
      <c r="AV13" s="24">
        <f t="shared" ca="1" si="6"/>
        <v>45774</v>
      </c>
      <c r="AW13" s="11" t="s">
        <v>72</v>
      </c>
      <c r="AX13" s="25" t="s">
        <v>103</v>
      </c>
      <c r="AY13" s="26" t="str">
        <f t="shared" ca="1" si="7"/>
        <v>X6RRBABA8</v>
      </c>
      <c r="AZ13" s="24" t="s">
        <v>104</v>
      </c>
      <c r="BA13" s="24" t="s">
        <v>105</v>
      </c>
      <c r="BB13" s="12" t="s">
        <v>106</v>
      </c>
      <c r="BC13" s="24" t="s">
        <v>104</v>
      </c>
      <c r="BD13" s="27" t="s">
        <v>72</v>
      </c>
      <c r="BE13" s="27" t="s">
        <v>79</v>
      </c>
      <c r="BF13" s="27" t="s">
        <v>79</v>
      </c>
      <c r="BG13" s="28" t="s">
        <v>107</v>
      </c>
      <c r="BH13" s="24" t="s">
        <v>92</v>
      </c>
      <c r="BI13" s="29" t="s">
        <v>72</v>
      </c>
      <c r="BJ13" s="11" t="s">
        <v>78</v>
      </c>
      <c r="BK13" s="30" t="s">
        <v>108</v>
      </c>
      <c r="BL13" s="11" t="s">
        <v>109</v>
      </c>
      <c r="BM13" s="29" t="s">
        <v>110</v>
      </c>
      <c r="BN13" s="11" t="s">
        <v>111</v>
      </c>
      <c r="BO13" s="11" t="s">
        <v>73</v>
      </c>
      <c r="BP13" s="11" t="s">
        <v>112</v>
      </c>
      <c r="BQ13" s="11" t="s">
        <v>72</v>
      </c>
      <c r="BR13" s="11" t="s">
        <v>141</v>
      </c>
      <c r="BS13" s="11" t="s">
        <v>142</v>
      </c>
      <c r="BT13" s="11" t="s">
        <v>72</v>
      </c>
      <c r="BU13" s="11" t="s">
        <v>115</v>
      </c>
      <c r="BV13" s="31">
        <f ca="1"/>
        <v>55395</v>
      </c>
      <c r="BW13" s="24">
        <v>44562</v>
      </c>
      <c r="BX13" s="24">
        <v>47119</v>
      </c>
      <c r="BY13" s="16" t="s">
        <v>116</v>
      </c>
    </row>
    <row r="14" spans="1:77" ht="15.65" customHeight="1" x14ac:dyDescent="0.35">
      <c r="A14" s="1" t="s">
        <v>186</v>
      </c>
      <c r="C14" s="9"/>
      <c r="D14" s="10" t="s">
        <v>71</v>
      </c>
      <c r="E14" s="11" t="s">
        <v>72</v>
      </c>
      <c r="F14" s="12" t="s">
        <v>73</v>
      </c>
      <c r="G14" s="13"/>
      <c r="H14" s="14"/>
      <c r="I14" s="15" t="s">
        <v>162</v>
      </c>
      <c r="J14" s="16" t="s">
        <v>75</v>
      </c>
      <c r="K14" s="16" t="s">
        <v>76</v>
      </c>
      <c r="L14" s="17">
        <f t="shared" ca="1" si="0"/>
        <v>45723</v>
      </c>
      <c r="M14" s="11" t="s">
        <v>72</v>
      </c>
      <c r="N14" s="11" t="s">
        <v>77</v>
      </c>
      <c r="O14" s="12" t="s">
        <v>78</v>
      </c>
      <c r="P14" s="16" t="s">
        <v>79</v>
      </c>
      <c r="Q14" s="16" t="s">
        <v>80</v>
      </c>
      <c r="R14" s="16" t="s">
        <v>76</v>
      </c>
      <c r="S14" s="18" t="s">
        <v>81</v>
      </c>
      <c r="T14" s="19" t="s">
        <v>82</v>
      </c>
      <c r="U14" s="16" t="s">
        <v>76</v>
      </c>
      <c r="V14" s="17">
        <f t="shared" ca="1" si="1"/>
        <v>45723</v>
      </c>
      <c r="W14" s="16" t="s">
        <v>83</v>
      </c>
      <c r="X14" s="13" t="s">
        <v>84</v>
      </c>
      <c r="Y14" s="12" t="s">
        <v>85</v>
      </c>
      <c r="Z14" s="12" t="s">
        <v>187</v>
      </c>
      <c r="AA14" s="12" t="s">
        <v>87</v>
      </c>
      <c r="AB14" s="20" t="s">
        <v>88</v>
      </c>
      <c r="AC14" s="20" t="s">
        <v>89</v>
      </c>
      <c r="AD14" s="21">
        <v>35</v>
      </c>
      <c r="AE14" s="22" t="s">
        <v>90</v>
      </c>
      <c r="AF14" s="12" t="s">
        <v>91</v>
      </c>
      <c r="AG14" s="23" t="s">
        <v>92</v>
      </c>
      <c r="AH14" s="16" t="s">
        <v>93</v>
      </c>
      <c r="AI14" s="16" t="s">
        <v>94</v>
      </c>
      <c r="AJ14" s="16" t="s">
        <v>95</v>
      </c>
      <c r="AK14" s="24">
        <f t="shared" ca="1" si="2"/>
        <v>45723</v>
      </c>
      <c r="AL14" s="24">
        <f t="shared" ca="1" si="3"/>
        <v>45723</v>
      </c>
      <c r="AM14" s="24">
        <f t="shared" ca="1" si="4"/>
        <v>45723</v>
      </c>
      <c r="AN14" s="17" t="str">
        <f t="shared" si="5"/>
        <v>N/A</v>
      </c>
      <c r="AO14" s="16" t="s">
        <v>96</v>
      </c>
      <c r="AP14" s="16" t="s">
        <v>188</v>
      </c>
      <c r="AQ14" s="16" t="s">
        <v>98</v>
      </c>
      <c r="AR14" s="16" t="s">
        <v>157</v>
      </c>
      <c r="AS14" s="16" t="s">
        <v>189</v>
      </c>
      <c r="AT14" s="11" t="s">
        <v>190</v>
      </c>
      <c r="AU14" s="11" t="s">
        <v>191</v>
      </c>
      <c r="AV14" s="24">
        <f t="shared" ca="1" si="6"/>
        <v>45774</v>
      </c>
      <c r="AW14" s="11" t="s">
        <v>72</v>
      </c>
      <c r="AX14" s="25" t="s">
        <v>103</v>
      </c>
      <c r="AY14" s="26" t="str">
        <f t="shared" ca="1" si="7"/>
        <v>X4RRBABA9</v>
      </c>
      <c r="AZ14" s="24" t="s">
        <v>104</v>
      </c>
      <c r="BA14" s="24" t="s">
        <v>105</v>
      </c>
      <c r="BB14" s="12" t="s">
        <v>106</v>
      </c>
      <c r="BC14" s="24" t="s">
        <v>104</v>
      </c>
      <c r="BD14" s="27" t="s">
        <v>72</v>
      </c>
      <c r="BE14" s="27" t="s">
        <v>79</v>
      </c>
      <c r="BF14" s="27" t="s">
        <v>79</v>
      </c>
      <c r="BG14" s="28" t="s">
        <v>107</v>
      </c>
      <c r="BH14" s="24" t="s">
        <v>92</v>
      </c>
      <c r="BI14" s="29" t="s">
        <v>72</v>
      </c>
      <c r="BJ14" s="11" t="s">
        <v>78</v>
      </c>
      <c r="BK14" s="30" t="s">
        <v>108</v>
      </c>
      <c r="BL14" s="11" t="s">
        <v>109</v>
      </c>
      <c r="BM14" s="29" t="s">
        <v>110</v>
      </c>
      <c r="BN14" s="11" t="s">
        <v>111</v>
      </c>
      <c r="BO14" s="11" t="s">
        <v>73</v>
      </c>
      <c r="BP14" s="11" t="s">
        <v>112</v>
      </c>
      <c r="BQ14" s="11" t="s">
        <v>72</v>
      </c>
      <c r="BR14" s="11" t="s">
        <v>141</v>
      </c>
      <c r="BS14" s="11" t="s">
        <v>142</v>
      </c>
      <c r="BT14" s="11" t="s">
        <v>72</v>
      </c>
      <c r="BU14" s="11" t="s">
        <v>115</v>
      </c>
      <c r="BV14" s="31">
        <f ca="1"/>
        <v>17185</v>
      </c>
      <c r="BW14" s="24">
        <v>44562</v>
      </c>
      <c r="BX14" s="24">
        <v>47119</v>
      </c>
      <c r="BY14" s="16" t="s">
        <v>116</v>
      </c>
    </row>
    <row r="15" spans="1:77" ht="15.65" customHeight="1" x14ac:dyDescent="0.35">
      <c r="A15" s="1" t="s">
        <v>192</v>
      </c>
      <c r="B15" s="35"/>
      <c r="C15" s="9"/>
      <c r="D15" s="10" t="s">
        <v>71</v>
      </c>
      <c r="E15" s="11" t="s">
        <v>72</v>
      </c>
      <c r="F15" s="12" t="s">
        <v>73</v>
      </c>
      <c r="G15" s="13"/>
      <c r="H15" s="14"/>
      <c r="I15" s="15" t="s">
        <v>162</v>
      </c>
      <c r="J15" s="16" t="s">
        <v>75</v>
      </c>
      <c r="K15" s="16" t="s">
        <v>76</v>
      </c>
      <c r="L15" s="17">
        <f t="shared" ca="1" si="0"/>
        <v>45723</v>
      </c>
      <c r="M15" s="11" t="s">
        <v>72</v>
      </c>
      <c r="N15" s="11" t="s">
        <v>77</v>
      </c>
      <c r="O15" s="12" t="s">
        <v>78</v>
      </c>
      <c r="P15" s="16" t="s">
        <v>79</v>
      </c>
      <c r="Q15" s="16" t="s">
        <v>80</v>
      </c>
      <c r="R15" s="16" t="s">
        <v>76</v>
      </c>
      <c r="S15" s="18" t="s">
        <v>81</v>
      </c>
      <c r="T15" s="19" t="s">
        <v>82</v>
      </c>
      <c r="U15" s="16" t="s">
        <v>76</v>
      </c>
      <c r="V15" s="17">
        <f t="shared" ca="1" si="1"/>
        <v>45723</v>
      </c>
      <c r="W15" s="16" t="s">
        <v>83</v>
      </c>
      <c r="X15" s="13" t="s">
        <v>84</v>
      </c>
      <c r="Y15" s="12" t="s">
        <v>134</v>
      </c>
      <c r="Z15" s="12" t="s">
        <v>178</v>
      </c>
      <c r="AA15" s="12" t="s">
        <v>136</v>
      </c>
      <c r="AB15" s="20" t="s">
        <v>88</v>
      </c>
      <c r="AC15" s="20" t="s">
        <v>121</v>
      </c>
      <c r="AD15" s="21">
        <v>25</v>
      </c>
      <c r="AE15" s="22" t="s">
        <v>90</v>
      </c>
      <c r="AF15" s="12" t="s">
        <v>91</v>
      </c>
      <c r="AG15" s="23">
        <f ca="1">V15+365</f>
        <v>46088</v>
      </c>
      <c r="AH15" s="16" t="s">
        <v>137</v>
      </c>
      <c r="AI15" s="16" t="s">
        <v>94</v>
      </c>
      <c r="AJ15" s="16" t="s">
        <v>95</v>
      </c>
      <c r="AK15" s="24">
        <f t="shared" ca="1" si="2"/>
        <v>45723</v>
      </c>
      <c r="AL15" s="24">
        <f t="shared" ca="1" si="3"/>
        <v>45723</v>
      </c>
      <c r="AM15" s="24">
        <f t="shared" ca="1" si="4"/>
        <v>45723</v>
      </c>
      <c r="AN15" s="17">
        <f t="shared" ca="1" si="5"/>
        <v>46088</v>
      </c>
      <c r="AO15" s="16" t="s">
        <v>96</v>
      </c>
      <c r="AP15" s="16" t="s">
        <v>193</v>
      </c>
      <c r="AQ15" s="16" t="s">
        <v>98</v>
      </c>
      <c r="AR15" s="16" t="s">
        <v>183</v>
      </c>
      <c r="AS15" s="16" t="s">
        <v>158</v>
      </c>
      <c r="AT15" s="11" t="s">
        <v>92</v>
      </c>
      <c r="AU15" s="11" t="s">
        <v>92</v>
      </c>
      <c r="AV15" s="24">
        <f t="shared" ca="1" si="6"/>
        <v>45774</v>
      </c>
      <c r="AW15" s="11" t="s">
        <v>72</v>
      </c>
      <c r="AX15" s="25" t="s">
        <v>103</v>
      </c>
      <c r="AY15" s="26" t="str">
        <f t="shared" ca="1" si="7"/>
        <v>X3RRBABA21</v>
      </c>
      <c r="AZ15" s="24" t="s">
        <v>104</v>
      </c>
      <c r="BA15" s="24" t="s">
        <v>105</v>
      </c>
      <c r="BB15" s="12" t="s">
        <v>106</v>
      </c>
      <c r="BC15" s="24" t="s">
        <v>104</v>
      </c>
      <c r="BD15" s="27" t="s">
        <v>72</v>
      </c>
      <c r="BE15" s="27" t="s">
        <v>79</v>
      </c>
      <c r="BF15" s="27" t="s">
        <v>79</v>
      </c>
      <c r="BG15" s="28" t="s">
        <v>107</v>
      </c>
      <c r="BH15" s="24" t="s">
        <v>92</v>
      </c>
      <c r="BI15" s="29" t="s">
        <v>72</v>
      </c>
      <c r="BJ15" s="11" t="s">
        <v>78</v>
      </c>
      <c r="BK15" s="30" t="s">
        <v>108</v>
      </c>
      <c r="BL15" s="11" t="s">
        <v>109</v>
      </c>
      <c r="BM15" s="29" t="s">
        <v>110</v>
      </c>
      <c r="BN15" s="11" t="s">
        <v>111</v>
      </c>
      <c r="BO15" s="11" t="s">
        <v>73</v>
      </c>
      <c r="BP15" s="11" t="s">
        <v>112</v>
      </c>
      <c r="BQ15" s="11" t="s">
        <v>72</v>
      </c>
      <c r="BR15" s="11" t="s">
        <v>141</v>
      </c>
      <c r="BS15" s="11" t="s">
        <v>142</v>
      </c>
      <c r="BT15" s="11" t="s">
        <v>72</v>
      </c>
      <c r="BU15" s="11" t="s">
        <v>115</v>
      </c>
      <c r="BV15" s="31">
        <f ca="1"/>
        <v>90712</v>
      </c>
      <c r="BW15" s="24">
        <v>44562</v>
      </c>
      <c r="BX15" s="24">
        <v>47119</v>
      </c>
      <c r="BY15" s="16" t="s">
        <v>116</v>
      </c>
    </row>
    <row r="16" spans="1:77" ht="15.65" customHeight="1" x14ac:dyDescent="0.35">
      <c r="A16" s="1" t="s">
        <v>194</v>
      </c>
      <c r="C16" s="9"/>
      <c r="D16" s="10" t="s">
        <v>71</v>
      </c>
      <c r="E16" s="11" t="s">
        <v>72</v>
      </c>
      <c r="F16" s="12" t="s">
        <v>73</v>
      </c>
      <c r="G16" s="13"/>
      <c r="H16" s="14"/>
      <c r="I16" s="15" t="s">
        <v>162</v>
      </c>
      <c r="J16" s="16" t="s">
        <v>75</v>
      </c>
      <c r="K16" s="16" t="s">
        <v>76</v>
      </c>
      <c r="L16" s="17">
        <f t="shared" ca="1" si="0"/>
        <v>45723</v>
      </c>
      <c r="M16" s="11" t="s">
        <v>72</v>
      </c>
      <c r="N16" s="11" t="s">
        <v>77</v>
      </c>
      <c r="O16" s="12" t="s">
        <v>78</v>
      </c>
      <c r="P16" s="16" t="s">
        <v>79</v>
      </c>
      <c r="Q16" s="16" t="s">
        <v>80</v>
      </c>
      <c r="R16" s="16" t="s">
        <v>76</v>
      </c>
      <c r="S16" s="18" t="s">
        <v>81</v>
      </c>
      <c r="T16" s="19" t="s">
        <v>82</v>
      </c>
      <c r="U16" s="16" t="s">
        <v>76</v>
      </c>
      <c r="V16" s="17">
        <f t="shared" ca="1" si="1"/>
        <v>45723</v>
      </c>
      <c r="W16" s="16" t="s">
        <v>83</v>
      </c>
      <c r="X16" s="13" t="s">
        <v>84</v>
      </c>
      <c r="Y16" s="12" t="s">
        <v>85</v>
      </c>
      <c r="Z16" s="12" t="s">
        <v>86</v>
      </c>
      <c r="AA16" s="12" t="s">
        <v>136</v>
      </c>
      <c r="AB16" s="20" t="s">
        <v>88</v>
      </c>
      <c r="AC16" s="20" t="s">
        <v>89</v>
      </c>
      <c r="AD16" s="21">
        <v>16</v>
      </c>
      <c r="AE16" s="22" t="s">
        <v>90</v>
      </c>
      <c r="AF16" s="12" t="s">
        <v>171</v>
      </c>
      <c r="AG16" s="23" t="s">
        <v>92</v>
      </c>
      <c r="AH16" s="16" t="s">
        <v>93</v>
      </c>
      <c r="AI16" s="16" t="s">
        <v>94</v>
      </c>
      <c r="AJ16" s="16" t="s">
        <v>95</v>
      </c>
      <c r="AK16" s="24">
        <f t="shared" ca="1" si="2"/>
        <v>45723</v>
      </c>
      <c r="AL16" s="24">
        <f t="shared" ca="1" si="3"/>
        <v>45723</v>
      </c>
      <c r="AM16" s="24">
        <f t="shared" ca="1" si="4"/>
        <v>45723</v>
      </c>
      <c r="AN16" s="17" t="str">
        <f t="shared" si="5"/>
        <v>N/A</v>
      </c>
      <c r="AO16" s="16" t="s">
        <v>96</v>
      </c>
      <c r="AP16" s="16" t="s">
        <v>195</v>
      </c>
      <c r="AQ16" s="16" t="s">
        <v>98</v>
      </c>
      <c r="AR16" s="16" t="s">
        <v>157</v>
      </c>
      <c r="AS16" s="16" t="s">
        <v>158</v>
      </c>
      <c r="AT16" s="11" t="s">
        <v>101</v>
      </c>
      <c r="AU16" s="11" t="s">
        <v>102</v>
      </c>
      <c r="AV16" s="24">
        <f t="shared" ca="1" si="6"/>
        <v>45774</v>
      </c>
      <c r="AW16" s="11" t="s">
        <v>72</v>
      </c>
      <c r="AX16" s="25" t="s">
        <v>103</v>
      </c>
      <c r="AY16" s="26" t="str">
        <f t="shared" ca="1" si="7"/>
        <v>X2RRBABA24</v>
      </c>
      <c r="AZ16" s="24" t="s">
        <v>104</v>
      </c>
      <c r="BA16" s="24" t="s">
        <v>105</v>
      </c>
      <c r="BB16" s="12" t="s">
        <v>106</v>
      </c>
      <c r="BC16" s="24" t="s">
        <v>104</v>
      </c>
      <c r="BD16" s="27" t="s">
        <v>72</v>
      </c>
      <c r="BE16" s="27" t="s">
        <v>79</v>
      </c>
      <c r="BF16" s="27" t="s">
        <v>79</v>
      </c>
      <c r="BG16" s="28" t="s">
        <v>107</v>
      </c>
      <c r="BH16" s="24" t="s">
        <v>92</v>
      </c>
      <c r="BI16" s="29" t="s">
        <v>72</v>
      </c>
      <c r="BJ16" s="11" t="s">
        <v>78</v>
      </c>
      <c r="BK16" s="30" t="s">
        <v>108</v>
      </c>
      <c r="BL16" s="11" t="s">
        <v>109</v>
      </c>
      <c r="BM16" s="29" t="s">
        <v>110</v>
      </c>
      <c r="BN16" s="11" t="s">
        <v>111</v>
      </c>
      <c r="BO16" s="11" t="s">
        <v>73</v>
      </c>
      <c r="BP16" s="11" t="s">
        <v>112</v>
      </c>
      <c r="BQ16" s="11" t="s">
        <v>72</v>
      </c>
      <c r="BR16" s="11" t="s">
        <v>141</v>
      </c>
      <c r="BS16" s="11" t="s">
        <v>142</v>
      </c>
      <c r="BT16" s="11" t="s">
        <v>72</v>
      </c>
      <c r="BU16" s="11" t="s">
        <v>115</v>
      </c>
      <c r="BV16" s="31">
        <f ca="1"/>
        <v>58792</v>
      </c>
      <c r="BW16" s="24">
        <v>44562</v>
      </c>
      <c r="BX16" s="24">
        <v>47119</v>
      </c>
      <c r="BY16" s="16" t="s">
        <v>116</v>
      </c>
    </row>
    <row r="17" spans="38:54" ht="15.65" customHeight="1" x14ac:dyDescent="0.25">
      <c r="AL17" s="24"/>
    </row>
    <row r="28" spans="38:54" ht="15.65" customHeight="1" x14ac:dyDescent="0.35">
      <c r="AX28" s="1" t="s">
        <v>196</v>
      </c>
      <c r="AY28" s="37">
        <f t="array" aca="1" ref="AY28:AY47" ca="1">_xlfn.RANDARRAY(20,1,1,9,TRUE)</f>
        <v>4</v>
      </c>
      <c r="AZ28" s="26" t="s">
        <v>197</v>
      </c>
      <c r="BA28" s="37">
        <f t="array" aca="1" ref="BA28:BA47" ca="1">_xlfn.RANDARRAY(20,1,1,99,TRUE)</f>
        <v>95</v>
      </c>
      <c r="BB28" s="1" t="str">
        <f ca="1">AX28&amp;AY28&amp;AZ28&amp;BA28</f>
        <v>X4RRBABA95</v>
      </c>
    </row>
    <row r="29" spans="38:54" ht="15.65" customHeight="1" x14ac:dyDescent="0.35">
      <c r="AX29" s="1" t="s">
        <v>196</v>
      </c>
      <c r="AY29" s="37">
        <f ca="1"/>
        <v>1</v>
      </c>
      <c r="AZ29" s="26" t="s">
        <v>197</v>
      </c>
      <c r="BA29" s="2">
        <f ca="1"/>
        <v>83</v>
      </c>
      <c r="BB29" s="1" t="str">
        <f t="shared" ref="BB29:BB53" ca="1" si="8">AX29&amp;AY29&amp;AZ29&amp;BA29</f>
        <v>X1RRBABA83</v>
      </c>
    </row>
    <row r="30" spans="38:54" ht="15.65" customHeight="1" x14ac:dyDescent="0.35">
      <c r="AX30" s="1" t="s">
        <v>196</v>
      </c>
      <c r="AY30" s="37">
        <f ca="1"/>
        <v>2</v>
      </c>
      <c r="AZ30" s="26" t="s">
        <v>197</v>
      </c>
      <c r="BA30" s="2">
        <f ca="1"/>
        <v>73</v>
      </c>
      <c r="BB30" s="1" t="str">
        <f t="shared" ca="1" si="8"/>
        <v>X2RRBABA73</v>
      </c>
    </row>
    <row r="31" spans="38:54" ht="15.65" customHeight="1" x14ac:dyDescent="0.35">
      <c r="AX31" s="1" t="s">
        <v>196</v>
      </c>
      <c r="AY31" s="37">
        <f ca="1"/>
        <v>1</v>
      </c>
      <c r="AZ31" s="26" t="s">
        <v>197</v>
      </c>
      <c r="BA31" s="2">
        <f ca="1"/>
        <v>96</v>
      </c>
      <c r="BB31" s="1" t="str">
        <f t="shared" ca="1" si="8"/>
        <v>X1RRBABA96</v>
      </c>
    </row>
    <row r="32" spans="38:54" ht="15.65" customHeight="1" x14ac:dyDescent="0.35">
      <c r="AX32" s="1" t="s">
        <v>196</v>
      </c>
      <c r="AY32" s="37">
        <f ca="1"/>
        <v>1</v>
      </c>
      <c r="AZ32" s="26" t="s">
        <v>197</v>
      </c>
      <c r="BA32" s="2">
        <f ca="1"/>
        <v>37</v>
      </c>
      <c r="BB32" s="1" t="str">
        <f t="shared" ca="1" si="8"/>
        <v>X1RRBABA37</v>
      </c>
    </row>
    <row r="33" spans="50:54" ht="15.65" customHeight="1" x14ac:dyDescent="0.35">
      <c r="AX33" s="1" t="s">
        <v>196</v>
      </c>
      <c r="AY33" s="37">
        <f ca="1"/>
        <v>3</v>
      </c>
      <c r="AZ33" s="26" t="s">
        <v>197</v>
      </c>
      <c r="BA33" s="2">
        <f ca="1"/>
        <v>76</v>
      </c>
      <c r="BB33" s="1" t="str">
        <f t="shared" ca="1" si="8"/>
        <v>X3RRBABA76</v>
      </c>
    </row>
    <row r="34" spans="50:54" ht="15.65" customHeight="1" x14ac:dyDescent="0.35">
      <c r="AX34" s="1" t="s">
        <v>196</v>
      </c>
      <c r="AY34" s="37">
        <f ca="1"/>
        <v>3</v>
      </c>
      <c r="AZ34" s="26" t="s">
        <v>197</v>
      </c>
      <c r="BA34" s="2">
        <f ca="1"/>
        <v>55</v>
      </c>
      <c r="BB34" s="1" t="str">
        <f t="shared" ca="1" si="8"/>
        <v>X3RRBABA55</v>
      </c>
    </row>
    <row r="35" spans="50:54" ht="15.65" customHeight="1" x14ac:dyDescent="0.35">
      <c r="AX35" s="1" t="s">
        <v>196</v>
      </c>
      <c r="AY35" s="37">
        <f ca="1"/>
        <v>7</v>
      </c>
      <c r="AZ35" s="26" t="s">
        <v>197</v>
      </c>
      <c r="BA35" s="2">
        <f ca="1"/>
        <v>30</v>
      </c>
      <c r="BB35" s="1" t="str">
        <f t="shared" ca="1" si="8"/>
        <v>X7RRBABA30</v>
      </c>
    </row>
    <row r="36" spans="50:54" ht="15.65" customHeight="1" x14ac:dyDescent="0.35">
      <c r="AX36" s="1" t="s">
        <v>196</v>
      </c>
      <c r="AY36" s="37">
        <f ca="1"/>
        <v>8</v>
      </c>
      <c r="AZ36" s="26" t="s">
        <v>197</v>
      </c>
      <c r="BA36" s="2">
        <f ca="1"/>
        <v>69</v>
      </c>
      <c r="BB36" s="1" t="str">
        <f t="shared" ca="1" si="8"/>
        <v>X8RRBABA69</v>
      </c>
    </row>
    <row r="37" spans="50:54" ht="15.65" customHeight="1" x14ac:dyDescent="0.35">
      <c r="AX37" s="1" t="s">
        <v>196</v>
      </c>
      <c r="AY37" s="37">
        <f ca="1"/>
        <v>5</v>
      </c>
      <c r="AZ37" s="26" t="s">
        <v>197</v>
      </c>
      <c r="BA37" s="2">
        <f ca="1"/>
        <v>90</v>
      </c>
      <c r="BB37" s="1" t="str">
        <f t="shared" ca="1" si="8"/>
        <v>X5RRBABA90</v>
      </c>
    </row>
    <row r="38" spans="50:54" ht="15.65" customHeight="1" x14ac:dyDescent="0.35">
      <c r="AX38" s="1" t="s">
        <v>196</v>
      </c>
      <c r="AY38" s="37">
        <f ca="1"/>
        <v>6</v>
      </c>
      <c r="AZ38" s="26" t="s">
        <v>197</v>
      </c>
      <c r="BA38" s="2">
        <f ca="1"/>
        <v>32</v>
      </c>
      <c r="BB38" s="1" t="str">
        <f t="shared" ca="1" si="8"/>
        <v>X6RRBABA32</v>
      </c>
    </row>
    <row r="39" spans="50:54" ht="15.65" customHeight="1" x14ac:dyDescent="0.35">
      <c r="AX39" s="1" t="s">
        <v>196</v>
      </c>
      <c r="AY39" s="37">
        <f ca="1"/>
        <v>6</v>
      </c>
      <c r="AZ39" s="26" t="s">
        <v>197</v>
      </c>
      <c r="BA39" s="2">
        <f ca="1"/>
        <v>8</v>
      </c>
      <c r="BB39" s="1" t="str">
        <f t="shared" ca="1" si="8"/>
        <v>X6RRBABA8</v>
      </c>
    </row>
    <row r="40" spans="50:54" ht="15.65" customHeight="1" x14ac:dyDescent="0.35">
      <c r="AX40" s="1" t="s">
        <v>196</v>
      </c>
      <c r="AY40" s="37">
        <f ca="1"/>
        <v>4</v>
      </c>
      <c r="AZ40" s="26" t="s">
        <v>197</v>
      </c>
      <c r="BA40" s="2">
        <f ca="1"/>
        <v>9</v>
      </c>
      <c r="BB40" s="1" t="str">
        <f t="shared" ca="1" si="8"/>
        <v>X4RRBABA9</v>
      </c>
    </row>
    <row r="41" spans="50:54" ht="15.65" customHeight="1" x14ac:dyDescent="0.35">
      <c r="AX41" s="1" t="s">
        <v>196</v>
      </c>
      <c r="AY41" s="37">
        <f ca="1"/>
        <v>3</v>
      </c>
      <c r="AZ41" s="26" t="s">
        <v>197</v>
      </c>
      <c r="BA41" s="2">
        <f ca="1"/>
        <v>21</v>
      </c>
      <c r="BB41" s="1" t="str">
        <f t="shared" ca="1" si="8"/>
        <v>X3RRBABA21</v>
      </c>
    </row>
    <row r="42" spans="50:54" ht="15.65" customHeight="1" x14ac:dyDescent="0.35">
      <c r="AX42" s="1" t="s">
        <v>196</v>
      </c>
      <c r="AY42" s="37">
        <f ca="1"/>
        <v>2</v>
      </c>
      <c r="AZ42" s="26" t="s">
        <v>197</v>
      </c>
      <c r="BA42" s="2">
        <f ca="1"/>
        <v>24</v>
      </c>
      <c r="BB42" s="1" t="str">
        <f t="shared" ca="1" si="8"/>
        <v>X2RRBABA24</v>
      </c>
    </row>
    <row r="43" spans="50:54" ht="15.65" customHeight="1" x14ac:dyDescent="0.35">
      <c r="AX43" s="1" t="s">
        <v>196</v>
      </c>
      <c r="AY43" s="37">
        <f ca="1"/>
        <v>4</v>
      </c>
      <c r="AZ43" s="26" t="s">
        <v>197</v>
      </c>
      <c r="BA43" s="2">
        <f ca="1"/>
        <v>82</v>
      </c>
      <c r="BB43" s="1" t="str">
        <f t="shared" ca="1" si="8"/>
        <v>X4RRBABA82</v>
      </c>
    </row>
    <row r="44" spans="50:54" ht="15.65" customHeight="1" x14ac:dyDescent="0.35">
      <c r="AX44" s="1" t="s">
        <v>196</v>
      </c>
      <c r="AY44" s="37">
        <f ca="1"/>
        <v>3</v>
      </c>
      <c r="AZ44" s="26" t="s">
        <v>197</v>
      </c>
      <c r="BA44" s="2">
        <f ca="1"/>
        <v>96</v>
      </c>
      <c r="BB44" s="1" t="str">
        <f t="shared" ca="1" si="8"/>
        <v>X3RRBABA96</v>
      </c>
    </row>
    <row r="45" spans="50:54" ht="15.65" customHeight="1" x14ac:dyDescent="0.35">
      <c r="AX45" s="1" t="s">
        <v>196</v>
      </c>
      <c r="AY45" s="37">
        <f ca="1"/>
        <v>4</v>
      </c>
      <c r="AZ45" s="26" t="s">
        <v>197</v>
      </c>
      <c r="BA45" s="2">
        <f ca="1"/>
        <v>68</v>
      </c>
      <c r="BB45" s="1" t="str">
        <f t="shared" ca="1" si="8"/>
        <v>X4RRBABA68</v>
      </c>
    </row>
    <row r="46" spans="50:54" ht="15.65" customHeight="1" x14ac:dyDescent="0.35">
      <c r="AX46" s="1" t="s">
        <v>196</v>
      </c>
      <c r="AY46" s="37">
        <f ca="1"/>
        <v>2</v>
      </c>
      <c r="AZ46" s="26" t="s">
        <v>197</v>
      </c>
      <c r="BA46" s="2">
        <f ca="1"/>
        <v>1</v>
      </c>
      <c r="BB46" s="1" t="str">
        <f t="shared" ca="1" si="8"/>
        <v>X2RRBABA1</v>
      </c>
    </row>
    <row r="47" spans="50:54" ht="15.65" customHeight="1" x14ac:dyDescent="0.35">
      <c r="AX47" s="1" t="s">
        <v>196</v>
      </c>
      <c r="AY47" s="37">
        <f ca="1"/>
        <v>5</v>
      </c>
      <c r="AZ47" s="26" t="s">
        <v>197</v>
      </c>
      <c r="BA47" s="2">
        <f ca="1"/>
        <v>80</v>
      </c>
      <c r="BB47" s="1" t="str">
        <f t="shared" ca="1" si="8"/>
        <v>X5RRBABA80</v>
      </c>
    </row>
    <row r="48" spans="50:54" ht="15.65" customHeight="1" x14ac:dyDescent="0.35">
      <c r="AX48" s="1" t="s">
        <v>196</v>
      </c>
      <c r="AY48" s="37"/>
      <c r="AZ48" s="26" t="s">
        <v>197</v>
      </c>
      <c r="BB48" s="1" t="str">
        <f t="shared" si="8"/>
        <v>XRRBABA</v>
      </c>
    </row>
    <row r="49" spans="50:54" ht="15.65" customHeight="1" x14ac:dyDescent="0.35">
      <c r="AX49" s="1" t="s">
        <v>196</v>
      </c>
      <c r="AY49" s="37"/>
      <c r="AZ49" s="26" t="s">
        <v>197</v>
      </c>
      <c r="BB49" s="1" t="str">
        <f t="shared" si="8"/>
        <v>XRRBABA</v>
      </c>
    </row>
    <row r="50" spans="50:54" ht="15.65" customHeight="1" x14ac:dyDescent="0.35">
      <c r="AX50" s="1" t="s">
        <v>196</v>
      </c>
      <c r="AY50" s="37"/>
      <c r="AZ50" s="26" t="s">
        <v>197</v>
      </c>
      <c r="BB50" s="1" t="str">
        <f t="shared" si="8"/>
        <v>XRRBABA</v>
      </c>
    </row>
    <row r="51" spans="50:54" ht="15.65" customHeight="1" x14ac:dyDescent="0.35">
      <c r="AX51" s="1" t="s">
        <v>196</v>
      </c>
      <c r="AZ51" s="26" t="s">
        <v>197</v>
      </c>
      <c r="BB51" s="1" t="str">
        <f t="shared" si="8"/>
        <v>XRRBABA</v>
      </c>
    </row>
    <row r="52" spans="50:54" ht="15.65" customHeight="1" x14ac:dyDescent="0.35">
      <c r="AX52" s="1" t="s">
        <v>196</v>
      </c>
      <c r="AZ52" s="26" t="s">
        <v>197</v>
      </c>
      <c r="BB52" s="1" t="str">
        <f t="shared" si="8"/>
        <v>XRRBABA</v>
      </c>
    </row>
    <row r="53" spans="50:54" ht="15.65" customHeight="1" x14ac:dyDescent="0.35">
      <c r="BB53" s="1" t="str">
        <f t="shared" si="8"/>
        <v/>
      </c>
    </row>
  </sheetData>
  <dataValidations count="3">
    <dataValidation type="list" allowBlank="1" showInputMessage="1" showErrorMessage="1" sqref="AI10:AI16 W10:W16 U10:U16 R10:R16 K10:K16 BL10:BL16 AJ10:AJ12" xr:uid="{00000000-0002-0000-0000-000000000000}">
      <formula1>INDIRECT($E2)</formula1>
    </dataValidation>
    <dataValidation type="list" allowBlank="1" showInputMessage="1" showErrorMessage="1" sqref="AI2:AI16 W2:W16 U2:U16 R2:R16 K2:K16 BL2:BL16 AJ2:AJ12" xr:uid="{00000000-0002-0000-0000-000001000000}">
      <formula1>INDIRECT($E2)</formula1>
    </dataValidation>
    <dataValidation type="list" allowBlank="1" showInputMessage="1" showErrorMessage="1" sqref="AJ14:AJ16" xr:uid="{00000000-0002-0000-0000-000003000000}">
      <formula1>INDIRECT($E2)</formula1>
    </dataValidation>
  </dataValidations>
  <hyperlinks>
    <hyperlink ref="T2" r:id="rId1" xr:uid="{00000000-0004-0000-0000-000000000000}"/>
    <hyperlink ref="T3" r:id="rId2" xr:uid="{00000000-0004-0000-0000-000001000000}"/>
    <hyperlink ref="T4" r:id="rId3" xr:uid="{00000000-0004-0000-0000-000002000000}"/>
    <hyperlink ref="T5" r:id="rId4" xr:uid="{00000000-0004-0000-0000-000003000000}"/>
    <hyperlink ref="T6" r:id="rId5" xr:uid="{00000000-0004-0000-0000-000004000000}"/>
    <hyperlink ref="T7" r:id="rId6" xr:uid="{00000000-0004-0000-0000-000005000000}"/>
    <hyperlink ref="T8" r:id="rId7" xr:uid="{00000000-0004-0000-0000-000006000000}"/>
    <hyperlink ref="T9" r:id="rId8" xr:uid="{00000000-0004-0000-0000-000007000000}"/>
    <hyperlink ref="T10" r:id="rId9" xr:uid="{00000000-0004-0000-0000-000008000000}"/>
    <hyperlink ref="T11" r:id="rId10" xr:uid="{00000000-0004-0000-0000-000009000000}"/>
    <hyperlink ref="T12" r:id="rId11" xr:uid="{00000000-0004-0000-0000-00000A000000}"/>
    <hyperlink ref="T13" r:id="rId12" xr:uid="{00000000-0004-0000-0000-00000B000000}"/>
    <hyperlink ref="T14" r:id="rId13" xr:uid="{00000000-0004-0000-0000-00000C000000}"/>
    <hyperlink ref="T15" r:id="rId14" xr:uid="{00000000-0004-0000-0000-00000D000000}"/>
    <hyperlink ref="T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2025-04-07T05:46:15Z</dcterms:modified>
</cp:coreProperties>
</file>