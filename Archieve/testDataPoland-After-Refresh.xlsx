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D41575F7-C10F-4602-901D-7C2E729EC8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5" i="1" l="1"/>
  <c r="AT15" i="1" s="1"/>
  <c r="K15" i="1"/>
  <c r="X15" i="1" s="1"/>
  <c r="AT14" i="1"/>
  <c r="K14" i="1"/>
  <c r="X14" i="1" s="1"/>
  <c r="AM13" i="1"/>
  <c r="AT13" i="1" s="1"/>
  <c r="K13" i="1"/>
  <c r="X13" i="1" s="1"/>
  <c r="AS13" i="1" s="1"/>
  <c r="AT12" i="1"/>
  <c r="K12" i="1"/>
  <c r="X12" i="1" s="1"/>
  <c r="AM11" i="1"/>
  <c r="AT11" i="1" s="1"/>
  <c r="K11" i="1"/>
  <c r="X11" i="1" s="1"/>
  <c r="AT10" i="1"/>
  <c r="K10" i="1"/>
  <c r="X10" i="1" s="1"/>
  <c r="AR10" i="1" s="1"/>
  <c r="AM9" i="1"/>
  <c r="AT9" i="1" s="1"/>
  <c r="K9" i="1"/>
  <c r="X9" i="1" s="1"/>
  <c r="AT8" i="1"/>
  <c r="K8" i="1"/>
  <c r="X8" i="1" s="1"/>
  <c r="AM7" i="1"/>
  <c r="AT7" i="1" s="1"/>
  <c r="K7" i="1"/>
  <c r="X7" i="1" s="1"/>
  <c r="AT6" i="1"/>
  <c r="K6" i="1"/>
  <c r="X6" i="1" s="1"/>
  <c r="AM5" i="1"/>
  <c r="AT5" i="1" s="1"/>
  <c r="K5" i="1"/>
  <c r="X5" i="1" s="1"/>
  <c r="AS5" i="1" s="1"/>
  <c r="AT4" i="1"/>
  <c r="K4" i="1"/>
  <c r="X4" i="1" s="1"/>
  <c r="AM3" i="1"/>
  <c r="AT3" i="1" s="1"/>
  <c r="K3" i="1"/>
  <c r="X3" i="1" s="1"/>
  <c r="AT2" i="1"/>
  <c r="K2" i="1"/>
  <c r="X2" i="1" s="1"/>
  <c r="AR2" i="1" s="1"/>
  <c r="AS9" i="1" l="1"/>
  <c r="AR9" i="1"/>
  <c r="AR14" i="1"/>
  <c r="AS14" i="1"/>
  <c r="AS4" i="1"/>
  <c r="AR4" i="1"/>
  <c r="AS7" i="1"/>
  <c r="AR7" i="1"/>
  <c r="AR3" i="1"/>
  <c r="AS3" i="1"/>
  <c r="AS12" i="1"/>
  <c r="AR12" i="1"/>
  <c r="AS15" i="1"/>
  <c r="AR15" i="1"/>
  <c r="AR6" i="1"/>
  <c r="AS6" i="1"/>
  <c r="AS8" i="1"/>
  <c r="AR8" i="1"/>
  <c r="AR11" i="1"/>
  <c r="AS11" i="1"/>
  <c r="AS2" i="1"/>
  <c r="AR5" i="1"/>
  <c r="AS10" i="1"/>
  <c r="AR13" i="1"/>
</calcChain>
</file>

<file path=xl/sharedStrings.xml><?xml version="1.0" encoding="utf-8"?>
<sst xmlns="http://schemas.openxmlformats.org/spreadsheetml/2006/main" count="897" uniqueCount="156">
  <si>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</si>
  <si>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</si>
  <si>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</si>
  <si>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</si>
  <si>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</si>
  <si>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</si>
  <si>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</si>
  <si>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</si>
  <si>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</si>
  <si>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</si>
  <si>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</si>
  <si>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</si>
  <si>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</si>
  <si>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</si>
  <si>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</si>
  <si>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</si>
  <si>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</si>
  <si>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</si>
  <si>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</si>
  <si>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</si>
  <si>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</si>
  <si>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</si>
  <si>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</si>
  <si>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</si>
  <si>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</si>
  <si>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</si>
  <si>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</si>
  <si>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</si>
  <si>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</si>
  <si>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</si>
  <si>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</si>
  <si>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</si>
  <si>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</si>
  <si>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</si>
  <si>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</si>
  <si>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</si>
  <si>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</si>
  <si>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</si>
  <si>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</si>
  <si>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</si>
  <si>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</si>
  <si>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</si>
  <si>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</si>
  <si>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</si>
  <si>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</si>
  <si>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</si>
  <si>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</si>
  <si>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</si>
  <si>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</si>
  <si>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</si>
  <si>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</si>
  <si>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</si>
  <si>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</si>
  <si>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</si>
  <si>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</si>
  <si>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</si>
  <si>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</si>
  <si>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</si>
  <si>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</si>
  <si>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</si>
  <si>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</si>
  <si>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</si>
  <si>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</si>
  <si>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</si>
  <si>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</si>
  <si>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</si>
  <si>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</si>
  <si>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</si>
  <si>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</si>
  <si>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</si>
  <si>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</si>
  <si>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</si>
  <si>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</si>
  <si>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</si>
  <si>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766 Recruitment (Gybop Sytavu (10223416))</t>
  </si>
  <si>
    <t>Poland</t>
  </si>
  <si>
    <t>Wilhelm</t>
  </si>
  <si>
    <t>Schowalter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</si>
  <si>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</si>
  <si>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</si>
  <si>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</si>
  <si>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</si>
  <si>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</si>
  <si>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</si>
  <si>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</si>
  <si>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</si>
  <si>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</si>
  <si>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</si>
  <si>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</si>
  <si>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</si>
  <si>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</si>
  <si>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</si>
  <si>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</si>
  <si>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</si>
  <si>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</si>
  <si>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</si>
  <si>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</si>
  <si>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</si>
  <si>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</si>
  <si>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</si>
  <si>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</si>
  <si>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</si>
  <si>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</si>
  <si>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</si>
  <si>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</si>
  <si>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</si>
  <si>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</si>
  <si>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</si>
  <si>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</si>
  <si>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GSK476910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</si>
  <si>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</si>
  <si>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</si>
  <si>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</si>
  <si>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</si>
  <si>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</si>
  <si>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</si>
  <si>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</si>
  <si>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</si>
  <si>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</si>
  <si>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</si>
  <si>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</si>
  <si>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</si>
  <si>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</si>
  <si>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</si>
  <si>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Auto 14500870</t>
  </si>
  <si>
    <t>Fixed Term (Fixed Term)</t>
  </si>
  <si>
    <t>Team Manager - Retail_NEW</t>
  </si>
  <si>
    <t xml:space="preserve">92 Retail Management </t>
  </si>
  <si>
    <t xml:space="preserve">251 Management Retail </t>
  </si>
  <si>
    <t>GSK476911</t>
  </si>
  <si>
    <t>Single (Poland)</t>
  </si>
  <si>
    <t>Test_3</t>
  </si>
  <si>
    <t>GSK476912</t>
  </si>
  <si>
    <t>Test_4</t>
  </si>
  <si>
    <t>GSK476913</t>
  </si>
  <si>
    <t>Test_5</t>
  </si>
  <si>
    <t>GSK476914</t>
  </si>
  <si>
    <t>Test_6</t>
  </si>
  <si>
    <t>GSK476915</t>
  </si>
  <si>
    <t>Test_7</t>
  </si>
  <si>
    <t>GSK476916</t>
  </si>
  <si>
    <t>Test_8</t>
  </si>
  <si>
    <t>GSK476917</t>
  </si>
  <si>
    <t>Test_9</t>
  </si>
  <si>
    <t>GSK476918</t>
  </si>
  <si>
    <t>Test_10</t>
  </si>
  <si>
    <t>GSK476919</t>
  </si>
  <si>
    <t>Test_11</t>
  </si>
  <si>
    <t>GSK476920</t>
  </si>
  <si>
    <t>Test_12</t>
  </si>
  <si>
    <t>GSK476921</t>
  </si>
  <si>
    <t>Test_13</t>
  </si>
  <si>
    <t>GSK476922</t>
  </si>
  <si>
    <t>Test_14</t>
  </si>
  <si>
    <t>GSK476923</t>
  </si>
  <si>
    <t>ZasadniczaSzkołaZawodowa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</si>
</sst>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 applyProtection="1">
      <alignment horizontal="left" wrapText="1"/>
      <protection locked="0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14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3" borderId="0" xfId="0" applyFont="1" applyFill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64" fontId="11" fillId="0" borderId="1" xfId="0" applyNumberFormat="1" applyFont="1" applyBorder="1" applyAlignment="1" applyProtection="1">
      <alignment horizontal="left" wrapText="1"/>
      <protection locked="0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5"/>
  <sheetViews>
    <sheetView tabSelected="1" topLeftCell="AC1" zoomScaleNormal="100" workbookViewId="0">
      <selection activeCell="AH3" sqref="AH3:AH15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4.81640625" customWidth="1"/>
    <col min="11" max="11" width="11.5429687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9.90625" customWidth="1"/>
    <col min="48" max="55" width="27.1796875" customWidth="1"/>
    <col min="56" max="56" width="14.08984375" customWidth="1"/>
    <col min="57" max="57" width="19.08984375" customWidth="1"/>
    <col min="58" max="58" width="27.90625" customWidth="1"/>
    <col min="59" max="59" width="23.90625" customWidth="1"/>
    <col min="60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35">
      <c r="A2" s="27" t="s">
        <v>73</v>
      </c>
      <c r="B2" s="28"/>
      <c r="C2" s="1"/>
      <c r="D2" s="29" t="s">
        <v>74</v>
      </c>
      <c r="E2" s="30" t="s">
        <v>75</v>
      </c>
      <c r="F2" s="31" t="s">
        <v>76</v>
      </c>
      <c r="G2" s="32" t="s">
        <v>77</v>
      </c>
      <c r="H2" s="33" t="s">
        <v>78</v>
      </c>
      <c r="I2" s="34" t="s">
        <v>79</v>
      </c>
      <c r="J2" s="34" t="s">
        <v>80</v>
      </c>
      <c r="K2" s="35">
        <f t="shared" ref="K2:K14" ca="1" si="0">TODAY()-31</f>
        <v>45688</v>
      </c>
      <c r="L2" s="30" t="s">
        <v>75</v>
      </c>
      <c r="M2" s="30" t="s">
        <v>81</v>
      </c>
      <c r="N2" s="34" t="s">
        <v>82</v>
      </c>
      <c r="O2" s="36" t="s">
        <v>83</v>
      </c>
      <c r="P2" s="34" t="s">
        <v>84</v>
      </c>
      <c r="Q2" s="34" t="s">
        <v>85</v>
      </c>
      <c r="R2" s="34" t="s">
        <v>85</v>
      </c>
      <c r="S2" s="34" t="s">
        <v>84</v>
      </c>
      <c r="T2" s="34" t="s">
        <v>80</v>
      </c>
      <c r="U2" s="37" t="s">
        <v>86</v>
      </c>
      <c r="V2" s="38" t="s">
        <v>87</v>
      </c>
      <c r="W2" s="34" t="s">
        <v>80</v>
      </c>
      <c r="X2" s="39">
        <f t="shared" ref="X2" ca="1" si="1">K2</f>
        <v>45688</v>
      </c>
      <c r="Y2" s="34" t="s">
        <v>88</v>
      </c>
      <c r="Z2" s="6" t="s">
        <v>89</v>
      </c>
      <c r="AA2" s="6" t="s">
        <v>90</v>
      </c>
      <c r="AB2" s="6" t="s">
        <v>91</v>
      </c>
      <c r="AC2" s="14" t="s">
        <v>92</v>
      </c>
      <c r="AD2" s="40">
        <v>766</v>
      </c>
      <c r="AE2" s="40" t="s">
        <v>70</v>
      </c>
      <c r="AF2" s="16">
        <v>40</v>
      </c>
      <c r="AG2" s="41" t="s">
        <v>85</v>
      </c>
      <c r="AH2" s="41" t="s">
        <v>155</v>
      </c>
      <c r="AI2" s="18">
        <v>43831</v>
      </c>
      <c r="AJ2" s="18">
        <v>45292</v>
      </c>
      <c r="AK2" s="17" t="s">
        <v>93</v>
      </c>
      <c r="AL2" s="17" t="s">
        <v>94</v>
      </c>
      <c r="AM2" s="18" t="s">
        <v>95</v>
      </c>
      <c r="AN2" s="34">
        <v>110</v>
      </c>
      <c r="AO2" s="34" t="s">
        <v>96</v>
      </c>
      <c r="AP2" s="14" t="s">
        <v>97</v>
      </c>
      <c r="AQ2" s="34" t="s">
        <v>98</v>
      </c>
      <c r="AR2" s="42">
        <f t="shared" ref="AR2" ca="1" si="2">X2</f>
        <v>45688</v>
      </c>
      <c r="AS2" s="42">
        <f t="shared" ref="AS2" ca="1" si="3">X2</f>
        <v>45688</v>
      </c>
      <c r="AT2" s="20" t="str">
        <f t="shared" ref="AT2:AT3" si="4">AM2</f>
        <v>N/A</v>
      </c>
      <c r="AU2" s="6" t="s">
        <v>99</v>
      </c>
      <c r="AV2" s="2" t="s">
        <v>100</v>
      </c>
      <c r="AW2" s="2" t="s">
        <v>101</v>
      </c>
      <c r="AX2" s="2" t="s">
        <v>102</v>
      </c>
      <c r="AY2" s="2" t="s">
        <v>103</v>
      </c>
      <c r="AZ2" s="2" t="s">
        <v>104</v>
      </c>
      <c r="BA2" s="2" t="s">
        <v>105</v>
      </c>
      <c r="BB2" s="2" t="s">
        <v>89</v>
      </c>
      <c r="BC2" s="15" t="s">
        <v>75</v>
      </c>
      <c r="BD2" s="43" t="s">
        <v>106</v>
      </c>
      <c r="BE2" s="15">
        <v>9577896539</v>
      </c>
      <c r="BF2" s="15" t="s">
        <v>75</v>
      </c>
      <c r="BG2" s="43" t="s">
        <v>107</v>
      </c>
      <c r="BH2" s="15">
        <v>49678965285</v>
      </c>
      <c r="BI2" s="15" t="s">
        <v>75</v>
      </c>
      <c r="BJ2" s="43" t="s">
        <v>108</v>
      </c>
      <c r="BK2" s="15" t="s">
        <v>109</v>
      </c>
      <c r="BL2" s="14" t="s">
        <v>110</v>
      </c>
      <c r="BM2" s="44">
        <v>35591</v>
      </c>
      <c r="BN2" s="45" t="s">
        <v>111</v>
      </c>
      <c r="BO2" s="24" t="s">
        <v>112</v>
      </c>
      <c r="BP2" s="46" t="s">
        <v>113</v>
      </c>
      <c r="BQ2" s="30" t="s">
        <v>114</v>
      </c>
      <c r="BR2" s="47" t="s">
        <v>115</v>
      </c>
      <c r="BS2" s="30" t="s">
        <v>116</v>
      </c>
      <c r="BT2" s="46" t="s">
        <v>117</v>
      </c>
      <c r="BU2" s="46" t="s">
        <v>118</v>
      </c>
      <c r="BV2" s="30" t="s">
        <v>119</v>
      </c>
      <c r="BW2" s="30" t="s">
        <v>120</v>
      </c>
      <c r="BX2" s="30" t="s">
        <v>121</v>
      </c>
    </row>
    <row r="3" spans="1:76" ht="14.5" customHeight="1" x14ac:dyDescent="0.35">
      <c r="A3" s="27" t="s">
        <v>122</v>
      </c>
      <c r="B3" s="28"/>
      <c r="C3" s="1"/>
      <c r="D3" s="29" t="s">
        <v>123</v>
      </c>
      <c r="E3" s="30" t="s">
        <v>75</v>
      </c>
      <c r="F3" s="31"/>
      <c r="G3" s="32"/>
      <c r="H3" s="33" t="s">
        <v>78</v>
      </c>
      <c r="I3" s="34" t="s">
        <v>79</v>
      </c>
      <c r="J3" s="34" t="s">
        <v>80</v>
      </c>
      <c r="K3" s="35">
        <f t="shared" ref="K3:K15" ca="1" si="5">TODAY()-31</f>
        <v>45688</v>
      </c>
      <c r="L3" s="30" t="s">
        <v>75</v>
      </c>
      <c r="M3" s="30" t="s">
        <v>81</v>
      </c>
      <c r="N3" s="34" t="s">
        <v>82</v>
      </c>
      <c r="O3" s="36" t="s">
        <v>83</v>
      </c>
      <c r="P3" s="34" t="s">
        <v>84</v>
      </c>
      <c r="Q3" s="34" t="s">
        <v>85</v>
      </c>
      <c r="R3" s="34" t="s">
        <v>85</v>
      </c>
      <c r="S3" s="34" t="s">
        <v>84</v>
      </c>
      <c r="T3" s="34" t="s">
        <v>80</v>
      </c>
      <c r="U3" s="37" t="s">
        <v>86</v>
      </c>
      <c r="V3" s="38" t="s">
        <v>87</v>
      </c>
      <c r="W3" s="34" t="s">
        <v>80</v>
      </c>
      <c r="X3" s="39">
        <f t="shared" ref="X3:X4" ca="1" si="6">K3</f>
        <v>45688</v>
      </c>
      <c r="Y3" s="34" t="s">
        <v>88</v>
      </c>
      <c r="Z3" s="6" t="s">
        <v>124</v>
      </c>
      <c r="AA3" s="6" t="s">
        <v>125</v>
      </c>
      <c r="AB3" s="6" t="s">
        <v>126</v>
      </c>
      <c r="AC3" s="14" t="s">
        <v>92</v>
      </c>
      <c r="AD3" s="40">
        <v>765</v>
      </c>
      <c r="AE3" s="40" t="s">
        <v>70</v>
      </c>
      <c r="AF3" s="16">
        <v>40</v>
      </c>
      <c r="AG3" s="41" t="s">
        <v>85</v>
      </c>
      <c r="AH3" s="41" t="s">
        <v>155</v>
      </c>
      <c r="AI3" s="18">
        <v>43831</v>
      </c>
      <c r="AJ3" s="18">
        <v>45292</v>
      </c>
      <c r="AK3" s="17" t="s">
        <v>93</v>
      </c>
      <c r="AL3" s="17" t="s">
        <v>94</v>
      </c>
      <c r="AM3" s="18">
        <f ca="1">TODAY()+365</f>
        <v>46084</v>
      </c>
      <c r="AN3" s="34">
        <v>110</v>
      </c>
      <c r="AO3" s="34" t="s">
        <v>96</v>
      </c>
      <c r="AP3" s="14" t="s">
        <v>90</v>
      </c>
      <c r="AQ3" s="34" t="s">
        <v>98</v>
      </c>
      <c r="AR3" s="42">
        <f t="shared" ref="AR3:AR4" ca="1" si="7">X3</f>
        <v>45688</v>
      </c>
      <c r="AS3" s="42">
        <f t="shared" ref="AS3:AS4" ca="1" si="8">X3</f>
        <v>45688</v>
      </c>
      <c r="AT3" s="20">
        <f t="shared" ca="1" si="4"/>
        <v>46084</v>
      </c>
      <c r="AU3" s="6" t="s">
        <v>127</v>
      </c>
      <c r="AV3" s="2" t="s">
        <v>128</v>
      </c>
      <c r="AW3" s="2" t="s">
        <v>101</v>
      </c>
      <c r="AX3" s="2" t="s">
        <v>102</v>
      </c>
      <c r="AY3" s="2" t="s">
        <v>103</v>
      </c>
      <c r="AZ3" s="2" t="s">
        <v>104</v>
      </c>
      <c r="BA3" s="2" t="s">
        <v>105</v>
      </c>
      <c r="BB3" s="2" t="s">
        <v>89</v>
      </c>
      <c r="BC3" s="15" t="s">
        <v>75</v>
      </c>
      <c r="BD3" s="43" t="s">
        <v>106</v>
      </c>
      <c r="BE3" s="15">
        <v>9577896540</v>
      </c>
      <c r="BF3" s="15" t="s">
        <v>75</v>
      </c>
      <c r="BG3" s="43" t="s">
        <v>107</v>
      </c>
      <c r="BH3" s="15">
        <v>49678965286</v>
      </c>
      <c r="BI3" s="15" t="s">
        <v>75</v>
      </c>
      <c r="BJ3" s="43" t="s">
        <v>108</v>
      </c>
      <c r="BK3" s="15" t="s">
        <v>129</v>
      </c>
      <c r="BL3" s="14" t="s">
        <v>110</v>
      </c>
      <c r="BM3" s="44">
        <v>35591</v>
      </c>
      <c r="BN3" s="45" t="s">
        <v>130</v>
      </c>
      <c r="BO3" s="24" t="s">
        <v>95</v>
      </c>
      <c r="BP3" s="46" t="s">
        <v>113</v>
      </c>
      <c r="BQ3" s="30" t="s">
        <v>114</v>
      </c>
      <c r="BR3" s="47" t="s">
        <v>115</v>
      </c>
      <c r="BS3" s="30" t="s">
        <v>116</v>
      </c>
      <c r="BT3" s="46" t="s">
        <v>117</v>
      </c>
      <c r="BU3" s="46" t="s">
        <v>118</v>
      </c>
      <c r="BV3" s="30" t="s">
        <v>119</v>
      </c>
      <c r="BW3" s="30" t="s">
        <v>120</v>
      </c>
      <c r="BX3" s="30" t="s">
        <v>121</v>
      </c>
    </row>
    <row r="4" spans="1:76" ht="14.5" customHeight="1" x14ac:dyDescent="0.35">
      <c r="A4" s="27" t="s">
        <v>131</v>
      </c>
      <c r="B4" s="28"/>
      <c r="C4" s="1"/>
      <c r="D4" s="29" t="s">
        <v>74</v>
      </c>
      <c r="E4" s="30" t="s">
        <v>75</v>
      </c>
      <c r="F4" s="31"/>
      <c r="G4" s="32"/>
      <c r="H4" s="33" t="s">
        <v>78</v>
      </c>
      <c r="I4" s="34" t="s">
        <v>79</v>
      </c>
      <c r="J4" s="34" t="s">
        <v>80</v>
      </c>
      <c r="K4" s="35">
        <f t="shared" ca="1" si="0"/>
        <v>45688</v>
      </c>
      <c r="L4" s="30" t="s">
        <v>75</v>
      </c>
      <c r="M4" s="30" t="s">
        <v>81</v>
      </c>
      <c r="N4" s="34" t="s">
        <v>82</v>
      </c>
      <c r="O4" s="36" t="s">
        <v>83</v>
      </c>
      <c r="P4" s="34" t="s">
        <v>84</v>
      </c>
      <c r="Q4" s="34" t="s">
        <v>85</v>
      </c>
      <c r="R4" s="34" t="s">
        <v>85</v>
      </c>
      <c r="S4" s="34" t="s">
        <v>84</v>
      </c>
      <c r="T4" s="34" t="s">
        <v>80</v>
      </c>
      <c r="U4" s="37" t="s">
        <v>86</v>
      </c>
      <c r="V4" s="38" t="s">
        <v>87</v>
      </c>
      <c r="W4" s="34" t="s">
        <v>80</v>
      </c>
      <c r="X4" s="39">
        <f t="shared" ca="1" si="6"/>
        <v>45688</v>
      </c>
      <c r="Y4" s="34" t="s">
        <v>88</v>
      </c>
      <c r="Z4" s="6" t="s">
        <v>89</v>
      </c>
      <c r="AA4" s="6" t="s">
        <v>90</v>
      </c>
      <c r="AB4" s="6" t="s">
        <v>91</v>
      </c>
      <c r="AC4" s="14" t="s">
        <v>92</v>
      </c>
      <c r="AD4" s="40">
        <v>766</v>
      </c>
      <c r="AE4" s="40" t="s">
        <v>70</v>
      </c>
      <c r="AF4" s="16">
        <v>40</v>
      </c>
      <c r="AG4" s="41" t="s">
        <v>85</v>
      </c>
      <c r="AH4" s="41" t="s">
        <v>155</v>
      </c>
      <c r="AI4" s="18">
        <v>43831</v>
      </c>
      <c r="AJ4" s="18">
        <v>45292</v>
      </c>
      <c r="AK4" s="17" t="s">
        <v>93</v>
      </c>
      <c r="AL4" s="17" t="s">
        <v>94</v>
      </c>
      <c r="AM4" s="18" t="s">
        <v>95</v>
      </c>
      <c r="AN4" s="34">
        <v>110</v>
      </c>
      <c r="AO4" s="34" t="s">
        <v>96</v>
      </c>
      <c r="AP4" s="14" t="s">
        <v>97</v>
      </c>
      <c r="AQ4" s="34" t="s">
        <v>98</v>
      </c>
      <c r="AR4" s="42">
        <f t="shared" ca="1" si="7"/>
        <v>45688</v>
      </c>
      <c r="AS4" s="42">
        <f t="shared" ca="1" si="8"/>
        <v>45688</v>
      </c>
      <c r="AT4" s="20" t="str">
        <f t="shared" ref="AT4:AT5" si="9">AM4</f>
        <v>N/A</v>
      </c>
      <c r="AU4" s="6" t="s">
        <v>99</v>
      </c>
      <c r="AV4" s="2" t="s">
        <v>100</v>
      </c>
      <c r="AW4" s="2" t="s">
        <v>101</v>
      </c>
      <c r="AX4" s="2" t="s">
        <v>102</v>
      </c>
      <c r="AY4" s="2" t="s">
        <v>103</v>
      </c>
      <c r="AZ4" s="2" t="s">
        <v>104</v>
      </c>
      <c r="BA4" s="2" t="s">
        <v>105</v>
      </c>
      <c r="BB4" s="2" t="s">
        <v>89</v>
      </c>
      <c r="BC4" s="15" t="s">
        <v>75</v>
      </c>
      <c r="BD4" s="43" t="s">
        <v>106</v>
      </c>
      <c r="BE4" s="15">
        <v>9577896541</v>
      </c>
      <c r="BF4" s="15" t="s">
        <v>75</v>
      </c>
      <c r="BG4" s="43" t="s">
        <v>107</v>
      </c>
      <c r="BH4" s="15">
        <v>49678965287</v>
      </c>
      <c r="BI4" s="15" t="s">
        <v>75</v>
      </c>
      <c r="BJ4" s="43" t="s">
        <v>108</v>
      </c>
      <c r="BK4" s="15" t="s">
        <v>132</v>
      </c>
      <c r="BL4" s="14" t="s">
        <v>110</v>
      </c>
      <c r="BM4" s="44">
        <v>35591</v>
      </c>
      <c r="BN4" s="45" t="s">
        <v>111</v>
      </c>
      <c r="BO4" s="24" t="s">
        <v>112</v>
      </c>
      <c r="BP4" s="46" t="s">
        <v>113</v>
      </c>
      <c r="BQ4" s="30" t="s">
        <v>114</v>
      </c>
      <c r="BR4" s="47" t="s">
        <v>115</v>
      </c>
      <c r="BS4" s="30" t="s">
        <v>116</v>
      </c>
      <c r="BT4" s="46" t="s">
        <v>117</v>
      </c>
      <c r="BU4" s="46" t="s">
        <v>118</v>
      </c>
      <c r="BV4" s="30" t="s">
        <v>119</v>
      </c>
      <c r="BW4" s="30" t="s">
        <v>120</v>
      </c>
      <c r="BX4" s="30" t="s">
        <v>121</v>
      </c>
    </row>
    <row r="5" spans="1:76" ht="14.5" customHeight="1" x14ac:dyDescent="0.35">
      <c r="A5" s="27" t="s">
        <v>133</v>
      </c>
      <c r="B5" s="28"/>
      <c r="C5" s="1"/>
      <c r="D5" s="29" t="s">
        <v>123</v>
      </c>
      <c r="E5" s="30" t="s">
        <v>75</v>
      </c>
      <c r="F5" s="31"/>
      <c r="G5" s="32"/>
      <c r="H5" s="33" t="s">
        <v>78</v>
      </c>
      <c r="I5" s="34" t="s">
        <v>79</v>
      </c>
      <c r="J5" s="34" t="s">
        <v>80</v>
      </c>
      <c r="K5" s="35">
        <f t="shared" ca="1" si="5"/>
        <v>45688</v>
      </c>
      <c r="L5" s="30" t="s">
        <v>75</v>
      </c>
      <c r="M5" s="30" t="s">
        <v>81</v>
      </c>
      <c r="N5" s="34" t="s">
        <v>82</v>
      </c>
      <c r="O5" s="36" t="s">
        <v>83</v>
      </c>
      <c r="P5" s="34" t="s">
        <v>84</v>
      </c>
      <c r="Q5" s="34" t="s">
        <v>85</v>
      </c>
      <c r="R5" s="34" t="s">
        <v>85</v>
      </c>
      <c r="S5" s="34" t="s">
        <v>84</v>
      </c>
      <c r="T5" s="34" t="s">
        <v>80</v>
      </c>
      <c r="U5" s="37" t="s">
        <v>86</v>
      </c>
      <c r="V5" s="38" t="s">
        <v>87</v>
      </c>
      <c r="W5" s="34" t="s">
        <v>80</v>
      </c>
      <c r="X5" s="39">
        <f t="shared" ref="X5:X6" ca="1" si="10">K5</f>
        <v>45688</v>
      </c>
      <c r="Y5" s="34" t="s">
        <v>88</v>
      </c>
      <c r="Z5" s="6" t="s">
        <v>124</v>
      </c>
      <c r="AA5" s="6" t="s">
        <v>125</v>
      </c>
      <c r="AB5" s="6" t="s">
        <v>126</v>
      </c>
      <c r="AC5" s="14" t="s">
        <v>92</v>
      </c>
      <c r="AD5" s="40">
        <v>765</v>
      </c>
      <c r="AE5" s="40" t="s">
        <v>70</v>
      </c>
      <c r="AF5" s="16">
        <v>40</v>
      </c>
      <c r="AG5" s="41" t="s">
        <v>85</v>
      </c>
      <c r="AH5" s="41" t="s">
        <v>155</v>
      </c>
      <c r="AI5" s="18">
        <v>43831</v>
      </c>
      <c r="AJ5" s="18">
        <v>45292</v>
      </c>
      <c r="AK5" s="17" t="s">
        <v>93</v>
      </c>
      <c r="AL5" s="17" t="s">
        <v>94</v>
      </c>
      <c r="AM5" s="18">
        <f ca="1">TODAY()+365</f>
        <v>46084</v>
      </c>
      <c r="AN5" s="34">
        <v>110</v>
      </c>
      <c r="AO5" s="34" t="s">
        <v>96</v>
      </c>
      <c r="AP5" s="14" t="s">
        <v>90</v>
      </c>
      <c r="AQ5" s="34" t="s">
        <v>98</v>
      </c>
      <c r="AR5" s="42">
        <f t="shared" ref="AR5:AR6" ca="1" si="11">X5</f>
        <v>45688</v>
      </c>
      <c r="AS5" s="42">
        <f t="shared" ref="AS5:AS6" ca="1" si="12">X5</f>
        <v>45688</v>
      </c>
      <c r="AT5" s="20">
        <f t="shared" ca="1" si="9"/>
        <v>46084</v>
      </c>
      <c r="AU5" s="6" t="s">
        <v>127</v>
      </c>
      <c r="AV5" s="2" t="s">
        <v>128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105</v>
      </c>
      <c r="BB5" s="2" t="s">
        <v>89</v>
      </c>
      <c r="BC5" s="15" t="s">
        <v>75</v>
      </c>
      <c r="BD5" s="43" t="s">
        <v>106</v>
      </c>
      <c r="BE5" s="15">
        <v>9577896542</v>
      </c>
      <c r="BF5" s="15" t="s">
        <v>75</v>
      </c>
      <c r="BG5" s="43" t="s">
        <v>107</v>
      </c>
      <c r="BH5" s="15">
        <v>49678965288</v>
      </c>
      <c r="BI5" s="15" t="s">
        <v>75</v>
      </c>
      <c r="BJ5" s="43" t="s">
        <v>108</v>
      </c>
      <c r="BK5" s="15" t="s">
        <v>134</v>
      </c>
      <c r="BL5" s="14" t="s">
        <v>110</v>
      </c>
      <c r="BM5" s="44">
        <v>35591</v>
      </c>
      <c r="BN5" s="45" t="s">
        <v>130</v>
      </c>
      <c r="BO5" s="24" t="s">
        <v>95</v>
      </c>
      <c r="BP5" s="46" t="s">
        <v>113</v>
      </c>
      <c r="BQ5" s="30" t="s">
        <v>114</v>
      </c>
      <c r="BR5" s="47" t="s">
        <v>115</v>
      </c>
      <c r="BS5" s="30" t="s">
        <v>116</v>
      </c>
      <c r="BT5" s="46" t="s">
        <v>117</v>
      </c>
      <c r="BU5" s="46" t="s">
        <v>118</v>
      </c>
      <c r="BV5" s="30" t="s">
        <v>119</v>
      </c>
      <c r="BW5" s="30" t="s">
        <v>120</v>
      </c>
      <c r="BX5" s="30" t="s">
        <v>121</v>
      </c>
    </row>
    <row r="6" spans="1:76" ht="14.5" customHeight="1" x14ac:dyDescent="0.35">
      <c r="A6" s="27" t="s">
        <v>135</v>
      </c>
      <c r="B6" s="28"/>
      <c r="C6" s="1"/>
      <c r="D6" s="29" t="s">
        <v>74</v>
      </c>
      <c r="E6" s="30" t="s">
        <v>75</v>
      </c>
      <c r="F6" s="31"/>
      <c r="G6" s="32"/>
      <c r="H6" s="33" t="s">
        <v>78</v>
      </c>
      <c r="I6" s="34" t="s">
        <v>79</v>
      </c>
      <c r="J6" s="34" t="s">
        <v>80</v>
      </c>
      <c r="K6" s="35">
        <f t="shared" ca="1" si="0"/>
        <v>45688</v>
      </c>
      <c r="L6" s="30" t="s">
        <v>75</v>
      </c>
      <c r="M6" s="30" t="s">
        <v>81</v>
      </c>
      <c r="N6" s="34" t="s">
        <v>82</v>
      </c>
      <c r="O6" s="36" t="s">
        <v>83</v>
      </c>
      <c r="P6" s="34" t="s">
        <v>84</v>
      </c>
      <c r="Q6" s="34" t="s">
        <v>85</v>
      </c>
      <c r="R6" s="34" t="s">
        <v>85</v>
      </c>
      <c r="S6" s="34" t="s">
        <v>84</v>
      </c>
      <c r="T6" s="34" t="s">
        <v>80</v>
      </c>
      <c r="U6" s="37" t="s">
        <v>86</v>
      </c>
      <c r="V6" s="38" t="s">
        <v>87</v>
      </c>
      <c r="W6" s="34" t="s">
        <v>80</v>
      </c>
      <c r="X6" s="39">
        <f t="shared" ca="1" si="10"/>
        <v>45688</v>
      </c>
      <c r="Y6" s="34" t="s">
        <v>88</v>
      </c>
      <c r="Z6" s="6" t="s">
        <v>89</v>
      </c>
      <c r="AA6" s="6" t="s">
        <v>90</v>
      </c>
      <c r="AB6" s="6" t="s">
        <v>91</v>
      </c>
      <c r="AC6" s="14" t="s">
        <v>92</v>
      </c>
      <c r="AD6" s="40">
        <v>766</v>
      </c>
      <c r="AE6" s="40" t="s">
        <v>70</v>
      </c>
      <c r="AF6" s="16">
        <v>40</v>
      </c>
      <c r="AG6" s="41" t="s">
        <v>85</v>
      </c>
      <c r="AH6" s="41" t="s">
        <v>155</v>
      </c>
      <c r="AI6" s="18">
        <v>43831</v>
      </c>
      <c r="AJ6" s="18">
        <v>45292</v>
      </c>
      <c r="AK6" s="17" t="s">
        <v>93</v>
      </c>
      <c r="AL6" s="17" t="s">
        <v>94</v>
      </c>
      <c r="AM6" s="18" t="s">
        <v>95</v>
      </c>
      <c r="AN6" s="34">
        <v>110</v>
      </c>
      <c r="AO6" s="34" t="s">
        <v>96</v>
      </c>
      <c r="AP6" s="14" t="s">
        <v>97</v>
      </c>
      <c r="AQ6" s="34" t="s">
        <v>98</v>
      </c>
      <c r="AR6" s="42">
        <f t="shared" ca="1" si="11"/>
        <v>45688</v>
      </c>
      <c r="AS6" s="42">
        <f t="shared" ca="1" si="12"/>
        <v>45688</v>
      </c>
      <c r="AT6" s="20" t="str">
        <f t="shared" ref="AT6:AT15" si="13">AM6</f>
        <v>N/A</v>
      </c>
      <c r="AU6" s="6" t="s">
        <v>99</v>
      </c>
      <c r="AV6" s="2" t="s">
        <v>100</v>
      </c>
      <c r="AW6" s="2" t="s">
        <v>101</v>
      </c>
      <c r="AX6" s="2" t="s">
        <v>102</v>
      </c>
      <c r="AY6" s="2" t="s">
        <v>103</v>
      </c>
      <c r="AZ6" s="2" t="s">
        <v>104</v>
      </c>
      <c r="BA6" s="2" t="s">
        <v>105</v>
      </c>
      <c r="BB6" s="2" t="s">
        <v>89</v>
      </c>
      <c r="BC6" s="15" t="s">
        <v>75</v>
      </c>
      <c r="BD6" s="43" t="s">
        <v>106</v>
      </c>
      <c r="BE6" s="15">
        <v>9577896543</v>
      </c>
      <c r="BF6" s="15" t="s">
        <v>75</v>
      </c>
      <c r="BG6" s="43" t="s">
        <v>107</v>
      </c>
      <c r="BH6" s="15">
        <v>49678965289</v>
      </c>
      <c r="BI6" s="15" t="s">
        <v>75</v>
      </c>
      <c r="BJ6" s="43" t="s">
        <v>108</v>
      </c>
      <c r="BK6" s="15" t="s">
        <v>136</v>
      </c>
      <c r="BL6" s="14" t="s">
        <v>110</v>
      </c>
      <c r="BM6" s="44">
        <v>35591</v>
      </c>
      <c r="BN6" s="45" t="s">
        <v>111</v>
      </c>
      <c r="BO6" s="24" t="s">
        <v>112</v>
      </c>
      <c r="BP6" s="46" t="s">
        <v>113</v>
      </c>
      <c r="BQ6" s="30" t="s">
        <v>114</v>
      </c>
      <c r="BR6" s="47" t="s">
        <v>115</v>
      </c>
      <c r="BS6" s="30" t="s">
        <v>116</v>
      </c>
      <c r="BT6" s="46" t="s">
        <v>117</v>
      </c>
      <c r="BU6" s="46" t="s">
        <v>118</v>
      </c>
      <c r="BV6" s="30" t="s">
        <v>119</v>
      </c>
      <c r="BW6" s="30" t="s">
        <v>120</v>
      </c>
      <c r="BX6" s="30" t="s">
        <v>121</v>
      </c>
    </row>
    <row r="7" spans="1:76" ht="14.5" customHeight="1" x14ac:dyDescent="0.35">
      <c r="A7" s="27" t="s">
        <v>137</v>
      </c>
      <c r="B7" s="28"/>
      <c r="C7" s="1"/>
      <c r="D7" s="29" t="s">
        <v>123</v>
      </c>
      <c r="E7" s="30" t="s">
        <v>75</v>
      </c>
      <c r="F7" s="31"/>
      <c r="G7" s="32"/>
      <c r="H7" s="33" t="s">
        <v>78</v>
      </c>
      <c r="I7" s="34" t="s">
        <v>79</v>
      </c>
      <c r="J7" s="34" t="s">
        <v>80</v>
      </c>
      <c r="K7" s="35">
        <f t="shared" ca="1" si="5"/>
        <v>45688</v>
      </c>
      <c r="L7" s="30" t="s">
        <v>75</v>
      </c>
      <c r="M7" s="30" t="s">
        <v>81</v>
      </c>
      <c r="N7" s="34" t="s">
        <v>82</v>
      </c>
      <c r="O7" s="36" t="s">
        <v>83</v>
      </c>
      <c r="P7" s="34" t="s">
        <v>84</v>
      </c>
      <c r="Q7" s="34" t="s">
        <v>85</v>
      </c>
      <c r="R7" s="34" t="s">
        <v>85</v>
      </c>
      <c r="S7" s="34" t="s">
        <v>84</v>
      </c>
      <c r="T7" s="34" t="s">
        <v>80</v>
      </c>
      <c r="U7" s="37" t="s">
        <v>86</v>
      </c>
      <c r="V7" s="38" t="s">
        <v>87</v>
      </c>
      <c r="W7" s="34" t="s">
        <v>80</v>
      </c>
      <c r="X7" s="39">
        <f t="shared" ref="X7:X15" ca="1" si="14">K7</f>
        <v>45688</v>
      </c>
      <c r="Y7" s="34" t="s">
        <v>88</v>
      </c>
      <c r="Z7" s="6" t="s">
        <v>124</v>
      </c>
      <c r="AA7" s="6" t="s">
        <v>125</v>
      </c>
      <c r="AB7" s="6" t="s">
        <v>126</v>
      </c>
      <c r="AC7" s="14" t="s">
        <v>92</v>
      </c>
      <c r="AD7" s="40">
        <v>765</v>
      </c>
      <c r="AE7" s="40" t="s">
        <v>70</v>
      </c>
      <c r="AF7" s="16">
        <v>40</v>
      </c>
      <c r="AG7" s="41" t="s">
        <v>85</v>
      </c>
      <c r="AH7" s="41" t="s">
        <v>155</v>
      </c>
      <c r="AI7" s="18">
        <v>43831</v>
      </c>
      <c r="AJ7" s="18">
        <v>45292</v>
      </c>
      <c r="AK7" s="17" t="s">
        <v>93</v>
      </c>
      <c r="AL7" s="17" t="s">
        <v>94</v>
      </c>
      <c r="AM7" s="18">
        <f ca="1">TODAY()+365</f>
        <v>46084</v>
      </c>
      <c r="AN7" s="34">
        <v>110</v>
      </c>
      <c r="AO7" s="34" t="s">
        <v>96</v>
      </c>
      <c r="AP7" s="14" t="s">
        <v>90</v>
      </c>
      <c r="AQ7" s="34" t="s">
        <v>98</v>
      </c>
      <c r="AR7" s="42">
        <f t="shared" ref="AR7:AR15" ca="1" si="15">X7</f>
        <v>45688</v>
      </c>
      <c r="AS7" s="42">
        <f t="shared" ref="AS7:AS15" ca="1" si="16">X7</f>
        <v>45688</v>
      </c>
      <c r="AT7" s="20">
        <f t="shared" ca="1" si="13"/>
        <v>46084</v>
      </c>
      <c r="AU7" s="6" t="s">
        <v>127</v>
      </c>
      <c r="AV7" s="2" t="s">
        <v>128</v>
      </c>
      <c r="AW7" s="2" t="s">
        <v>101</v>
      </c>
      <c r="AX7" s="2" t="s">
        <v>102</v>
      </c>
      <c r="AY7" s="2" t="s">
        <v>103</v>
      </c>
      <c r="AZ7" s="2" t="s">
        <v>104</v>
      </c>
      <c r="BA7" s="2" t="s">
        <v>105</v>
      </c>
      <c r="BB7" s="2" t="s">
        <v>89</v>
      </c>
      <c r="BC7" s="15" t="s">
        <v>75</v>
      </c>
      <c r="BD7" s="43" t="s">
        <v>106</v>
      </c>
      <c r="BE7" s="15">
        <v>9577896544</v>
      </c>
      <c r="BF7" s="15" t="s">
        <v>75</v>
      </c>
      <c r="BG7" s="43" t="s">
        <v>107</v>
      </c>
      <c r="BH7" s="15">
        <v>49678965290</v>
      </c>
      <c r="BI7" s="15" t="s">
        <v>75</v>
      </c>
      <c r="BJ7" s="43" t="s">
        <v>108</v>
      </c>
      <c r="BK7" s="15" t="s">
        <v>138</v>
      </c>
      <c r="BL7" s="14" t="s">
        <v>110</v>
      </c>
      <c r="BM7" s="44">
        <v>35591</v>
      </c>
      <c r="BN7" s="45" t="s">
        <v>130</v>
      </c>
      <c r="BO7" s="24" t="s">
        <v>95</v>
      </c>
      <c r="BP7" s="46" t="s">
        <v>113</v>
      </c>
      <c r="BQ7" s="30" t="s">
        <v>114</v>
      </c>
      <c r="BR7" s="47" t="s">
        <v>115</v>
      </c>
      <c r="BS7" s="30" t="s">
        <v>116</v>
      </c>
      <c r="BT7" s="46" t="s">
        <v>117</v>
      </c>
      <c r="BU7" s="46" t="s">
        <v>118</v>
      </c>
      <c r="BV7" s="30" t="s">
        <v>119</v>
      </c>
      <c r="BW7" s="30" t="s">
        <v>120</v>
      </c>
      <c r="BX7" s="30" t="s">
        <v>121</v>
      </c>
    </row>
    <row r="8" spans="1:76" ht="14.5" customHeight="1" x14ac:dyDescent="0.35">
      <c r="A8" s="27" t="s">
        <v>139</v>
      </c>
      <c r="B8" s="28"/>
      <c r="C8" s="1"/>
      <c r="D8" s="29" t="s">
        <v>74</v>
      </c>
      <c r="E8" s="30" t="s">
        <v>75</v>
      </c>
      <c r="F8" s="31"/>
      <c r="G8" s="32"/>
      <c r="H8" s="33" t="s">
        <v>78</v>
      </c>
      <c r="I8" s="34" t="s">
        <v>79</v>
      </c>
      <c r="J8" s="34" t="s">
        <v>80</v>
      </c>
      <c r="K8" s="35">
        <f t="shared" ca="1" si="0"/>
        <v>45688</v>
      </c>
      <c r="L8" s="30" t="s">
        <v>75</v>
      </c>
      <c r="M8" s="30" t="s">
        <v>81</v>
      </c>
      <c r="N8" s="34" t="s">
        <v>82</v>
      </c>
      <c r="O8" s="36" t="s">
        <v>83</v>
      </c>
      <c r="P8" s="34" t="s">
        <v>84</v>
      </c>
      <c r="Q8" s="34" t="s">
        <v>85</v>
      </c>
      <c r="R8" s="34" t="s">
        <v>85</v>
      </c>
      <c r="S8" s="34" t="s">
        <v>84</v>
      </c>
      <c r="T8" s="34" t="s">
        <v>80</v>
      </c>
      <c r="U8" s="37" t="s">
        <v>86</v>
      </c>
      <c r="V8" s="38" t="s">
        <v>87</v>
      </c>
      <c r="W8" s="34" t="s">
        <v>80</v>
      </c>
      <c r="X8" s="39">
        <f t="shared" ca="1" si="14"/>
        <v>45688</v>
      </c>
      <c r="Y8" s="34" t="s">
        <v>88</v>
      </c>
      <c r="Z8" s="6" t="s">
        <v>89</v>
      </c>
      <c r="AA8" s="6" t="s">
        <v>90</v>
      </c>
      <c r="AB8" s="6" t="s">
        <v>91</v>
      </c>
      <c r="AC8" s="14" t="s">
        <v>92</v>
      </c>
      <c r="AD8" s="40">
        <v>766</v>
      </c>
      <c r="AE8" s="40" t="s">
        <v>70</v>
      </c>
      <c r="AF8" s="16">
        <v>40</v>
      </c>
      <c r="AG8" s="41" t="s">
        <v>85</v>
      </c>
      <c r="AH8" s="41" t="s">
        <v>155</v>
      </c>
      <c r="AI8" s="18">
        <v>43831</v>
      </c>
      <c r="AJ8" s="18">
        <v>45292</v>
      </c>
      <c r="AK8" s="17" t="s">
        <v>93</v>
      </c>
      <c r="AL8" s="17" t="s">
        <v>94</v>
      </c>
      <c r="AM8" s="18" t="s">
        <v>95</v>
      </c>
      <c r="AN8" s="34">
        <v>110</v>
      </c>
      <c r="AO8" s="34" t="s">
        <v>96</v>
      </c>
      <c r="AP8" s="14" t="s">
        <v>97</v>
      </c>
      <c r="AQ8" s="34" t="s">
        <v>98</v>
      </c>
      <c r="AR8" s="42">
        <f t="shared" ca="1" si="15"/>
        <v>45688</v>
      </c>
      <c r="AS8" s="42">
        <f t="shared" ca="1" si="16"/>
        <v>45688</v>
      </c>
      <c r="AT8" s="20" t="str">
        <f t="shared" si="13"/>
        <v>N/A</v>
      </c>
      <c r="AU8" s="6" t="s">
        <v>99</v>
      </c>
      <c r="AV8" s="2" t="s">
        <v>100</v>
      </c>
      <c r="AW8" s="2" t="s">
        <v>101</v>
      </c>
      <c r="AX8" s="2" t="s">
        <v>102</v>
      </c>
      <c r="AY8" s="2" t="s">
        <v>103</v>
      </c>
      <c r="AZ8" s="2" t="s">
        <v>104</v>
      </c>
      <c r="BA8" s="2" t="s">
        <v>105</v>
      </c>
      <c r="BB8" s="2" t="s">
        <v>89</v>
      </c>
      <c r="BC8" s="15" t="s">
        <v>75</v>
      </c>
      <c r="BD8" s="43" t="s">
        <v>106</v>
      </c>
      <c r="BE8" s="15">
        <v>9577896545</v>
      </c>
      <c r="BF8" s="15" t="s">
        <v>75</v>
      </c>
      <c r="BG8" s="43" t="s">
        <v>107</v>
      </c>
      <c r="BH8" s="15">
        <v>49678965291</v>
      </c>
      <c r="BI8" s="15" t="s">
        <v>75</v>
      </c>
      <c r="BJ8" s="43" t="s">
        <v>108</v>
      </c>
      <c r="BK8" s="15" t="s">
        <v>140</v>
      </c>
      <c r="BL8" s="14" t="s">
        <v>110</v>
      </c>
      <c r="BM8" s="44">
        <v>35591</v>
      </c>
      <c r="BN8" s="45" t="s">
        <v>111</v>
      </c>
      <c r="BO8" s="24" t="s">
        <v>112</v>
      </c>
      <c r="BP8" s="46" t="s">
        <v>113</v>
      </c>
      <c r="BQ8" s="30" t="s">
        <v>114</v>
      </c>
      <c r="BR8" s="47" t="s">
        <v>115</v>
      </c>
      <c r="BS8" s="30" t="s">
        <v>116</v>
      </c>
      <c r="BT8" s="46" t="s">
        <v>117</v>
      </c>
      <c r="BU8" s="46" t="s">
        <v>118</v>
      </c>
      <c r="BV8" s="30" t="s">
        <v>119</v>
      </c>
      <c r="BW8" s="30" t="s">
        <v>120</v>
      </c>
      <c r="BX8" s="30" t="s">
        <v>121</v>
      </c>
    </row>
    <row r="9" spans="1:76" ht="14.5" customHeight="1" x14ac:dyDescent="0.35">
      <c r="A9" s="27" t="s">
        <v>141</v>
      </c>
      <c r="B9" s="28"/>
      <c r="C9" s="1"/>
      <c r="D9" s="29" t="s">
        <v>123</v>
      </c>
      <c r="E9" s="30" t="s">
        <v>75</v>
      </c>
      <c r="F9" s="31"/>
      <c r="G9" s="32"/>
      <c r="H9" s="33" t="s">
        <v>78</v>
      </c>
      <c r="I9" s="34" t="s">
        <v>79</v>
      </c>
      <c r="J9" s="34" t="s">
        <v>80</v>
      </c>
      <c r="K9" s="35">
        <f t="shared" ca="1" si="5"/>
        <v>45688</v>
      </c>
      <c r="L9" s="30" t="s">
        <v>75</v>
      </c>
      <c r="M9" s="30" t="s">
        <v>81</v>
      </c>
      <c r="N9" s="34" t="s">
        <v>82</v>
      </c>
      <c r="O9" s="36" t="s">
        <v>83</v>
      </c>
      <c r="P9" s="34" t="s">
        <v>84</v>
      </c>
      <c r="Q9" s="34" t="s">
        <v>85</v>
      </c>
      <c r="R9" s="34" t="s">
        <v>85</v>
      </c>
      <c r="S9" s="34" t="s">
        <v>84</v>
      </c>
      <c r="T9" s="34" t="s">
        <v>80</v>
      </c>
      <c r="U9" s="37" t="s">
        <v>86</v>
      </c>
      <c r="V9" s="38" t="s">
        <v>87</v>
      </c>
      <c r="W9" s="34" t="s">
        <v>80</v>
      </c>
      <c r="X9" s="39">
        <f t="shared" ca="1" si="14"/>
        <v>45688</v>
      </c>
      <c r="Y9" s="34" t="s">
        <v>88</v>
      </c>
      <c r="Z9" s="6" t="s">
        <v>124</v>
      </c>
      <c r="AA9" s="6" t="s">
        <v>125</v>
      </c>
      <c r="AB9" s="6" t="s">
        <v>126</v>
      </c>
      <c r="AC9" s="14" t="s">
        <v>92</v>
      </c>
      <c r="AD9" s="40">
        <v>765</v>
      </c>
      <c r="AE9" s="40" t="s">
        <v>70</v>
      </c>
      <c r="AF9" s="16">
        <v>40</v>
      </c>
      <c r="AG9" s="41" t="s">
        <v>85</v>
      </c>
      <c r="AH9" s="41" t="s">
        <v>155</v>
      </c>
      <c r="AI9" s="18">
        <v>43831</v>
      </c>
      <c r="AJ9" s="18">
        <v>45292</v>
      </c>
      <c r="AK9" s="17" t="s">
        <v>93</v>
      </c>
      <c r="AL9" s="17" t="s">
        <v>94</v>
      </c>
      <c r="AM9" s="18">
        <f ca="1">TODAY()+365</f>
        <v>46084</v>
      </c>
      <c r="AN9" s="34">
        <v>110</v>
      </c>
      <c r="AO9" s="34" t="s">
        <v>96</v>
      </c>
      <c r="AP9" s="14" t="s">
        <v>90</v>
      </c>
      <c r="AQ9" s="34" t="s">
        <v>98</v>
      </c>
      <c r="AR9" s="42">
        <f t="shared" ca="1" si="15"/>
        <v>45688</v>
      </c>
      <c r="AS9" s="42">
        <f t="shared" ca="1" si="16"/>
        <v>45688</v>
      </c>
      <c r="AT9" s="20">
        <f t="shared" ca="1" si="13"/>
        <v>46084</v>
      </c>
      <c r="AU9" s="6" t="s">
        <v>127</v>
      </c>
      <c r="AV9" s="2" t="s">
        <v>128</v>
      </c>
      <c r="AW9" s="2" t="s">
        <v>101</v>
      </c>
      <c r="AX9" s="2" t="s">
        <v>102</v>
      </c>
      <c r="AY9" s="2" t="s">
        <v>103</v>
      </c>
      <c r="AZ9" s="2" t="s">
        <v>104</v>
      </c>
      <c r="BA9" s="2" t="s">
        <v>105</v>
      </c>
      <c r="BB9" s="2" t="s">
        <v>89</v>
      </c>
      <c r="BC9" s="15" t="s">
        <v>75</v>
      </c>
      <c r="BD9" s="43" t="s">
        <v>106</v>
      </c>
      <c r="BE9" s="15">
        <v>9577896546</v>
      </c>
      <c r="BF9" s="15" t="s">
        <v>75</v>
      </c>
      <c r="BG9" s="43" t="s">
        <v>107</v>
      </c>
      <c r="BH9" s="15">
        <v>49678965292</v>
      </c>
      <c r="BI9" s="15" t="s">
        <v>75</v>
      </c>
      <c r="BJ9" s="43" t="s">
        <v>108</v>
      </c>
      <c r="BK9" s="15" t="s">
        <v>142</v>
      </c>
      <c r="BL9" s="14" t="s">
        <v>110</v>
      </c>
      <c r="BM9" s="44">
        <v>35591</v>
      </c>
      <c r="BN9" s="45" t="s">
        <v>130</v>
      </c>
      <c r="BO9" s="24" t="s">
        <v>95</v>
      </c>
      <c r="BP9" s="46" t="s">
        <v>113</v>
      </c>
      <c r="BQ9" s="30" t="s">
        <v>114</v>
      </c>
      <c r="BR9" s="47" t="s">
        <v>115</v>
      </c>
      <c r="BS9" s="30" t="s">
        <v>116</v>
      </c>
      <c r="BT9" s="46" t="s">
        <v>117</v>
      </c>
      <c r="BU9" s="46" t="s">
        <v>118</v>
      </c>
      <c r="BV9" s="30" t="s">
        <v>119</v>
      </c>
      <c r="BW9" s="30" t="s">
        <v>120</v>
      </c>
      <c r="BX9" s="30" t="s">
        <v>121</v>
      </c>
    </row>
    <row r="10" spans="1:76" ht="14.5" customHeight="1" x14ac:dyDescent="0.35">
      <c r="A10" s="27" t="s">
        <v>143</v>
      </c>
      <c r="B10" s="28"/>
      <c r="C10" s="1"/>
      <c r="D10" s="29" t="s">
        <v>74</v>
      </c>
      <c r="E10" s="30" t="s">
        <v>75</v>
      </c>
      <c r="F10" s="31"/>
      <c r="G10" s="32"/>
      <c r="H10" s="33" t="s">
        <v>78</v>
      </c>
      <c r="I10" s="34" t="s">
        <v>79</v>
      </c>
      <c r="J10" s="34" t="s">
        <v>80</v>
      </c>
      <c r="K10" s="35">
        <f t="shared" ca="1" si="0"/>
        <v>45688</v>
      </c>
      <c r="L10" s="30" t="s">
        <v>75</v>
      </c>
      <c r="M10" s="30" t="s">
        <v>81</v>
      </c>
      <c r="N10" s="34" t="s">
        <v>82</v>
      </c>
      <c r="O10" s="36" t="s">
        <v>83</v>
      </c>
      <c r="P10" s="34" t="s">
        <v>84</v>
      </c>
      <c r="Q10" s="34" t="s">
        <v>85</v>
      </c>
      <c r="R10" s="34" t="s">
        <v>85</v>
      </c>
      <c r="S10" s="34" t="s">
        <v>84</v>
      </c>
      <c r="T10" s="34" t="s">
        <v>80</v>
      </c>
      <c r="U10" s="37" t="s">
        <v>86</v>
      </c>
      <c r="V10" s="38" t="s">
        <v>87</v>
      </c>
      <c r="W10" s="34" t="s">
        <v>80</v>
      </c>
      <c r="X10" s="39">
        <f t="shared" ca="1" si="14"/>
        <v>45688</v>
      </c>
      <c r="Y10" s="34" t="s">
        <v>88</v>
      </c>
      <c r="Z10" s="6" t="s">
        <v>89</v>
      </c>
      <c r="AA10" s="6" t="s">
        <v>90</v>
      </c>
      <c r="AB10" s="6" t="s">
        <v>91</v>
      </c>
      <c r="AC10" s="14" t="s">
        <v>92</v>
      </c>
      <c r="AD10" s="40">
        <v>766</v>
      </c>
      <c r="AE10" s="40" t="s">
        <v>70</v>
      </c>
      <c r="AF10" s="16">
        <v>40</v>
      </c>
      <c r="AG10" s="41" t="s">
        <v>85</v>
      </c>
      <c r="AH10" s="41" t="s">
        <v>155</v>
      </c>
      <c r="AI10" s="18">
        <v>43831</v>
      </c>
      <c r="AJ10" s="18">
        <v>45292</v>
      </c>
      <c r="AK10" s="17" t="s">
        <v>93</v>
      </c>
      <c r="AL10" s="17" t="s">
        <v>94</v>
      </c>
      <c r="AM10" s="18" t="s">
        <v>95</v>
      </c>
      <c r="AN10" s="34">
        <v>110</v>
      </c>
      <c r="AO10" s="34" t="s">
        <v>96</v>
      </c>
      <c r="AP10" s="14" t="s">
        <v>97</v>
      </c>
      <c r="AQ10" s="34" t="s">
        <v>98</v>
      </c>
      <c r="AR10" s="42">
        <f t="shared" ca="1" si="15"/>
        <v>45688</v>
      </c>
      <c r="AS10" s="42">
        <f t="shared" ca="1" si="16"/>
        <v>45688</v>
      </c>
      <c r="AT10" s="20" t="str">
        <f t="shared" si="13"/>
        <v>N/A</v>
      </c>
      <c r="AU10" s="6" t="s">
        <v>99</v>
      </c>
      <c r="AV10" s="2" t="s">
        <v>100</v>
      </c>
      <c r="AW10" s="2" t="s">
        <v>101</v>
      </c>
      <c r="AX10" s="2" t="s">
        <v>102</v>
      </c>
      <c r="AY10" s="2" t="s">
        <v>103</v>
      </c>
      <c r="AZ10" s="2" t="s">
        <v>104</v>
      </c>
      <c r="BA10" s="2" t="s">
        <v>105</v>
      </c>
      <c r="BB10" s="2" t="s">
        <v>89</v>
      </c>
      <c r="BC10" s="15" t="s">
        <v>75</v>
      </c>
      <c r="BD10" s="43" t="s">
        <v>106</v>
      </c>
      <c r="BE10" s="15">
        <v>9577896547</v>
      </c>
      <c r="BF10" s="15" t="s">
        <v>75</v>
      </c>
      <c r="BG10" s="43" t="s">
        <v>107</v>
      </c>
      <c r="BH10" s="15">
        <v>49678965293</v>
      </c>
      <c r="BI10" s="15" t="s">
        <v>75</v>
      </c>
      <c r="BJ10" s="43" t="s">
        <v>108</v>
      </c>
      <c r="BK10" s="15" t="s">
        <v>144</v>
      </c>
      <c r="BL10" s="14" t="s">
        <v>110</v>
      </c>
      <c r="BM10" s="44">
        <v>35591</v>
      </c>
      <c r="BN10" s="45" t="s">
        <v>111</v>
      </c>
      <c r="BO10" s="24" t="s">
        <v>112</v>
      </c>
      <c r="BP10" s="46" t="s">
        <v>113</v>
      </c>
      <c r="BQ10" s="30" t="s">
        <v>114</v>
      </c>
      <c r="BR10" s="47" t="s">
        <v>115</v>
      </c>
      <c r="BS10" s="30" t="s">
        <v>116</v>
      </c>
      <c r="BT10" s="46" t="s">
        <v>117</v>
      </c>
      <c r="BU10" s="46" t="s">
        <v>118</v>
      </c>
      <c r="BV10" s="30" t="s">
        <v>119</v>
      </c>
      <c r="BW10" s="30" t="s">
        <v>120</v>
      </c>
      <c r="BX10" s="30" t="s">
        <v>121</v>
      </c>
    </row>
    <row r="11" spans="1:76" ht="14.5" customHeight="1" x14ac:dyDescent="0.35">
      <c r="A11" s="27" t="s">
        <v>145</v>
      </c>
      <c r="B11" s="28"/>
      <c r="C11" s="1"/>
      <c r="D11" s="29" t="s">
        <v>123</v>
      </c>
      <c r="E11" s="30" t="s">
        <v>75</v>
      </c>
      <c r="F11" s="31"/>
      <c r="G11" s="32"/>
      <c r="H11" s="33" t="s">
        <v>78</v>
      </c>
      <c r="I11" s="34" t="s">
        <v>79</v>
      </c>
      <c r="J11" s="34" t="s">
        <v>80</v>
      </c>
      <c r="K11" s="35">
        <f t="shared" ca="1" si="5"/>
        <v>45688</v>
      </c>
      <c r="L11" s="30" t="s">
        <v>75</v>
      </c>
      <c r="M11" s="30" t="s">
        <v>81</v>
      </c>
      <c r="N11" s="34" t="s">
        <v>82</v>
      </c>
      <c r="O11" s="36" t="s">
        <v>83</v>
      </c>
      <c r="P11" s="34" t="s">
        <v>84</v>
      </c>
      <c r="Q11" s="34" t="s">
        <v>85</v>
      </c>
      <c r="R11" s="34" t="s">
        <v>85</v>
      </c>
      <c r="S11" s="34" t="s">
        <v>84</v>
      </c>
      <c r="T11" s="34" t="s">
        <v>80</v>
      </c>
      <c r="U11" s="37" t="s">
        <v>86</v>
      </c>
      <c r="V11" s="38" t="s">
        <v>87</v>
      </c>
      <c r="W11" s="34" t="s">
        <v>80</v>
      </c>
      <c r="X11" s="39">
        <f t="shared" ca="1" si="14"/>
        <v>45688</v>
      </c>
      <c r="Y11" s="34" t="s">
        <v>88</v>
      </c>
      <c r="Z11" s="6" t="s">
        <v>124</v>
      </c>
      <c r="AA11" s="6" t="s">
        <v>125</v>
      </c>
      <c r="AB11" s="6" t="s">
        <v>126</v>
      </c>
      <c r="AC11" s="14" t="s">
        <v>92</v>
      </c>
      <c r="AD11" s="40">
        <v>765</v>
      </c>
      <c r="AE11" s="40" t="s">
        <v>70</v>
      </c>
      <c r="AF11" s="16">
        <v>40</v>
      </c>
      <c r="AG11" s="41" t="s">
        <v>85</v>
      </c>
      <c r="AH11" s="41" t="s">
        <v>155</v>
      </c>
      <c r="AI11" s="18">
        <v>43831</v>
      </c>
      <c r="AJ11" s="18">
        <v>45292</v>
      </c>
      <c r="AK11" s="17" t="s">
        <v>93</v>
      </c>
      <c r="AL11" s="17" t="s">
        <v>94</v>
      </c>
      <c r="AM11" s="18">
        <f ca="1">TODAY()+365</f>
        <v>46084</v>
      </c>
      <c r="AN11" s="34">
        <v>110</v>
      </c>
      <c r="AO11" s="34" t="s">
        <v>96</v>
      </c>
      <c r="AP11" s="14" t="s">
        <v>90</v>
      </c>
      <c r="AQ11" s="34" t="s">
        <v>98</v>
      </c>
      <c r="AR11" s="42">
        <f t="shared" ca="1" si="15"/>
        <v>45688</v>
      </c>
      <c r="AS11" s="42">
        <f t="shared" ca="1" si="16"/>
        <v>45688</v>
      </c>
      <c r="AT11" s="20">
        <f t="shared" ca="1" si="13"/>
        <v>46084</v>
      </c>
      <c r="AU11" s="6" t="s">
        <v>127</v>
      </c>
      <c r="AV11" s="2" t="s">
        <v>128</v>
      </c>
      <c r="AW11" s="2" t="s">
        <v>101</v>
      </c>
      <c r="AX11" s="2" t="s">
        <v>102</v>
      </c>
      <c r="AY11" s="2" t="s">
        <v>103</v>
      </c>
      <c r="AZ11" s="2" t="s">
        <v>104</v>
      </c>
      <c r="BA11" s="2" t="s">
        <v>105</v>
      </c>
      <c r="BB11" s="2" t="s">
        <v>89</v>
      </c>
      <c r="BC11" s="15" t="s">
        <v>75</v>
      </c>
      <c r="BD11" s="43" t="s">
        <v>106</v>
      </c>
      <c r="BE11" s="15">
        <v>9577896548</v>
      </c>
      <c r="BF11" s="15" t="s">
        <v>75</v>
      </c>
      <c r="BG11" s="43" t="s">
        <v>107</v>
      </c>
      <c r="BH11" s="15">
        <v>49678965294</v>
      </c>
      <c r="BI11" s="15" t="s">
        <v>75</v>
      </c>
      <c r="BJ11" s="43" t="s">
        <v>108</v>
      </c>
      <c r="BK11" s="15" t="s">
        <v>146</v>
      </c>
      <c r="BL11" s="14" t="s">
        <v>110</v>
      </c>
      <c r="BM11" s="44">
        <v>35591</v>
      </c>
      <c r="BN11" s="45" t="s">
        <v>130</v>
      </c>
      <c r="BO11" s="24" t="s">
        <v>95</v>
      </c>
      <c r="BP11" s="46" t="s">
        <v>113</v>
      </c>
      <c r="BQ11" s="30" t="s">
        <v>114</v>
      </c>
      <c r="BR11" s="47" t="s">
        <v>115</v>
      </c>
      <c r="BS11" s="30" t="s">
        <v>116</v>
      </c>
      <c r="BT11" s="46" t="s">
        <v>117</v>
      </c>
      <c r="BU11" s="46" t="s">
        <v>118</v>
      </c>
      <c r="BV11" s="30" t="s">
        <v>119</v>
      </c>
      <c r="BW11" s="30" t="s">
        <v>120</v>
      </c>
      <c r="BX11" s="30" t="s">
        <v>121</v>
      </c>
    </row>
    <row r="12" spans="1:76" ht="14.5" customHeight="1" x14ac:dyDescent="0.35">
      <c r="A12" s="27" t="s">
        <v>147</v>
      </c>
      <c r="B12" s="28"/>
      <c r="C12" s="1"/>
      <c r="D12" s="29" t="s">
        <v>74</v>
      </c>
      <c r="E12" s="30" t="s">
        <v>75</v>
      </c>
      <c r="F12" s="31"/>
      <c r="G12" s="32"/>
      <c r="H12" s="33" t="s">
        <v>78</v>
      </c>
      <c r="I12" s="34" t="s">
        <v>79</v>
      </c>
      <c r="J12" s="34" t="s">
        <v>80</v>
      </c>
      <c r="K12" s="35">
        <f t="shared" ca="1" si="0"/>
        <v>45688</v>
      </c>
      <c r="L12" s="30" t="s">
        <v>75</v>
      </c>
      <c r="M12" s="30" t="s">
        <v>81</v>
      </c>
      <c r="N12" s="34" t="s">
        <v>82</v>
      </c>
      <c r="O12" s="36" t="s">
        <v>83</v>
      </c>
      <c r="P12" s="34" t="s">
        <v>84</v>
      </c>
      <c r="Q12" s="34" t="s">
        <v>85</v>
      </c>
      <c r="R12" s="34" t="s">
        <v>85</v>
      </c>
      <c r="S12" s="34" t="s">
        <v>84</v>
      </c>
      <c r="T12" s="34" t="s">
        <v>80</v>
      </c>
      <c r="U12" s="37" t="s">
        <v>86</v>
      </c>
      <c r="V12" s="38" t="s">
        <v>87</v>
      </c>
      <c r="W12" s="34" t="s">
        <v>80</v>
      </c>
      <c r="X12" s="39">
        <f t="shared" ca="1" si="14"/>
        <v>45688</v>
      </c>
      <c r="Y12" s="34" t="s">
        <v>88</v>
      </c>
      <c r="Z12" s="6" t="s">
        <v>89</v>
      </c>
      <c r="AA12" s="6" t="s">
        <v>90</v>
      </c>
      <c r="AB12" s="6" t="s">
        <v>91</v>
      </c>
      <c r="AC12" s="14" t="s">
        <v>92</v>
      </c>
      <c r="AD12" s="40">
        <v>766</v>
      </c>
      <c r="AE12" s="40" t="s">
        <v>70</v>
      </c>
      <c r="AF12" s="16">
        <v>40</v>
      </c>
      <c r="AG12" s="41" t="s">
        <v>85</v>
      </c>
      <c r="AH12" s="41" t="s">
        <v>155</v>
      </c>
      <c r="AI12" s="18">
        <v>43831</v>
      </c>
      <c r="AJ12" s="18">
        <v>45292</v>
      </c>
      <c r="AK12" s="17" t="s">
        <v>93</v>
      </c>
      <c r="AL12" s="17" t="s">
        <v>94</v>
      </c>
      <c r="AM12" s="18" t="s">
        <v>95</v>
      </c>
      <c r="AN12" s="34">
        <v>110</v>
      </c>
      <c r="AO12" s="34" t="s">
        <v>96</v>
      </c>
      <c r="AP12" s="14" t="s">
        <v>97</v>
      </c>
      <c r="AQ12" s="34" t="s">
        <v>98</v>
      </c>
      <c r="AR12" s="42">
        <f t="shared" ca="1" si="15"/>
        <v>45688</v>
      </c>
      <c r="AS12" s="42">
        <f t="shared" ca="1" si="16"/>
        <v>45688</v>
      </c>
      <c r="AT12" s="20" t="str">
        <f t="shared" si="13"/>
        <v>N/A</v>
      </c>
      <c r="AU12" s="6" t="s">
        <v>99</v>
      </c>
      <c r="AV12" s="2" t="s">
        <v>100</v>
      </c>
      <c r="AW12" s="2" t="s">
        <v>101</v>
      </c>
      <c r="AX12" s="2" t="s">
        <v>102</v>
      </c>
      <c r="AY12" s="2" t="s">
        <v>103</v>
      </c>
      <c r="AZ12" s="2" t="s">
        <v>104</v>
      </c>
      <c r="BA12" s="2" t="s">
        <v>105</v>
      </c>
      <c r="BB12" s="2" t="s">
        <v>89</v>
      </c>
      <c r="BC12" s="15" t="s">
        <v>75</v>
      </c>
      <c r="BD12" s="43" t="s">
        <v>106</v>
      </c>
      <c r="BE12" s="15">
        <v>9577896549</v>
      </c>
      <c r="BF12" s="15" t="s">
        <v>75</v>
      </c>
      <c r="BG12" s="43" t="s">
        <v>107</v>
      </c>
      <c r="BH12" s="15">
        <v>49678965295</v>
      </c>
      <c r="BI12" s="15" t="s">
        <v>75</v>
      </c>
      <c r="BJ12" s="43" t="s">
        <v>108</v>
      </c>
      <c r="BK12" s="15" t="s">
        <v>148</v>
      </c>
      <c r="BL12" s="14" t="s">
        <v>110</v>
      </c>
      <c r="BM12" s="44">
        <v>35591</v>
      </c>
      <c r="BN12" s="45" t="s">
        <v>111</v>
      </c>
      <c r="BO12" s="24" t="s">
        <v>112</v>
      </c>
      <c r="BP12" s="46" t="s">
        <v>113</v>
      </c>
      <c r="BQ12" s="30" t="s">
        <v>114</v>
      </c>
      <c r="BR12" s="47" t="s">
        <v>115</v>
      </c>
      <c r="BS12" s="30" t="s">
        <v>116</v>
      </c>
      <c r="BT12" s="46" t="s">
        <v>117</v>
      </c>
      <c r="BU12" s="46" t="s">
        <v>118</v>
      </c>
      <c r="BV12" s="30" t="s">
        <v>119</v>
      </c>
      <c r="BW12" s="30" t="s">
        <v>120</v>
      </c>
      <c r="BX12" s="30" t="s">
        <v>121</v>
      </c>
    </row>
    <row r="13" spans="1:76" ht="14.5" customHeight="1" x14ac:dyDescent="0.35">
      <c r="A13" s="27" t="s">
        <v>149</v>
      </c>
      <c r="B13" s="28"/>
      <c r="C13" s="1"/>
      <c r="D13" s="29" t="s">
        <v>123</v>
      </c>
      <c r="E13" s="30" t="s">
        <v>75</v>
      </c>
      <c r="F13" s="31"/>
      <c r="G13" s="32"/>
      <c r="H13" s="33" t="s">
        <v>78</v>
      </c>
      <c r="I13" s="34" t="s">
        <v>79</v>
      </c>
      <c r="J13" s="34" t="s">
        <v>80</v>
      </c>
      <c r="K13" s="35">
        <f t="shared" ca="1" si="5"/>
        <v>45688</v>
      </c>
      <c r="L13" s="30" t="s">
        <v>75</v>
      </c>
      <c r="M13" s="30" t="s">
        <v>81</v>
      </c>
      <c r="N13" s="34" t="s">
        <v>82</v>
      </c>
      <c r="O13" s="36" t="s">
        <v>83</v>
      </c>
      <c r="P13" s="34" t="s">
        <v>84</v>
      </c>
      <c r="Q13" s="34" t="s">
        <v>85</v>
      </c>
      <c r="R13" s="34" t="s">
        <v>85</v>
      </c>
      <c r="S13" s="34" t="s">
        <v>84</v>
      </c>
      <c r="T13" s="34" t="s">
        <v>80</v>
      </c>
      <c r="U13" s="37" t="s">
        <v>86</v>
      </c>
      <c r="V13" s="38" t="s">
        <v>87</v>
      </c>
      <c r="W13" s="34" t="s">
        <v>80</v>
      </c>
      <c r="X13" s="39">
        <f t="shared" ca="1" si="14"/>
        <v>45688</v>
      </c>
      <c r="Y13" s="34" t="s">
        <v>88</v>
      </c>
      <c r="Z13" s="6" t="s">
        <v>124</v>
      </c>
      <c r="AA13" s="6" t="s">
        <v>125</v>
      </c>
      <c r="AB13" s="6" t="s">
        <v>126</v>
      </c>
      <c r="AC13" s="14" t="s">
        <v>92</v>
      </c>
      <c r="AD13" s="40">
        <v>765</v>
      </c>
      <c r="AE13" s="40" t="s">
        <v>70</v>
      </c>
      <c r="AF13" s="16">
        <v>40</v>
      </c>
      <c r="AG13" s="41" t="s">
        <v>85</v>
      </c>
      <c r="AH13" s="41" t="s">
        <v>155</v>
      </c>
      <c r="AI13" s="18">
        <v>43831</v>
      </c>
      <c r="AJ13" s="18">
        <v>45292</v>
      </c>
      <c r="AK13" s="17" t="s">
        <v>93</v>
      </c>
      <c r="AL13" s="17" t="s">
        <v>94</v>
      </c>
      <c r="AM13" s="18">
        <f ca="1">TODAY()+365</f>
        <v>46084</v>
      </c>
      <c r="AN13" s="34">
        <v>110</v>
      </c>
      <c r="AO13" s="34" t="s">
        <v>96</v>
      </c>
      <c r="AP13" s="14" t="s">
        <v>90</v>
      </c>
      <c r="AQ13" s="34" t="s">
        <v>98</v>
      </c>
      <c r="AR13" s="42">
        <f t="shared" ca="1" si="15"/>
        <v>45688</v>
      </c>
      <c r="AS13" s="42">
        <f t="shared" ca="1" si="16"/>
        <v>45688</v>
      </c>
      <c r="AT13" s="20">
        <f t="shared" ca="1" si="13"/>
        <v>46084</v>
      </c>
      <c r="AU13" s="6" t="s">
        <v>127</v>
      </c>
      <c r="AV13" s="2" t="s">
        <v>128</v>
      </c>
      <c r="AW13" s="2" t="s">
        <v>101</v>
      </c>
      <c r="AX13" s="2" t="s">
        <v>102</v>
      </c>
      <c r="AY13" s="2" t="s">
        <v>103</v>
      </c>
      <c r="AZ13" s="2" t="s">
        <v>104</v>
      </c>
      <c r="BA13" s="2" t="s">
        <v>105</v>
      </c>
      <c r="BB13" s="2" t="s">
        <v>89</v>
      </c>
      <c r="BC13" s="15" t="s">
        <v>75</v>
      </c>
      <c r="BD13" s="43" t="s">
        <v>106</v>
      </c>
      <c r="BE13" s="15">
        <v>9577896550</v>
      </c>
      <c r="BF13" s="15" t="s">
        <v>75</v>
      </c>
      <c r="BG13" s="43" t="s">
        <v>107</v>
      </c>
      <c r="BH13" s="15">
        <v>49678965296</v>
      </c>
      <c r="BI13" s="15" t="s">
        <v>75</v>
      </c>
      <c r="BJ13" s="43" t="s">
        <v>108</v>
      </c>
      <c r="BK13" s="15" t="s">
        <v>150</v>
      </c>
      <c r="BL13" s="14" t="s">
        <v>110</v>
      </c>
      <c r="BM13" s="44">
        <v>35591</v>
      </c>
      <c r="BN13" s="45" t="s">
        <v>130</v>
      </c>
      <c r="BO13" s="24" t="s">
        <v>95</v>
      </c>
      <c r="BP13" s="46" t="s">
        <v>113</v>
      </c>
      <c r="BQ13" s="30" t="s">
        <v>114</v>
      </c>
      <c r="BR13" s="47" t="s">
        <v>115</v>
      </c>
      <c r="BS13" s="30" t="s">
        <v>116</v>
      </c>
      <c r="BT13" s="46" t="s">
        <v>117</v>
      </c>
      <c r="BU13" s="46" t="s">
        <v>118</v>
      </c>
      <c r="BV13" s="30" t="s">
        <v>119</v>
      </c>
      <c r="BW13" s="30" t="s">
        <v>120</v>
      </c>
      <c r="BX13" s="30" t="s">
        <v>121</v>
      </c>
    </row>
    <row r="14" spans="1:76" ht="14.5" customHeight="1" x14ac:dyDescent="0.35">
      <c r="A14" s="27" t="s">
        <v>151</v>
      </c>
      <c r="B14" s="28"/>
      <c r="C14" s="1"/>
      <c r="D14" s="29" t="s">
        <v>74</v>
      </c>
      <c r="E14" s="30" t="s">
        <v>75</v>
      </c>
      <c r="F14" s="31"/>
      <c r="G14" s="32"/>
      <c r="H14" s="33" t="s">
        <v>78</v>
      </c>
      <c r="I14" s="34" t="s">
        <v>79</v>
      </c>
      <c r="J14" s="34" t="s">
        <v>80</v>
      </c>
      <c r="K14" s="35">
        <f t="shared" ca="1" si="0"/>
        <v>45688</v>
      </c>
      <c r="L14" s="30" t="s">
        <v>75</v>
      </c>
      <c r="M14" s="30" t="s">
        <v>81</v>
      </c>
      <c r="N14" s="34" t="s">
        <v>82</v>
      </c>
      <c r="O14" s="36" t="s">
        <v>83</v>
      </c>
      <c r="P14" s="34" t="s">
        <v>84</v>
      </c>
      <c r="Q14" s="34" t="s">
        <v>85</v>
      </c>
      <c r="R14" s="34" t="s">
        <v>85</v>
      </c>
      <c r="S14" s="34" t="s">
        <v>84</v>
      </c>
      <c r="T14" s="34" t="s">
        <v>80</v>
      </c>
      <c r="U14" s="37" t="s">
        <v>86</v>
      </c>
      <c r="V14" s="38" t="s">
        <v>87</v>
      </c>
      <c r="W14" s="34" t="s">
        <v>80</v>
      </c>
      <c r="X14" s="39">
        <f t="shared" ca="1" si="14"/>
        <v>45688</v>
      </c>
      <c r="Y14" s="34" t="s">
        <v>88</v>
      </c>
      <c r="Z14" s="6" t="s">
        <v>89</v>
      </c>
      <c r="AA14" s="6" t="s">
        <v>90</v>
      </c>
      <c r="AB14" s="6" t="s">
        <v>91</v>
      </c>
      <c r="AC14" s="14" t="s">
        <v>92</v>
      </c>
      <c r="AD14" s="40">
        <v>766</v>
      </c>
      <c r="AE14" s="40" t="s">
        <v>70</v>
      </c>
      <c r="AF14" s="16">
        <v>40</v>
      </c>
      <c r="AG14" s="41" t="s">
        <v>85</v>
      </c>
      <c r="AH14" s="41" t="s">
        <v>155</v>
      </c>
      <c r="AI14" s="18">
        <v>43831</v>
      </c>
      <c r="AJ14" s="18">
        <v>45292</v>
      </c>
      <c r="AK14" s="17" t="s">
        <v>93</v>
      </c>
      <c r="AL14" s="17" t="s">
        <v>94</v>
      </c>
      <c r="AM14" s="18" t="s">
        <v>95</v>
      </c>
      <c r="AN14" s="34">
        <v>110</v>
      </c>
      <c r="AO14" s="34" t="s">
        <v>96</v>
      </c>
      <c r="AP14" s="14" t="s">
        <v>97</v>
      </c>
      <c r="AQ14" s="34" t="s">
        <v>98</v>
      </c>
      <c r="AR14" s="42">
        <f t="shared" ca="1" si="15"/>
        <v>45688</v>
      </c>
      <c r="AS14" s="42">
        <f t="shared" ca="1" si="16"/>
        <v>45688</v>
      </c>
      <c r="AT14" s="20" t="str">
        <f t="shared" si="13"/>
        <v>N/A</v>
      </c>
      <c r="AU14" s="6" t="s">
        <v>99</v>
      </c>
      <c r="AV14" s="2" t="s">
        <v>100</v>
      </c>
      <c r="AW14" s="2" t="s">
        <v>101</v>
      </c>
      <c r="AX14" s="2" t="s">
        <v>102</v>
      </c>
      <c r="AY14" s="2" t="s">
        <v>103</v>
      </c>
      <c r="AZ14" s="2" t="s">
        <v>104</v>
      </c>
      <c r="BA14" s="2" t="s">
        <v>105</v>
      </c>
      <c r="BB14" s="2" t="s">
        <v>89</v>
      </c>
      <c r="BC14" s="15" t="s">
        <v>75</v>
      </c>
      <c r="BD14" s="43" t="s">
        <v>106</v>
      </c>
      <c r="BE14" s="15">
        <v>9577896551</v>
      </c>
      <c r="BF14" s="15" t="s">
        <v>75</v>
      </c>
      <c r="BG14" s="43" t="s">
        <v>107</v>
      </c>
      <c r="BH14" s="15">
        <v>49678965297</v>
      </c>
      <c r="BI14" s="15" t="s">
        <v>75</v>
      </c>
      <c r="BJ14" s="43" t="s">
        <v>108</v>
      </c>
      <c r="BK14" s="15" t="s">
        <v>152</v>
      </c>
      <c r="BL14" s="14" t="s">
        <v>110</v>
      </c>
      <c r="BM14" s="44">
        <v>35591</v>
      </c>
      <c r="BN14" s="45" t="s">
        <v>111</v>
      </c>
      <c r="BO14" s="24" t="s">
        <v>112</v>
      </c>
      <c r="BP14" s="46" t="s">
        <v>113</v>
      </c>
      <c r="BQ14" s="30" t="s">
        <v>114</v>
      </c>
      <c r="BR14" s="47" t="s">
        <v>115</v>
      </c>
      <c r="BS14" s="30" t="s">
        <v>116</v>
      </c>
      <c r="BT14" s="46" t="s">
        <v>117</v>
      </c>
      <c r="BU14" s="46" t="s">
        <v>118</v>
      </c>
      <c r="BV14" s="30" t="s">
        <v>119</v>
      </c>
      <c r="BW14" s="30" t="s">
        <v>120</v>
      </c>
      <c r="BX14" s="30" t="s">
        <v>121</v>
      </c>
    </row>
    <row r="15" spans="1:76" ht="14.5" customHeight="1" x14ac:dyDescent="0.35">
      <c r="A15" s="27" t="s">
        <v>153</v>
      </c>
      <c r="B15" s="28"/>
      <c r="C15" s="1"/>
      <c r="D15" s="29" t="s">
        <v>123</v>
      </c>
      <c r="E15" s="30" t="s">
        <v>75</v>
      </c>
      <c r="F15" s="31"/>
      <c r="G15" s="32"/>
      <c r="H15" s="33" t="s">
        <v>78</v>
      </c>
      <c r="I15" s="34" t="s">
        <v>79</v>
      </c>
      <c r="J15" s="34" t="s">
        <v>80</v>
      </c>
      <c r="K15" s="35">
        <f t="shared" ca="1" si="5"/>
        <v>45688</v>
      </c>
      <c r="L15" s="30" t="s">
        <v>75</v>
      </c>
      <c r="M15" s="30" t="s">
        <v>81</v>
      </c>
      <c r="N15" s="34" t="s">
        <v>82</v>
      </c>
      <c r="O15" s="36" t="s">
        <v>83</v>
      </c>
      <c r="P15" s="34" t="s">
        <v>84</v>
      </c>
      <c r="Q15" s="34" t="s">
        <v>85</v>
      </c>
      <c r="R15" s="34" t="s">
        <v>85</v>
      </c>
      <c r="S15" s="34" t="s">
        <v>84</v>
      </c>
      <c r="T15" s="34" t="s">
        <v>80</v>
      </c>
      <c r="U15" s="37" t="s">
        <v>86</v>
      </c>
      <c r="V15" s="38" t="s">
        <v>87</v>
      </c>
      <c r="W15" s="34" t="s">
        <v>80</v>
      </c>
      <c r="X15" s="39">
        <f t="shared" ca="1" si="14"/>
        <v>45688</v>
      </c>
      <c r="Y15" s="34" t="s">
        <v>88</v>
      </c>
      <c r="Z15" s="6" t="s">
        <v>124</v>
      </c>
      <c r="AA15" s="6" t="s">
        <v>125</v>
      </c>
      <c r="AB15" s="6" t="s">
        <v>126</v>
      </c>
      <c r="AC15" s="14" t="s">
        <v>92</v>
      </c>
      <c r="AD15" s="40">
        <v>765</v>
      </c>
      <c r="AE15" s="40" t="s">
        <v>70</v>
      </c>
      <c r="AF15" s="16">
        <v>40</v>
      </c>
      <c r="AG15" s="41" t="s">
        <v>85</v>
      </c>
      <c r="AH15" s="41" t="s">
        <v>155</v>
      </c>
      <c r="AI15" s="18">
        <v>43831</v>
      </c>
      <c r="AJ15" s="18">
        <v>45292</v>
      </c>
      <c r="AK15" s="17" t="s">
        <v>93</v>
      </c>
      <c r="AL15" s="17" t="s">
        <v>94</v>
      </c>
      <c r="AM15" s="18">
        <f ca="1">TODAY()+365</f>
        <v>46084</v>
      </c>
      <c r="AN15" s="34">
        <v>110</v>
      </c>
      <c r="AO15" s="34" t="s">
        <v>96</v>
      </c>
      <c r="AP15" s="14" t="s">
        <v>90</v>
      </c>
      <c r="AQ15" s="34" t="s">
        <v>98</v>
      </c>
      <c r="AR15" s="42">
        <f t="shared" ca="1" si="15"/>
        <v>45688</v>
      </c>
      <c r="AS15" s="42">
        <f t="shared" ca="1" si="16"/>
        <v>45688</v>
      </c>
      <c r="AT15" s="20">
        <f t="shared" ca="1" si="13"/>
        <v>46084</v>
      </c>
      <c r="AU15" s="6" t="s">
        <v>127</v>
      </c>
      <c r="AV15" s="2" t="s">
        <v>128</v>
      </c>
      <c r="AW15" s="2" t="s">
        <v>101</v>
      </c>
      <c r="AX15" s="2" t="s">
        <v>102</v>
      </c>
      <c r="AY15" s="2" t="s">
        <v>103</v>
      </c>
      <c r="AZ15" s="2" t="s">
        <v>104</v>
      </c>
      <c r="BA15" s="2" t="s">
        <v>105</v>
      </c>
      <c r="BB15" s="2" t="s">
        <v>89</v>
      </c>
      <c r="BC15" s="15" t="s">
        <v>75</v>
      </c>
      <c r="BD15" s="43" t="s">
        <v>106</v>
      </c>
      <c r="BE15" s="15">
        <v>9577896552</v>
      </c>
      <c r="BF15" s="15" t="s">
        <v>75</v>
      </c>
      <c r="BG15" s="43" t="s">
        <v>107</v>
      </c>
      <c r="BH15" s="15">
        <v>49678965298</v>
      </c>
      <c r="BI15" s="15" t="s">
        <v>75</v>
      </c>
      <c r="BJ15" s="43" t="s">
        <v>108</v>
      </c>
      <c r="BK15" s="15" t="s">
        <v>154</v>
      </c>
      <c r="BL15" s="14" t="s">
        <v>110</v>
      </c>
      <c r="BM15" s="44">
        <v>35591</v>
      </c>
      <c r="BN15" s="45" t="s">
        <v>130</v>
      </c>
      <c r="BO15" s="24" t="s">
        <v>95</v>
      </c>
      <c r="BP15" s="46" t="s">
        <v>113</v>
      </c>
      <c r="BQ15" s="30" t="s">
        <v>114</v>
      </c>
      <c r="BR15" s="47" t="s">
        <v>115</v>
      </c>
      <c r="BS15" s="30" t="s">
        <v>116</v>
      </c>
      <c r="BT15" s="46" t="s">
        <v>117</v>
      </c>
      <c r="BU15" s="46" t="s">
        <v>118</v>
      </c>
      <c r="BV15" s="30" t="s">
        <v>119</v>
      </c>
      <c r="BW15" s="30" t="s">
        <v>120</v>
      </c>
      <c r="BX15" s="30" t="s">
        <v>121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2025-03-03T11:22:14Z</dcterms:modified>
</cp:coreProperties>
</file>