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69852A7E-CDE4-470C-A02C-5DC0F21E351B}"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Sheet1!$A$1:$BY$5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X5" i="1" s="1"/>
  <c r="AT4" i="1"/>
  <c r="K4" i="1"/>
  <c r="X4" i="1" s="1"/>
  <c r="AT3" i="1"/>
  <c r="K3" i="1"/>
  <c r="X3" i="1" s="1"/>
  <c r="K2" i="1"/>
  <c r="X2" i="1" s="1"/>
  <c r="AS4" i="1" l="1"/>
  <c r="AR4" i="1"/>
  <c r="AS2" i="1"/>
  <c r="AR2" i="1"/>
  <c r="AS3" i="1"/>
  <c r="AR3" i="1"/>
  <c r="AS5" i="1"/>
  <c r="AR5" i="1"/>
</calcChain>
</file>

<file path=xl/sharedStrings.xml><?xml version="1.0" encoding="utf-8"?>
<sst xmlns="http://schemas.openxmlformats.org/spreadsheetml/2006/main" count="331" uniqueCount="146">
  <si>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</si>
  <si>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</si>
  <si>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</si>
  <si>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</si>
  <si>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</si>
  <si>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</si>
  <si>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</si>
  <si>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</si>
  <si>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</si>
  <si>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</si>
  <si>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</si>
  <si>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</si>
  <si>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</si>
  <si>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</si>
  <si>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</si>
  <si>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</si>
  <si>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</si>
  <si>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</si>
  <si>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</si>
  <si>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</si>
  <si>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</si>
  <si>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</si>
  <si>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</si>
  <si>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</si>
  <si>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</si>
  <si>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</si>
  <si>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</si>
  <si>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</si>
  <si>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</si>
  <si>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</si>
  <si>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</si>
  <si>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</si>
  <si>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</si>
  <si>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</si>
  <si>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</si>
  <si>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</si>
  <si>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</si>
  <si>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</si>
  <si>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</si>
  <si>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</si>
  <si>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</si>
  <si>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</si>
  <si>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</si>
  <si>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</si>
  <si>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</si>
  <si>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</si>
  <si>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</si>
  <si>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</si>
  <si>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</si>
  <si>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</si>
  <si>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</si>
  <si>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sz val="11"/>
        <color theme="1"/>
        <rFont val="Calibri"/>
        <family val="2"/>
        <scheme val="minor"/>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</si>
  <si>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</si>
  <si>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</si>
  <si>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</si>
  <si>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</si>
  <si>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</si>
  <si>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</si>
  <si>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</si>
  <si>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</si>
  <si>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</si>
  <si>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</si>
  <si>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</si>
  <si>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</si>
  <si>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</si>
  <si>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</si>
  <si>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</si>
  <si>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</si>
  <si>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</si>
  <si>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</si>
  <si>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</si>
  <si>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</si>
  <si>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</si>
  <si>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</si>
  <si>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Test_5</t>
  </si>
  <si>
    <t xml:space="preserve">Test failed for 'Donnie Bednar' Employee:{undefined}TimeoutError: locator.click: Timeout 30000ms exceeded.
Call log:
  [2m- waiting for locator('//label[contains(.,\'Date Employee Signed\')]/parent::div/following-sibling::div/descendant::input[@data-automation-id=\'dateSectionDay-input\']')[22m
[2m  -   locator resolved to &lt;input min="1" max="31" value="" width="2ch" tabindex="…/&gt;[22m
[2m  - attempting click action[22m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#4[22m
[2m  -   waiting 100ms[22m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#19[22m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#39[22m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#44[22m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#47[22m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#48[22m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#51[22m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#52[22m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data-automation-label="All" data-automation-id="…&gt;All&lt;/div&gt; from &lt;div data-popup-type="ck" data-popup-version="2" clas…&gt;…&lt;/div&gt; subtree intercepts pointer events[22m
[2m  - retrying click action, attempt #54[22m
[2m  -   waiting 500ms[22m
</t>
  </si>
  <si>
    <t>Failed</t>
  </si>
  <si>
    <t>765 Recruitment  (Fihyp Kohawu (10580286))</t>
  </si>
  <si>
    <t>Poland</t>
  </si>
  <si>
    <t>Donnie</t>
  </si>
  <si>
    <t>Bednar</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</si>
  <si>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</si>
  <si>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</si>
  <si>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</si>
  <si>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</si>
  <si>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</si>
  <si>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</si>
  <si>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</si>
  <si>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</si>
  <si>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</si>
  <si>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</si>
  <si>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</si>
  <si>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</si>
  <si>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</si>
  <si>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</si>
  <si>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Part time</t>
  </si>
  <si>
    <t>ZasadniczaSzkołaZawodowa</t>
  </si>
  <si>
    <t>RE035_NEW</t>
  </si>
  <si>
    <t>5 Days (Poland)</t>
  </si>
  <si>
    <t>N/A</t>
  </si>
  <si>
    <t>Automation Comments here….</t>
  </si>
  <si>
    <t>Open-ended</t>
  </si>
  <si>
    <t>Active</t>
  </si>
  <si>
    <t>94 Retail Operative</t>
  </si>
  <si>
    <t>01 Accessories</t>
  </si>
  <si>
    <t>0201-Izha</t>
  </si>
  <si>
    <t>Ulga podatkowa obowiązuje</t>
  </si>
  <si>
    <t>1/12 kwoty zmniejszającej podatek</t>
  </si>
  <si>
    <t>Standardowy</t>
  </si>
  <si>
    <t>PESEL</t>
  </si>
  <si>
    <t>Tax ID Number (NIP)</t>
  </si>
  <si>
    <t>Personal Identity (PESEL) Number</t>
  </si>
  <si>
    <t>ID Card</t>
  </si>
  <si>
    <t>GPK476127</t>
  </si>
  <si>
    <t>Male</t>
  </si>
  <si>
    <t>Married (Poland)</t>
  </si>
  <si>
    <t>01/01/2019</t>
  </si>
  <si>
    <t>Citizen (Poland)</t>
  </si>
  <si>
    <t>Bank of Poland</t>
  </si>
  <si>
    <t>NBPLPLPW</t>
  </si>
  <si>
    <t>Checking</t>
  </si>
  <si>
    <t>11111111111111111111111101</t>
  </si>
  <si>
    <t>PL09109024023899695521479863</t>
  </si>
  <si>
    <t>Defaulted</t>
  </si>
  <si>
    <t>Please select a Poland Pay Group</t>
  </si>
  <si>
    <t>PL Monthly</t>
  </si>
  <si>
    <t>Test_7</t>
  </si>
  <si>
    <t>10698005</t>
  </si>
  <si>
    <t>Passed</t>
  </si>
  <si>
    <t>Lauren</t>
  </si>
  <si>
    <t>Cremin</t>
  </si>
  <si>
    <t xml:space="preserve">RE029_NEW2 </t>
  </si>
  <si>
    <t>GPK476129</t>
  </si>
  <si>
    <t>Test_8</t>
  </si>
  <si>
    <t>10698006</t>
  </si>
  <si>
    <t>Mozelle</t>
  </si>
  <si>
    <t>Kuhlman</t>
  </si>
  <si>
    <t>Full time</t>
  </si>
  <si>
    <t>RE044_NEW</t>
  </si>
  <si>
    <t>GPK476131</t>
  </si>
  <si>
    <t>Test_9</t>
  </si>
  <si>
    <t>Test failed for 'Clint Tillman'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Path:-&gt;H:\GKALE\WorkDaySuite_Playwright/WorkdayFailedScreenshot/2025-03-20T11-26-28-487Z.png</t>
  </si>
  <si>
    <t>Clint</t>
  </si>
  <si>
    <t>Tillman</t>
  </si>
  <si>
    <t>02 Hosiery</t>
  </si>
  <si>
    <t>GPK476133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</si>
</sst>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x14ac:knownFonts="1">
    <font>
      <sz val="11"/>
      <color theme="1"/>
      <name val="Calibri"/>
      <family val="2"/>
      <scheme val="minor"/>
    </font>
    <font>
      <sz val="10"/>
      <color rgb="FFFF0000"/>
      <name val="Arial"/>
      <family val="2"/>
    </font>
    <font>
      <sz val="10"/>
      <color indexed="8"/>
      <name val="Arial"/>
      <family val="2"/>
    </font>
    <font>
      <sz val="10"/>
      <color theme="1"/>
      <name val="Calibri"/>
      <family val="2"/>
      <scheme val="minor"/>
    </font>
    <font>
      <b/>
      <sz val="10"/>
      <color indexed="8"/>
      <name val="Calibri"/>
      <family val="2"/>
    </font>
    <font>
      <b/>
      <sz val="10"/>
      <color indexed="63"/>
      <name val="Arial"/>
      <family val="2"/>
    </font>
    <font>
      <u/>
      <sz val="10"/>
      <color indexed="12"/>
      <name val="Calibri"/>
      <family val="2"/>
    </font>
    <font>
      <sz val="14"/>
      <color indexed="8"/>
      <name val="Arial"/>
      <family val="2"/>
    </font>
    <font>
      <sz val="14"/>
      <color indexed="10"/>
      <name val="Arial"/>
      <family val="2"/>
    </font>
    <font>
      <sz val="10"/>
      <name val="Calibri"/>
      <family val="2"/>
      <scheme val="minor"/>
    </font>
    <font>
      <sz val="11"/>
      <color rgb="FFFF0000"/>
      <name val="Calibri"/>
      <family val="2"/>
      <scheme val="minor"/>
    </font>
    <font>
      <b/>
      <sz val="11"/>
      <color theme="1"/>
      <name val="Calibri"/>
      <family val="2"/>
      <scheme val="minor"/>
    </font>
    <font>
      <b/>
      <sz val="10"/>
      <name val="Calibri"/>
      <family val="2"/>
    </font>
    <font>
      <b/>
      <sz val="11"/>
      <name val="Calibri"/>
      <family val="2"/>
    </font>
    <font>
      <sz val="10"/>
      <name val="Calibri"/>
      <family val="2"/>
    </font>
    <font>
      <sz val="16"/>
      <color rgb="FFFF0000"/>
      <name val="Calibri"/>
      <family val="2"/>
      <scheme val="minor"/>
    </font>
    <font>
      <sz val="16"/>
      <color indexed="8"/>
      <name val="Calibri"/>
      <family val="2"/>
      <scheme val="minor"/>
    </font>
    <font>
      <b/>
      <sz val="16"/>
      <name val="Calibri"/>
      <family val="2"/>
      <scheme val="minor"/>
    </font>
  </fonts>
  <fills count="9">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s>
  <cellStyleXfs count="1">
    <xf numFmtId="0" fontId="0" fillId="0" borderId="0"/>
  </cellStyleXfs>
  <cellXfs count="45">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4" fillId="0" borderId="0" xfId="0" applyFont="1" applyAlignment="1">
      <alignmen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2" fillId="0" borderId="1" xfId="0" applyFont="1" applyBorder="1" applyAlignment="1">
      <alignment horizontal="left" wrapText="1"/>
    </xf>
    <xf numFmtId="0" fontId="5" fillId="0" borderId="0" xfId="0" applyFont="1" applyAlignment="1">
      <alignment wrapText="1"/>
    </xf>
    <xf numFmtId="14" fontId="15" fillId="7" borderId="1" xfId="0" applyNumberFormat="1" applyFont="1" applyFill="1" applyBorder="1" applyAlignment="1">
      <alignment horizontal="left"/>
    </xf>
    <xf numFmtId="0" fontId="16" fillId="8" borderId="1" xfId="0" applyFont="1" applyFill="1" applyBorder="1" applyAlignment="1">
      <alignment horizontal="left"/>
    </xf>
    <xf numFmtId="164" fontId="2" fillId="0" borderId="2" xfId="0" applyNumberFormat="1" applyFont="1" applyBorder="1" applyAlignment="1" applyProtection="1">
      <alignment horizontal="left" wrapText="1"/>
      <protection locked="0"/>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wrapText="1"/>
    </xf>
    <xf numFmtId="15" fontId="17"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7"/>
  <sheetViews>
    <sheetView tabSelected="1" zoomScale="89" zoomScaleNormal="100" workbookViewId="0">
      <selection activeCell="B4" sqref="B4"/>
    </sheetView>
  </sheetViews>
  <sheetFormatPr defaultRowHeight="14.5" customHeight="1" x14ac:dyDescent="0.35"/>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spans="1:77" s="2" customFormat="1" ht="35" customHeight="1" x14ac:dyDescent="0.3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spans="1:77" ht="54" customHeight="1" x14ac:dyDescent="0.5">
      <c r="A2" t="s">
        <v>74</v>
      </c>
      <c r="B2" t="s">
        <v>75</v>
      </c>
      <c r="C2" s="1" t="s">
        <v>76</v>
      </c>
      <c r="D2" s="30" t="s">
        <v>77</v>
      </c>
      <c r="E2" t="s">
        <v>78</v>
      </c>
      <c r="F2" s="31" t="s">
        <v>79</v>
      </c>
      <c r="G2" s="32" t="s">
        <v>80</v>
      </c>
      <c r="H2" s="33" t="s">
        <v>81</v>
      </c>
      <c r="I2" s="34" t="s">
        <v>82</v>
      </c>
      <c r="J2" s="34" t="s">
        <v>83</v>
      </c>
      <c r="K2" s="35">
        <f t="shared" ref="K2:K5" ca="1" si="0">TODAY()-31</f>
        <v>45705</v>
      </c>
      <c r="L2" s="36" t="s">
        <v>78</v>
      </c>
      <c r="M2" s="36" t="s">
        <v>84</v>
      </c>
      <c r="N2" s="34" t="s">
        <v>85</v>
      </c>
      <c r="O2" s="37" t="s">
        <v>86</v>
      </c>
      <c r="P2" s="36" t="s">
        <v>87</v>
      </c>
      <c r="Q2" s="36" t="s">
        <v>88</v>
      </c>
      <c r="R2" s="36" t="s">
        <v>88</v>
      </c>
      <c r="S2" s="36" t="s">
        <v>87</v>
      </c>
      <c r="T2" s="36" t="s">
        <v>83</v>
      </c>
      <c r="U2" s="36" t="s">
        <v>89</v>
      </c>
      <c r="V2" s="36" t="s">
        <v>90</v>
      </c>
      <c r="W2" s="36" t="s">
        <v>83</v>
      </c>
      <c r="X2" s="35">
        <f t="shared" ref="X2:X5" ca="1" si="1">K2</f>
        <v>45705</v>
      </c>
      <c r="Y2" s="36" t="s">
        <v>91</v>
      </c>
      <c r="Z2" s="36" t="s">
        <v>92</v>
      </c>
      <c r="AA2" s="36" t="s">
        <v>93</v>
      </c>
      <c r="AB2" s="36" t="s">
        <v>94</v>
      </c>
      <c r="AC2" s="36" t="s">
        <v>95</v>
      </c>
      <c r="AD2" s="33">
        <v>765</v>
      </c>
      <c r="AE2" s="36" t="s">
        <v>71</v>
      </c>
      <c r="AF2" s="36">
        <v>30</v>
      </c>
      <c r="AG2" s="36" t="s">
        <v>88</v>
      </c>
      <c r="AH2" s="36" t="s">
        <v>96</v>
      </c>
      <c r="AI2" s="35">
        <v>43831</v>
      </c>
      <c r="AJ2" s="35">
        <v>45293</v>
      </c>
      <c r="AK2" s="36" t="s">
        <v>97</v>
      </c>
      <c r="AL2" s="36" t="s">
        <v>98</v>
      </c>
      <c r="AM2" s="38" t="s">
        <v>99</v>
      </c>
      <c r="AN2" s="36">
        <v>110</v>
      </c>
      <c r="AO2" s="36" t="s">
        <v>100</v>
      </c>
      <c r="AP2" s="36" t="s">
        <v>101</v>
      </c>
      <c r="AQ2" s="36" t="s">
        <v>102</v>
      </c>
      <c r="AR2" s="35">
        <f ca="1">X2</f>
        <v>45705</v>
      </c>
      <c r="AS2" s="35">
        <f ca="1">X2</f>
        <v>45705</v>
      </c>
      <c r="AT2" s="35" t="s">
        <v>99</v>
      </c>
      <c r="AU2" s="36" t="s">
        <v>103</v>
      </c>
      <c r="AV2" s="36" t="s">
        <v>104</v>
      </c>
      <c r="AW2" s="36" t="s">
        <v>105</v>
      </c>
      <c r="AX2" s="36" t="s">
        <v>106</v>
      </c>
      <c r="AY2" s="36" t="s">
        <v>107</v>
      </c>
      <c r="AZ2" s="36" t="s">
        <v>108</v>
      </c>
      <c r="BA2" s="36" t="s">
        <v>109</v>
      </c>
      <c r="BB2" s="39" t="s">
        <v>92</v>
      </c>
      <c r="BC2" s="36"/>
      <c r="BD2" s="33" t="s">
        <v>78</v>
      </c>
      <c r="BE2" s="36" t="s">
        <v>110</v>
      </c>
      <c r="BF2" s="15">
        <v>9447896720</v>
      </c>
      <c r="BG2" s="33" t="s">
        <v>78</v>
      </c>
      <c r="BH2" s="36" t="s">
        <v>111</v>
      </c>
      <c r="BI2" s="15">
        <v>47478965755</v>
      </c>
      <c r="BJ2" s="33" t="s">
        <v>78</v>
      </c>
      <c r="BK2" s="33" t="s">
        <v>112</v>
      </c>
      <c r="BL2" s="33" t="s">
        <v>113</v>
      </c>
      <c r="BM2" s="33" t="s">
        <v>114</v>
      </c>
      <c r="BN2" s="40">
        <v>35591</v>
      </c>
      <c r="BO2" s="33" t="s">
        <v>115</v>
      </c>
      <c r="BP2" s="33" t="s">
        <v>116</v>
      </c>
      <c r="BQ2" s="33" t="s">
        <v>117</v>
      </c>
      <c r="BR2" s="33" t="s">
        <v>118</v>
      </c>
      <c r="BS2" s="41" t="s">
        <v>119</v>
      </c>
      <c r="BT2" s="36" t="s">
        <v>120</v>
      </c>
      <c r="BU2" s="42" t="s">
        <v>121</v>
      </c>
      <c r="BV2" s="42" t="s">
        <v>122</v>
      </c>
      <c r="BW2" s="36" t="s">
        <v>123</v>
      </c>
      <c r="BX2" s="36" t="s">
        <v>124</v>
      </c>
      <c r="BY2" s="36" t="s">
        <v>125</v>
      </c>
    </row>
    <row r="3" spans="1:77" ht="54" customHeight="1" x14ac:dyDescent="0.5">
      <c r="A3" t="s">
        <v>126</v>
      </c>
      <c r="B3" t="s">
        <v>127</v>
      </c>
      <c r="C3" s="1" t="s">
        <v>128</v>
      </c>
      <c r="D3" s="30" t="s">
        <v>77</v>
      </c>
      <c r="E3" t="s">
        <v>78</v>
      </c>
      <c r="F3" s="31" t="s">
        <v>129</v>
      </c>
      <c r="G3" s="32" t="s">
        <v>130</v>
      </c>
      <c r="H3" s="33" t="s">
        <v>81</v>
      </c>
      <c r="I3" s="34" t="s">
        <v>82</v>
      </c>
      <c r="J3" s="34" t="s">
        <v>83</v>
      </c>
      <c r="K3" s="35">
        <f t="shared" ca="1" si="0"/>
        <v>45705</v>
      </c>
      <c r="L3" s="36" t="s">
        <v>78</v>
      </c>
      <c r="M3" s="36" t="s">
        <v>84</v>
      </c>
      <c r="N3" s="34" t="s">
        <v>85</v>
      </c>
      <c r="O3" s="37" t="s">
        <v>86</v>
      </c>
      <c r="P3" s="36" t="s">
        <v>87</v>
      </c>
      <c r="Q3" s="36" t="s">
        <v>88</v>
      </c>
      <c r="R3" s="36" t="s">
        <v>88</v>
      </c>
      <c r="S3" s="36" t="s">
        <v>87</v>
      </c>
      <c r="T3" s="36" t="s">
        <v>83</v>
      </c>
      <c r="U3" s="36" t="s">
        <v>89</v>
      </c>
      <c r="V3" s="36" t="s">
        <v>90</v>
      </c>
      <c r="W3" s="36" t="s">
        <v>83</v>
      </c>
      <c r="X3" s="35">
        <f t="shared" ca="1" si="1"/>
        <v>45705</v>
      </c>
      <c r="Y3" s="36" t="s">
        <v>91</v>
      </c>
      <c r="Z3" s="36" t="s">
        <v>92</v>
      </c>
      <c r="AA3" s="36" t="s">
        <v>93</v>
      </c>
      <c r="AB3" s="36" t="s">
        <v>94</v>
      </c>
      <c r="AC3" s="36" t="s">
        <v>95</v>
      </c>
      <c r="AD3" s="33">
        <v>765</v>
      </c>
      <c r="AE3" s="36" t="s">
        <v>71</v>
      </c>
      <c r="AF3" s="36">
        <v>30</v>
      </c>
      <c r="AG3" s="36" t="s">
        <v>88</v>
      </c>
      <c r="AH3" s="36" t="s">
        <v>96</v>
      </c>
      <c r="AI3" s="35">
        <v>43831</v>
      </c>
      <c r="AJ3" s="35">
        <v>45293</v>
      </c>
      <c r="AK3" s="36" t="s">
        <v>131</v>
      </c>
      <c r="AL3" s="36" t="s">
        <v>98</v>
      </c>
      <c r="AM3" s="38" t="s">
        <v>99</v>
      </c>
      <c r="AN3" s="36">
        <v>110</v>
      </c>
      <c r="AO3" s="36" t="s">
        <v>100</v>
      </c>
      <c r="AP3" s="36" t="s">
        <v>101</v>
      </c>
      <c r="AQ3" s="36" t="s">
        <v>102</v>
      </c>
      <c r="AR3" s="35">
        <f t="shared" ref="AR3:AR4" ca="1" si="2">X3</f>
        <v>45705</v>
      </c>
      <c r="AS3" s="35">
        <f t="shared" ref="AS3:AS4" ca="1" si="3">X3</f>
        <v>45705</v>
      </c>
      <c r="AT3" s="36" t="str">
        <f t="shared" ref="AT3:AT4" si="4">AM3</f>
        <v>N/A</v>
      </c>
      <c r="AU3" s="36" t="s">
        <v>103</v>
      </c>
      <c r="AV3" s="36" t="s">
        <v>104</v>
      </c>
      <c r="AW3" s="36" t="s">
        <v>105</v>
      </c>
      <c r="AX3" s="36" t="s">
        <v>106</v>
      </c>
      <c r="AY3" s="36" t="s">
        <v>107</v>
      </c>
      <c r="AZ3" s="36" t="s">
        <v>108</v>
      </c>
      <c r="BA3" s="36" t="s">
        <v>109</v>
      </c>
      <c r="BB3" s="39" t="s">
        <v>92</v>
      </c>
      <c r="BC3" s="36"/>
      <c r="BD3" s="33" t="s">
        <v>78</v>
      </c>
      <c r="BE3" s="36" t="s">
        <v>110</v>
      </c>
      <c r="BF3" s="15">
        <v>9447896721</v>
      </c>
      <c r="BG3" s="33" t="s">
        <v>78</v>
      </c>
      <c r="BH3" s="36" t="s">
        <v>111</v>
      </c>
      <c r="BI3" s="15">
        <v>47478965756</v>
      </c>
      <c r="BJ3" s="33" t="s">
        <v>78</v>
      </c>
      <c r="BK3" s="33" t="s">
        <v>112</v>
      </c>
      <c r="BL3" s="33" t="s">
        <v>132</v>
      </c>
      <c r="BM3" s="33" t="s">
        <v>114</v>
      </c>
      <c r="BN3" s="40">
        <v>35591</v>
      </c>
      <c r="BO3" s="33" t="s">
        <v>115</v>
      </c>
      <c r="BP3" s="33" t="s">
        <v>116</v>
      </c>
      <c r="BQ3" s="33" t="s">
        <v>117</v>
      </c>
      <c r="BR3" s="33" t="s">
        <v>118</v>
      </c>
      <c r="BS3" s="41" t="s">
        <v>119</v>
      </c>
      <c r="BT3" s="36" t="s">
        <v>120</v>
      </c>
      <c r="BU3" s="42" t="s">
        <v>121</v>
      </c>
      <c r="BV3" s="42" t="s">
        <v>122</v>
      </c>
      <c r="BW3" s="36" t="s">
        <v>123</v>
      </c>
      <c r="BX3" s="36" t="s">
        <v>124</v>
      </c>
      <c r="BY3" s="36" t="s">
        <v>125</v>
      </c>
    </row>
    <row r="4" spans="1:77" ht="54" customHeight="1" x14ac:dyDescent="0.5">
      <c r="A4" t="s">
        <v>133</v>
      </c>
      <c r="B4" s="43" t="s">
        <v>134</v>
      </c>
      <c r="C4" s="1" t="s">
        <v>128</v>
      </c>
      <c r="D4" s="30" t="s">
        <v>77</v>
      </c>
      <c r="E4" t="s">
        <v>78</v>
      </c>
      <c r="F4" s="31" t="s">
        <v>135</v>
      </c>
      <c r="G4" s="32" t="s">
        <v>136</v>
      </c>
      <c r="H4" s="33" t="s">
        <v>81</v>
      </c>
      <c r="I4" s="34" t="s">
        <v>82</v>
      </c>
      <c r="J4" s="34" t="s">
        <v>83</v>
      </c>
      <c r="K4" s="35">
        <f t="shared" ca="1" si="0"/>
        <v>45705</v>
      </c>
      <c r="L4" s="36" t="s">
        <v>78</v>
      </c>
      <c r="M4" s="36" t="s">
        <v>84</v>
      </c>
      <c r="N4" s="34" t="s">
        <v>85</v>
      </c>
      <c r="O4" s="37" t="s">
        <v>86</v>
      </c>
      <c r="P4" s="36" t="s">
        <v>87</v>
      </c>
      <c r="Q4" s="36" t="s">
        <v>88</v>
      </c>
      <c r="R4" s="36" t="s">
        <v>88</v>
      </c>
      <c r="S4" s="36" t="s">
        <v>87</v>
      </c>
      <c r="T4" s="36" t="s">
        <v>83</v>
      </c>
      <c r="U4" s="36" t="s">
        <v>89</v>
      </c>
      <c r="V4" s="36" t="s">
        <v>90</v>
      </c>
      <c r="W4" s="36" t="s">
        <v>83</v>
      </c>
      <c r="X4" s="35">
        <f t="shared" ca="1" si="1"/>
        <v>45705</v>
      </c>
      <c r="Y4" s="36" t="s">
        <v>91</v>
      </c>
      <c r="Z4" s="36" t="s">
        <v>92</v>
      </c>
      <c r="AA4" s="36" t="s">
        <v>93</v>
      </c>
      <c r="AB4" s="36" t="s">
        <v>94</v>
      </c>
      <c r="AC4" s="36" t="s">
        <v>137</v>
      </c>
      <c r="AD4" s="33">
        <v>765</v>
      </c>
      <c r="AE4" s="36" t="s">
        <v>71</v>
      </c>
      <c r="AF4" s="36">
        <v>40</v>
      </c>
      <c r="AG4" s="36" t="s">
        <v>88</v>
      </c>
      <c r="AH4" s="36" t="s">
        <v>96</v>
      </c>
      <c r="AI4" s="35">
        <v>43831</v>
      </c>
      <c r="AJ4" s="35">
        <v>45293</v>
      </c>
      <c r="AK4" s="36" t="s">
        <v>138</v>
      </c>
      <c r="AL4" s="36" t="s">
        <v>98</v>
      </c>
      <c r="AM4" s="38" t="s">
        <v>99</v>
      </c>
      <c r="AN4" s="36">
        <v>110</v>
      </c>
      <c r="AO4" s="36" t="s">
        <v>100</v>
      </c>
      <c r="AP4" s="36" t="s">
        <v>101</v>
      </c>
      <c r="AQ4" s="36" t="s">
        <v>102</v>
      </c>
      <c r="AR4" s="35">
        <f t="shared" ca="1" si="2"/>
        <v>45705</v>
      </c>
      <c r="AS4" s="35">
        <f t="shared" ca="1" si="3"/>
        <v>45705</v>
      </c>
      <c r="AT4" s="36" t="str">
        <f t="shared" si="4"/>
        <v>N/A</v>
      </c>
      <c r="AU4" s="36" t="s">
        <v>103</v>
      </c>
      <c r="AV4" s="36" t="s">
        <v>104</v>
      </c>
      <c r="AW4" s="36" t="s">
        <v>105</v>
      </c>
      <c r="AX4" s="36" t="s">
        <v>106</v>
      </c>
      <c r="AY4" s="36" t="s">
        <v>107</v>
      </c>
      <c r="AZ4" s="36" t="s">
        <v>108</v>
      </c>
      <c r="BA4" s="36" t="s">
        <v>109</v>
      </c>
      <c r="BB4" s="39" t="s">
        <v>92</v>
      </c>
      <c r="BC4" s="36"/>
      <c r="BD4" s="33" t="s">
        <v>78</v>
      </c>
      <c r="BE4" s="36" t="s">
        <v>110</v>
      </c>
      <c r="BF4" s="15">
        <v>9447896722</v>
      </c>
      <c r="BG4" s="33" t="s">
        <v>78</v>
      </c>
      <c r="BH4" s="36" t="s">
        <v>111</v>
      </c>
      <c r="BI4" s="15">
        <v>47478965757</v>
      </c>
      <c r="BJ4" s="33" t="s">
        <v>78</v>
      </c>
      <c r="BK4" s="33" t="s">
        <v>112</v>
      </c>
      <c r="BL4" s="33" t="s">
        <v>139</v>
      </c>
      <c r="BM4" s="33" t="s">
        <v>114</v>
      </c>
      <c r="BN4" s="40">
        <v>35591</v>
      </c>
      <c r="BO4" s="33" t="s">
        <v>115</v>
      </c>
      <c r="BP4" s="44" t="s">
        <v>99</v>
      </c>
      <c r="BQ4" s="33" t="s">
        <v>117</v>
      </c>
      <c r="BR4" s="33" t="s">
        <v>118</v>
      </c>
      <c r="BS4" s="41" t="s">
        <v>119</v>
      </c>
      <c r="BT4" s="36" t="s">
        <v>120</v>
      </c>
      <c r="BU4" s="42" t="s">
        <v>121</v>
      </c>
      <c r="BV4" s="42" t="s">
        <v>122</v>
      </c>
      <c r="BW4" s="36" t="s">
        <v>123</v>
      </c>
      <c r="BX4" s="36" t="s">
        <v>124</v>
      </c>
      <c r="BY4" s="36" t="s">
        <v>125</v>
      </c>
    </row>
    <row r="5" spans="1:77" ht="54" customHeight="1" x14ac:dyDescent="0.5">
      <c r="A5" t="s">
        <v>140</v>
      </c>
      <c r="B5" t="s">
        <v>141</v>
      </c>
      <c r="C5" s="1" t="s">
        <v>76</v>
      </c>
      <c r="D5" s="30" t="s">
        <v>77</v>
      </c>
      <c r="E5" t="s">
        <v>78</v>
      </c>
      <c r="F5" s="31" t="s">
        <v>142</v>
      </c>
      <c r="G5" s="32" t="s">
        <v>143</v>
      </c>
      <c r="H5" s="33" t="s">
        <v>81</v>
      </c>
      <c r="I5" s="34" t="s">
        <v>82</v>
      </c>
      <c r="J5" s="34" t="s">
        <v>83</v>
      </c>
      <c r="K5" s="35">
        <f t="shared" ca="1" si="0"/>
        <v>45705</v>
      </c>
      <c r="L5" s="36" t="s">
        <v>78</v>
      </c>
      <c r="M5" s="36" t="s">
        <v>84</v>
      </c>
      <c r="N5" s="34" t="s">
        <v>85</v>
      </c>
      <c r="O5" s="37" t="s">
        <v>86</v>
      </c>
      <c r="P5" s="36" t="s">
        <v>87</v>
      </c>
      <c r="Q5" s="36" t="s">
        <v>88</v>
      </c>
      <c r="R5" s="36" t="s">
        <v>88</v>
      </c>
      <c r="S5" s="36" t="s">
        <v>87</v>
      </c>
      <c r="T5" s="36" t="s">
        <v>83</v>
      </c>
      <c r="U5" s="36" t="s">
        <v>89</v>
      </c>
      <c r="V5" s="36" t="s">
        <v>90</v>
      </c>
      <c r="W5" s="36" t="s">
        <v>83</v>
      </c>
      <c r="X5" s="35">
        <f t="shared" ca="1" si="1"/>
        <v>45705</v>
      </c>
      <c r="Y5" s="36" t="s">
        <v>91</v>
      </c>
      <c r="Z5" s="36" t="s">
        <v>92</v>
      </c>
      <c r="AA5" s="36" t="s">
        <v>93</v>
      </c>
      <c r="AB5" s="36" t="s">
        <v>94</v>
      </c>
      <c r="AC5" s="36" t="s">
        <v>95</v>
      </c>
      <c r="AD5" s="33">
        <v>765</v>
      </c>
      <c r="AE5" s="36" t="s">
        <v>71</v>
      </c>
      <c r="AF5" s="36">
        <v>40</v>
      </c>
      <c r="AG5" s="36" t="s">
        <v>88</v>
      </c>
      <c r="AH5" s="36" t="s">
        <v>96</v>
      </c>
      <c r="AI5" s="35">
        <v>43831</v>
      </c>
      <c r="AJ5" s="35">
        <v>45293</v>
      </c>
      <c r="AK5" s="36" t="s">
        <v>131</v>
      </c>
      <c r="AL5" s="36" t="s">
        <v>98</v>
      </c>
      <c r="AM5" s="38" t="s">
        <v>99</v>
      </c>
      <c r="AN5" s="36">
        <v>110</v>
      </c>
      <c r="AO5" s="36" t="s">
        <v>100</v>
      </c>
      <c r="AP5" s="36" t="s">
        <v>101</v>
      </c>
      <c r="AQ5" s="36" t="s">
        <v>102</v>
      </c>
      <c r="AR5" s="35">
        <f t="shared" ref="AR5" ca="1" si="5">X5</f>
        <v>45705</v>
      </c>
      <c r="AS5" s="35">
        <f t="shared" ref="AS5" ca="1" si="6">X5</f>
        <v>45705</v>
      </c>
      <c r="AT5" s="35" t="s">
        <v>99</v>
      </c>
      <c r="AU5" s="36" t="s">
        <v>103</v>
      </c>
      <c r="AV5" s="36" t="s">
        <v>144</v>
      </c>
      <c r="AW5" s="36" t="s">
        <v>105</v>
      </c>
      <c r="AX5" s="36" t="s">
        <v>106</v>
      </c>
      <c r="AY5" s="36" t="s">
        <v>107</v>
      </c>
      <c r="AZ5" s="36" t="s">
        <v>108</v>
      </c>
      <c r="BA5" s="36" t="s">
        <v>109</v>
      </c>
      <c r="BB5" s="39" t="s">
        <v>92</v>
      </c>
      <c r="BC5" s="36"/>
      <c r="BD5" s="33" t="s">
        <v>78</v>
      </c>
      <c r="BE5" s="36" t="s">
        <v>110</v>
      </c>
      <c r="BF5" s="15">
        <v>9447896723</v>
      </c>
      <c r="BG5" s="33" t="s">
        <v>78</v>
      </c>
      <c r="BH5" s="36" t="s">
        <v>111</v>
      </c>
      <c r="BI5" s="15">
        <v>47478965758</v>
      </c>
      <c r="BJ5" s="33" t="s">
        <v>78</v>
      </c>
      <c r="BK5" s="33" t="s">
        <v>112</v>
      </c>
      <c r="BL5" s="33" t="s">
        <v>145</v>
      </c>
      <c r="BM5" s="33" t="s">
        <v>114</v>
      </c>
      <c r="BN5" s="40">
        <v>35591</v>
      </c>
      <c r="BO5" s="33" t="s">
        <v>115</v>
      </c>
      <c r="BP5" s="33" t="s">
        <v>116</v>
      </c>
      <c r="BQ5" s="33" t="s">
        <v>117</v>
      </c>
      <c r="BR5" s="33" t="s">
        <v>118</v>
      </c>
      <c r="BS5" s="41" t="s">
        <v>119</v>
      </c>
      <c r="BT5" s="36" t="s">
        <v>120</v>
      </c>
      <c r="BU5" s="42" t="s">
        <v>121</v>
      </c>
      <c r="BV5" s="42" t="s">
        <v>122</v>
      </c>
      <c r="BW5" s="36" t="s">
        <v>123</v>
      </c>
      <c r="BX5" s="36" t="s">
        <v>124</v>
      </c>
      <c r="BY5" s="36" t="s">
        <v>125</v>
      </c>
    </row>
    <row r="6" spans="1:77" x14ac:dyDescent="0.25">
      <c r="AA6" s="36"/>
    </row>
    <row r="7" spans="1:77" x14ac:dyDescent="0.25">
      <c r="AA7" s="36"/>
    </row>
  </sheetData>
  <autoFilter ref="A1:BY5" xr:uid="{00000000-0009-0000-0000-000000000000}"/>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2025-03-20T11:34:15Z</dcterms:modified>
</cp:coreProperties>
</file>