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208E366-FF21-466A-93A1-515997B30C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" l="1"/>
  <c r="AJ2" i="1"/>
  <c r="AY2" i="1" s="1"/>
  <c r="K2" i="1"/>
  <c r="Y2" i="1" s="1"/>
  <c r="AX2" i="1" l="1"/>
  <c r="AW2" i="1"/>
  <c r="AK2" i="1"/>
</calcChain>
</file>

<file path=xl/sharedStrings.xml><?xml version="1.0" encoding="utf-8"?>
<sst xmlns="http://schemas.openxmlformats.org/spreadsheetml/2006/main" count="181" uniqueCount="148">
  <si>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</si>
  <si>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</si>
  <si>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</si>
  <si>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</si>
  <si>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</si>
  <si>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</si>
  <si>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</si>
  <si>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</si>
  <si>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</si>
  <si>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</si>
  <si>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</si>
  <si>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</si>
  <si>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</si>
  <si>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</si>
  <si>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</si>
  <si>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</si>
  <si>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</si>
  <si>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</si>
  <si>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</si>
  <si>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</si>
  <si>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</si>
  <si>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</si>
  <si>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</si>
  <si>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</si>
  <si>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</si>
  <si>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</si>
  <si>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</si>
  <si>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</si>
  <si>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</si>
  <si>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</si>
  <si>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</si>
  <si>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</si>
  <si>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</si>
  <si>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</si>
  <si>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</si>
  <si>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</si>
  <si>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</si>
  <si>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</si>
  <si>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</si>
  <si>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</si>
  <si>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</si>
  <si>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</si>
  <si>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</si>
  <si>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</si>
  <si>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</si>
  <si>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</si>
  <si>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</si>
  <si>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</si>
  <si>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</si>
  <si>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</si>
  <si>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</si>
  <si>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</si>
  <si>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</si>
  <si>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</si>
  <si>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</si>
  <si>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</si>
  <si>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</si>
  <si>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</si>
  <si>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</si>
  <si>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</si>
  <si>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</si>
  <si>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</si>
  <si>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</si>
  <si>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</si>
  <si>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</si>
  <si>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</si>
  <si>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</si>
  <si>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</si>
  <si>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</si>
  <si>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</si>
  <si>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</si>
  <si>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</si>
  <si>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</si>
  <si>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</si>
  <si>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</si>
  <si>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</si>
  <si>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</si>
  <si>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</si>
  <si>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</si>
  <si>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</si>
  <si>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</si>
  <si>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</si>
  <si>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</si>
  <si>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</si>
  <si>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</si>
  <si>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</si>
  <si>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</si>
  <si>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</si>
  <si>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</si>
  <si>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</si>
  <si>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</si>
  <si>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</si>
  <si>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</si>
  <si>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</si>
  <si>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</si>
  <si>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(Sekive Solav (10632957))</t>
  </si>
  <si>
    <t>Hungary</t>
  </si>
  <si>
    <t>Roxanne</t>
  </si>
  <si>
    <t>MacGyver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</si>
  <si>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</si>
  <si>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</si>
  <si>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</si>
  <si>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</si>
  <si>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</si>
  <si>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</si>
  <si>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</si>
  <si>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</si>
  <si>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</si>
  <si>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</si>
  <si>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</si>
  <si>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</si>
  <si>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</si>
  <si>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</si>
  <si>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</si>
  <si>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</si>
  <si>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</si>
  <si>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</si>
  <si>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</si>
  <si>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</si>
  <si>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</si>
  <si>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</si>
  <si>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</si>
  <si>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</si>
  <si>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</si>
  <si>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</si>
  <si>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</si>
  <si>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</si>
  <si>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5555559797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</si>
  <si>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</si>
  <si>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</si>
  <si>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</si>
  <si>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</si>
  <si>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</si>
  <si>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</si>
  <si>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</si>
  <si>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</si>
  <si>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</si>
  <si>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</si>
  <si>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</si>
  <si>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</si>
  <si>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</si>
  <si>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</si>
  <si>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</si>
  <si>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</si>
  <si>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</si>
  <si>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</si>
  <si>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</si>
  <si>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MaidenMothers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</si>
</sst>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2" fillId="0" borderId="3" xfId="0" applyFont="1" applyBorder="1"/>
    <xf numFmtId="0" fontId="3" fillId="0" borderId="5" xfId="0" applyFont="1" applyBorder="1" applyAlignment="1">
      <alignment horizontal="left"/>
    </xf>
    <xf numFmtId="0" fontId="0" fillId="3" borderId="3" xfId="0" applyFill="1" applyBorder="1"/>
    <xf numFmtId="0" fontId="3" fillId="0" borderId="6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7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0" fontId="4" fillId="0" borderId="6" xfId="0" applyFont="1" applyBorder="1"/>
    <xf numFmtId="14" fontId="0" fillId="0" borderId="6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"/>
  <sheetViews>
    <sheetView tabSelected="1" topLeftCell="BY1" zoomScale="90" zoomScaleNormal="90" workbookViewId="0">
      <selection activeCell="CU2" sqref="CU2"/>
    </sheetView>
  </sheetViews>
  <sheetFormatPr defaultRowHeight="14.5" customHeight="1" x14ac:dyDescent="0.35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38" customWidth="1"/>
    <col min="32" max="32" width="18" customWidth="1"/>
    <col min="34" max="34" width="19.36328125" customWidth="1"/>
    <col min="35" max="35" width="20.453125" customWidth="1"/>
    <col min="43" max="43" width="12.08984375" customWidth="1"/>
    <col min="49" max="49" width="24.269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5" max="65" width="34.36328125" customWidth="1"/>
    <col min="66" max="66" width="26.08984375" customWidth="1"/>
    <col min="78" max="78" width="21.6328125" customWidth="1"/>
    <col min="79" max="79" width="23.26953125" customWidth="1"/>
    <col min="98" max="98" width="54.81640625" customWidth="1"/>
    <col min="99" max="99" width="34.453125" customWidth="1"/>
  </cols>
  <sheetData>
    <row r="1" spans="1:99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</row>
    <row r="2" spans="1:99" ht="87.5" customHeight="1" x14ac:dyDescent="0.35">
      <c r="A2" t="s">
        <v>94</v>
      </c>
      <c r="B2" s="12"/>
      <c r="C2" s="13"/>
      <c r="D2" s="14" t="s">
        <v>95</v>
      </c>
      <c r="E2" s="15" t="s">
        <v>96</v>
      </c>
      <c r="F2" s="16" t="s">
        <v>97</v>
      </c>
      <c r="G2" s="16" t="s">
        <v>98</v>
      </c>
      <c r="H2" s="17" t="s">
        <v>99</v>
      </c>
      <c r="I2" s="18" t="s">
        <v>100</v>
      </c>
      <c r="J2" s="18" t="s">
        <v>101</v>
      </c>
      <c r="K2" s="19">
        <f ca="1">TODAY()-31</f>
        <v>45704</v>
      </c>
      <c r="L2" s="20" t="s">
        <v>96</v>
      </c>
      <c r="M2" s="21" t="s">
        <v>102</v>
      </c>
      <c r="N2" s="18" t="s">
        <v>103</v>
      </c>
      <c r="O2" s="22" t="s">
        <v>104</v>
      </c>
      <c r="P2" s="23" t="s">
        <v>105</v>
      </c>
      <c r="Q2" s="18" t="s">
        <v>106</v>
      </c>
      <c r="R2" s="18" t="s">
        <v>107</v>
      </c>
      <c r="S2" s="24" t="s">
        <v>108</v>
      </c>
      <c r="T2" s="24" t="s">
        <v>108</v>
      </c>
      <c r="U2" s="18" t="s">
        <v>101</v>
      </c>
      <c r="V2" s="25" t="s">
        <v>109</v>
      </c>
      <c r="W2" s="26" t="s">
        <v>110</v>
      </c>
      <c r="X2" s="18" t="s">
        <v>101</v>
      </c>
      <c r="Y2" s="19">
        <f ca="1">K2</f>
        <v>45704</v>
      </c>
      <c r="Z2" s="18" t="s">
        <v>111</v>
      </c>
      <c r="AA2" s="27" t="s">
        <v>112</v>
      </c>
      <c r="AB2" s="28" t="s">
        <v>113</v>
      </c>
      <c r="AC2" s="29" t="s">
        <v>114</v>
      </c>
      <c r="AD2" s="30" t="s">
        <v>115</v>
      </c>
      <c r="AE2" s="20">
        <v>846</v>
      </c>
      <c r="AF2" s="20" t="s">
        <v>57</v>
      </c>
      <c r="AG2" s="29">
        <v>40</v>
      </c>
      <c r="AH2" s="29" t="s">
        <v>116</v>
      </c>
      <c r="AI2" s="20" t="s">
        <v>117</v>
      </c>
      <c r="AJ2" s="31">
        <f ca="1">TODAY()+365</f>
        <v>46100</v>
      </c>
      <c r="AK2" s="31">
        <f ca="1">Y2+90</f>
        <v>45794</v>
      </c>
      <c r="AL2" s="18" t="s">
        <v>118</v>
      </c>
      <c r="AM2" s="30" t="s">
        <v>119</v>
      </c>
      <c r="AN2" s="29" t="s">
        <v>120</v>
      </c>
      <c r="AO2" s="18" t="s">
        <v>121</v>
      </c>
      <c r="AP2" s="32" t="s">
        <v>122</v>
      </c>
      <c r="AQ2" s="18" t="s">
        <v>123</v>
      </c>
      <c r="AR2" s="29" t="s">
        <v>123</v>
      </c>
      <c r="AS2" s="25" t="s">
        <v>112</v>
      </c>
      <c r="AT2" s="18" t="s">
        <v>124</v>
      </c>
      <c r="AU2" s="32" t="str">
        <f>AB2</f>
        <v>Fixed Term (Fixed Term)</v>
      </c>
      <c r="AV2" s="25" t="s">
        <v>125</v>
      </c>
      <c r="AW2" s="33">
        <f ca="1">Y2-1</f>
        <v>45703</v>
      </c>
      <c r="AX2" s="33">
        <f ca="1">Y2-1</f>
        <v>45703</v>
      </c>
      <c r="AY2" s="31">
        <f ca="1">AJ2</f>
        <v>46100</v>
      </c>
      <c r="AZ2" s="24" t="s">
        <v>96</v>
      </c>
      <c r="BA2" s="24" t="s">
        <v>126</v>
      </c>
      <c r="BB2" s="34" t="s">
        <v>127</v>
      </c>
      <c r="BC2" s="25" t="s">
        <v>128</v>
      </c>
      <c r="BD2" s="25" t="s">
        <v>129</v>
      </c>
      <c r="BE2" s="24" t="s">
        <v>96</v>
      </c>
      <c r="BF2" s="24" t="s">
        <v>130</v>
      </c>
      <c r="BG2" s="35">
        <v>6666666989</v>
      </c>
      <c r="BH2" s="25">
        <v>36526</v>
      </c>
      <c r="BI2" s="25">
        <v>51136</v>
      </c>
      <c r="BJ2" s="20" t="s">
        <v>131</v>
      </c>
      <c r="BK2" s="29" t="s">
        <v>132</v>
      </c>
      <c r="BL2" s="36">
        <v>32875</v>
      </c>
      <c r="BM2" s="37" t="s">
        <v>96</v>
      </c>
      <c r="BN2" s="24" t="s">
        <v>108</v>
      </c>
      <c r="BO2" s="38" t="s">
        <v>133</v>
      </c>
      <c r="BP2" s="39" t="s">
        <v>112</v>
      </c>
      <c r="BQ2" s="24" t="s">
        <v>134</v>
      </c>
      <c r="BR2" s="24" t="s">
        <v>96</v>
      </c>
      <c r="BS2" s="29" t="s">
        <v>123</v>
      </c>
      <c r="BT2" s="30" t="s">
        <v>112</v>
      </c>
      <c r="BU2" s="38" t="s">
        <v>135</v>
      </c>
      <c r="BV2" s="38" t="s">
        <v>136</v>
      </c>
      <c r="BW2" s="24" t="s">
        <v>137</v>
      </c>
      <c r="BX2" s="18" t="s">
        <v>138</v>
      </c>
      <c r="BY2" s="24" t="s">
        <v>139</v>
      </c>
      <c r="BZ2" s="24" t="s">
        <v>140</v>
      </c>
      <c r="CA2" s="24" t="s">
        <v>141</v>
      </c>
      <c r="CB2" s="24" t="s">
        <v>142</v>
      </c>
      <c r="CC2" s="24" t="s">
        <v>137</v>
      </c>
      <c r="CD2" s="18" t="s">
        <v>138</v>
      </c>
      <c r="CE2" s="24" t="s">
        <v>139</v>
      </c>
      <c r="CF2" s="24" t="s">
        <v>143</v>
      </c>
      <c r="CG2" s="24" t="s">
        <v>144</v>
      </c>
      <c r="CH2" s="24" t="s">
        <v>143</v>
      </c>
      <c r="CI2" s="40">
        <v>100</v>
      </c>
      <c r="CJ2" s="24" t="s">
        <v>145</v>
      </c>
      <c r="CK2" s="24" t="s">
        <v>146</v>
      </c>
      <c r="CL2" s="24" t="s">
        <v>96</v>
      </c>
      <c r="CM2" s="24" t="s">
        <v>147</v>
      </c>
      <c r="CN2" s="24" t="s">
        <v>147</v>
      </c>
      <c r="CO2" s="30" t="s">
        <v>112</v>
      </c>
      <c r="CP2" s="41" t="s">
        <v>112</v>
      </c>
      <c r="CQ2" s="36" t="s">
        <v>112</v>
      </c>
      <c r="CR2" s="30" t="s">
        <v>112</v>
      </c>
      <c r="CS2" s="30" t="s">
        <v>112</v>
      </c>
      <c r="CT2" s="30" t="s">
        <v>112</v>
      </c>
      <c r="CU2" s="30" t="s">
        <v>112</v>
      </c>
    </row>
    <row r="9" spans="1:99" ht="14.5" customHeight="1" x14ac:dyDescent="0.25">
      <c r="CL9" s="24"/>
    </row>
    <row r="10" spans="1:99" ht="14.5" customHeight="1" x14ac:dyDescent="0.25">
      <c r="CL10" s="24"/>
    </row>
  </sheetData>
  <dataValidations count="1">
    <dataValidation type="list" allowBlank="1" showInputMessage="1" showErrorMessage="1" sqref="AV2 Z2 X2 U2 I2:J2 CC2 BW2" xr:uid="{00000000-0002-0000-0000-000000000000}">
      <formula1>INDIRECT($C2)</formula1>
    </dataValidation>
  </dataValidations>
  <hyperlinks>
    <hyperlink ref="W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2025-03-19T12:23:04Z</dcterms:modified>
</cp:coreProperties>
</file>