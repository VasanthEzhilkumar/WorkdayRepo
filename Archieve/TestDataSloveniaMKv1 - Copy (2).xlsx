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2D0EFBD7-1735-4032-A94D-7EDCE9997A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6" i="1" l="1"/>
  <c r="AU16" i="1"/>
  <c r="AM16" i="1"/>
  <c r="AL16" i="1"/>
  <c r="AK16" i="1"/>
  <c r="AJ16" i="1"/>
  <c r="U16" i="1"/>
  <c r="K16" i="1"/>
  <c r="BU15" i="1"/>
  <c r="AU15" i="1"/>
  <c r="AM15" i="1"/>
  <c r="AL15" i="1"/>
  <c r="AK15" i="1"/>
  <c r="AJ15" i="1"/>
  <c r="U15" i="1"/>
  <c r="K15" i="1"/>
  <c r="BU14" i="1"/>
  <c r="AU14" i="1"/>
  <c r="AL14" i="1"/>
  <c r="AK14" i="1"/>
  <c r="AJ14" i="1"/>
  <c r="AF14" i="1"/>
  <c r="AM14" i="1" s="1"/>
  <c r="U14" i="1"/>
  <c r="K14" i="1"/>
  <c r="BU13" i="1"/>
  <c r="AU13" i="1"/>
  <c r="AL13" i="1"/>
  <c r="AK13" i="1"/>
  <c r="AJ13" i="1"/>
  <c r="AF13" i="1"/>
  <c r="AM13" i="1" s="1"/>
  <c r="U13" i="1"/>
  <c r="K13" i="1"/>
  <c r="BU12" i="1"/>
  <c r="AU12" i="1"/>
  <c r="AM12" i="1"/>
  <c r="AL12" i="1"/>
  <c r="AK12" i="1"/>
  <c r="AJ12" i="1"/>
  <c r="U12" i="1"/>
  <c r="K12" i="1"/>
  <c r="BU11" i="1"/>
  <c r="AU11" i="1"/>
  <c r="AM11" i="1"/>
  <c r="AL11" i="1"/>
  <c r="AK11" i="1"/>
  <c r="AJ11" i="1"/>
  <c r="U11" i="1"/>
  <c r="K11" i="1"/>
  <c r="BU10" i="1"/>
  <c r="AU10" i="1"/>
  <c r="AM10" i="1"/>
  <c r="AL10" i="1"/>
  <c r="AK10" i="1"/>
  <c r="AJ10" i="1"/>
  <c r="U10" i="1"/>
  <c r="K10" i="1"/>
  <c r="BU9" i="1"/>
  <c r="AU9" i="1"/>
  <c r="AM9" i="1"/>
  <c r="AL9" i="1"/>
  <c r="AK9" i="1"/>
  <c r="AJ9" i="1"/>
  <c r="U9" i="1"/>
  <c r="K9" i="1"/>
  <c r="BU8" i="1"/>
  <c r="AU8" i="1"/>
  <c r="AL8" i="1"/>
  <c r="AK8" i="1"/>
  <c r="AJ8" i="1"/>
  <c r="AF8" i="1"/>
  <c r="AM8" i="1" s="1"/>
  <c r="U8" i="1"/>
  <c r="K8" i="1"/>
  <c r="BU7" i="1"/>
  <c r="AU7" i="1"/>
  <c r="AM7" i="1"/>
  <c r="AL7" i="1"/>
  <c r="AK7" i="1"/>
  <c r="AJ7" i="1"/>
  <c r="U7" i="1"/>
  <c r="K7" i="1"/>
  <c r="BU6" i="1"/>
  <c r="AU6" i="1"/>
  <c r="AM6" i="1"/>
  <c r="AL6" i="1"/>
  <c r="AK6" i="1"/>
  <c r="AJ6" i="1"/>
  <c r="U6" i="1"/>
  <c r="K6" i="1"/>
  <c r="BU5" i="1"/>
  <c r="AU5" i="1"/>
  <c r="AL5" i="1"/>
  <c r="AK5" i="1"/>
  <c r="AJ5" i="1"/>
  <c r="AF5" i="1"/>
  <c r="AM5" i="1" s="1"/>
  <c r="U5" i="1"/>
  <c r="K5" i="1"/>
  <c r="BU4" i="1"/>
  <c r="AU4" i="1"/>
  <c r="AL4" i="1"/>
  <c r="AK4" i="1"/>
  <c r="AJ4" i="1"/>
  <c r="AF4" i="1"/>
  <c r="AM4" i="1" s="1"/>
  <c r="U4" i="1"/>
  <c r="K4" i="1"/>
  <c r="BU3" i="1"/>
  <c r="AU3" i="1"/>
  <c r="AM3" i="1"/>
  <c r="AL3" i="1"/>
  <c r="AK3" i="1"/>
  <c r="AJ3" i="1"/>
  <c r="U3" i="1"/>
  <c r="K3" i="1"/>
  <c r="BU2" i="1"/>
  <c r="AU2" i="1"/>
  <c r="AM2" i="1"/>
  <c r="AL2" i="1"/>
  <c r="AK2" i="1"/>
  <c r="AJ2" i="1"/>
  <c r="U2" i="1"/>
  <c r="K2" i="1"/>
</calcChain>
</file>

<file path=xl/sharedStrings.xml><?xml version="1.0" encoding="utf-8"?>
<sst xmlns="http://schemas.openxmlformats.org/spreadsheetml/2006/main" count="884" uniqueCount="180">
  <si>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</si>
  <si>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</si>
  <si>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</si>
  <si>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</si>
  <si>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</si>
  <si>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</si>
  <si>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</si>
  <si>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</si>
  <si>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</si>
  <si>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</si>
  <si>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</si>
  <si>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</si>
  <si>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</si>
  <si>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</si>
  <si>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</si>
  <si>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</si>
  <si>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</si>
  <si>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</si>
  <si>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</si>
  <si>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</si>
  <si>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</si>
  <si>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</si>
  <si>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</si>
  <si>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</si>
  <si>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</si>
  <si>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</si>
  <si>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</si>
  <si>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</si>
  <si>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</si>
  <si>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</si>
  <si>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</si>
  <si>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</si>
  <si>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</si>
  <si>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</si>
  <si>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</si>
  <si>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</si>
  <si>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</si>
  <si>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</si>
  <si>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</si>
  <si>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</si>
  <si>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</si>
  <si>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</si>
  <si>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</si>
  <si>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</si>
  <si>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</si>
  <si>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</si>
  <si>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</si>
  <si>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</si>
  <si>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</si>
  <si>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</si>
  <si>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</si>
  <si>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</si>
  <si>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</si>
  <si>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</si>
  <si>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</si>
  <si>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</si>
  <si>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</si>
  <si>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</si>
  <si>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</si>
  <si>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</si>
  <si>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</si>
  <si>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</si>
  <si>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</si>
  <si>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</si>
  <si>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</si>
  <si>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</si>
  <si>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</si>
  <si>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</si>
  <si>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</si>
  <si>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</si>
  <si>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</si>
  <si>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Test failed for 'Braulio Wuckert' Employee: Errors and AlertsAlertsGovernment IDs (Row 1)Enter an identifier that isn't already in use.National IDs (Row 1)This national identifier you entered is already in use. Verify that the information is accurate. &amp; find failed Screenshot Path:-&gt;H:\WorkdaySuite_Playwright_latestcode/WorkdayFailedScreenshot/2025-03-14T05-24-01-376Z.png</t>
  </si>
  <si>
    <t>Failed</t>
  </si>
  <si>
    <t>795 Store Management (Zogop Dogegy (10185858))</t>
  </si>
  <si>
    <t>Slovenia</t>
  </si>
  <si>
    <t>Braulio</t>
  </si>
  <si>
    <t>Wuckert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</si>
  <si>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</si>
  <si>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</si>
  <si>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</si>
  <si>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</si>
  <si>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</si>
  <si>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</si>
  <si>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</si>
  <si>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</si>
  <si>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27592482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</si>
  <si>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</si>
  <si>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</si>
  <si>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</si>
  <si>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</si>
  <si>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</si>
  <si>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</si>
  <si>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</si>
  <si>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</si>
  <si>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</si>
  <si>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</si>
  <si>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</si>
  <si>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</si>
  <si>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</si>
  <si>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</si>
  <si>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</si>
  <si>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</si>
  <si>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</si>
  <si>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</si>
  <si>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</si>
  <si>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</si>
  <si>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</si>
  <si>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</si>
  <si>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</si>
  <si>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</si>
  <si>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</si>
  <si>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 xml:space="preserve">Test failed for 'Maegan Ratke' Employee:{10697867}TimeoutError: locator.click: Timeout 30000ms exceeded.
Call log:
  [2m- waiting for locator('text=Assign Paygroup for Payroll: Maegan Ratke')[22m
</t>
  </si>
  <si>
    <t>795 Retail Team 1 (Zogop Dogegy (10185858) (Inherited))</t>
  </si>
  <si>
    <t>Maegan</t>
  </si>
  <si>
    <t>Ratke</t>
  </si>
  <si>
    <t>No</t>
  </si>
  <si>
    <t>Retail Assistant_NEW</t>
  </si>
  <si>
    <t>94 Retail Operatives</t>
  </si>
  <si>
    <t>01 Accessories</t>
  </si>
  <si>
    <t>Test3</t>
  </si>
  <si>
    <t xml:space="preserve">Test failed for 'Alden Kutch' Employee:{10697869}TimeoutError: locator.click: Timeout 30000ms exceeded.
Call log:
  [2m- waiting for locator('text=Assign Paygroup for Payroll: Alden Kutch')[22m
</t>
  </si>
  <si>
    <t>Alden</t>
  </si>
  <si>
    <t>Kutch</t>
  </si>
  <si>
    <t>Fixed Term (Fixed Term)</t>
  </si>
  <si>
    <t>Part time</t>
  </si>
  <si>
    <t>3 Days (Slovenia)</t>
  </si>
  <si>
    <t>Male</t>
  </si>
  <si>
    <t>Test4</t>
  </si>
  <si>
    <t>Test failed for 'Sincere Gusikowski' Employee: Errors and AlertsAlertsGovernment IDs (Row 1)Enter an identifier that isn't already in use.National IDs (Row 1)This national identifier you entered is already in use. Verify that the information is accurate. &amp; find failed Screenshot Path:-&gt;H:\WorkdaySuite_Playwright_latestcode/WorkdayFailedScreenshot/2025-03-14T08-22-35-719Z.png</t>
  </si>
  <si>
    <t>Sincere</t>
  </si>
  <si>
    <t>Gusikowski</t>
  </si>
  <si>
    <t>Auto 34001849</t>
  </si>
  <si>
    <t>Team Manager - Retail_NEW</t>
  </si>
  <si>
    <t>4 Days (Slovenia)</t>
  </si>
  <si>
    <t>Test5</t>
  </si>
  <si>
    <t xml:space="preserve">Test failed for 'Jarrett Blick' Employee:{10697875}TimeoutError: locator.click: Timeout 30000ms exceeded.
Call log:
  [2m- waiting for locator('//div[@data-automation-id=\'titleText\'][contains(./text(),\'Personal Information Change: Jarrett Blick\')]')[22m
</t>
  </si>
  <si>
    <t>Jarrett</t>
  </si>
  <si>
    <t>Blick</t>
  </si>
  <si>
    <t>In-Store Visual Merchandising Assistant_NEW</t>
  </si>
  <si>
    <t>256 Visual Merchandising</t>
  </si>
  <si>
    <t>Test6</t>
  </si>
  <si>
    <t xml:space="preserve">Test failed for 'Maximo Nienow' Employee:{10697879}TimeoutError: locator.click: Timeout 30000ms exceeded.
Call log:
  [2m- waiting for locator('text=Assign Paygroup for Payroll: Maximo Nienow')[22m
</t>
  </si>
  <si>
    <t>Maximo</t>
  </si>
  <si>
    <t>Nienow</t>
  </si>
  <si>
    <t>Auto 41216840</t>
  </si>
  <si>
    <t>Strokovni sodelavec v kadrovski službi</t>
  </si>
  <si>
    <t>V.</t>
  </si>
  <si>
    <t>Test7</t>
  </si>
  <si>
    <t>Test failed for 'Berneice Krajcik' Employee:{10697880}Error: [2mexpect([22m[31mreceived[39m[2m).[22mtoEqual[2m([22m[32mexpected[39m[2m) // deep equality[22m
Expected: [32m"undefined"[39m
Received: [31m"Please select a Slovenia Pay Group"[39m</t>
  </si>
  <si>
    <t>Berneice</t>
  </si>
  <si>
    <t>Krajcik</t>
  </si>
  <si>
    <t>Auto 14821156</t>
  </si>
  <si>
    <t>Assistant Store Manager_NEW</t>
  </si>
  <si>
    <t>Test8</t>
  </si>
  <si>
    <t>Test failed for 'Theresia Volkman' Employee:{10697886}Error: [2mexpect([22m[31mreceived[39m[2m).[22mtoEqual[2m([22m[32mexpected[39m[2m) // deep equality[22m
Expected: [32m"undefined"[39m
Received: [31m"Please select a Slovenia Pay Group"[39m</t>
  </si>
  <si>
    <t>Theresia</t>
  </si>
  <si>
    <t>Volkman</t>
  </si>
  <si>
    <t>Auto 88685181</t>
  </si>
  <si>
    <t>Department Manager_NEW</t>
  </si>
  <si>
    <t>Test9</t>
  </si>
  <si>
    <t>Auto 57468033</t>
  </si>
  <si>
    <t>In-Store P&amp;C Manager_NEW</t>
  </si>
  <si>
    <t>Test10</t>
  </si>
  <si>
    <t>In-Store P&amp;C Supervisor_NEW</t>
  </si>
  <si>
    <t>250 Human Resources Retail</t>
  </si>
  <si>
    <t>Supervizor</t>
  </si>
  <si>
    <t>Test11</t>
  </si>
  <si>
    <t>Supervisor_NEW</t>
  </si>
  <si>
    <t>253 Supervisors</t>
  </si>
  <si>
    <t>Test12</t>
  </si>
  <si>
    <t>Retail Assistant Cash Office_NEW</t>
  </si>
  <si>
    <t>258 Cash Office</t>
  </si>
  <si>
    <t>Test13</t>
  </si>
  <si>
    <t>Visual Merchandiser_NEW</t>
  </si>
  <si>
    <t>Test14</t>
  </si>
  <si>
    <t>Retail Assistant Stockroom_NEW</t>
  </si>
  <si>
    <t>255 Stockroom</t>
  </si>
  <si>
    <t>Test15</t>
  </si>
  <si>
    <t>In-Store Visual Merchandising Supervisor_NEW</t>
  </si>
  <si>
    <t>Vodja visual merchandisinga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</si>
</sst>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1" fillId="0" borderId="0" xfId="0" applyFont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5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2" fillId="5" borderId="2" xfId="0" applyFont="1" applyFill="1" applyBorder="1" applyAlignment="1">
      <alignment horizontal="left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26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6"/>
  <sheetViews>
    <sheetView tabSelected="1" topLeftCell="BU1" zoomScale="115" zoomScaleNormal="115" workbookViewId="0">
      <selection activeCell="BY11" sqref="BY11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49" width="36.26953125" style="1" customWidth="1"/>
    <col min="50" max="50" width="20.08984375" style="1" customWidth="1"/>
    <col min="51" max="51" width="13.90625" style="1" customWidth="1"/>
    <col min="52" max="52" width="17.6328125" style="2" customWidth="1"/>
    <col min="53" max="53" width="11.26953125" style="1" customWidth="1"/>
    <col min="54" max="54" width="25.453125" style="2" customWidth="1"/>
    <col min="55" max="55" width="14.179687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8" width="19.1796875" style="1" customWidth="1"/>
    <col min="69" max="69" width="18.54296875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2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16" ca="1" si="0">TODAY()-7</f>
        <v>45723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f t="shared" ref="U2:U16" ca="1" si="1">TODAY()-31</f>
        <v>45699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40</v>
      </c>
      <c r="AD2" s="27" t="s">
        <v>90</v>
      </c>
      <c r="AE2" s="19" t="s">
        <v>91</v>
      </c>
      <c r="AF2" s="28" t="s">
        <v>90</v>
      </c>
      <c r="AG2" s="16" t="s">
        <v>92</v>
      </c>
      <c r="AH2" s="16" t="s">
        <v>93</v>
      </c>
      <c r="AI2" s="16" t="s">
        <v>90</v>
      </c>
      <c r="AJ2" s="17">
        <f t="shared" ref="AJ2:AL16" ca="1" si="2">TODAY()-31</f>
        <v>45699</v>
      </c>
      <c r="AK2" s="17">
        <f t="shared" ca="1" si="2"/>
        <v>45699</v>
      </c>
      <c r="AL2" s="17">
        <f t="shared" ca="1" si="2"/>
        <v>45699</v>
      </c>
      <c r="AM2" s="22" t="str">
        <f t="shared" ref="AM2:AM16" si="3">AF2</f>
        <v>N/A</v>
      </c>
      <c r="AN2" s="16">
        <v>92</v>
      </c>
      <c r="AO2" s="24">
        <v>251</v>
      </c>
      <c r="AP2" s="24" t="s">
        <v>94</v>
      </c>
      <c r="AQ2" s="24" t="s">
        <v>95</v>
      </c>
      <c r="AR2" s="19" t="s">
        <v>96</v>
      </c>
      <c r="AS2" s="13" t="s">
        <v>90</v>
      </c>
      <c r="AT2" s="13" t="s">
        <v>90</v>
      </c>
      <c r="AU2" s="17">
        <f t="shared" ref="AU2:AU16" ca="1" si="4">TODAY()+7</f>
        <v>45737</v>
      </c>
      <c r="AV2" s="13" t="s">
        <v>74</v>
      </c>
      <c r="AW2" s="29" t="s">
        <v>97</v>
      </c>
      <c r="AX2" s="30">
        <v>2973000506950</v>
      </c>
      <c r="AY2" s="17" t="s">
        <v>98</v>
      </c>
      <c r="AZ2" s="17" t="s">
        <v>99</v>
      </c>
      <c r="BA2" s="13" t="s">
        <v>74</v>
      </c>
      <c r="BB2" s="29" t="s">
        <v>100</v>
      </c>
      <c r="BC2" s="31">
        <v>93300875</v>
      </c>
      <c r="BD2" s="17" t="s">
        <v>98</v>
      </c>
      <c r="BE2" s="17" t="s">
        <v>101</v>
      </c>
      <c r="BF2" s="19" t="s">
        <v>102</v>
      </c>
      <c r="BG2" s="17" t="s">
        <v>98</v>
      </c>
      <c r="BH2" s="13" t="s">
        <v>103</v>
      </c>
      <c r="BI2" s="13" t="s">
        <v>74</v>
      </c>
      <c r="BJ2" s="13" t="s">
        <v>104</v>
      </c>
      <c r="BK2" s="32" t="s">
        <v>90</v>
      </c>
      <c r="BL2" s="13" t="s">
        <v>105</v>
      </c>
      <c r="BM2" s="33" t="s">
        <v>106</v>
      </c>
      <c r="BN2" s="13" t="s">
        <v>107</v>
      </c>
      <c r="BO2" s="13" t="s">
        <v>74</v>
      </c>
      <c r="BP2" s="13" t="s">
        <v>108</v>
      </c>
      <c r="BQ2" s="34">
        <v>99730</v>
      </c>
      <c r="BR2" s="17">
        <v>44562</v>
      </c>
      <c r="BS2" s="17">
        <v>47119</v>
      </c>
      <c r="BT2" s="22">
        <v>44562</v>
      </c>
      <c r="BU2" s="22">
        <f t="shared" ref="BU2:BU16" ca="1" si="5">TODAY()+365</f>
        <v>46095</v>
      </c>
      <c r="BV2" s="16" t="s">
        <v>109</v>
      </c>
    </row>
    <row r="3" spans="1:74" ht="15.65" customHeight="1" x14ac:dyDescent="0.25">
      <c r="A3" s="1" t="s">
        <v>110</v>
      </c>
      <c r="B3" s="1" t="s">
        <v>111</v>
      </c>
      <c r="C3" s="11" t="s">
        <v>72</v>
      </c>
      <c r="D3" s="12" t="s">
        <v>112</v>
      </c>
      <c r="E3" s="13" t="s">
        <v>74</v>
      </c>
      <c r="F3" s="14" t="s">
        <v>113</v>
      </c>
      <c r="G3" s="14" t="s">
        <v>114</v>
      </c>
      <c r="H3" s="15" t="s">
        <v>77</v>
      </c>
      <c r="I3" s="16" t="s">
        <v>78</v>
      </c>
      <c r="J3" s="16" t="s">
        <v>79</v>
      </c>
      <c r="K3" s="17">
        <f t="shared" ca="1" si="0"/>
        <v>45723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f t="shared" ca="1" si="1"/>
        <v>45699</v>
      </c>
      <c r="V3" s="16" t="s">
        <v>84</v>
      </c>
      <c r="W3" s="23" t="s">
        <v>115</v>
      </c>
      <c r="X3" s="24" t="s">
        <v>86</v>
      </c>
      <c r="Y3" s="24" t="s">
        <v>116</v>
      </c>
      <c r="Z3" s="24" t="s">
        <v>88</v>
      </c>
      <c r="AA3" s="25">
        <v>795</v>
      </c>
      <c r="AB3" s="25" t="s">
        <v>89</v>
      </c>
      <c r="AC3" s="26">
        <v>40</v>
      </c>
      <c r="AD3" s="27" t="s">
        <v>90</v>
      </c>
      <c r="AE3" s="19" t="s">
        <v>91</v>
      </c>
      <c r="AF3" s="28" t="s">
        <v>90</v>
      </c>
      <c r="AG3" s="16" t="s">
        <v>92</v>
      </c>
      <c r="AH3" s="16" t="s">
        <v>93</v>
      </c>
      <c r="AI3" s="16" t="s">
        <v>90</v>
      </c>
      <c r="AJ3" s="17">
        <f t="shared" ca="1" si="2"/>
        <v>45699</v>
      </c>
      <c r="AK3" s="17">
        <f t="shared" ca="1" si="2"/>
        <v>45699</v>
      </c>
      <c r="AL3" s="17">
        <f t="shared" ca="1" si="2"/>
        <v>45699</v>
      </c>
      <c r="AM3" s="22" t="str">
        <f t="shared" si="3"/>
        <v>N/A</v>
      </c>
      <c r="AN3" s="16" t="s">
        <v>117</v>
      </c>
      <c r="AO3" s="24" t="s">
        <v>118</v>
      </c>
      <c r="AP3" s="24" t="s">
        <v>94</v>
      </c>
      <c r="AQ3" s="24" t="s">
        <v>95</v>
      </c>
      <c r="AR3" s="19" t="s">
        <v>96</v>
      </c>
      <c r="AS3" s="13" t="s">
        <v>90</v>
      </c>
      <c r="AT3" s="13" t="s">
        <v>90</v>
      </c>
      <c r="AU3" s="17">
        <f t="shared" ca="1" si="4"/>
        <v>45737</v>
      </c>
      <c r="AV3" s="13" t="s">
        <v>74</v>
      </c>
      <c r="AW3" s="29" t="s">
        <v>97</v>
      </c>
      <c r="AX3" s="30">
        <v>2973000506951</v>
      </c>
      <c r="AY3" s="17" t="s">
        <v>98</v>
      </c>
      <c r="AZ3" s="17" t="s">
        <v>99</v>
      </c>
      <c r="BA3" s="13" t="s">
        <v>74</v>
      </c>
      <c r="BB3" s="29" t="s">
        <v>100</v>
      </c>
      <c r="BC3" s="31">
        <v>93300876</v>
      </c>
      <c r="BD3" s="17" t="s">
        <v>98</v>
      </c>
      <c r="BE3" s="17" t="s">
        <v>101</v>
      </c>
      <c r="BF3" s="19" t="s">
        <v>102</v>
      </c>
      <c r="BG3" s="17" t="s">
        <v>98</v>
      </c>
      <c r="BH3" s="13" t="s">
        <v>103</v>
      </c>
      <c r="BI3" s="13" t="s">
        <v>74</v>
      </c>
      <c r="BJ3" s="13" t="s">
        <v>104</v>
      </c>
      <c r="BK3" s="32" t="s">
        <v>90</v>
      </c>
      <c r="BL3" s="13" t="s">
        <v>105</v>
      </c>
      <c r="BM3" s="33" t="s">
        <v>106</v>
      </c>
      <c r="BN3" s="13" t="s">
        <v>107</v>
      </c>
      <c r="BO3" s="13" t="s">
        <v>74</v>
      </c>
      <c r="BP3" s="13" t="s">
        <v>108</v>
      </c>
      <c r="BQ3" s="34">
        <v>99731</v>
      </c>
      <c r="BR3" s="17">
        <v>44562</v>
      </c>
      <c r="BS3" s="17">
        <v>47119</v>
      </c>
      <c r="BT3" s="22">
        <v>44562</v>
      </c>
      <c r="BU3" s="22">
        <f t="shared" ca="1" si="5"/>
        <v>46095</v>
      </c>
      <c r="BV3" s="16" t="s">
        <v>109</v>
      </c>
    </row>
    <row r="4" spans="1:74" ht="15.65" customHeight="1" x14ac:dyDescent="0.25">
      <c r="A4" s="1" t="s">
        <v>119</v>
      </c>
      <c r="B4" s="1" t="s">
        <v>120</v>
      </c>
      <c r="C4" s="11" t="s">
        <v>72</v>
      </c>
      <c r="D4" s="12" t="s">
        <v>112</v>
      </c>
      <c r="E4" s="13" t="s">
        <v>74</v>
      </c>
      <c r="F4" s="14" t="s">
        <v>121</v>
      </c>
      <c r="G4" s="14" t="s">
        <v>122</v>
      </c>
      <c r="H4" s="15" t="s">
        <v>77</v>
      </c>
      <c r="I4" s="16" t="s">
        <v>78</v>
      </c>
      <c r="J4" s="16" t="s">
        <v>79</v>
      </c>
      <c r="K4" s="17">
        <f t="shared" ca="1" si="0"/>
        <v>45723</v>
      </c>
      <c r="L4" s="13" t="s">
        <v>74</v>
      </c>
      <c r="M4" s="18" t="s">
        <v>80</v>
      </c>
      <c r="N4" s="18" t="s">
        <v>81</v>
      </c>
      <c r="O4" s="19" t="s">
        <v>81</v>
      </c>
      <c r="P4" s="16">
        <v>1542</v>
      </c>
      <c r="Q4" s="16" t="s">
        <v>79</v>
      </c>
      <c r="R4" s="20" t="s">
        <v>82</v>
      </c>
      <c r="S4" s="21" t="s">
        <v>83</v>
      </c>
      <c r="T4" s="16" t="s">
        <v>79</v>
      </c>
      <c r="U4" s="22">
        <f t="shared" ca="1" si="1"/>
        <v>45699</v>
      </c>
      <c r="V4" s="16" t="s">
        <v>84</v>
      </c>
      <c r="W4" s="23" t="s">
        <v>115</v>
      </c>
      <c r="X4" s="24" t="s">
        <v>123</v>
      </c>
      <c r="Y4" s="24" t="s">
        <v>116</v>
      </c>
      <c r="Z4" s="24" t="s">
        <v>124</v>
      </c>
      <c r="AA4" s="25">
        <v>795</v>
      </c>
      <c r="AB4" s="25" t="s">
        <v>89</v>
      </c>
      <c r="AC4" s="26">
        <v>15</v>
      </c>
      <c r="AD4" s="27" t="s">
        <v>90</v>
      </c>
      <c r="AE4" s="19" t="s">
        <v>125</v>
      </c>
      <c r="AF4" s="35">
        <f ca="1">TODAY()+365</f>
        <v>46095</v>
      </c>
      <c r="AG4" s="16" t="s">
        <v>92</v>
      </c>
      <c r="AH4" s="16" t="s">
        <v>93</v>
      </c>
      <c r="AI4" s="16" t="s">
        <v>90</v>
      </c>
      <c r="AJ4" s="17">
        <f t="shared" ca="1" si="2"/>
        <v>45699</v>
      </c>
      <c r="AK4" s="17">
        <f t="shared" ca="1" si="2"/>
        <v>45699</v>
      </c>
      <c r="AL4" s="17">
        <f t="shared" ca="1" si="2"/>
        <v>45699</v>
      </c>
      <c r="AM4" s="22">
        <f t="shared" ca="1" si="3"/>
        <v>46095</v>
      </c>
      <c r="AN4" s="16" t="s">
        <v>117</v>
      </c>
      <c r="AO4" s="24" t="s">
        <v>118</v>
      </c>
      <c r="AP4" s="24" t="s">
        <v>94</v>
      </c>
      <c r="AQ4" s="24" t="s">
        <v>95</v>
      </c>
      <c r="AR4" s="19" t="s">
        <v>96</v>
      </c>
      <c r="AS4" s="13" t="s">
        <v>90</v>
      </c>
      <c r="AT4" s="13" t="s">
        <v>90</v>
      </c>
      <c r="AU4" s="17">
        <f t="shared" ca="1" si="4"/>
        <v>45737</v>
      </c>
      <c r="AV4" s="13" t="s">
        <v>74</v>
      </c>
      <c r="AW4" s="29" t="s">
        <v>97</v>
      </c>
      <c r="AX4" s="30">
        <v>2973000506952</v>
      </c>
      <c r="AY4" s="17" t="s">
        <v>98</v>
      </c>
      <c r="AZ4" s="17" t="s">
        <v>99</v>
      </c>
      <c r="BA4" s="13" t="s">
        <v>74</v>
      </c>
      <c r="BB4" s="29" t="s">
        <v>100</v>
      </c>
      <c r="BC4" s="31">
        <v>93300877</v>
      </c>
      <c r="BD4" s="17" t="s">
        <v>98</v>
      </c>
      <c r="BE4" s="17" t="s">
        <v>101</v>
      </c>
      <c r="BF4" s="19" t="s">
        <v>126</v>
      </c>
      <c r="BG4" s="17" t="s">
        <v>98</v>
      </c>
      <c r="BH4" s="13" t="s">
        <v>103</v>
      </c>
      <c r="BI4" s="13" t="s">
        <v>74</v>
      </c>
      <c r="BJ4" s="13" t="s">
        <v>104</v>
      </c>
      <c r="BK4" s="32" t="s">
        <v>90</v>
      </c>
      <c r="BL4" s="13" t="s">
        <v>105</v>
      </c>
      <c r="BM4" s="33" t="s">
        <v>106</v>
      </c>
      <c r="BN4" s="13" t="s">
        <v>107</v>
      </c>
      <c r="BO4" s="13" t="s">
        <v>74</v>
      </c>
      <c r="BP4" s="13" t="s">
        <v>108</v>
      </c>
      <c r="BQ4" s="34">
        <v>99732</v>
      </c>
      <c r="BR4" s="17">
        <v>44562</v>
      </c>
      <c r="BS4" s="17">
        <v>47119</v>
      </c>
      <c r="BT4" s="22">
        <v>44562</v>
      </c>
      <c r="BU4" s="22">
        <f t="shared" ca="1" si="5"/>
        <v>46095</v>
      </c>
      <c r="BV4" s="16" t="s">
        <v>109</v>
      </c>
    </row>
    <row r="5" spans="1:74" ht="15.65" customHeight="1" x14ac:dyDescent="0.25">
      <c r="A5" s="1" t="s">
        <v>127</v>
      </c>
      <c r="B5" s="1" t="s">
        <v>128</v>
      </c>
      <c r="C5" s="11" t="s">
        <v>72</v>
      </c>
      <c r="D5" s="12" t="s">
        <v>73</v>
      </c>
      <c r="E5" s="13" t="s">
        <v>74</v>
      </c>
      <c r="F5" s="14" t="s">
        <v>129</v>
      </c>
      <c r="G5" s="14" t="s">
        <v>130</v>
      </c>
      <c r="H5" s="15" t="s">
        <v>77</v>
      </c>
      <c r="I5" s="16" t="s">
        <v>78</v>
      </c>
      <c r="J5" s="16" t="s">
        <v>79</v>
      </c>
      <c r="K5" s="17">
        <f t="shared" ca="1" si="0"/>
        <v>45723</v>
      </c>
      <c r="L5" s="13" t="s">
        <v>74</v>
      </c>
      <c r="M5" s="18" t="s">
        <v>80</v>
      </c>
      <c r="N5" s="18" t="s">
        <v>81</v>
      </c>
      <c r="O5" s="19" t="s">
        <v>81</v>
      </c>
      <c r="P5" s="16">
        <v>1542</v>
      </c>
      <c r="Q5" s="16" t="s">
        <v>79</v>
      </c>
      <c r="R5" s="20" t="s">
        <v>82</v>
      </c>
      <c r="S5" s="21" t="s">
        <v>83</v>
      </c>
      <c r="T5" s="16" t="s">
        <v>79</v>
      </c>
      <c r="U5" s="22">
        <f t="shared" ca="1" si="1"/>
        <v>45699</v>
      </c>
      <c r="V5" s="16" t="s">
        <v>84</v>
      </c>
      <c r="W5" s="23" t="s">
        <v>131</v>
      </c>
      <c r="X5" s="24" t="s">
        <v>123</v>
      </c>
      <c r="Y5" s="24" t="s">
        <v>132</v>
      </c>
      <c r="Z5" s="24" t="s">
        <v>124</v>
      </c>
      <c r="AA5" s="25">
        <v>795</v>
      </c>
      <c r="AB5" s="25" t="s">
        <v>89</v>
      </c>
      <c r="AC5" s="26">
        <v>20</v>
      </c>
      <c r="AD5" s="27" t="s">
        <v>90</v>
      </c>
      <c r="AE5" s="19" t="s">
        <v>133</v>
      </c>
      <c r="AF5" s="35">
        <f ca="1">TODAY()+365</f>
        <v>46095</v>
      </c>
      <c r="AG5" s="16" t="s">
        <v>92</v>
      </c>
      <c r="AH5" s="16" t="s">
        <v>93</v>
      </c>
      <c r="AI5" s="16" t="s">
        <v>90</v>
      </c>
      <c r="AJ5" s="17">
        <f t="shared" ca="1" si="2"/>
        <v>45699</v>
      </c>
      <c r="AK5" s="17">
        <f t="shared" ca="1" si="2"/>
        <v>45699</v>
      </c>
      <c r="AL5" s="17">
        <f t="shared" ca="1" si="2"/>
        <v>45699</v>
      </c>
      <c r="AM5" s="22">
        <f t="shared" ca="1" si="3"/>
        <v>46095</v>
      </c>
      <c r="AN5" s="16">
        <v>92</v>
      </c>
      <c r="AO5" s="24">
        <v>251</v>
      </c>
      <c r="AP5" s="24" t="s">
        <v>94</v>
      </c>
      <c r="AQ5" s="24" t="s">
        <v>95</v>
      </c>
      <c r="AR5" s="19" t="s">
        <v>96</v>
      </c>
      <c r="AS5" s="13" t="s">
        <v>90</v>
      </c>
      <c r="AT5" s="13" t="s">
        <v>90</v>
      </c>
      <c r="AU5" s="17">
        <f t="shared" ca="1" si="4"/>
        <v>45737</v>
      </c>
      <c r="AV5" s="13" t="s">
        <v>74</v>
      </c>
      <c r="AW5" s="29" t="s">
        <v>97</v>
      </c>
      <c r="AX5" s="30">
        <v>2973000506953</v>
      </c>
      <c r="AY5" s="17" t="s">
        <v>98</v>
      </c>
      <c r="AZ5" s="17" t="s">
        <v>99</v>
      </c>
      <c r="BA5" s="13" t="s">
        <v>74</v>
      </c>
      <c r="BB5" s="29" t="s">
        <v>100</v>
      </c>
      <c r="BC5" s="31">
        <v>93300878</v>
      </c>
      <c r="BD5" s="17" t="s">
        <v>98</v>
      </c>
      <c r="BE5" s="17" t="s">
        <v>101</v>
      </c>
      <c r="BF5" s="19" t="s">
        <v>102</v>
      </c>
      <c r="BG5" s="17" t="s">
        <v>98</v>
      </c>
      <c r="BH5" s="13" t="s">
        <v>103</v>
      </c>
      <c r="BI5" s="13" t="s">
        <v>74</v>
      </c>
      <c r="BJ5" s="13" t="s">
        <v>104</v>
      </c>
      <c r="BK5" s="32" t="s">
        <v>90</v>
      </c>
      <c r="BL5" s="13" t="s">
        <v>105</v>
      </c>
      <c r="BM5" s="33" t="s">
        <v>106</v>
      </c>
      <c r="BN5" s="13" t="s">
        <v>107</v>
      </c>
      <c r="BO5" s="13" t="s">
        <v>74</v>
      </c>
      <c r="BP5" s="13" t="s">
        <v>108</v>
      </c>
      <c r="BQ5" s="34">
        <v>99733</v>
      </c>
      <c r="BR5" s="17">
        <v>44562</v>
      </c>
      <c r="BS5" s="17">
        <v>47119</v>
      </c>
      <c r="BT5" s="22">
        <v>44562</v>
      </c>
      <c r="BU5" s="22">
        <f t="shared" ca="1" si="5"/>
        <v>46095</v>
      </c>
      <c r="BV5" s="16" t="s">
        <v>109</v>
      </c>
    </row>
    <row r="6" spans="1:74" ht="15.65" customHeight="1" x14ac:dyDescent="0.25">
      <c r="A6" s="1" t="s">
        <v>134</v>
      </c>
      <c r="B6" s="1" t="s">
        <v>135</v>
      </c>
      <c r="C6" s="11" t="s">
        <v>72</v>
      </c>
      <c r="D6" s="12" t="s">
        <v>112</v>
      </c>
      <c r="E6" s="13" t="s">
        <v>74</v>
      </c>
      <c r="F6" s="14" t="s">
        <v>136</v>
      </c>
      <c r="G6" s="14" t="s">
        <v>137</v>
      </c>
      <c r="H6" s="15" t="s">
        <v>77</v>
      </c>
      <c r="I6" s="16" t="s">
        <v>78</v>
      </c>
      <c r="J6" s="16" t="s">
        <v>79</v>
      </c>
      <c r="K6" s="17">
        <f t="shared" ca="1" si="0"/>
        <v>45723</v>
      </c>
      <c r="L6" s="13" t="s">
        <v>74</v>
      </c>
      <c r="M6" s="18" t="s">
        <v>80</v>
      </c>
      <c r="N6" s="18" t="s">
        <v>81</v>
      </c>
      <c r="O6" s="19" t="s">
        <v>81</v>
      </c>
      <c r="P6" s="16">
        <v>1542</v>
      </c>
      <c r="Q6" s="16" t="s">
        <v>79</v>
      </c>
      <c r="R6" s="20" t="s">
        <v>82</v>
      </c>
      <c r="S6" s="21" t="s">
        <v>83</v>
      </c>
      <c r="T6" s="16" t="s">
        <v>79</v>
      </c>
      <c r="U6" s="22">
        <f t="shared" ca="1" si="1"/>
        <v>45699</v>
      </c>
      <c r="V6" s="16" t="s">
        <v>84</v>
      </c>
      <c r="W6" s="23" t="s">
        <v>115</v>
      </c>
      <c r="X6" s="24" t="s">
        <v>86</v>
      </c>
      <c r="Y6" s="24" t="s">
        <v>138</v>
      </c>
      <c r="Z6" s="24" t="s">
        <v>88</v>
      </c>
      <c r="AA6" s="25">
        <v>795</v>
      </c>
      <c r="AB6" s="25" t="s">
        <v>89</v>
      </c>
      <c r="AC6" s="26">
        <v>40</v>
      </c>
      <c r="AD6" s="27" t="s">
        <v>90</v>
      </c>
      <c r="AE6" s="19" t="s">
        <v>91</v>
      </c>
      <c r="AF6" s="28" t="s">
        <v>90</v>
      </c>
      <c r="AG6" s="16" t="s">
        <v>92</v>
      </c>
      <c r="AH6" s="16" t="s">
        <v>93</v>
      </c>
      <c r="AI6" s="16" t="s">
        <v>90</v>
      </c>
      <c r="AJ6" s="17">
        <f t="shared" ca="1" si="2"/>
        <v>45699</v>
      </c>
      <c r="AK6" s="17">
        <f t="shared" ca="1" si="2"/>
        <v>45699</v>
      </c>
      <c r="AL6" s="17">
        <f t="shared" ca="1" si="2"/>
        <v>45699</v>
      </c>
      <c r="AM6" s="22" t="str">
        <f t="shared" si="3"/>
        <v>N/A</v>
      </c>
      <c r="AN6" s="16" t="s">
        <v>117</v>
      </c>
      <c r="AO6" s="24" t="s">
        <v>139</v>
      </c>
      <c r="AP6" s="24" t="s">
        <v>94</v>
      </c>
      <c r="AQ6" s="24" t="s">
        <v>95</v>
      </c>
      <c r="AR6" s="19" t="s">
        <v>96</v>
      </c>
      <c r="AS6" s="13" t="s">
        <v>90</v>
      </c>
      <c r="AT6" s="13" t="s">
        <v>90</v>
      </c>
      <c r="AU6" s="17">
        <f t="shared" ca="1" si="4"/>
        <v>45737</v>
      </c>
      <c r="AV6" s="13" t="s">
        <v>74</v>
      </c>
      <c r="AW6" s="29" t="s">
        <v>97</v>
      </c>
      <c r="AX6" s="30">
        <v>2973000506954</v>
      </c>
      <c r="AY6" s="17" t="s">
        <v>98</v>
      </c>
      <c r="AZ6" s="17" t="s">
        <v>99</v>
      </c>
      <c r="BA6" s="13" t="s">
        <v>74</v>
      </c>
      <c r="BB6" s="29" t="s">
        <v>100</v>
      </c>
      <c r="BC6" s="31">
        <v>93300879</v>
      </c>
      <c r="BD6" s="17" t="s">
        <v>98</v>
      </c>
      <c r="BE6" s="17" t="s">
        <v>101</v>
      </c>
      <c r="BF6" s="19" t="s">
        <v>126</v>
      </c>
      <c r="BG6" s="17" t="s">
        <v>98</v>
      </c>
      <c r="BH6" s="13" t="s">
        <v>103</v>
      </c>
      <c r="BI6" s="13" t="s">
        <v>74</v>
      </c>
      <c r="BJ6" s="13" t="s">
        <v>104</v>
      </c>
      <c r="BK6" s="32" t="s">
        <v>90</v>
      </c>
      <c r="BL6" s="13" t="s">
        <v>105</v>
      </c>
      <c r="BM6" s="33" t="s">
        <v>106</v>
      </c>
      <c r="BN6" s="13" t="s">
        <v>107</v>
      </c>
      <c r="BO6" s="13" t="s">
        <v>74</v>
      </c>
      <c r="BP6" s="13" t="s">
        <v>108</v>
      </c>
      <c r="BQ6" s="34">
        <v>99734</v>
      </c>
      <c r="BR6" s="17">
        <v>44562</v>
      </c>
      <c r="BS6" s="17">
        <v>47119</v>
      </c>
      <c r="BT6" s="22">
        <v>44562</v>
      </c>
      <c r="BU6" s="22">
        <f t="shared" ca="1" si="5"/>
        <v>46095</v>
      </c>
      <c r="BV6" s="16" t="s">
        <v>109</v>
      </c>
    </row>
    <row r="7" spans="1:74" ht="15.65" customHeight="1" x14ac:dyDescent="0.35">
      <c r="A7" s="1" t="s">
        <v>140</v>
      </c>
      <c r="B7" s="1" t="s">
        <v>141</v>
      </c>
      <c r="C7" s="11" t="s">
        <v>72</v>
      </c>
      <c r="D7" s="12" t="s">
        <v>73</v>
      </c>
      <c r="E7" s="13" t="s">
        <v>74</v>
      </c>
      <c r="F7" s="14" t="s">
        <v>142</v>
      </c>
      <c r="G7" s="14" t="s">
        <v>143</v>
      </c>
      <c r="H7" s="15" t="s">
        <v>77</v>
      </c>
      <c r="I7" s="16" t="s">
        <v>78</v>
      </c>
      <c r="J7" s="16" t="s">
        <v>79</v>
      </c>
      <c r="K7" s="17">
        <f t="shared" ca="1" si="0"/>
        <v>45723</v>
      </c>
      <c r="L7" s="13" t="s">
        <v>74</v>
      </c>
      <c r="M7" s="18" t="s">
        <v>80</v>
      </c>
      <c r="N7" s="18" t="s">
        <v>81</v>
      </c>
      <c r="O7" s="19" t="s">
        <v>81</v>
      </c>
      <c r="P7" s="16">
        <v>1542</v>
      </c>
      <c r="Q7" s="16" t="s">
        <v>79</v>
      </c>
      <c r="R7" s="20" t="s">
        <v>82</v>
      </c>
      <c r="S7" s="21" t="s">
        <v>83</v>
      </c>
      <c r="T7" s="16" t="s">
        <v>79</v>
      </c>
      <c r="U7" s="22">
        <f t="shared" ca="1" si="1"/>
        <v>45699</v>
      </c>
      <c r="V7" s="16" t="s">
        <v>84</v>
      </c>
      <c r="W7" s="23" t="s">
        <v>144</v>
      </c>
      <c r="X7" s="24" t="s">
        <v>86</v>
      </c>
      <c r="Y7" s="24" t="s">
        <v>132</v>
      </c>
      <c r="Z7" s="24" t="s">
        <v>88</v>
      </c>
      <c r="AA7" s="25">
        <v>795</v>
      </c>
      <c r="AB7" s="25" t="s">
        <v>89</v>
      </c>
      <c r="AC7" s="26">
        <v>40</v>
      </c>
      <c r="AD7" s="27" t="s">
        <v>90</v>
      </c>
      <c r="AE7" s="19" t="s">
        <v>91</v>
      </c>
      <c r="AF7" s="28" t="s">
        <v>90</v>
      </c>
      <c r="AG7" s="16" t="s">
        <v>92</v>
      </c>
      <c r="AH7" s="16" t="s">
        <v>93</v>
      </c>
      <c r="AI7" s="16" t="s">
        <v>90</v>
      </c>
      <c r="AJ7" s="17">
        <f t="shared" ca="1" si="2"/>
        <v>45699</v>
      </c>
      <c r="AK7" s="17">
        <f t="shared" ca="1" si="2"/>
        <v>45699</v>
      </c>
      <c r="AL7" s="17">
        <f t="shared" ca="1" si="2"/>
        <v>45699</v>
      </c>
      <c r="AM7" s="22" t="str">
        <f t="shared" si="3"/>
        <v>N/A</v>
      </c>
      <c r="AN7" s="16">
        <v>92</v>
      </c>
      <c r="AO7" s="24">
        <v>251</v>
      </c>
      <c r="AP7" s="24" t="s">
        <v>94</v>
      </c>
      <c r="AQ7" s="24" t="s">
        <v>145</v>
      </c>
      <c r="AR7" s="19" t="s">
        <v>146</v>
      </c>
      <c r="AS7" s="13" t="s">
        <v>90</v>
      </c>
      <c r="AT7" s="13" t="s">
        <v>90</v>
      </c>
      <c r="AU7" s="17">
        <f t="shared" ca="1" si="4"/>
        <v>45737</v>
      </c>
      <c r="AV7" s="13" t="s">
        <v>74</v>
      </c>
      <c r="AW7" s="29" t="s">
        <v>97</v>
      </c>
      <c r="AX7" s="30">
        <v>2973000506955</v>
      </c>
      <c r="AY7" s="17" t="s">
        <v>98</v>
      </c>
      <c r="AZ7" s="17" t="s">
        <v>99</v>
      </c>
      <c r="BA7" s="13" t="s">
        <v>74</v>
      </c>
      <c r="BB7" s="29" t="s">
        <v>100</v>
      </c>
      <c r="BC7" s="31">
        <v>93300880</v>
      </c>
      <c r="BD7" s="17" t="s">
        <v>98</v>
      </c>
      <c r="BE7" s="17" t="s">
        <v>101</v>
      </c>
      <c r="BF7" s="19" t="s">
        <v>126</v>
      </c>
      <c r="BG7" s="17" t="s">
        <v>98</v>
      </c>
      <c r="BH7" s="13" t="s">
        <v>103</v>
      </c>
      <c r="BI7" s="13" t="s">
        <v>74</v>
      </c>
      <c r="BJ7" s="13" t="s">
        <v>104</v>
      </c>
      <c r="BK7" s="32" t="s">
        <v>90</v>
      </c>
      <c r="BL7" s="13" t="s">
        <v>105</v>
      </c>
      <c r="BM7" s="33" t="s">
        <v>106</v>
      </c>
      <c r="BN7" s="13" t="s">
        <v>107</v>
      </c>
      <c r="BO7" s="13" t="s">
        <v>74</v>
      </c>
      <c r="BP7" s="13" t="s">
        <v>108</v>
      </c>
      <c r="BQ7" s="34">
        <v>99735</v>
      </c>
      <c r="BR7" s="17">
        <v>44562</v>
      </c>
      <c r="BS7" s="17">
        <v>47119</v>
      </c>
      <c r="BT7" s="22">
        <v>44562</v>
      </c>
      <c r="BU7" s="22">
        <f t="shared" ca="1" si="5"/>
        <v>46095</v>
      </c>
      <c r="BV7" s="16" t="s">
        <v>109</v>
      </c>
    </row>
    <row r="8" spans="1:74" ht="15.65" customHeight="1" x14ac:dyDescent="0.35">
      <c r="A8" s="1" t="s">
        <v>147</v>
      </c>
      <c r="B8" s="1" t="s">
        <v>148</v>
      </c>
      <c r="C8" s="11" t="s">
        <v>72</v>
      </c>
      <c r="D8" s="12" t="s">
        <v>73</v>
      </c>
      <c r="E8" s="13" t="s">
        <v>74</v>
      </c>
      <c r="F8" s="14" t="s">
        <v>149</v>
      </c>
      <c r="G8" s="14" t="s">
        <v>150</v>
      </c>
      <c r="H8" s="15" t="s">
        <v>77</v>
      </c>
      <c r="I8" s="16" t="s">
        <v>78</v>
      </c>
      <c r="J8" s="16" t="s">
        <v>79</v>
      </c>
      <c r="K8" s="17">
        <f t="shared" ca="1" si="0"/>
        <v>45723</v>
      </c>
      <c r="L8" s="13" t="s">
        <v>74</v>
      </c>
      <c r="M8" s="18" t="s">
        <v>80</v>
      </c>
      <c r="N8" s="18" t="s">
        <v>81</v>
      </c>
      <c r="O8" s="19" t="s">
        <v>81</v>
      </c>
      <c r="P8" s="16">
        <v>1542</v>
      </c>
      <c r="Q8" s="16" t="s">
        <v>79</v>
      </c>
      <c r="R8" s="20" t="s">
        <v>82</v>
      </c>
      <c r="S8" s="21" t="s">
        <v>83</v>
      </c>
      <c r="T8" s="16" t="s">
        <v>79</v>
      </c>
      <c r="U8" s="22">
        <f t="shared" ca="1" si="1"/>
        <v>45699</v>
      </c>
      <c r="V8" s="16" t="s">
        <v>84</v>
      </c>
      <c r="W8" s="23" t="s">
        <v>151</v>
      </c>
      <c r="X8" s="24" t="s">
        <v>123</v>
      </c>
      <c r="Y8" s="24" t="s">
        <v>152</v>
      </c>
      <c r="Z8" s="24" t="s">
        <v>88</v>
      </c>
      <c r="AA8" s="25">
        <v>795</v>
      </c>
      <c r="AB8" s="25" t="s">
        <v>89</v>
      </c>
      <c r="AC8" s="26">
        <v>40</v>
      </c>
      <c r="AD8" s="27" t="s">
        <v>90</v>
      </c>
      <c r="AE8" s="19" t="s">
        <v>91</v>
      </c>
      <c r="AF8" s="35">
        <f ca="1">TODAY()+365</f>
        <v>46095</v>
      </c>
      <c r="AG8" s="16" t="s">
        <v>92</v>
      </c>
      <c r="AH8" s="16" t="s">
        <v>93</v>
      </c>
      <c r="AI8" s="16" t="s">
        <v>90</v>
      </c>
      <c r="AJ8" s="17">
        <f t="shared" ca="1" si="2"/>
        <v>45699</v>
      </c>
      <c r="AK8" s="17">
        <f t="shared" ca="1" si="2"/>
        <v>45699</v>
      </c>
      <c r="AL8" s="17">
        <f t="shared" ca="1" si="2"/>
        <v>45699</v>
      </c>
      <c r="AM8" s="22">
        <f t="shared" ca="1" si="3"/>
        <v>46095</v>
      </c>
      <c r="AN8" s="16">
        <v>92</v>
      </c>
      <c r="AO8" s="24">
        <v>251</v>
      </c>
      <c r="AP8" s="24" t="s">
        <v>94</v>
      </c>
      <c r="AQ8" s="24" t="s">
        <v>145</v>
      </c>
      <c r="AR8" s="19" t="s">
        <v>146</v>
      </c>
      <c r="AS8" s="13" t="s">
        <v>90</v>
      </c>
      <c r="AT8" s="13" t="s">
        <v>90</v>
      </c>
      <c r="AU8" s="17">
        <f t="shared" ca="1" si="4"/>
        <v>45737</v>
      </c>
      <c r="AV8" s="13" t="s">
        <v>74</v>
      </c>
      <c r="AW8" s="29" t="s">
        <v>97</v>
      </c>
      <c r="AX8" s="30">
        <v>2973000506956</v>
      </c>
      <c r="AY8" s="17" t="s">
        <v>98</v>
      </c>
      <c r="AZ8" s="17" t="s">
        <v>99</v>
      </c>
      <c r="BA8" s="13" t="s">
        <v>74</v>
      </c>
      <c r="BB8" s="29" t="s">
        <v>100</v>
      </c>
      <c r="BC8" s="31">
        <v>93300881</v>
      </c>
      <c r="BD8" s="17" t="s">
        <v>98</v>
      </c>
      <c r="BE8" s="17" t="s">
        <v>101</v>
      </c>
      <c r="BF8" s="19" t="s">
        <v>126</v>
      </c>
      <c r="BG8" s="17" t="s">
        <v>98</v>
      </c>
      <c r="BH8" s="13" t="s">
        <v>103</v>
      </c>
      <c r="BI8" s="13" t="s">
        <v>74</v>
      </c>
      <c r="BJ8" s="13" t="s">
        <v>104</v>
      </c>
      <c r="BK8" s="32" t="s">
        <v>90</v>
      </c>
      <c r="BL8" s="13" t="s">
        <v>105</v>
      </c>
      <c r="BM8" s="33" t="s">
        <v>106</v>
      </c>
      <c r="BN8" s="13" t="s">
        <v>107</v>
      </c>
      <c r="BO8" s="13" t="s">
        <v>74</v>
      </c>
      <c r="BP8" s="13" t="s">
        <v>108</v>
      </c>
      <c r="BQ8" s="34">
        <v>99736</v>
      </c>
      <c r="BR8" s="17">
        <v>44562</v>
      </c>
      <c r="BS8" s="17">
        <v>47119</v>
      </c>
      <c r="BT8" s="22">
        <v>44562</v>
      </c>
      <c r="BU8" s="22">
        <f t="shared" ca="1" si="5"/>
        <v>46095</v>
      </c>
      <c r="BV8" s="16" t="s">
        <v>109</v>
      </c>
    </row>
    <row r="9" spans="1:74" ht="15.65" customHeight="1" x14ac:dyDescent="0.35">
      <c r="A9" s="1" t="s">
        <v>153</v>
      </c>
      <c r="B9" s="1" t="s">
        <v>154</v>
      </c>
      <c r="C9" s="11" t="s">
        <v>72</v>
      </c>
      <c r="D9" s="12" t="s">
        <v>73</v>
      </c>
      <c r="E9" s="13" t="s">
        <v>74</v>
      </c>
      <c r="F9" s="14" t="s">
        <v>155</v>
      </c>
      <c r="G9" s="14" t="s">
        <v>156</v>
      </c>
      <c r="H9" s="15" t="s">
        <v>77</v>
      </c>
      <c r="I9" s="16" t="s">
        <v>78</v>
      </c>
      <c r="J9" s="16" t="s">
        <v>79</v>
      </c>
      <c r="K9" s="17">
        <f t="shared" ca="1" si="0"/>
        <v>45723</v>
      </c>
      <c r="L9" s="13" t="s">
        <v>74</v>
      </c>
      <c r="M9" s="18" t="s">
        <v>80</v>
      </c>
      <c r="N9" s="18" t="s">
        <v>81</v>
      </c>
      <c r="O9" s="19" t="s">
        <v>81</v>
      </c>
      <c r="P9" s="16">
        <v>1542</v>
      </c>
      <c r="Q9" s="16" t="s">
        <v>79</v>
      </c>
      <c r="R9" s="20" t="s">
        <v>82</v>
      </c>
      <c r="S9" s="21" t="s">
        <v>83</v>
      </c>
      <c r="T9" s="16" t="s">
        <v>79</v>
      </c>
      <c r="U9" s="22">
        <f t="shared" ca="1" si="1"/>
        <v>45699</v>
      </c>
      <c r="V9" s="16" t="s">
        <v>84</v>
      </c>
      <c r="W9" s="23" t="s">
        <v>157</v>
      </c>
      <c r="X9" s="24" t="s">
        <v>86</v>
      </c>
      <c r="Y9" s="24" t="s">
        <v>158</v>
      </c>
      <c r="Z9" s="24" t="s">
        <v>124</v>
      </c>
      <c r="AA9" s="25">
        <v>795</v>
      </c>
      <c r="AB9" s="25" t="s">
        <v>89</v>
      </c>
      <c r="AC9" s="26">
        <v>20</v>
      </c>
      <c r="AD9" s="27" t="s">
        <v>90</v>
      </c>
      <c r="AE9" s="19" t="s">
        <v>91</v>
      </c>
      <c r="AF9" s="28" t="s">
        <v>90</v>
      </c>
      <c r="AG9" s="16" t="s">
        <v>92</v>
      </c>
      <c r="AH9" s="16" t="s">
        <v>93</v>
      </c>
      <c r="AI9" s="16" t="s">
        <v>90</v>
      </c>
      <c r="AJ9" s="17">
        <f t="shared" ca="1" si="2"/>
        <v>45699</v>
      </c>
      <c r="AK9" s="17">
        <f t="shared" ca="1" si="2"/>
        <v>45699</v>
      </c>
      <c r="AL9" s="17">
        <f t="shared" ca="1" si="2"/>
        <v>45699</v>
      </c>
      <c r="AM9" s="22" t="str">
        <f t="shared" si="3"/>
        <v>N/A</v>
      </c>
      <c r="AN9" s="16">
        <v>92</v>
      </c>
      <c r="AO9" s="24">
        <v>251</v>
      </c>
      <c r="AP9" s="24" t="s">
        <v>94</v>
      </c>
      <c r="AQ9" s="24" t="s">
        <v>145</v>
      </c>
      <c r="AR9" s="19" t="s">
        <v>146</v>
      </c>
      <c r="AS9" s="13" t="s">
        <v>90</v>
      </c>
      <c r="AT9" s="13" t="s">
        <v>90</v>
      </c>
      <c r="AU9" s="17">
        <f t="shared" ca="1" si="4"/>
        <v>45737</v>
      </c>
      <c r="AV9" s="13" t="s">
        <v>74</v>
      </c>
      <c r="AW9" s="29" t="s">
        <v>97</v>
      </c>
      <c r="AX9" s="30">
        <v>2973000506957</v>
      </c>
      <c r="AY9" s="17" t="s">
        <v>98</v>
      </c>
      <c r="AZ9" s="17" t="s">
        <v>99</v>
      </c>
      <c r="BA9" s="13" t="s">
        <v>74</v>
      </c>
      <c r="BB9" s="29" t="s">
        <v>100</v>
      </c>
      <c r="BC9" s="31">
        <v>93300882</v>
      </c>
      <c r="BD9" s="17" t="s">
        <v>98</v>
      </c>
      <c r="BE9" s="17" t="s">
        <v>101</v>
      </c>
      <c r="BF9" s="19" t="s">
        <v>126</v>
      </c>
      <c r="BG9" s="17" t="s">
        <v>98</v>
      </c>
      <c r="BH9" s="13" t="s">
        <v>103</v>
      </c>
      <c r="BI9" s="13" t="s">
        <v>74</v>
      </c>
      <c r="BJ9" s="13" t="s">
        <v>104</v>
      </c>
      <c r="BK9" s="32" t="s">
        <v>90</v>
      </c>
      <c r="BL9" s="13" t="s">
        <v>105</v>
      </c>
      <c r="BM9" s="33" t="s">
        <v>106</v>
      </c>
      <c r="BN9" s="13" t="s">
        <v>107</v>
      </c>
      <c r="BO9" s="13" t="s">
        <v>74</v>
      </c>
      <c r="BP9" s="13" t="s">
        <v>108</v>
      </c>
      <c r="BQ9" s="34">
        <v>99737</v>
      </c>
      <c r="BR9" s="17">
        <v>44562</v>
      </c>
      <c r="BS9" s="17">
        <v>47119</v>
      </c>
      <c r="BT9" s="22">
        <v>44562</v>
      </c>
      <c r="BU9" s="22">
        <f t="shared" ca="1" si="5"/>
        <v>46095</v>
      </c>
      <c r="BV9" s="16" t="s">
        <v>109</v>
      </c>
    </row>
    <row r="10" spans="1:74" ht="15.65" customHeight="1" x14ac:dyDescent="0.35">
      <c r="A10" s="1" t="s">
        <v>159</v>
      </c>
      <c r="C10" s="11"/>
      <c r="D10" s="12" t="s">
        <v>73</v>
      </c>
      <c r="E10" s="13" t="s">
        <v>74</v>
      </c>
      <c r="F10" s="14"/>
      <c r="G10" s="14"/>
      <c r="H10" s="15" t="s">
        <v>77</v>
      </c>
      <c r="I10" s="16" t="s">
        <v>78</v>
      </c>
      <c r="J10" s="16" t="s">
        <v>79</v>
      </c>
      <c r="K10" s="17">
        <f t="shared" ca="1" si="0"/>
        <v>45723</v>
      </c>
      <c r="L10" s="13" t="s">
        <v>74</v>
      </c>
      <c r="M10" s="18" t="s">
        <v>80</v>
      </c>
      <c r="N10" s="18" t="s">
        <v>81</v>
      </c>
      <c r="O10" s="19" t="s">
        <v>81</v>
      </c>
      <c r="P10" s="16">
        <v>1542</v>
      </c>
      <c r="Q10" s="16" t="s">
        <v>79</v>
      </c>
      <c r="R10" s="20" t="s">
        <v>82</v>
      </c>
      <c r="S10" s="21" t="s">
        <v>83</v>
      </c>
      <c r="T10" s="16" t="s">
        <v>79</v>
      </c>
      <c r="U10" s="22">
        <f t="shared" ca="1" si="1"/>
        <v>45699</v>
      </c>
      <c r="V10" s="16" t="s">
        <v>84</v>
      </c>
      <c r="W10" s="23" t="s">
        <v>160</v>
      </c>
      <c r="X10" s="24" t="s">
        <v>86</v>
      </c>
      <c r="Y10" s="24" t="s">
        <v>161</v>
      </c>
      <c r="Z10" s="24" t="s">
        <v>88</v>
      </c>
      <c r="AA10" s="25">
        <v>795</v>
      </c>
      <c r="AB10" s="25" t="s">
        <v>89</v>
      </c>
      <c r="AC10" s="26">
        <v>40</v>
      </c>
      <c r="AD10" s="27" t="s">
        <v>90</v>
      </c>
      <c r="AE10" s="19" t="s">
        <v>91</v>
      </c>
      <c r="AF10" s="28" t="s">
        <v>90</v>
      </c>
      <c r="AG10" s="16" t="s">
        <v>92</v>
      </c>
      <c r="AH10" s="16" t="s">
        <v>93</v>
      </c>
      <c r="AI10" s="16" t="s">
        <v>90</v>
      </c>
      <c r="AJ10" s="17">
        <f t="shared" ca="1" si="2"/>
        <v>45699</v>
      </c>
      <c r="AK10" s="17">
        <f t="shared" ca="1" si="2"/>
        <v>45699</v>
      </c>
      <c r="AL10" s="17">
        <f t="shared" ca="1" si="2"/>
        <v>45699</v>
      </c>
      <c r="AM10" s="22" t="str">
        <f t="shared" si="3"/>
        <v>N/A</v>
      </c>
      <c r="AN10" s="16">
        <v>92</v>
      </c>
      <c r="AO10" s="24">
        <v>251</v>
      </c>
      <c r="AP10" s="24" t="s">
        <v>94</v>
      </c>
      <c r="AQ10" s="24" t="s">
        <v>145</v>
      </c>
      <c r="AR10" s="19" t="s">
        <v>146</v>
      </c>
      <c r="AS10" s="13" t="s">
        <v>90</v>
      </c>
      <c r="AT10" s="13" t="s">
        <v>90</v>
      </c>
      <c r="AU10" s="17">
        <f t="shared" ca="1" si="4"/>
        <v>45737</v>
      </c>
      <c r="AV10" s="13" t="s">
        <v>74</v>
      </c>
      <c r="AW10" s="29" t="s">
        <v>97</v>
      </c>
      <c r="AX10" s="30">
        <v>2973000506958</v>
      </c>
      <c r="AY10" s="17" t="s">
        <v>98</v>
      </c>
      <c r="AZ10" s="17" t="s">
        <v>99</v>
      </c>
      <c r="BA10" s="13" t="s">
        <v>74</v>
      </c>
      <c r="BB10" s="29" t="s">
        <v>100</v>
      </c>
      <c r="BC10" s="31">
        <v>93300883</v>
      </c>
      <c r="BD10" s="17" t="s">
        <v>98</v>
      </c>
      <c r="BE10" s="17" t="s">
        <v>101</v>
      </c>
      <c r="BF10" s="19" t="s">
        <v>126</v>
      </c>
      <c r="BG10" s="17" t="s">
        <v>98</v>
      </c>
      <c r="BH10" s="13" t="s">
        <v>103</v>
      </c>
      <c r="BI10" s="13" t="s">
        <v>74</v>
      </c>
      <c r="BJ10" s="13" t="s">
        <v>104</v>
      </c>
      <c r="BK10" s="32" t="s">
        <v>90</v>
      </c>
      <c r="BL10" s="13" t="s">
        <v>105</v>
      </c>
      <c r="BM10" s="33" t="s">
        <v>106</v>
      </c>
      <c r="BN10" s="13" t="s">
        <v>107</v>
      </c>
      <c r="BO10" s="13" t="s">
        <v>74</v>
      </c>
      <c r="BP10" s="13" t="s">
        <v>108</v>
      </c>
      <c r="BQ10" s="34">
        <v>99738</v>
      </c>
      <c r="BR10" s="17">
        <v>44562</v>
      </c>
      <c r="BS10" s="17">
        <v>47119</v>
      </c>
      <c r="BT10" s="22">
        <v>44562</v>
      </c>
      <c r="BU10" s="22">
        <f t="shared" ca="1" si="5"/>
        <v>46095</v>
      </c>
      <c r="BV10" s="16" t="s">
        <v>109</v>
      </c>
    </row>
    <row r="11" spans="1:74" ht="15.65" customHeight="1" x14ac:dyDescent="0.25">
      <c r="A11" s="1" t="s">
        <v>162</v>
      </c>
      <c r="C11" s="11"/>
      <c r="D11" s="12" t="s">
        <v>112</v>
      </c>
      <c r="E11" s="13" t="s">
        <v>74</v>
      </c>
      <c r="F11" s="14"/>
      <c r="G11" s="14"/>
      <c r="H11" s="15" t="s">
        <v>77</v>
      </c>
      <c r="I11" s="16" t="s">
        <v>78</v>
      </c>
      <c r="J11" s="16" t="s">
        <v>79</v>
      </c>
      <c r="K11" s="17">
        <f t="shared" ca="1" si="0"/>
        <v>45723</v>
      </c>
      <c r="L11" s="13" t="s">
        <v>74</v>
      </c>
      <c r="M11" s="18" t="s">
        <v>80</v>
      </c>
      <c r="N11" s="18" t="s">
        <v>81</v>
      </c>
      <c r="O11" s="19" t="s">
        <v>81</v>
      </c>
      <c r="P11" s="16">
        <v>1542</v>
      </c>
      <c r="Q11" s="16" t="s">
        <v>79</v>
      </c>
      <c r="R11" s="20" t="s">
        <v>82</v>
      </c>
      <c r="S11" s="21" t="s">
        <v>83</v>
      </c>
      <c r="T11" s="16" t="s">
        <v>79</v>
      </c>
      <c r="U11" s="22">
        <f t="shared" ca="1" si="1"/>
        <v>45699</v>
      </c>
      <c r="V11" s="16" t="s">
        <v>84</v>
      </c>
      <c r="W11" s="23" t="s">
        <v>115</v>
      </c>
      <c r="X11" s="24" t="s">
        <v>86</v>
      </c>
      <c r="Y11" s="24" t="s">
        <v>163</v>
      </c>
      <c r="Z11" s="24" t="s">
        <v>88</v>
      </c>
      <c r="AA11" s="25">
        <v>795</v>
      </c>
      <c r="AB11" s="25" t="s">
        <v>89</v>
      </c>
      <c r="AC11" s="26">
        <v>40</v>
      </c>
      <c r="AD11" s="27" t="s">
        <v>90</v>
      </c>
      <c r="AE11" s="19" t="s">
        <v>91</v>
      </c>
      <c r="AF11" s="28" t="s">
        <v>90</v>
      </c>
      <c r="AG11" s="16" t="s">
        <v>92</v>
      </c>
      <c r="AH11" s="16" t="s">
        <v>93</v>
      </c>
      <c r="AI11" s="16" t="s">
        <v>90</v>
      </c>
      <c r="AJ11" s="17">
        <f t="shared" ca="1" si="2"/>
        <v>45699</v>
      </c>
      <c r="AK11" s="17">
        <f t="shared" ca="1" si="2"/>
        <v>45699</v>
      </c>
      <c r="AL11" s="17">
        <f t="shared" ca="1" si="2"/>
        <v>45699</v>
      </c>
      <c r="AM11" s="22" t="str">
        <f t="shared" si="3"/>
        <v>N/A</v>
      </c>
      <c r="AN11" s="16" t="s">
        <v>117</v>
      </c>
      <c r="AO11" s="24" t="s">
        <v>164</v>
      </c>
      <c r="AP11" s="24" t="s">
        <v>94</v>
      </c>
      <c r="AQ11" s="24" t="s">
        <v>165</v>
      </c>
      <c r="AR11" s="19" t="s">
        <v>96</v>
      </c>
      <c r="AS11" s="13" t="s">
        <v>90</v>
      </c>
      <c r="AT11" s="13" t="s">
        <v>90</v>
      </c>
      <c r="AU11" s="17">
        <f t="shared" ca="1" si="4"/>
        <v>45737</v>
      </c>
      <c r="AV11" s="13" t="s">
        <v>74</v>
      </c>
      <c r="AW11" s="29" t="s">
        <v>97</v>
      </c>
      <c r="AX11" s="30">
        <v>2973000506959</v>
      </c>
      <c r="AY11" s="17" t="s">
        <v>98</v>
      </c>
      <c r="AZ11" s="17" t="s">
        <v>99</v>
      </c>
      <c r="BA11" s="13" t="s">
        <v>74</v>
      </c>
      <c r="BB11" s="29" t="s">
        <v>100</v>
      </c>
      <c r="BC11" s="31">
        <v>93300884</v>
      </c>
      <c r="BD11" s="17" t="s">
        <v>98</v>
      </c>
      <c r="BE11" s="17" t="s">
        <v>101</v>
      </c>
      <c r="BF11" s="19" t="s">
        <v>126</v>
      </c>
      <c r="BG11" s="17" t="s">
        <v>98</v>
      </c>
      <c r="BH11" s="13" t="s">
        <v>103</v>
      </c>
      <c r="BI11" s="13" t="s">
        <v>74</v>
      </c>
      <c r="BJ11" s="13" t="s">
        <v>104</v>
      </c>
      <c r="BK11" s="32" t="s">
        <v>90</v>
      </c>
      <c r="BL11" s="13" t="s">
        <v>105</v>
      </c>
      <c r="BM11" s="33" t="s">
        <v>106</v>
      </c>
      <c r="BN11" s="13" t="s">
        <v>107</v>
      </c>
      <c r="BO11" s="13" t="s">
        <v>74</v>
      </c>
      <c r="BP11" s="13" t="s">
        <v>108</v>
      </c>
      <c r="BQ11" s="34">
        <v>99739</v>
      </c>
      <c r="BR11" s="17">
        <v>44562</v>
      </c>
      <c r="BS11" s="17">
        <v>47119</v>
      </c>
      <c r="BT11" s="22">
        <v>44562</v>
      </c>
      <c r="BU11" s="22">
        <f t="shared" ca="1" si="5"/>
        <v>46095</v>
      </c>
      <c r="BV11" s="16" t="s">
        <v>109</v>
      </c>
    </row>
    <row r="12" spans="1:74" ht="15.65" customHeight="1" x14ac:dyDescent="0.25">
      <c r="A12" s="1" t="s">
        <v>166</v>
      </c>
      <c r="C12" s="11"/>
      <c r="D12" s="12" t="s">
        <v>112</v>
      </c>
      <c r="E12" s="13" t="s">
        <v>74</v>
      </c>
      <c r="F12" s="14"/>
      <c r="G12" s="14"/>
      <c r="H12" s="15" t="s">
        <v>77</v>
      </c>
      <c r="I12" s="16" t="s">
        <v>78</v>
      </c>
      <c r="J12" s="16" t="s">
        <v>79</v>
      </c>
      <c r="K12" s="17">
        <f t="shared" ca="1" si="0"/>
        <v>45723</v>
      </c>
      <c r="L12" s="13" t="s">
        <v>74</v>
      </c>
      <c r="M12" s="18" t="s">
        <v>80</v>
      </c>
      <c r="N12" s="18" t="s">
        <v>81</v>
      </c>
      <c r="O12" s="19" t="s">
        <v>81</v>
      </c>
      <c r="P12" s="16">
        <v>1542</v>
      </c>
      <c r="Q12" s="16" t="s">
        <v>79</v>
      </c>
      <c r="R12" s="20" t="s">
        <v>82</v>
      </c>
      <c r="S12" s="21" t="s">
        <v>83</v>
      </c>
      <c r="T12" s="16" t="s">
        <v>79</v>
      </c>
      <c r="U12" s="22">
        <f t="shared" ca="1" si="1"/>
        <v>45699</v>
      </c>
      <c r="V12" s="16" t="s">
        <v>84</v>
      </c>
      <c r="W12" s="23" t="s">
        <v>115</v>
      </c>
      <c r="X12" s="24" t="s">
        <v>86</v>
      </c>
      <c r="Y12" s="24" t="s">
        <v>167</v>
      </c>
      <c r="Z12" s="24" t="s">
        <v>124</v>
      </c>
      <c r="AA12" s="25">
        <v>795</v>
      </c>
      <c r="AB12" s="25" t="s">
        <v>89</v>
      </c>
      <c r="AC12" s="26">
        <v>30</v>
      </c>
      <c r="AD12" s="27" t="s">
        <v>90</v>
      </c>
      <c r="AE12" s="19" t="s">
        <v>91</v>
      </c>
      <c r="AF12" s="28" t="s">
        <v>90</v>
      </c>
      <c r="AG12" s="16" t="s">
        <v>92</v>
      </c>
      <c r="AH12" s="16" t="s">
        <v>93</v>
      </c>
      <c r="AI12" s="16" t="s">
        <v>90</v>
      </c>
      <c r="AJ12" s="17">
        <f t="shared" ca="1" si="2"/>
        <v>45699</v>
      </c>
      <c r="AK12" s="17">
        <f t="shared" ca="1" si="2"/>
        <v>45699</v>
      </c>
      <c r="AL12" s="17">
        <f t="shared" ca="1" si="2"/>
        <v>45699</v>
      </c>
      <c r="AM12" s="22" t="str">
        <f t="shared" si="3"/>
        <v>N/A</v>
      </c>
      <c r="AN12" s="16" t="s">
        <v>117</v>
      </c>
      <c r="AO12" s="24" t="s">
        <v>168</v>
      </c>
      <c r="AP12" s="24" t="s">
        <v>94</v>
      </c>
      <c r="AQ12" s="24" t="s">
        <v>165</v>
      </c>
      <c r="AR12" s="19" t="s">
        <v>96</v>
      </c>
      <c r="AS12" s="13" t="s">
        <v>90</v>
      </c>
      <c r="AT12" s="13" t="s">
        <v>90</v>
      </c>
      <c r="AU12" s="17">
        <f t="shared" ca="1" si="4"/>
        <v>45737</v>
      </c>
      <c r="AV12" s="13" t="s">
        <v>74</v>
      </c>
      <c r="AW12" s="29" t="s">
        <v>97</v>
      </c>
      <c r="AX12" s="30">
        <v>2973000506960</v>
      </c>
      <c r="AY12" s="17" t="s">
        <v>98</v>
      </c>
      <c r="AZ12" s="17" t="s">
        <v>99</v>
      </c>
      <c r="BA12" s="13" t="s">
        <v>74</v>
      </c>
      <c r="BB12" s="29" t="s">
        <v>100</v>
      </c>
      <c r="BC12" s="31">
        <v>93300885</v>
      </c>
      <c r="BD12" s="17" t="s">
        <v>98</v>
      </c>
      <c r="BE12" s="17" t="s">
        <v>101</v>
      </c>
      <c r="BF12" s="19" t="s">
        <v>126</v>
      </c>
      <c r="BG12" s="17" t="s">
        <v>98</v>
      </c>
      <c r="BH12" s="13" t="s">
        <v>103</v>
      </c>
      <c r="BI12" s="13" t="s">
        <v>74</v>
      </c>
      <c r="BJ12" s="13" t="s">
        <v>104</v>
      </c>
      <c r="BK12" s="32" t="s">
        <v>90</v>
      </c>
      <c r="BL12" s="13" t="s">
        <v>105</v>
      </c>
      <c r="BM12" s="33" t="s">
        <v>106</v>
      </c>
      <c r="BN12" s="13" t="s">
        <v>107</v>
      </c>
      <c r="BO12" s="13" t="s">
        <v>74</v>
      </c>
      <c r="BP12" s="13" t="s">
        <v>108</v>
      </c>
      <c r="BQ12" s="34">
        <v>99740</v>
      </c>
      <c r="BR12" s="17">
        <v>44562</v>
      </c>
      <c r="BS12" s="17">
        <v>47119</v>
      </c>
      <c r="BT12" s="22">
        <v>44562</v>
      </c>
      <c r="BU12" s="22">
        <f t="shared" ca="1" si="5"/>
        <v>46095</v>
      </c>
      <c r="BV12" s="16" t="s">
        <v>109</v>
      </c>
    </row>
    <row r="13" spans="1:74" ht="15.65" customHeight="1" x14ac:dyDescent="0.25">
      <c r="A13" s="1" t="s">
        <v>169</v>
      </c>
      <c r="C13" s="11"/>
      <c r="D13" s="12" t="s">
        <v>112</v>
      </c>
      <c r="E13" s="13" t="s">
        <v>74</v>
      </c>
      <c r="F13" s="14"/>
      <c r="G13" s="14"/>
      <c r="H13" s="15" t="s">
        <v>77</v>
      </c>
      <c r="I13" s="16" t="s">
        <v>78</v>
      </c>
      <c r="J13" s="16" t="s">
        <v>79</v>
      </c>
      <c r="K13" s="17">
        <f t="shared" ca="1" si="0"/>
        <v>45723</v>
      </c>
      <c r="L13" s="13" t="s">
        <v>74</v>
      </c>
      <c r="M13" s="18" t="s">
        <v>80</v>
      </c>
      <c r="N13" s="18" t="s">
        <v>81</v>
      </c>
      <c r="O13" s="19" t="s">
        <v>81</v>
      </c>
      <c r="P13" s="16">
        <v>1542</v>
      </c>
      <c r="Q13" s="16" t="s">
        <v>79</v>
      </c>
      <c r="R13" s="20" t="s">
        <v>82</v>
      </c>
      <c r="S13" s="21" t="s">
        <v>83</v>
      </c>
      <c r="T13" s="16" t="s">
        <v>79</v>
      </c>
      <c r="U13" s="22">
        <f t="shared" ca="1" si="1"/>
        <v>45699</v>
      </c>
      <c r="V13" s="16" t="s">
        <v>84</v>
      </c>
      <c r="W13" s="23" t="s">
        <v>115</v>
      </c>
      <c r="X13" s="24" t="s">
        <v>123</v>
      </c>
      <c r="Y13" s="24" t="s">
        <v>170</v>
      </c>
      <c r="Z13" s="24" t="s">
        <v>124</v>
      </c>
      <c r="AA13" s="25">
        <v>795</v>
      </c>
      <c r="AB13" s="25" t="s">
        <v>89</v>
      </c>
      <c r="AC13" s="26">
        <v>25</v>
      </c>
      <c r="AD13" s="27" t="s">
        <v>90</v>
      </c>
      <c r="AE13" s="19" t="s">
        <v>91</v>
      </c>
      <c r="AF13" s="35">
        <f ca="1">TODAY()+365</f>
        <v>46095</v>
      </c>
      <c r="AG13" s="16" t="s">
        <v>92</v>
      </c>
      <c r="AH13" s="16" t="s">
        <v>93</v>
      </c>
      <c r="AI13" s="16" t="s">
        <v>90</v>
      </c>
      <c r="AJ13" s="17">
        <f t="shared" ca="1" si="2"/>
        <v>45699</v>
      </c>
      <c r="AK13" s="17">
        <f t="shared" ca="1" si="2"/>
        <v>45699</v>
      </c>
      <c r="AL13" s="17">
        <f t="shared" ca="1" si="2"/>
        <v>45699</v>
      </c>
      <c r="AM13" s="22">
        <f t="shared" ca="1" si="3"/>
        <v>46095</v>
      </c>
      <c r="AN13" s="16" t="s">
        <v>117</v>
      </c>
      <c r="AO13" s="24" t="s">
        <v>171</v>
      </c>
      <c r="AP13" s="24" t="s">
        <v>94</v>
      </c>
      <c r="AQ13" s="24" t="s">
        <v>95</v>
      </c>
      <c r="AR13" s="19" t="s">
        <v>96</v>
      </c>
      <c r="AS13" s="13" t="s">
        <v>90</v>
      </c>
      <c r="AT13" s="13" t="s">
        <v>90</v>
      </c>
      <c r="AU13" s="17">
        <f t="shared" ca="1" si="4"/>
        <v>45737</v>
      </c>
      <c r="AV13" s="13" t="s">
        <v>74</v>
      </c>
      <c r="AW13" s="29" t="s">
        <v>97</v>
      </c>
      <c r="AX13" s="30">
        <v>2973000506961</v>
      </c>
      <c r="AY13" s="17" t="s">
        <v>98</v>
      </c>
      <c r="AZ13" s="17" t="s">
        <v>99</v>
      </c>
      <c r="BA13" s="13" t="s">
        <v>74</v>
      </c>
      <c r="BB13" s="29" t="s">
        <v>100</v>
      </c>
      <c r="BC13" s="31">
        <v>93300886</v>
      </c>
      <c r="BD13" s="17" t="s">
        <v>98</v>
      </c>
      <c r="BE13" s="17" t="s">
        <v>101</v>
      </c>
      <c r="BF13" s="19" t="s">
        <v>126</v>
      </c>
      <c r="BG13" s="17" t="s">
        <v>98</v>
      </c>
      <c r="BH13" s="13" t="s">
        <v>103</v>
      </c>
      <c r="BI13" s="13" t="s">
        <v>74</v>
      </c>
      <c r="BJ13" s="13" t="s">
        <v>104</v>
      </c>
      <c r="BK13" s="32" t="s">
        <v>90</v>
      </c>
      <c r="BL13" s="13" t="s">
        <v>105</v>
      </c>
      <c r="BM13" s="33" t="s">
        <v>106</v>
      </c>
      <c r="BN13" s="13" t="s">
        <v>107</v>
      </c>
      <c r="BO13" s="13" t="s">
        <v>74</v>
      </c>
      <c r="BP13" s="13" t="s">
        <v>108</v>
      </c>
      <c r="BQ13" s="34">
        <v>99741</v>
      </c>
      <c r="BR13" s="17">
        <v>44562</v>
      </c>
      <c r="BS13" s="17">
        <v>47119</v>
      </c>
      <c r="BT13" s="22">
        <v>44562</v>
      </c>
      <c r="BU13" s="22">
        <f t="shared" ca="1" si="5"/>
        <v>46095</v>
      </c>
      <c r="BV13" s="16" t="s">
        <v>109</v>
      </c>
    </row>
    <row r="14" spans="1:74" ht="15.65" customHeight="1" x14ac:dyDescent="0.25">
      <c r="A14" s="1" t="s">
        <v>172</v>
      </c>
      <c r="C14" s="11"/>
      <c r="D14" s="12" t="s">
        <v>112</v>
      </c>
      <c r="E14" s="13" t="s">
        <v>74</v>
      </c>
      <c r="F14" s="14"/>
      <c r="G14" s="14"/>
      <c r="H14" s="15" t="s">
        <v>77</v>
      </c>
      <c r="I14" s="16" t="s">
        <v>78</v>
      </c>
      <c r="J14" s="16" t="s">
        <v>79</v>
      </c>
      <c r="K14" s="17">
        <f t="shared" ca="1" si="0"/>
        <v>45723</v>
      </c>
      <c r="L14" s="13" t="s">
        <v>74</v>
      </c>
      <c r="M14" s="18" t="s">
        <v>80</v>
      </c>
      <c r="N14" s="18" t="s">
        <v>81</v>
      </c>
      <c r="O14" s="19" t="s">
        <v>81</v>
      </c>
      <c r="P14" s="16">
        <v>1542</v>
      </c>
      <c r="Q14" s="16" t="s">
        <v>79</v>
      </c>
      <c r="R14" s="20" t="s">
        <v>82</v>
      </c>
      <c r="S14" s="21" t="s">
        <v>83</v>
      </c>
      <c r="T14" s="16" t="s">
        <v>79</v>
      </c>
      <c r="U14" s="22">
        <f t="shared" ca="1" si="1"/>
        <v>45699</v>
      </c>
      <c r="V14" s="16" t="s">
        <v>84</v>
      </c>
      <c r="W14" s="23" t="s">
        <v>115</v>
      </c>
      <c r="X14" s="24" t="s">
        <v>123</v>
      </c>
      <c r="Y14" s="24" t="s">
        <v>173</v>
      </c>
      <c r="Z14" s="24" t="s">
        <v>88</v>
      </c>
      <c r="AA14" s="25">
        <v>795</v>
      </c>
      <c r="AB14" s="25" t="s">
        <v>89</v>
      </c>
      <c r="AC14" s="26">
        <v>40</v>
      </c>
      <c r="AD14" s="27" t="s">
        <v>90</v>
      </c>
      <c r="AE14" s="19" t="s">
        <v>91</v>
      </c>
      <c r="AF14" s="35">
        <f ca="1">TODAY()+365</f>
        <v>46095</v>
      </c>
      <c r="AG14" s="16" t="s">
        <v>92</v>
      </c>
      <c r="AH14" s="16" t="s">
        <v>93</v>
      </c>
      <c r="AI14" s="16" t="s">
        <v>90</v>
      </c>
      <c r="AJ14" s="17">
        <f t="shared" ca="1" si="2"/>
        <v>45699</v>
      </c>
      <c r="AK14" s="17">
        <f t="shared" ca="1" si="2"/>
        <v>45699</v>
      </c>
      <c r="AL14" s="17">
        <f t="shared" ca="1" si="2"/>
        <v>45699</v>
      </c>
      <c r="AM14" s="22">
        <f t="shared" ca="1" si="3"/>
        <v>46095</v>
      </c>
      <c r="AN14" s="16" t="s">
        <v>117</v>
      </c>
      <c r="AO14" s="24" t="s">
        <v>139</v>
      </c>
      <c r="AP14" s="24" t="s">
        <v>94</v>
      </c>
      <c r="AQ14" s="24" t="s">
        <v>95</v>
      </c>
      <c r="AR14" s="19" t="s">
        <v>96</v>
      </c>
      <c r="AS14" s="13" t="s">
        <v>90</v>
      </c>
      <c r="AT14" s="13" t="s">
        <v>90</v>
      </c>
      <c r="AU14" s="17">
        <f t="shared" ca="1" si="4"/>
        <v>45737</v>
      </c>
      <c r="AV14" s="13" t="s">
        <v>74</v>
      </c>
      <c r="AW14" s="29" t="s">
        <v>97</v>
      </c>
      <c r="AX14" s="30">
        <v>2973000506962</v>
      </c>
      <c r="AY14" s="17" t="s">
        <v>98</v>
      </c>
      <c r="AZ14" s="17" t="s">
        <v>99</v>
      </c>
      <c r="BA14" s="13" t="s">
        <v>74</v>
      </c>
      <c r="BB14" s="29" t="s">
        <v>100</v>
      </c>
      <c r="BC14" s="31">
        <v>93300887</v>
      </c>
      <c r="BD14" s="17" t="s">
        <v>98</v>
      </c>
      <c r="BE14" s="17" t="s">
        <v>101</v>
      </c>
      <c r="BF14" s="19" t="s">
        <v>126</v>
      </c>
      <c r="BG14" s="17" t="s">
        <v>98</v>
      </c>
      <c r="BH14" s="13" t="s">
        <v>103</v>
      </c>
      <c r="BI14" s="13" t="s">
        <v>74</v>
      </c>
      <c r="BJ14" s="13" t="s">
        <v>104</v>
      </c>
      <c r="BK14" s="32" t="s">
        <v>90</v>
      </c>
      <c r="BL14" s="13" t="s">
        <v>105</v>
      </c>
      <c r="BM14" s="33" t="s">
        <v>106</v>
      </c>
      <c r="BN14" s="13" t="s">
        <v>107</v>
      </c>
      <c r="BO14" s="13" t="s">
        <v>74</v>
      </c>
      <c r="BP14" s="13" t="s">
        <v>108</v>
      </c>
      <c r="BQ14" s="34">
        <v>99742</v>
      </c>
      <c r="BR14" s="17">
        <v>44562</v>
      </c>
      <c r="BS14" s="17">
        <v>47119</v>
      </c>
      <c r="BT14" s="22">
        <v>44562</v>
      </c>
      <c r="BU14" s="22">
        <f t="shared" ca="1" si="5"/>
        <v>46095</v>
      </c>
      <c r="BV14" s="16" t="s">
        <v>109</v>
      </c>
    </row>
    <row r="15" spans="1:74" ht="15.65" customHeight="1" x14ac:dyDescent="0.25">
      <c r="A15" s="1" t="s">
        <v>174</v>
      </c>
      <c r="C15" s="11"/>
      <c r="D15" s="12" t="s">
        <v>112</v>
      </c>
      <c r="E15" s="13" t="s">
        <v>74</v>
      </c>
      <c r="F15" s="14"/>
      <c r="G15" s="14"/>
      <c r="H15" s="15" t="s">
        <v>77</v>
      </c>
      <c r="I15" s="16" t="s">
        <v>78</v>
      </c>
      <c r="J15" s="16" t="s">
        <v>79</v>
      </c>
      <c r="K15" s="17">
        <f t="shared" ca="1" si="0"/>
        <v>45723</v>
      </c>
      <c r="L15" s="13" t="s">
        <v>74</v>
      </c>
      <c r="M15" s="18" t="s">
        <v>80</v>
      </c>
      <c r="N15" s="18" t="s">
        <v>81</v>
      </c>
      <c r="O15" s="19" t="s">
        <v>81</v>
      </c>
      <c r="P15" s="16">
        <v>1542</v>
      </c>
      <c r="Q15" s="16" t="s">
        <v>79</v>
      </c>
      <c r="R15" s="20" t="s">
        <v>82</v>
      </c>
      <c r="S15" s="21" t="s">
        <v>83</v>
      </c>
      <c r="T15" s="16" t="s">
        <v>79</v>
      </c>
      <c r="U15" s="22">
        <f t="shared" ca="1" si="1"/>
        <v>45699</v>
      </c>
      <c r="V15" s="16" t="s">
        <v>84</v>
      </c>
      <c r="W15" s="23" t="s">
        <v>115</v>
      </c>
      <c r="X15" s="24" t="s">
        <v>86</v>
      </c>
      <c r="Y15" s="24" t="s">
        <v>175</v>
      </c>
      <c r="Z15" s="24" t="s">
        <v>124</v>
      </c>
      <c r="AA15" s="25">
        <v>795</v>
      </c>
      <c r="AB15" s="25" t="s">
        <v>89</v>
      </c>
      <c r="AC15" s="26">
        <v>25</v>
      </c>
      <c r="AD15" s="27" t="s">
        <v>90</v>
      </c>
      <c r="AE15" s="19" t="s">
        <v>91</v>
      </c>
      <c r="AF15" s="28" t="s">
        <v>90</v>
      </c>
      <c r="AG15" s="16" t="s">
        <v>92</v>
      </c>
      <c r="AH15" s="16" t="s">
        <v>93</v>
      </c>
      <c r="AI15" s="16" t="s">
        <v>90</v>
      </c>
      <c r="AJ15" s="17">
        <f t="shared" ca="1" si="2"/>
        <v>45699</v>
      </c>
      <c r="AK15" s="17">
        <f t="shared" ca="1" si="2"/>
        <v>45699</v>
      </c>
      <c r="AL15" s="17">
        <f t="shared" ca="1" si="2"/>
        <v>45699</v>
      </c>
      <c r="AM15" s="22" t="str">
        <f t="shared" si="3"/>
        <v>N/A</v>
      </c>
      <c r="AN15" s="16" t="s">
        <v>117</v>
      </c>
      <c r="AO15" s="24" t="s">
        <v>176</v>
      </c>
      <c r="AP15" s="24" t="s">
        <v>94</v>
      </c>
      <c r="AQ15" s="24" t="s">
        <v>95</v>
      </c>
      <c r="AR15" s="19" t="s">
        <v>96</v>
      </c>
      <c r="AS15" s="13" t="s">
        <v>90</v>
      </c>
      <c r="AT15" s="13" t="s">
        <v>90</v>
      </c>
      <c r="AU15" s="17">
        <f t="shared" ca="1" si="4"/>
        <v>45737</v>
      </c>
      <c r="AV15" s="13" t="s">
        <v>74</v>
      </c>
      <c r="AW15" s="29" t="s">
        <v>97</v>
      </c>
      <c r="AX15" s="30">
        <v>2973000506963</v>
      </c>
      <c r="AY15" s="17" t="s">
        <v>98</v>
      </c>
      <c r="AZ15" s="17" t="s">
        <v>99</v>
      </c>
      <c r="BA15" s="13" t="s">
        <v>74</v>
      </c>
      <c r="BB15" s="29" t="s">
        <v>100</v>
      </c>
      <c r="BC15" s="31">
        <v>93300888</v>
      </c>
      <c r="BD15" s="17" t="s">
        <v>98</v>
      </c>
      <c r="BE15" s="17" t="s">
        <v>101</v>
      </c>
      <c r="BF15" s="19" t="s">
        <v>126</v>
      </c>
      <c r="BG15" s="17" t="s">
        <v>98</v>
      </c>
      <c r="BH15" s="13" t="s">
        <v>103</v>
      </c>
      <c r="BI15" s="13" t="s">
        <v>74</v>
      </c>
      <c r="BJ15" s="13" t="s">
        <v>104</v>
      </c>
      <c r="BK15" s="32" t="s">
        <v>90</v>
      </c>
      <c r="BL15" s="13" t="s">
        <v>105</v>
      </c>
      <c r="BM15" s="33" t="s">
        <v>106</v>
      </c>
      <c r="BN15" s="13" t="s">
        <v>107</v>
      </c>
      <c r="BO15" s="13" t="s">
        <v>74</v>
      </c>
      <c r="BP15" s="13" t="s">
        <v>108</v>
      </c>
      <c r="BQ15" s="34">
        <v>99743</v>
      </c>
      <c r="BR15" s="17">
        <v>44562</v>
      </c>
      <c r="BS15" s="17">
        <v>47119</v>
      </c>
      <c r="BT15" s="22">
        <v>44562</v>
      </c>
      <c r="BU15" s="22">
        <f t="shared" ca="1" si="5"/>
        <v>46095</v>
      </c>
      <c r="BV15" s="16" t="s">
        <v>109</v>
      </c>
    </row>
    <row r="16" spans="1:74" ht="15.65" customHeight="1" x14ac:dyDescent="0.25">
      <c r="A16" s="1" t="s">
        <v>177</v>
      </c>
      <c r="C16" s="11"/>
      <c r="D16" s="12" t="s">
        <v>112</v>
      </c>
      <c r="E16" s="13" t="s">
        <v>74</v>
      </c>
      <c r="F16" s="14"/>
      <c r="G16" s="14"/>
      <c r="H16" s="15" t="s">
        <v>77</v>
      </c>
      <c r="I16" s="16" t="s">
        <v>78</v>
      </c>
      <c r="J16" s="16" t="s">
        <v>79</v>
      </c>
      <c r="K16" s="17">
        <f t="shared" ca="1" si="0"/>
        <v>45723</v>
      </c>
      <c r="L16" s="13" t="s">
        <v>74</v>
      </c>
      <c r="M16" s="18" t="s">
        <v>80</v>
      </c>
      <c r="N16" s="18" t="s">
        <v>81</v>
      </c>
      <c r="O16" s="19" t="s">
        <v>81</v>
      </c>
      <c r="P16" s="16">
        <v>1542</v>
      </c>
      <c r="Q16" s="16" t="s">
        <v>79</v>
      </c>
      <c r="R16" s="20" t="s">
        <v>82</v>
      </c>
      <c r="S16" s="21" t="s">
        <v>83</v>
      </c>
      <c r="T16" s="16" t="s">
        <v>79</v>
      </c>
      <c r="U16" s="22">
        <f t="shared" ca="1" si="1"/>
        <v>45699</v>
      </c>
      <c r="V16" s="16" t="s">
        <v>84</v>
      </c>
      <c r="W16" s="23" t="s">
        <v>115</v>
      </c>
      <c r="X16" s="24" t="s">
        <v>86</v>
      </c>
      <c r="Y16" s="24" t="s">
        <v>178</v>
      </c>
      <c r="Z16" s="24" t="s">
        <v>88</v>
      </c>
      <c r="AA16" s="25">
        <v>795</v>
      </c>
      <c r="AB16" s="25" t="s">
        <v>89</v>
      </c>
      <c r="AC16" s="26">
        <v>40</v>
      </c>
      <c r="AD16" s="27" t="s">
        <v>90</v>
      </c>
      <c r="AE16" s="19" t="s">
        <v>91</v>
      </c>
      <c r="AF16" s="28" t="s">
        <v>90</v>
      </c>
      <c r="AG16" s="16" t="s">
        <v>92</v>
      </c>
      <c r="AH16" s="16" t="s">
        <v>93</v>
      </c>
      <c r="AI16" s="16" t="s">
        <v>90</v>
      </c>
      <c r="AJ16" s="17">
        <f t="shared" ca="1" si="2"/>
        <v>45699</v>
      </c>
      <c r="AK16" s="17">
        <f t="shared" ca="1" si="2"/>
        <v>45699</v>
      </c>
      <c r="AL16" s="17">
        <f t="shared" ca="1" si="2"/>
        <v>45699</v>
      </c>
      <c r="AM16" s="22" t="str">
        <f t="shared" si="3"/>
        <v>N/A</v>
      </c>
      <c r="AN16" s="16" t="s">
        <v>117</v>
      </c>
      <c r="AO16" s="24" t="s">
        <v>139</v>
      </c>
      <c r="AP16" s="24" t="s">
        <v>94</v>
      </c>
      <c r="AQ16" s="24" t="s">
        <v>179</v>
      </c>
      <c r="AR16" s="19" t="s">
        <v>96</v>
      </c>
      <c r="AS16" s="13" t="s">
        <v>90</v>
      </c>
      <c r="AT16" s="13" t="s">
        <v>90</v>
      </c>
      <c r="AU16" s="17">
        <f t="shared" ca="1" si="4"/>
        <v>45737</v>
      </c>
      <c r="AV16" s="13" t="s">
        <v>74</v>
      </c>
      <c r="AW16" s="29" t="s">
        <v>97</v>
      </c>
      <c r="AX16" s="30">
        <v>2973000506964</v>
      </c>
      <c r="AY16" s="17" t="s">
        <v>98</v>
      </c>
      <c r="AZ16" s="17" t="s">
        <v>99</v>
      </c>
      <c r="BA16" s="13" t="s">
        <v>74</v>
      </c>
      <c r="BB16" s="29" t="s">
        <v>100</v>
      </c>
      <c r="BC16" s="31">
        <v>93300889</v>
      </c>
      <c r="BD16" s="17" t="s">
        <v>98</v>
      </c>
      <c r="BE16" s="17" t="s">
        <v>101</v>
      </c>
      <c r="BF16" s="19" t="s">
        <v>126</v>
      </c>
      <c r="BG16" s="17" t="s">
        <v>98</v>
      </c>
      <c r="BH16" s="13" t="s">
        <v>103</v>
      </c>
      <c r="BI16" s="13" t="s">
        <v>74</v>
      </c>
      <c r="BJ16" s="13" t="s">
        <v>104</v>
      </c>
      <c r="BK16" s="32" t="s">
        <v>90</v>
      </c>
      <c r="BL16" s="13" t="s">
        <v>105</v>
      </c>
      <c r="BM16" s="33" t="s">
        <v>106</v>
      </c>
      <c r="BN16" s="13" t="s">
        <v>107</v>
      </c>
      <c r="BO16" s="13" t="s">
        <v>74</v>
      </c>
      <c r="BP16" s="13" t="s">
        <v>108</v>
      </c>
      <c r="BQ16" s="34">
        <v>99744</v>
      </c>
      <c r="BR16" s="17">
        <v>44562</v>
      </c>
      <c r="BS16" s="17">
        <v>47119</v>
      </c>
      <c r="BT16" s="22">
        <v>44562</v>
      </c>
      <c r="BU16" s="22">
        <f t="shared" ca="1" si="5"/>
        <v>46095</v>
      </c>
      <c r="BV16" s="16" t="s">
        <v>109</v>
      </c>
    </row>
  </sheetData>
  <dataValidations count="2">
    <dataValidation type="list" allowBlank="1" showInputMessage="1" showErrorMessage="1" sqref="AH10:AH16 V10:V16 T10:T16 Q10:Q16 J10:J16 BL10:BL16" xr:uid="{00000000-0002-0000-0000-000000000000}">
      <formula1>INDIRECT($E2)</formula1>
    </dataValidation>
    <dataValidation type="list" allowBlank="1" showInputMessage="1" showErrorMessage="1" sqref="AH2:AH16 V2:V16 T2:T16 Q2:Q16 J2:J16 BL2:BL16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AD6" r:id="rId6" xr:uid="{00000000-0004-0000-0000-000005000000}"/>
    <hyperlink ref="S7" r:id="rId7" xr:uid="{00000000-0004-0000-0000-000006000000}"/>
    <hyperlink ref="AD7" r:id="rId8" xr:uid="{00000000-0004-0000-0000-000007000000}"/>
    <hyperlink ref="S8" r:id="rId9" xr:uid="{00000000-0004-0000-0000-000008000000}"/>
    <hyperlink ref="AD8" r:id="rId10" xr:uid="{00000000-0004-0000-0000-000009000000}"/>
    <hyperlink ref="S9" r:id="rId11" xr:uid="{00000000-0004-0000-0000-00000A000000}"/>
    <hyperlink ref="AD9" r:id="rId12" xr:uid="{00000000-0004-0000-0000-00000B000000}"/>
    <hyperlink ref="S10" r:id="rId13" xr:uid="{00000000-0004-0000-0000-00000C000000}"/>
    <hyperlink ref="AD10" r:id="rId14" xr:uid="{00000000-0004-0000-0000-00000D000000}"/>
    <hyperlink ref="S11" r:id="rId15" xr:uid="{00000000-0004-0000-0000-00000E000000}"/>
    <hyperlink ref="AD11" r:id="rId16" xr:uid="{00000000-0004-0000-0000-00000F000000}"/>
    <hyperlink ref="S12" r:id="rId17" xr:uid="{00000000-0004-0000-0000-000010000000}"/>
    <hyperlink ref="AD12" r:id="rId18" xr:uid="{00000000-0004-0000-0000-000011000000}"/>
    <hyperlink ref="S13" r:id="rId19" xr:uid="{00000000-0004-0000-0000-000012000000}"/>
    <hyperlink ref="AD13" r:id="rId20" xr:uid="{00000000-0004-0000-0000-000013000000}"/>
    <hyperlink ref="S14" r:id="rId21" xr:uid="{00000000-0004-0000-0000-000014000000}"/>
    <hyperlink ref="AD14" r:id="rId22" xr:uid="{00000000-0004-0000-0000-000015000000}"/>
    <hyperlink ref="S15" r:id="rId23" xr:uid="{00000000-0004-0000-0000-000016000000}"/>
    <hyperlink ref="AD15" r:id="rId24" xr:uid="{00000000-0004-0000-0000-000017000000}"/>
    <hyperlink ref="S16" r:id="rId25" xr:uid="{00000000-0004-0000-0000-000018000000}"/>
    <hyperlink ref="AD16" r:id="rId26" xr:uid="{00000000-0004-0000-0000-000019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2025-03-14T13:33:07Z</dcterms:modified>
</cp:coreProperties>
</file>