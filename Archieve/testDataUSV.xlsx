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42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<sst xmlns="http://schemas.openxmlformats.org/spreadsheetml/2006/main" count="799" uniqueCount="185">
  <si>
    <t>TestCaseID</t>
  </si>
  <si>
    <t>EmployeeID</t>
  </si>
  <si>
    <t>TestStatus</t>
  </si>
  <si>
    <t>SupervisoryOrganisation</t>
  </si>
  <si>
    <t>Country</t>
  </si>
  <si>
    <t>Prefix</t>
  </si>
  <si>
    <t>GivenName</t>
  </si>
  <si>
    <t>FamilyName</t>
  </si>
  <si>
    <t>PhoneNumber</t>
  </si>
  <si>
    <t>PhoneDevice</t>
  </si>
  <si>
    <t>Type</t>
  </si>
  <si>
    <t>EffectiveDate</t>
  </si>
  <si>
    <t>County</t>
  </si>
  <si>
    <t>AdressLine1</t>
  </si>
  <si>
    <t>AdressLine2</t>
  </si>
  <si>
    <t>PostalCode</t>
  </si>
  <si>
    <t>City</t>
  </si>
  <si>
    <t>State</t>
  </si>
  <si>
    <t>UseFor</t>
  </si>
  <si>
    <t>EmailAddress</t>
  </si>
  <si>
    <t>HireDate</t>
  </si>
  <si>
    <t>ProbationEndDate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</si>
  <si>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</si>
  <si>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</si>
  <si>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</si>
  <si>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</si>
  <si>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</si>
  <si>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</si>
  <si>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</si>
  <si>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DefaultWeeklyHours</t>
  </si>
  <si>
    <t>ScheduledWeeklyHours</t>
  </si>
  <si>
    <t>AdditionalJobClassifications</t>
  </si>
  <si>
    <t>WorkShift</t>
  </si>
  <si>
    <t>EndEmploymentDate</t>
  </si>
  <si>
    <t>Comments</t>
  </si>
  <si>
    <t>CostCenter</t>
  </si>
  <si>
    <t>DepartmentSection</t>
  </si>
  <si>
    <t>GradeProfile</t>
  </si>
  <si>
    <t>Step</t>
  </si>
  <si>
    <t>Country1</t>
  </si>
  <si>
    <t>NationalIDType1</t>
  </si>
  <si>
    <t>AddEditID1</t>
  </si>
  <si>
    <t>Gender</t>
  </si>
  <si>
    <t>DateOfBirth</t>
  </si>
  <si>
    <t>CountryOfBirth</t>
  </si>
  <si>
    <t>Race_Ethnicity</t>
  </si>
  <si>
    <t>PrimaryNationality</t>
  </si>
  <si>
    <t>Salary</t>
  </si>
  <si>
    <t>I9ExpirationDate</t>
  </si>
  <si>
    <t>IssuingAuthority</t>
  </si>
  <si>
    <t>USEmploymentVerificationStatus</t>
  </si>
  <si>
    <t>OverdueReason</t>
  </si>
  <si>
    <t>ProposedPayGroupFinal</t>
  </si>
  <si>
    <t>Test_1</t>
  </si>
  <si>
    <t>10652344</t>
  </si>
  <si>
    <t>Passed</t>
  </si>
  <si>
    <t>124 Store Management (Setap Pijura Vucylu (10181574))</t>
  </si>
  <si>
    <t>United States of America</t>
  </si>
  <si>
    <t>Mr</t>
  </si>
  <si>
    <t>Bailey</t>
  </si>
  <si>
    <t>Cormier</t>
  </si>
  <si>
    <t>(202) 555-0147</t>
  </si>
  <si>
    <t>Landline</t>
  </si>
  <si>
    <t>Home</t>
  </si>
  <si>
    <t>Automation Street Name</t>
  </si>
  <si>
    <t>Maryland</t>
  </si>
  <si>
    <t xml:space="preserve">Maryland </t>
  </si>
  <si>
    <t>Street Address</t>
  </si>
  <si>
    <t>Testharsh121@gmail.com</t>
  </si>
  <si>
    <t>New Hire</t>
  </si>
  <si>
    <t>Auto 52580233</t>
  </si>
  <si>
    <t>Regular</t>
  </si>
  <si>
    <t>Department Manager_NEW</t>
  </si>
  <si>
    <t>Full time</t>
  </si>
  <si>
    <t>N/A</t>
  </si>
  <si>
    <t>4 Sales Workers - (EEO-1 Job Classifications-United States of America)</t>
  </si>
  <si>
    <t>Default Work Shift (United States of America)</t>
  </si>
  <si>
    <t>Automation Comments here….</t>
  </si>
  <si>
    <t xml:space="preserve">92 Retail Management </t>
  </si>
  <si>
    <t xml:space="preserve">251 Management Retail </t>
  </si>
  <si>
    <t>USA - Tier 2</t>
  </si>
  <si>
    <t>Defaulted</t>
  </si>
  <si>
    <t>Social Security Number (SSN)</t>
  </si>
  <si>
    <t>Male</t>
  </si>
  <si>
    <t>White</t>
  </si>
  <si>
    <t>Employment Authorized</t>
  </si>
  <si>
    <t>Audit Revealed that New Hire Was Not Run</t>
  </si>
  <si>
    <t>USA Pay Group</t>
  </si>
  <si>
    <t>Test_2</t>
  </si>
  <si>
    <t>10652345</t>
  </si>
  <si>
    <t>124 Department Manager (Cyvad Rogaga (10589000))</t>
  </si>
  <si>
    <t>Carlo</t>
  </si>
  <si>
    <t>Smitham</t>
  </si>
  <si>
    <t>Auto 87237801</t>
  </si>
  <si>
    <t>Store Manager_NEW</t>
  </si>
  <si>
    <t>Test_3</t>
  </si>
  <si>
    <t>10652347</t>
  </si>
  <si>
    <t>Claudia</t>
  </si>
  <si>
    <t>Larkin</t>
  </si>
  <si>
    <t>Auto 17008980</t>
  </si>
  <si>
    <t>In-Store P&amp;C Manager_NEW</t>
  </si>
  <si>
    <t>Test_4</t>
  </si>
  <si>
    <t>10652349</t>
  </si>
  <si>
    <t>114 Store Management (Typiv Cipopa (10147210))</t>
  </si>
  <si>
    <t>Allie</t>
  </si>
  <si>
    <t>Emmerich</t>
  </si>
  <si>
    <t>Pennsylvania</t>
  </si>
  <si>
    <t>Harrisburg</t>
  </si>
  <si>
    <t>Auto 2959192</t>
  </si>
  <si>
    <t>Test_5</t>
  </si>
  <si>
    <t>10652350</t>
  </si>
  <si>
    <t>Fletcher</t>
  </si>
  <si>
    <t>Monahan</t>
  </si>
  <si>
    <t>Auto 93925701</t>
  </si>
  <si>
    <t>Test_6</t>
  </si>
  <si>
    <t>10652352</t>
  </si>
  <si>
    <t>Tara</t>
  </si>
  <si>
    <t>Huel</t>
  </si>
  <si>
    <t>Auto 84504559</t>
  </si>
  <si>
    <t>Test_7</t>
  </si>
  <si>
    <t>Test failed for 'Martine O'Connell' Employee: undefined&amp; find failed Screenshot Path:-&gt;H:\WorkDaySuite_Playwright/WorkdayFailedScreenshot/2024-11-11T17-35-40-890Z.png</t>
  </si>
  <si>
    <t>Failed</t>
  </si>
  <si>
    <t>103 Store Management (Pyzad Zolyte (1586520))</t>
  </si>
  <si>
    <t>Martine</t>
  </si>
  <si>
    <t>O'Connell</t>
  </si>
  <si>
    <t>Philadelphia</t>
  </si>
  <si>
    <t>Auto 40127952</t>
  </si>
  <si>
    <t>Test_8</t>
  </si>
  <si>
    <t>10652354</t>
  </si>
  <si>
    <t>Missouri</t>
  </si>
  <si>
    <t>Mayert</t>
  </si>
  <si>
    <t>Auto 63167551</t>
  </si>
  <si>
    <t>Test_9</t>
  </si>
  <si>
    <t>10652355</t>
  </si>
  <si>
    <t>Julius</t>
  </si>
  <si>
    <t>Marks</t>
  </si>
  <si>
    <t>Auto 88719357</t>
  </si>
  <si>
    <t>Test_10</t>
  </si>
  <si>
    <t>10652356</t>
  </si>
  <si>
    <t>108 Store Management (Deloh Rizyle (10104528))</t>
  </si>
  <si>
    <t>Nico</t>
  </si>
  <si>
    <t>Heathcote</t>
  </si>
  <si>
    <t>Auto 10542183</t>
  </si>
  <si>
    <t>Test_11</t>
  </si>
  <si>
    <t>10652357</t>
  </si>
  <si>
    <t>Lucio</t>
  </si>
  <si>
    <t>Glover</t>
  </si>
  <si>
    <t>Auto 73608867</t>
  </si>
  <si>
    <t>Test_12</t>
  </si>
  <si>
    <t>10652358</t>
  </si>
  <si>
    <t>Danny</t>
  </si>
  <si>
    <t>Quitzon</t>
  </si>
  <si>
    <t>Auto 9952567</t>
  </si>
  <si>
    <t>Test_13</t>
  </si>
  <si>
    <t xml:space="preserve">Test failed for 'Mark Ondricka' Employee:{10652378}Error: [2mexpect([22m[31mreceived[39m[2m).[22mtoEqual[2m([22m[32mexpected[39m[2m) // deep equality[22m
Expected: [32m"USA Pay Group"[39m
Received: [31m"[7mPlease select a [27mUSA Pay Group"[39m</t>
  </si>
  <si>
    <t>134 Store Management (Zizez Cofyze (8702319))</t>
  </si>
  <si>
    <t>Mark</t>
  </si>
  <si>
    <t>Ondricka</t>
  </si>
  <si>
    <t>Potomac Mills,Virginia</t>
  </si>
  <si>
    <t>Virginia</t>
  </si>
  <si>
    <t>Auto 85520936</t>
  </si>
  <si>
    <t>USA - Tier 3</t>
  </si>
  <si>
    <t>Test_14</t>
  </si>
  <si>
    <t xml:space="preserve">Test failed for 'Madelynn Yost' Employee:{10652380}Error: [2mexpect([22m[31mreceived[39m[2m).[22mtoEqual[2m([22m[32mexpected[39m[2m) // deep equality[22m
Expected: [32m"USA Pay Group"[39m
Received: [31m"[7mPlease select a [27mUSA Pay Group"[39m</t>
  </si>
  <si>
    <t>Madelynn</t>
  </si>
  <si>
    <t>Yost</t>
  </si>
  <si>
    <t>Auto 65006340</t>
  </si>
  <si>
    <t>Test_15</t>
  </si>
  <si>
    <t xml:space="preserve">Test failed for 'Katelynn Rohan' Employee:{10652385}Error: [2mexpect([22m[31mreceived[39m[2m).[22mtoEqual[2m([22m[32mexpected[39m[2m) // deep equality[22m
Expected: [32m"USA Pay Group"[39m
Received: [31m"[7mPlease select a [27mUSA Pay Group"[39m</t>
  </si>
  <si>
    <t>Katelynn</t>
  </si>
  <si>
    <t>Rohan</t>
  </si>
  <si>
    <t>Auto 79007249</t>
  </si>
  <si>
    <t>Test_16</t>
  </si>
  <si>
    <t xml:space="preserve">Test failed for 'Geo Hammes' Employee:{}TimeoutError: page.waitForSelector: Timeout 30000ms exceeded.
Call log:
  [2m- waiting for locator('button:has-text(\'Hire: Geo Hammes\')') to be visible[22m
</t>
  </si>
  <si>
    <t>108 Recruitment (Pepog Bizyse (10240565))</t>
  </si>
  <si>
    <t>Geo</t>
  </si>
  <si>
    <t>Hammes</t>
  </si>
  <si>
    <t>No</t>
  </si>
  <si>
    <t>Retail Assistant_NEW</t>
  </si>
  <si>
    <t>Part time</t>
  </si>
  <si>
    <t>Hourly</t>
  </si>
  <si>
    <t>94 Retail Operative</t>
  </si>
  <si>
    <t>01 Accessories</t>
  </si>
  <si>
    <t>Initial Step</t>
  </si>
  <si>
    <t>10/31/2008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</si>
</sst>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11" x14ac:knownFonts="1">
    <font>
      <color theme="1"/>
      <family val="2"/>
      <scheme val="minor"/>
      <sz val="11"/>
      <name val="Calibri"/>
    </font>
    <font>
      <color rgb="FFFF0000"/>
      <family val="2"/>
      <sz val="11"/>
      <name val="Arial"/>
    </font>
    <font>
      <color theme="1"/>
      <family val="2"/>
      <sz val="11"/>
      <name val="Arial"/>
    </font>
    <font>
      <color rgb="FFFF0000"/>
      <family val="2"/>
      <sz val="14"/>
      <name val="Arial"/>
    </font>
    <font>
      <color theme="1"/>
      <family val="2"/>
      <sz val="14"/>
      <name val="Arial"/>
    </font>
    <font>
      <color rgb="FF040C28"/>
      <family val="2"/>
      <sz val="14"/>
      <name val="Arial"/>
    </font>
    <font>
      <u/>
      <color theme="10"/>
      <family val="2"/>
      <sz val="14"/>
      <name val="Arial"/>
    </font>
    <font>
      <color rgb="FF4A4A4A"/>
      <family val="2"/>
      <sz val="14"/>
      <name val="Arial"/>
    </font>
    <font>
      <color rgb="FF000000"/>
      <family val="2"/>
      <sz val="14"/>
      <name val="Arial"/>
    </font>
    <font>
      <color rgb="FF000000"/>
      <family val="2"/>
      <scheme val="minor"/>
      <sz val="11"/>
      <name val="Calibri"/>
    </font>
    <font>
      <u/>
      <color theme="10"/>
      <family val="2"/>
      <scheme val="minor"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rgb="FFFF0000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2DCDB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/>
      <bottom style="thin"/>
      <diagonal/>
    </border>
    <border>
      <left style="medium">
        <color indexed="64"/>
      </left>
      <right style="medium">
        <color indexed="64"/>
      </right>
      <top style="thin"/>
      <bottom/>
      <diagonal/>
    </border>
    <border>
      <left style="thin"/>
      <right style="thin"/>
      <top style="thin"/>
      <bottom style="thin"/>
      <diagonal/>
    </border>
    <border>
      <left style="medium">
        <color indexed="64"/>
      </left>
      <right style="medium">
        <color indexed="64"/>
      </right>
      <top/>
      <bottom style="thin"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/>
      <right style="thin"/>
      <top style="thin"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0" fillId="3" borderId="0" xfId="0" applyFill="1"/>
    <xf numFmtId="0" fontId="3" fillId="0" borderId="0" xfId="0" applyFont="1" applyAlignment="1">
      <alignment vertical="center" wrapText="1"/>
    </xf>
    <xf numFmtId="0" fontId="4" fillId="0" borderId="3" xfId="0" applyFont="1" applyBorder="1" applyAlignment="1">
      <alignment horizontal="left"/>
    </xf>
    <xf numFmtId="0" fontId="4" fillId="0" borderId="5" xfId="0" applyFont="1" applyBorder="1"/>
    <xf numFmtId="0" fontId="0" fillId="4" borderId="0" xfId="0" applyFill="1"/>
    <xf numFmtId="0" fontId="4" fillId="4" borderId="3" xfId="0" applyFont="1" applyFill="1" applyBorder="1"/>
    <xf numFmtId="0" fontId="4" fillId="0" borderId="3" xfId="0" applyFont="1" applyBorder="1" applyAlignment="1" applyProtection="1">
      <alignment horizontal="left"/>
      <protection locked="0"/>
    </xf>
    <xf numFmtId="14" fontId="4" fillId="0" borderId="0" xfId="0" applyNumberFormat="1" applyFont="1" applyAlignment="1">
      <alignment horizontal="left"/>
    </xf>
    <xf numFmtId="0" fontId="4" fillId="0" borderId="3" xfId="0" applyFont="1" applyBorder="1" applyProtection="1">
      <protection locked="0"/>
    </xf>
    <xf numFmtId="0" fontId="5" fillId="0" borderId="0" xfId="0" applyFont="1" applyAlignment="1">
      <alignment horizontal="left"/>
    </xf>
    <xf numFmtId="14" fontId="4" fillId="0" borderId="3" xfId="0" applyNumberFormat="1" applyFont="1" applyBorder="1" applyAlignment="1">
      <alignment horizontal="left"/>
    </xf>
    <xf numFmtId="0" fontId="6" fillId="0" borderId="3" xfId="0" applyFont="1" applyBorder="1" applyProtection="1">
      <protection locked="0"/>
    </xf>
    <xf numFmtId="14" fontId="3" fillId="0" borderId="0" xfId="0" applyNumberFormat="1" applyFont="1" applyAlignment="1">
      <alignment horizontal="left"/>
    </xf>
    <xf numFmtId="0" fontId="4" fillId="0" borderId="6" xfId="0" applyFont="1" applyBorder="1" applyAlignment="1" applyProtection="1">
      <alignment horizontal="left"/>
      <protection locked="0"/>
    </xf>
    <xf numFmtId="0" fontId="4" fillId="4" borderId="3" xfId="0" applyFont="1" applyFill="1" applyBorder="1" applyAlignment="1" applyProtection="1">
      <alignment horizontal="left"/>
      <protection locked="0"/>
    </xf>
    <xf numFmtId="0" fontId="4" fillId="0" borderId="0" xfId="0" applyFont="1"/>
    <xf numFmtId="0" fontId="7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 applyProtection="1">
      <alignment horizontal="left" wrapText="1"/>
      <protection locked="0"/>
    </xf>
    <xf numFmtId="0" fontId="8" fillId="0" borderId="3" xfId="0" applyFont="1" applyBorder="1" applyAlignment="1">
      <alignment horizontal="left"/>
    </xf>
    <xf numFmtId="164" fontId="4" fillId="0" borderId="3" xfId="0" applyNumberFormat="1" applyFont="1" applyBorder="1" applyAlignment="1" applyProtection="1">
      <alignment horizontal="left"/>
      <protection locked="0"/>
    </xf>
    <xf numFmtId="1" fontId="0" fillId="0" borderId="0" xfId="0" applyNumberFormat="1"/>
    <xf numFmtId="164" fontId="4" fillId="0" borderId="1" xfId="0" applyNumberFormat="1" applyFont="1" applyBorder="1" applyAlignment="1" applyProtection="1">
      <alignment horizontal="left"/>
      <protection locked="0"/>
    </xf>
    <xf numFmtId="14" fontId="0" fillId="0" borderId="0" xfId="0" applyNumberFormat="1"/>
    <xf numFmtId="0" fontId="8" fillId="0" borderId="5" xfId="0" applyFont="1" applyBorder="1"/>
    <xf numFmtId="0" fontId="9" fillId="5" borderId="0" xfId="0" applyFont="1" applyFill="1"/>
    <xf numFmtId="0" fontId="8" fillId="5" borderId="3" xfId="0" applyFont="1" applyFill="1" applyBorder="1"/>
    <xf numFmtId="14" fontId="8" fillId="0" borderId="0" xfId="0" applyNumberFormat="1" applyFont="1" applyAlignment="1">
      <alignment horizontal="left"/>
    </xf>
    <xf numFmtId="0" fontId="8" fillId="0" borderId="3" xfId="0" applyFont="1" applyBorder="1"/>
    <xf numFmtId="0" fontId="10" fillId="0" borderId="3" xfId="0" applyFont="1" applyBorder="1"/>
    <xf numFmtId="0" fontId="8" fillId="0" borderId="6" xfId="0" applyFont="1" applyBorder="1" applyAlignment="1">
      <alignment horizontal="left"/>
    </xf>
    <xf numFmtId="0" fontId="8" fillId="5" borderId="3" xfId="0" applyFont="1" applyFill="1" applyBorder="1" applyAlignment="1">
      <alignment horizontal="left"/>
    </xf>
    <xf numFmtId="0" fontId="8" fillId="0" borderId="0" xfId="0" applyFont="1"/>
    <xf numFmtId="0" fontId="8" fillId="0" borderId="0" xfId="0" applyFont="1" applyAlignment="1">
      <alignment vertical="top" wrapText="1"/>
    </xf>
    <xf numFmtId="0" fontId="8" fillId="6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14" fontId="8" fillId="0" borderId="1" xfId="0" applyNumberFormat="1" applyFont="1" applyBorder="1" applyAlignment="1">
      <alignment horizontal="left"/>
    </xf>
    <xf numFmtId="0" fontId="0" fillId="0" borderId="0" xfId="0" applyAlignment="1">
      <alignment vertical="top" wrapText="1"/>
    </xf>
    <xf numFmtId="0" fontId="3" fillId="7" borderId="0" xfId="0" applyFont="1" applyFill="1" applyAlignment="1">
      <alignment vertical="center" wrapText="1"/>
    </xf>
    <xf numFmtId="0" fontId="4" fillId="7" borderId="0" xfId="0" applyFont="1" applyFill="1" applyAlignment="1">
      <alignment horizontal="left"/>
    </xf>
    <xf numFmtId="0" fontId="4" fillId="7" borderId="3" xfId="0" applyFont="1" applyFill="1" applyBorder="1" applyAlignment="1">
      <alignment horizontal="left"/>
    </xf>
    <xf numFmtId="0" fontId="3" fillId="6" borderId="0" xfId="0" applyFont="1" applyFill="1" applyAlignment="1">
      <alignment vertical="center" wrapText="1"/>
    </xf>
    <xf numFmtId="0" fontId="8" fillId="6" borderId="3" xfId="0" applyFont="1" applyFill="1" applyBorder="1" applyAlignment="1">
      <alignment horizontal="left"/>
    </xf>
    <xf numFmtId="0" fontId="8" fillId="0" borderId="1" xfId="0" applyFont="1" applyBorder="1" applyAlignment="1">
      <alignment horizontal="left"/>
    </xf>
    <xf numFmtId="0" fontId="2" fillId="4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Testharsh121@gmail.com" TargetMode="External"/><Relationship Id="rId2" Type="http://schemas.openxmlformats.org/officeDocument/2006/relationships/hyperlink" Target="mailto:Testharsh121@gmail.com" TargetMode="External"/><Relationship Id="rId3" Type="http://schemas.openxmlformats.org/officeDocument/2006/relationships/hyperlink" Target="mailto:Testharsh121@gmail.com" TargetMode="External"/><Relationship Id="rId4" Type="http://schemas.openxmlformats.org/officeDocument/2006/relationships/hyperlink" Target="mailto:Testharsh121@gmail.com" TargetMode="External"/><Relationship Id="rId5" Type="http://schemas.openxmlformats.org/officeDocument/2006/relationships/hyperlink" Target="mailto:Testharsh121@gmail.com" TargetMode="External"/><Relationship Id="rId6" Type="http://schemas.openxmlformats.org/officeDocument/2006/relationships/hyperlink" Target="mailto:Testharsh121@gmail.com" TargetMode="External"/><Relationship Id="rId7" Type="http://schemas.openxmlformats.org/officeDocument/2006/relationships/hyperlink" Target="mailto:Testharsh121@gmail.com" TargetMode="External"/><Relationship Id="rId8" Type="http://schemas.openxmlformats.org/officeDocument/2006/relationships/hyperlink" Target="mailto:Testharsh121@gmail.com" TargetMode="External"/><Relationship Id="rId9" Type="http://schemas.openxmlformats.org/officeDocument/2006/relationships/hyperlink" Target="mailto:Testharsh121@gmail.com" TargetMode="External"/><Relationship Id="rId10" Type="http://schemas.openxmlformats.org/officeDocument/2006/relationships/hyperlink" Target="mailto:Testharsh121@gmail.com" TargetMode="External"/><Relationship Id="rId11" Type="http://schemas.openxmlformats.org/officeDocument/2006/relationships/hyperlink" Target="mailto:Testharsh121@gmail.com" TargetMode="External"/><Relationship Id="rId12" Type="http://schemas.openxmlformats.org/officeDocument/2006/relationships/hyperlink" Target="mailto:Testharsh121@gmail.com" TargetMode="External"/><Relationship Id="rId13" Type="http://schemas.openxmlformats.org/officeDocument/2006/relationships/hyperlink" Target="mailto:Testharsh121@gmail.com" TargetMode="External"/><Relationship Id="rId14" Type="http://schemas.openxmlformats.org/officeDocument/2006/relationships/hyperlink" Target="mailto:Testharsh121@gmail.com" TargetMode="External"/><Relationship Id="rId15" Type="http://schemas.openxmlformats.org/officeDocument/2006/relationships/hyperlink" Target="mailto:Testharsh121@gmail.com" TargetMode="External"/><Relationship Id="rId16" Type="http://schemas.openxmlformats.org/officeDocument/2006/relationships/hyperlink" Target="mailto:Testharsh12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18"/>
  <sheetViews>
    <sheetView workbookViewId="0" zoomScale="100" zoomScaleNormal="100">
      <selection activeCell="B14" sqref="B14"/>
    </sheetView>
  </sheetViews>
  <sheetFormatPr defaultRowHeight="14.5" outlineLevelRow="0" outlineLevelCol="0" x14ac:dyDescent="0.35" customHeight="1"/>
  <cols>
    <col min="1" max="1" width="10" customWidth="1"/>
    <col min="2" max="2" width="10.81640625" customWidth="1"/>
    <col min="3" max="3" width="9.36328125" customWidth="1"/>
    <col min="4" max="4" width="22.6328125" customWidth="1"/>
    <col min="5" max="5" width="7.6328125" customWidth="1"/>
    <col min="6" max="6" width="5.90625" customWidth="1"/>
    <col min="7" max="7" width="11.1796875" customWidth="1"/>
    <col min="8" max="8" width="11.81640625" customWidth="1"/>
    <col min="9" max="9" width="13.453125" customWidth="1"/>
    <col min="10" max="10" width="12.54296875" customWidth="1"/>
    <col min="11" max="11" width="5.26953125" customWidth="1"/>
    <col min="12" max="12" width="15.90625" customWidth="1"/>
    <col min="13" max="13" width="7.6328125" customWidth="1"/>
    <col min="14" max="14" width="7" customWidth="1"/>
    <col min="15" max="16" width="11.7265625" customWidth="1"/>
    <col min="17" max="17" width="11.1796875" customWidth="1"/>
    <col min="18" max="18" width="4.26953125" customWidth="1"/>
    <col min="19" max="19" width="5.453125" customWidth="1"/>
    <col min="20" max="20" width="5.26953125" customWidth="1"/>
    <col min="21" max="21" width="7.36328125" customWidth="1"/>
    <col min="22" max="22" width="13.08984375" customWidth="1"/>
    <col min="23" max="23" width="5.26953125" customWidth="1"/>
    <col min="24" max="24" width="15.54296875" customWidth="1"/>
    <col min="25" max="25" width="17.1796875" customWidth="1"/>
    <col min="26" max="26" width="7.6328125" customWidth="1"/>
    <col min="27" max="27" width="8" customWidth="1"/>
    <col min="28" max="28" width="14.1796875" customWidth="1"/>
    <col min="29" max="29" width="9.81640625" customWidth="1"/>
    <col min="30" max="30" width="9.7265625" customWidth="1"/>
    <col min="31" max="31" width="8.36328125" customWidth="1"/>
    <col min="32" max="33" width="13" customWidth="1"/>
    <col min="34" max="34" width="21.81640625" customWidth="1"/>
    <col min="35" max="35" width="25.81640625" customWidth="1"/>
    <col min="36" max="36" width="9.453125" customWidth="1"/>
    <col min="37" max="37" width="19.54296875" customWidth="1"/>
    <col min="38" max="38" width="10.36328125" customWidth="1"/>
    <col min="39" max="39" width="10.81640625" customWidth="1"/>
    <col min="40" max="40" width="17.81640625" customWidth="1"/>
    <col min="41" max="41" width="12" customWidth="1"/>
    <col min="42" max="42" width="4.90625" customWidth="1"/>
    <col min="43" max="43" width="8.7265625" customWidth="1"/>
    <col min="44" max="44" width="15.6328125" customWidth="1"/>
    <col min="45" max="45" width="17.36328125" customWidth="1"/>
    <col min="46" max="46" width="7.26953125" customWidth="1"/>
    <col min="47" max="47" width="14.1796875" customWidth="1"/>
    <col min="48" max="48" width="13.90625" customWidth="1"/>
    <col min="49" max="49" width="14" customWidth="1"/>
    <col min="50" max="50" width="17" customWidth="1"/>
    <col min="51" max="51" width="6.36328125" customWidth="1"/>
    <col min="52" max="52" width="15.453125" customWidth="1"/>
    <col min="53" max="53" width="14.7265625" customWidth="1"/>
    <col min="54" max="54" width="30.453125" customWidth="1"/>
    <col min="55" max="55" width="15.1796875" customWidth="1"/>
    <col min="56" max="56" width="22.7265625" customWidth="1"/>
    <col min="57" max="57" width="8.7265625" customWidth="1"/>
  </cols>
  <sheetData>
    <row r="1" ht="18" customHeight="1" spans="1:56" s="1" customFormat="1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4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10</v>
      </c>
      <c r="U1" s="3" t="s">
        <v>18</v>
      </c>
      <c r="V1" s="3" t="s">
        <v>19</v>
      </c>
      <c r="W1" s="3" t="s">
        <v>10</v>
      </c>
      <c r="X1" s="2" t="s">
        <v>20</v>
      </c>
      <c r="Y1" s="3" t="s">
        <v>21</v>
      </c>
      <c r="Z1" s="4" t="s">
        <v>22</v>
      </c>
      <c r="AA1" s="5" t="s">
        <v>23</v>
      </c>
      <c r="AB1" s="6" t="s">
        <v>24</v>
      </c>
      <c r="AC1" s="3" t="s">
        <v>25</v>
      </c>
      <c r="AD1" s="3" t="s">
        <v>26</v>
      </c>
      <c r="AE1" s="3" t="s">
        <v>27</v>
      </c>
      <c r="AF1" s="3" t="s">
        <v>28</v>
      </c>
      <c r="AG1" s="3" t="s">
        <v>29</v>
      </c>
      <c r="AH1" s="3" t="s">
        <v>30</v>
      </c>
      <c r="AI1" s="3" t="s">
        <v>31</v>
      </c>
      <c r="AJ1" s="3" t="s">
        <v>32</v>
      </c>
      <c r="AK1" s="2" t="s">
        <v>33</v>
      </c>
      <c r="AL1" s="3" t="s">
        <v>34</v>
      </c>
      <c r="AM1" s="3" t="s">
        <v>35</v>
      </c>
      <c r="AN1" s="3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  <c r="AT1" s="3" t="s">
        <v>42</v>
      </c>
      <c r="AU1" s="3" t="s">
        <v>43</v>
      </c>
      <c r="AV1" s="3" t="s">
        <v>44</v>
      </c>
      <c r="AW1" s="3" t="s">
        <v>45</v>
      </c>
      <c r="AX1" s="3" t="s">
        <v>46</v>
      </c>
      <c r="AY1" s="3" t="s">
        <v>47</v>
      </c>
      <c r="AZ1" s="3" t="s">
        <v>48</v>
      </c>
      <c r="BA1" s="3" t="s">
        <v>49</v>
      </c>
      <c r="BB1" s="3" t="s">
        <v>50</v>
      </c>
      <c r="BC1" s="3" t="s">
        <v>51</v>
      </c>
      <c r="BD1" s="3" t="s">
        <v>52</v>
      </c>
    </row>
    <row r="2" ht="14.5" customHeight="1" spans="1:56" x14ac:dyDescent="0.25">
      <c r="A2" t="s">
        <v>53</v>
      </c>
      <c r="B2" t="s">
        <v>54</v>
      </c>
      <c r="C2" s="7" t="s">
        <v>55</v>
      </c>
      <c r="D2" s="8" t="s">
        <v>56</v>
      </c>
      <c r="E2" s="9" t="s">
        <v>57</v>
      </c>
      <c r="F2" s="10" t="s">
        <v>58</v>
      </c>
      <c r="G2" s="11" t="s">
        <v>59</v>
      </c>
      <c r="H2" s="12" t="s">
        <v>60</v>
      </c>
      <c r="I2" s="13" t="s">
        <v>61</v>
      </c>
      <c r="J2" s="13" t="s">
        <v>62</v>
      </c>
      <c r="K2" s="13" t="s">
        <v>63</v>
      </c>
      <c r="L2" s="14">
        <f>TODAY()-31</f>
        <v>45577</v>
      </c>
      <c r="M2" s="9" t="s">
        <v>57</v>
      </c>
      <c r="N2" s="9" t="s">
        <v>57</v>
      </c>
      <c r="O2" s="15" t="s">
        <v>64</v>
      </c>
      <c r="P2" s="15" t="s">
        <v>65</v>
      </c>
      <c r="Q2" s="16">
        <v>21201</v>
      </c>
      <c r="R2" s="13" t="s">
        <v>66</v>
      </c>
      <c r="S2" s="13" t="s">
        <v>66</v>
      </c>
      <c r="T2" s="13" t="s">
        <v>63</v>
      </c>
      <c r="U2" s="17" t="s">
        <v>67</v>
      </c>
      <c r="V2" s="18" t="s">
        <v>68</v>
      </c>
      <c r="W2" s="13" t="s">
        <v>63</v>
      </c>
      <c r="X2" s="19">
        <f>L2</f>
        <v>45577</v>
      </c>
      <c r="Y2" s="14">
        <f>TODAY()+20</f>
        <v>45628</v>
      </c>
      <c r="Z2" s="20" t="s">
        <v>69</v>
      </c>
      <c r="AA2" s="21" t="s">
        <v>70</v>
      </c>
      <c r="AB2" s="22" t="s">
        <v>71</v>
      </c>
      <c r="AC2" s="23" t="s">
        <v>72</v>
      </c>
      <c r="AD2" s="22" t="s">
        <v>73</v>
      </c>
      <c r="AE2" s="24">
        <v>124</v>
      </c>
      <c r="AF2" s="24" t="s">
        <v>47</v>
      </c>
      <c r="AG2" s="24" t="s">
        <v>74</v>
      </c>
      <c r="AH2" s="25">
        <v>40</v>
      </c>
      <c r="AI2" s="22" t="s">
        <v>75</v>
      </c>
      <c r="AJ2" s="22" t="s">
        <v>76</v>
      </c>
      <c r="AK2" s="19" t="s">
        <v>74</v>
      </c>
      <c r="AL2" s="13" t="s">
        <v>77</v>
      </c>
      <c r="AM2" s="13" t="s">
        <v>78</v>
      </c>
      <c r="AN2" s="22" t="s">
        <v>79</v>
      </c>
      <c r="AO2" s="26" t="s">
        <v>80</v>
      </c>
      <c r="AP2" s="9" t="s">
        <v>81</v>
      </c>
      <c r="AQ2" s="9" t="s">
        <v>57</v>
      </c>
      <c r="AR2" s="27" t="s">
        <v>82</v>
      </c>
      <c r="AS2" s="28">
        <f t="array" ref="AS2:AS17">_xlfn.RANDARRAY(16,1,123456789,999999999,FALSE)</f>
        <v>382384988.3993381</v>
      </c>
      <c r="AT2" s="22" t="s">
        <v>83</v>
      </c>
      <c r="AU2" s="29">
        <v>35591</v>
      </c>
      <c r="AV2" s="9" t="s">
        <v>57</v>
      </c>
      <c r="AW2" t="s">
        <v>84</v>
      </c>
      <c r="AX2" s="9" t="s">
        <v>57</v>
      </c>
      <c r="AY2" s="9" t="s">
        <v>81</v>
      </c>
      <c r="AZ2" s="30">
        <v>54057</v>
      </c>
      <c r="BA2" t="s">
        <v>65</v>
      </c>
      <c r="BB2" t="s">
        <v>85</v>
      </c>
      <c r="BC2" t="s">
        <v>86</v>
      </c>
      <c r="BD2" t="s">
        <v>87</v>
      </c>
    </row>
    <row r="3" ht="14.5" customHeight="1" spans="1:56" x14ac:dyDescent="0.25">
      <c r="A3" t="s">
        <v>88</v>
      </c>
      <c r="B3" t="s">
        <v>89</v>
      </c>
      <c r="C3" s="7" t="s">
        <v>55</v>
      </c>
      <c r="D3" s="8" t="s">
        <v>90</v>
      </c>
      <c r="E3" s="26" t="s">
        <v>57</v>
      </c>
      <c r="F3" s="31" t="s">
        <v>58</v>
      </c>
      <c r="G3" s="32" t="s">
        <v>91</v>
      </c>
      <c r="H3" s="33" t="s">
        <v>92</v>
      </c>
      <c r="I3" s="26" t="s">
        <v>61</v>
      </c>
      <c r="J3" s="26" t="s">
        <v>62</v>
      </c>
      <c r="K3" s="26" t="s">
        <v>63</v>
      </c>
      <c r="L3" s="34">
        <v>45571</v>
      </c>
      <c r="M3" s="26" t="s">
        <v>57</v>
      </c>
      <c r="N3" s="35" t="s">
        <v>57</v>
      </c>
      <c r="O3" s="35" t="s">
        <v>64</v>
      </c>
      <c r="P3" s="35" t="s">
        <v>65</v>
      </c>
      <c r="Q3" s="16">
        <v>21201</v>
      </c>
      <c r="R3" s="35" t="s">
        <v>65</v>
      </c>
      <c r="S3" s="35" t="s">
        <v>65</v>
      </c>
      <c r="T3" s="26" t="s">
        <v>63</v>
      </c>
      <c r="U3" s="26" t="s">
        <v>67</v>
      </c>
      <c r="V3" s="36" t="s">
        <v>68</v>
      </c>
      <c r="W3" s="26" t="s">
        <v>63</v>
      </c>
      <c r="X3" s="19">
        <v>45571</v>
      </c>
      <c r="Y3" s="34">
        <v>45622</v>
      </c>
      <c r="Z3" s="37" t="s">
        <v>69</v>
      </c>
      <c r="AA3" s="38" t="s">
        <v>93</v>
      </c>
      <c r="AB3" s="39" t="s">
        <v>71</v>
      </c>
      <c r="AC3" s="40" t="s">
        <v>94</v>
      </c>
      <c r="AD3" s="39" t="s">
        <v>73</v>
      </c>
      <c r="AE3" s="41">
        <v>124</v>
      </c>
      <c r="AF3" s="42" t="s">
        <v>47</v>
      </c>
      <c r="AG3" s="24" t="s">
        <v>74</v>
      </c>
      <c r="AH3" s="43">
        <v>40</v>
      </c>
      <c r="AI3" s="39" t="s">
        <v>75</v>
      </c>
      <c r="AJ3" s="39" t="s">
        <v>76</v>
      </c>
      <c r="AK3" s="44" t="s">
        <v>74</v>
      </c>
      <c r="AL3" s="26" t="s">
        <v>77</v>
      </c>
      <c r="AM3" s="26" t="s">
        <v>78</v>
      </c>
      <c r="AN3" s="39" t="s">
        <v>79</v>
      </c>
      <c r="AO3" s="26" t="s">
        <v>80</v>
      </c>
      <c r="AP3" s="26" t="s">
        <v>81</v>
      </c>
      <c r="AQ3" s="26" t="s">
        <v>57</v>
      </c>
      <c r="AR3" s="26" t="s">
        <v>82</v>
      </c>
      <c r="AS3" s="28">
        <v>520899656.7887391</v>
      </c>
      <c r="AT3" s="39" t="s">
        <v>83</v>
      </c>
      <c r="AU3" s="45">
        <v>36439</v>
      </c>
      <c r="AV3" s="26" t="s">
        <v>57</v>
      </c>
      <c r="AW3" t="s">
        <v>84</v>
      </c>
      <c r="AX3" s="26" t="s">
        <v>57</v>
      </c>
      <c r="AY3" s="26" t="s">
        <v>81</v>
      </c>
      <c r="AZ3" s="30">
        <v>54057</v>
      </c>
      <c r="BA3" t="s">
        <v>65</v>
      </c>
      <c r="BB3" t="s">
        <v>85</v>
      </c>
      <c r="BC3" t="s">
        <v>86</v>
      </c>
      <c r="BD3" t="s">
        <v>87</v>
      </c>
    </row>
    <row r="4" ht="14.5" customHeight="1" spans="1:56" x14ac:dyDescent="0.25">
      <c r="A4" t="s">
        <v>95</v>
      </c>
      <c r="B4" t="s">
        <v>96</v>
      </c>
      <c r="C4" s="7" t="s">
        <v>55</v>
      </c>
      <c r="D4" s="8" t="s">
        <v>56</v>
      </c>
      <c r="E4" s="9" t="s">
        <v>57</v>
      </c>
      <c r="F4" s="10" t="s">
        <v>58</v>
      </c>
      <c r="G4" s="11" t="s">
        <v>97</v>
      </c>
      <c r="H4" s="12" t="s">
        <v>98</v>
      </c>
      <c r="I4" s="13" t="s">
        <v>61</v>
      </c>
      <c r="J4" s="13" t="s">
        <v>62</v>
      </c>
      <c r="K4" s="13" t="s">
        <v>63</v>
      </c>
      <c r="L4" s="14">
        <f>TODAY()-31</f>
        <v>45577</v>
      </c>
      <c r="M4" s="9" t="s">
        <v>57</v>
      </c>
      <c r="N4" s="9" t="s">
        <v>57</v>
      </c>
      <c r="O4" s="15" t="s">
        <v>64</v>
      </c>
      <c r="P4" s="15" t="s">
        <v>65</v>
      </c>
      <c r="Q4" s="16">
        <v>21201</v>
      </c>
      <c r="R4" s="13" t="s">
        <v>66</v>
      </c>
      <c r="S4" s="13" t="s">
        <v>66</v>
      </c>
      <c r="T4" s="13" t="s">
        <v>63</v>
      </c>
      <c r="U4" s="17" t="s">
        <v>67</v>
      </c>
      <c r="V4" s="18" t="s">
        <v>68</v>
      </c>
      <c r="W4" s="13" t="s">
        <v>63</v>
      </c>
      <c r="X4" s="19">
        <f>L4</f>
        <v>45577</v>
      </c>
      <c r="Y4" s="14">
        <f>TODAY()+20</f>
        <v>45628</v>
      </c>
      <c r="Z4" s="20" t="s">
        <v>69</v>
      </c>
      <c r="AA4" s="38" t="s">
        <v>99</v>
      </c>
      <c r="AB4" s="22" t="s">
        <v>71</v>
      </c>
      <c r="AC4" s="46" t="s">
        <v>100</v>
      </c>
      <c r="AD4" s="22" t="s">
        <v>73</v>
      </c>
      <c r="AE4" s="24">
        <v>124</v>
      </c>
      <c r="AF4" s="24" t="s">
        <v>47</v>
      </c>
      <c r="AG4" s="24" t="s">
        <v>74</v>
      </c>
      <c r="AH4" s="25">
        <v>40</v>
      </c>
      <c r="AI4" s="22" t="s">
        <v>75</v>
      </c>
      <c r="AJ4" s="22" t="s">
        <v>76</v>
      </c>
      <c r="AK4" s="19" t="s">
        <v>74</v>
      </c>
      <c r="AL4" s="13" t="s">
        <v>77</v>
      </c>
      <c r="AM4" s="13" t="s">
        <v>78</v>
      </c>
      <c r="AN4" s="22" t="s">
        <v>79</v>
      </c>
      <c r="AO4" s="26" t="s">
        <v>80</v>
      </c>
      <c r="AP4" s="9" t="s">
        <v>81</v>
      </c>
      <c r="AQ4" s="9" t="s">
        <v>57</v>
      </c>
      <c r="AR4" s="27" t="s">
        <v>82</v>
      </c>
      <c r="AS4" s="28">
        <v>557812545.4056697</v>
      </c>
      <c r="AT4" s="22" t="s">
        <v>83</v>
      </c>
      <c r="AU4" s="29">
        <v>35956</v>
      </c>
      <c r="AV4" s="9" t="s">
        <v>57</v>
      </c>
      <c r="AW4" t="s">
        <v>84</v>
      </c>
      <c r="AX4" s="9" t="s">
        <v>57</v>
      </c>
      <c r="AY4" s="9" t="s">
        <v>81</v>
      </c>
      <c r="AZ4" s="30">
        <v>54057</v>
      </c>
      <c r="BA4" t="s">
        <v>65</v>
      </c>
      <c r="BB4" t="s">
        <v>85</v>
      </c>
      <c r="BC4" t="s">
        <v>86</v>
      </c>
      <c r="BD4" t="s">
        <v>87</v>
      </c>
    </row>
    <row r="5" ht="14.5" customHeight="1" spans="1:56" x14ac:dyDescent="0.25">
      <c r="A5" t="s">
        <v>101</v>
      </c>
      <c r="B5" t="s">
        <v>102</v>
      </c>
      <c r="C5" s="7" t="s">
        <v>55</v>
      </c>
      <c r="D5" s="47" t="s">
        <v>103</v>
      </c>
      <c r="E5" s="9" t="s">
        <v>57</v>
      </c>
      <c r="F5" s="10" t="s">
        <v>58</v>
      </c>
      <c r="G5" s="11" t="s">
        <v>104</v>
      </c>
      <c r="H5" s="12" t="s">
        <v>105</v>
      </c>
      <c r="I5" s="13" t="s">
        <v>61</v>
      </c>
      <c r="J5" s="13" t="s">
        <v>62</v>
      </c>
      <c r="K5" s="13" t="s">
        <v>63</v>
      </c>
      <c r="L5" s="14">
        <f>TODAY()-31</f>
        <v>45577</v>
      </c>
      <c r="M5" s="9" t="s">
        <v>57</v>
      </c>
      <c r="N5" s="9" t="s">
        <v>57</v>
      </c>
      <c r="O5" s="15" t="s">
        <v>64</v>
      </c>
      <c r="P5" s="15" t="s">
        <v>106</v>
      </c>
      <c r="Q5" s="16">
        <v>19102</v>
      </c>
      <c r="R5" s="13" t="s">
        <v>107</v>
      </c>
      <c r="S5" s="13" t="s">
        <v>106</v>
      </c>
      <c r="T5" s="13" t="s">
        <v>63</v>
      </c>
      <c r="U5" s="17" t="s">
        <v>67</v>
      </c>
      <c r="V5" s="18" t="s">
        <v>68</v>
      </c>
      <c r="W5" s="13" t="s">
        <v>63</v>
      </c>
      <c r="X5" s="19">
        <f>L5</f>
        <v>45577</v>
      </c>
      <c r="Y5" s="14">
        <f>TODAY()+20</f>
        <v>45628</v>
      </c>
      <c r="Z5" s="20" t="s">
        <v>69</v>
      </c>
      <c r="AA5" s="38" t="s">
        <v>108</v>
      </c>
      <c r="AB5" s="22" t="s">
        <v>71</v>
      </c>
      <c r="AC5" s="23" t="s">
        <v>72</v>
      </c>
      <c r="AD5" s="22" t="s">
        <v>73</v>
      </c>
      <c r="AE5" s="48">
        <v>114</v>
      </c>
      <c r="AF5" s="24" t="s">
        <v>47</v>
      </c>
      <c r="AG5" s="24" t="s">
        <v>74</v>
      </c>
      <c r="AH5" s="25">
        <v>40</v>
      </c>
      <c r="AI5" s="22" t="s">
        <v>75</v>
      </c>
      <c r="AJ5" s="22" t="s">
        <v>76</v>
      </c>
      <c r="AK5" s="19" t="s">
        <v>74</v>
      </c>
      <c r="AL5" s="13" t="s">
        <v>77</v>
      </c>
      <c r="AM5" s="13" t="s">
        <v>78</v>
      </c>
      <c r="AN5" s="22" t="s">
        <v>79</v>
      </c>
      <c r="AO5" s="49" t="s">
        <v>80</v>
      </c>
      <c r="AP5" s="9" t="s">
        <v>81</v>
      </c>
      <c r="AQ5" s="9" t="s">
        <v>57</v>
      </c>
      <c r="AR5" s="27" t="s">
        <v>82</v>
      </c>
      <c r="AS5" s="28">
        <v>989456017.6990048</v>
      </c>
      <c r="AT5" s="22" t="s">
        <v>83</v>
      </c>
      <c r="AU5" s="29">
        <v>35591</v>
      </c>
      <c r="AV5" s="9" t="s">
        <v>57</v>
      </c>
      <c r="AW5" t="s">
        <v>84</v>
      </c>
      <c r="AX5" s="9" t="s">
        <v>57</v>
      </c>
      <c r="AY5" s="9" t="s">
        <v>81</v>
      </c>
      <c r="AZ5" s="30">
        <v>54057</v>
      </c>
      <c r="BA5" t="s">
        <v>65</v>
      </c>
      <c r="BB5" t="s">
        <v>85</v>
      </c>
      <c r="BC5" t="s">
        <v>86</v>
      </c>
      <c r="BD5" t="s">
        <v>87</v>
      </c>
    </row>
    <row r="6" ht="14.5" customHeight="1" spans="1:56" x14ac:dyDescent="0.25">
      <c r="A6" t="s">
        <v>109</v>
      </c>
      <c r="B6" t="s">
        <v>110</v>
      </c>
      <c r="C6" s="7" t="s">
        <v>55</v>
      </c>
      <c r="D6" s="47" t="s">
        <v>103</v>
      </c>
      <c r="E6" s="9" t="s">
        <v>57</v>
      </c>
      <c r="F6" s="10" t="s">
        <v>58</v>
      </c>
      <c r="G6" s="11" t="s">
        <v>111</v>
      </c>
      <c r="H6" s="12" t="s">
        <v>112</v>
      </c>
      <c r="I6" s="13" t="s">
        <v>61</v>
      </c>
      <c r="J6" s="13" t="s">
        <v>62</v>
      </c>
      <c r="K6" s="13" t="s">
        <v>63</v>
      </c>
      <c r="L6" s="14">
        <f>TODAY()-31</f>
        <v>45577</v>
      </c>
      <c r="M6" s="9" t="s">
        <v>57</v>
      </c>
      <c r="N6" s="9" t="s">
        <v>57</v>
      </c>
      <c r="O6" s="15" t="s">
        <v>64</v>
      </c>
      <c r="P6" s="15" t="s">
        <v>106</v>
      </c>
      <c r="Q6" s="16">
        <v>19102</v>
      </c>
      <c r="R6" s="13" t="s">
        <v>107</v>
      </c>
      <c r="S6" s="13" t="s">
        <v>106</v>
      </c>
      <c r="T6" s="13" t="s">
        <v>63</v>
      </c>
      <c r="U6" s="17" t="s">
        <v>67</v>
      </c>
      <c r="V6" s="18" t="s">
        <v>68</v>
      </c>
      <c r="W6" s="13" t="s">
        <v>63</v>
      </c>
      <c r="X6" s="19">
        <f>L6</f>
        <v>45577</v>
      </c>
      <c r="Y6" s="14">
        <f>TODAY()+20</f>
        <v>45628</v>
      </c>
      <c r="Z6" s="20" t="s">
        <v>69</v>
      </c>
      <c r="AA6" s="38" t="s">
        <v>113</v>
      </c>
      <c r="AB6" s="22" t="s">
        <v>71</v>
      </c>
      <c r="AC6" s="46" t="s">
        <v>94</v>
      </c>
      <c r="AD6" s="22" t="s">
        <v>73</v>
      </c>
      <c r="AE6" s="24">
        <v>114</v>
      </c>
      <c r="AF6" s="24" t="s">
        <v>47</v>
      </c>
      <c r="AG6" s="24" t="s">
        <v>74</v>
      </c>
      <c r="AH6" s="25">
        <v>40</v>
      </c>
      <c r="AI6" s="22" t="s">
        <v>75</v>
      </c>
      <c r="AJ6" s="22" t="s">
        <v>76</v>
      </c>
      <c r="AK6" s="19" t="s">
        <v>74</v>
      </c>
      <c r="AL6" s="13" t="s">
        <v>77</v>
      </c>
      <c r="AM6" s="13" t="s">
        <v>78</v>
      </c>
      <c r="AN6" s="22" t="s">
        <v>79</v>
      </c>
      <c r="AO6" s="26" t="s">
        <v>80</v>
      </c>
      <c r="AP6" s="9" t="s">
        <v>81</v>
      </c>
      <c r="AQ6" s="9" t="s">
        <v>57</v>
      </c>
      <c r="AR6" s="27" t="s">
        <v>82</v>
      </c>
      <c r="AS6" s="28">
        <v>785876381.062165</v>
      </c>
      <c r="AT6" s="22" t="s">
        <v>83</v>
      </c>
      <c r="AU6" s="29">
        <v>35591</v>
      </c>
      <c r="AV6" s="9" t="s">
        <v>57</v>
      </c>
      <c r="AW6" t="s">
        <v>84</v>
      </c>
      <c r="AX6" s="9" t="s">
        <v>57</v>
      </c>
      <c r="AY6" s="9" t="s">
        <v>81</v>
      </c>
      <c r="AZ6" s="30">
        <v>54057</v>
      </c>
      <c r="BA6" t="s">
        <v>65</v>
      </c>
      <c r="BB6" t="s">
        <v>85</v>
      </c>
      <c r="BC6" t="s">
        <v>86</v>
      </c>
      <c r="BD6" t="s">
        <v>87</v>
      </c>
    </row>
    <row r="7" ht="14.5" customHeight="1" spans="1:56" x14ac:dyDescent="0.25">
      <c r="A7" t="s">
        <v>114</v>
      </c>
      <c r="B7" t="s">
        <v>115</v>
      </c>
      <c r="C7" s="7" t="s">
        <v>55</v>
      </c>
      <c r="D7" s="47" t="s">
        <v>103</v>
      </c>
      <c r="E7" s="9" t="s">
        <v>57</v>
      </c>
      <c r="F7" s="10" t="s">
        <v>58</v>
      </c>
      <c r="G7" s="11" t="s">
        <v>116</v>
      </c>
      <c r="H7" s="12" t="s">
        <v>117</v>
      </c>
      <c r="I7" s="13" t="s">
        <v>61</v>
      </c>
      <c r="J7" s="13" t="s">
        <v>62</v>
      </c>
      <c r="K7" s="13" t="s">
        <v>63</v>
      </c>
      <c r="L7" s="14">
        <f>TODAY()-31</f>
        <v>45577</v>
      </c>
      <c r="M7" s="9" t="s">
        <v>57</v>
      </c>
      <c r="N7" s="9" t="s">
        <v>57</v>
      </c>
      <c r="O7" s="15" t="s">
        <v>64</v>
      </c>
      <c r="P7" s="15" t="s">
        <v>106</v>
      </c>
      <c r="Q7" s="16">
        <v>19102</v>
      </c>
      <c r="R7" s="13" t="s">
        <v>107</v>
      </c>
      <c r="S7" s="13" t="s">
        <v>106</v>
      </c>
      <c r="T7" s="13" t="s">
        <v>63</v>
      </c>
      <c r="U7" s="17" t="s">
        <v>67</v>
      </c>
      <c r="V7" s="18" t="s">
        <v>68</v>
      </c>
      <c r="W7" s="13" t="s">
        <v>63</v>
      </c>
      <c r="X7" s="19">
        <f>L7</f>
        <v>45577</v>
      </c>
      <c r="Y7" s="14">
        <f>TODAY()+20</f>
        <v>45628</v>
      </c>
      <c r="Z7" s="20" t="s">
        <v>69</v>
      </c>
      <c r="AA7" s="38" t="s">
        <v>118</v>
      </c>
      <c r="AB7" s="22" t="s">
        <v>71</v>
      </c>
      <c r="AC7" s="46" t="s">
        <v>100</v>
      </c>
      <c r="AD7" s="22" t="s">
        <v>73</v>
      </c>
      <c r="AE7" s="24">
        <v>114</v>
      </c>
      <c r="AF7" s="24" t="s">
        <v>47</v>
      </c>
      <c r="AG7" s="25">
        <v>40</v>
      </c>
      <c r="AH7" s="25">
        <v>40</v>
      </c>
      <c r="AI7" s="22" t="s">
        <v>75</v>
      </c>
      <c r="AJ7" s="22" t="s">
        <v>76</v>
      </c>
      <c r="AK7" s="19" t="s">
        <v>74</v>
      </c>
      <c r="AL7" s="13" t="s">
        <v>77</v>
      </c>
      <c r="AM7" s="13" t="s">
        <v>78</v>
      </c>
      <c r="AN7" s="22" t="s">
        <v>79</v>
      </c>
      <c r="AO7" s="26" t="s">
        <v>80</v>
      </c>
      <c r="AP7" s="9" t="s">
        <v>81</v>
      </c>
      <c r="AQ7" s="9" t="s">
        <v>57</v>
      </c>
      <c r="AR7" s="27" t="s">
        <v>82</v>
      </c>
      <c r="AS7" s="28">
        <v>804058163.7429827</v>
      </c>
      <c r="AT7" s="22" t="s">
        <v>83</v>
      </c>
      <c r="AU7" s="29">
        <v>35591</v>
      </c>
      <c r="AV7" s="9" t="s">
        <v>57</v>
      </c>
      <c r="AW7" t="s">
        <v>84</v>
      </c>
      <c r="AX7" s="9" t="s">
        <v>57</v>
      </c>
      <c r="AY7" s="9" t="s">
        <v>81</v>
      </c>
      <c r="AZ7" s="30">
        <v>54057</v>
      </c>
      <c r="BA7" t="s">
        <v>65</v>
      </c>
      <c r="BB7" t="s">
        <v>85</v>
      </c>
      <c r="BC7" t="s">
        <v>86</v>
      </c>
      <c r="BD7" t="s">
        <v>87</v>
      </c>
    </row>
    <row r="8" ht="14.5" customHeight="1" spans="1:56" x14ac:dyDescent="0.25">
      <c r="A8" t="s">
        <v>119</v>
      </c>
      <c r="B8" t="s">
        <v>120</v>
      </c>
      <c r="C8" s="7" t="s">
        <v>121</v>
      </c>
      <c r="D8" s="8" t="s">
        <v>122</v>
      </c>
      <c r="E8" s="26" t="s">
        <v>57</v>
      </c>
      <c r="F8" s="31" t="s">
        <v>58</v>
      </c>
      <c r="G8" s="32" t="s">
        <v>123</v>
      </c>
      <c r="H8" s="33" t="s">
        <v>124</v>
      </c>
      <c r="I8" s="26" t="s">
        <v>61</v>
      </c>
      <c r="J8" s="26" t="s">
        <v>62</v>
      </c>
      <c r="K8" s="26" t="s">
        <v>63</v>
      </c>
      <c r="L8" s="34">
        <v>45571</v>
      </c>
      <c r="M8" s="26" t="s">
        <v>57</v>
      </c>
      <c r="N8" s="35" t="s">
        <v>57</v>
      </c>
      <c r="O8" s="35" t="s">
        <v>64</v>
      </c>
      <c r="P8" s="35" t="s">
        <v>125</v>
      </c>
      <c r="Q8" s="16">
        <v>19406</v>
      </c>
      <c r="R8" s="26" t="s">
        <v>125</v>
      </c>
      <c r="S8" s="26" t="s">
        <v>106</v>
      </c>
      <c r="T8" s="26" t="s">
        <v>63</v>
      </c>
      <c r="U8" s="26" t="s">
        <v>67</v>
      </c>
      <c r="V8" s="36" t="s">
        <v>68</v>
      </c>
      <c r="W8" s="26" t="s">
        <v>63</v>
      </c>
      <c r="X8" s="19">
        <v>45571</v>
      </c>
      <c r="Y8" s="34">
        <v>45622</v>
      </c>
      <c r="Z8" s="37" t="s">
        <v>69</v>
      </c>
      <c r="AA8" s="38" t="s">
        <v>126</v>
      </c>
      <c r="AB8" s="39" t="s">
        <v>71</v>
      </c>
      <c r="AC8" s="23" t="s">
        <v>72</v>
      </c>
      <c r="AD8" s="39" t="s">
        <v>73</v>
      </c>
      <c r="AE8" s="42">
        <v>103</v>
      </c>
      <c r="AF8" s="42" t="s">
        <v>47</v>
      </c>
      <c r="AG8" s="25">
        <v>40</v>
      </c>
      <c r="AH8" s="43">
        <v>40</v>
      </c>
      <c r="AI8" s="39" t="s">
        <v>75</v>
      </c>
      <c r="AJ8" s="39" t="s">
        <v>76</v>
      </c>
      <c r="AK8" s="44" t="s">
        <v>74</v>
      </c>
      <c r="AL8" s="26" t="s">
        <v>77</v>
      </c>
      <c r="AM8" s="26" t="s">
        <v>78</v>
      </c>
      <c r="AN8" s="39" t="s">
        <v>79</v>
      </c>
      <c r="AO8" s="26" t="s">
        <v>80</v>
      </c>
      <c r="AP8" s="26" t="s">
        <v>81</v>
      </c>
      <c r="AQ8" s="26" t="s">
        <v>57</v>
      </c>
      <c r="AR8" s="26" t="s">
        <v>82</v>
      </c>
      <c r="AS8" s="28">
        <v>632508201.5898451</v>
      </c>
      <c r="AT8" s="39" t="s">
        <v>83</v>
      </c>
      <c r="AU8" s="45">
        <v>35709</v>
      </c>
      <c r="AV8" s="26" t="s">
        <v>57</v>
      </c>
      <c r="AW8" t="s">
        <v>84</v>
      </c>
      <c r="AX8" s="26" t="s">
        <v>57</v>
      </c>
      <c r="AY8" s="26" t="s">
        <v>81</v>
      </c>
      <c r="AZ8" s="30">
        <v>54057</v>
      </c>
      <c r="BA8" t="s">
        <v>65</v>
      </c>
      <c r="BB8" t="s">
        <v>85</v>
      </c>
      <c r="BC8" t="s">
        <v>86</v>
      </c>
      <c r="BD8" t="s">
        <v>87</v>
      </c>
    </row>
    <row r="9" ht="14.5" customHeight="1" spans="1:56" x14ac:dyDescent="0.25">
      <c r="A9" t="s">
        <v>127</v>
      </c>
      <c r="B9" t="s">
        <v>128</v>
      </c>
      <c r="C9" s="7" t="s">
        <v>55</v>
      </c>
      <c r="D9" s="8" t="s">
        <v>122</v>
      </c>
      <c r="E9" s="9" t="s">
        <v>57</v>
      </c>
      <c r="F9" s="10" t="s">
        <v>58</v>
      </c>
      <c r="G9" s="11" t="s">
        <v>129</v>
      </c>
      <c r="H9" s="12" t="s">
        <v>130</v>
      </c>
      <c r="I9" s="13" t="s">
        <v>61</v>
      </c>
      <c r="J9" s="13" t="s">
        <v>62</v>
      </c>
      <c r="K9" s="13" t="s">
        <v>63</v>
      </c>
      <c r="L9" s="14">
        <f>TODAY()-31</f>
        <v>45577</v>
      </c>
      <c r="M9" s="9" t="s">
        <v>57</v>
      </c>
      <c r="N9" s="9" t="s">
        <v>57</v>
      </c>
      <c r="O9" s="15" t="s">
        <v>64</v>
      </c>
      <c r="P9" s="35" t="s">
        <v>125</v>
      </c>
      <c r="Q9" s="16">
        <v>19406</v>
      </c>
      <c r="R9" s="26" t="s">
        <v>125</v>
      </c>
      <c r="S9" s="26" t="s">
        <v>106</v>
      </c>
      <c r="T9" s="13" t="s">
        <v>63</v>
      </c>
      <c r="U9" s="17" t="s">
        <v>67</v>
      </c>
      <c r="V9" s="18" t="s">
        <v>68</v>
      </c>
      <c r="W9" s="13" t="s">
        <v>63</v>
      </c>
      <c r="X9" s="19">
        <f>L9</f>
        <v>45577</v>
      </c>
      <c r="Y9" s="14">
        <f>TODAY()+20</f>
        <v>45628</v>
      </c>
      <c r="Z9" s="20" t="s">
        <v>69</v>
      </c>
      <c r="AA9" s="38" t="s">
        <v>131</v>
      </c>
      <c r="AB9" s="22" t="s">
        <v>71</v>
      </c>
      <c r="AC9" s="46" t="s">
        <v>94</v>
      </c>
      <c r="AD9" s="22" t="s">
        <v>73</v>
      </c>
      <c r="AE9" s="24">
        <v>103</v>
      </c>
      <c r="AF9" s="24" t="s">
        <v>47</v>
      </c>
      <c r="AG9" s="25">
        <v>40</v>
      </c>
      <c r="AH9" s="25">
        <v>40</v>
      </c>
      <c r="AI9" s="22" t="s">
        <v>75</v>
      </c>
      <c r="AJ9" s="22" t="s">
        <v>76</v>
      </c>
      <c r="AK9" s="19" t="s">
        <v>74</v>
      </c>
      <c r="AL9" s="13" t="s">
        <v>77</v>
      </c>
      <c r="AM9" s="13" t="s">
        <v>78</v>
      </c>
      <c r="AN9" s="22" t="s">
        <v>79</v>
      </c>
      <c r="AO9" s="26" t="s">
        <v>80</v>
      </c>
      <c r="AP9" s="9" t="s">
        <v>81</v>
      </c>
      <c r="AQ9" s="9" t="s">
        <v>57</v>
      </c>
      <c r="AR9" s="27" t="s">
        <v>82</v>
      </c>
      <c r="AS9" s="28">
        <v>784364524.2209965</v>
      </c>
      <c r="AT9" s="22" t="s">
        <v>83</v>
      </c>
      <c r="AU9" s="29">
        <v>35591</v>
      </c>
      <c r="AV9" s="9" t="s">
        <v>57</v>
      </c>
      <c r="AW9" t="s">
        <v>84</v>
      </c>
      <c r="AX9" s="9" t="s">
        <v>57</v>
      </c>
      <c r="AY9" s="9" t="s">
        <v>81</v>
      </c>
      <c r="AZ9" s="30">
        <v>54057</v>
      </c>
      <c r="BA9" t="s">
        <v>65</v>
      </c>
      <c r="BB9" t="s">
        <v>85</v>
      </c>
      <c r="BC9" t="s">
        <v>86</v>
      </c>
      <c r="BD9" t="s">
        <v>87</v>
      </c>
    </row>
    <row r="10" ht="14.5" customHeight="1" spans="1:56" x14ac:dyDescent="0.25">
      <c r="A10" t="s">
        <v>132</v>
      </c>
      <c r="B10" t="s">
        <v>133</v>
      </c>
      <c r="C10" s="7" t="s">
        <v>55</v>
      </c>
      <c r="D10" s="8" t="s">
        <v>122</v>
      </c>
      <c r="E10" s="9" t="s">
        <v>57</v>
      </c>
      <c r="F10" s="10" t="s">
        <v>58</v>
      </c>
      <c r="G10" s="11" t="s">
        <v>134</v>
      </c>
      <c r="H10" s="12" t="s">
        <v>135</v>
      </c>
      <c r="I10" s="13" t="s">
        <v>61</v>
      </c>
      <c r="J10" s="13" t="s">
        <v>62</v>
      </c>
      <c r="K10" s="13" t="s">
        <v>63</v>
      </c>
      <c r="L10" s="14">
        <f>TODAY()-31</f>
        <v>45577</v>
      </c>
      <c r="M10" s="9" t="s">
        <v>57</v>
      </c>
      <c r="N10" s="9" t="s">
        <v>57</v>
      </c>
      <c r="O10" s="15" t="s">
        <v>64</v>
      </c>
      <c r="P10" s="35" t="s">
        <v>125</v>
      </c>
      <c r="Q10" s="16">
        <v>19406</v>
      </c>
      <c r="R10" s="26" t="s">
        <v>125</v>
      </c>
      <c r="S10" s="26" t="s">
        <v>106</v>
      </c>
      <c r="T10" s="13" t="s">
        <v>63</v>
      </c>
      <c r="U10" s="17" t="s">
        <v>67</v>
      </c>
      <c r="V10" s="18" t="s">
        <v>68</v>
      </c>
      <c r="W10" s="13" t="s">
        <v>63</v>
      </c>
      <c r="X10" s="19">
        <f>L10</f>
        <v>45577</v>
      </c>
      <c r="Y10" s="14">
        <f>TODAY()+20</f>
        <v>45628</v>
      </c>
      <c r="Z10" s="20" t="s">
        <v>69</v>
      </c>
      <c r="AA10" s="38" t="s">
        <v>136</v>
      </c>
      <c r="AB10" s="22" t="s">
        <v>71</v>
      </c>
      <c r="AC10" s="46" t="s">
        <v>100</v>
      </c>
      <c r="AD10" s="22" t="s">
        <v>73</v>
      </c>
      <c r="AE10" s="24">
        <v>103</v>
      </c>
      <c r="AF10" s="24" t="s">
        <v>47</v>
      </c>
      <c r="AG10" s="25">
        <v>40</v>
      </c>
      <c r="AH10" s="25">
        <v>40</v>
      </c>
      <c r="AI10" s="22" t="s">
        <v>75</v>
      </c>
      <c r="AJ10" s="22" t="s">
        <v>76</v>
      </c>
      <c r="AK10" s="19" t="s">
        <v>74</v>
      </c>
      <c r="AL10" s="13" t="s">
        <v>77</v>
      </c>
      <c r="AM10" s="13" t="s">
        <v>78</v>
      </c>
      <c r="AN10" s="22" t="s">
        <v>79</v>
      </c>
      <c r="AO10" s="26" t="s">
        <v>80</v>
      </c>
      <c r="AP10" s="9" t="s">
        <v>81</v>
      </c>
      <c r="AQ10" s="9" t="s">
        <v>57</v>
      </c>
      <c r="AR10" s="27" t="s">
        <v>82</v>
      </c>
      <c r="AS10" s="28">
        <v>690276280.6384156</v>
      </c>
      <c r="AT10" s="22" t="s">
        <v>83</v>
      </c>
      <c r="AU10" s="29">
        <v>35591</v>
      </c>
      <c r="AV10" s="9" t="s">
        <v>57</v>
      </c>
      <c r="AW10" t="s">
        <v>84</v>
      </c>
      <c r="AX10" s="9" t="s">
        <v>57</v>
      </c>
      <c r="AY10" s="9" t="s">
        <v>81</v>
      </c>
      <c r="AZ10" s="30">
        <v>54057</v>
      </c>
      <c r="BA10" t="s">
        <v>65</v>
      </c>
      <c r="BB10" t="s">
        <v>85</v>
      </c>
      <c r="BC10" t="s">
        <v>86</v>
      </c>
      <c r="BD10" t="s">
        <v>87</v>
      </c>
    </row>
    <row r="11" ht="14.5" customHeight="1" spans="1:56" x14ac:dyDescent="0.25">
      <c r="A11" t="s">
        <v>137</v>
      </c>
      <c r="B11" t="s">
        <v>138</v>
      </c>
      <c r="C11" s="7" t="s">
        <v>55</v>
      </c>
      <c r="D11" s="50" t="s">
        <v>139</v>
      </c>
      <c r="E11" s="26" t="s">
        <v>57</v>
      </c>
      <c r="F11" s="31" t="s">
        <v>58</v>
      </c>
      <c r="G11" s="32" t="s">
        <v>140</v>
      </c>
      <c r="H11" s="33" t="s">
        <v>141</v>
      </c>
      <c r="I11" s="26" t="s">
        <v>61</v>
      </c>
      <c r="J11" s="26" t="s">
        <v>62</v>
      </c>
      <c r="K11" s="26" t="s">
        <v>63</v>
      </c>
      <c r="L11" s="34">
        <v>45571</v>
      </c>
      <c r="M11" s="26" t="s">
        <v>57</v>
      </c>
      <c r="N11" s="26" t="s">
        <v>57</v>
      </c>
      <c r="O11" s="35" t="s">
        <v>64</v>
      </c>
      <c r="P11" s="35" t="s">
        <v>125</v>
      </c>
      <c r="Q11" s="16">
        <v>19090</v>
      </c>
      <c r="R11" s="35" t="s">
        <v>125</v>
      </c>
      <c r="S11" s="26" t="s">
        <v>106</v>
      </c>
      <c r="T11" s="26" t="s">
        <v>63</v>
      </c>
      <c r="U11" s="26" t="s">
        <v>67</v>
      </c>
      <c r="V11" s="36" t="s">
        <v>68</v>
      </c>
      <c r="W11" s="26" t="s">
        <v>63</v>
      </c>
      <c r="X11" s="19">
        <v>45571</v>
      </c>
      <c r="Y11" s="34">
        <v>45622</v>
      </c>
      <c r="Z11" s="37" t="s">
        <v>69</v>
      </c>
      <c r="AA11" s="38" t="s">
        <v>142</v>
      </c>
      <c r="AB11" s="39" t="s">
        <v>71</v>
      </c>
      <c r="AC11" s="23" t="s">
        <v>72</v>
      </c>
      <c r="AD11" s="39" t="s">
        <v>73</v>
      </c>
      <c r="AE11" s="41">
        <v>108</v>
      </c>
      <c r="AF11" s="42" t="s">
        <v>47</v>
      </c>
      <c r="AG11" s="25">
        <v>40</v>
      </c>
      <c r="AH11" s="43">
        <v>40</v>
      </c>
      <c r="AI11" s="39" t="s">
        <v>75</v>
      </c>
      <c r="AJ11" s="39" t="s">
        <v>76</v>
      </c>
      <c r="AK11" s="44" t="s">
        <v>74</v>
      </c>
      <c r="AL11" s="26" t="s">
        <v>77</v>
      </c>
      <c r="AM11" s="26" t="s">
        <v>78</v>
      </c>
      <c r="AN11" s="39" t="s">
        <v>79</v>
      </c>
      <c r="AO11" s="51" t="s">
        <v>80</v>
      </c>
      <c r="AP11" s="26" t="s">
        <v>81</v>
      </c>
      <c r="AQ11" s="26" t="s">
        <v>57</v>
      </c>
      <c r="AR11" s="26" t="s">
        <v>82</v>
      </c>
      <c r="AS11" s="28">
        <v>501541083.3148836</v>
      </c>
      <c r="AT11" s="39" t="s">
        <v>83</v>
      </c>
      <c r="AU11" s="45">
        <v>35709</v>
      </c>
      <c r="AV11" s="26" t="s">
        <v>57</v>
      </c>
      <c r="AW11" t="s">
        <v>84</v>
      </c>
      <c r="AX11" s="26" t="s">
        <v>57</v>
      </c>
      <c r="AY11" s="26" t="s">
        <v>81</v>
      </c>
      <c r="AZ11" s="30">
        <v>54057</v>
      </c>
      <c r="BA11" t="s">
        <v>65</v>
      </c>
      <c r="BB11" t="s">
        <v>85</v>
      </c>
      <c r="BC11" t="s">
        <v>86</v>
      </c>
      <c r="BD11" t="s">
        <v>87</v>
      </c>
    </row>
    <row r="12" ht="14.5" customHeight="1" spans="1:56" x14ac:dyDescent="0.25">
      <c r="A12" t="s">
        <v>143</v>
      </c>
      <c r="B12" t="s">
        <v>144</v>
      </c>
      <c r="C12" s="7" t="s">
        <v>55</v>
      </c>
      <c r="D12" s="50" t="s">
        <v>139</v>
      </c>
      <c r="E12" s="9" t="s">
        <v>57</v>
      </c>
      <c r="F12" s="10" t="s">
        <v>58</v>
      </c>
      <c r="G12" s="11" t="s">
        <v>145</v>
      </c>
      <c r="H12" s="12" t="s">
        <v>146</v>
      </c>
      <c r="I12" s="13" t="s">
        <v>61</v>
      </c>
      <c r="J12" s="13" t="s">
        <v>62</v>
      </c>
      <c r="K12" s="13" t="s">
        <v>63</v>
      </c>
      <c r="L12" s="14">
        <f>TODAY()-31</f>
        <v>45577</v>
      </c>
      <c r="M12" s="9" t="s">
        <v>57</v>
      </c>
      <c r="N12" s="15" t="s">
        <v>65</v>
      </c>
      <c r="O12" s="15" t="s">
        <v>64</v>
      </c>
      <c r="P12" s="35" t="s">
        <v>125</v>
      </c>
      <c r="Q12" s="16">
        <v>19090</v>
      </c>
      <c r="R12" s="35" t="s">
        <v>125</v>
      </c>
      <c r="S12" s="26" t="s">
        <v>106</v>
      </c>
      <c r="T12" s="13" t="s">
        <v>63</v>
      </c>
      <c r="U12" s="17" t="s">
        <v>67</v>
      </c>
      <c r="V12" s="18" t="s">
        <v>68</v>
      </c>
      <c r="W12" s="13" t="s">
        <v>63</v>
      </c>
      <c r="X12" s="19">
        <f>L12</f>
        <v>45577</v>
      </c>
      <c r="Y12" s="14">
        <f>TODAY()+20</f>
        <v>45628</v>
      </c>
      <c r="Z12" s="20" t="s">
        <v>69</v>
      </c>
      <c r="AA12" s="38" t="s">
        <v>147</v>
      </c>
      <c r="AB12" s="22" t="s">
        <v>71</v>
      </c>
      <c r="AC12" s="46" t="s">
        <v>94</v>
      </c>
      <c r="AD12" s="22" t="s">
        <v>73</v>
      </c>
      <c r="AE12" s="24">
        <v>108</v>
      </c>
      <c r="AF12" s="24" t="s">
        <v>47</v>
      </c>
      <c r="AG12" s="25">
        <v>40</v>
      </c>
      <c r="AH12" s="25">
        <v>40</v>
      </c>
      <c r="AI12" s="22" t="s">
        <v>75</v>
      </c>
      <c r="AJ12" s="22" t="s">
        <v>76</v>
      </c>
      <c r="AK12" s="19" t="s">
        <v>74</v>
      </c>
      <c r="AL12" s="13" t="s">
        <v>77</v>
      </c>
      <c r="AM12" s="13" t="s">
        <v>78</v>
      </c>
      <c r="AN12" s="22" t="s">
        <v>79</v>
      </c>
      <c r="AO12" s="51" t="s">
        <v>80</v>
      </c>
      <c r="AP12" s="9" t="s">
        <v>81</v>
      </c>
      <c r="AQ12" s="9" t="s">
        <v>57</v>
      </c>
      <c r="AR12" s="27" t="s">
        <v>82</v>
      </c>
      <c r="AS12" s="28">
        <v>660781998.1587614</v>
      </c>
      <c r="AT12" s="22" t="s">
        <v>83</v>
      </c>
      <c r="AU12" s="29">
        <v>35591</v>
      </c>
      <c r="AV12" s="9" t="s">
        <v>57</v>
      </c>
      <c r="AW12" t="s">
        <v>84</v>
      </c>
      <c r="AX12" s="9" t="s">
        <v>57</v>
      </c>
      <c r="AY12" s="9" t="s">
        <v>81</v>
      </c>
      <c r="AZ12" s="30">
        <v>54057</v>
      </c>
      <c r="BA12" t="s">
        <v>65</v>
      </c>
      <c r="BB12" t="s">
        <v>85</v>
      </c>
      <c r="BC12" t="s">
        <v>86</v>
      </c>
      <c r="BD12" t="s">
        <v>87</v>
      </c>
    </row>
    <row r="13" ht="14.5" customHeight="1" spans="1:56" x14ac:dyDescent="0.25">
      <c r="A13" t="s">
        <v>148</v>
      </c>
      <c r="B13" t="s">
        <v>149</v>
      </c>
      <c r="C13" s="7" t="s">
        <v>55</v>
      </c>
      <c r="D13" s="50" t="s">
        <v>139</v>
      </c>
      <c r="E13" s="9" t="s">
        <v>57</v>
      </c>
      <c r="F13" s="10" t="s">
        <v>58</v>
      </c>
      <c r="G13" s="11" t="s">
        <v>150</v>
      </c>
      <c r="H13" s="12" t="s">
        <v>151</v>
      </c>
      <c r="I13" s="13" t="s">
        <v>61</v>
      </c>
      <c r="J13" s="13" t="s">
        <v>62</v>
      </c>
      <c r="K13" s="13" t="s">
        <v>63</v>
      </c>
      <c r="L13" s="14">
        <f>TODAY()-31</f>
        <v>45577</v>
      </c>
      <c r="M13" s="9" t="s">
        <v>57</v>
      </c>
      <c r="N13" s="15" t="s">
        <v>65</v>
      </c>
      <c r="O13" s="15" t="s">
        <v>64</v>
      </c>
      <c r="P13" s="35" t="s">
        <v>125</v>
      </c>
      <c r="Q13" s="16">
        <v>19090</v>
      </c>
      <c r="R13" s="35" t="s">
        <v>125</v>
      </c>
      <c r="S13" s="26" t="s">
        <v>106</v>
      </c>
      <c r="T13" s="13" t="s">
        <v>63</v>
      </c>
      <c r="U13" s="17" t="s">
        <v>67</v>
      </c>
      <c r="V13" s="18" t="s">
        <v>68</v>
      </c>
      <c r="W13" s="13" t="s">
        <v>63</v>
      </c>
      <c r="X13" s="19">
        <f>L13</f>
        <v>45577</v>
      </c>
      <c r="Y13" s="14">
        <f>TODAY()+20</f>
        <v>45628</v>
      </c>
      <c r="Z13" s="20" t="s">
        <v>69</v>
      </c>
      <c r="AA13" s="38" t="s">
        <v>152</v>
      </c>
      <c r="AB13" s="22" t="s">
        <v>71</v>
      </c>
      <c r="AC13" s="46" t="s">
        <v>100</v>
      </c>
      <c r="AD13" s="22" t="s">
        <v>73</v>
      </c>
      <c r="AE13" s="24">
        <v>108</v>
      </c>
      <c r="AF13" s="24" t="s">
        <v>47</v>
      </c>
      <c r="AG13" s="25">
        <v>40</v>
      </c>
      <c r="AH13" s="25">
        <v>40</v>
      </c>
      <c r="AI13" s="22" t="s">
        <v>75</v>
      </c>
      <c r="AJ13" s="22" t="s">
        <v>76</v>
      </c>
      <c r="AK13" s="19" t="s">
        <v>74</v>
      </c>
      <c r="AL13" s="13" t="s">
        <v>77</v>
      </c>
      <c r="AM13" s="13" t="s">
        <v>78</v>
      </c>
      <c r="AN13" s="22" t="s">
        <v>79</v>
      </c>
      <c r="AO13" s="51" t="s">
        <v>80</v>
      </c>
      <c r="AP13" s="9" t="s">
        <v>81</v>
      </c>
      <c r="AQ13" s="9" t="s">
        <v>57</v>
      </c>
      <c r="AR13" s="27" t="s">
        <v>82</v>
      </c>
      <c r="AS13" s="28">
        <v>369519756.158321</v>
      </c>
      <c r="AT13" s="22" t="s">
        <v>83</v>
      </c>
      <c r="AU13" s="29">
        <v>35591</v>
      </c>
      <c r="AV13" s="9" t="s">
        <v>57</v>
      </c>
      <c r="AW13" t="s">
        <v>84</v>
      </c>
      <c r="AX13" s="9" t="s">
        <v>57</v>
      </c>
      <c r="AY13" s="9" t="s">
        <v>81</v>
      </c>
      <c r="AZ13" s="30">
        <v>54057</v>
      </c>
      <c r="BA13" t="s">
        <v>65</v>
      </c>
      <c r="BB13" t="s">
        <v>85</v>
      </c>
      <c r="BC13" t="s">
        <v>86</v>
      </c>
      <c r="BD13" t="s">
        <v>87</v>
      </c>
    </row>
    <row r="14" ht="14.5" customHeight="1" spans="1:56" x14ac:dyDescent="0.25">
      <c r="A14" t="s">
        <v>153</v>
      </c>
      <c r="B14" t="s">
        <v>154</v>
      </c>
      <c r="C14" s="7" t="s">
        <v>121</v>
      </c>
      <c r="D14" s="50" t="s">
        <v>155</v>
      </c>
      <c r="E14" s="26" t="s">
        <v>57</v>
      </c>
      <c r="F14" s="31" t="s">
        <v>58</v>
      </c>
      <c r="G14" s="32" t="s">
        <v>156</v>
      </c>
      <c r="H14" s="33" t="s">
        <v>157</v>
      </c>
      <c r="I14" s="26" t="s">
        <v>61</v>
      </c>
      <c r="J14" s="26" t="s">
        <v>62</v>
      </c>
      <c r="K14" s="26" t="s">
        <v>63</v>
      </c>
      <c r="L14" s="34">
        <v>45571</v>
      </c>
      <c r="M14" s="26" t="s">
        <v>57</v>
      </c>
      <c r="N14" s="26" t="s">
        <v>57</v>
      </c>
      <c r="O14" s="35" t="s">
        <v>64</v>
      </c>
      <c r="P14" s="35" t="s">
        <v>158</v>
      </c>
      <c r="Q14" s="16">
        <v>22192</v>
      </c>
      <c r="R14" s="35" t="s">
        <v>159</v>
      </c>
      <c r="S14" s="26" t="s">
        <v>159</v>
      </c>
      <c r="T14" s="26" t="s">
        <v>63</v>
      </c>
      <c r="U14" s="26" t="s">
        <v>67</v>
      </c>
      <c r="V14" s="36" t="s">
        <v>68</v>
      </c>
      <c r="W14" s="26" t="s">
        <v>63</v>
      </c>
      <c r="X14" s="19">
        <v>45571</v>
      </c>
      <c r="Y14" s="34">
        <v>45622</v>
      </c>
      <c r="Z14" s="37" t="s">
        <v>69</v>
      </c>
      <c r="AA14" s="38" t="s">
        <v>160</v>
      </c>
      <c r="AB14" s="39" t="s">
        <v>71</v>
      </c>
      <c r="AC14" s="23" t="s">
        <v>72</v>
      </c>
      <c r="AD14" s="39" t="s">
        <v>73</v>
      </c>
      <c r="AE14" s="41">
        <v>134</v>
      </c>
      <c r="AF14" s="42" t="s">
        <v>47</v>
      </c>
      <c r="AG14" s="25">
        <v>40</v>
      </c>
      <c r="AH14" s="43">
        <v>40</v>
      </c>
      <c r="AI14" s="39" t="s">
        <v>75</v>
      </c>
      <c r="AJ14" s="39" t="s">
        <v>76</v>
      </c>
      <c r="AK14" s="44" t="s">
        <v>74</v>
      </c>
      <c r="AL14" s="26" t="s">
        <v>77</v>
      </c>
      <c r="AM14" s="26" t="s">
        <v>78</v>
      </c>
      <c r="AN14" s="39" t="s">
        <v>79</v>
      </c>
      <c r="AO14" s="51" t="s">
        <v>161</v>
      </c>
      <c r="AP14" s="26" t="s">
        <v>81</v>
      </c>
      <c r="AQ14" s="26" t="s">
        <v>57</v>
      </c>
      <c r="AR14" s="26" t="s">
        <v>82</v>
      </c>
      <c r="AS14" s="28">
        <v>584522102.083316</v>
      </c>
      <c r="AT14" s="39" t="s">
        <v>83</v>
      </c>
      <c r="AU14" s="45">
        <v>35709</v>
      </c>
      <c r="AV14" s="26" t="s">
        <v>57</v>
      </c>
      <c r="AW14" t="s">
        <v>84</v>
      </c>
      <c r="AX14" s="26" t="s">
        <v>57</v>
      </c>
      <c r="AY14" s="26" t="s">
        <v>81</v>
      </c>
      <c r="AZ14" s="30">
        <v>54057</v>
      </c>
      <c r="BA14" t="s">
        <v>65</v>
      </c>
      <c r="BB14" t="s">
        <v>85</v>
      </c>
      <c r="BC14" t="s">
        <v>86</v>
      </c>
      <c r="BD14" t="s">
        <v>87</v>
      </c>
    </row>
    <row r="15" ht="14.5" customHeight="1" spans="1:56" x14ac:dyDescent="0.25">
      <c r="A15" t="s">
        <v>162</v>
      </c>
      <c r="B15" t="s">
        <v>163</v>
      </c>
      <c r="C15" s="7" t="s">
        <v>121</v>
      </c>
      <c r="D15" s="50" t="s">
        <v>155</v>
      </c>
      <c r="E15" s="9" t="s">
        <v>57</v>
      </c>
      <c r="F15" s="10" t="s">
        <v>58</v>
      </c>
      <c r="G15" s="11" t="s">
        <v>164</v>
      </c>
      <c r="H15" s="12" t="s">
        <v>165</v>
      </c>
      <c r="I15" s="13" t="s">
        <v>61</v>
      </c>
      <c r="J15" s="13" t="s">
        <v>62</v>
      </c>
      <c r="K15" s="13" t="s">
        <v>63</v>
      </c>
      <c r="L15" s="14">
        <f>TODAY()-31</f>
        <v>45577</v>
      </c>
      <c r="M15" s="9" t="s">
        <v>57</v>
      </c>
      <c r="N15" s="9" t="s">
        <v>57</v>
      </c>
      <c r="O15" s="15" t="s">
        <v>64</v>
      </c>
      <c r="P15" s="35" t="s">
        <v>158</v>
      </c>
      <c r="Q15" s="16">
        <v>22192</v>
      </c>
      <c r="R15" s="35" t="s">
        <v>159</v>
      </c>
      <c r="S15" s="35" t="s">
        <v>159</v>
      </c>
      <c r="T15" s="13" t="s">
        <v>63</v>
      </c>
      <c r="U15" s="17" t="s">
        <v>67</v>
      </c>
      <c r="V15" s="18" t="s">
        <v>68</v>
      </c>
      <c r="W15" s="13" t="s">
        <v>63</v>
      </c>
      <c r="X15" s="19">
        <f>L15</f>
        <v>45577</v>
      </c>
      <c r="Y15" s="14">
        <f>TODAY()+20</f>
        <v>45628</v>
      </c>
      <c r="Z15" s="20" t="s">
        <v>69</v>
      </c>
      <c r="AA15" s="38" t="s">
        <v>166</v>
      </c>
      <c r="AB15" s="22" t="s">
        <v>71</v>
      </c>
      <c r="AC15" s="46" t="s">
        <v>94</v>
      </c>
      <c r="AD15" s="22" t="s">
        <v>73</v>
      </c>
      <c r="AE15" s="24">
        <v>134</v>
      </c>
      <c r="AF15" s="24" t="s">
        <v>47</v>
      </c>
      <c r="AG15" s="25">
        <v>40</v>
      </c>
      <c r="AH15" s="25">
        <v>40</v>
      </c>
      <c r="AI15" s="22" t="s">
        <v>75</v>
      </c>
      <c r="AJ15" s="22" t="s">
        <v>76</v>
      </c>
      <c r="AK15" s="19" t="s">
        <v>74</v>
      </c>
      <c r="AL15" s="13" t="s">
        <v>77</v>
      </c>
      <c r="AM15" s="13" t="s">
        <v>78</v>
      </c>
      <c r="AN15" s="22" t="s">
        <v>79</v>
      </c>
      <c r="AO15" s="51" t="s">
        <v>161</v>
      </c>
      <c r="AP15" s="9" t="s">
        <v>81</v>
      </c>
      <c r="AQ15" s="9" t="s">
        <v>57</v>
      </c>
      <c r="AR15" s="27" t="s">
        <v>82</v>
      </c>
      <c r="AS15" s="28">
        <v>407198291.49721277</v>
      </c>
      <c r="AT15" s="22" t="s">
        <v>83</v>
      </c>
      <c r="AU15" s="29">
        <v>35591</v>
      </c>
      <c r="AV15" s="9" t="s">
        <v>57</v>
      </c>
      <c r="AW15" t="s">
        <v>84</v>
      </c>
      <c r="AX15" s="9" t="s">
        <v>57</v>
      </c>
      <c r="AY15" s="9" t="s">
        <v>81</v>
      </c>
      <c r="AZ15" s="30">
        <v>54057</v>
      </c>
      <c r="BA15" t="s">
        <v>65</v>
      </c>
      <c r="BB15" t="s">
        <v>85</v>
      </c>
      <c r="BC15" t="s">
        <v>86</v>
      </c>
      <c r="BD15" t="s">
        <v>87</v>
      </c>
    </row>
    <row r="16" ht="14.5" customHeight="1" spans="1:56" x14ac:dyDescent="0.25">
      <c r="A16" t="s">
        <v>167</v>
      </c>
      <c r="B16" t="s">
        <v>168</v>
      </c>
      <c r="C16" s="7" t="s">
        <v>121</v>
      </c>
      <c r="D16" s="50" t="s">
        <v>155</v>
      </c>
      <c r="E16" s="9" t="s">
        <v>57</v>
      </c>
      <c r="F16" s="10" t="s">
        <v>58</v>
      </c>
      <c r="G16" s="11" t="s">
        <v>169</v>
      </c>
      <c r="H16" s="12" t="s">
        <v>170</v>
      </c>
      <c r="I16" s="13" t="s">
        <v>61</v>
      </c>
      <c r="J16" s="13" t="s">
        <v>62</v>
      </c>
      <c r="K16" s="13" t="s">
        <v>63</v>
      </c>
      <c r="L16" s="14">
        <f>TODAY()-31</f>
        <v>45577</v>
      </c>
      <c r="M16" s="9" t="s">
        <v>57</v>
      </c>
      <c r="N16" s="9" t="s">
        <v>57</v>
      </c>
      <c r="O16" s="15" t="s">
        <v>64</v>
      </c>
      <c r="P16" s="35" t="s">
        <v>158</v>
      </c>
      <c r="Q16" s="16">
        <v>22192</v>
      </c>
      <c r="R16" s="35" t="s">
        <v>159</v>
      </c>
      <c r="S16" s="35" t="s">
        <v>159</v>
      </c>
      <c r="T16" s="13" t="s">
        <v>63</v>
      </c>
      <c r="U16" s="17" t="s">
        <v>67</v>
      </c>
      <c r="V16" s="18" t="s">
        <v>68</v>
      </c>
      <c r="W16" s="13" t="s">
        <v>63</v>
      </c>
      <c r="X16" s="19">
        <f>L16</f>
        <v>45577</v>
      </c>
      <c r="Y16" s="14">
        <f>TODAY()+20</f>
        <v>45628</v>
      </c>
      <c r="Z16" s="20" t="s">
        <v>69</v>
      </c>
      <c r="AA16" s="38" t="s">
        <v>171</v>
      </c>
      <c r="AB16" s="22" t="s">
        <v>71</v>
      </c>
      <c r="AC16" s="46" t="s">
        <v>100</v>
      </c>
      <c r="AD16" s="22" t="s">
        <v>73</v>
      </c>
      <c r="AE16" s="24">
        <v>134</v>
      </c>
      <c r="AF16" s="24" t="s">
        <v>47</v>
      </c>
      <c r="AG16" s="25">
        <v>40</v>
      </c>
      <c r="AH16" s="25">
        <v>40</v>
      </c>
      <c r="AI16" s="22" t="s">
        <v>75</v>
      </c>
      <c r="AJ16" s="22" t="s">
        <v>76</v>
      </c>
      <c r="AK16" s="19" t="s">
        <v>74</v>
      </c>
      <c r="AL16" s="13" t="s">
        <v>77</v>
      </c>
      <c r="AM16" s="13" t="s">
        <v>78</v>
      </c>
      <c r="AN16" s="22" t="s">
        <v>79</v>
      </c>
      <c r="AO16" s="51" t="s">
        <v>161</v>
      </c>
      <c r="AP16" s="9" t="s">
        <v>81</v>
      </c>
      <c r="AQ16" s="9" t="s">
        <v>57</v>
      </c>
      <c r="AR16" s="27" t="s">
        <v>82</v>
      </c>
      <c r="AS16" s="28">
        <v>419288037.28788507</v>
      </c>
      <c r="AT16" s="22" t="s">
        <v>83</v>
      </c>
      <c r="AU16" s="29">
        <v>35591</v>
      </c>
      <c r="AV16" s="9" t="s">
        <v>57</v>
      </c>
      <c r="AW16" t="s">
        <v>84</v>
      </c>
      <c r="AX16" s="9" t="s">
        <v>57</v>
      </c>
      <c r="AY16" s="9" t="s">
        <v>81</v>
      </c>
      <c r="AZ16" s="30">
        <v>54057</v>
      </c>
      <c r="BA16" t="s">
        <v>65</v>
      </c>
      <c r="BB16" t="s">
        <v>85</v>
      </c>
      <c r="BC16" t="s">
        <v>86</v>
      </c>
      <c r="BD16" t="s">
        <v>87</v>
      </c>
    </row>
    <row r="17" ht="14.5" customHeight="1" spans="1:56" x14ac:dyDescent="0.25">
      <c r="A17" t="s">
        <v>172</v>
      </c>
      <c r="B17" t="s">
        <v>173</v>
      </c>
      <c r="C17" s="7" t="s">
        <v>121</v>
      </c>
      <c r="D17" s="50" t="s">
        <v>174</v>
      </c>
      <c r="E17" s="26" t="s">
        <v>57</v>
      </c>
      <c r="F17" s="31" t="s">
        <v>58</v>
      </c>
      <c r="G17" s="32" t="s">
        <v>175</v>
      </c>
      <c r="H17" s="33" t="s">
        <v>176</v>
      </c>
      <c r="I17" s="26" t="s">
        <v>61</v>
      </c>
      <c r="J17" s="26" t="s">
        <v>62</v>
      </c>
      <c r="K17" s="26" t="s">
        <v>63</v>
      </c>
      <c r="L17" s="34">
        <v>45571</v>
      </c>
      <c r="M17" s="26" t="s">
        <v>57</v>
      </c>
      <c r="N17" s="26" t="s">
        <v>57</v>
      </c>
      <c r="O17" s="35" t="s">
        <v>64</v>
      </c>
      <c r="P17" s="35" t="s">
        <v>125</v>
      </c>
      <c r="Q17" s="16">
        <v>19141</v>
      </c>
      <c r="R17" s="35" t="s">
        <v>125</v>
      </c>
      <c r="S17" s="26" t="s">
        <v>106</v>
      </c>
      <c r="T17" s="26" t="s">
        <v>63</v>
      </c>
      <c r="U17" s="26" t="s">
        <v>67</v>
      </c>
      <c r="V17" s="36" t="s">
        <v>68</v>
      </c>
      <c r="W17" s="26" t="s">
        <v>63</v>
      </c>
      <c r="X17" s="19">
        <v>45571</v>
      </c>
      <c r="Y17" s="34">
        <v>45622</v>
      </c>
      <c r="Z17" s="37" t="s">
        <v>69</v>
      </c>
      <c r="AA17" s="38" t="s">
        <v>177</v>
      </c>
      <c r="AB17" s="39" t="s">
        <v>71</v>
      </c>
      <c r="AC17" s="23" t="s">
        <v>178</v>
      </c>
      <c r="AD17" s="39" t="s">
        <v>179</v>
      </c>
      <c r="AE17" s="41">
        <v>108</v>
      </c>
      <c r="AF17" s="42" t="s">
        <v>180</v>
      </c>
      <c r="AG17" s="24" t="s">
        <v>74</v>
      </c>
      <c r="AH17" s="43">
        <v>25</v>
      </c>
      <c r="AI17" s="39" t="s">
        <v>75</v>
      </c>
      <c r="AJ17" s="39" t="s">
        <v>76</v>
      </c>
      <c r="AK17" s="44" t="s">
        <v>74</v>
      </c>
      <c r="AL17" s="26" t="s">
        <v>77</v>
      </c>
      <c r="AM17" s="26" t="s">
        <v>181</v>
      </c>
      <c r="AN17" s="39" t="s">
        <v>182</v>
      </c>
      <c r="AO17" s="51" t="s">
        <v>106</v>
      </c>
      <c r="AP17" s="26" t="s">
        <v>183</v>
      </c>
      <c r="AQ17" s="26" t="s">
        <v>57</v>
      </c>
      <c r="AR17" s="26" t="s">
        <v>82</v>
      </c>
      <c r="AS17" s="28">
        <v>696712179.0472647</v>
      </c>
      <c r="AT17" s="39" t="s">
        <v>83</v>
      </c>
      <c r="AU17" s="52" t="s">
        <v>184</v>
      </c>
      <c r="AV17" s="26" t="s">
        <v>57</v>
      </c>
      <c r="AW17" t="s">
        <v>84</v>
      </c>
      <c r="AX17" s="26" t="s">
        <v>57</v>
      </c>
      <c r="AY17" s="26" t="s">
        <v>81</v>
      </c>
      <c r="AZ17" s="30">
        <v>54057</v>
      </c>
      <c r="BA17" t="s">
        <v>65</v>
      </c>
      <c r="BB17" t="s">
        <v>85</v>
      </c>
      <c r="BC17" t="s">
        <v>86</v>
      </c>
      <c r="BD17" t="s">
        <v>87</v>
      </c>
    </row>
    <row r="18" ht="14.5" customHeight="1" spans="45:45" x14ac:dyDescent="0.25">
      <c r="AS18" s="53"/>
    </row>
  </sheetData>
  <dataValidations count="24">
    <dataValidation type="list" allowBlank="1" showInputMessage="1" showErrorMessage="1" sqref="K10">
      <formula1>INDIRECT($E2)</formula1>
    </dataValidation>
    <dataValidation type="list" allowBlank="1" showInputMessage="1" showErrorMessage="1" sqref="K12:K13">
      <formula1>INDIRECT($E2)</formula1>
    </dataValidation>
    <dataValidation type="list" allowBlank="1" showInputMessage="1" showErrorMessage="1" sqref="K15:K16">
      <formula1>INDIRECT($E2)</formula1>
    </dataValidation>
    <dataValidation type="list" allowBlank="1" showInputMessage="1" showErrorMessage="1" sqref="K2">
      <formula1>INDIRECT($E2)</formula1>
    </dataValidation>
    <dataValidation type="list" allowBlank="1" showInputMessage="1" showErrorMessage="1" sqref="K4:K7">
      <formula1>INDIRECT($E2)</formula1>
    </dataValidation>
    <dataValidation type="list" allowBlank="1" showInputMessage="1" showErrorMessage="1" sqref="K9:K10">
      <formula1>INDIRECT($E2)</formula1>
    </dataValidation>
    <dataValidation type="list" allowBlank="1" showInputMessage="1" showErrorMessage="1" sqref="T10">
      <formula1>INDIRECT($E2)</formula1>
    </dataValidation>
    <dataValidation type="list" allowBlank="1" showInputMessage="1" showErrorMessage="1" sqref="T12:T13">
      <formula1>INDIRECT($E2)</formula1>
    </dataValidation>
    <dataValidation type="list" allowBlank="1" showInputMessage="1" showErrorMessage="1" sqref="T15:T16">
      <formula1>INDIRECT($E2)</formula1>
    </dataValidation>
    <dataValidation type="list" allowBlank="1" showInputMessage="1" showErrorMessage="1" sqref="T2">
      <formula1>INDIRECT($E2)</formula1>
    </dataValidation>
    <dataValidation type="list" allowBlank="1" showInputMessage="1" showErrorMessage="1" sqref="T4:T7">
      <formula1>INDIRECT($E2)</formula1>
    </dataValidation>
    <dataValidation type="list" allowBlank="1" showInputMessage="1" showErrorMessage="1" sqref="T9:T10">
      <formula1>INDIRECT($E2)</formula1>
    </dataValidation>
    <dataValidation type="list" allowBlank="1" showInputMessage="1" showErrorMessage="1" sqref="W10">
      <formula1>INDIRECT($E2)</formula1>
    </dataValidation>
    <dataValidation type="list" allowBlank="1" showInputMessage="1" showErrorMessage="1" sqref="W12:W13">
      <formula1>INDIRECT($E2)</formula1>
    </dataValidation>
    <dataValidation type="list" allowBlank="1" showInputMessage="1" showErrorMessage="1" sqref="W15:W16">
      <formula1>INDIRECT($E2)</formula1>
    </dataValidation>
    <dataValidation type="list" allowBlank="1" showInputMessage="1" showErrorMessage="1" sqref="W2">
      <formula1>INDIRECT($E2)</formula1>
    </dataValidation>
    <dataValidation type="list" allowBlank="1" showInputMessage="1" showErrorMessage="1" sqref="W4:W7">
      <formula1>INDIRECT($E2)</formula1>
    </dataValidation>
    <dataValidation type="list" allowBlank="1" showInputMessage="1" showErrorMessage="1" sqref="W9:W10">
      <formula1>INDIRECT($E2)</formula1>
    </dataValidation>
    <dataValidation type="list" allowBlank="1" showInputMessage="1" showErrorMessage="1" sqref="Z10">
      <formula1>INDIRECT($E2)</formula1>
    </dataValidation>
    <dataValidation type="list" allowBlank="1" showInputMessage="1" showErrorMessage="1" sqref="Z12:Z13">
      <formula1>INDIRECT($E2)</formula1>
    </dataValidation>
    <dataValidation type="list" allowBlank="1" showInputMessage="1" showErrorMessage="1" sqref="Z15:Z16">
      <formula1>INDIRECT($E2)</formula1>
    </dataValidation>
    <dataValidation type="list" allowBlank="1" showInputMessage="1" showErrorMessage="1" sqref="Z2">
      <formula1>INDIRECT($E2)</formula1>
    </dataValidation>
    <dataValidation type="list" allowBlank="1" showInputMessage="1" showErrorMessage="1" sqref="Z4:Z7">
      <formula1>INDIRECT($E2)</formula1>
    </dataValidation>
    <dataValidation type="list" allowBlank="1" showInputMessage="1" showErrorMessage="1" sqref="Z9:Z10">
      <formula1>INDIRECT($E2)</formula1>
    </dataValidation>
  </dataValidations>
  <hyperlinks>
    <hyperlink ref="V2" r:id="rId1"/>
    <hyperlink ref="V3" r:id="rId2"/>
    <hyperlink ref="V4" r:id="rId3"/>
    <hyperlink ref="V5" r:id="rId4"/>
    <hyperlink ref="V6" r:id="rId5"/>
    <hyperlink ref="V7" r:id="rId6"/>
    <hyperlink ref="V8" r:id="rId7"/>
    <hyperlink ref="V9" r:id="rId8"/>
    <hyperlink ref="V10" r:id="rId9"/>
    <hyperlink ref="V11" r:id="rId10"/>
    <hyperlink ref="V12" r:id="rId11"/>
    <hyperlink ref="V13" r:id="rId12"/>
    <hyperlink ref="V14" r:id="rId13"/>
    <hyperlink ref="V15" r:id="rId14"/>
    <hyperlink ref="V16" r:id="rId15"/>
    <hyperlink ref="V17" r:id="rId16"/>
  </hyperlink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2024-11-12T04:58:04Z</dcterms:modified>
</cp:coreProperties>
</file>