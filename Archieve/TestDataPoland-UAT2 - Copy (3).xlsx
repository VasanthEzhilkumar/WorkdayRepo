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420"/>
  </bookViews>
  <sheets>
    <sheet sheetId="1" name="Sheet1" state="visible" r:id="rId4"/>
  </sheets>
  <definedNames>
    <definedName name="_xlnm._FilterDatabase">Sheet1!$A$1:$BY$9</definedName>
  </definedNames>
  <calcPr calcId="171027"/>
</workbook>
</file>

<file path=xl/sharedStrings.xml><?xml version="1.0" encoding="utf-8"?>
<sst xmlns="http://schemas.openxmlformats.org/spreadsheetml/2006/main" count="582" uniqueCount="170">
  <si>
    <t>TestCaseIDs</t>
  </si>
  <si>
    <t>EmployeeID</t>
  </si>
  <si>
    <t>TestStatus</t>
  </si>
  <si>
    <t>SupervisoryOrganisation</t>
  </si>
  <si>
    <t>Country</t>
  </si>
  <si>
    <t>GivenName</t>
  </si>
  <si>
    <t>FamilyName</t>
  </si>
  <si>
    <t>PhoneNumber</t>
  </si>
  <si>
    <t>PhoneDevice</t>
  </si>
  <si>
    <t>Type</t>
  </si>
  <si>
    <t>EffectiveDate</t>
  </si>
  <si>
    <t>StreetName</t>
  </si>
  <si>
    <t>Province</t>
  </si>
  <si>
    <t>PostalCode</t>
  </si>
  <si>
    <t>City</t>
  </si>
  <si>
    <t>houseNumber</t>
  </si>
  <si>
    <t>Municipality</t>
  </si>
  <si>
    <t>District</t>
  </si>
  <si>
    <t>UseFor</t>
  </si>
  <si>
    <t>EmailAddress</t>
  </si>
  <si>
    <t>HireDate</t>
  </si>
  <si>
    <t>Reason</t>
  </si>
  <si>
    <t>Position</t>
  </si>
  <si>
    <t>EmployeeType</t>
  </si>
  <si>
    <t>JobProfile</t>
  </si>
  <si>
    <t>TimeType</t>
  </si>
  <si>
    <t>Location</t>
  </si>
  <si>
    <t>PayRateType</t>
  </si>
  <si>
    <t>ScheduledWeeklyHours</t>
  </si>
  <si>
    <t>SchoolName</t>
  </si>
  <si>
    <t>SchoolType</t>
  </si>
  <si>
    <t>SchoolStartDate</t>
  </si>
  <si>
    <t>SchoolEndDate</t>
  </si>
  <si>
    <t>AdditionalJobClassifications</t>
  </si>
  <si>
    <t>WorkShift</t>
  </si>
  <si>
    <t>EndEmploymentDate</t>
  </si>
  <si>
    <t>AllowanceAmount</t>
  </si>
  <si>
    <t>Comments</t>
  </si>
  <si>
    <t>ContractType</t>
  </si>
  <si>
    <t>Status</t>
  </si>
  <si>
    <t>DateEmployeeSigned</t>
  </si>
  <si>
    <t>DateEmployerSigned</t>
  </si>
  <si>
    <t>ContractEndDate</t>
  </si>
  <si>
    <t>CostCenter</t>
  </si>
  <si>
    <t>DepartmentSection</t>
  </si>
  <si>
    <t>UrządSkarbowy</t>
  </si>
  <si>
    <t>Ulgapodatkowa</t>
  </si>
  <si>
    <t>Częśćulgi</t>
  </si>
  <si>
    <t>Typopodatkowania</t>
  </si>
  <si>
    <t>Identyfikatorpodatkowy</t>
  </si>
  <si>
    <t>FirstEverJobDetails</t>
  </si>
  <si>
    <r>
      <t>FirstJobExpiryDate</t>
    </r>
    <r>
      <rPr>
        <color theme="1"/>
        <family val="2"/>
        <scheme val="minor"/>
        <sz val="11"/>
        <rFont val="Calibri"/>
      </rPr>
      <t xml:space="preserve"> </t>
    </r>
  </si>
  <si>
    <t>Country1</t>
  </si>
  <si>
    <t>NationalIDType1</t>
  </si>
  <si>
    <t>AddEditID1</t>
  </si>
  <si>
    <t>Country2</t>
  </si>
  <si>
    <t>NationalIDType2</t>
  </si>
  <si>
    <t>AddEditID2</t>
  </si>
  <si>
    <t>Country3</t>
  </si>
  <si>
    <t>NationalIDType3</t>
  </si>
  <si>
    <t>AddEditID3</t>
  </si>
  <si>
    <t>Gender</t>
  </si>
  <si>
    <t>DateOfBirth</t>
  </si>
  <si>
    <t>MaritalStatus</t>
  </si>
  <si>
    <t>MaritalStatusDate</t>
  </si>
  <si>
    <t>CitizenshipStatus</t>
  </si>
  <si>
    <t>BankName</t>
  </si>
  <si>
    <t>BankIdentificationCode</t>
  </si>
  <si>
    <t>AccountType</t>
  </si>
  <si>
    <t>AccountNumber</t>
  </si>
  <si>
    <t>IBAN</t>
  </si>
  <si>
    <t>Salary</t>
  </si>
  <si>
    <t>ProposedPayGroupInitial</t>
  </si>
  <si>
    <t>ProposedPayGroupFinal</t>
  </si>
  <si>
    <t>Test_2</t>
  </si>
  <si>
    <t xml:space="preserve">Test failed for 'Anjali Kemmer'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Path:-&gt;H:\GKALE\WorkDaySuite_Playwright/WorkdayFailedScreenshot/2025-03-20T10-38-25-534Z.png</t>
  </si>
  <si>
    <t>Failed</t>
  </si>
  <si>
    <t>765 Recruitment  (Fihyp Kohawu (10580286))</t>
  </si>
  <si>
    <t>Poland</t>
  </si>
  <si>
    <t>Anjali</t>
  </si>
  <si>
    <t>Kemmer</t>
  </si>
  <si>
    <t xml:space="preserve">698 980 460 </t>
  </si>
  <si>
    <t>Landline</t>
  </si>
  <si>
    <t>Home</t>
  </si>
  <si>
    <t>Automation Street Name</t>
  </si>
  <si>
    <t>Greater Poland</t>
  </si>
  <si>
    <t>00001</t>
  </si>
  <si>
    <t xml:space="preserve">Warsaw  </t>
  </si>
  <si>
    <t>Test</t>
  </si>
  <si>
    <t>Street Address</t>
  </si>
  <si>
    <t>Test001@gmail.com</t>
  </si>
  <si>
    <t>New Hire</t>
  </si>
  <si>
    <t>No</t>
  </si>
  <si>
    <t>Permanent</t>
  </si>
  <si>
    <t>Retail Assistant_NEW</t>
  </si>
  <si>
    <t>Full time</t>
  </si>
  <si>
    <t>Za</t>
  </si>
  <si>
    <t>RE024_NEW</t>
  </si>
  <si>
    <t>5 Days (Poland)</t>
  </si>
  <si>
    <t>N/A</t>
  </si>
  <si>
    <t>Automation Comments here….</t>
  </si>
  <si>
    <t>Open-ended</t>
  </si>
  <si>
    <t>Active</t>
  </si>
  <si>
    <t>94 Retail Operative</t>
  </si>
  <si>
    <t>266 Returns</t>
  </si>
  <si>
    <t>0201-Izha</t>
  </si>
  <si>
    <t>Ulga podatkowa obowiązuje</t>
  </si>
  <si>
    <t>1/12 kwoty zmniejszającej podatek</t>
  </si>
  <si>
    <t>Standardowy</t>
  </si>
  <si>
    <t>PESEL</t>
  </si>
  <si>
    <t>Yes</t>
  </si>
  <si>
    <t>Tax ID Number (NIP)</t>
  </si>
  <si>
    <t>Personal Identity (PESEL) Number</t>
  </si>
  <si>
    <t>ID Card</t>
  </si>
  <si>
    <t>GSK476124</t>
  </si>
  <si>
    <t>Male</t>
  </si>
  <si>
    <t>Married (Poland)</t>
  </si>
  <si>
    <t>Citizen (Poland)</t>
  </si>
  <si>
    <t>Bank of Poland</t>
  </si>
  <si>
    <t>NBPLPLPW</t>
  </si>
  <si>
    <t>Checking</t>
  </si>
  <si>
    <t>11111111111111111111111101</t>
  </si>
  <si>
    <t>PL09109024023899695521479863</t>
  </si>
  <si>
    <t>Defaulted</t>
  </si>
  <si>
    <t>Please select a Poland Pay Group</t>
  </si>
  <si>
    <t>PL Monthly</t>
  </si>
  <si>
    <t>Test_3</t>
  </si>
  <si>
    <t xml:space="preserve">Test failed for 'Sarah Halvorson'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Path:-&gt;H:\GKALE\WorkDaySuite_Playwright/WorkdayFailedScreenshot/2025-03-20T10-39-49-699Z.png</t>
  </si>
  <si>
    <t>Sarah</t>
  </si>
  <si>
    <t>Halvorson</t>
  </si>
  <si>
    <t>ZasadniczaSzkołaZawodowa</t>
  </si>
  <si>
    <t xml:space="preserve">RE029_NEW2 </t>
  </si>
  <si>
    <t>01 Accessories</t>
  </si>
  <si>
    <t>GSK476125</t>
  </si>
  <si>
    <t>01/01/2019</t>
  </si>
  <si>
    <t>Test_4</t>
  </si>
  <si>
    <t xml:space="preserve">Test failed for 'Emmett Robel'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Path:-&gt;H:\GKALE\WorkDaySuite_Playwright/WorkdayFailedScreenshot/2025-03-20T10-41-14-115Z.png</t>
  </si>
  <si>
    <t>Emmett</t>
  </si>
  <si>
    <t>Robel</t>
  </si>
  <si>
    <t>RE023_NEW</t>
  </si>
  <si>
    <t>GSK476126</t>
  </si>
  <si>
    <t>Test_5</t>
  </si>
  <si>
    <t>Test failed for 'Dorcas Lakin' Employee:{undefined}TypeError: Cannot read properties of undefined (reading 'toString')</t>
  </si>
  <si>
    <t>Dorcas</t>
  </si>
  <si>
    <t>Lakin</t>
  </si>
  <si>
    <t>Part time</t>
  </si>
  <si>
    <t>RE035_NEW</t>
  </si>
  <si>
    <t>GSK476127</t>
  </si>
  <si>
    <t>Test_6</t>
  </si>
  <si>
    <t xml:space="preserve">Test failed for 'Mohamed Kessler'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Path:-&gt;H:\GKALE\WorkDaySuite_Playwright/WorkdayFailedScreenshot/2025-03-20T10-46-44-342Z.png</t>
  </si>
  <si>
    <t>Mohamed</t>
  </si>
  <si>
    <t>Kessler</t>
  </si>
  <si>
    <t>SD014_NEW</t>
  </si>
  <si>
    <t>GSK476128</t>
  </si>
  <si>
    <t>Test_7</t>
  </si>
  <si>
    <t>Test failed for 'Bernhard Shields' Employee:{}TypeError: Cannot read properties of undefined (reading 'toString')</t>
  </si>
  <si>
    <t>Bernhard</t>
  </si>
  <si>
    <t>Shields</t>
  </si>
  <si>
    <t>GSK476129</t>
  </si>
  <si>
    <t>Test_8</t>
  </si>
  <si>
    <t xml:space="preserve">Test failed for 'Aaliyah Mueller' Employee:{}TimeoutError: locator.click: Timeout 30000ms exceeded.
Call log:
  [2m- waiting for locator('//label[contains(.,"Start Date")]/parent::div/following-sibling::div//input[@aria-label="Day"]')[22m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tabindex="-1" height="32px" data-automation-chec…&gt;…&lt;/div&gt; from &lt;div data-popup-type="ck" data-popup-version="2" clas…&gt;…&lt;/div&gt; subtree intercepts pointer events[22m
[2m  - retrying click action, attempt #53[22m
[2m  -   waiting 500ms[22m
</t>
  </si>
  <si>
    <t>Aaliyah</t>
  </si>
  <si>
    <t>Mueller</t>
  </si>
  <si>
    <t>RE044_NEW</t>
  </si>
  <si>
    <t>GSK476130</t>
  </si>
  <si>
    <t>Test_9</t>
  </si>
  <si>
    <t>Helga</t>
  </si>
  <si>
    <t>Fahey</t>
  </si>
  <si>
    <t>02 Hosiery</t>
  </si>
  <si>
    <t>GSK476131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</si>
</sst>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3" x14ac:knownFonts="1">
    <font>
      <color theme="1"/>
      <family val="2"/>
      <scheme val="minor"/>
      <sz val="11"/>
      <name val="Calibri"/>
    </font>
    <font>
      <color rgb="FFFF0000"/>
      <family val="2"/>
      <sz val="10"/>
      <name val="Arial"/>
    </font>
    <font>
      <color indexed="8"/>
      <family val="2"/>
      <sz val="10"/>
      <name val="Arial"/>
    </font>
    <font>
      <color theme="1"/>
      <family val="2"/>
      <scheme val="minor"/>
      <sz val="10"/>
      <name val="Calibri"/>
    </font>
    <font>
      <b/>
      <color indexed="8"/>
      <family val="2"/>
      <sz val="10"/>
      <name val="Calibri"/>
    </font>
    <font>
      <b/>
      <color indexed="63"/>
      <family val="2"/>
      <sz val="10"/>
      <name val="Arial"/>
    </font>
    <font>
      <u/>
      <color indexed="12"/>
      <family val="2"/>
      <sz val="10"/>
      <name val="Calibri"/>
    </font>
    <font>
      <color indexed="8"/>
      <family val="2"/>
      <sz val="14"/>
      <name val="Arial"/>
    </font>
    <font>
      <color indexed="10"/>
      <family val="2"/>
      <sz val="14"/>
      <name val="Arial"/>
    </font>
    <font>
      <family val="2"/>
      <scheme val="minor"/>
      <sz val="10"/>
      <name val="Calibri"/>
    </font>
    <font>
      <color rgb="FFFF0000"/>
      <family val="2"/>
      <scheme val="minor"/>
      <sz val="11"/>
      <name val="Calibri"/>
    </font>
    <font>
      <b/>
      <color theme="1"/>
      <family val="2"/>
      <scheme val="minor"/>
      <sz val="11"/>
      <name val="Calibri"/>
    </font>
    <font>
      <b/>
      <family val="2"/>
      <sz val="10"/>
      <name val="Calibri"/>
    </font>
    <font>
      <b/>
      <family val="2"/>
      <sz val="11"/>
      <name val="Calibri"/>
    </font>
    <font>
      <family val="2"/>
      <sz val="10"/>
      <name val="Calibri"/>
    </font>
    <font>
      <color indexed="8"/>
      <family val="2"/>
      <scheme val="minor"/>
      <sz val="16"/>
      <name val="Calibri"/>
    </font>
    <font>
      <u/>
      <color indexed="12"/>
      <family val="2"/>
      <scheme val="minor"/>
      <sz val="16"/>
      <name val="Calibri"/>
    </font>
    <font>
      <color indexed="8"/>
      <family val="2"/>
      <sz val="16"/>
      <name val="Arial"/>
    </font>
    <font>
      <family val="2"/>
      <scheme val="minor"/>
      <sz val="16"/>
      <name val="Calibri"/>
    </font>
    <font>
      <color indexed="8"/>
      <family val="2"/>
      <scheme val="minor"/>
      <sz val="14"/>
      <name val="Calibri"/>
    </font>
    <font>
      <color rgb="FFFF0000"/>
      <family val="2"/>
      <scheme val="minor"/>
      <sz val="16"/>
      <name val="Calibri"/>
    </font>
    <font>
      <color theme="1"/>
      <family val="2"/>
      <scheme val="minor"/>
      <sz val="16"/>
      <name val="Calibri"/>
    </font>
    <font>
      <b/>
      <family val="2"/>
      <scheme val="minor"/>
      <sz val="16"/>
      <name val="Calibri"/>
    </font>
  </fonts>
  <fills count="9">
    <fill>
      <patternFill patternType="none"/>
    </fill>
    <fill>
      <patternFill patternType="gray125"/>
    </fill>
    <fill>
      <patternFill patternType="solid">
        <fgColor rgb="FFFF0000"/>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5" tint="0.7999816888943144"/>
        <bgColor indexed="64"/>
      </patternFill>
    </fill>
    <fill>
      <patternFill patternType="solid">
        <fgColor theme="7" tint="0.5999938962981048"/>
        <bgColor indexed="64"/>
      </patternFill>
    </fill>
    <fill>
      <patternFill patternType="solid">
        <fgColor theme="8" tint="0.5999938962981048"/>
        <bgColor indexed="64"/>
      </patternFill>
    </fill>
  </fills>
  <borders count="4">
    <border>
      <left/>
      <right/>
      <top/>
      <bottom/>
      <diagonal/>
    </border>
    <border>
      <left style="thin"/>
      <right style="thin"/>
      <top style="thin"/>
      <bottom style="thin"/>
      <diagonal/>
    </border>
    <border>
      <left style="medium">
        <color indexed="64"/>
      </left>
      <right style="medium">
        <color indexed="64"/>
      </right>
      <top style="thin"/>
      <bottom style="thin"/>
      <diagonal/>
    </border>
    <border>
      <left style="thin"/>
      <right style="thin"/>
      <top/>
      <bottom style="thin"/>
      <diagonal/>
    </border>
  </borders>
  <cellStyleXfs count="1">
    <xf numFmtId="0" fontId="0" fillId="0" borderId="0"/>
  </cellStyleXfs>
  <cellXfs count="61">
    <xf numFmtId="0" fontId="0" fillId="0" borderId="0" xfId="0"/>
    <xf numFmtId="0" fontId="0" fillId="2" borderId="0" xfId="0" applyFill="1"/>
    <xf numFmtId="0" fontId="0" fillId="3" borderId="0" xfId="0" applyFill="1"/>
    <xf numFmtId="0" fontId="0" fillId="3" borderId="0" xfId="0" applyFill="1" applyAlignment="1">
      <alignment horizontal="left"/>
    </xf>
    <xf numFmtId="0" fontId="1" fillId="3" borderId="0" xfId="0" applyFont="1" applyFill="1" applyAlignment="1">
      <alignment vertical="center" wrapText="1"/>
    </xf>
    <xf numFmtId="0" fontId="2" fillId="3" borderId="1" xfId="0" applyFont="1" applyFill="1" applyBorder="1" applyAlignment="1">
      <alignment horizontal="left" wrapText="1"/>
    </xf>
    <xf numFmtId="0" fontId="2" fillId="3" borderId="1" xfId="0" applyFont="1" applyFill="1" applyBorder="1" applyAlignment="1" applyProtection="1">
      <alignment horizontal="left" wrapText="1"/>
      <protection locked="0"/>
    </xf>
    <xf numFmtId="0" fontId="3" fillId="3" borderId="0" xfId="0" applyFont="1" applyFill="1" applyAlignment="1">
      <alignment wrapText="1"/>
    </xf>
    <xf numFmtId="0" fontId="4" fillId="3" borderId="0" xfId="0" applyFont="1" applyFill="1" applyAlignment="1">
      <alignment wrapText="1"/>
    </xf>
    <xf numFmtId="14" fontId="2" fillId="3" borderId="0" xfId="0" applyNumberFormat="1" applyFont="1" applyFill="1" applyAlignment="1">
      <alignment horizontal="left" wrapText="1"/>
    </xf>
    <xf numFmtId="0" fontId="5" fillId="3" borderId="0" xfId="0" applyFont="1" applyFill="1" applyAlignment="1">
      <alignment wrapText="1"/>
    </xf>
    <xf numFmtId="14" fontId="2" fillId="3" borderId="1" xfId="0" applyNumberFormat="1" applyFont="1" applyFill="1" applyBorder="1" applyAlignment="1">
      <alignment horizontal="left" wrapText="1"/>
    </xf>
    <xf numFmtId="0" fontId="6" fillId="3" borderId="1" xfId="0" applyFont="1" applyFill="1" applyBorder="1" applyAlignment="1" applyProtection="1">
      <alignment wrapText="1"/>
      <protection locked="0"/>
    </xf>
    <xf numFmtId="14" fontId="1" fillId="3" borderId="0" xfId="0" applyNumberFormat="1" applyFont="1" applyFill="1" applyAlignment="1">
      <alignment horizontal="left" wrapText="1"/>
    </xf>
    <xf numFmtId="0" fontId="7" fillId="3" borderId="0" xfId="0" applyFont="1" applyFill="1"/>
    <xf numFmtId="0" fontId="2" fillId="3" borderId="0" xfId="0" applyFont="1" applyFill="1" applyAlignment="1">
      <alignment horizontal="left" wrapText="1"/>
    </xf>
    <xf numFmtId="0" fontId="7" fillId="3" borderId="1" xfId="0" applyFont="1" applyFill="1" applyBorder="1" applyAlignment="1" applyProtection="1">
      <alignment horizontal="left" wrapText="1"/>
      <protection locked="0"/>
    </xf>
    <xf numFmtId="0" fontId="2" fillId="3" borderId="0" xfId="0" applyFont="1" applyFill="1" applyAlignment="1">
      <alignment wrapText="1"/>
    </xf>
    <xf numFmtId="14" fontId="8" fillId="3" borderId="0" xfId="0" applyNumberFormat="1" applyFont="1" applyFill="1" applyAlignment="1">
      <alignment horizontal="left"/>
    </xf>
    <xf numFmtId="14" fontId="9" fillId="3" borderId="1" xfId="0" applyNumberFormat="1" applyFont="1" applyFill="1" applyBorder="1" applyAlignment="1">
      <alignment horizontal="left" wrapText="1"/>
    </xf>
    <xf numFmtId="14" fontId="10" fillId="3" borderId="1" xfId="0" applyNumberFormat="1" applyFont="1" applyFill="1" applyBorder="1" applyAlignment="1">
      <alignment horizontal="left"/>
    </xf>
    <xf numFmtId="0" fontId="0" fillId="4" borderId="0" xfId="0" applyFill="1"/>
    <xf numFmtId="0" fontId="11" fillId="4" borderId="0" xfId="0" applyFont="1" applyFill="1"/>
    <xf numFmtId="0" fontId="0" fillId="5" borderId="0" xfId="0" applyFill="1"/>
    <xf numFmtId="164" fontId="2" fillId="3" borderId="1" xfId="0" applyNumberFormat="1" applyFont="1" applyFill="1" applyBorder="1" applyAlignment="1" applyProtection="1">
      <alignment horizontal="left" wrapText="1"/>
      <protection locked="0"/>
    </xf>
    <xf numFmtId="164" fontId="2" fillId="3" borderId="2" xfId="0" applyNumberFormat="1" applyFont="1" applyFill="1" applyBorder="1" applyAlignment="1" applyProtection="1">
      <alignment horizontal="left" wrapText="1"/>
      <protection locked="0"/>
    </xf>
    <xf numFmtId="164" fontId="12" fillId="3" borderId="1" xfId="0" applyNumberFormat="1" applyFont="1" applyFill="1" applyBorder="1" applyAlignment="1" applyProtection="1">
      <alignment horizontal="left" wrapText="1"/>
      <protection locked="0"/>
    </xf>
    <xf numFmtId="15" fontId="13" fillId="3" borderId="1" xfId="0" applyNumberFormat="1" applyFont="1" applyFill="1" applyBorder="1" applyAlignment="1">
      <alignment horizontal="left"/>
    </xf>
    <xf numFmtId="164" fontId="14" fillId="3" borderId="1" xfId="0" applyNumberFormat="1" applyFont="1" applyFill="1" applyBorder="1" applyAlignment="1" applyProtection="1">
      <alignment horizontal="left" wrapText="1"/>
      <protection locked="0"/>
    </xf>
    <xf numFmtId="0" fontId="14" fillId="3" borderId="1" xfId="0" applyFont="1" applyFill="1" applyBorder="1" applyAlignment="1">
      <alignment horizontal="left" wrapText="1"/>
    </xf>
    <xf numFmtId="0" fontId="1" fillId="0" borderId="0" xfId="0" applyFont="1" applyAlignment="1">
      <alignment vertical="center" wrapText="1"/>
    </xf>
    <xf numFmtId="0" fontId="2" fillId="0" borderId="1" xfId="0" applyFont="1" applyBorder="1" applyAlignment="1">
      <alignment horizontal="left" wrapText="1"/>
    </xf>
    <xf numFmtId="0" fontId="2" fillId="6" borderId="1" xfId="0" applyFont="1" applyFill="1" applyBorder="1" applyAlignment="1" applyProtection="1">
      <alignment horizontal="left" wrapText="1"/>
      <protection locked="0"/>
    </xf>
    <xf numFmtId="0" fontId="3" fillId="6" borderId="0" xfId="0" applyFont="1" applyFill="1" applyAlignment="1">
      <alignment wrapText="1"/>
    </xf>
    <xf numFmtId="0" fontId="15" fillId="0" borderId="1" xfId="0" applyFont="1" applyBorder="1" applyAlignment="1">
      <alignment horizontal="left"/>
    </xf>
    <xf numFmtId="14" fontId="15" fillId="0" borderId="1" xfId="0" applyNumberFormat="1" applyFont="1" applyBorder="1" applyAlignment="1">
      <alignment horizontal="left"/>
    </xf>
    <xf numFmtId="0" fontId="16" fillId="0" borderId="1" xfId="0" applyFont="1" applyBorder="1" applyProtection="1">
      <protection locked="0"/>
    </xf>
    <xf numFmtId="0" fontId="15" fillId="0" borderId="1" xfId="0" applyFont="1" applyBorder="1" applyAlignment="1" applyProtection="1">
      <alignment horizontal="left"/>
      <protection locked="0"/>
    </xf>
    <xf numFmtId="14" fontId="17" fillId="7" borderId="1" xfId="0" applyNumberFormat="1" applyFont="1" applyFill="1" applyBorder="1" applyAlignment="1">
      <alignment horizontal="left"/>
    </xf>
    <xf numFmtId="0" fontId="15" fillId="7" borderId="1" xfId="0" applyFont="1" applyFill="1" applyBorder="1"/>
    <xf numFmtId="0" fontId="18" fillId="7" borderId="1" xfId="0" applyFont="1" applyFill="1" applyBorder="1"/>
    <xf numFmtId="0" fontId="15" fillId="7" borderId="1" xfId="0" applyFont="1" applyFill="1" applyBorder="1" applyAlignment="1">
      <alignment horizontal="left"/>
    </xf>
    <xf numFmtId="0" fontId="15" fillId="7" borderId="1" xfId="0" applyFont="1" applyFill="1" applyBorder="1" applyAlignment="1" applyProtection="1">
      <alignment horizontal="left" wrapText="1"/>
      <protection locked="0"/>
    </xf>
    <xf numFmtId="0" fontId="19" fillId="0" borderId="0" xfId="0" applyFont="1"/>
    <xf numFmtId="0" fontId="15" fillId="0" borderId="1" xfId="0" applyFont="1" applyBorder="1"/>
    <xf numFmtId="14" fontId="20" fillId="7" borderId="1" xfId="0" applyNumberFormat="1" applyFont="1" applyFill="1" applyBorder="1" applyAlignment="1">
      <alignment horizontal="left"/>
    </xf>
    <xf numFmtId="0" fontId="15" fillId="7" borderId="1" xfId="0" applyFont="1" applyFill="1" applyBorder="1" applyAlignment="1" applyProtection="1">
      <alignment horizontal="left"/>
      <protection locked="0"/>
    </xf>
    <xf numFmtId="14" fontId="18" fillId="0" borderId="1" xfId="0" applyNumberFormat="1" applyFont="1" applyBorder="1" applyAlignment="1">
      <alignment horizontal="left"/>
    </xf>
    <xf numFmtId="14" fontId="18" fillId="0" borderId="3" xfId="0" applyNumberFormat="1" applyFont="1" applyBorder="1" applyAlignment="1">
      <alignment horizontal="left"/>
    </xf>
    <xf numFmtId="0" fontId="21" fillId="7" borderId="1" xfId="0" applyFont="1" applyFill="1" applyBorder="1"/>
    <xf numFmtId="0" fontId="15" fillId="8" borderId="1" xfId="0" applyFont="1" applyFill="1" applyBorder="1" applyAlignment="1">
      <alignment horizontal="left"/>
    </xf>
    <xf numFmtId="0" fontId="4" fillId="0" borderId="0" xfId="0" applyFont="1" applyAlignment="1">
      <alignment wrapText="1"/>
    </xf>
    <xf numFmtId="164" fontId="15" fillId="0" borderId="1" xfId="0" applyNumberFormat="1" applyFont="1" applyBorder="1" applyAlignment="1" applyProtection="1">
      <alignment horizontal="left"/>
      <protection locked="0"/>
    </xf>
    <xf numFmtId="15" fontId="22" fillId="0" borderId="1" xfId="0" applyNumberFormat="1" applyFont="1" applyBorder="1" applyAlignment="1">
      <alignment horizontal="left"/>
    </xf>
    <xf numFmtId="0" fontId="14" fillId="0" borderId="1" xfId="0" applyFont="1" applyBorder="1" applyAlignment="1">
      <alignment horizontal="left" wrapText="1"/>
    </xf>
    <xf numFmtId="164" fontId="14" fillId="0" borderId="1" xfId="0" applyNumberFormat="1" applyFont="1" applyBorder="1" applyAlignment="1" applyProtection="1">
      <alignment horizontal="left" wrapText="1"/>
      <protection locked="0"/>
    </xf>
    <xf numFmtId="0" fontId="0" fillId="0" borderId="0" xfId="0" applyAlignment="1">
      <alignment horizontal="left" wrapText="1"/>
    </xf>
    <xf numFmtId="0" fontId="2" fillId="0" borderId="1" xfId="0" applyFont="1" applyBorder="1" applyAlignment="1" applyProtection="1">
      <alignment horizontal="left" wrapText="1"/>
      <protection locked="0"/>
    </xf>
    <xf numFmtId="14" fontId="2" fillId="0" borderId="0" xfId="0" applyNumberFormat="1" applyFont="1" applyAlignment="1">
      <alignment horizontal="left" wrapText="1"/>
    </xf>
    <xf numFmtId="0" fontId="5" fillId="0" borderId="0" xfId="0" applyFont="1" applyAlignment="1">
      <alignment wrapText="1"/>
    </xf>
    <xf numFmtId="164" fontId="2" fillId="0" borderId="2" xfId="0" applyNumberFormat="1" applyFont="1" applyBorder="1" applyAlignment="1" applyProtection="1">
      <alignment horizontal="left"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11"/>
  <sheetViews>
    <sheetView workbookViewId="0" zoomScale="89" zoomScaleNormal="100">
      <selection activeCell="BC4" sqref="BC4"/>
    </sheetView>
  </sheetViews>
  <sheetFormatPr defaultRowHeight="14.5" outlineLevelRow="0" outlineLevelCol="0" x14ac:dyDescent="0.35" customHeight="1"/>
  <cols>
    <col min="1" max="1" width="10.81640625" customWidth="1"/>
    <col min="2" max="2" width="156.54296875" customWidth="1"/>
    <col min="3" max="3" width="25.81640625" customWidth="1"/>
    <col min="4" max="4" width="20.453125" customWidth="1"/>
    <col min="5" max="5" width="7" customWidth="1"/>
    <col min="6" max="6" width="10" customWidth="1"/>
    <col min="7" max="7" width="10.1796875" customWidth="1"/>
    <col min="8" max="8" width="11.81640625" customWidth="1"/>
    <col min="9" max="9" width="11.1796875" customWidth="1"/>
    <col min="10" max="10" width="18" customWidth="1"/>
    <col min="11" max="11" width="27.81640625" customWidth="1"/>
    <col min="12" max="12" width="7" customWidth="1"/>
    <col min="13" max="13" width="10.453125" customWidth="1"/>
    <col min="14" max="14" width="7.54296875" customWidth="1"/>
    <col min="15" max="15" width="27.1796875" customWidth="1"/>
    <col min="16" max="16" width="17.81640625" customWidth="1"/>
    <col min="17" max="17" width="11.81640625" customWidth="1"/>
    <col min="18" max="18" width="10" customWidth="1"/>
    <col min="19" max="19" width="6.453125" customWidth="1"/>
    <col min="20" max="20" width="4.81640625" customWidth="1"/>
    <col min="21" max="21" width="6.54296875" customWidth="1"/>
    <col min="22" max="22" width="11.1796875" customWidth="1"/>
    <col min="23" max="23" width="20.54296875" customWidth="1"/>
    <col min="24" max="24" width="29.1796875" customWidth="1"/>
    <col min="25" max="25" width="6.81640625" customWidth="1"/>
    <col min="26" max="26" width="7.1796875" customWidth="1"/>
    <col min="27" max="27" width="36.453125" style="1" customWidth="1"/>
    <col min="28" max="28" width="52.90625" customWidth="1"/>
    <col min="29" max="29" width="12" style="1" customWidth="1"/>
    <col min="30" max="30" width="7.54296875" customWidth="1"/>
    <col min="31" max="31" width="11.81640625" customWidth="1"/>
    <col min="32" max="32" width="25.453125" customWidth="1"/>
    <col min="33" max="33" width="12.81640625" customWidth="1"/>
    <col min="34" max="34" width="10.81640625" customWidth="1"/>
    <col min="35" max="35" width="16.1796875" customWidth="1"/>
    <col min="36" max="36" width="17" customWidth="1"/>
    <col min="37" max="37" width="23.1796875" customWidth="1"/>
    <col min="38" max="38" width="21.1796875" style="1" customWidth="1"/>
    <col min="39" max="40" width="25.453125" customWidth="1"/>
    <col min="41" max="41" width="9.453125" customWidth="1"/>
    <col min="42" max="42" width="41" customWidth="1"/>
    <col min="43" max="43" width="5.81640625" customWidth="1"/>
    <col min="44" max="44" width="17" customWidth="1"/>
    <col min="45" max="45" width="16.54296875" customWidth="1"/>
    <col min="46" max="46" width="15.1796875" customWidth="1"/>
    <col min="47" max="47" width="27.453125" customWidth="1"/>
    <col min="48" max="56" width="27.1796875" customWidth="1"/>
    <col min="57" max="57" width="35.1796875" customWidth="1"/>
    <col min="58" max="58" width="24.1796875" customWidth="1"/>
    <col min="59" max="59" width="27.81640625" customWidth="1"/>
    <col min="60" max="60" width="23.81640625" customWidth="1"/>
    <col min="61" max="61" width="25.81640625" customWidth="1"/>
    <col min="62" max="62" width="14" customWidth="1"/>
    <col min="63" max="63" width="30.54296875" customWidth="1"/>
    <col min="64" max="64" width="18.81640625" customWidth="1"/>
    <col min="65" max="65" width="11.1796875" customWidth="1"/>
    <col min="66" max="66" width="31.54296875" customWidth="1"/>
    <col min="67" max="67" width="18.81640625" customWidth="1"/>
    <col min="68" max="68" width="25.1796875" customWidth="1"/>
    <col min="69" max="69" width="20.81640625" customWidth="1"/>
    <col min="70" max="70" width="20.54296875" customWidth="1"/>
    <col min="71" max="71" width="31.81640625" customWidth="1"/>
    <col min="75" max="75" width="20.54296875" customWidth="1"/>
    <col min="76" max="76" width="21.1796875" customWidth="1"/>
    <col min="77" max="77" width="26.453125" customWidth="1"/>
  </cols>
  <sheetData>
    <row r="1" ht="35" customHeight="1" spans="1:77" s="2" customFormat="1" x14ac:dyDescent="0.25">
      <c r="A1" s="3" t="s">
        <v>0</v>
      </c>
      <c r="B1" s="2" t="s">
        <v>1</v>
      </c>
      <c r="C1" s="2" t="s">
        <v>2</v>
      </c>
      <c r="D1" s="4" t="s">
        <v>3</v>
      </c>
      <c r="E1" s="5" t="s">
        <v>4</v>
      </c>
      <c r="F1" s="6" t="s">
        <v>5</v>
      </c>
      <c r="G1" s="7" t="s">
        <v>6</v>
      </c>
      <c r="H1" s="8" t="s">
        <v>7</v>
      </c>
      <c r="I1" s="6" t="s">
        <v>8</v>
      </c>
      <c r="J1" s="6" t="s">
        <v>9</v>
      </c>
      <c r="K1" s="9" t="s">
        <v>10</v>
      </c>
      <c r="L1" s="5" t="s">
        <v>4</v>
      </c>
      <c r="M1" s="5" t="s">
        <v>11</v>
      </c>
      <c r="N1" s="6" t="s">
        <v>12</v>
      </c>
      <c r="O1" s="10" t="s">
        <v>13</v>
      </c>
      <c r="P1" s="6" t="s">
        <v>14</v>
      </c>
      <c r="Q1" s="6" t="s">
        <v>15</v>
      </c>
      <c r="R1" s="6" t="s">
        <v>16</v>
      </c>
      <c r="S1" s="6" t="s">
        <v>17</v>
      </c>
      <c r="T1" s="6" t="s">
        <v>9</v>
      </c>
      <c r="U1" s="11" t="s">
        <v>18</v>
      </c>
      <c r="V1" s="12" t="s">
        <v>19</v>
      </c>
      <c r="W1" s="6" t="s">
        <v>9</v>
      </c>
      <c r="X1" s="13" t="s">
        <v>20</v>
      </c>
      <c r="Y1" s="6" t="s">
        <v>21</v>
      </c>
      <c r="Z1" s="6" t="s">
        <v>22</v>
      </c>
      <c r="AA1" s="6" t="s">
        <v>23</v>
      </c>
      <c r="AB1" s="6" t="s">
        <v>24</v>
      </c>
      <c r="AC1" s="14" t="s">
        <v>25</v>
      </c>
      <c r="AD1" s="15" t="s">
        <v>26</v>
      </c>
      <c r="AE1" s="15" t="s">
        <v>27</v>
      </c>
      <c r="AF1" s="16" t="s">
        <v>28</v>
      </c>
      <c r="AG1" s="17" t="s">
        <v>29</v>
      </c>
      <c r="AH1" s="17" t="s">
        <v>30</v>
      </c>
      <c r="AI1" s="17" t="s">
        <v>31</v>
      </c>
      <c r="AJ1" s="17" t="s">
        <v>32</v>
      </c>
      <c r="AK1" s="17" t="s">
        <v>33</v>
      </c>
      <c r="AL1" s="17" t="s">
        <v>34</v>
      </c>
      <c r="AM1" s="18" t="s">
        <v>35</v>
      </c>
      <c r="AN1" s="6" t="s">
        <v>36</v>
      </c>
      <c r="AO1" s="6" t="s">
        <v>37</v>
      </c>
      <c r="AP1" s="14" t="s">
        <v>38</v>
      </c>
      <c r="AQ1" s="6" t="s">
        <v>39</v>
      </c>
      <c r="AR1" s="19" t="s">
        <v>40</v>
      </c>
      <c r="AS1" s="19" t="s">
        <v>41</v>
      </c>
      <c r="AT1" s="20" t="s">
        <v>42</v>
      </c>
      <c r="AU1" s="6" t="s">
        <v>43</v>
      </c>
      <c r="AV1" s="2" t="s">
        <v>44</v>
      </c>
      <c r="AW1" s="2" t="s">
        <v>45</v>
      </c>
      <c r="AX1" s="2" t="s">
        <v>46</v>
      </c>
      <c r="AY1" s="2" t="s">
        <v>47</v>
      </c>
      <c r="AZ1" s="2" t="s">
        <v>48</v>
      </c>
      <c r="BA1" s="2" t="s">
        <v>49</v>
      </c>
      <c r="BB1" s="21" t="s">
        <v>50</v>
      </c>
      <c r="BC1" s="22" t="s">
        <v>51</v>
      </c>
      <c r="BD1" s="23" t="s">
        <v>52</v>
      </c>
      <c r="BE1" s="24" t="s">
        <v>53</v>
      </c>
      <c r="BF1" s="15" t="s">
        <v>54</v>
      </c>
      <c r="BG1" s="2" t="s">
        <v>55</v>
      </c>
      <c r="BH1" s="24" t="s">
        <v>56</v>
      </c>
      <c r="BI1" s="15" t="s">
        <v>57</v>
      </c>
      <c r="BJ1" s="15" t="s">
        <v>58</v>
      </c>
      <c r="BK1" s="24" t="s">
        <v>59</v>
      </c>
      <c r="BL1" s="15" t="s">
        <v>60</v>
      </c>
      <c r="BM1" s="14" t="s">
        <v>61</v>
      </c>
      <c r="BN1" s="25" t="s">
        <v>62</v>
      </c>
      <c r="BO1" s="26" t="s">
        <v>63</v>
      </c>
      <c r="BP1" s="27" t="s">
        <v>64</v>
      </c>
      <c r="BQ1" s="28" t="s">
        <v>65</v>
      </c>
      <c r="BR1" s="5" t="s">
        <v>66</v>
      </c>
      <c r="BS1" s="29" t="s">
        <v>67</v>
      </c>
      <c r="BT1" s="5" t="s">
        <v>68</v>
      </c>
      <c r="BU1" s="28" t="s">
        <v>69</v>
      </c>
      <c r="BV1" s="28" t="s">
        <v>70</v>
      </c>
      <c r="BW1" s="5" t="s">
        <v>71</v>
      </c>
      <c r="BX1" s="5" t="s">
        <v>72</v>
      </c>
      <c r="BY1" s="5" t="s">
        <v>73</v>
      </c>
    </row>
    <row r="2" ht="54" customHeight="1" spans="1:77" x14ac:dyDescent="0.25">
      <c r="A2" t="s">
        <v>74</v>
      </c>
      <c r="B2" t="s">
        <v>75</v>
      </c>
      <c r="C2" s="1" t="s">
        <v>76</v>
      </c>
      <c r="D2" s="30" t="s">
        <v>77</v>
      </c>
      <c r="E2" s="31" t="s">
        <v>78</v>
      </c>
      <c r="F2" s="32" t="s">
        <v>79</v>
      </c>
      <c r="G2" s="33" t="s">
        <v>80</v>
      </c>
      <c r="H2" s="34" t="s">
        <v>81</v>
      </c>
      <c r="I2" s="34" t="s">
        <v>82</v>
      </c>
      <c r="J2" s="34" t="s">
        <v>83</v>
      </c>
      <c r="K2" s="35">
        <f>TODAY()-31</f>
        <v>45705</v>
      </c>
      <c r="L2" s="34" t="s">
        <v>78</v>
      </c>
      <c r="M2" s="34" t="s">
        <v>84</v>
      </c>
      <c r="N2" s="34" t="s">
        <v>85</v>
      </c>
      <c r="O2" s="34" t="s">
        <v>86</v>
      </c>
      <c r="P2" s="34" t="s">
        <v>87</v>
      </c>
      <c r="Q2" s="34" t="s">
        <v>88</v>
      </c>
      <c r="R2" s="34" t="s">
        <v>88</v>
      </c>
      <c r="S2" s="34" t="s">
        <v>87</v>
      </c>
      <c r="T2" s="34" t="s">
        <v>83</v>
      </c>
      <c r="U2" s="34" t="s">
        <v>89</v>
      </c>
      <c r="V2" s="36" t="s">
        <v>90</v>
      </c>
      <c r="W2" s="37" t="s">
        <v>83</v>
      </c>
      <c r="X2" s="38">
        <f>K2</f>
        <v>45705</v>
      </c>
      <c r="Y2" s="37" t="s">
        <v>91</v>
      </c>
      <c r="Z2" s="34" t="s">
        <v>92</v>
      </c>
      <c r="AA2" s="39" t="s">
        <v>93</v>
      </c>
      <c r="AB2" s="40" t="s">
        <v>94</v>
      </c>
      <c r="AC2" s="39" t="s">
        <v>95</v>
      </c>
      <c r="AD2" s="41">
        <v>765</v>
      </c>
      <c r="AE2" s="34" t="s">
        <v>71</v>
      </c>
      <c r="AF2" s="42">
        <v>10</v>
      </c>
      <c r="AG2" s="34" t="s">
        <v>88</v>
      </c>
      <c r="AH2" s="34" t="s">
        <v>96</v>
      </c>
      <c r="AI2" s="35">
        <v>43831</v>
      </c>
      <c r="AJ2" s="35">
        <v>45293</v>
      </c>
      <c r="AK2" s="43" t="s">
        <v>97</v>
      </c>
      <c r="AL2" s="44" t="s">
        <v>98</v>
      </c>
      <c r="AM2" s="45" t="s">
        <v>99</v>
      </c>
      <c r="AN2" s="34">
        <v>110</v>
      </c>
      <c r="AO2" s="34" t="s">
        <v>100</v>
      </c>
      <c r="AP2" s="46" t="s">
        <v>101</v>
      </c>
      <c r="AQ2" s="37" t="s">
        <v>102</v>
      </c>
      <c r="AR2" s="47">
        <f>X2</f>
        <v>45705</v>
      </c>
      <c r="AS2" s="48">
        <f>X2</f>
        <v>45705</v>
      </c>
      <c r="AT2" s="45">
        <f>AM2</f>
        <v>NaN</v>
      </c>
      <c r="AU2" s="46" t="s">
        <v>103</v>
      </c>
      <c r="AV2" s="49" t="s">
        <v>104</v>
      </c>
      <c r="AW2" s="50" t="s">
        <v>105</v>
      </c>
      <c r="AX2" s="50" t="s">
        <v>106</v>
      </c>
      <c r="AY2" s="50" t="s">
        <v>107</v>
      </c>
      <c r="AZ2" s="50" t="s">
        <v>108</v>
      </c>
      <c r="BA2" s="50" t="s">
        <v>109</v>
      </c>
      <c r="BB2" s="50" t="s">
        <v>110</v>
      </c>
      <c r="BC2" s="34"/>
      <c r="BD2" s="51" t="s">
        <v>78</v>
      </c>
      <c r="BE2" s="31" t="s">
        <v>111</v>
      </c>
      <c r="BF2" s="15">
        <v>9447896712</v>
      </c>
      <c r="BG2" s="51" t="s">
        <v>78</v>
      </c>
      <c r="BH2" s="31" t="s">
        <v>112</v>
      </c>
      <c r="BI2" s="15">
        <v>47478965746</v>
      </c>
      <c r="BJ2" s="51" t="s">
        <v>78</v>
      </c>
      <c r="BK2" s="51" t="s">
        <v>113</v>
      </c>
      <c r="BL2" s="51" t="s">
        <v>114</v>
      </c>
      <c r="BM2" s="51" t="s">
        <v>115</v>
      </c>
      <c r="BN2" s="52">
        <v>35956</v>
      </c>
      <c r="BO2" s="51" t="s">
        <v>116</v>
      </c>
      <c r="BP2" s="53" t="s">
        <v>99</v>
      </c>
      <c r="BQ2" s="51" t="s">
        <v>117</v>
      </c>
      <c r="BR2" s="51" t="s">
        <v>118</v>
      </c>
      <c r="BS2" s="54" t="s">
        <v>119</v>
      </c>
      <c r="BT2" s="31" t="s">
        <v>120</v>
      </c>
      <c r="BU2" s="55" t="s">
        <v>121</v>
      </c>
      <c r="BV2" s="55" t="s">
        <v>122</v>
      </c>
      <c r="BW2" s="31" t="s">
        <v>123</v>
      </c>
      <c r="BX2" s="31" t="s">
        <v>124</v>
      </c>
      <c r="BY2" s="31" t="s">
        <v>125</v>
      </c>
    </row>
    <row r="3" ht="54" customHeight="1" spans="1:77" x14ac:dyDescent="0.25">
      <c r="A3" t="s">
        <v>126</v>
      </c>
      <c r="B3" s="56" t="s">
        <v>127</v>
      </c>
      <c r="C3" s="1" t="s">
        <v>76</v>
      </c>
      <c r="D3" s="30" t="s">
        <v>77</v>
      </c>
      <c r="E3" s="31" t="s">
        <v>78</v>
      </c>
      <c r="F3" s="32" t="s">
        <v>128</v>
      </c>
      <c r="G3" s="33" t="s">
        <v>129</v>
      </c>
      <c r="H3" s="51" t="s">
        <v>81</v>
      </c>
      <c r="I3" s="57" t="s">
        <v>82</v>
      </c>
      <c r="J3" s="57" t="s">
        <v>83</v>
      </c>
      <c r="K3" s="58">
        <f t="shared" ref="K3" si="0">TODAY()-31</f>
        <v>45705</v>
      </c>
      <c r="L3" s="31" t="s">
        <v>78</v>
      </c>
      <c r="M3" s="31" t="s">
        <v>84</v>
      </c>
      <c r="N3" s="57" t="s">
        <v>85</v>
      </c>
      <c r="O3" s="59" t="s">
        <v>86</v>
      </c>
      <c r="P3" s="31" t="s">
        <v>87</v>
      </c>
      <c r="Q3" s="31" t="s">
        <v>88</v>
      </c>
      <c r="R3" s="31" t="s">
        <v>88</v>
      </c>
      <c r="S3" s="31" t="s">
        <v>87</v>
      </c>
      <c r="T3" s="31" t="s">
        <v>83</v>
      </c>
      <c r="U3" s="31" t="s">
        <v>89</v>
      </c>
      <c r="V3" s="31" t="s">
        <v>90</v>
      </c>
      <c r="W3" s="31" t="s">
        <v>83</v>
      </c>
      <c r="X3" s="58">
        <f t="shared" ref="X3" si="1">K3</f>
        <v>45705</v>
      </c>
      <c r="Y3" s="31" t="s">
        <v>91</v>
      </c>
      <c r="Z3" s="31" t="s">
        <v>92</v>
      </c>
      <c r="AA3" s="31" t="s">
        <v>93</v>
      </c>
      <c r="AB3" s="31" t="s">
        <v>94</v>
      </c>
      <c r="AC3" s="31" t="s">
        <v>95</v>
      </c>
      <c r="AD3" s="51">
        <v>765</v>
      </c>
      <c r="AE3" s="31" t="s">
        <v>71</v>
      </c>
      <c r="AF3" s="31">
        <v>20</v>
      </c>
      <c r="AG3" s="31" t="s">
        <v>88</v>
      </c>
      <c r="AH3" s="31" t="s">
        <v>130</v>
      </c>
      <c r="AI3" s="58">
        <v>43831</v>
      </c>
      <c r="AJ3" s="58">
        <v>45293</v>
      </c>
      <c r="AK3" s="31" t="s">
        <v>131</v>
      </c>
      <c r="AL3" s="31" t="s">
        <v>98</v>
      </c>
      <c r="AM3" s="45" t="s">
        <v>99</v>
      </c>
      <c r="AN3" s="31">
        <v>110</v>
      </c>
      <c r="AO3" s="31" t="s">
        <v>100</v>
      </c>
      <c r="AP3" s="31" t="s">
        <v>101</v>
      </c>
      <c r="AQ3" s="31" t="s">
        <v>102</v>
      </c>
      <c r="AR3" s="58">
        <f>X3</f>
        <v>45705</v>
      </c>
      <c r="AS3" s="58">
        <f>X3</f>
        <v>45705</v>
      </c>
      <c r="AT3" s="31" t="str">
        <f t="shared" ref="AT3" si="2">AM3</f>
        <v>N/A</v>
      </c>
      <c r="AU3" s="31" t="s">
        <v>103</v>
      </c>
      <c r="AV3" s="31" t="s">
        <v>132</v>
      </c>
      <c r="AW3" s="31" t="s">
        <v>105</v>
      </c>
      <c r="AX3" s="31" t="s">
        <v>106</v>
      </c>
      <c r="AY3" s="31" t="s">
        <v>107</v>
      </c>
      <c r="AZ3" s="31" t="s">
        <v>108</v>
      </c>
      <c r="BA3" s="31" t="s">
        <v>109</v>
      </c>
      <c r="BB3" s="50" t="s">
        <v>110</v>
      </c>
      <c r="BC3" s="31"/>
      <c r="BD3" s="51" t="s">
        <v>78</v>
      </c>
      <c r="BE3" s="31" t="s">
        <v>111</v>
      </c>
      <c r="BF3" s="15">
        <v>9447896713</v>
      </c>
      <c r="BG3" s="51" t="s">
        <v>78</v>
      </c>
      <c r="BH3" s="31" t="s">
        <v>112</v>
      </c>
      <c r="BI3" s="15">
        <v>47478965747</v>
      </c>
      <c r="BJ3" s="51" t="s">
        <v>78</v>
      </c>
      <c r="BK3" s="51" t="s">
        <v>113</v>
      </c>
      <c r="BL3" s="51" t="s">
        <v>133</v>
      </c>
      <c r="BM3" s="51" t="s">
        <v>115</v>
      </c>
      <c r="BN3" s="60">
        <v>35591</v>
      </c>
      <c r="BO3" s="51" t="s">
        <v>116</v>
      </c>
      <c r="BP3" s="51" t="s">
        <v>134</v>
      </c>
      <c r="BQ3" s="51" t="s">
        <v>117</v>
      </c>
      <c r="BR3" s="51" t="s">
        <v>118</v>
      </c>
      <c r="BS3" s="54" t="s">
        <v>119</v>
      </c>
      <c r="BT3" s="31" t="s">
        <v>120</v>
      </c>
      <c r="BU3" s="55" t="s">
        <v>121</v>
      </c>
      <c r="BV3" s="55" t="s">
        <v>122</v>
      </c>
      <c r="BW3" s="31" t="s">
        <v>123</v>
      </c>
      <c r="BX3" s="31" t="s">
        <v>124</v>
      </c>
      <c r="BY3" s="31" t="s">
        <v>125</v>
      </c>
    </row>
    <row r="4" ht="54" customHeight="1" spans="1:77" x14ac:dyDescent="0.25">
      <c r="A4" t="s">
        <v>135</v>
      </c>
      <c r="B4" t="s">
        <v>136</v>
      </c>
      <c r="C4" s="1" t="s">
        <v>76</v>
      </c>
      <c r="D4" s="30" t="s">
        <v>77</v>
      </c>
      <c r="E4" t="s">
        <v>78</v>
      </c>
      <c r="F4" s="32" t="s">
        <v>137</v>
      </c>
      <c r="G4" s="33" t="s">
        <v>138</v>
      </c>
      <c r="H4" s="51" t="s">
        <v>81</v>
      </c>
      <c r="I4" s="57" t="s">
        <v>82</v>
      </c>
      <c r="J4" s="57" t="s">
        <v>83</v>
      </c>
      <c r="K4" s="58">
        <f t="shared" ref="K4:K9" si="3">TODAY()-31</f>
        <v>45705</v>
      </c>
      <c r="L4" s="31" t="s">
        <v>78</v>
      </c>
      <c r="M4" s="31" t="s">
        <v>84</v>
      </c>
      <c r="N4" s="57" t="s">
        <v>85</v>
      </c>
      <c r="O4" s="59" t="s">
        <v>86</v>
      </c>
      <c r="P4" s="31" t="s">
        <v>87</v>
      </c>
      <c r="Q4" s="31" t="s">
        <v>88</v>
      </c>
      <c r="R4" s="31" t="s">
        <v>88</v>
      </c>
      <c r="S4" s="31" t="s">
        <v>87</v>
      </c>
      <c r="T4" s="31" t="s">
        <v>83</v>
      </c>
      <c r="U4" s="31" t="s">
        <v>89</v>
      </c>
      <c r="V4" s="31" t="s">
        <v>90</v>
      </c>
      <c r="W4" s="31" t="s">
        <v>83</v>
      </c>
      <c r="X4" s="58">
        <f t="shared" ref="X4:X9" si="4">K4</f>
        <v>45705</v>
      </c>
      <c r="Y4" s="31" t="s">
        <v>91</v>
      </c>
      <c r="Z4" s="31" t="s">
        <v>92</v>
      </c>
      <c r="AA4" s="31" t="s">
        <v>93</v>
      </c>
      <c r="AB4" s="31" t="s">
        <v>94</v>
      </c>
      <c r="AC4" s="31" t="s">
        <v>95</v>
      </c>
      <c r="AD4" s="51">
        <v>765</v>
      </c>
      <c r="AE4" s="31" t="s">
        <v>71</v>
      </c>
      <c r="AF4" s="31">
        <v>20</v>
      </c>
      <c r="AG4" s="31" t="s">
        <v>88</v>
      </c>
      <c r="AH4" s="31" t="s">
        <v>130</v>
      </c>
      <c r="AI4" s="58">
        <v>43831</v>
      </c>
      <c r="AJ4" s="58">
        <v>45293</v>
      </c>
      <c r="AK4" s="31" t="s">
        <v>139</v>
      </c>
      <c r="AL4" s="31" t="s">
        <v>98</v>
      </c>
      <c r="AM4" s="45" t="s">
        <v>99</v>
      </c>
      <c r="AN4" s="31">
        <v>110</v>
      </c>
      <c r="AO4" s="31" t="s">
        <v>100</v>
      </c>
      <c r="AP4" s="31" t="s">
        <v>101</v>
      </c>
      <c r="AQ4" s="31" t="s">
        <v>102</v>
      </c>
      <c r="AR4" s="58">
        <f>X4</f>
        <v>45705</v>
      </c>
      <c r="AS4" s="58">
        <f>X4</f>
        <v>45705</v>
      </c>
      <c r="AT4" s="58" t="s">
        <v>99</v>
      </c>
      <c r="AU4" s="31" t="s">
        <v>103</v>
      </c>
      <c r="AV4" s="31" t="s">
        <v>132</v>
      </c>
      <c r="AW4" s="31" t="s">
        <v>105</v>
      </c>
      <c r="AX4" s="31" t="s">
        <v>106</v>
      </c>
      <c r="AY4" s="31" t="s">
        <v>107</v>
      </c>
      <c r="AZ4" s="31" t="s">
        <v>108</v>
      </c>
      <c r="BA4" s="31" t="s">
        <v>109</v>
      </c>
      <c r="BB4" s="50" t="s">
        <v>110</v>
      </c>
      <c r="BC4" s="58"/>
      <c r="BD4" s="51" t="s">
        <v>78</v>
      </c>
      <c r="BE4" s="31" t="s">
        <v>111</v>
      </c>
      <c r="BF4" s="15">
        <v>9447896714</v>
      </c>
      <c r="BG4" s="51" t="s">
        <v>78</v>
      </c>
      <c r="BH4" s="31" t="s">
        <v>112</v>
      </c>
      <c r="BI4" s="15">
        <v>47478965748</v>
      </c>
      <c r="BJ4" s="51" t="s">
        <v>78</v>
      </c>
      <c r="BK4" s="51" t="s">
        <v>113</v>
      </c>
      <c r="BL4" s="51" t="s">
        <v>140</v>
      </c>
      <c r="BM4" s="51" t="s">
        <v>115</v>
      </c>
      <c r="BN4" s="60">
        <v>35591</v>
      </c>
      <c r="BO4" s="51" t="s">
        <v>116</v>
      </c>
      <c r="BP4" s="53" t="s">
        <v>99</v>
      </c>
      <c r="BQ4" s="51" t="s">
        <v>117</v>
      </c>
      <c r="BR4" s="51" t="s">
        <v>118</v>
      </c>
      <c r="BS4" s="54" t="s">
        <v>119</v>
      </c>
      <c r="BT4" s="31" t="s">
        <v>120</v>
      </c>
      <c r="BU4" s="55" t="s">
        <v>121</v>
      </c>
      <c r="BV4" s="55" t="s">
        <v>122</v>
      </c>
      <c r="BW4" s="31" t="s">
        <v>123</v>
      </c>
      <c r="BX4" s="31" t="s">
        <v>124</v>
      </c>
      <c r="BY4" s="31" t="s">
        <v>125</v>
      </c>
    </row>
    <row r="5" ht="54" customHeight="1" spans="1:77" x14ac:dyDescent="0.25">
      <c r="A5" t="s">
        <v>141</v>
      </c>
      <c r="B5" t="s">
        <v>142</v>
      </c>
      <c r="C5" s="1" t="s">
        <v>76</v>
      </c>
      <c r="D5" s="30" t="s">
        <v>77</v>
      </c>
      <c r="E5" t="s">
        <v>78</v>
      </c>
      <c r="F5" s="32" t="s">
        <v>143</v>
      </c>
      <c r="G5" s="33" t="s">
        <v>144</v>
      </c>
      <c r="H5" s="51" t="s">
        <v>81</v>
      </c>
      <c r="I5" s="57" t="s">
        <v>82</v>
      </c>
      <c r="J5" s="57" t="s">
        <v>83</v>
      </c>
      <c r="K5" s="58">
        <f t="shared" si="3"/>
        <v>45705</v>
      </c>
      <c r="L5" s="31" t="s">
        <v>78</v>
      </c>
      <c r="M5" s="31" t="s">
        <v>84</v>
      </c>
      <c r="N5" s="57" t="s">
        <v>85</v>
      </c>
      <c r="O5" s="59" t="s">
        <v>86</v>
      </c>
      <c r="P5" s="31" t="s">
        <v>87</v>
      </c>
      <c r="Q5" s="31" t="s">
        <v>88</v>
      </c>
      <c r="R5" s="31" t="s">
        <v>88</v>
      </c>
      <c r="S5" s="31" t="s">
        <v>87</v>
      </c>
      <c r="T5" s="31" t="s">
        <v>83</v>
      </c>
      <c r="U5" s="31" t="s">
        <v>89</v>
      </c>
      <c r="V5" s="31" t="s">
        <v>90</v>
      </c>
      <c r="W5" s="31" t="s">
        <v>83</v>
      </c>
      <c r="X5" s="58">
        <f t="shared" si="4"/>
        <v>45705</v>
      </c>
      <c r="Y5" s="31" t="s">
        <v>91</v>
      </c>
      <c r="Z5" s="31" t="s">
        <v>92</v>
      </c>
      <c r="AA5" s="31" t="s">
        <v>93</v>
      </c>
      <c r="AB5" s="31" t="s">
        <v>94</v>
      </c>
      <c r="AC5" s="31" t="s">
        <v>145</v>
      </c>
      <c r="AD5" s="51">
        <v>765</v>
      </c>
      <c r="AE5" s="31" t="s">
        <v>71</v>
      </c>
      <c r="AF5" s="31">
        <v>30</v>
      </c>
      <c r="AG5" s="31" t="s">
        <v>88</v>
      </c>
      <c r="AH5" s="31" t="s">
        <v>130</v>
      </c>
      <c r="AI5" s="58">
        <v>43831</v>
      </c>
      <c r="AJ5" s="58">
        <v>45293</v>
      </c>
      <c r="AK5" s="31" t="s">
        <v>146</v>
      </c>
      <c r="AL5" s="31" t="s">
        <v>98</v>
      </c>
      <c r="AM5" s="45" t="s">
        <v>99</v>
      </c>
      <c r="AN5" s="31">
        <v>110</v>
      </c>
      <c r="AO5" s="31" t="s">
        <v>100</v>
      </c>
      <c r="AP5" s="31" t="s">
        <v>101</v>
      </c>
      <c r="AQ5" s="31" t="s">
        <v>102</v>
      </c>
      <c r="AR5" s="58">
        <f>X5</f>
        <v>45705</v>
      </c>
      <c r="AS5" s="58">
        <f>X5</f>
        <v>45705</v>
      </c>
      <c r="AT5" s="58" t="s">
        <v>99</v>
      </c>
      <c r="AU5" s="31" t="s">
        <v>103</v>
      </c>
      <c r="AV5" s="31" t="s">
        <v>132</v>
      </c>
      <c r="AW5" s="31" t="s">
        <v>105</v>
      </c>
      <c r="AX5" s="31" t="s">
        <v>106</v>
      </c>
      <c r="AY5" s="31" t="s">
        <v>107</v>
      </c>
      <c r="AZ5" s="31" t="s">
        <v>108</v>
      </c>
      <c r="BA5" s="31" t="s">
        <v>109</v>
      </c>
      <c r="BB5" s="50" t="s">
        <v>110</v>
      </c>
      <c r="BC5" s="31"/>
      <c r="BD5" s="51" t="s">
        <v>78</v>
      </c>
      <c r="BE5" s="31" t="s">
        <v>111</v>
      </c>
      <c r="BF5" s="15">
        <v>9447896715</v>
      </c>
      <c r="BG5" s="51" t="s">
        <v>78</v>
      </c>
      <c r="BH5" s="31" t="s">
        <v>112</v>
      </c>
      <c r="BI5" s="15">
        <v>47478965749</v>
      </c>
      <c r="BJ5" s="51" t="s">
        <v>78</v>
      </c>
      <c r="BK5" s="51" t="s">
        <v>113</v>
      </c>
      <c r="BL5" s="51" t="s">
        <v>147</v>
      </c>
      <c r="BM5" s="51" t="s">
        <v>115</v>
      </c>
      <c r="BN5" s="60">
        <v>35591</v>
      </c>
      <c r="BO5" s="51" t="s">
        <v>116</v>
      </c>
      <c r="BP5" s="51" t="s">
        <v>134</v>
      </c>
      <c r="BQ5" s="51" t="s">
        <v>117</v>
      </c>
      <c r="BR5" s="51" t="s">
        <v>118</v>
      </c>
      <c r="BS5" s="54" t="s">
        <v>119</v>
      </c>
      <c r="BT5" s="31" t="s">
        <v>120</v>
      </c>
      <c r="BU5" s="55" t="s">
        <v>121</v>
      </c>
      <c r="BV5" s="55" t="s">
        <v>122</v>
      </c>
      <c r="BW5" s="31" t="s">
        <v>123</v>
      </c>
      <c r="BX5" s="31" t="s">
        <v>124</v>
      </c>
      <c r="BY5" s="31" t="s">
        <v>125</v>
      </c>
    </row>
    <row r="6" ht="54" customHeight="1" spans="1:77" x14ac:dyDescent="0.25">
      <c r="A6" t="s">
        <v>148</v>
      </c>
      <c r="B6" t="s">
        <v>149</v>
      </c>
      <c r="C6" s="1" t="s">
        <v>76</v>
      </c>
      <c r="D6" s="30" t="s">
        <v>77</v>
      </c>
      <c r="E6" t="s">
        <v>78</v>
      </c>
      <c r="F6" s="32" t="s">
        <v>150</v>
      </c>
      <c r="G6" s="33" t="s">
        <v>151</v>
      </c>
      <c r="H6" s="51" t="s">
        <v>81</v>
      </c>
      <c r="I6" s="57" t="s">
        <v>82</v>
      </c>
      <c r="J6" s="57" t="s">
        <v>83</v>
      </c>
      <c r="K6" s="58">
        <f t="shared" si="3"/>
        <v>45705</v>
      </c>
      <c r="L6" s="31" t="s">
        <v>78</v>
      </c>
      <c r="M6" s="31" t="s">
        <v>84</v>
      </c>
      <c r="N6" s="57" t="s">
        <v>85</v>
      </c>
      <c r="O6" s="59" t="s">
        <v>86</v>
      </c>
      <c r="P6" s="31" t="s">
        <v>87</v>
      </c>
      <c r="Q6" s="31" t="s">
        <v>88</v>
      </c>
      <c r="R6" s="31" t="s">
        <v>88</v>
      </c>
      <c r="S6" s="31" t="s">
        <v>87</v>
      </c>
      <c r="T6" s="31" t="s">
        <v>83</v>
      </c>
      <c r="U6" s="31" t="s">
        <v>89</v>
      </c>
      <c r="V6" s="31" t="s">
        <v>90</v>
      </c>
      <c r="W6" s="31" t="s">
        <v>83</v>
      </c>
      <c r="X6" s="58">
        <f t="shared" si="4"/>
        <v>45705</v>
      </c>
      <c r="Y6" s="31" t="s">
        <v>91</v>
      </c>
      <c r="Z6" s="31" t="s">
        <v>92</v>
      </c>
      <c r="AA6" s="31" t="s">
        <v>93</v>
      </c>
      <c r="AB6" s="31" t="s">
        <v>94</v>
      </c>
      <c r="AC6" s="31" t="s">
        <v>95</v>
      </c>
      <c r="AD6" s="51">
        <v>765</v>
      </c>
      <c r="AE6" s="31" t="s">
        <v>71</v>
      </c>
      <c r="AF6" s="31">
        <v>30</v>
      </c>
      <c r="AG6" s="31" t="s">
        <v>88</v>
      </c>
      <c r="AH6" s="31" t="s">
        <v>130</v>
      </c>
      <c r="AI6" s="58">
        <v>43831</v>
      </c>
      <c r="AJ6" s="58">
        <v>45293</v>
      </c>
      <c r="AK6" s="31" t="s">
        <v>152</v>
      </c>
      <c r="AL6" s="31" t="s">
        <v>98</v>
      </c>
      <c r="AM6" s="45" t="s">
        <v>99</v>
      </c>
      <c r="AN6" s="31">
        <v>110</v>
      </c>
      <c r="AO6" s="31" t="s">
        <v>100</v>
      </c>
      <c r="AP6" s="31" t="s">
        <v>101</v>
      </c>
      <c r="AQ6" s="31" t="s">
        <v>102</v>
      </c>
      <c r="AR6" s="58">
        <f t="shared" ref="AR6:AR8" si="5">X6</f>
        <v>45705</v>
      </c>
      <c r="AS6" s="58">
        <f t="shared" ref="AS6:AS8" si="6">X6</f>
        <v>45705</v>
      </c>
      <c r="AT6" s="31" t="str">
        <f t="shared" ref="AT6:AT8" si="7">AM6</f>
        <v>N/A</v>
      </c>
      <c r="AU6" s="31" t="s">
        <v>103</v>
      </c>
      <c r="AV6" s="31" t="s">
        <v>132</v>
      </c>
      <c r="AW6" s="31" t="s">
        <v>105</v>
      </c>
      <c r="AX6" s="31" t="s">
        <v>106</v>
      </c>
      <c r="AY6" s="31" t="s">
        <v>107</v>
      </c>
      <c r="AZ6" s="31" t="s">
        <v>108</v>
      </c>
      <c r="BA6" s="31" t="s">
        <v>109</v>
      </c>
      <c r="BB6" s="50" t="s">
        <v>110</v>
      </c>
      <c r="BC6" s="31"/>
      <c r="BD6" s="51" t="s">
        <v>78</v>
      </c>
      <c r="BE6" s="31" t="s">
        <v>111</v>
      </c>
      <c r="BF6" s="15">
        <v>9447896716</v>
      </c>
      <c r="BG6" s="51" t="s">
        <v>78</v>
      </c>
      <c r="BH6" s="31" t="s">
        <v>112</v>
      </c>
      <c r="BI6" s="15">
        <v>47478965750</v>
      </c>
      <c r="BJ6" s="51" t="s">
        <v>78</v>
      </c>
      <c r="BK6" s="51" t="s">
        <v>113</v>
      </c>
      <c r="BL6" s="51" t="s">
        <v>153</v>
      </c>
      <c r="BM6" s="51" t="s">
        <v>115</v>
      </c>
      <c r="BN6" s="60">
        <v>35591</v>
      </c>
      <c r="BO6" s="51" t="s">
        <v>116</v>
      </c>
      <c r="BP6" s="53" t="s">
        <v>99</v>
      </c>
      <c r="BQ6" s="51" t="s">
        <v>117</v>
      </c>
      <c r="BR6" s="51" t="s">
        <v>118</v>
      </c>
      <c r="BS6" s="54" t="s">
        <v>119</v>
      </c>
      <c r="BT6" s="31" t="s">
        <v>120</v>
      </c>
      <c r="BU6" s="55" t="s">
        <v>121</v>
      </c>
      <c r="BV6" s="55" t="s">
        <v>122</v>
      </c>
      <c r="BW6" s="31" t="s">
        <v>123</v>
      </c>
      <c r="BX6" s="31" t="s">
        <v>124</v>
      </c>
      <c r="BY6" s="31" t="s">
        <v>125</v>
      </c>
    </row>
    <row r="7" ht="54" customHeight="1" spans="1:77" x14ac:dyDescent="0.25">
      <c r="A7" t="s">
        <v>154</v>
      </c>
      <c r="B7" t="s">
        <v>155</v>
      </c>
      <c r="C7" s="1" t="s">
        <v>76</v>
      </c>
      <c r="D7" s="30" t="s">
        <v>77</v>
      </c>
      <c r="E7" t="s">
        <v>78</v>
      </c>
      <c r="F7" s="32" t="s">
        <v>156</v>
      </c>
      <c r="G7" s="33" t="s">
        <v>157</v>
      </c>
      <c r="H7" s="51" t="s">
        <v>81</v>
      </c>
      <c r="I7" s="57" t="s">
        <v>82</v>
      </c>
      <c r="J7" s="57" t="s">
        <v>83</v>
      </c>
      <c r="K7" s="58">
        <f t="shared" si="3"/>
        <v>45705</v>
      </c>
      <c r="L7" s="31" t="s">
        <v>78</v>
      </c>
      <c r="M7" s="31" t="s">
        <v>84</v>
      </c>
      <c r="N7" s="57" t="s">
        <v>85</v>
      </c>
      <c r="O7" s="59" t="s">
        <v>86</v>
      </c>
      <c r="P7" s="31" t="s">
        <v>87</v>
      </c>
      <c r="Q7" s="31" t="s">
        <v>88</v>
      </c>
      <c r="R7" s="31" t="s">
        <v>88</v>
      </c>
      <c r="S7" s="31" t="s">
        <v>87</v>
      </c>
      <c r="T7" s="31" t="s">
        <v>83</v>
      </c>
      <c r="U7" s="31" t="s">
        <v>89</v>
      </c>
      <c r="V7" s="31" t="s">
        <v>90</v>
      </c>
      <c r="W7" s="31" t="s">
        <v>83</v>
      </c>
      <c r="X7" s="58">
        <f t="shared" si="4"/>
        <v>45705</v>
      </c>
      <c r="Y7" s="31" t="s">
        <v>91</v>
      </c>
      <c r="Z7" s="31" t="s">
        <v>92</v>
      </c>
      <c r="AA7" s="31" t="s">
        <v>93</v>
      </c>
      <c r="AB7" s="31" t="s">
        <v>94</v>
      </c>
      <c r="AC7" s="31" t="s">
        <v>145</v>
      </c>
      <c r="AD7" s="51">
        <v>765</v>
      </c>
      <c r="AE7" s="31" t="s">
        <v>71</v>
      </c>
      <c r="AF7" s="31">
        <v>30</v>
      </c>
      <c r="AG7" s="31" t="s">
        <v>88</v>
      </c>
      <c r="AH7" s="31" t="s">
        <v>130</v>
      </c>
      <c r="AI7" s="58">
        <v>43831</v>
      </c>
      <c r="AJ7" s="58">
        <v>45293</v>
      </c>
      <c r="AK7" s="31" t="s">
        <v>131</v>
      </c>
      <c r="AL7" s="31" t="s">
        <v>98</v>
      </c>
      <c r="AM7" s="45" t="s">
        <v>99</v>
      </c>
      <c r="AN7" s="31">
        <v>110</v>
      </c>
      <c r="AO7" s="31" t="s">
        <v>100</v>
      </c>
      <c r="AP7" s="31" t="s">
        <v>101</v>
      </c>
      <c r="AQ7" s="31" t="s">
        <v>102</v>
      </c>
      <c r="AR7" s="58">
        <f t="shared" si="5"/>
        <v>45705</v>
      </c>
      <c r="AS7" s="58">
        <f t="shared" si="6"/>
        <v>45705</v>
      </c>
      <c r="AT7" s="31" t="str">
        <f t="shared" si="7"/>
        <v>N/A</v>
      </c>
      <c r="AU7" s="31" t="s">
        <v>103</v>
      </c>
      <c r="AV7" s="31" t="s">
        <v>132</v>
      </c>
      <c r="AW7" s="31" t="s">
        <v>105</v>
      </c>
      <c r="AX7" s="31" t="s">
        <v>106</v>
      </c>
      <c r="AY7" s="31" t="s">
        <v>107</v>
      </c>
      <c r="AZ7" s="31" t="s">
        <v>108</v>
      </c>
      <c r="BA7" s="31" t="s">
        <v>109</v>
      </c>
      <c r="BB7" s="50" t="s">
        <v>110</v>
      </c>
      <c r="BC7" s="31"/>
      <c r="BD7" s="51" t="s">
        <v>78</v>
      </c>
      <c r="BE7" s="31" t="s">
        <v>111</v>
      </c>
      <c r="BF7" s="15">
        <v>9447896717</v>
      </c>
      <c r="BG7" s="51" t="s">
        <v>78</v>
      </c>
      <c r="BH7" s="31" t="s">
        <v>112</v>
      </c>
      <c r="BI7" s="15">
        <v>47478965751</v>
      </c>
      <c r="BJ7" s="51" t="s">
        <v>78</v>
      </c>
      <c r="BK7" s="51" t="s">
        <v>113</v>
      </c>
      <c r="BL7" s="51" t="s">
        <v>158</v>
      </c>
      <c r="BM7" s="51" t="s">
        <v>115</v>
      </c>
      <c r="BN7" s="60">
        <v>35591</v>
      </c>
      <c r="BO7" s="51" t="s">
        <v>116</v>
      </c>
      <c r="BP7" s="51" t="s">
        <v>134</v>
      </c>
      <c r="BQ7" s="51" t="s">
        <v>117</v>
      </c>
      <c r="BR7" s="51" t="s">
        <v>118</v>
      </c>
      <c r="BS7" s="54" t="s">
        <v>119</v>
      </c>
      <c r="BT7" s="31" t="s">
        <v>120</v>
      </c>
      <c r="BU7" s="55" t="s">
        <v>121</v>
      </c>
      <c r="BV7" s="55" t="s">
        <v>122</v>
      </c>
      <c r="BW7" s="31" t="s">
        <v>123</v>
      </c>
      <c r="BX7" s="31" t="s">
        <v>124</v>
      </c>
      <c r="BY7" s="31" t="s">
        <v>125</v>
      </c>
    </row>
    <row r="8" ht="54" customHeight="1" spans="1:77" x14ac:dyDescent="0.25">
      <c r="A8" t="s">
        <v>159</v>
      </c>
      <c r="B8" t="s">
        <v>160</v>
      </c>
      <c r="C8" s="1" t="s">
        <v>76</v>
      </c>
      <c r="D8" s="30" t="s">
        <v>77</v>
      </c>
      <c r="E8" t="s">
        <v>78</v>
      </c>
      <c r="F8" s="32" t="s">
        <v>161</v>
      </c>
      <c r="G8" s="33" t="s">
        <v>162</v>
      </c>
      <c r="H8" s="51" t="s">
        <v>81</v>
      </c>
      <c r="I8" s="57" t="s">
        <v>82</v>
      </c>
      <c r="J8" s="57" t="s">
        <v>83</v>
      </c>
      <c r="K8" s="58">
        <f t="shared" si="3"/>
        <v>45705</v>
      </c>
      <c r="L8" s="31" t="s">
        <v>78</v>
      </c>
      <c r="M8" s="31" t="s">
        <v>84</v>
      </c>
      <c r="N8" s="57" t="s">
        <v>85</v>
      </c>
      <c r="O8" s="59" t="s">
        <v>86</v>
      </c>
      <c r="P8" s="31" t="s">
        <v>87</v>
      </c>
      <c r="Q8" s="31" t="s">
        <v>88</v>
      </c>
      <c r="R8" s="31" t="s">
        <v>88</v>
      </c>
      <c r="S8" s="31" t="s">
        <v>87</v>
      </c>
      <c r="T8" s="31" t="s">
        <v>83</v>
      </c>
      <c r="U8" s="31" t="s">
        <v>89</v>
      </c>
      <c r="V8" s="31" t="s">
        <v>90</v>
      </c>
      <c r="W8" s="31" t="s">
        <v>83</v>
      </c>
      <c r="X8" s="58">
        <f t="shared" si="4"/>
        <v>45705</v>
      </c>
      <c r="Y8" s="31" t="s">
        <v>91</v>
      </c>
      <c r="Z8" s="31" t="s">
        <v>92</v>
      </c>
      <c r="AA8" s="31" t="s">
        <v>93</v>
      </c>
      <c r="AB8" s="31" t="s">
        <v>94</v>
      </c>
      <c r="AC8" s="31" t="s">
        <v>95</v>
      </c>
      <c r="AD8" s="51">
        <v>765</v>
      </c>
      <c r="AE8" s="31" t="s">
        <v>71</v>
      </c>
      <c r="AF8" s="31">
        <v>40</v>
      </c>
      <c r="AG8" s="31" t="s">
        <v>88</v>
      </c>
      <c r="AH8" s="31" t="s">
        <v>130</v>
      </c>
      <c r="AI8" s="58">
        <v>43831</v>
      </c>
      <c r="AJ8" s="58">
        <v>45293</v>
      </c>
      <c r="AK8" s="31" t="s">
        <v>163</v>
      </c>
      <c r="AL8" s="31" t="s">
        <v>98</v>
      </c>
      <c r="AM8" s="45" t="s">
        <v>99</v>
      </c>
      <c r="AN8" s="31">
        <v>110</v>
      </c>
      <c r="AO8" s="31" t="s">
        <v>100</v>
      </c>
      <c r="AP8" s="31" t="s">
        <v>101</v>
      </c>
      <c r="AQ8" s="31" t="s">
        <v>102</v>
      </c>
      <c r="AR8" s="58">
        <f t="shared" si="5"/>
        <v>45705</v>
      </c>
      <c r="AS8" s="58">
        <f t="shared" si="6"/>
        <v>45705</v>
      </c>
      <c r="AT8" s="31" t="str">
        <f t="shared" si="7"/>
        <v>N/A</v>
      </c>
      <c r="AU8" s="31" t="s">
        <v>103</v>
      </c>
      <c r="AV8" s="31" t="s">
        <v>132</v>
      </c>
      <c r="AW8" s="31" t="s">
        <v>105</v>
      </c>
      <c r="AX8" s="31" t="s">
        <v>106</v>
      </c>
      <c r="AY8" s="31" t="s">
        <v>107</v>
      </c>
      <c r="AZ8" s="31" t="s">
        <v>108</v>
      </c>
      <c r="BA8" s="31" t="s">
        <v>109</v>
      </c>
      <c r="BB8" s="50" t="s">
        <v>110</v>
      </c>
      <c r="BC8" s="31"/>
      <c r="BD8" s="51" t="s">
        <v>78</v>
      </c>
      <c r="BE8" s="31" t="s">
        <v>111</v>
      </c>
      <c r="BF8" s="15">
        <v>9447896718</v>
      </c>
      <c r="BG8" s="51" t="s">
        <v>78</v>
      </c>
      <c r="BH8" s="31" t="s">
        <v>112</v>
      </c>
      <c r="BI8" s="15">
        <v>47478965752</v>
      </c>
      <c r="BJ8" s="51" t="s">
        <v>78</v>
      </c>
      <c r="BK8" s="51" t="s">
        <v>113</v>
      </c>
      <c r="BL8" s="51" t="s">
        <v>164</v>
      </c>
      <c r="BM8" s="51" t="s">
        <v>115</v>
      </c>
      <c r="BN8" s="60">
        <v>35591</v>
      </c>
      <c r="BO8" s="51" t="s">
        <v>116</v>
      </c>
      <c r="BP8" s="53" t="s">
        <v>99</v>
      </c>
      <c r="BQ8" s="51" t="s">
        <v>117</v>
      </c>
      <c r="BR8" s="51" t="s">
        <v>118</v>
      </c>
      <c r="BS8" s="54" t="s">
        <v>119</v>
      </c>
      <c r="BT8" s="31" t="s">
        <v>120</v>
      </c>
      <c r="BU8" s="55" t="s">
        <v>121</v>
      </c>
      <c r="BV8" s="55" t="s">
        <v>122</v>
      </c>
      <c r="BW8" s="31" t="s">
        <v>123</v>
      </c>
      <c r="BX8" s="31" t="s">
        <v>124</v>
      </c>
      <c r="BY8" s="31" t="s">
        <v>125</v>
      </c>
    </row>
    <row r="9" ht="54" customHeight="1" spans="1:77" x14ac:dyDescent="0.25">
      <c r="A9" t="s">
        <v>165</v>
      </c>
      <c r="C9" s="1"/>
      <c r="D9" s="30" t="s">
        <v>77</v>
      </c>
      <c r="E9" t="s">
        <v>78</v>
      </c>
      <c r="F9" s="32" t="s">
        <v>166</v>
      </c>
      <c r="G9" s="33" t="s">
        <v>167</v>
      </c>
      <c r="H9" s="51" t="s">
        <v>81</v>
      </c>
      <c r="I9" s="57" t="s">
        <v>82</v>
      </c>
      <c r="J9" s="57" t="s">
        <v>83</v>
      </c>
      <c r="K9" s="58">
        <f t="shared" si="3"/>
        <v>45705</v>
      </c>
      <c r="L9" s="31" t="s">
        <v>78</v>
      </c>
      <c r="M9" s="31" t="s">
        <v>84</v>
      </c>
      <c r="N9" s="57" t="s">
        <v>85</v>
      </c>
      <c r="O9" s="59" t="s">
        <v>86</v>
      </c>
      <c r="P9" s="31" t="s">
        <v>87</v>
      </c>
      <c r="Q9" s="31" t="s">
        <v>88</v>
      </c>
      <c r="R9" s="31" t="s">
        <v>88</v>
      </c>
      <c r="S9" s="31" t="s">
        <v>87</v>
      </c>
      <c r="T9" s="31" t="s">
        <v>83</v>
      </c>
      <c r="U9" s="31" t="s">
        <v>89</v>
      </c>
      <c r="V9" s="31" t="s">
        <v>90</v>
      </c>
      <c r="W9" s="31" t="s">
        <v>83</v>
      </c>
      <c r="X9" s="58">
        <f t="shared" si="4"/>
        <v>45705</v>
      </c>
      <c r="Y9" s="31" t="s">
        <v>91</v>
      </c>
      <c r="Z9" s="31" t="s">
        <v>92</v>
      </c>
      <c r="AA9" s="31" t="s">
        <v>93</v>
      </c>
      <c r="AB9" s="31" t="s">
        <v>94</v>
      </c>
      <c r="AC9" s="31" t="s">
        <v>145</v>
      </c>
      <c r="AD9" s="51">
        <v>765</v>
      </c>
      <c r="AE9" s="31" t="s">
        <v>71</v>
      </c>
      <c r="AF9" s="31">
        <v>40</v>
      </c>
      <c r="AG9" s="31" t="s">
        <v>88</v>
      </c>
      <c r="AH9" s="31" t="s">
        <v>130</v>
      </c>
      <c r="AI9" s="58">
        <v>43831</v>
      </c>
      <c r="AJ9" s="58">
        <v>45293</v>
      </c>
      <c r="AK9" s="31" t="s">
        <v>131</v>
      </c>
      <c r="AL9" s="31" t="s">
        <v>98</v>
      </c>
      <c r="AM9" s="45" t="s">
        <v>99</v>
      </c>
      <c r="AN9" s="31">
        <v>110</v>
      </c>
      <c r="AO9" s="31" t="s">
        <v>100</v>
      </c>
      <c r="AP9" s="31" t="s">
        <v>101</v>
      </c>
      <c r="AQ9" s="31" t="s">
        <v>102</v>
      </c>
      <c r="AR9" s="58">
        <f t="shared" ref="AR9" si="8">X9</f>
        <v>45705</v>
      </c>
      <c r="AS9" s="58">
        <f t="shared" ref="AS9" si="9">X9</f>
        <v>45705</v>
      </c>
      <c r="AT9" s="58" t="s">
        <v>99</v>
      </c>
      <c r="AU9" s="31" t="s">
        <v>103</v>
      </c>
      <c r="AV9" s="31" t="s">
        <v>168</v>
      </c>
      <c r="AW9" s="31" t="s">
        <v>105</v>
      </c>
      <c r="AX9" s="31" t="s">
        <v>106</v>
      </c>
      <c r="AY9" s="31" t="s">
        <v>107</v>
      </c>
      <c r="AZ9" s="31" t="s">
        <v>108</v>
      </c>
      <c r="BA9" s="31" t="s">
        <v>109</v>
      </c>
      <c r="BB9" s="50" t="s">
        <v>110</v>
      </c>
      <c r="BC9" s="31"/>
      <c r="BD9" s="51" t="s">
        <v>78</v>
      </c>
      <c r="BE9" s="31" t="s">
        <v>111</v>
      </c>
      <c r="BF9" s="15">
        <v>9447896719</v>
      </c>
      <c r="BG9" s="51" t="s">
        <v>78</v>
      </c>
      <c r="BH9" s="31" t="s">
        <v>112</v>
      </c>
      <c r="BI9" s="15">
        <v>47478965753</v>
      </c>
      <c r="BJ9" s="51" t="s">
        <v>78</v>
      </c>
      <c r="BK9" s="51" t="s">
        <v>113</v>
      </c>
      <c r="BL9" s="51" t="s">
        <v>169</v>
      </c>
      <c r="BM9" s="51" t="s">
        <v>115</v>
      </c>
      <c r="BN9" s="60">
        <v>35591</v>
      </c>
      <c r="BO9" s="51" t="s">
        <v>116</v>
      </c>
      <c r="BP9" s="51" t="s">
        <v>134</v>
      </c>
      <c r="BQ9" s="51" t="s">
        <v>117</v>
      </c>
      <c r="BR9" s="51" t="s">
        <v>118</v>
      </c>
      <c r="BS9" s="54" t="s">
        <v>119</v>
      </c>
      <c r="BT9" s="31" t="s">
        <v>120</v>
      </c>
      <c r="BU9" s="55" t="s">
        <v>121</v>
      </c>
      <c r="BV9" s="55" t="s">
        <v>122</v>
      </c>
      <c r="BW9" s="31" t="s">
        <v>123</v>
      </c>
      <c r="BX9" s="31" t="s">
        <v>124</v>
      </c>
      <c r="BY9" s="31" t="s">
        <v>125</v>
      </c>
    </row>
    <row r="10" spans="27:27" x14ac:dyDescent="0.25">
      <c r="AA10" s="31"/>
    </row>
    <row r="11" spans="27:27" x14ac:dyDescent="0.25">
      <c r="AA11" s="31"/>
    </row>
  </sheetData>
  <autoFilter ref="A1:BY9"/>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2025-03-20T10:35:55Z</dcterms:modified>
</cp:coreProperties>
</file>