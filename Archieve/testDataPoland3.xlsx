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1AA0CE52-ACF0-4859-B085-4DFDBC76E38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6" i="1" l="1"/>
  <c r="AO16" i="1" s="1"/>
  <c r="K16" i="1"/>
  <c r="X16" i="1" s="1"/>
  <c r="AO15" i="1"/>
  <c r="K15" i="1"/>
  <c r="X15" i="1" s="1"/>
  <c r="AO14" i="1"/>
  <c r="K14" i="1"/>
  <c r="X14" i="1" s="1"/>
  <c r="AN14" i="1" s="1"/>
  <c r="AI13" i="1"/>
  <c r="AO13" i="1" s="1"/>
  <c r="K13" i="1"/>
  <c r="X13" i="1" s="1"/>
  <c r="AO12" i="1"/>
  <c r="K12" i="1"/>
  <c r="X12" i="1" s="1"/>
  <c r="AO11" i="1"/>
  <c r="K11" i="1"/>
  <c r="X11" i="1" s="1"/>
  <c r="AN11" i="1" s="1"/>
  <c r="AO10" i="1"/>
  <c r="K10" i="1"/>
  <c r="X10" i="1" s="1"/>
  <c r="AI9" i="1"/>
  <c r="AO9" i="1" s="1"/>
  <c r="K9" i="1"/>
  <c r="X9" i="1" s="1"/>
  <c r="AI8" i="1"/>
  <c r="AO8" i="1" s="1"/>
  <c r="K8" i="1"/>
  <c r="X8" i="1" s="1"/>
  <c r="AO7" i="1"/>
  <c r="K7" i="1"/>
  <c r="X7" i="1" s="1"/>
  <c r="AO6" i="1"/>
  <c r="K6" i="1"/>
  <c r="X6" i="1" s="1"/>
  <c r="AI5" i="1"/>
  <c r="AO5" i="1" s="1"/>
  <c r="K5" i="1"/>
  <c r="X5" i="1" s="1"/>
  <c r="AO4" i="1"/>
  <c r="K4" i="1"/>
  <c r="X4" i="1" s="1"/>
  <c r="AO3" i="1"/>
  <c r="K3" i="1"/>
  <c r="X3" i="1" s="1"/>
  <c r="AO2" i="1"/>
  <c r="K2" i="1"/>
  <c r="X2" i="1" s="1"/>
  <c r="AN2" i="1" s="1"/>
  <c r="AN5" i="1" l="1"/>
  <c r="AM5" i="1"/>
  <c r="AM12" i="1"/>
  <c r="AN12" i="1"/>
  <c r="AN10" i="1"/>
  <c r="AM10" i="1"/>
  <c r="AM15" i="1"/>
  <c r="AN15" i="1"/>
  <c r="AN3" i="1"/>
  <c r="AM3" i="1"/>
  <c r="AM7" i="1"/>
  <c r="AN7" i="1"/>
  <c r="AN9" i="1"/>
  <c r="AM9" i="1"/>
  <c r="AN16" i="1"/>
  <c r="AM16" i="1"/>
  <c r="AN4" i="1"/>
  <c r="AM4" i="1"/>
  <c r="AN6" i="1"/>
  <c r="AM6" i="1"/>
  <c r="AN8" i="1"/>
  <c r="AM8" i="1"/>
  <c r="AN13" i="1"/>
  <c r="AM13" i="1"/>
  <c r="AM2" i="1"/>
  <c r="AM14" i="1"/>
  <c r="AM11" i="1"/>
</calcChain>
</file>

<file path=xl/sharedStrings.xml><?xml version="1.0" encoding="utf-8"?>
<sst xmlns="http://schemas.openxmlformats.org/spreadsheetml/2006/main" count="805" uniqueCount="181">
  <si>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</si>
  <si>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</si>
  <si>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</si>
  <si>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</si>
  <si>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</si>
  <si>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</si>
  <si>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</si>
  <si>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</si>
  <si>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</si>
  <si>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</si>
  <si>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</si>
  <si>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</si>
  <si>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</si>
  <si>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</si>
  <si>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</si>
  <si>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</si>
  <si>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</si>
  <si>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</si>
  <si>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</si>
  <si>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</si>
  <si>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</si>
  <si>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</si>
  <si>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</si>
  <si>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</si>
  <si>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</si>
  <si>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</si>
  <si>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</si>
  <si>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</si>
  <si>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</si>
  <si>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</si>
  <si>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</si>
  <si>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</si>
  <si>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</si>
  <si>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ContractType</t>
  </si>
  <si>
    <t>Status</t>
  </si>
  <si>
    <t>DateEmployeeSigned</t>
  </si>
  <si>
    <t>DateEmployerSigned</t>
  </si>
  <si>
    <t>ContractEndDate</t>
  </si>
  <si>
    <t>CostCenter</t>
  </si>
  <si>
    <t>DepartmentSection</t>
  </si>
  <si>
    <t>Country1</t>
  </si>
  <si>
    <t>NationalIDType1</t>
  </si>
  <si>
    <t>AddEditID1</t>
  </si>
  <si>
    <t>Gender</t>
  </si>
  <si>
    <t>DateOfBirth</t>
  </si>
  <si>
    <t>MaritalStatus</t>
  </si>
  <si>
    <t>MaritalStatusDate</t>
  </si>
  <si>
    <t>CitizenshipStatus</t>
  </si>
  <si>
    <t>BankName</t>
  </si>
  <si>
    <t>BankIdentificationCode</t>
  </si>
  <si>
    <t>AccountType</t>
  </si>
  <si>
    <t>NameonAccount</t>
  </si>
  <si>
    <t>AccountNumber</t>
  </si>
  <si>
    <t>IBAN</t>
  </si>
  <si>
    <t>Salary</t>
  </si>
  <si>
    <t>ProposedPayGroupInitial</t>
  </si>
  <si>
    <t>ProposedPayGroupFinal</t>
  </si>
  <si>
    <t>10652114</t>
  </si>
  <si>
    <t>Passed</t>
  </si>
  <si>
    <t>765 Retail Team 1 (Ticew Zybovo (10223419))</t>
  </si>
  <si>
    <t>Poland</t>
  </si>
  <si>
    <t>Demarco</t>
  </si>
  <si>
    <t>Cummerata</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</si>
  <si>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</si>
  <si>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</si>
  <si>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</si>
  <si>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</si>
  <si>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</si>
  <si>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</si>
  <si>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</si>
  <si>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</si>
  <si>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</si>
  <si>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</si>
  <si>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</si>
  <si>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</si>
  <si>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</si>
  <si>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</si>
  <si>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Full time</t>
  </si>
  <si>
    <t xml:space="preserve">RE029_NEW2 </t>
  </si>
  <si>
    <t>5 Days</t>
  </si>
  <si>
    <t>N/A</t>
  </si>
  <si>
    <t>Automation Comments here….</t>
  </si>
  <si>
    <t>Open-ended</t>
  </si>
  <si>
    <t>Active</t>
  </si>
  <si>
    <t>94 Retail Operative</t>
  </si>
  <si>
    <t>16 Mens Acc</t>
  </si>
  <si>
    <t>Personal Identity (PESEL) Number</t>
  </si>
  <si>
    <t>Male</t>
  </si>
  <si>
    <t>Married (Poland)</t>
  </si>
  <si>
    <t>01/01/2019</t>
  </si>
  <si>
    <t>Citizen (Poland)</t>
  </si>
  <si>
    <t>Bank of Poland</t>
  </si>
  <si>
    <t>NBPLPLPW</t>
  </si>
  <si>
    <t>Checking</t>
  </si>
  <si>
    <t>TestDummy</t>
  </si>
  <si>
    <t>11111111111111111111111101</t>
  </si>
  <si>
    <t>PL09109024023899695521479863</t>
  </si>
  <si>
    <t>Defaulted</t>
  </si>
  <si>
    <t>Please select a Poland Pay Group</t>
  </si>
  <si>
    <t>PL Monthly</t>
  </si>
  <si>
    <t>10652115</t>
  </si>
  <si>
    <t>Jarrett</t>
  </si>
  <si>
    <t>Gutkowski</t>
  </si>
  <si>
    <t>In-Store P&amp;C Supervisor_NEW</t>
  </si>
  <si>
    <t>RE044_NEW</t>
  </si>
  <si>
    <t>250 Human Resources Retail</t>
  </si>
  <si>
    <t>Female</t>
  </si>
  <si>
    <t>Single (Poland)</t>
  </si>
  <si>
    <t>Test failed for 'Makenna Daniel-Hartmann'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Path:-&gt;H:\GKALE\WorkDaySuite_Playwright/WorkdayFailedScreenshot/2024-11-08T06-49-37-866Z.png</t>
  </si>
  <si>
    <t>Failed</t>
  </si>
  <si>
    <t>Makenna</t>
  </si>
  <si>
    <t>Daniel-Hartmann</t>
  </si>
  <si>
    <t>Retail Assistant Cash Office_NEW</t>
  </si>
  <si>
    <t>258 Cash Office</t>
  </si>
  <si>
    <t>01/01/2021</t>
  </si>
  <si>
    <t>10652117</t>
  </si>
  <si>
    <t>Brett</t>
  </si>
  <si>
    <t>Bednar</t>
  </si>
  <si>
    <t>In-Store P&amp;C Assistant_NEW</t>
  </si>
  <si>
    <t>Trial</t>
  </si>
  <si>
    <t>Test failed for 'Valentin Reynolds'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Path:-&gt;H:\GKALE\WorkDaySuite_Playwright/WorkdayFailedScreenshot/2024-11-08T06-58-10-579Z.png</t>
  </si>
  <si>
    <t>Valentin</t>
  </si>
  <si>
    <t>Reynolds</t>
  </si>
  <si>
    <t>Supervisor_NEW</t>
  </si>
  <si>
    <t>RE030_NEW</t>
  </si>
  <si>
    <t>253 Supervisors</t>
  </si>
  <si>
    <t>10652118</t>
  </si>
  <si>
    <t>Orrin</t>
  </si>
  <si>
    <t>Keeling</t>
  </si>
  <si>
    <t>In-Store Visual Merchandising Assistant_NEW</t>
  </si>
  <si>
    <t>RE049_NEW</t>
  </si>
  <si>
    <t>256 Visual Merchandising</t>
  </si>
  <si>
    <t>Test failed for 'Shawn Crona'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Path:-&gt;H:\GKALE\WorkDaySuite_Playwright/WorkdayFailedScreenshot/2024-11-08T07-06-23-906Z.png</t>
  </si>
  <si>
    <t>Shawn</t>
  </si>
  <si>
    <t>Crona</t>
  </si>
  <si>
    <t>RE043_NEW</t>
  </si>
  <si>
    <t>Test failed for 'Adrienne Mayert'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Path:-&gt;H:\GKALE\WorkDaySuite_Playwright/WorkdayFailedScreenshot/2024-11-08T07-08-02-204Z.png</t>
  </si>
  <si>
    <t>Adrienne</t>
  </si>
  <si>
    <t>Mayert</t>
  </si>
  <si>
    <t>16 Mens Accessories</t>
  </si>
  <si>
    <t>10652120</t>
  </si>
  <si>
    <t>Audrey</t>
  </si>
  <si>
    <t>Lynch</t>
  </si>
  <si>
    <t>10652121</t>
  </si>
  <si>
    <t>765 Store Management (Pyvap Wizuzi (10226524))</t>
  </si>
  <si>
    <t>Johnathan</t>
  </si>
  <si>
    <t>Hamill</t>
  </si>
  <si>
    <t>Auto 86180835</t>
  </si>
  <si>
    <t>Store Manager_NEW</t>
  </si>
  <si>
    <t>RE024_NEW</t>
  </si>
  <si>
    <t xml:space="preserve">92 Retail Management </t>
  </si>
  <si>
    <t xml:space="preserve">251 Management Retail </t>
  </si>
  <si>
    <t>10652123</t>
  </si>
  <si>
    <t>Murl</t>
  </si>
  <si>
    <t>Moore</t>
  </si>
  <si>
    <t>Auto 81043414</t>
  </si>
  <si>
    <t>Department Manager_NEW</t>
  </si>
  <si>
    <t>Test failed for 'Orion Nader'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Path:-&gt;H:\GKALE\WorkDaySuite_Playwright/WorkdayFailedScreenshot/2024-11-08T07-32-36-204Z.png</t>
  </si>
  <si>
    <t>Orion</t>
  </si>
  <si>
    <t>Nader</t>
  </si>
  <si>
    <t>Auto 25676362</t>
  </si>
  <si>
    <t>In-Store P&amp;C Manager_NEW</t>
  </si>
  <si>
    <t>RE023_NEW</t>
  </si>
  <si>
    <t>10652124</t>
  </si>
  <si>
    <t>Zachary</t>
  </si>
  <si>
    <t>Conroy</t>
  </si>
  <si>
    <t>Auto 6294473</t>
  </si>
  <si>
    <t>Assistant Store Manager_NEW</t>
  </si>
  <si>
    <t>RE035_NEW</t>
  </si>
  <si>
    <t>Test failed for 'Mohamed Kozey'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Path:-&gt;H:\GKALE\WorkDaySuite_Playwright/WorkdayFailedScreenshot/2024-11-08T07-42-12-735Z.png</t>
  </si>
  <si>
    <t>Mohamed</t>
  </si>
  <si>
    <t>Kozey</t>
  </si>
  <si>
    <t>Auto 80477019</t>
  </si>
  <si>
    <t>In-Store Visual Merchandising Manager_NEW</t>
  </si>
  <si>
    <t>SD014_NEW</t>
  </si>
  <si>
    <t>10652125</t>
  </si>
  <si>
    <t>Mohammed</t>
  </si>
  <si>
    <t>Christiansen</t>
  </si>
  <si>
    <t>Auto 35026331</t>
  </si>
  <si>
    <t>Team Manager - Retail_NEW</t>
  </si>
  <si>
    <t>Fixed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</si>
</sst>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9" x14ac:knownFonts="1">
    <font>
      <sz val="11"/>
      <color theme="1"/>
      <name val="Calibri"/>
      <family val="2"/>
      <scheme val="minor"/>
    </font>
    <font>
      <sz val="10"/>
      <color theme="1"/>
      <name val="Calibri"/>
      <family val="2"/>
      <scheme val="minor"/>
    </font>
    <font>
      <sz val="10"/>
      <color rgb="FFFF0000"/>
      <name val="Arial"/>
      <family val="2"/>
    </font>
    <font>
      <sz val="10"/>
      <color theme="1"/>
      <name val="Arial"/>
      <family val="2"/>
    </font>
    <font>
      <sz val="10"/>
      <color indexed="8"/>
      <name val="Arial"/>
      <family val="2"/>
    </font>
    <font>
      <b/>
      <sz val="10"/>
      <color indexed="8"/>
      <name val="Calibri"/>
      <family val="2"/>
    </font>
    <font>
      <b/>
      <sz val="10"/>
      <color indexed="63"/>
      <name val="Arial"/>
      <family val="2"/>
    </font>
    <font>
      <u/>
      <sz val="10"/>
      <color indexed="12"/>
      <name val="Calibri"/>
      <family val="2"/>
    </font>
    <font>
      <sz val="10"/>
      <color indexed="63"/>
      <name val="Arial"/>
      <family val="2"/>
    </font>
    <font>
      <sz val="10"/>
      <color indexed="10"/>
      <name val="Arial"/>
      <family val="2"/>
    </font>
    <font>
      <sz val="10"/>
      <name val="Calibri"/>
      <family val="2"/>
      <scheme val="minor"/>
    </font>
    <font>
      <sz val="10"/>
      <color rgb="FFFF0000"/>
      <name val="Calibri"/>
      <family val="2"/>
      <scheme val="minor"/>
    </font>
    <font>
      <b/>
      <sz val="10"/>
      <name val="Calibri"/>
      <family val="2"/>
    </font>
    <font>
      <sz val="10"/>
      <name val="Calibri"/>
      <family val="2"/>
    </font>
    <font>
      <sz val="14"/>
      <color indexed="63"/>
      <name val="Arial"/>
      <family val="2"/>
    </font>
    <font>
      <sz val="14"/>
      <color indexed="8"/>
      <name val="Arial"/>
      <family val="2"/>
    </font>
    <font>
      <sz val="14"/>
      <color indexed="10"/>
      <name val="Arial"/>
      <family val="2"/>
    </font>
    <font>
      <sz val="11"/>
      <color rgb="FFFF0000"/>
      <name val="Calibri"/>
      <family val="2"/>
      <scheme val="minor"/>
    </font>
    <font>
      <b/>
      <sz val="11"/>
      <name val="Calibri"/>
      <family val="2"/>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00FF00"/>
      </patternFill>
    </fill>
    <fill>
      <patternFill patternType="solid">
        <fgColor rgb="FFFF0000"/>
      </patternFill>
    </fill>
    <fill>
      <patternFill patternType="solid">
        <fgColor rgb="FFFF0000"/>
        <bgColor indexed="64"/>
      </patternFill>
    </fill>
  </fills>
  <borders count="3">
    <border>
      <left/>
      <right/>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0" fillId="2" borderId="0" xfId="0" applyFill="1"/>
    <xf numFmtId="49" fontId="1" fillId="0" borderId="0" xfId="0" applyNumberFormat="1" applyFont="1" applyAlignment="1">
      <alignment horizontal="left" wrapText="1"/>
    </xf>
    <xf numFmtId="0" fontId="2" fillId="3" borderId="1" xfId="0" applyFont="1" applyFill="1" applyBorder="1" applyAlignment="1">
      <alignment horizontal="left" wrapText="1"/>
    </xf>
    <xf numFmtId="0" fontId="3" fillId="3" borderId="1" xfId="0" applyFont="1" applyFill="1" applyBorder="1" applyAlignment="1">
      <alignment horizontal="left" wrapText="1"/>
    </xf>
    <xf numFmtId="0" fontId="3" fillId="4" borderId="1" xfId="0" applyFont="1" applyFill="1" applyBorder="1" applyAlignment="1">
      <alignment horizontal="left" wrapText="1"/>
    </xf>
    <xf numFmtId="0" fontId="3" fillId="2" borderId="1" xfId="0" applyFont="1" applyFill="1" applyBorder="1" applyAlignment="1">
      <alignment horizontal="left" wrapText="1"/>
    </xf>
    <xf numFmtId="0" fontId="0" fillId="5" borderId="0" xfId="0" applyFill="1"/>
    <xf numFmtId="0" fontId="2" fillId="0" borderId="0" xfId="0" applyFont="1" applyAlignment="1">
      <alignment vertical="center" wrapText="1"/>
    </xf>
    <xf numFmtId="0" fontId="4" fillId="0" borderId="2" xfId="0" applyFont="1" applyBorder="1" applyAlignment="1">
      <alignment horizontal="left" wrapText="1"/>
    </xf>
    <xf numFmtId="0" fontId="4" fillId="4" borderId="2" xfId="0" applyFont="1" applyFill="1" applyBorder="1" applyAlignment="1" applyProtection="1">
      <alignment horizontal="left" wrapText="1"/>
      <protection locked="0"/>
    </xf>
    <xf numFmtId="0" fontId="1" fillId="4" borderId="0" xfId="0" applyFont="1" applyFill="1" applyAlignment="1">
      <alignment wrapText="1"/>
    </xf>
    <xf numFmtId="0" fontId="5" fillId="0" borderId="0" xfId="0" applyFont="1" applyAlignment="1">
      <alignment wrapText="1"/>
    </xf>
    <xf numFmtId="0" fontId="4" fillId="0" borderId="2" xfId="0" applyFont="1" applyBorder="1" applyAlignment="1" applyProtection="1">
      <alignment horizontal="left" wrapText="1"/>
      <protection locked="0"/>
    </xf>
    <xf numFmtId="14" fontId="4" fillId="0" borderId="0" xfId="0" applyNumberFormat="1" applyFont="1" applyAlignment="1">
      <alignment horizontal="left" wrapText="1"/>
    </xf>
    <xf numFmtId="0" fontId="6" fillId="0" borderId="0" xfId="0" applyFont="1" applyAlignment="1">
      <alignment wrapText="1"/>
    </xf>
    <xf numFmtId="14" fontId="4" fillId="0" borderId="2" xfId="0" applyNumberFormat="1" applyFont="1" applyBorder="1" applyAlignment="1">
      <alignment horizontal="left" wrapText="1"/>
    </xf>
    <xf numFmtId="0" fontId="7" fillId="0" borderId="2" xfId="0" applyFont="1" applyBorder="1" applyAlignment="1" applyProtection="1">
      <alignment wrapText="1"/>
      <protection locked="0"/>
    </xf>
    <xf numFmtId="14" fontId="2" fillId="0" borderId="0" xfId="0" applyNumberFormat="1" applyFont="1" applyAlignment="1">
      <alignment horizontal="left" wrapText="1"/>
    </xf>
    <xf numFmtId="0" fontId="4" fillId="0" borderId="0" xfId="0" applyFont="1" applyAlignment="1">
      <alignment wrapText="1"/>
    </xf>
    <xf numFmtId="0" fontId="8" fillId="2" borderId="0" xfId="0" applyFont="1" applyFill="1" applyAlignment="1">
      <alignment wrapText="1"/>
    </xf>
    <xf numFmtId="0" fontId="4" fillId="0" borderId="0" xfId="0" applyFont="1" applyAlignment="1">
      <alignment horizontal="left" wrapText="1"/>
    </xf>
    <xf numFmtId="0" fontId="4" fillId="2" borderId="2" xfId="0" applyFont="1" applyFill="1" applyBorder="1" applyAlignment="1" applyProtection="1">
      <alignment horizontal="left" wrapText="1"/>
      <protection locked="0"/>
    </xf>
    <xf numFmtId="0" fontId="4" fillId="2" borderId="0" xfId="0" applyFont="1" applyFill="1" applyAlignment="1">
      <alignment wrapText="1"/>
    </xf>
    <xf numFmtId="14" fontId="9" fillId="0" borderId="0" xfId="0" applyNumberFormat="1" applyFont="1" applyAlignment="1">
      <alignment horizontal="left" wrapText="1"/>
    </xf>
    <xf numFmtId="14" fontId="10" fillId="0" borderId="2" xfId="0" applyNumberFormat="1" applyFont="1" applyBorder="1" applyAlignment="1">
      <alignment horizontal="left" wrapText="1"/>
    </xf>
    <xf numFmtId="14" fontId="11" fillId="2" borderId="2" xfId="0" applyNumberFormat="1" applyFont="1" applyFill="1" applyBorder="1" applyAlignment="1">
      <alignment horizontal="left" wrapText="1"/>
    </xf>
    <xf numFmtId="0" fontId="1" fillId="2" borderId="0" xfId="0" applyFont="1" applyFill="1" applyAlignment="1">
      <alignment wrapText="1"/>
    </xf>
    <xf numFmtId="164" fontId="4" fillId="0" borderId="2" xfId="0" applyNumberFormat="1" applyFont="1" applyBorder="1" applyAlignment="1" applyProtection="1">
      <alignment horizontal="left" wrapText="1"/>
      <protection locked="0"/>
    </xf>
    <xf numFmtId="0" fontId="4" fillId="2" borderId="0" xfId="0" applyFont="1" applyFill="1" applyAlignment="1">
      <alignment horizontal="left" wrapText="1"/>
    </xf>
    <xf numFmtId="164" fontId="4" fillId="0" borderId="1" xfId="0" applyNumberFormat="1" applyFont="1" applyBorder="1" applyAlignment="1" applyProtection="1">
      <alignment horizontal="left" wrapText="1"/>
      <protection locked="0"/>
    </xf>
    <xf numFmtId="164" fontId="12" fillId="0" borderId="2" xfId="0" applyNumberFormat="1" applyFont="1" applyBorder="1" applyAlignment="1" applyProtection="1">
      <alignment horizontal="left" wrapText="1"/>
      <protection locked="0"/>
    </xf>
    <xf numFmtId="15" fontId="12" fillId="2" borderId="2" xfId="0" applyNumberFormat="1" applyFont="1" applyFill="1" applyBorder="1" applyAlignment="1">
      <alignment horizontal="left" wrapText="1"/>
    </xf>
    <xf numFmtId="164" fontId="13" fillId="0" borderId="2" xfId="0" applyNumberFormat="1" applyFont="1" applyBorder="1" applyAlignment="1" applyProtection="1">
      <alignment horizontal="left" wrapText="1"/>
      <protection locked="0"/>
    </xf>
    <xf numFmtId="0" fontId="13" fillId="0" borderId="2" xfId="0" applyFont="1" applyBorder="1" applyAlignment="1">
      <alignment horizontal="left" wrapText="1"/>
    </xf>
    <xf numFmtId="0" fontId="4" fillId="2" borderId="2" xfId="0" applyFont="1" applyFill="1" applyBorder="1" applyAlignment="1">
      <alignment horizontal="left" wrapText="1"/>
    </xf>
    <xf numFmtId="0" fontId="14" fillId="2" borderId="0" xfId="0" applyFont="1" applyFill="1"/>
    <xf numFmtId="0" fontId="15" fillId="2" borderId="2" xfId="0" applyFont="1" applyFill="1" applyBorder="1" applyAlignment="1" applyProtection="1">
      <alignment horizontal="left" wrapText="1"/>
      <protection locked="0"/>
    </xf>
    <xf numFmtId="0" fontId="15" fillId="2" borderId="0" xfId="0" applyFont="1" applyFill="1"/>
    <xf numFmtId="14" fontId="16" fillId="2" borderId="0" xfId="0" applyNumberFormat="1" applyFont="1" applyFill="1" applyAlignment="1">
      <alignment horizontal="left"/>
    </xf>
    <xf numFmtId="0" fontId="15" fillId="2" borderId="2" xfId="0" applyFont="1" applyFill="1" applyBorder="1" applyAlignment="1" applyProtection="1">
      <alignment horizontal="left"/>
      <protection locked="0"/>
    </xf>
    <xf numFmtId="14" fontId="17" fillId="2" borderId="2" xfId="0" applyNumberFormat="1" applyFont="1" applyFill="1" applyBorder="1" applyAlignment="1">
      <alignment horizontal="left"/>
    </xf>
    <xf numFmtId="164" fontId="18" fillId="2" borderId="2" xfId="0" applyNumberFormat="1" applyFont="1" applyFill="1" applyBorder="1" applyAlignment="1" applyProtection="1">
      <alignment horizontal="left"/>
      <protection locked="0"/>
    </xf>
    <xf numFmtId="15" fontId="18" fillId="2" borderId="2" xfId="0" applyNumberFormat="1" applyFont="1" applyFill="1" applyBorder="1" applyAlignment="1">
      <alignment horizontal="left"/>
    </xf>
    <xf numFmtId="0" fontId="0" fillId="6" borderId="0" xfId="0" applyFill="1"/>
    <xf numFmtId="0" fontId="0" fillId="7" borderId="0" xfId="0" applyFill="1"/>
    <xf numFmtId="0" fontId="0" fillId="0" borderId="0" xfId="0" applyAlignment="1">
      <alignment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7"/>
  <sheetViews>
    <sheetView tabSelected="1" topLeftCell="A9" zoomScaleNormal="100" workbookViewId="0">
      <selection activeCell="G10" sqref="G10"/>
    </sheetView>
  </sheetViews>
  <sheetFormatPr defaultRowHeight="14.5" customHeight="1" x14ac:dyDescent="0.35"/>
  <cols>
    <col min="2" max="2" width="13.1796875" customWidth="1"/>
    <col min="11" max="11" width="21.54296875" customWidth="1"/>
    <col min="24" max="24" width="29.7265625" customWidth="1"/>
    <col min="26" max="27" width="22" customWidth="1"/>
    <col min="28" max="28" width="30.81640625" customWidth="1"/>
    <col min="33" max="33" width="27.26953125" customWidth="1"/>
    <col min="35" max="35" width="23.26953125" customWidth="1"/>
    <col min="36" max="36" width="25" customWidth="1"/>
    <col min="37" max="37" width="24.81640625" customWidth="1"/>
    <col min="39" max="39" width="19.36328125" customWidth="1"/>
    <col min="40" max="40" width="23.08984375" customWidth="1"/>
    <col min="41" max="41" width="22.6328125" customWidth="1"/>
    <col min="45" max="45" width="20.81640625" customWidth="1"/>
    <col min="46" max="46" width="33.6328125" customWidth="1"/>
    <col min="48" max="48" width="38.453125" customWidth="1"/>
    <col min="49" max="49" width="34.54296875" customWidth="1"/>
    <col min="50" max="50" width="20.7265625" customWidth="1"/>
    <col min="55" max="55" width="26.453125" style="1" customWidth="1"/>
    <col min="60" max="60" width="33" customWidth="1"/>
  </cols>
  <sheetData>
    <row r="1" spans="1:60" ht="51" customHeight="1" x14ac:dyDescent="0.25">
      <c r="A1" s="2" t="s">
        <v>0</v>
      </c>
      <c r="B1" s="2" t="s">
        <v>1</v>
      </c>
      <c r="C1" s="2" t="s">
        <v>2</v>
      </c>
      <c r="D1" s="3" t="s">
        <v>3</v>
      </c>
      <c r="E1" s="4" t="s">
        <v>4</v>
      </c>
      <c r="F1" s="5" t="s">
        <v>5</v>
      </c>
      <c r="G1" s="5" t="s">
        <v>6</v>
      </c>
      <c r="H1" s="4" t="s">
        <v>7</v>
      </c>
      <c r="I1" s="4" t="s">
        <v>8</v>
      </c>
      <c r="J1" s="4" t="s">
        <v>9</v>
      </c>
      <c r="K1" s="4" t="s">
        <v>10</v>
      </c>
      <c r="L1" s="4" t="s">
        <v>4</v>
      </c>
      <c r="M1" s="4" t="s">
        <v>11</v>
      </c>
      <c r="N1" s="4" t="s">
        <v>12</v>
      </c>
      <c r="O1" s="4" t="s">
        <v>13</v>
      </c>
      <c r="P1" s="4" t="s">
        <v>14</v>
      </c>
      <c r="Q1" s="4" t="s">
        <v>15</v>
      </c>
      <c r="R1" s="4" t="s">
        <v>16</v>
      </c>
      <c r="S1" s="4" t="s">
        <v>17</v>
      </c>
      <c r="T1" s="4" t="s">
        <v>9</v>
      </c>
      <c r="U1" s="4" t="s">
        <v>18</v>
      </c>
      <c r="V1" s="4" t="s">
        <v>19</v>
      </c>
      <c r="W1" s="4" t="s">
        <v>9</v>
      </c>
      <c r="X1" s="3" t="s">
        <v>20</v>
      </c>
      <c r="Y1" s="4" t="s">
        <v>21</v>
      </c>
      <c r="Z1" s="4" t="s">
        <v>22</v>
      </c>
      <c r="AA1" s="4" t="s">
        <v>23</v>
      </c>
      <c r="AB1" s="6" t="s">
        <v>24</v>
      </c>
      <c r="AC1" s="4" t="s">
        <v>25</v>
      </c>
      <c r="AD1" s="4" t="s">
        <v>26</v>
      </c>
      <c r="AE1" s="4" t="s">
        <v>27</v>
      </c>
      <c r="AF1" s="6" t="s">
        <v>28</v>
      </c>
      <c r="AG1" s="6" t="s">
        <v>29</v>
      </c>
      <c r="AH1" s="4" t="s">
        <v>30</v>
      </c>
      <c r="AI1" s="3" t="s">
        <v>31</v>
      </c>
      <c r="AJ1" s="4" t="s">
        <v>32</v>
      </c>
      <c r="AK1" s="4" t="s">
        <v>33</v>
      </c>
      <c r="AL1" s="4" t="s">
        <v>34</v>
      </c>
      <c r="AM1" s="4" t="s">
        <v>35</v>
      </c>
      <c r="AN1" s="4" t="s">
        <v>36</v>
      </c>
      <c r="AO1" s="3" t="s">
        <v>37</v>
      </c>
      <c r="AP1" s="6" t="s">
        <v>38</v>
      </c>
      <c r="AQ1" s="6" t="s">
        <v>39</v>
      </c>
      <c r="AR1" s="4" t="s">
        <v>40</v>
      </c>
      <c r="AS1" s="4" t="s">
        <v>41</v>
      </c>
      <c r="AT1" s="6" t="s">
        <v>42</v>
      </c>
      <c r="AU1" s="6" t="s">
        <v>43</v>
      </c>
      <c r="AV1" s="4" t="s">
        <v>44</v>
      </c>
      <c r="AW1" s="4" t="s">
        <v>45</v>
      </c>
      <c r="AX1" s="6" t="s">
        <v>46</v>
      </c>
      <c r="AY1" s="4" t="s">
        <v>47</v>
      </c>
      <c r="AZ1" s="4" t="s">
        <v>48</v>
      </c>
      <c r="BA1" s="4" t="s">
        <v>49</v>
      </c>
      <c r="BB1" s="4" t="s">
        <v>50</v>
      </c>
      <c r="BC1" s="6" t="s">
        <v>51</v>
      </c>
      <c r="BD1" s="4" t="s">
        <v>52</v>
      </c>
      <c r="BE1" s="4" t="s">
        <v>53</v>
      </c>
      <c r="BF1" s="4" t="s">
        <v>54</v>
      </c>
      <c r="BG1" s="4" t="s">
        <v>55</v>
      </c>
      <c r="BH1" s="4" t="s">
        <v>56</v>
      </c>
    </row>
    <row r="2" spans="1:60" ht="87.5" customHeight="1" x14ac:dyDescent="0.35">
      <c r="B2" t="s">
        <v>57</v>
      </c>
      <c r="C2" s="7" t="s">
        <v>58</v>
      </c>
      <c r="D2" s="8" t="s">
        <v>59</v>
      </c>
      <c r="E2" s="9" t="s">
        <v>60</v>
      </c>
      <c r="F2" s="10" t="s">
        <v>61</v>
      </c>
      <c r="G2" s="11" t="s">
        <v>62</v>
      </c>
      <c r="H2" s="12" t="s">
        <v>63</v>
      </c>
      <c r="I2" s="13" t="s">
        <v>64</v>
      </c>
      <c r="J2" s="13" t="s">
        <v>65</v>
      </c>
      <c r="K2" s="14">
        <f t="shared" ref="K2:K7" ca="1" si="0">TODAY()-31</f>
        <v>45573</v>
      </c>
      <c r="L2" s="9" t="s">
        <v>60</v>
      </c>
      <c r="M2" s="9" t="s">
        <v>66</v>
      </c>
      <c r="N2" s="13" t="s">
        <v>67</v>
      </c>
      <c r="O2" s="15" t="s">
        <v>68</v>
      </c>
      <c r="P2" s="13" t="s">
        <v>69</v>
      </c>
      <c r="Q2" s="13" t="s">
        <v>70</v>
      </c>
      <c r="R2" s="13" t="s">
        <v>70</v>
      </c>
      <c r="S2" s="13" t="s">
        <v>69</v>
      </c>
      <c r="T2" s="13" t="s">
        <v>65</v>
      </c>
      <c r="U2" s="16" t="s">
        <v>71</v>
      </c>
      <c r="V2" s="17" t="s">
        <v>72</v>
      </c>
      <c r="W2" s="13" t="s">
        <v>65</v>
      </c>
      <c r="X2" s="18">
        <f t="shared" ref="X2:X7" ca="1" si="1">K2</f>
        <v>45573</v>
      </c>
      <c r="Y2" s="13" t="s">
        <v>73</v>
      </c>
      <c r="Z2" s="13" t="s">
        <v>74</v>
      </c>
      <c r="AA2" s="19" t="s">
        <v>75</v>
      </c>
      <c r="AB2" s="20" t="s">
        <v>76</v>
      </c>
      <c r="AC2" s="19" t="s">
        <v>77</v>
      </c>
      <c r="AD2" s="21">
        <v>765</v>
      </c>
      <c r="AE2" s="21" t="s">
        <v>54</v>
      </c>
      <c r="AF2" s="22">
        <v>40</v>
      </c>
      <c r="AG2" s="23" t="s">
        <v>78</v>
      </c>
      <c r="AH2" s="19" t="s">
        <v>79</v>
      </c>
      <c r="AI2" s="24" t="s">
        <v>80</v>
      </c>
      <c r="AJ2" s="13" t="s">
        <v>81</v>
      </c>
      <c r="AK2" s="13" t="s">
        <v>82</v>
      </c>
      <c r="AL2" s="13" t="s">
        <v>83</v>
      </c>
      <c r="AM2" s="25">
        <f t="shared" ref="AM2:AM7" ca="1" si="2">X2</f>
        <v>45573</v>
      </c>
      <c r="AN2" s="25">
        <f t="shared" ref="AN2:AN7" ca="1" si="3">X2</f>
        <v>45573</v>
      </c>
      <c r="AO2" s="26" t="str">
        <f t="shared" ref="AO2:AO16" si="4">AI2</f>
        <v>N/A</v>
      </c>
      <c r="AP2" s="22" t="s">
        <v>84</v>
      </c>
      <c r="AQ2" s="27" t="s">
        <v>85</v>
      </c>
      <c r="AR2" s="9" t="s">
        <v>60</v>
      </c>
      <c r="AS2" s="28" t="s">
        <v>86</v>
      </c>
      <c r="AT2" s="29">
        <v>98937959215</v>
      </c>
      <c r="AU2" s="19" t="s">
        <v>87</v>
      </c>
      <c r="AV2" s="30">
        <v>35591</v>
      </c>
      <c r="AW2" s="31" t="s">
        <v>88</v>
      </c>
      <c r="AX2" s="32" t="s">
        <v>89</v>
      </c>
      <c r="AY2" s="33" t="s">
        <v>90</v>
      </c>
      <c r="AZ2" s="9" t="s">
        <v>91</v>
      </c>
      <c r="BA2" s="34" t="s">
        <v>92</v>
      </c>
      <c r="BB2" s="9" t="s">
        <v>93</v>
      </c>
      <c r="BC2" s="35" t="s">
        <v>94</v>
      </c>
      <c r="BD2" s="33" t="s">
        <v>95</v>
      </c>
      <c r="BE2" s="33" t="s">
        <v>96</v>
      </c>
      <c r="BF2" s="9" t="s">
        <v>97</v>
      </c>
      <c r="BG2" s="9" t="s">
        <v>98</v>
      </c>
      <c r="BH2" s="9" t="s">
        <v>99</v>
      </c>
    </row>
    <row r="3" spans="1:60" ht="87.5" customHeight="1" x14ac:dyDescent="0.35">
      <c r="B3" t="s">
        <v>100</v>
      </c>
      <c r="C3" s="7" t="s">
        <v>58</v>
      </c>
      <c r="D3" s="8" t="s">
        <v>59</v>
      </c>
      <c r="E3" s="9" t="s">
        <v>60</v>
      </c>
      <c r="F3" s="10" t="s">
        <v>101</v>
      </c>
      <c r="G3" s="11" t="s">
        <v>102</v>
      </c>
      <c r="H3" s="12" t="s">
        <v>63</v>
      </c>
      <c r="I3" s="13" t="s">
        <v>64</v>
      </c>
      <c r="J3" s="13" t="s">
        <v>65</v>
      </c>
      <c r="K3" s="14">
        <f t="shared" ca="1" si="0"/>
        <v>45573</v>
      </c>
      <c r="L3" s="9" t="s">
        <v>60</v>
      </c>
      <c r="M3" s="9" t="s">
        <v>66</v>
      </c>
      <c r="N3" s="13" t="s">
        <v>67</v>
      </c>
      <c r="O3" s="15" t="s">
        <v>68</v>
      </c>
      <c r="P3" s="13" t="s">
        <v>69</v>
      </c>
      <c r="Q3" s="13" t="s">
        <v>70</v>
      </c>
      <c r="R3" s="13" t="s">
        <v>70</v>
      </c>
      <c r="S3" s="13" t="s">
        <v>69</v>
      </c>
      <c r="T3" s="13" t="s">
        <v>65</v>
      </c>
      <c r="U3" s="16" t="s">
        <v>71</v>
      </c>
      <c r="V3" s="17" t="s">
        <v>72</v>
      </c>
      <c r="W3" s="13" t="s">
        <v>65</v>
      </c>
      <c r="X3" s="18">
        <f t="shared" ca="1" si="1"/>
        <v>45573</v>
      </c>
      <c r="Y3" s="13" t="s">
        <v>73</v>
      </c>
      <c r="Z3" s="13" t="s">
        <v>74</v>
      </c>
      <c r="AA3" s="19" t="s">
        <v>75</v>
      </c>
      <c r="AB3" s="36" t="s">
        <v>103</v>
      </c>
      <c r="AC3" s="19" t="s">
        <v>77</v>
      </c>
      <c r="AD3" s="21">
        <v>765</v>
      </c>
      <c r="AE3" s="21" t="s">
        <v>54</v>
      </c>
      <c r="AF3" s="37">
        <v>40</v>
      </c>
      <c r="AG3" s="38" t="s">
        <v>104</v>
      </c>
      <c r="AH3" s="19" t="s">
        <v>79</v>
      </c>
      <c r="AI3" s="39" t="s">
        <v>80</v>
      </c>
      <c r="AJ3" s="13" t="s">
        <v>81</v>
      </c>
      <c r="AK3" s="40" t="s">
        <v>82</v>
      </c>
      <c r="AL3" s="13" t="s">
        <v>83</v>
      </c>
      <c r="AM3" s="25">
        <f t="shared" ca="1" si="2"/>
        <v>45573</v>
      </c>
      <c r="AN3" s="25">
        <f t="shared" ca="1" si="3"/>
        <v>45573</v>
      </c>
      <c r="AO3" s="41" t="str">
        <f t="shared" si="4"/>
        <v>N/A</v>
      </c>
      <c r="AP3" s="22" t="s">
        <v>84</v>
      </c>
      <c r="AQ3" s="1" t="s">
        <v>105</v>
      </c>
      <c r="AR3" s="9" t="s">
        <v>60</v>
      </c>
      <c r="AS3" s="28" t="s">
        <v>86</v>
      </c>
      <c r="AT3" s="29">
        <v>98937959216</v>
      </c>
      <c r="AU3" s="38" t="s">
        <v>106</v>
      </c>
      <c r="AV3" s="30">
        <v>35591</v>
      </c>
      <c r="AW3" s="42" t="s">
        <v>107</v>
      </c>
      <c r="AX3" s="43" t="s">
        <v>80</v>
      </c>
      <c r="AY3" s="33" t="s">
        <v>90</v>
      </c>
      <c r="AZ3" s="9" t="s">
        <v>91</v>
      </c>
      <c r="BA3" s="34" t="s">
        <v>92</v>
      </c>
      <c r="BB3" s="9" t="s">
        <v>93</v>
      </c>
      <c r="BC3" s="35" t="s">
        <v>94</v>
      </c>
      <c r="BD3" s="33" t="s">
        <v>95</v>
      </c>
      <c r="BE3" s="33" t="s">
        <v>96</v>
      </c>
      <c r="BF3" s="9" t="s">
        <v>97</v>
      </c>
      <c r="BG3" s="9" t="s">
        <v>98</v>
      </c>
      <c r="BH3" s="9" t="s">
        <v>99</v>
      </c>
    </row>
    <row r="4" spans="1:60" ht="87.5" customHeight="1" x14ac:dyDescent="0.35">
      <c r="B4" s="46" t="s">
        <v>108</v>
      </c>
      <c r="C4" s="45" t="s">
        <v>109</v>
      </c>
      <c r="D4" s="8" t="s">
        <v>59</v>
      </c>
      <c r="E4" s="9" t="s">
        <v>60</v>
      </c>
      <c r="F4" s="10" t="s">
        <v>110</v>
      </c>
      <c r="G4" s="11" t="s">
        <v>111</v>
      </c>
      <c r="H4" s="12" t="s">
        <v>63</v>
      </c>
      <c r="I4" s="13" t="s">
        <v>64</v>
      </c>
      <c r="J4" s="13" t="s">
        <v>65</v>
      </c>
      <c r="K4" s="14">
        <f t="shared" ca="1" si="0"/>
        <v>45573</v>
      </c>
      <c r="L4" s="9" t="s">
        <v>60</v>
      </c>
      <c r="M4" s="9" t="s">
        <v>66</v>
      </c>
      <c r="N4" s="13" t="s">
        <v>67</v>
      </c>
      <c r="O4" s="15" t="s">
        <v>68</v>
      </c>
      <c r="P4" s="13" t="s">
        <v>69</v>
      </c>
      <c r="Q4" s="13" t="s">
        <v>70</v>
      </c>
      <c r="R4" s="13" t="s">
        <v>70</v>
      </c>
      <c r="S4" s="13" t="s">
        <v>69</v>
      </c>
      <c r="T4" s="13" t="s">
        <v>65</v>
      </c>
      <c r="U4" s="16" t="s">
        <v>71</v>
      </c>
      <c r="V4" s="17" t="s">
        <v>72</v>
      </c>
      <c r="W4" s="13" t="s">
        <v>65</v>
      </c>
      <c r="X4" s="18">
        <f t="shared" ca="1" si="1"/>
        <v>45573</v>
      </c>
      <c r="Y4" s="13" t="s">
        <v>73</v>
      </c>
      <c r="Z4" s="13" t="s">
        <v>74</v>
      </c>
      <c r="AA4" s="19" t="s">
        <v>75</v>
      </c>
      <c r="AB4" s="36" t="s">
        <v>112</v>
      </c>
      <c r="AC4" s="19" t="s">
        <v>77</v>
      </c>
      <c r="AD4" s="21">
        <v>765</v>
      </c>
      <c r="AE4" s="21" t="s">
        <v>54</v>
      </c>
      <c r="AF4" s="37">
        <v>40</v>
      </c>
      <c r="AG4" s="38" t="s">
        <v>78</v>
      </c>
      <c r="AH4" s="19" t="s">
        <v>79</v>
      </c>
      <c r="AI4" s="39" t="s">
        <v>80</v>
      </c>
      <c r="AJ4" s="13" t="s">
        <v>81</v>
      </c>
      <c r="AK4" s="40" t="s">
        <v>82</v>
      </c>
      <c r="AL4" s="13" t="s">
        <v>83</v>
      </c>
      <c r="AM4" s="25">
        <f t="shared" ca="1" si="2"/>
        <v>45573</v>
      </c>
      <c r="AN4" s="25">
        <f t="shared" ca="1" si="3"/>
        <v>45573</v>
      </c>
      <c r="AO4" s="41" t="str">
        <f t="shared" si="4"/>
        <v>N/A</v>
      </c>
      <c r="AP4" s="22" t="s">
        <v>84</v>
      </c>
      <c r="AQ4" s="1" t="s">
        <v>113</v>
      </c>
      <c r="AR4" s="9" t="s">
        <v>60</v>
      </c>
      <c r="AS4" s="28" t="s">
        <v>86</v>
      </c>
      <c r="AT4" s="29">
        <v>98937959217</v>
      </c>
      <c r="AU4" s="38" t="s">
        <v>87</v>
      </c>
      <c r="AV4" s="30">
        <v>35591</v>
      </c>
      <c r="AW4" s="42" t="s">
        <v>88</v>
      </c>
      <c r="AX4" s="43" t="s">
        <v>114</v>
      </c>
      <c r="AY4" s="33" t="s">
        <v>90</v>
      </c>
      <c r="AZ4" s="9" t="s">
        <v>91</v>
      </c>
      <c r="BA4" s="34" t="s">
        <v>92</v>
      </c>
      <c r="BB4" s="9" t="s">
        <v>93</v>
      </c>
      <c r="BC4" s="35" t="s">
        <v>94</v>
      </c>
      <c r="BD4" s="33" t="s">
        <v>95</v>
      </c>
      <c r="BE4" s="33" t="s">
        <v>96</v>
      </c>
      <c r="BF4" s="9" t="s">
        <v>97</v>
      </c>
      <c r="BG4" s="9" t="s">
        <v>98</v>
      </c>
      <c r="BH4" s="9" t="s">
        <v>99</v>
      </c>
    </row>
    <row r="5" spans="1:60" ht="87.5" customHeight="1" x14ac:dyDescent="0.35">
      <c r="B5" t="s">
        <v>115</v>
      </c>
      <c r="C5" s="7" t="s">
        <v>58</v>
      </c>
      <c r="D5" s="8" t="s">
        <v>59</v>
      </c>
      <c r="E5" s="9" t="s">
        <v>60</v>
      </c>
      <c r="F5" s="10" t="s">
        <v>116</v>
      </c>
      <c r="G5" s="11" t="s">
        <v>117</v>
      </c>
      <c r="H5" s="12" t="s">
        <v>63</v>
      </c>
      <c r="I5" s="13" t="s">
        <v>64</v>
      </c>
      <c r="J5" s="13" t="s">
        <v>65</v>
      </c>
      <c r="K5" s="14">
        <f t="shared" ca="1" si="0"/>
        <v>45573</v>
      </c>
      <c r="L5" s="9" t="s">
        <v>60</v>
      </c>
      <c r="M5" s="9" t="s">
        <v>66</v>
      </c>
      <c r="N5" s="13" t="s">
        <v>67</v>
      </c>
      <c r="O5" s="15" t="s">
        <v>68</v>
      </c>
      <c r="P5" s="13" t="s">
        <v>69</v>
      </c>
      <c r="Q5" s="13" t="s">
        <v>70</v>
      </c>
      <c r="R5" s="13" t="s">
        <v>70</v>
      </c>
      <c r="S5" s="13" t="s">
        <v>69</v>
      </c>
      <c r="T5" s="13" t="s">
        <v>65</v>
      </c>
      <c r="U5" s="16" t="s">
        <v>71</v>
      </c>
      <c r="V5" s="17" t="s">
        <v>72</v>
      </c>
      <c r="W5" s="13" t="s">
        <v>65</v>
      </c>
      <c r="X5" s="18">
        <f t="shared" ca="1" si="1"/>
        <v>45573</v>
      </c>
      <c r="Y5" s="13" t="s">
        <v>73</v>
      </c>
      <c r="Z5" s="13" t="s">
        <v>74</v>
      </c>
      <c r="AA5" s="19" t="s">
        <v>75</v>
      </c>
      <c r="AB5" s="36" t="s">
        <v>118</v>
      </c>
      <c r="AC5" s="19" t="s">
        <v>77</v>
      </c>
      <c r="AD5" s="21">
        <v>765</v>
      </c>
      <c r="AE5" s="21" t="s">
        <v>54</v>
      </c>
      <c r="AF5" s="37">
        <v>40</v>
      </c>
      <c r="AG5" s="38" t="s">
        <v>78</v>
      </c>
      <c r="AH5" s="19" t="s">
        <v>79</v>
      </c>
      <c r="AI5" s="39">
        <f ca="1">TODAY()+365</f>
        <v>45969</v>
      </c>
      <c r="AJ5" s="13" t="s">
        <v>81</v>
      </c>
      <c r="AK5" s="40" t="s">
        <v>119</v>
      </c>
      <c r="AL5" s="13" t="s">
        <v>83</v>
      </c>
      <c r="AM5" s="25">
        <f t="shared" ca="1" si="2"/>
        <v>45573</v>
      </c>
      <c r="AN5" s="25">
        <f t="shared" ca="1" si="3"/>
        <v>45573</v>
      </c>
      <c r="AO5" s="41">
        <f t="shared" ca="1" si="4"/>
        <v>45969</v>
      </c>
      <c r="AP5" s="22" t="s">
        <v>84</v>
      </c>
      <c r="AQ5" s="1" t="s">
        <v>105</v>
      </c>
      <c r="AR5" s="9" t="s">
        <v>60</v>
      </c>
      <c r="AS5" s="28" t="s">
        <v>86</v>
      </c>
      <c r="AT5" s="29">
        <v>98937959218</v>
      </c>
      <c r="AU5" s="38" t="s">
        <v>106</v>
      </c>
      <c r="AV5" s="30">
        <v>35591</v>
      </c>
      <c r="AW5" s="42" t="s">
        <v>107</v>
      </c>
      <c r="AX5" s="43" t="s">
        <v>80</v>
      </c>
      <c r="AY5" s="33" t="s">
        <v>90</v>
      </c>
      <c r="AZ5" s="9" t="s">
        <v>91</v>
      </c>
      <c r="BA5" s="34" t="s">
        <v>92</v>
      </c>
      <c r="BB5" s="9" t="s">
        <v>93</v>
      </c>
      <c r="BC5" s="35" t="s">
        <v>94</v>
      </c>
      <c r="BD5" s="33" t="s">
        <v>95</v>
      </c>
      <c r="BE5" s="33" t="s">
        <v>96</v>
      </c>
      <c r="BF5" s="9" t="s">
        <v>97</v>
      </c>
      <c r="BG5" s="9" t="s">
        <v>98</v>
      </c>
      <c r="BH5" s="9" t="s">
        <v>99</v>
      </c>
    </row>
    <row r="6" spans="1:60" ht="87.5" customHeight="1" x14ac:dyDescent="0.35">
      <c r="B6" s="46" t="s">
        <v>120</v>
      </c>
      <c r="C6" s="45" t="s">
        <v>109</v>
      </c>
      <c r="D6" s="8" t="s">
        <v>59</v>
      </c>
      <c r="E6" s="9" t="s">
        <v>60</v>
      </c>
      <c r="F6" s="10" t="s">
        <v>121</v>
      </c>
      <c r="G6" s="11" t="s">
        <v>122</v>
      </c>
      <c r="H6" s="12" t="s">
        <v>63</v>
      </c>
      <c r="I6" s="13" t="s">
        <v>64</v>
      </c>
      <c r="J6" s="13" t="s">
        <v>65</v>
      </c>
      <c r="K6" s="14">
        <f t="shared" ca="1" si="0"/>
        <v>45573</v>
      </c>
      <c r="L6" s="9" t="s">
        <v>60</v>
      </c>
      <c r="M6" s="9" t="s">
        <v>66</v>
      </c>
      <c r="N6" s="13" t="s">
        <v>67</v>
      </c>
      <c r="O6" s="15" t="s">
        <v>68</v>
      </c>
      <c r="P6" s="13" t="s">
        <v>69</v>
      </c>
      <c r="Q6" s="13" t="s">
        <v>70</v>
      </c>
      <c r="R6" s="13" t="s">
        <v>70</v>
      </c>
      <c r="S6" s="13" t="s">
        <v>69</v>
      </c>
      <c r="T6" s="13" t="s">
        <v>65</v>
      </c>
      <c r="U6" s="16" t="s">
        <v>71</v>
      </c>
      <c r="V6" s="17" t="s">
        <v>72</v>
      </c>
      <c r="W6" s="13" t="s">
        <v>65</v>
      </c>
      <c r="X6" s="18">
        <f t="shared" ca="1" si="1"/>
        <v>45573</v>
      </c>
      <c r="Y6" s="13" t="s">
        <v>73</v>
      </c>
      <c r="Z6" s="13" t="s">
        <v>74</v>
      </c>
      <c r="AA6" s="47" t="s">
        <v>180</v>
      </c>
      <c r="AB6" s="36" t="s">
        <v>123</v>
      </c>
      <c r="AC6" s="19" t="s">
        <v>77</v>
      </c>
      <c r="AD6" s="21">
        <v>765</v>
      </c>
      <c r="AE6" s="21" t="s">
        <v>54</v>
      </c>
      <c r="AF6" s="37">
        <v>30</v>
      </c>
      <c r="AG6" s="38" t="s">
        <v>124</v>
      </c>
      <c r="AH6" s="19" t="s">
        <v>79</v>
      </c>
      <c r="AI6" s="39" t="s">
        <v>80</v>
      </c>
      <c r="AJ6" s="13" t="s">
        <v>81</v>
      </c>
      <c r="AK6" s="40" t="s">
        <v>82</v>
      </c>
      <c r="AL6" s="13" t="s">
        <v>83</v>
      </c>
      <c r="AM6" s="25">
        <f t="shared" ca="1" si="2"/>
        <v>45573</v>
      </c>
      <c r="AN6" s="25">
        <f t="shared" ca="1" si="3"/>
        <v>45573</v>
      </c>
      <c r="AO6" s="41" t="str">
        <f t="shared" si="4"/>
        <v>N/A</v>
      </c>
      <c r="AP6" s="22" t="s">
        <v>84</v>
      </c>
      <c r="AQ6" s="1" t="s">
        <v>125</v>
      </c>
      <c r="AR6" s="9" t="s">
        <v>60</v>
      </c>
      <c r="AS6" s="28" t="s">
        <v>86</v>
      </c>
      <c r="AT6" s="29">
        <v>98937959219</v>
      </c>
      <c r="AU6" s="38" t="s">
        <v>87</v>
      </c>
      <c r="AV6" s="30">
        <v>35591</v>
      </c>
      <c r="AW6" s="42" t="s">
        <v>88</v>
      </c>
      <c r="AX6" s="43" t="s">
        <v>114</v>
      </c>
      <c r="AY6" s="33" t="s">
        <v>90</v>
      </c>
      <c r="AZ6" s="9" t="s">
        <v>91</v>
      </c>
      <c r="BA6" s="34" t="s">
        <v>92</v>
      </c>
      <c r="BB6" s="9" t="s">
        <v>93</v>
      </c>
      <c r="BC6" s="35" t="s">
        <v>94</v>
      </c>
      <c r="BD6" s="33" t="s">
        <v>95</v>
      </c>
      <c r="BE6" s="33" t="s">
        <v>96</v>
      </c>
      <c r="BF6" s="9" t="s">
        <v>97</v>
      </c>
      <c r="BG6" s="9" t="s">
        <v>98</v>
      </c>
      <c r="BH6" s="9" t="s">
        <v>99</v>
      </c>
    </row>
    <row r="7" spans="1:60" ht="87.5" customHeight="1" x14ac:dyDescent="0.35">
      <c r="B7" t="s">
        <v>126</v>
      </c>
      <c r="C7" s="7" t="s">
        <v>58</v>
      </c>
      <c r="D7" s="8" t="s">
        <v>59</v>
      </c>
      <c r="E7" s="9" t="s">
        <v>60</v>
      </c>
      <c r="F7" s="10" t="s">
        <v>127</v>
      </c>
      <c r="G7" s="11" t="s">
        <v>128</v>
      </c>
      <c r="H7" s="12" t="s">
        <v>63</v>
      </c>
      <c r="I7" s="13" t="s">
        <v>64</v>
      </c>
      <c r="J7" s="13" t="s">
        <v>65</v>
      </c>
      <c r="K7" s="14">
        <f t="shared" ca="1" si="0"/>
        <v>45573</v>
      </c>
      <c r="L7" s="9" t="s">
        <v>60</v>
      </c>
      <c r="M7" s="9" t="s">
        <v>66</v>
      </c>
      <c r="N7" s="13" t="s">
        <v>67</v>
      </c>
      <c r="O7" s="15" t="s">
        <v>68</v>
      </c>
      <c r="P7" s="13" t="s">
        <v>69</v>
      </c>
      <c r="Q7" s="13" t="s">
        <v>70</v>
      </c>
      <c r="R7" s="13" t="s">
        <v>70</v>
      </c>
      <c r="S7" s="13" t="s">
        <v>69</v>
      </c>
      <c r="T7" s="13" t="s">
        <v>65</v>
      </c>
      <c r="U7" s="16" t="s">
        <v>71</v>
      </c>
      <c r="V7" s="17" t="s">
        <v>72</v>
      </c>
      <c r="W7" s="13" t="s">
        <v>65</v>
      </c>
      <c r="X7" s="18">
        <f t="shared" ca="1" si="1"/>
        <v>45573</v>
      </c>
      <c r="Y7" s="13" t="s">
        <v>73</v>
      </c>
      <c r="Z7" s="13" t="s">
        <v>74</v>
      </c>
      <c r="AA7" s="19" t="s">
        <v>75</v>
      </c>
      <c r="AB7" s="36" t="s">
        <v>129</v>
      </c>
      <c r="AC7" s="19" t="s">
        <v>77</v>
      </c>
      <c r="AD7" s="21">
        <v>765</v>
      </c>
      <c r="AE7" s="21" t="s">
        <v>54</v>
      </c>
      <c r="AF7" s="37">
        <v>40</v>
      </c>
      <c r="AG7" s="38" t="s">
        <v>130</v>
      </c>
      <c r="AH7" s="19" t="s">
        <v>79</v>
      </c>
      <c r="AI7" s="39" t="s">
        <v>80</v>
      </c>
      <c r="AJ7" s="13" t="s">
        <v>81</v>
      </c>
      <c r="AK7" s="40" t="s">
        <v>82</v>
      </c>
      <c r="AL7" s="13" t="s">
        <v>83</v>
      </c>
      <c r="AM7" s="25">
        <f t="shared" ca="1" si="2"/>
        <v>45573</v>
      </c>
      <c r="AN7" s="25">
        <f t="shared" ca="1" si="3"/>
        <v>45573</v>
      </c>
      <c r="AO7" s="41" t="str">
        <f t="shared" si="4"/>
        <v>N/A</v>
      </c>
      <c r="AP7" s="22" t="s">
        <v>84</v>
      </c>
      <c r="AQ7" s="1" t="s">
        <v>131</v>
      </c>
      <c r="AR7" s="9" t="s">
        <v>60</v>
      </c>
      <c r="AS7" s="28" t="s">
        <v>86</v>
      </c>
      <c r="AT7" s="29">
        <v>98937959220</v>
      </c>
      <c r="AU7" s="38" t="s">
        <v>106</v>
      </c>
      <c r="AV7" s="30">
        <v>35591</v>
      </c>
      <c r="AW7" s="42" t="s">
        <v>107</v>
      </c>
      <c r="AX7" s="43" t="s">
        <v>80</v>
      </c>
      <c r="AY7" s="33" t="s">
        <v>90</v>
      </c>
      <c r="AZ7" s="9" t="s">
        <v>91</v>
      </c>
      <c r="BA7" s="34" t="s">
        <v>92</v>
      </c>
      <c r="BB7" s="9" t="s">
        <v>93</v>
      </c>
      <c r="BC7" s="35" t="s">
        <v>94</v>
      </c>
      <c r="BD7" s="33" t="s">
        <v>95</v>
      </c>
      <c r="BE7" s="33" t="s">
        <v>96</v>
      </c>
      <c r="BF7" s="9" t="s">
        <v>97</v>
      </c>
      <c r="BG7" s="9" t="s">
        <v>98</v>
      </c>
      <c r="BH7" s="9" t="s">
        <v>99</v>
      </c>
    </row>
    <row r="8" spans="1:60" ht="87.5" customHeight="1" x14ac:dyDescent="0.35">
      <c r="B8" s="46" t="s">
        <v>132</v>
      </c>
      <c r="C8" s="45" t="s">
        <v>109</v>
      </c>
      <c r="D8" s="8" t="s">
        <v>59</v>
      </c>
      <c r="E8" s="9" t="s">
        <v>60</v>
      </c>
      <c r="F8" s="10" t="s">
        <v>133</v>
      </c>
      <c r="G8" s="11" t="s">
        <v>134</v>
      </c>
      <c r="H8" s="12" t="s">
        <v>63</v>
      </c>
      <c r="I8" s="13" t="s">
        <v>64</v>
      </c>
      <c r="J8" s="13" t="s">
        <v>65</v>
      </c>
      <c r="K8" s="14">
        <f t="shared" ref="K8:K10" ca="1" si="5">TODAY()-31</f>
        <v>45573</v>
      </c>
      <c r="L8" s="9" t="s">
        <v>60</v>
      </c>
      <c r="M8" s="9" t="s">
        <v>66</v>
      </c>
      <c r="N8" s="13" t="s">
        <v>67</v>
      </c>
      <c r="O8" s="15" t="s">
        <v>68</v>
      </c>
      <c r="P8" s="13" t="s">
        <v>69</v>
      </c>
      <c r="Q8" s="13" t="s">
        <v>70</v>
      </c>
      <c r="R8" s="13" t="s">
        <v>70</v>
      </c>
      <c r="S8" s="13" t="s">
        <v>69</v>
      </c>
      <c r="T8" s="13" t="s">
        <v>65</v>
      </c>
      <c r="U8" s="16" t="s">
        <v>71</v>
      </c>
      <c r="V8" s="17" t="s">
        <v>72</v>
      </c>
      <c r="W8" s="13" t="s">
        <v>65</v>
      </c>
      <c r="X8" s="18">
        <f t="shared" ref="X8:X10" ca="1" si="6">K8</f>
        <v>45573</v>
      </c>
      <c r="Y8" s="13" t="s">
        <v>73</v>
      </c>
      <c r="Z8" s="13" t="s">
        <v>74</v>
      </c>
      <c r="AA8" s="19" t="s">
        <v>75</v>
      </c>
      <c r="AB8" s="36" t="s">
        <v>118</v>
      </c>
      <c r="AC8" s="19" t="s">
        <v>77</v>
      </c>
      <c r="AD8" s="21">
        <v>765</v>
      </c>
      <c r="AE8" s="21" t="s">
        <v>54</v>
      </c>
      <c r="AF8" s="37">
        <v>20</v>
      </c>
      <c r="AG8" s="38" t="s">
        <v>135</v>
      </c>
      <c r="AH8" s="19" t="s">
        <v>79</v>
      </c>
      <c r="AI8" s="39">
        <f ca="1">TODAY()+365</f>
        <v>45969</v>
      </c>
      <c r="AJ8" s="13" t="s">
        <v>81</v>
      </c>
      <c r="AK8" s="38" t="s">
        <v>75</v>
      </c>
      <c r="AL8" s="13" t="s">
        <v>83</v>
      </c>
      <c r="AM8" s="25">
        <f t="shared" ref="AM8:AM10" ca="1" si="7">X8</f>
        <v>45573</v>
      </c>
      <c r="AN8" s="25">
        <f t="shared" ref="AN8:AN10" ca="1" si="8">X8</f>
        <v>45573</v>
      </c>
      <c r="AO8" s="41">
        <f t="shared" ca="1" si="4"/>
        <v>45969</v>
      </c>
      <c r="AP8" s="22" t="s">
        <v>84</v>
      </c>
      <c r="AQ8" s="1" t="s">
        <v>105</v>
      </c>
      <c r="AR8" s="9" t="s">
        <v>60</v>
      </c>
      <c r="AS8" s="28" t="s">
        <v>86</v>
      </c>
      <c r="AT8" s="29">
        <v>98937959221</v>
      </c>
      <c r="AU8" s="38" t="s">
        <v>87</v>
      </c>
      <c r="AV8" s="30">
        <v>35591</v>
      </c>
      <c r="AW8" s="42" t="s">
        <v>88</v>
      </c>
      <c r="AX8" s="43" t="s">
        <v>114</v>
      </c>
      <c r="AY8" s="33" t="s">
        <v>90</v>
      </c>
      <c r="AZ8" s="9" t="s">
        <v>91</v>
      </c>
      <c r="BA8" s="34" t="s">
        <v>92</v>
      </c>
      <c r="BB8" s="9" t="s">
        <v>93</v>
      </c>
      <c r="BC8" s="35" t="s">
        <v>94</v>
      </c>
      <c r="BD8" s="33" t="s">
        <v>95</v>
      </c>
      <c r="BE8" s="33" t="s">
        <v>96</v>
      </c>
      <c r="BF8" s="9" t="s">
        <v>97</v>
      </c>
      <c r="BG8" s="9" t="s">
        <v>98</v>
      </c>
      <c r="BH8" s="9" t="s">
        <v>99</v>
      </c>
    </row>
    <row r="9" spans="1:60" ht="87.5" customHeight="1" x14ac:dyDescent="0.35">
      <c r="B9" s="46" t="s">
        <v>136</v>
      </c>
      <c r="C9" s="45" t="s">
        <v>109</v>
      </c>
      <c r="D9" s="8" t="s">
        <v>59</v>
      </c>
      <c r="E9" s="9" t="s">
        <v>60</v>
      </c>
      <c r="F9" s="10" t="s">
        <v>137</v>
      </c>
      <c r="G9" s="11" t="s">
        <v>138</v>
      </c>
      <c r="H9" s="12" t="s">
        <v>63</v>
      </c>
      <c r="I9" s="13" t="s">
        <v>64</v>
      </c>
      <c r="J9" s="13" t="s">
        <v>65</v>
      </c>
      <c r="K9" s="14">
        <f t="shared" ca="1" si="5"/>
        <v>45573</v>
      </c>
      <c r="L9" s="9" t="s">
        <v>60</v>
      </c>
      <c r="M9" s="9" t="s">
        <v>66</v>
      </c>
      <c r="N9" s="13" t="s">
        <v>67</v>
      </c>
      <c r="O9" s="15" t="s">
        <v>68</v>
      </c>
      <c r="P9" s="13" t="s">
        <v>69</v>
      </c>
      <c r="Q9" s="13" t="s">
        <v>70</v>
      </c>
      <c r="R9" s="13" t="s">
        <v>70</v>
      </c>
      <c r="S9" s="13" t="s">
        <v>69</v>
      </c>
      <c r="T9" s="13" t="s">
        <v>65</v>
      </c>
      <c r="U9" s="16" t="s">
        <v>71</v>
      </c>
      <c r="V9" s="17" t="s">
        <v>72</v>
      </c>
      <c r="W9" s="13" t="s">
        <v>65</v>
      </c>
      <c r="X9" s="18">
        <f t="shared" ca="1" si="6"/>
        <v>45573</v>
      </c>
      <c r="Y9" s="13" t="s">
        <v>73</v>
      </c>
      <c r="Z9" s="13" t="s">
        <v>74</v>
      </c>
      <c r="AA9" s="19" t="s">
        <v>75</v>
      </c>
      <c r="AB9" s="36" t="s">
        <v>76</v>
      </c>
      <c r="AC9" s="19" t="s">
        <v>77</v>
      </c>
      <c r="AD9" s="21">
        <v>765</v>
      </c>
      <c r="AE9" s="21" t="s">
        <v>54</v>
      </c>
      <c r="AF9" s="37">
        <v>10</v>
      </c>
      <c r="AG9" s="38" t="s">
        <v>78</v>
      </c>
      <c r="AH9" s="19" t="s">
        <v>79</v>
      </c>
      <c r="AI9" s="39">
        <f ca="1">TODAY()+365</f>
        <v>45969</v>
      </c>
      <c r="AJ9" s="13" t="s">
        <v>81</v>
      </c>
      <c r="AK9" s="38" t="s">
        <v>119</v>
      </c>
      <c r="AL9" s="13" t="s">
        <v>83</v>
      </c>
      <c r="AM9" s="25">
        <f t="shared" ca="1" si="7"/>
        <v>45573</v>
      </c>
      <c r="AN9" s="25">
        <f t="shared" ca="1" si="8"/>
        <v>45573</v>
      </c>
      <c r="AO9" s="41">
        <f t="shared" ca="1" si="4"/>
        <v>45969</v>
      </c>
      <c r="AP9" s="22" t="s">
        <v>84</v>
      </c>
      <c r="AQ9" s="1" t="s">
        <v>139</v>
      </c>
      <c r="AR9" s="9" t="s">
        <v>60</v>
      </c>
      <c r="AS9" s="28" t="s">
        <v>86</v>
      </c>
      <c r="AT9" s="29">
        <v>98937959222</v>
      </c>
      <c r="AU9" s="38" t="s">
        <v>106</v>
      </c>
      <c r="AV9" s="30">
        <v>35591</v>
      </c>
      <c r="AW9" s="42" t="s">
        <v>107</v>
      </c>
      <c r="AX9" s="43" t="s">
        <v>80</v>
      </c>
      <c r="AY9" s="33" t="s">
        <v>90</v>
      </c>
      <c r="AZ9" s="9" t="s">
        <v>91</v>
      </c>
      <c r="BA9" s="34" t="s">
        <v>92</v>
      </c>
      <c r="BB9" s="9" t="s">
        <v>93</v>
      </c>
      <c r="BC9" s="35" t="s">
        <v>94</v>
      </c>
      <c r="BD9" s="33" t="s">
        <v>95</v>
      </c>
      <c r="BE9" s="33" t="s">
        <v>96</v>
      </c>
      <c r="BF9" s="9" t="s">
        <v>97</v>
      </c>
      <c r="BG9" s="9" t="s">
        <v>98</v>
      </c>
      <c r="BH9" s="9" t="s">
        <v>99</v>
      </c>
    </row>
    <row r="10" spans="1:60" ht="87.5" customHeight="1" x14ac:dyDescent="0.35">
      <c r="B10" t="s">
        <v>140</v>
      </c>
      <c r="C10" s="7" t="s">
        <v>58</v>
      </c>
      <c r="D10" s="8" t="s">
        <v>59</v>
      </c>
      <c r="E10" s="9" t="s">
        <v>60</v>
      </c>
      <c r="F10" s="10" t="s">
        <v>141</v>
      </c>
      <c r="G10" s="11" t="s">
        <v>142</v>
      </c>
      <c r="H10" s="12" t="s">
        <v>63</v>
      </c>
      <c r="I10" s="13" t="s">
        <v>64</v>
      </c>
      <c r="J10" s="13" t="s">
        <v>65</v>
      </c>
      <c r="K10" s="14">
        <f t="shared" ca="1" si="5"/>
        <v>45573</v>
      </c>
      <c r="L10" s="9" t="s">
        <v>60</v>
      </c>
      <c r="M10" s="9" t="s">
        <v>66</v>
      </c>
      <c r="N10" s="13" t="s">
        <v>67</v>
      </c>
      <c r="O10" s="15" t="s">
        <v>68</v>
      </c>
      <c r="P10" s="13" t="s">
        <v>69</v>
      </c>
      <c r="Q10" s="13" t="s">
        <v>70</v>
      </c>
      <c r="R10" s="13" t="s">
        <v>70</v>
      </c>
      <c r="S10" s="13" t="s">
        <v>69</v>
      </c>
      <c r="T10" s="13" t="s">
        <v>65</v>
      </c>
      <c r="U10" s="16" t="s">
        <v>71</v>
      </c>
      <c r="V10" s="17" t="s">
        <v>72</v>
      </c>
      <c r="W10" s="13" t="s">
        <v>65</v>
      </c>
      <c r="X10" s="18">
        <f t="shared" ca="1" si="6"/>
        <v>45573</v>
      </c>
      <c r="Y10" s="13" t="s">
        <v>73</v>
      </c>
      <c r="Z10" s="22" t="s">
        <v>74</v>
      </c>
      <c r="AA10" s="19" t="s">
        <v>75</v>
      </c>
      <c r="AB10" s="36" t="s">
        <v>76</v>
      </c>
      <c r="AC10" s="19" t="s">
        <v>77</v>
      </c>
      <c r="AD10" s="21">
        <v>765</v>
      </c>
      <c r="AE10" s="21" t="s">
        <v>54</v>
      </c>
      <c r="AF10" s="37">
        <v>40</v>
      </c>
      <c r="AG10" s="38" t="s">
        <v>78</v>
      </c>
      <c r="AH10" s="19" t="s">
        <v>79</v>
      </c>
      <c r="AI10" s="39" t="s">
        <v>80</v>
      </c>
      <c r="AJ10" s="13" t="s">
        <v>81</v>
      </c>
      <c r="AK10" s="40" t="s">
        <v>82</v>
      </c>
      <c r="AL10" s="13" t="s">
        <v>83</v>
      </c>
      <c r="AM10" s="25">
        <f t="shared" ca="1" si="7"/>
        <v>45573</v>
      </c>
      <c r="AN10" s="25">
        <f t="shared" ca="1" si="8"/>
        <v>45573</v>
      </c>
      <c r="AO10" s="41" t="str">
        <f t="shared" si="4"/>
        <v>N/A</v>
      </c>
      <c r="AP10" s="22" t="s">
        <v>84</v>
      </c>
      <c r="AQ10" s="1" t="s">
        <v>139</v>
      </c>
      <c r="AR10" s="9" t="s">
        <v>60</v>
      </c>
      <c r="AS10" s="28" t="s">
        <v>86</v>
      </c>
      <c r="AT10" s="29">
        <v>98937959223</v>
      </c>
      <c r="AU10" s="38" t="s">
        <v>87</v>
      </c>
      <c r="AV10" s="30">
        <v>35591</v>
      </c>
      <c r="AW10" s="42" t="s">
        <v>88</v>
      </c>
      <c r="AX10" s="43" t="s">
        <v>114</v>
      </c>
      <c r="AY10" s="33" t="s">
        <v>90</v>
      </c>
      <c r="AZ10" s="9" t="s">
        <v>91</v>
      </c>
      <c r="BA10" s="34" t="s">
        <v>92</v>
      </c>
      <c r="BB10" s="9" t="s">
        <v>93</v>
      </c>
      <c r="BC10" s="35" t="s">
        <v>94</v>
      </c>
      <c r="BD10" s="33" t="s">
        <v>95</v>
      </c>
      <c r="BE10" s="33" t="s">
        <v>96</v>
      </c>
      <c r="BF10" s="9" t="s">
        <v>97</v>
      </c>
      <c r="BG10" s="9" t="s">
        <v>98</v>
      </c>
      <c r="BH10" s="9" t="s">
        <v>99</v>
      </c>
    </row>
    <row r="11" spans="1:60" ht="14.5" customHeight="1" x14ac:dyDescent="0.35">
      <c r="B11" t="s">
        <v>143</v>
      </c>
      <c r="C11" s="7" t="s">
        <v>58</v>
      </c>
      <c r="D11" s="8" t="s">
        <v>144</v>
      </c>
      <c r="E11" s="9" t="s">
        <v>60</v>
      </c>
      <c r="F11" s="10" t="s">
        <v>145</v>
      </c>
      <c r="G11" s="11" t="s">
        <v>146</v>
      </c>
      <c r="H11" s="12" t="s">
        <v>63</v>
      </c>
      <c r="I11" s="13" t="s">
        <v>64</v>
      </c>
      <c r="J11" s="13" t="s">
        <v>65</v>
      </c>
      <c r="K11" s="14">
        <f t="shared" ref="K11:K16" ca="1" si="9">TODAY()-31</f>
        <v>45573</v>
      </c>
      <c r="L11" s="9" t="s">
        <v>60</v>
      </c>
      <c r="M11" s="9" t="s">
        <v>66</v>
      </c>
      <c r="N11" s="13" t="s">
        <v>67</v>
      </c>
      <c r="O11" s="15" t="s">
        <v>68</v>
      </c>
      <c r="P11" s="13" t="s">
        <v>69</v>
      </c>
      <c r="Q11" s="13" t="s">
        <v>70</v>
      </c>
      <c r="R11" s="13" t="s">
        <v>70</v>
      </c>
      <c r="S11" s="13" t="s">
        <v>69</v>
      </c>
      <c r="T11" s="13" t="s">
        <v>65</v>
      </c>
      <c r="U11" s="16" t="s">
        <v>71</v>
      </c>
      <c r="V11" s="17" t="s">
        <v>72</v>
      </c>
      <c r="W11" s="13" t="s">
        <v>65</v>
      </c>
      <c r="X11" s="18">
        <f t="shared" ref="X11" ca="1" si="10">K11</f>
        <v>45573</v>
      </c>
      <c r="Y11" s="13" t="s">
        <v>73</v>
      </c>
      <c r="Z11" s="22" t="s">
        <v>147</v>
      </c>
      <c r="AA11" s="19" t="s">
        <v>75</v>
      </c>
      <c r="AB11" s="20" t="s">
        <v>148</v>
      </c>
      <c r="AC11" s="19" t="s">
        <v>77</v>
      </c>
      <c r="AD11" s="21">
        <v>765</v>
      </c>
      <c r="AE11" s="21" t="s">
        <v>54</v>
      </c>
      <c r="AF11" s="37">
        <v>40</v>
      </c>
      <c r="AG11" s="23" t="s">
        <v>149</v>
      </c>
      <c r="AH11" s="19" t="s">
        <v>79</v>
      </c>
      <c r="AI11" s="39" t="s">
        <v>80</v>
      </c>
      <c r="AJ11" s="13" t="s">
        <v>81</v>
      </c>
      <c r="AK11" s="40" t="s">
        <v>82</v>
      </c>
      <c r="AL11" s="13" t="s">
        <v>83</v>
      </c>
      <c r="AM11" s="25">
        <f ca="1">X11</f>
        <v>45573</v>
      </c>
      <c r="AN11" s="25">
        <f ca="1">X11</f>
        <v>45573</v>
      </c>
      <c r="AO11" s="41" t="str">
        <f t="shared" si="4"/>
        <v>N/A</v>
      </c>
      <c r="AP11" s="22" t="s">
        <v>150</v>
      </c>
      <c r="AQ11" s="27" t="s">
        <v>151</v>
      </c>
      <c r="AR11" s="9" t="s">
        <v>60</v>
      </c>
      <c r="AS11" s="28" t="s">
        <v>86</v>
      </c>
      <c r="AT11" s="29">
        <v>98937959224</v>
      </c>
      <c r="AU11" s="23" t="s">
        <v>106</v>
      </c>
      <c r="AV11" s="30">
        <v>35591</v>
      </c>
      <c r="AW11" s="31" t="s">
        <v>107</v>
      </c>
      <c r="AX11" s="32" t="s">
        <v>80</v>
      </c>
      <c r="AY11" s="33" t="s">
        <v>90</v>
      </c>
      <c r="AZ11" s="9" t="s">
        <v>91</v>
      </c>
      <c r="BA11" s="34" t="s">
        <v>92</v>
      </c>
      <c r="BB11" s="9" t="s">
        <v>93</v>
      </c>
      <c r="BC11" s="35" t="s">
        <v>94</v>
      </c>
      <c r="BD11" s="33" t="s">
        <v>95</v>
      </c>
      <c r="BE11" s="33" t="s">
        <v>96</v>
      </c>
      <c r="BF11" s="9" t="s">
        <v>97</v>
      </c>
      <c r="BG11" s="9" t="s">
        <v>98</v>
      </c>
      <c r="BH11" s="9" t="s">
        <v>99</v>
      </c>
    </row>
    <row r="12" spans="1:60" ht="14.5" customHeight="1" x14ac:dyDescent="0.35">
      <c r="B12" t="s">
        <v>152</v>
      </c>
      <c r="C12" s="7" t="s">
        <v>58</v>
      </c>
      <c r="D12" s="8" t="s">
        <v>144</v>
      </c>
      <c r="E12" s="9" t="s">
        <v>60</v>
      </c>
      <c r="F12" s="10" t="s">
        <v>153</v>
      </c>
      <c r="G12" s="11" t="s">
        <v>154</v>
      </c>
      <c r="H12" s="12" t="s">
        <v>63</v>
      </c>
      <c r="I12" s="13" t="s">
        <v>64</v>
      </c>
      <c r="J12" s="13" t="s">
        <v>65</v>
      </c>
      <c r="K12" s="14">
        <f t="shared" ca="1" si="9"/>
        <v>45573</v>
      </c>
      <c r="L12" s="9" t="s">
        <v>60</v>
      </c>
      <c r="M12" s="9" t="s">
        <v>66</v>
      </c>
      <c r="N12" s="13" t="s">
        <v>67</v>
      </c>
      <c r="O12" s="15" t="s">
        <v>68</v>
      </c>
      <c r="P12" s="13" t="s">
        <v>69</v>
      </c>
      <c r="Q12" s="13" t="s">
        <v>70</v>
      </c>
      <c r="R12" s="13" t="s">
        <v>70</v>
      </c>
      <c r="S12" s="13" t="s">
        <v>69</v>
      </c>
      <c r="T12" s="13" t="s">
        <v>65</v>
      </c>
      <c r="U12" s="16" t="s">
        <v>71</v>
      </c>
      <c r="V12" s="17" t="s">
        <v>72</v>
      </c>
      <c r="W12" s="13" t="s">
        <v>65</v>
      </c>
      <c r="X12" s="18">
        <f t="shared" ref="X12" ca="1" si="11">K12</f>
        <v>45573</v>
      </c>
      <c r="Y12" s="13" t="s">
        <v>73</v>
      </c>
      <c r="Z12" s="22" t="s">
        <v>155</v>
      </c>
      <c r="AA12" s="19" t="s">
        <v>75</v>
      </c>
      <c r="AB12" s="20" t="s">
        <v>156</v>
      </c>
      <c r="AC12" s="19" t="s">
        <v>77</v>
      </c>
      <c r="AD12" s="21">
        <v>765</v>
      </c>
      <c r="AE12" s="21" t="s">
        <v>54</v>
      </c>
      <c r="AF12" s="37">
        <v>40</v>
      </c>
      <c r="AG12" s="23" t="s">
        <v>78</v>
      </c>
      <c r="AH12" s="19" t="s">
        <v>79</v>
      </c>
      <c r="AI12" s="39" t="s">
        <v>80</v>
      </c>
      <c r="AJ12" s="13" t="s">
        <v>81</v>
      </c>
      <c r="AK12" s="40" t="s">
        <v>82</v>
      </c>
      <c r="AL12" s="13" t="s">
        <v>83</v>
      </c>
      <c r="AM12" s="25">
        <f ca="1">X12</f>
        <v>45573</v>
      </c>
      <c r="AN12" s="25">
        <f ca="1">X12</f>
        <v>45573</v>
      </c>
      <c r="AO12" s="41" t="str">
        <f t="shared" si="4"/>
        <v>N/A</v>
      </c>
      <c r="AP12" s="22" t="s">
        <v>150</v>
      </c>
      <c r="AQ12" s="27" t="s">
        <v>151</v>
      </c>
      <c r="AR12" s="9" t="s">
        <v>60</v>
      </c>
      <c r="AS12" s="28" t="s">
        <v>86</v>
      </c>
      <c r="AT12" s="29">
        <v>98937959225</v>
      </c>
      <c r="AU12" s="19" t="s">
        <v>87</v>
      </c>
      <c r="AV12" s="30">
        <v>35591</v>
      </c>
      <c r="AW12" s="31" t="s">
        <v>107</v>
      </c>
      <c r="AX12" s="32" t="s">
        <v>80</v>
      </c>
      <c r="AY12" s="33" t="s">
        <v>90</v>
      </c>
      <c r="AZ12" s="9" t="s">
        <v>91</v>
      </c>
      <c r="BA12" s="34" t="s">
        <v>92</v>
      </c>
      <c r="BB12" s="9" t="s">
        <v>93</v>
      </c>
      <c r="BC12" s="35" t="s">
        <v>94</v>
      </c>
      <c r="BD12" s="33" t="s">
        <v>95</v>
      </c>
      <c r="BE12" s="33" t="s">
        <v>96</v>
      </c>
      <c r="BF12" s="9" t="s">
        <v>97</v>
      </c>
      <c r="BG12" s="9" t="s">
        <v>98</v>
      </c>
      <c r="BH12" s="9" t="s">
        <v>99</v>
      </c>
    </row>
    <row r="13" spans="1:60" ht="14.5" customHeight="1" x14ac:dyDescent="0.35">
      <c r="B13" s="46" t="s">
        <v>157</v>
      </c>
      <c r="C13" s="44" t="s">
        <v>109</v>
      </c>
      <c r="D13" s="8" t="s">
        <v>144</v>
      </c>
      <c r="E13" s="9" t="s">
        <v>60</v>
      </c>
      <c r="F13" s="10" t="s">
        <v>158</v>
      </c>
      <c r="G13" s="11" t="s">
        <v>159</v>
      </c>
      <c r="H13" s="12" t="s">
        <v>63</v>
      </c>
      <c r="I13" s="13" t="s">
        <v>64</v>
      </c>
      <c r="J13" s="13" t="s">
        <v>65</v>
      </c>
      <c r="K13" s="14">
        <f t="shared" ca="1" si="9"/>
        <v>45573</v>
      </c>
      <c r="L13" s="9" t="s">
        <v>60</v>
      </c>
      <c r="M13" s="9" t="s">
        <v>66</v>
      </c>
      <c r="N13" s="13" t="s">
        <v>67</v>
      </c>
      <c r="O13" s="15" t="s">
        <v>68</v>
      </c>
      <c r="P13" s="13" t="s">
        <v>69</v>
      </c>
      <c r="Q13" s="13" t="s">
        <v>70</v>
      </c>
      <c r="R13" s="13" t="s">
        <v>70</v>
      </c>
      <c r="S13" s="13" t="s">
        <v>69</v>
      </c>
      <c r="T13" s="13" t="s">
        <v>65</v>
      </c>
      <c r="U13" s="16" t="s">
        <v>71</v>
      </c>
      <c r="V13" s="17" t="s">
        <v>72</v>
      </c>
      <c r="W13" s="13" t="s">
        <v>65</v>
      </c>
      <c r="X13" s="18">
        <f t="shared" ref="X13" ca="1" si="12">K13</f>
        <v>45573</v>
      </c>
      <c r="Y13" s="13" t="s">
        <v>73</v>
      </c>
      <c r="Z13" s="22" t="s">
        <v>160</v>
      </c>
      <c r="AA13" s="19" t="s">
        <v>75</v>
      </c>
      <c r="AB13" s="20" t="s">
        <v>161</v>
      </c>
      <c r="AC13" s="19" t="s">
        <v>77</v>
      </c>
      <c r="AD13" s="21">
        <v>765</v>
      </c>
      <c r="AE13" s="21" t="s">
        <v>54</v>
      </c>
      <c r="AF13" s="37">
        <v>30</v>
      </c>
      <c r="AG13" s="23" t="s">
        <v>162</v>
      </c>
      <c r="AH13" s="19" t="s">
        <v>79</v>
      </c>
      <c r="AI13" s="39">
        <f ca="1">TODAY()+365</f>
        <v>45969</v>
      </c>
      <c r="AJ13" s="13" t="s">
        <v>81</v>
      </c>
      <c r="AK13" s="38" t="s">
        <v>75</v>
      </c>
      <c r="AL13" s="13" t="s">
        <v>83</v>
      </c>
      <c r="AM13" s="25">
        <f ca="1">X13</f>
        <v>45573</v>
      </c>
      <c r="AN13" s="25">
        <f ca="1">X13</f>
        <v>45573</v>
      </c>
      <c r="AO13" s="41">
        <f t="shared" ca="1" si="4"/>
        <v>45969</v>
      </c>
      <c r="AP13" s="22" t="s">
        <v>150</v>
      </c>
      <c r="AQ13" s="27" t="s">
        <v>151</v>
      </c>
      <c r="AR13" s="9" t="s">
        <v>60</v>
      </c>
      <c r="AS13" s="28" t="s">
        <v>86</v>
      </c>
      <c r="AT13" s="29">
        <v>98937959226</v>
      </c>
      <c r="AU13" s="19" t="s">
        <v>87</v>
      </c>
      <c r="AV13" s="30">
        <v>35591</v>
      </c>
      <c r="AW13" s="31" t="s">
        <v>107</v>
      </c>
      <c r="AX13" s="32" t="s">
        <v>80</v>
      </c>
      <c r="AY13" s="33" t="s">
        <v>90</v>
      </c>
      <c r="AZ13" s="9" t="s">
        <v>91</v>
      </c>
      <c r="BA13" s="34" t="s">
        <v>92</v>
      </c>
      <c r="BB13" s="9" t="s">
        <v>93</v>
      </c>
      <c r="BC13" s="35" t="s">
        <v>94</v>
      </c>
      <c r="BD13" s="33" t="s">
        <v>95</v>
      </c>
      <c r="BE13" s="33" t="s">
        <v>96</v>
      </c>
      <c r="BF13" s="9" t="s">
        <v>97</v>
      </c>
      <c r="BG13" s="9" t="s">
        <v>98</v>
      </c>
      <c r="BH13" s="9" t="s">
        <v>99</v>
      </c>
    </row>
    <row r="14" spans="1:60" ht="14.5" customHeight="1" x14ac:dyDescent="0.35">
      <c r="B14" t="s">
        <v>163</v>
      </c>
      <c r="C14" s="7" t="s">
        <v>58</v>
      </c>
      <c r="D14" s="8" t="s">
        <v>144</v>
      </c>
      <c r="E14" s="9" t="s">
        <v>60</v>
      </c>
      <c r="F14" s="10" t="s">
        <v>164</v>
      </c>
      <c r="G14" s="11" t="s">
        <v>165</v>
      </c>
      <c r="H14" s="12" t="s">
        <v>63</v>
      </c>
      <c r="I14" s="13" t="s">
        <v>64</v>
      </c>
      <c r="J14" s="13" t="s">
        <v>65</v>
      </c>
      <c r="K14" s="14">
        <f t="shared" ca="1" si="9"/>
        <v>45573</v>
      </c>
      <c r="L14" s="9" t="s">
        <v>60</v>
      </c>
      <c r="M14" s="9" t="s">
        <v>66</v>
      </c>
      <c r="N14" s="13" t="s">
        <v>67</v>
      </c>
      <c r="O14" s="15" t="s">
        <v>68</v>
      </c>
      <c r="P14" s="13" t="s">
        <v>69</v>
      </c>
      <c r="Q14" s="13" t="s">
        <v>70</v>
      </c>
      <c r="R14" s="13" t="s">
        <v>70</v>
      </c>
      <c r="S14" s="13" t="s">
        <v>69</v>
      </c>
      <c r="T14" s="13" t="s">
        <v>65</v>
      </c>
      <c r="U14" s="16" t="s">
        <v>71</v>
      </c>
      <c r="V14" s="17" t="s">
        <v>72</v>
      </c>
      <c r="W14" s="13" t="s">
        <v>65</v>
      </c>
      <c r="X14" s="18">
        <f t="shared" ref="X14:X16" ca="1" si="13">K14</f>
        <v>45573</v>
      </c>
      <c r="Y14" s="13" t="s">
        <v>73</v>
      </c>
      <c r="Z14" s="22" t="s">
        <v>166</v>
      </c>
      <c r="AA14" s="19" t="s">
        <v>75</v>
      </c>
      <c r="AB14" s="20" t="s">
        <v>167</v>
      </c>
      <c r="AC14" s="19" t="s">
        <v>77</v>
      </c>
      <c r="AD14" s="21">
        <v>765</v>
      </c>
      <c r="AE14" s="21" t="s">
        <v>54</v>
      </c>
      <c r="AF14" s="37">
        <v>40</v>
      </c>
      <c r="AG14" s="23" t="s">
        <v>168</v>
      </c>
      <c r="AH14" s="19" t="s">
        <v>79</v>
      </c>
      <c r="AI14" s="39" t="s">
        <v>80</v>
      </c>
      <c r="AJ14" s="13" t="s">
        <v>81</v>
      </c>
      <c r="AK14" s="40" t="s">
        <v>82</v>
      </c>
      <c r="AL14" s="13" t="s">
        <v>83</v>
      </c>
      <c r="AM14" s="25">
        <f t="shared" ref="AM14:AM16" ca="1" si="14">X14</f>
        <v>45573</v>
      </c>
      <c r="AN14" s="25">
        <f t="shared" ref="AN14:AN16" ca="1" si="15">X14</f>
        <v>45573</v>
      </c>
      <c r="AO14" s="41" t="str">
        <f t="shared" si="4"/>
        <v>N/A</v>
      </c>
      <c r="AP14" s="22" t="s">
        <v>150</v>
      </c>
      <c r="AQ14" s="1" t="s">
        <v>151</v>
      </c>
      <c r="AR14" s="9" t="s">
        <v>60</v>
      </c>
      <c r="AS14" s="28" t="s">
        <v>86</v>
      </c>
      <c r="AT14" s="29">
        <v>98937959227</v>
      </c>
      <c r="AU14" s="38" t="s">
        <v>87</v>
      </c>
      <c r="AV14" s="30">
        <v>35591</v>
      </c>
      <c r="AW14" s="31" t="s">
        <v>107</v>
      </c>
      <c r="AX14" s="43" t="s">
        <v>80</v>
      </c>
      <c r="AY14" s="33" t="s">
        <v>90</v>
      </c>
      <c r="AZ14" s="9" t="s">
        <v>91</v>
      </c>
      <c r="BA14" s="34" t="s">
        <v>92</v>
      </c>
      <c r="BB14" s="9" t="s">
        <v>93</v>
      </c>
      <c r="BC14" s="35" t="s">
        <v>94</v>
      </c>
      <c r="BD14" s="33" t="s">
        <v>95</v>
      </c>
      <c r="BE14" s="33" t="s">
        <v>96</v>
      </c>
      <c r="BF14" s="9" t="s">
        <v>97</v>
      </c>
      <c r="BG14" s="9" t="s">
        <v>98</v>
      </c>
      <c r="BH14" s="9" t="s">
        <v>99</v>
      </c>
    </row>
    <row r="15" spans="1:60" ht="14.5" customHeight="1" x14ac:dyDescent="0.35">
      <c r="B15" s="46" t="s">
        <v>169</v>
      </c>
      <c r="C15" s="44" t="s">
        <v>109</v>
      </c>
      <c r="D15" s="8" t="s">
        <v>144</v>
      </c>
      <c r="E15" s="9" t="s">
        <v>60</v>
      </c>
      <c r="F15" s="10" t="s">
        <v>170</v>
      </c>
      <c r="G15" s="11" t="s">
        <v>171</v>
      </c>
      <c r="H15" s="12" t="s">
        <v>63</v>
      </c>
      <c r="I15" s="13" t="s">
        <v>64</v>
      </c>
      <c r="J15" s="13" t="s">
        <v>65</v>
      </c>
      <c r="K15" s="14">
        <f t="shared" ca="1" si="9"/>
        <v>45573</v>
      </c>
      <c r="L15" s="9" t="s">
        <v>60</v>
      </c>
      <c r="M15" s="9" t="s">
        <v>66</v>
      </c>
      <c r="N15" s="13" t="s">
        <v>67</v>
      </c>
      <c r="O15" s="15" t="s">
        <v>68</v>
      </c>
      <c r="P15" s="13" t="s">
        <v>69</v>
      </c>
      <c r="Q15" s="13" t="s">
        <v>70</v>
      </c>
      <c r="R15" s="13" t="s">
        <v>70</v>
      </c>
      <c r="S15" s="13" t="s">
        <v>69</v>
      </c>
      <c r="T15" s="13" t="s">
        <v>65</v>
      </c>
      <c r="U15" s="16" t="s">
        <v>71</v>
      </c>
      <c r="V15" s="17" t="s">
        <v>72</v>
      </c>
      <c r="W15" s="13" t="s">
        <v>65</v>
      </c>
      <c r="X15" s="18">
        <f t="shared" ca="1" si="13"/>
        <v>45573</v>
      </c>
      <c r="Y15" s="13" t="s">
        <v>73</v>
      </c>
      <c r="Z15" s="22" t="s">
        <v>172</v>
      </c>
      <c r="AA15" s="19" t="s">
        <v>75</v>
      </c>
      <c r="AB15" s="20" t="s">
        <v>173</v>
      </c>
      <c r="AC15" s="19" t="s">
        <v>77</v>
      </c>
      <c r="AD15" s="21">
        <v>765</v>
      </c>
      <c r="AE15" s="21" t="s">
        <v>54</v>
      </c>
      <c r="AF15" s="37">
        <v>20</v>
      </c>
      <c r="AG15" s="23" t="s">
        <v>174</v>
      </c>
      <c r="AH15" s="19" t="s">
        <v>79</v>
      </c>
      <c r="AI15" s="39" t="s">
        <v>80</v>
      </c>
      <c r="AJ15" s="13" t="s">
        <v>81</v>
      </c>
      <c r="AK15" s="40" t="s">
        <v>82</v>
      </c>
      <c r="AL15" s="13" t="s">
        <v>83</v>
      </c>
      <c r="AM15" s="25">
        <f t="shared" ca="1" si="14"/>
        <v>45573</v>
      </c>
      <c r="AN15" s="25">
        <f t="shared" ca="1" si="15"/>
        <v>45573</v>
      </c>
      <c r="AO15" s="41" t="str">
        <f t="shared" si="4"/>
        <v>N/A</v>
      </c>
      <c r="AP15" s="22" t="s">
        <v>150</v>
      </c>
      <c r="AQ15" s="1" t="s">
        <v>151</v>
      </c>
      <c r="AR15" s="9" t="s">
        <v>60</v>
      </c>
      <c r="AS15" s="28" t="s">
        <v>86</v>
      </c>
      <c r="AT15" s="29">
        <v>98937959228</v>
      </c>
      <c r="AU15" s="38" t="s">
        <v>106</v>
      </c>
      <c r="AV15" s="30">
        <v>35591</v>
      </c>
      <c r="AW15" s="31" t="s">
        <v>88</v>
      </c>
      <c r="AX15" s="43" t="s">
        <v>114</v>
      </c>
      <c r="AY15" s="33" t="s">
        <v>90</v>
      </c>
      <c r="AZ15" s="9" t="s">
        <v>91</v>
      </c>
      <c r="BA15" s="34" t="s">
        <v>92</v>
      </c>
      <c r="BB15" s="9" t="s">
        <v>93</v>
      </c>
      <c r="BC15" s="35" t="s">
        <v>94</v>
      </c>
      <c r="BD15" s="33" t="s">
        <v>95</v>
      </c>
      <c r="BE15" s="33" t="s">
        <v>96</v>
      </c>
      <c r="BF15" s="9" t="s">
        <v>97</v>
      </c>
      <c r="BG15" s="9" t="s">
        <v>98</v>
      </c>
      <c r="BH15" s="9" t="s">
        <v>99</v>
      </c>
    </row>
    <row r="16" spans="1:60" ht="14.5" customHeight="1" x14ac:dyDescent="0.35">
      <c r="B16" t="s">
        <v>175</v>
      </c>
      <c r="C16" s="7" t="s">
        <v>58</v>
      </c>
      <c r="D16" s="8" t="s">
        <v>144</v>
      </c>
      <c r="E16" s="9" t="s">
        <v>60</v>
      </c>
      <c r="F16" s="10" t="s">
        <v>176</v>
      </c>
      <c r="G16" s="11" t="s">
        <v>177</v>
      </c>
      <c r="H16" s="12" t="s">
        <v>63</v>
      </c>
      <c r="I16" s="13" t="s">
        <v>64</v>
      </c>
      <c r="J16" s="13" t="s">
        <v>65</v>
      </c>
      <c r="K16" s="14">
        <f t="shared" ca="1" si="9"/>
        <v>45573</v>
      </c>
      <c r="L16" s="9" t="s">
        <v>60</v>
      </c>
      <c r="M16" s="9" t="s">
        <v>66</v>
      </c>
      <c r="N16" s="13" t="s">
        <v>67</v>
      </c>
      <c r="O16" s="15" t="s">
        <v>68</v>
      </c>
      <c r="P16" s="13" t="s">
        <v>69</v>
      </c>
      <c r="Q16" s="13" t="s">
        <v>70</v>
      </c>
      <c r="R16" s="13" t="s">
        <v>70</v>
      </c>
      <c r="S16" s="13" t="s">
        <v>69</v>
      </c>
      <c r="T16" s="13" t="s">
        <v>65</v>
      </c>
      <c r="U16" s="16" t="s">
        <v>71</v>
      </c>
      <c r="V16" s="17" t="s">
        <v>72</v>
      </c>
      <c r="W16" s="13" t="s">
        <v>65</v>
      </c>
      <c r="X16" s="18">
        <f t="shared" ca="1" si="13"/>
        <v>45573</v>
      </c>
      <c r="Y16" s="13" t="s">
        <v>73</v>
      </c>
      <c r="Z16" s="22" t="s">
        <v>178</v>
      </c>
      <c r="AA16" s="19" t="s">
        <v>75</v>
      </c>
      <c r="AB16" s="20" t="s">
        <v>179</v>
      </c>
      <c r="AC16" s="19" t="s">
        <v>77</v>
      </c>
      <c r="AD16" s="21">
        <v>765</v>
      </c>
      <c r="AE16" s="21" t="s">
        <v>54</v>
      </c>
      <c r="AF16" s="22">
        <v>40</v>
      </c>
      <c r="AG16" s="23" t="s">
        <v>78</v>
      </c>
      <c r="AH16" s="19" t="s">
        <v>79</v>
      </c>
      <c r="AI16" s="39">
        <f ca="1">TODAY()+365</f>
        <v>45969</v>
      </c>
      <c r="AJ16" s="13" t="s">
        <v>81</v>
      </c>
      <c r="AK16" s="38" t="s">
        <v>75</v>
      </c>
      <c r="AL16" s="13" t="s">
        <v>83</v>
      </c>
      <c r="AM16" s="25">
        <f t="shared" ca="1" si="14"/>
        <v>45573</v>
      </c>
      <c r="AN16" s="25">
        <f t="shared" ca="1" si="15"/>
        <v>45573</v>
      </c>
      <c r="AO16" s="41">
        <f t="shared" ca="1" si="4"/>
        <v>45969</v>
      </c>
      <c r="AP16" s="22" t="s">
        <v>150</v>
      </c>
      <c r="AQ16" s="1" t="s">
        <v>151</v>
      </c>
      <c r="AR16" s="9" t="s">
        <v>60</v>
      </c>
      <c r="AS16" s="28" t="s">
        <v>86</v>
      </c>
      <c r="AT16" s="29">
        <v>98937959229</v>
      </c>
      <c r="AU16" s="38" t="s">
        <v>87</v>
      </c>
      <c r="AV16" s="30">
        <v>35591</v>
      </c>
      <c r="AW16" s="31" t="s">
        <v>107</v>
      </c>
      <c r="AX16" s="43" t="s">
        <v>80</v>
      </c>
      <c r="AY16" s="33" t="s">
        <v>90</v>
      </c>
      <c r="AZ16" s="9" t="s">
        <v>91</v>
      </c>
      <c r="BA16" s="34" t="s">
        <v>92</v>
      </c>
      <c r="BB16" s="9" t="s">
        <v>93</v>
      </c>
      <c r="BC16" s="35" t="s">
        <v>94</v>
      </c>
      <c r="BD16" s="33" t="s">
        <v>95</v>
      </c>
      <c r="BE16" s="33" t="s">
        <v>96</v>
      </c>
      <c r="BF16" s="9" t="s">
        <v>97</v>
      </c>
      <c r="BG16" s="9" t="s">
        <v>98</v>
      </c>
      <c r="BH16" s="9" t="s">
        <v>99</v>
      </c>
    </row>
    <row r="17" spans="35:35" ht="14.5" customHeight="1" x14ac:dyDescent="0.35">
      <c r="AI17" s="1"/>
    </row>
  </sheetData>
  <pageMargins left="0.7" right="0.7" top="0.75" bottom="0.75" header="0.3" footer="0.3"/>
  <pageSetup orientation="portrait" useFirstPageNumber="1"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2024-11-08T08:42:38Z</dcterms:modified>
</cp:coreProperties>
</file>