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4_{C65BF70F-412D-46DC-84B0-8792AC14DAD1}" xr6:coauthVersionLast="47" xr6:coauthVersionMax="47" xr10:uidLastSave="{00000000-0000-0000-0000-000000000000}"/>
  <bookViews>
    <workbookView xWindow="20" yWindow="20" windowWidth="19180" windowHeight="1018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" i="1" l="1"/>
  <c r="AK2" i="1"/>
  <c r="K2" i="1"/>
  <c r="AJ2" i="1" s="1"/>
  <c r="AL2" i="1" l="1"/>
  <c r="W2" i="1"/>
  <c r="AM2" i="1"/>
</calcChain>
</file>

<file path=xl/sharedStrings.xml><?xml version="1.0" encoding="utf-8"?>
<sst xmlns="http://schemas.openxmlformats.org/spreadsheetml/2006/main" count="134" uniqueCount="116">
  <si>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</si>
  <si>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</si>
  <si>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</si>
  <si>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</si>
  <si>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</si>
  <si>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</si>
  <si>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</si>
  <si>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</si>
  <si>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</si>
  <si>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</si>
  <si>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</si>
  <si>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</si>
  <si>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</si>
  <si>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</si>
  <si>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</si>
  <si>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</si>
  <si>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</si>
  <si>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</si>
  <si>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</si>
  <si>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</si>
  <si>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</si>
  <si>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</si>
  <si>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</si>
  <si>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</si>
  <si>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</si>
  <si>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</si>
  <si>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</si>
  <si>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</si>
  <si>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</si>
  <si>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</si>
  <si>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</si>
  <si>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</si>
  <si>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</si>
  <si>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</si>
  <si>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</si>
  <si>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</si>
  <si>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</si>
  <si>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</si>
  <si>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</si>
  <si>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</si>
  <si>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</si>
  <si>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</si>
  <si>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</si>
  <si>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</si>
  <si>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</si>
  <si>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</si>
  <si>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</si>
  <si>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</si>
  <si>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</si>
  <si>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</si>
  <si>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</si>
  <si>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</si>
  <si>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</si>
  <si>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</si>
  <si>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</si>
  <si>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</si>
  <si>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</si>
  <si>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</si>
  <si>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</si>
  <si>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</si>
  <si>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</si>
  <si>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</si>
  <si>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</si>
  <si>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</si>
  <si>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</si>
  <si>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</si>
  <si>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Test1</t>
  </si>
  <si>
    <t>Test failed for 'Blanca Feeney' Employee:{undefined}TypeError: Cannot read properties of null (reading 'toString')</t>
  </si>
  <si>
    <t>Failed</t>
  </si>
  <si>
    <t>896 Retail Team (Vuvip Kevozi (10525382) (Inherited))</t>
  </si>
  <si>
    <t>Czechia</t>
  </si>
  <si>
    <t>CZSITOne</t>
  </si>
  <si>
    <t>CzechOne</t>
  </si>
  <si>
    <t>770 272 784</t>
  </si>
  <si>
    <t>Mobile</t>
  </si>
  <si>
    <t>Home</t>
  </si>
  <si>
    <t>Test</t>
  </si>
  <si>
    <t>Prague</t>
  </si>
  <si>
    <t>Pardubic</t>
  </si>
  <si>
    <t>Street Address</t>
  </si>
  <si>
    <t>Test@primark.com</t>
  </si>
  <si>
    <t>New Hire</t>
  </si>
  <si>
    <t>No</t>
  </si>
  <si>
    <t>Permanent</t>
  </si>
  <si>
    <t>Retail Assistant_NEW</t>
  </si>
  <si>
    <t>Full time</t>
  </si>
  <si>
    <t>896 Brno</t>
  </si>
  <si>
    <t>Salary</t>
  </si>
  <si>
    <t>5 Days</t>
  </si>
  <si>
    <t>N/A</t>
  </si>
  <si>
    <t>Employment Agreement</t>
  </si>
  <si>
    <t>Active</t>
  </si>
  <si>
    <t>94 Retail Operatives</t>
  </si>
  <si>
    <t>07 Footwear</t>
  </si>
  <si>
    <t>Personal Number</t>
  </si>
  <si>
    <t>11/11/1999</t>
  </si>
  <si>
    <t>11/11/2055</t>
  </si>
  <si>
    <t>Citizen ID Number</t>
  </si>
  <si>
    <t>Female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</si>
  <si>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</si>
  <si>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</si>
  <si>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</si>
  <si>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</si>
  <si>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</si>
  <si>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</si>
  <si>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</si>
  <si>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Cyril</t>
  </si>
  <si>
    <t>Batz</t>
  </si>
  <si>
    <t>(VZP) – code No. 111</t>
  </si>
  <si>
    <t>Ne</t>
  </si>
  <si>
    <t>Please select a Czech Republic Pay Group</t>
  </si>
  <si>
    <t>CZ Monthly</t>
  </si>
  <si>
    <t>37.5</t>
  </si>
  <si>
    <t>Test2</t>
  </si>
  <si>
    <t>Test failed for 'Samanta Breitenberg-Bednar' Employee:{undefined}TypeError: Cannot read properties of undefined (reading 'split')</t>
  </si>
  <si>
    <t>26401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</si>
</sst>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7"/>
      <color rgb="FF9CDCFE"/>
      <name val="Consolas"/>
      <family val="3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4" fillId="0" borderId="0" xfId="0" applyFont="1" applyAlignment="1">
      <alignment vertical="center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/>
    <xf numFmtId="0" fontId="1" fillId="0" borderId="3" xfId="0" applyFont="1" applyBorder="1" applyAlignment="1">
      <alignment vertical="center" wrapText="1"/>
    </xf>
    <xf numFmtId="0" fontId="2" fillId="8" borderId="3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left"/>
      <protection locked="0"/>
    </xf>
    <xf numFmtId="0" fontId="0" fillId="3" borderId="0" xfId="0" applyFill="1"/>
    <xf numFmtId="0" fontId="2" fillId="8" borderId="3" xfId="0" applyFont="1" applyFill="1" applyBorder="1" applyAlignment="1" applyProtection="1">
      <alignment horizontal="left"/>
      <protection locked="0"/>
    </xf>
    <xf numFmtId="14" fontId="5" fillId="8" borderId="3" xfId="0" applyNumberFormat="1" applyFont="1" applyFill="1" applyBorder="1" applyAlignment="1">
      <alignment horizontal="left"/>
    </xf>
    <xf numFmtId="14" fontId="2" fillId="8" borderId="3" xfId="0" applyNumberFormat="1" applyFont="1" applyFill="1" applyBorder="1" applyAlignment="1">
      <alignment horizontal="left"/>
    </xf>
    <xf numFmtId="0" fontId="6" fillId="8" borderId="3" xfId="0" applyFont="1" applyFill="1" applyBorder="1" applyProtection="1">
      <protection locked="0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14" fontId="5" fillId="0" borderId="3" xfId="0" applyNumberFormat="1" applyFont="1" applyBorder="1" applyAlignment="1">
      <alignment horizontal="left"/>
    </xf>
    <xf numFmtId="0" fontId="2" fillId="0" borderId="3" xfId="0" applyFont="1" applyBorder="1" applyAlignment="1" applyProtection="1">
      <alignment horizontal="left"/>
      <protection locked="0"/>
    </xf>
    <xf numFmtId="14" fontId="7" fillId="0" borderId="3" xfId="0" applyNumberFormat="1" applyFont="1" applyBorder="1" applyAlignment="1">
      <alignment horizontal="left"/>
    </xf>
    <xf numFmtId="14" fontId="7" fillId="8" borderId="3" xfId="0" applyNumberFormat="1" applyFont="1" applyFill="1" applyBorder="1" applyAlignment="1">
      <alignment horizontal="left"/>
    </xf>
    <xf numFmtId="164" fontId="2" fillId="8" borderId="3" xfId="0" applyNumberFormat="1" applyFont="1" applyFill="1" applyBorder="1" applyAlignment="1" applyProtection="1">
      <alignment horizontal="left"/>
      <protection locked="0"/>
    </xf>
    <xf numFmtId="0" fontId="3" fillId="4" borderId="3" xfId="0" applyFont="1" applyFill="1" applyBorder="1" applyAlignment="1">
      <alignment horizontal="left"/>
    </xf>
    <xf numFmtId="0" fontId="2" fillId="8" borderId="3" xfId="0" applyFont="1" applyFill="1" applyBorder="1"/>
    <xf numFmtId="164" fontId="7" fillId="8" borderId="3" xfId="0" applyNumberFormat="1" applyFont="1" applyFill="1" applyBorder="1" applyAlignment="1" applyProtection="1">
      <alignment horizontal="left"/>
      <protection locked="0"/>
    </xf>
    <xf numFmtId="0" fontId="8" fillId="9" borderId="3" xfId="0" applyFont="1" applyFill="1" applyBorder="1" applyAlignment="1">
      <alignment horizontal="left" vertical="top"/>
    </xf>
    <xf numFmtId="14" fontId="9" fillId="10" borderId="3" xfId="0" applyNumberFormat="1" applyFont="1" applyFill="1" applyBorder="1" applyAlignment="1">
      <alignment horizontal="left" vertical="top"/>
    </xf>
    <xf numFmtId="0" fontId="9" fillId="10" borderId="3" xfId="0" applyFont="1" applyFill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14" fontId="9" fillId="5" borderId="3" xfId="0" applyNumberFormat="1" applyFont="1" applyFill="1" applyBorder="1" applyAlignment="1">
      <alignment horizontal="left" vertical="top"/>
    </xf>
    <xf numFmtId="14" fontId="9" fillId="0" borderId="3" xfId="0" applyNumberFormat="1" applyFont="1" applyBorder="1" applyAlignment="1">
      <alignment horizontal="left" vertical="top"/>
    </xf>
    <xf numFmtId="0" fontId="8" fillId="10" borderId="3" xfId="0" applyFont="1" applyFill="1" applyBorder="1" applyAlignment="1">
      <alignment horizontal="left" vertical="top"/>
    </xf>
    <xf numFmtId="0" fontId="3" fillId="8" borderId="3" xfId="0" applyFont="1" applyFill="1" applyBorder="1" applyAlignment="1">
      <alignment horizontal="left"/>
    </xf>
    <xf numFmtId="0" fontId="9" fillId="11" borderId="3" xfId="0" applyFont="1" applyFill="1" applyBorder="1" applyAlignment="1">
      <alignment horizontal="left" vertical="top"/>
    </xf>
    <xf numFmtId="0" fontId="9" fillId="11" borderId="4" xfId="0" applyFont="1" applyFill="1" applyBorder="1" applyAlignment="1">
      <alignment horizontal="left" vertical="top"/>
    </xf>
    <xf numFmtId="0" fontId="10" fillId="11" borderId="3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1" fillId="4" borderId="5" xfId="0" applyFont="1" applyFill="1" applyBorder="1" applyAlignment="1">
      <alignment horizontal="center" vertical="center"/>
    </xf>
    <xf numFmtId="0" fontId="2" fillId="8" borderId="3" xfId="0" quotePrefix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primar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3"/>
  <sheetViews>
    <sheetView tabSelected="1" topLeftCell="K1" zoomScaleNormal="100" workbookViewId="0">
      <selection activeCell="P11" sqref="P11"/>
    </sheetView>
  </sheetViews>
  <sheetFormatPr defaultRowHeight="14.4" customHeight="1" x14ac:dyDescent="0.35"/>
  <cols>
    <col min="4" max="102" width="17" customWidth="1"/>
  </cols>
  <sheetData>
    <row r="1" spans="1:102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9</v>
      </c>
      <c r="T1" s="3" t="s">
        <v>17</v>
      </c>
      <c r="U1" s="3" t="s">
        <v>18</v>
      </c>
      <c r="V1" s="3" t="s">
        <v>9</v>
      </c>
      <c r="W1" s="2" t="s">
        <v>19</v>
      </c>
      <c r="X1" s="3" t="s">
        <v>20</v>
      </c>
      <c r="Y1" s="4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5" t="s">
        <v>28</v>
      </c>
      <c r="AG1" s="6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7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7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8" t="s">
        <v>58</v>
      </c>
      <c r="BK1" s="3" t="s">
        <v>59</v>
      </c>
      <c r="BL1" s="3" t="s">
        <v>4</v>
      </c>
      <c r="BM1" s="3" t="s">
        <v>5</v>
      </c>
      <c r="BN1" s="3" t="s">
        <v>6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9" t="s">
        <v>65</v>
      </c>
      <c r="BU1" s="10"/>
      <c r="BV1" s="10"/>
      <c r="BW1" s="10"/>
      <c r="BX1" s="10"/>
      <c r="BY1" s="10"/>
      <c r="BZ1" s="11"/>
      <c r="CA1" s="10"/>
      <c r="CB1" s="10"/>
      <c r="CC1" s="10"/>
      <c r="CD1" s="10"/>
      <c r="CE1" s="11"/>
      <c r="CF1" s="10"/>
      <c r="CG1" s="10"/>
      <c r="CH1" s="12"/>
      <c r="CI1" s="11"/>
      <c r="CJ1" s="10"/>
      <c r="CK1" s="11"/>
      <c r="CL1" s="11"/>
      <c r="CM1" s="10"/>
      <c r="CN1" s="10"/>
      <c r="CO1" s="10"/>
      <c r="CP1" s="10"/>
      <c r="CQ1" s="10"/>
      <c r="CR1" s="10"/>
      <c r="CS1" s="10"/>
      <c r="CT1" s="10"/>
      <c r="CU1" s="11"/>
      <c r="CV1" s="11"/>
      <c r="CW1" s="10"/>
      <c r="CX1" s="11"/>
    </row>
    <row r="2" spans="1:102" ht="19.25" customHeight="1" x14ac:dyDescent="0.35">
      <c r="A2" s="13" t="s">
        <v>66</v>
      </c>
      <c r="B2" t="s">
        <v>67</v>
      </c>
      <c r="C2" s="14" t="s">
        <v>68</v>
      </c>
      <c r="D2" s="15" t="s">
        <v>69</v>
      </c>
      <c r="E2" s="16" t="s">
        <v>70</v>
      </c>
      <c r="F2" s="17" t="s">
        <v>71</v>
      </c>
      <c r="G2" s="18" t="s">
        <v>72</v>
      </c>
      <c r="H2" s="19" t="s">
        <v>73</v>
      </c>
      <c r="I2" s="19" t="s">
        <v>74</v>
      </c>
      <c r="J2" s="19" t="s">
        <v>75</v>
      </c>
      <c r="K2" s="20">
        <f ca="1">TODAY()-61</f>
        <v>45605</v>
      </c>
      <c r="L2" s="16" t="s">
        <v>70</v>
      </c>
      <c r="M2" s="16" t="s">
        <v>76</v>
      </c>
      <c r="N2" s="16">
        <v>1</v>
      </c>
      <c r="O2" s="19" t="s">
        <v>77</v>
      </c>
      <c r="P2" s="51" t="s">
        <v>115</v>
      </c>
      <c r="Q2" s="19" t="s">
        <v>77</v>
      </c>
      <c r="R2" s="19" t="s">
        <v>78</v>
      </c>
      <c r="S2" s="19" t="s">
        <v>75</v>
      </c>
      <c r="T2" s="21" t="s">
        <v>79</v>
      </c>
      <c r="U2" s="22" t="s">
        <v>80</v>
      </c>
      <c r="V2" s="19" t="s">
        <v>75</v>
      </c>
      <c r="W2" s="20">
        <f ca="1">K2</f>
        <v>45605</v>
      </c>
      <c r="X2" s="19" t="s">
        <v>81</v>
      </c>
      <c r="Y2" s="17" t="s">
        <v>82</v>
      </c>
      <c r="Z2" s="23" t="s">
        <v>83</v>
      </c>
      <c r="AA2" s="23" t="s">
        <v>84</v>
      </c>
      <c r="AB2" s="23" t="s">
        <v>85</v>
      </c>
      <c r="AC2" s="24" t="s">
        <v>86</v>
      </c>
      <c r="AD2" s="24" t="s">
        <v>87</v>
      </c>
      <c r="AE2" s="23" t="s">
        <v>88</v>
      </c>
      <c r="AF2" s="25">
        <v>37.5</v>
      </c>
      <c r="AG2" s="26" t="s">
        <v>89</v>
      </c>
      <c r="AH2" s="27" t="s">
        <v>90</v>
      </c>
      <c r="AI2" s="27" t="s">
        <v>91</v>
      </c>
      <c r="AJ2" s="28">
        <f ca="1">K2</f>
        <v>45605</v>
      </c>
      <c r="AK2" s="26" t="str">
        <f>AG2</f>
        <v>N/A</v>
      </c>
      <c r="AL2" s="29">
        <f ca="1">K2</f>
        <v>45605</v>
      </c>
      <c r="AM2" s="29">
        <f ca="1">K2</f>
        <v>45605</v>
      </c>
      <c r="AN2" s="27" t="s">
        <v>92</v>
      </c>
      <c r="AO2" s="23" t="s">
        <v>93</v>
      </c>
      <c r="AP2" s="16">
        <v>100</v>
      </c>
      <c r="AQ2" s="29">
        <f ca="1">TODAY()+20</f>
        <v>45686</v>
      </c>
      <c r="AR2" s="16" t="s">
        <v>70</v>
      </c>
      <c r="AS2" s="30" t="s">
        <v>94</v>
      </c>
      <c r="AT2" s="31">
        <v>436429800</v>
      </c>
      <c r="AU2" s="29" t="s">
        <v>95</v>
      </c>
      <c r="AV2" s="29" t="s">
        <v>96</v>
      </c>
      <c r="AW2" s="16" t="s">
        <v>70</v>
      </c>
      <c r="AX2" s="30" t="s">
        <v>97</v>
      </c>
      <c r="AY2" s="31">
        <v>354957630</v>
      </c>
      <c r="AZ2" s="29" t="s">
        <v>95</v>
      </c>
      <c r="BA2" s="29" t="s">
        <v>96</v>
      </c>
      <c r="BB2" s="32" t="s">
        <v>98</v>
      </c>
      <c r="BC2" s="29" t="s">
        <v>95</v>
      </c>
      <c r="BD2" s="30" t="s">
        <v>77</v>
      </c>
      <c r="BE2" s="30" t="s">
        <v>99</v>
      </c>
      <c r="BF2" s="30" t="s">
        <v>100</v>
      </c>
      <c r="BG2" s="16" t="s">
        <v>101</v>
      </c>
      <c r="BH2" s="16" t="s">
        <v>102</v>
      </c>
      <c r="BI2" s="33" t="s">
        <v>103</v>
      </c>
      <c r="BJ2" t="s">
        <v>104</v>
      </c>
      <c r="BK2" s="16" t="s">
        <v>105</v>
      </c>
      <c r="BL2" s="16" t="s">
        <v>70</v>
      </c>
      <c r="BM2" s="16" t="s">
        <v>106</v>
      </c>
      <c r="BN2" s="16" t="s">
        <v>107</v>
      </c>
      <c r="BO2" s="16" t="s">
        <v>108</v>
      </c>
      <c r="BP2" s="16" t="s">
        <v>109</v>
      </c>
      <c r="BQ2" s="19" t="s">
        <v>110</v>
      </c>
      <c r="BR2" s="19" t="s">
        <v>111</v>
      </c>
      <c r="BS2" t="s">
        <v>112</v>
      </c>
      <c r="BT2" s="34">
        <v>213111231</v>
      </c>
      <c r="BU2" s="35"/>
      <c r="BV2" s="36"/>
      <c r="BW2" s="37"/>
      <c r="BX2" s="38"/>
      <c r="BY2" s="39"/>
      <c r="BZ2" s="38"/>
      <c r="CA2" s="40"/>
      <c r="CB2" s="36"/>
      <c r="CC2" s="41"/>
      <c r="CD2" s="41"/>
      <c r="CE2" s="42"/>
      <c r="CF2" s="35"/>
      <c r="CG2" s="35"/>
      <c r="CH2" s="36"/>
      <c r="CI2" s="43"/>
      <c r="CJ2" s="43"/>
      <c r="CK2" s="43"/>
      <c r="CL2" s="44"/>
      <c r="CM2" s="44"/>
      <c r="CN2" s="44"/>
      <c r="CO2" s="44"/>
      <c r="CP2" s="45"/>
      <c r="CQ2" s="41"/>
      <c r="CR2" s="41"/>
      <c r="CS2" s="37"/>
      <c r="CT2" s="37"/>
      <c r="CU2" s="46"/>
      <c r="CV2" s="37"/>
      <c r="CW2" s="37"/>
      <c r="CX2" s="37"/>
    </row>
    <row r="3" spans="1:102" ht="19.25" customHeight="1" x14ac:dyDescent="0.25">
      <c r="A3" s="13" t="s">
        <v>113</v>
      </c>
      <c r="B3" t="s">
        <v>114</v>
      </c>
      <c r="C3" s="14" t="s">
        <v>68</v>
      </c>
      <c r="D3" s="47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48"/>
      <c r="X3" s="10"/>
      <c r="Y3" s="49"/>
      <c r="Z3" s="49"/>
      <c r="AA3" s="49"/>
      <c r="AB3" s="49"/>
      <c r="AC3" s="10"/>
      <c r="AD3" s="10"/>
      <c r="AE3" s="49"/>
      <c r="AF3" s="49"/>
      <c r="AG3" s="47"/>
      <c r="AH3" s="49"/>
      <c r="AI3" s="49"/>
      <c r="AJ3" s="49"/>
      <c r="AK3" s="47"/>
      <c r="AL3" s="10"/>
      <c r="AM3" s="10"/>
      <c r="AN3" s="49"/>
      <c r="AO3" s="49"/>
      <c r="AP3" s="10"/>
      <c r="AQ3" s="10"/>
      <c r="AR3" s="10"/>
      <c r="AS3" s="10"/>
      <c r="AT3" s="7"/>
      <c r="AU3" s="10"/>
      <c r="AV3" s="10"/>
      <c r="AW3" s="10"/>
      <c r="AX3" s="10"/>
      <c r="AY3" s="7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50"/>
      <c r="BK3" s="10"/>
      <c r="BL3" s="10"/>
      <c r="BM3" s="10"/>
      <c r="BN3" s="10"/>
      <c r="BO3" s="10"/>
      <c r="BP3" s="10"/>
      <c r="BQ3" s="10"/>
      <c r="BR3" s="10"/>
      <c r="BT3" s="33"/>
      <c r="BU3" s="35"/>
      <c r="BV3" s="36"/>
      <c r="BW3" s="37"/>
      <c r="BX3" s="38"/>
      <c r="BY3" s="39"/>
      <c r="BZ3" s="38"/>
      <c r="CA3" s="40"/>
      <c r="CB3" s="36"/>
      <c r="CC3" s="41"/>
      <c r="CD3" s="41"/>
      <c r="CE3" s="42"/>
      <c r="CF3" s="35"/>
      <c r="CG3" s="35"/>
      <c r="CH3" s="36"/>
      <c r="CI3" s="43"/>
      <c r="CJ3" s="43"/>
      <c r="CK3" s="43"/>
      <c r="CL3" s="44"/>
      <c r="CM3" s="44"/>
      <c r="CN3" s="44"/>
      <c r="CO3" s="44"/>
      <c r="CP3" s="45"/>
      <c r="CQ3" s="41"/>
      <c r="CR3" s="41"/>
      <c r="CS3" s="37"/>
      <c r="CT3" s="37"/>
      <c r="CU3" s="37"/>
      <c r="CV3" s="37"/>
      <c r="CW3" s="37"/>
      <c r="CX3" s="37"/>
    </row>
  </sheetData>
  <dataValidations count="1">
    <dataValidation type="list" allowBlank="1" showInputMessage="1" showErrorMessage="1" sqref="AI2 X2 V2 S2 J2 BH2" xr:uid="{00000000-0002-0000-0000-000000000000}">
      <formula1>INDIRECT($E2)</formula1>
    </dataValidation>
  </dataValidations>
  <hyperlinks>
    <hyperlink ref="U2" r:id="rId1" xr:uid="{00000000-0004-0000-0000-000000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2025-01-09T16:34:57Z</dcterms:modified>
</cp:coreProperties>
</file>