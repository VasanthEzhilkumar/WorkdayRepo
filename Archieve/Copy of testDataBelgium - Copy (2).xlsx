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A217ED12-3B51-45A9-9D39-56DADAF535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4" i="1" l="1"/>
  <c r="L34" i="1"/>
  <c r="W34" i="1" s="1"/>
  <c r="AH33" i="1"/>
  <c r="AT33" i="1" s="1"/>
  <c r="L33" i="1"/>
  <c r="W33" i="1" s="1"/>
  <c r="AT32" i="1"/>
  <c r="L32" i="1"/>
  <c r="W32" i="1" s="1"/>
  <c r="AH31" i="1"/>
  <c r="AT31" i="1" s="1"/>
  <c r="L31" i="1"/>
  <c r="W31" i="1" s="1"/>
  <c r="AT30" i="1"/>
  <c r="L30" i="1"/>
  <c r="W30" i="1" s="1"/>
  <c r="AT29" i="1"/>
  <c r="L29" i="1"/>
  <c r="W29" i="1" s="1"/>
  <c r="AH28" i="1"/>
  <c r="AT28" i="1" s="1"/>
  <c r="L28" i="1"/>
  <c r="W28" i="1" s="1"/>
  <c r="AT27" i="1"/>
  <c r="L27" i="1"/>
  <c r="W27" i="1" s="1"/>
  <c r="AH26" i="1"/>
  <c r="AT26" i="1" s="1"/>
  <c r="L26" i="1"/>
  <c r="W26" i="1" s="1"/>
  <c r="AT25" i="1"/>
  <c r="L25" i="1"/>
  <c r="W25" i="1" s="1"/>
  <c r="AH24" i="1"/>
  <c r="AT24" i="1" s="1"/>
  <c r="L24" i="1"/>
  <c r="W24" i="1" s="1"/>
  <c r="AT23" i="1"/>
  <c r="L23" i="1"/>
  <c r="W23" i="1" s="1"/>
  <c r="AT22" i="1"/>
  <c r="L22" i="1"/>
  <c r="W22" i="1" s="1"/>
  <c r="AH21" i="1"/>
  <c r="AT21" i="1" s="1"/>
  <c r="L21" i="1"/>
  <c r="W21" i="1" s="1"/>
  <c r="AT20" i="1"/>
  <c r="L20" i="1"/>
  <c r="W20" i="1" s="1"/>
  <c r="AH19" i="1"/>
  <c r="AT19" i="1" s="1"/>
  <c r="W19" i="1"/>
  <c r="L19" i="1"/>
  <c r="L18" i="1"/>
  <c r="W18" i="1" s="1"/>
  <c r="AH17" i="1"/>
  <c r="AT17" i="1" s="1"/>
  <c r="L17" i="1"/>
  <c r="W17" i="1" s="1"/>
  <c r="AT16" i="1"/>
  <c r="L16" i="1"/>
  <c r="W16" i="1" s="1"/>
  <c r="AH15" i="1"/>
  <c r="AT15" i="1" s="1"/>
  <c r="L15" i="1"/>
  <c r="W15" i="1" s="1"/>
  <c r="AT14" i="1"/>
  <c r="L14" i="1"/>
  <c r="W14" i="1" s="1"/>
  <c r="AH13" i="1"/>
  <c r="AT13" i="1" s="1"/>
  <c r="L13" i="1"/>
  <c r="W13" i="1" s="1"/>
  <c r="L12" i="1"/>
  <c r="W12" i="1" s="1"/>
  <c r="AH11" i="1"/>
  <c r="AT11" i="1" s="1"/>
  <c r="L11" i="1"/>
  <c r="W11" i="1" s="1"/>
  <c r="AT10" i="1"/>
  <c r="L10" i="1"/>
  <c r="W10" i="1" s="1"/>
  <c r="AH9" i="1"/>
  <c r="AT9" i="1" s="1"/>
  <c r="L9" i="1"/>
  <c r="W9" i="1" s="1"/>
  <c r="AT8" i="1"/>
  <c r="L8" i="1"/>
  <c r="W8" i="1" s="1"/>
  <c r="AH7" i="1"/>
  <c r="AT7" i="1" s="1"/>
  <c r="L7" i="1"/>
  <c r="W7" i="1" s="1"/>
  <c r="L6" i="1"/>
  <c r="W6" i="1" s="1"/>
  <c r="AH5" i="1"/>
  <c r="AT5" i="1" s="1"/>
  <c r="L5" i="1"/>
  <c r="W5" i="1" s="1"/>
  <c r="AT4" i="1"/>
  <c r="L4" i="1"/>
  <c r="W4" i="1" s="1"/>
  <c r="AH3" i="1"/>
  <c r="AT3" i="1" s="1"/>
  <c r="L3" i="1"/>
  <c r="W3" i="1" s="1"/>
  <c r="AT2" i="1"/>
  <c r="AP2" i="1" a="1"/>
  <c r="AP34" i="1" s="1"/>
  <c r="L2" i="1"/>
  <c r="W2" i="1" s="1"/>
  <c r="AP3" i="1" l="1"/>
  <c r="AP7" i="1"/>
  <c r="AP11" i="1"/>
  <c r="AP15" i="1"/>
  <c r="AP19" i="1"/>
  <c r="AP23" i="1"/>
  <c r="AP27" i="1"/>
  <c r="AP31" i="1"/>
  <c r="AP4" i="1"/>
  <c r="AP8" i="1"/>
  <c r="AP12" i="1"/>
  <c r="AP16" i="1"/>
  <c r="AP20" i="1"/>
  <c r="AP24" i="1"/>
  <c r="AP28" i="1"/>
  <c r="AP32" i="1"/>
  <c r="AP2" i="1"/>
  <c r="AP5" i="1"/>
  <c r="AP9" i="1"/>
  <c r="AP13" i="1"/>
  <c r="AP17" i="1"/>
  <c r="AP21" i="1"/>
  <c r="AP25" i="1"/>
  <c r="AP29" i="1"/>
  <c r="AP33" i="1"/>
  <c r="AP6" i="1"/>
  <c r="AP10" i="1"/>
  <c r="AP14" i="1"/>
  <c r="AP18" i="1"/>
  <c r="AP22" i="1"/>
  <c r="AP26" i="1"/>
  <c r="AP30" i="1"/>
</calcChain>
</file>

<file path=xl/sharedStrings.xml><?xml version="1.0" encoding="utf-8"?>
<sst xmlns="http://schemas.openxmlformats.org/spreadsheetml/2006/main" count="1924" uniqueCount="238">
  <si>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</si>
  <si>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</si>
  <si>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</si>
  <si>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</si>
  <si>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</si>
  <si>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</si>
  <si>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</si>
  <si>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</si>
  <si>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</si>
  <si>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</si>
  <si>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</si>
  <si>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</si>
  <si>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</si>
  <si>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</si>
  <si>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</si>
  <si>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</si>
  <si>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</si>
  <si>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</si>
  <si>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</si>
  <si>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</si>
  <si>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</si>
  <si>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</si>
  <si>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</si>
  <si>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</si>
  <si>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</si>
  <si>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</si>
  <si>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</si>
  <si>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</si>
  <si>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</si>
  <si>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</si>
  <si>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</si>
  <si>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</si>
  <si>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</si>
  <si>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</si>
  <si>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EmployeeID_1</t>
  </si>
  <si>
    <t>EmployeeID_2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</si>
  <si>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</si>
  <si>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</si>
  <si>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</si>
  <si>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</si>
  <si>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</si>
  <si>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</si>
  <si>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</si>
  <si>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</si>
  <si>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</si>
  <si>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</si>
  <si>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</si>
  <si>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</si>
  <si>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</si>
  <si>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</si>
  <si>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</si>
  <si>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</si>
  <si>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</si>
  <si>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</si>
  <si>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</si>
  <si>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</si>
  <si>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</si>
  <si>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</si>
  <si>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</si>
  <si>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</si>
  <si>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</si>
  <si>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</si>
  <si>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</si>
  <si>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</si>
  <si>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</si>
  <si>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</si>
  <si>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</si>
  <si>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</si>
  <si>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</si>
  <si>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</si>
  <si>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</si>
  <si>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Caitlyn</t>
  </si>
  <si>
    <t>Satterfield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</si>
  <si>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</si>
  <si>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</si>
  <si>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</si>
  <si>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</si>
  <si>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</si>
  <si>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</si>
  <si>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</si>
  <si>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</si>
  <si>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</si>
  <si>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</si>
  <si>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</si>
  <si>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</si>
  <si>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</si>
  <si>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</si>
  <si>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</si>
  <si>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</si>
  <si>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</si>
  <si>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</si>
  <si>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</si>
  <si>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</si>
  <si>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</si>
  <si>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</si>
  <si>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</si>
  <si>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</si>
  <si>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</si>
  <si>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</si>
  <si>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</si>
  <si>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</si>
  <si>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</si>
  <si>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</si>
  <si>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</si>
  <si>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</si>
  <si>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</si>
  <si>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</si>
  <si>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</si>
  <si>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</si>
  <si>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</si>
  <si>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</si>
  <si>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</si>
  <si>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</si>
  <si>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</si>
  <si>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</si>
  <si>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</si>
  <si>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(Pygaz Duzyby (10528834))</t>
  </si>
  <si>
    <t>Mme</t>
  </si>
  <si>
    <t>Jayme</t>
  </si>
  <si>
    <t>Carroll</t>
  </si>
  <si>
    <t>Auto 951763</t>
  </si>
  <si>
    <t>Fixed Term (Fixed Term) (Fixed Term (Fixed Term))</t>
  </si>
  <si>
    <t>Store Manager_NEW</t>
  </si>
  <si>
    <t>V2 - (Job Qualifications-Belgium)</t>
  </si>
  <si>
    <t>92 Retail</t>
  </si>
  <si>
    <t>Fixed Term (Fixed Term)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</si>
  <si>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</si>
  <si>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</si>
  <si>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</si>
  <si>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</si>
  <si>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</si>
  <si>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Test3</t>
  </si>
  <si>
    <t>Maye</t>
  </si>
  <si>
    <t>Bernhard</t>
  </si>
  <si>
    <t>Test4</t>
  </si>
  <si>
    <t>Osbaldo</t>
  </si>
  <si>
    <t>Fritsch</t>
  </si>
  <si>
    <t>Auto 20617933</t>
  </si>
  <si>
    <t>Test5</t>
  </si>
  <si>
    <t>Verna</t>
  </si>
  <si>
    <t>Goodwin</t>
  </si>
  <si>
    <t>Test6</t>
  </si>
  <si>
    <t>Vesta</t>
  </si>
  <si>
    <t>Emard</t>
  </si>
  <si>
    <t>Auto 96572850</t>
  </si>
  <si>
    <t>Einar</t>
  </si>
  <si>
    <t>Kaleigh</t>
  </si>
  <si>
    <t>Greenfelder</t>
  </si>
  <si>
    <t>BelgiumOne</t>
  </si>
  <si>
    <t>GlobalRegEightNov</t>
  </si>
  <si>
    <t>BelgiumTwo</t>
  </si>
  <si>
    <t>Auto 09112024 115659</t>
  </si>
  <si>
    <t>BelgiumThree</t>
  </si>
  <si>
    <t>In-Store P&amp;C Assistant_NEW</t>
  </si>
  <si>
    <t>Part time</t>
  </si>
  <si>
    <t>250 Human Resources Retail</t>
  </si>
  <si>
    <t>Variable | 20 | A20</t>
  </si>
  <si>
    <t>BelgiumFour</t>
  </si>
  <si>
    <t>Auto 09112024 123507</t>
  </si>
  <si>
    <t>Team Manager - Retail_NEW</t>
  </si>
  <si>
    <t>Belgium Retail - Team Manager</t>
  </si>
  <si>
    <t>Team Manager</t>
  </si>
  <si>
    <t>BelgiumFive</t>
  </si>
  <si>
    <t>Intern</t>
  </si>
  <si>
    <t>06 Menswear</t>
  </si>
  <si>
    <t>Variable | 30 | A30</t>
  </si>
  <si>
    <t>BelgiumSix</t>
  </si>
  <si>
    <t>Auto 09112024 131326</t>
  </si>
  <si>
    <t>Department Manager_NEW</t>
  </si>
  <si>
    <t>Belgium Retail - Dpt. Manager</t>
  </si>
  <si>
    <t>Department Manager</t>
  </si>
  <si>
    <t>BelgiumSeven</t>
  </si>
  <si>
    <t>Auto 09112024 133407</t>
  </si>
  <si>
    <t>Assistant Store Manager_NEW</t>
  </si>
  <si>
    <t>Belgium Retail - Assistant Manager</t>
  </si>
  <si>
    <t>Assistant Manager</t>
  </si>
  <si>
    <t>BelgiumEight</t>
  </si>
  <si>
    <t>Auto 09112024 135450</t>
  </si>
  <si>
    <t>Visual Merchandising Manager_NEW</t>
  </si>
  <si>
    <t>Belgium Retail - VM (entry / junior (after 3 months) / experienced)</t>
  </si>
  <si>
    <t>VM (Entry)</t>
  </si>
  <si>
    <t>BelgiumNine</t>
  </si>
  <si>
    <t>Students</t>
  </si>
  <si>
    <t>Retail Assistant Special Contracts_NEW</t>
  </si>
  <si>
    <t>Hourly</t>
  </si>
  <si>
    <t>260 Fitting Rooms</t>
  </si>
  <si>
    <t>Variable | 10 | A10</t>
  </si>
  <si>
    <t>BelgiumTen</t>
  </si>
  <si>
    <t>Retail Assistant Cash Office_NEW</t>
  </si>
  <si>
    <t>258 Cash Office</t>
  </si>
  <si>
    <t>Belgium Category III - Experience 10</t>
  </si>
  <si>
    <t>CAT III 3 Year Seniority</t>
  </si>
  <si>
    <t>BelgiumEleven</t>
  </si>
  <si>
    <t>Supervisor_NEW</t>
  </si>
  <si>
    <t>253 Supervisors</t>
  </si>
  <si>
    <t>Variable | 28 | A28</t>
  </si>
  <si>
    <t>BelgiumTweleve</t>
  </si>
  <si>
    <t>Visual Merchandiser_NEW</t>
  </si>
  <si>
    <t>256 Visual Merchandising</t>
  </si>
  <si>
    <t>Belgium Retail - Visual Merchandiser - Experience 1</t>
  </si>
  <si>
    <t>CAT III 1 Year Seniority</t>
  </si>
  <si>
    <t>BelgiumThirteen</t>
  </si>
  <si>
    <t>Supervisor Stockroom_NEW</t>
  </si>
  <si>
    <t>255 Stockroom</t>
  </si>
  <si>
    <t>Variable | 20 | A20/4</t>
  </si>
  <si>
    <t>BelgiumFourteen</t>
  </si>
  <si>
    <t>Belgium Retail - P&amp;C Assistant (entry, 1st increase, good experience)</t>
  </si>
  <si>
    <t>P&amp;C Assistant (entry)</t>
  </si>
  <si>
    <t>BelgiumFifteen</t>
  </si>
  <si>
    <t>Auto 09112024 155420</t>
  </si>
  <si>
    <t>In-Store P&amp;C Manager_NEW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</si>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</sst>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4" borderId="5" xfId="0" applyFill="1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4"/>
  <sheetViews>
    <sheetView tabSelected="1" zoomScaleNormal="100" workbookViewId="0">
      <selection activeCell="B4" sqref="B4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90625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15.453125" style="1" customWidth="1"/>
    <col min="65" max="66" width="11.08984375" style="1" customWidth="1"/>
    <col min="67" max="67" width="16.6328125" style="1" customWidth="1"/>
    <col min="68" max="68" width="18.08984375" style="1" customWidth="1"/>
    <col min="69" max="69" width="17.08984375" style="1" customWidth="1"/>
    <col min="70" max="70" width="16.54296875" style="1" customWidth="1"/>
  </cols>
  <sheetData>
    <row r="1" spans="1:70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39</v>
      </c>
      <c r="AR1" s="4" t="s">
        <v>40</v>
      </c>
      <c r="AS1" s="4" t="s">
        <v>41</v>
      </c>
      <c r="AT1" s="9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11" t="s">
        <v>66</v>
      </c>
    </row>
    <row r="2" spans="1:70" ht="15.65" customHeight="1" x14ac:dyDescent="0.35">
      <c r="A2" s="1" t="s">
        <v>67</v>
      </c>
      <c r="B2" s="12"/>
      <c r="C2" s="13"/>
      <c r="D2" s="14" t="s">
        <v>68</v>
      </c>
      <c r="E2" s="15" t="s">
        <v>69</v>
      </c>
      <c r="F2" s="16" t="s">
        <v>70</v>
      </c>
      <c r="G2" s="17" t="s">
        <v>71</v>
      </c>
      <c r="H2" s="18" t="s">
        <v>72</v>
      </c>
      <c r="I2" s="19">
        <v>25041111</v>
      </c>
      <c r="J2" s="19" t="s">
        <v>73</v>
      </c>
      <c r="K2" s="19" t="s">
        <v>74</v>
      </c>
      <c r="L2" s="20">
        <f t="shared" ref="L2:L19" ca="1" si="0">TODAY()-31</f>
        <v>45685</v>
      </c>
      <c r="M2" s="15" t="s">
        <v>69</v>
      </c>
      <c r="N2" s="21" t="s">
        <v>75</v>
      </c>
      <c r="O2" s="19">
        <v>38</v>
      </c>
      <c r="P2" s="19">
        <v>1000</v>
      </c>
      <c r="Q2" s="19" t="s">
        <v>76</v>
      </c>
      <c r="R2" s="19" t="s">
        <v>77</v>
      </c>
      <c r="S2" s="19" t="s">
        <v>74</v>
      </c>
      <c r="T2" s="22" t="s">
        <v>78</v>
      </c>
      <c r="U2" s="23" t="s">
        <v>79</v>
      </c>
      <c r="V2" s="19" t="s">
        <v>74</v>
      </c>
      <c r="W2" s="24">
        <f t="shared" ref="W2:W7" ca="1" si="1">L2</f>
        <v>45685</v>
      </c>
      <c r="X2" s="19" t="s">
        <v>80</v>
      </c>
      <c r="Y2" s="25" t="s">
        <v>81</v>
      </c>
      <c r="Z2" t="s">
        <v>82</v>
      </c>
      <c r="AA2" s="26" t="s">
        <v>83</v>
      </c>
      <c r="AB2" t="s">
        <v>84</v>
      </c>
      <c r="AC2" s="1" t="s">
        <v>85</v>
      </c>
      <c r="AD2" s="1" t="s">
        <v>54</v>
      </c>
      <c r="AE2" s="27">
        <v>35</v>
      </c>
      <c r="AF2" s="28" t="s">
        <v>86</v>
      </c>
      <c r="AG2" t="s">
        <v>87</v>
      </c>
      <c r="AH2" s="20" t="s">
        <v>88</v>
      </c>
      <c r="AI2" s="19" t="s">
        <v>89</v>
      </c>
      <c r="AJ2" s="19" t="s">
        <v>90</v>
      </c>
      <c r="AK2" t="s">
        <v>91</v>
      </c>
      <c r="AL2" s="19">
        <v>10527565</v>
      </c>
      <c r="AM2" s="19">
        <v>10527565</v>
      </c>
      <c r="AN2" s="29" t="s">
        <v>69</v>
      </c>
      <c r="AO2" s="29" t="s">
        <v>92</v>
      </c>
      <c r="AP2">
        <f t="array" aca="1" ref="AP2:AP34" ca="1">_xlfn.RANDARRAY(33,1,12345678901,99999999999,TRUE)</f>
        <v>58886027357</v>
      </c>
      <c r="AQ2" s="15" t="s">
        <v>93</v>
      </c>
      <c r="AR2" s="21" t="s">
        <v>94</v>
      </c>
      <c r="AS2" s="21" t="s">
        <v>95</v>
      </c>
      <c r="AT2" s="20" t="str">
        <f>AH2</f>
        <v>N/A</v>
      </c>
      <c r="AU2" t="s">
        <v>96</v>
      </c>
      <c r="AV2" s="30">
        <v>35591</v>
      </c>
      <c r="AW2" s="31" t="s">
        <v>69</v>
      </c>
      <c r="AX2" s="29" t="s">
        <v>77</v>
      </c>
      <c r="AY2" s="31" t="s">
        <v>76</v>
      </c>
      <c r="AZ2" s="31" t="s">
        <v>97</v>
      </c>
      <c r="BA2" s="32" t="s">
        <v>98</v>
      </c>
      <c r="BB2" s="31" t="s">
        <v>99</v>
      </c>
      <c r="BC2" s="31" t="s">
        <v>69</v>
      </c>
      <c r="BD2" t="s">
        <v>100</v>
      </c>
      <c r="BE2" t="s">
        <v>101</v>
      </c>
      <c r="BF2" s="15" t="s">
        <v>102</v>
      </c>
      <c r="BG2" s="29" t="s">
        <v>103</v>
      </c>
      <c r="BH2" s="33" t="s">
        <v>104</v>
      </c>
      <c r="BI2" s="29" t="s">
        <v>105</v>
      </c>
      <c r="BJ2" s="29" t="s">
        <v>106</v>
      </c>
      <c r="BK2" s="29" t="s">
        <v>107</v>
      </c>
      <c r="BL2" s="31" t="s">
        <v>108</v>
      </c>
      <c r="BM2" s="31" t="s">
        <v>109</v>
      </c>
      <c r="BN2" s="31" t="s">
        <v>110</v>
      </c>
      <c r="BO2" s="31" t="s">
        <v>111</v>
      </c>
      <c r="BP2" s="31" t="s">
        <v>112</v>
      </c>
      <c r="BQ2" s="19" t="s">
        <v>113</v>
      </c>
      <c r="BR2" s="34" t="s">
        <v>114</v>
      </c>
    </row>
    <row r="3" spans="1:70" ht="15.65" customHeight="1" x14ac:dyDescent="0.35">
      <c r="A3" s="1" t="s">
        <v>115</v>
      </c>
      <c r="C3" s="13"/>
      <c r="D3" s="14" t="s">
        <v>116</v>
      </c>
      <c r="E3" s="15" t="s">
        <v>69</v>
      </c>
      <c r="F3" s="16" t="s">
        <v>117</v>
      </c>
      <c r="G3" s="17" t="s">
        <v>118</v>
      </c>
      <c r="H3" s="18" t="s">
        <v>119</v>
      </c>
      <c r="I3" s="19">
        <v>25041111</v>
      </c>
      <c r="J3" s="19" t="s">
        <v>73</v>
      </c>
      <c r="K3" s="19" t="s">
        <v>74</v>
      </c>
      <c r="L3" s="20">
        <f t="shared" ca="1" si="0"/>
        <v>45685</v>
      </c>
      <c r="M3" s="15" t="s">
        <v>69</v>
      </c>
      <c r="N3" s="21" t="s">
        <v>75</v>
      </c>
      <c r="O3" s="19">
        <v>38</v>
      </c>
      <c r="P3" s="19">
        <v>1000</v>
      </c>
      <c r="Q3" s="19" t="s">
        <v>76</v>
      </c>
      <c r="R3" s="19" t="s">
        <v>77</v>
      </c>
      <c r="S3" s="19" t="s">
        <v>74</v>
      </c>
      <c r="T3" s="22" t="s">
        <v>78</v>
      </c>
      <c r="U3" s="23" t="s">
        <v>79</v>
      </c>
      <c r="V3" s="19" t="s">
        <v>74</v>
      </c>
      <c r="W3" s="24">
        <f t="shared" ca="1" si="1"/>
        <v>45685</v>
      </c>
      <c r="X3" s="19" t="s">
        <v>80</v>
      </c>
      <c r="Y3" s="25" t="s">
        <v>120</v>
      </c>
      <c r="Z3" t="s">
        <v>121</v>
      </c>
      <c r="AA3" s="26" t="s">
        <v>122</v>
      </c>
      <c r="AB3" t="s">
        <v>84</v>
      </c>
      <c r="AC3" s="1" t="s">
        <v>85</v>
      </c>
      <c r="AD3" s="1" t="s">
        <v>54</v>
      </c>
      <c r="AE3" s="27">
        <v>35</v>
      </c>
      <c r="AF3" s="15" t="s">
        <v>123</v>
      </c>
      <c r="AG3" t="s">
        <v>87</v>
      </c>
      <c r="AH3" s="20">
        <f ca="1">TODAY()+365</f>
        <v>46081</v>
      </c>
      <c r="AI3" s="19" t="s">
        <v>89</v>
      </c>
      <c r="AJ3" s="19" t="s">
        <v>124</v>
      </c>
      <c r="AK3" s="1">
        <v>251</v>
      </c>
      <c r="AL3" s="19">
        <v>10527565</v>
      </c>
      <c r="AM3" s="19">
        <v>8708905</v>
      </c>
      <c r="AN3" s="29" t="s">
        <v>69</v>
      </c>
      <c r="AO3" s="29" t="s">
        <v>92</v>
      </c>
      <c r="AP3">
        <f ca="1"/>
        <v>20077078540</v>
      </c>
      <c r="AQ3" s="15" t="s">
        <v>93</v>
      </c>
      <c r="AR3" s="21" t="s">
        <v>125</v>
      </c>
      <c r="AS3" s="21" t="s">
        <v>95</v>
      </c>
      <c r="AT3" s="20">
        <f ca="1">AH3</f>
        <v>46081</v>
      </c>
      <c r="AU3" t="s">
        <v>126</v>
      </c>
      <c r="AV3" s="30">
        <v>35591</v>
      </c>
      <c r="AW3" s="31" t="s">
        <v>69</v>
      </c>
      <c r="AX3" s="29" t="s">
        <v>77</v>
      </c>
      <c r="AY3" s="31" t="s">
        <v>76</v>
      </c>
      <c r="AZ3" s="31" t="s">
        <v>97</v>
      </c>
      <c r="BA3" s="32" t="s">
        <v>98</v>
      </c>
      <c r="BB3" s="31" t="s">
        <v>99</v>
      </c>
      <c r="BC3" s="31" t="s">
        <v>69</v>
      </c>
      <c r="BD3" s="35" t="s">
        <v>127</v>
      </c>
      <c r="BE3" t="s">
        <v>128</v>
      </c>
      <c r="BF3" s="15" t="s">
        <v>102</v>
      </c>
      <c r="BG3" s="29" t="s">
        <v>103</v>
      </c>
      <c r="BH3" s="33" t="s">
        <v>104</v>
      </c>
      <c r="BI3" s="29" t="s">
        <v>105</v>
      </c>
      <c r="BJ3" s="29" t="s">
        <v>106</v>
      </c>
      <c r="BK3" s="29" t="s">
        <v>107</v>
      </c>
      <c r="BL3" s="31" t="s">
        <v>129</v>
      </c>
      <c r="BM3" s="31" t="s">
        <v>130</v>
      </c>
      <c r="BN3" s="31" t="s">
        <v>110</v>
      </c>
      <c r="BO3" s="31" t="s">
        <v>111</v>
      </c>
      <c r="BP3" s="31" t="s">
        <v>112</v>
      </c>
      <c r="BQ3" s="19" t="s">
        <v>113</v>
      </c>
      <c r="BR3" s="34" t="s">
        <v>114</v>
      </c>
    </row>
    <row r="4" spans="1:70" ht="15.65" customHeight="1" x14ac:dyDescent="0.35">
      <c r="A4" s="1" t="s">
        <v>131</v>
      </c>
      <c r="C4" s="13"/>
      <c r="D4" s="14" t="s">
        <v>68</v>
      </c>
      <c r="E4" s="15" t="s">
        <v>69</v>
      </c>
      <c r="F4" s="16" t="s">
        <v>70</v>
      </c>
      <c r="G4" s="17" t="s">
        <v>132</v>
      </c>
      <c r="H4" s="18" t="s">
        <v>133</v>
      </c>
      <c r="I4" s="19">
        <v>25041111</v>
      </c>
      <c r="J4" s="19" t="s">
        <v>73</v>
      </c>
      <c r="K4" s="19" t="s">
        <v>74</v>
      </c>
      <c r="L4" s="20">
        <f t="shared" ca="1" si="0"/>
        <v>45685</v>
      </c>
      <c r="M4" s="15" t="s">
        <v>69</v>
      </c>
      <c r="N4" s="21" t="s">
        <v>75</v>
      </c>
      <c r="O4" s="19">
        <v>38</v>
      </c>
      <c r="P4" s="19">
        <v>1000</v>
      </c>
      <c r="Q4" s="19" t="s">
        <v>76</v>
      </c>
      <c r="R4" s="19" t="s">
        <v>77</v>
      </c>
      <c r="S4" s="19" t="s">
        <v>74</v>
      </c>
      <c r="T4" s="22" t="s">
        <v>78</v>
      </c>
      <c r="U4" s="23" t="s">
        <v>79</v>
      </c>
      <c r="V4" s="19" t="s">
        <v>74</v>
      </c>
      <c r="W4" s="24">
        <f t="shared" ca="1" si="1"/>
        <v>45685</v>
      </c>
      <c r="X4" s="19" t="s">
        <v>80</v>
      </c>
      <c r="Y4" s="25" t="s">
        <v>81</v>
      </c>
      <c r="Z4" t="s">
        <v>82</v>
      </c>
      <c r="AA4" s="26" t="s">
        <v>83</v>
      </c>
      <c r="AB4" t="s">
        <v>84</v>
      </c>
      <c r="AC4" s="1" t="s">
        <v>85</v>
      </c>
      <c r="AD4" s="1" t="s">
        <v>54</v>
      </c>
      <c r="AE4" s="27">
        <v>35</v>
      </c>
      <c r="AF4" s="28" t="s">
        <v>86</v>
      </c>
      <c r="AG4" t="s">
        <v>87</v>
      </c>
      <c r="AH4" s="20" t="s">
        <v>88</v>
      </c>
      <c r="AI4" s="19" t="s">
        <v>89</v>
      </c>
      <c r="AJ4" s="19" t="s">
        <v>90</v>
      </c>
      <c r="AK4" t="s">
        <v>91</v>
      </c>
      <c r="AL4" s="19">
        <v>10527565</v>
      </c>
      <c r="AM4" s="19">
        <v>10527565</v>
      </c>
      <c r="AN4" s="29" t="s">
        <v>69</v>
      </c>
      <c r="AO4" s="29" t="s">
        <v>92</v>
      </c>
      <c r="AP4">
        <f ca="1"/>
        <v>86721801201</v>
      </c>
      <c r="AQ4" s="15" t="s">
        <v>93</v>
      </c>
      <c r="AR4" s="21" t="s">
        <v>94</v>
      </c>
      <c r="AS4" s="21" t="s">
        <v>95</v>
      </c>
      <c r="AT4" s="20" t="str">
        <f>AH4</f>
        <v>N/A</v>
      </c>
      <c r="AU4" t="s">
        <v>96</v>
      </c>
      <c r="AV4" s="30">
        <v>35591</v>
      </c>
      <c r="AW4" s="31" t="s">
        <v>69</v>
      </c>
      <c r="AX4" s="29" t="s">
        <v>77</v>
      </c>
      <c r="AY4" s="31" t="s">
        <v>76</v>
      </c>
      <c r="AZ4" s="31" t="s">
        <v>97</v>
      </c>
      <c r="BA4" s="32" t="s">
        <v>98</v>
      </c>
      <c r="BB4" s="31" t="s">
        <v>99</v>
      </c>
      <c r="BC4" s="31" t="s">
        <v>69</v>
      </c>
      <c r="BD4" t="s">
        <v>100</v>
      </c>
      <c r="BE4" t="s">
        <v>101</v>
      </c>
      <c r="BF4" s="15" t="s">
        <v>102</v>
      </c>
      <c r="BG4" s="29" t="s">
        <v>103</v>
      </c>
      <c r="BH4" s="33" t="s">
        <v>104</v>
      </c>
      <c r="BI4" s="29" t="s">
        <v>105</v>
      </c>
      <c r="BJ4" s="29" t="s">
        <v>106</v>
      </c>
      <c r="BK4" s="29" t="s">
        <v>107</v>
      </c>
      <c r="BL4" s="31" t="s">
        <v>108</v>
      </c>
      <c r="BM4" s="31" t="s">
        <v>109</v>
      </c>
      <c r="BN4" s="31" t="s">
        <v>110</v>
      </c>
      <c r="BO4" s="31" t="s">
        <v>111</v>
      </c>
      <c r="BP4" s="31" t="s">
        <v>112</v>
      </c>
      <c r="BQ4" s="19" t="s">
        <v>113</v>
      </c>
      <c r="BR4" s="34" t="s">
        <v>114</v>
      </c>
    </row>
    <row r="5" spans="1:70" ht="15.65" customHeight="1" x14ac:dyDescent="0.35">
      <c r="A5" s="1" t="s">
        <v>134</v>
      </c>
      <c r="C5" s="13"/>
      <c r="D5" s="14" t="s">
        <v>116</v>
      </c>
      <c r="E5" s="15" t="s">
        <v>69</v>
      </c>
      <c r="F5" s="16" t="s">
        <v>117</v>
      </c>
      <c r="G5" s="17" t="s">
        <v>135</v>
      </c>
      <c r="H5" s="18" t="s">
        <v>136</v>
      </c>
      <c r="I5" s="19">
        <v>25041111</v>
      </c>
      <c r="J5" s="19" t="s">
        <v>73</v>
      </c>
      <c r="K5" s="19" t="s">
        <v>74</v>
      </c>
      <c r="L5" s="20">
        <f t="shared" ca="1" si="0"/>
        <v>45685</v>
      </c>
      <c r="M5" s="15" t="s">
        <v>69</v>
      </c>
      <c r="N5" s="21" t="s">
        <v>75</v>
      </c>
      <c r="O5" s="19">
        <v>38</v>
      </c>
      <c r="P5" s="19">
        <v>1000</v>
      </c>
      <c r="Q5" s="19" t="s">
        <v>76</v>
      </c>
      <c r="R5" s="19" t="s">
        <v>77</v>
      </c>
      <c r="S5" s="19" t="s">
        <v>74</v>
      </c>
      <c r="T5" s="22" t="s">
        <v>78</v>
      </c>
      <c r="U5" s="23" t="s">
        <v>79</v>
      </c>
      <c r="V5" s="19" t="s">
        <v>74</v>
      </c>
      <c r="W5" s="24">
        <f t="shared" ca="1" si="1"/>
        <v>45685</v>
      </c>
      <c r="X5" s="19" t="s">
        <v>80</v>
      </c>
      <c r="Y5" s="25" t="s">
        <v>137</v>
      </c>
      <c r="Z5" t="s">
        <v>121</v>
      </c>
      <c r="AA5" s="26" t="s">
        <v>122</v>
      </c>
      <c r="AB5" t="s">
        <v>84</v>
      </c>
      <c r="AC5" s="1" t="s">
        <v>85</v>
      </c>
      <c r="AD5" s="1" t="s">
        <v>54</v>
      </c>
      <c r="AE5" s="27">
        <v>35</v>
      </c>
      <c r="AF5" s="15" t="s">
        <v>123</v>
      </c>
      <c r="AG5" t="s">
        <v>87</v>
      </c>
      <c r="AH5" s="20">
        <f ca="1">TODAY()+365</f>
        <v>46081</v>
      </c>
      <c r="AI5" s="19" t="s">
        <v>89</v>
      </c>
      <c r="AJ5" s="19" t="s">
        <v>124</v>
      </c>
      <c r="AK5" s="1">
        <v>251</v>
      </c>
      <c r="AL5" s="19">
        <v>10527565</v>
      </c>
      <c r="AM5" s="19">
        <v>8708905</v>
      </c>
      <c r="AN5" s="29" t="s">
        <v>69</v>
      </c>
      <c r="AO5" s="29" t="s">
        <v>92</v>
      </c>
      <c r="AP5">
        <f ca="1"/>
        <v>92961866947</v>
      </c>
      <c r="AQ5" s="15" t="s">
        <v>93</v>
      </c>
      <c r="AR5" s="21" t="s">
        <v>125</v>
      </c>
      <c r="AS5" s="21" t="s">
        <v>95</v>
      </c>
      <c r="AT5" s="20">
        <f ca="1">AH5</f>
        <v>46081</v>
      </c>
      <c r="AU5" t="s">
        <v>126</v>
      </c>
      <c r="AV5" s="30">
        <v>35591</v>
      </c>
      <c r="AW5" s="31" t="s">
        <v>69</v>
      </c>
      <c r="AX5" s="29" t="s">
        <v>77</v>
      </c>
      <c r="AY5" s="31" t="s">
        <v>76</v>
      </c>
      <c r="AZ5" s="31" t="s">
        <v>97</v>
      </c>
      <c r="BA5" s="32" t="s">
        <v>98</v>
      </c>
      <c r="BB5" s="31" t="s">
        <v>99</v>
      </c>
      <c r="BC5" s="31" t="s">
        <v>69</v>
      </c>
      <c r="BD5" s="35" t="s">
        <v>127</v>
      </c>
      <c r="BE5" t="s">
        <v>128</v>
      </c>
      <c r="BF5" s="15" t="s">
        <v>102</v>
      </c>
      <c r="BG5" s="29" t="s">
        <v>103</v>
      </c>
      <c r="BH5" s="33" t="s">
        <v>104</v>
      </c>
      <c r="BI5" s="29" t="s">
        <v>105</v>
      </c>
      <c r="BJ5" s="29" t="s">
        <v>106</v>
      </c>
      <c r="BK5" s="29" t="s">
        <v>107</v>
      </c>
      <c r="BL5" s="31" t="s">
        <v>129</v>
      </c>
      <c r="BM5" s="31" t="s">
        <v>130</v>
      </c>
      <c r="BN5" s="31" t="s">
        <v>110</v>
      </c>
      <c r="BO5" s="31" t="s">
        <v>111</v>
      </c>
      <c r="BP5" s="31" t="s">
        <v>112</v>
      </c>
      <c r="BQ5" s="19" t="s">
        <v>113</v>
      </c>
      <c r="BR5" s="34" t="s">
        <v>114</v>
      </c>
    </row>
    <row r="6" spans="1:70" ht="15.65" customHeight="1" x14ac:dyDescent="0.35">
      <c r="A6" s="1" t="s">
        <v>138</v>
      </c>
      <c r="C6" s="13"/>
      <c r="D6" s="14" t="s">
        <v>68</v>
      </c>
      <c r="E6" s="15" t="s">
        <v>69</v>
      </c>
      <c r="F6" s="16" t="s">
        <v>70</v>
      </c>
      <c r="G6" s="17" t="s">
        <v>139</v>
      </c>
      <c r="H6" s="18" t="s">
        <v>140</v>
      </c>
      <c r="I6" s="19">
        <v>25041111</v>
      </c>
      <c r="J6" s="19" t="s">
        <v>73</v>
      </c>
      <c r="K6" s="19" t="s">
        <v>74</v>
      </c>
      <c r="L6" s="20">
        <f t="shared" ca="1" si="0"/>
        <v>45685</v>
      </c>
      <c r="M6" s="15" t="s">
        <v>69</v>
      </c>
      <c r="N6" s="21" t="s">
        <v>75</v>
      </c>
      <c r="O6" s="19">
        <v>38</v>
      </c>
      <c r="P6" s="19">
        <v>1000</v>
      </c>
      <c r="Q6" s="19" t="s">
        <v>76</v>
      </c>
      <c r="R6" s="19" t="s">
        <v>77</v>
      </c>
      <c r="S6" s="19" t="s">
        <v>74</v>
      </c>
      <c r="T6" s="22" t="s">
        <v>78</v>
      </c>
      <c r="U6" s="23" t="s">
        <v>79</v>
      </c>
      <c r="V6" s="19" t="s">
        <v>74</v>
      </c>
      <c r="W6" s="24">
        <f t="shared" ca="1" si="1"/>
        <v>45685</v>
      </c>
      <c r="X6" s="19" t="s">
        <v>80</v>
      </c>
      <c r="Y6" s="25" t="s">
        <v>81</v>
      </c>
      <c r="Z6" t="s">
        <v>82</v>
      </c>
      <c r="AA6" s="26" t="s">
        <v>83</v>
      </c>
      <c r="AB6" t="s">
        <v>84</v>
      </c>
      <c r="AC6" s="1" t="s">
        <v>85</v>
      </c>
      <c r="AD6" s="1" t="s">
        <v>54</v>
      </c>
      <c r="AE6" s="27">
        <v>35</v>
      </c>
      <c r="AF6" s="28" t="s">
        <v>86</v>
      </c>
      <c r="AG6" t="s">
        <v>87</v>
      </c>
      <c r="AH6" s="20" t="s">
        <v>88</v>
      </c>
      <c r="AI6" s="19" t="s">
        <v>89</v>
      </c>
      <c r="AJ6" s="19" t="s">
        <v>90</v>
      </c>
      <c r="AK6" t="s">
        <v>91</v>
      </c>
      <c r="AL6" s="19">
        <v>10527565</v>
      </c>
      <c r="AM6" s="19">
        <v>10527565</v>
      </c>
      <c r="AN6" s="29" t="s">
        <v>69</v>
      </c>
      <c r="AO6" s="29" t="s">
        <v>92</v>
      </c>
      <c r="AP6">
        <f ca="1"/>
        <v>72024124619</v>
      </c>
      <c r="AQ6" s="15" t="s">
        <v>93</v>
      </c>
      <c r="AR6" s="21" t="s">
        <v>94</v>
      </c>
      <c r="AS6" s="21" t="s">
        <v>95</v>
      </c>
      <c r="AT6" s="20" t="s">
        <v>88</v>
      </c>
      <c r="AU6" t="s">
        <v>96</v>
      </c>
      <c r="AV6" s="30">
        <v>35591</v>
      </c>
      <c r="AW6" s="31" t="s">
        <v>69</v>
      </c>
      <c r="AX6" s="29" t="s">
        <v>77</v>
      </c>
      <c r="AY6" s="31" t="s">
        <v>76</v>
      </c>
      <c r="AZ6" s="31" t="s">
        <v>97</v>
      </c>
      <c r="BA6" s="32" t="s">
        <v>98</v>
      </c>
      <c r="BB6" s="31" t="s">
        <v>99</v>
      </c>
      <c r="BC6" s="31" t="s">
        <v>69</v>
      </c>
      <c r="BD6" t="s">
        <v>100</v>
      </c>
      <c r="BE6" t="s">
        <v>101</v>
      </c>
      <c r="BF6" s="15" t="s">
        <v>102</v>
      </c>
      <c r="BG6" s="29" t="s">
        <v>103</v>
      </c>
      <c r="BH6" s="33" t="s">
        <v>104</v>
      </c>
      <c r="BI6" s="29" t="s">
        <v>105</v>
      </c>
      <c r="BJ6" s="29" t="s">
        <v>106</v>
      </c>
      <c r="BK6" s="29" t="s">
        <v>107</v>
      </c>
      <c r="BL6" s="31" t="s">
        <v>108</v>
      </c>
      <c r="BM6" s="31" t="s">
        <v>109</v>
      </c>
      <c r="BN6" s="31" t="s">
        <v>110</v>
      </c>
      <c r="BO6" s="31" t="s">
        <v>111</v>
      </c>
      <c r="BP6" s="31" t="s">
        <v>112</v>
      </c>
      <c r="BQ6" s="19" t="s">
        <v>113</v>
      </c>
      <c r="BR6" s="34" t="s">
        <v>114</v>
      </c>
    </row>
    <row r="7" spans="1:70" ht="15.65" customHeight="1" x14ac:dyDescent="0.35">
      <c r="A7" s="1" t="s">
        <v>141</v>
      </c>
      <c r="C7" s="13"/>
      <c r="D7" s="14" t="s">
        <v>116</v>
      </c>
      <c r="E7" s="15" t="s">
        <v>69</v>
      </c>
      <c r="F7" s="16" t="s">
        <v>117</v>
      </c>
      <c r="G7" s="17" t="s">
        <v>142</v>
      </c>
      <c r="H7" s="18" t="s">
        <v>143</v>
      </c>
      <c r="I7" s="19">
        <v>25041111</v>
      </c>
      <c r="J7" s="19" t="s">
        <v>73</v>
      </c>
      <c r="K7" s="19" t="s">
        <v>74</v>
      </c>
      <c r="L7" s="20">
        <f t="shared" ca="1" si="0"/>
        <v>45685</v>
      </c>
      <c r="M7" s="15" t="s">
        <v>69</v>
      </c>
      <c r="N7" s="21" t="s">
        <v>75</v>
      </c>
      <c r="O7" s="19">
        <v>38</v>
      </c>
      <c r="P7" s="19">
        <v>1000</v>
      </c>
      <c r="Q7" s="19" t="s">
        <v>76</v>
      </c>
      <c r="R7" s="19" t="s">
        <v>77</v>
      </c>
      <c r="S7" s="19" t="s">
        <v>74</v>
      </c>
      <c r="T7" s="22" t="s">
        <v>78</v>
      </c>
      <c r="U7" s="23" t="s">
        <v>79</v>
      </c>
      <c r="V7" s="19" t="s">
        <v>74</v>
      </c>
      <c r="W7" s="24">
        <f t="shared" ca="1" si="1"/>
        <v>45685</v>
      </c>
      <c r="X7" s="19" t="s">
        <v>80</v>
      </c>
      <c r="Y7" s="25" t="s">
        <v>144</v>
      </c>
      <c r="Z7" t="s">
        <v>121</v>
      </c>
      <c r="AA7" s="26" t="s">
        <v>122</v>
      </c>
      <c r="AB7" t="s">
        <v>84</v>
      </c>
      <c r="AC7" s="1" t="s">
        <v>85</v>
      </c>
      <c r="AD7" s="1" t="s">
        <v>54</v>
      </c>
      <c r="AE7" s="27">
        <v>35</v>
      </c>
      <c r="AF7" s="15" t="s">
        <v>123</v>
      </c>
      <c r="AG7" t="s">
        <v>87</v>
      </c>
      <c r="AH7" s="20">
        <f ca="1">TODAY()+365</f>
        <v>46081</v>
      </c>
      <c r="AI7" s="19" t="s">
        <v>89</v>
      </c>
      <c r="AJ7" s="19" t="s">
        <v>124</v>
      </c>
      <c r="AK7" s="1">
        <v>251</v>
      </c>
      <c r="AL7" s="19">
        <v>10527565</v>
      </c>
      <c r="AM7" s="19">
        <v>8708905</v>
      </c>
      <c r="AN7" s="29" t="s">
        <v>69</v>
      </c>
      <c r="AO7" s="29" t="s">
        <v>92</v>
      </c>
      <c r="AP7">
        <f ca="1"/>
        <v>93780030582</v>
      </c>
      <c r="AQ7" s="15" t="s">
        <v>93</v>
      </c>
      <c r="AR7" s="21" t="s">
        <v>125</v>
      </c>
      <c r="AS7" s="21" t="s">
        <v>95</v>
      </c>
      <c r="AT7" s="20">
        <f ca="1">AH7</f>
        <v>46081</v>
      </c>
      <c r="AU7" t="s">
        <v>126</v>
      </c>
      <c r="AV7" s="30">
        <v>35591</v>
      </c>
      <c r="AW7" s="31" t="s">
        <v>69</v>
      </c>
      <c r="AX7" s="29" t="s">
        <v>77</v>
      </c>
      <c r="AY7" s="31" t="s">
        <v>76</v>
      </c>
      <c r="AZ7" s="31" t="s">
        <v>97</v>
      </c>
      <c r="BA7" s="32" t="s">
        <v>98</v>
      </c>
      <c r="BB7" s="31" t="s">
        <v>99</v>
      </c>
      <c r="BC7" s="31" t="s">
        <v>69</v>
      </c>
      <c r="BD7" s="35" t="s">
        <v>127</v>
      </c>
      <c r="BE7" t="s">
        <v>128</v>
      </c>
      <c r="BF7" s="15" t="s">
        <v>102</v>
      </c>
      <c r="BG7" s="29" t="s">
        <v>103</v>
      </c>
      <c r="BH7" s="33" t="s">
        <v>104</v>
      </c>
      <c r="BI7" s="29" t="s">
        <v>105</v>
      </c>
      <c r="BJ7" s="29" t="s">
        <v>106</v>
      </c>
      <c r="BK7" s="29" t="s">
        <v>107</v>
      </c>
      <c r="BL7" s="31" t="s">
        <v>129</v>
      </c>
      <c r="BM7" s="31" t="s">
        <v>130</v>
      </c>
      <c r="BN7" s="31" t="s">
        <v>110</v>
      </c>
      <c r="BO7" s="31" t="s">
        <v>111</v>
      </c>
      <c r="BP7" s="31" t="s">
        <v>112</v>
      </c>
      <c r="BQ7" s="19" t="s">
        <v>113</v>
      </c>
      <c r="BR7" s="34" t="s">
        <v>114</v>
      </c>
    </row>
    <row r="8" spans="1:70" ht="15.65" customHeight="1" x14ac:dyDescent="0.35">
      <c r="A8" s="1" t="s">
        <v>211</v>
      </c>
      <c r="D8" s="14" t="s">
        <v>68</v>
      </c>
      <c r="E8" s="15" t="s">
        <v>69</v>
      </c>
      <c r="F8" s="16" t="s">
        <v>70</v>
      </c>
      <c r="G8" s="17" t="s">
        <v>145</v>
      </c>
      <c r="H8" s="18" t="s">
        <v>109</v>
      </c>
      <c r="I8" s="19">
        <v>25041111</v>
      </c>
      <c r="J8" s="19" t="s">
        <v>73</v>
      </c>
      <c r="K8" s="19" t="s">
        <v>74</v>
      </c>
      <c r="L8" s="20">
        <f t="shared" ca="1" si="0"/>
        <v>45685</v>
      </c>
      <c r="M8" s="15" t="s">
        <v>69</v>
      </c>
      <c r="N8" s="21" t="s">
        <v>75</v>
      </c>
      <c r="O8" s="19">
        <v>38</v>
      </c>
      <c r="P8" s="19">
        <v>1000</v>
      </c>
      <c r="Q8" s="19" t="s">
        <v>76</v>
      </c>
      <c r="R8" s="19" t="s">
        <v>77</v>
      </c>
      <c r="S8" s="19" t="s">
        <v>74</v>
      </c>
      <c r="T8" s="22" t="s">
        <v>78</v>
      </c>
      <c r="U8" s="23" t="s">
        <v>79</v>
      </c>
      <c r="V8" s="19" t="s">
        <v>74</v>
      </c>
      <c r="W8" s="24">
        <f t="shared" ref="W8:W19" ca="1" si="2">L8</f>
        <v>45685</v>
      </c>
      <c r="X8" s="19" t="s">
        <v>80</v>
      </c>
      <c r="Y8" s="25" t="s">
        <v>81</v>
      </c>
      <c r="Z8" t="s">
        <v>82</v>
      </c>
      <c r="AA8" s="26" t="s">
        <v>83</v>
      </c>
      <c r="AB8" t="s">
        <v>84</v>
      </c>
      <c r="AC8" s="1" t="s">
        <v>85</v>
      </c>
      <c r="AD8" s="1" t="s">
        <v>54</v>
      </c>
      <c r="AE8" s="27">
        <v>35</v>
      </c>
      <c r="AF8" s="28" t="s">
        <v>86</v>
      </c>
      <c r="AG8" t="s">
        <v>87</v>
      </c>
      <c r="AH8" s="20" t="s">
        <v>88</v>
      </c>
      <c r="AI8" s="19" t="s">
        <v>89</v>
      </c>
      <c r="AJ8" s="19" t="s">
        <v>90</v>
      </c>
      <c r="AK8" t="s">
        <v>91</v>
      </c>
      <c r="AL8" s="19">
        <v>10527565</v>
      </c>
      <c r="AM8" s="19">
        <v>10527565</v>
      </c>
      <c r="AN8" s="29" t="s">
        <v>69</v>
      </c>
      <c r="AO8" s="29" t="s">
        <v>92</v>
      </c>
      <c r="AP8">
        <f ca="1"/>
        <v>16611666371</v>
      </c>
      <c r="AQ8" s="15" t="s">
        <v>93</v>
      </c>
      <c r="AR8" s="21" t="s">
        <v>94</v>
      </c>
      <c r="AS8" s="21" t="s">
        <v>95</v>
      </c>
      <c r="AT8" s="20" t="str">
        <f>AH8</f>
        <v>N/A</v>
      </c>
      <c r="AU8" t="s">
        <v>96</v>
      </c>
      <c r="AV8" s="30">
        <v>35591</v>
      </c>
      <c r="AW8" s="31" t="s">
        <v>69</v>
      </c>
      <c r="AX8" s="29" t="s">
        <v>77</v>
      </c>
      <c r="AY8" s="31" t="s">
        <v>76</v>
      </c>
      <c r="AZ8" s="31" t="s">
        <v>97</v>
      </c>
      <c r="BA8" s="32" t="s">
        <v>98</v>
      </c>
      <c r="BB8" s="31" t="s">
        <v>99</v>
      </c>
      <c r="BC8" s="31" t="s">
        <v>69</v>
      </c>
      <c r="BD8" t="s">
        <v>100</v>
      </c>
      <c r="BE8" t="s">
        <v>101</v>
      </c>
      <c r="BF8" s="15" t="s">
        <v>102</v>
      </c>
      <c r="BG8" s="29" t="s">
        <v>103</v>
      </c>
      <c r="BH8" s="33" t="s">
        <v>104</v>
      </c>
      <c r="BI8" s="29" t="s">
        <v>105</v>
      </c>
      <c r="BJ8" s="29" t="s">
        <v>106</v>
      </c>
      <c r="BK8" s="29" t="s">
        <v>107</v>
      </c>
      <c r="BL8" s="31" t="s">
        <v>108</v>
      </c>
      <c r="BM8" s="31" t="s">
        <v>109</v>
      </c>
      <c r="BN8" s="31" t="s">
        <v>110</v>
      </c>
      <c r="BO8" s="31" t="s">
        <v>111</v>
      </c>
      <c r="BP8" s="31" t="s">
        <v>112</v>
      </c>
      <c r="BQ8" s="19" t="s">
        <v>113</v>
      </c>
      <c r="BR8" s="34" t="s">
        <v>114</v>
      </c>
    </row>
    <row r="9" spans="1:70" ht="15.65" customHeight="1" x14ac:dyDescent="0.35">
      <c r="A9" s="1" t="s">
        <v>212</v>
      </c>
      <c r="D9" s="14" t="s">
        <v>116</v>
      </c>
      <c r="E9" s="15" t="s">
        <v>69</v>
      </c>
      <c r="F9" s="16" t="s">
        <v>117</v>
      </c>
      <c r="G9" s="17" t="s">
        <v>146</v>
      </c>
      <c r="H9" s="18" t="s">
        <v>147</v>
      </c>
      <c r="I9" s="19">
        <v>25041111</v>
      </c>
      <c r="J9" s="19" t="s">
        <v>73</v>
      </c>
      <c r="K9" s="19" t="s">
        <v>74</v>
      </c>
      <c r="L9" s="20">
        <f t="shared" ca="1" si="0"/>
        <v>45685</v>
      </c>
      <c r="M9" s="15" t="s">
        <v>69</v>
      </c>
      <c r="N9" s="21" t="s">
        <v>75</v>
      </c>
      <c r="O9" s="19">
        <v>38</v>
      </c>
      <c r="P9" s="19">
        <v>1000</v>
      </c>
      <c r="Q9" s="19" t="s">
        <v>76</v>
      </c>
      <c r="R9" s="19" t="s">
        <v>77</v>
      </c>
      <c r="S9" s="19" t="s">
        <v>74</v>
      </c>
      <c r="T9" s="22" t="s">
        <v>78</v>
      </c>
      <c r="U9" s="23" t="s">
        <v>79</v>
      </c>
      <c r="V9" s="19" t="s">
        <v>74</v>
      </c>
      <c r="W9" s="24">
        <f t="shared" ca="1" si="2"/>
        <v>45685</v>
      </c>
      <c r="X9" s="19" t="s">
        <v>80</v>
      </c>
      <c r="Y9" s="25" t="s">
        <v>120</v>
      </c>
      <c r="Z9" t="s">
        <v>121</v>
      </c>
      <c r="AA9" s="26" t="s">
        <v>122</v>
      </c>
      <c r="AB9" t="s">
        <v>84</v>
      </c>
      <c r="AC9" s="1" t="s">
        <v>85</v>
      </c>
      <c r="AD9" s="1" t="s">
        <v>54</v>
      </c>
      <c r="AE9" s="27">
        <v>35</v>
      </c>
      <c r="AF9" s="15" t="s">
        <v>123</v>
      </c>
      <c r="AG9" t="s">
        <v>87</v>
      </c>
      <c r="AH9" s="20">
        <f ca="1">TODAY()+365</f>
        <v>46081</v>
      </c>
      <c r="AI9" s="19" t="s">
        <v>89</v>
      </c>
      <c r="AJ9" s="19" t="s">
        <v>124</v>
      </c>
      <c r="AK9" s="1">
        <v>251</v>
      </c>
      <c r="AL9" s="19">
        <v>10527565</v>
      </c>
      <c r="AM9" s="19">
        <v>8708905</v>
      </c>
      <c r="AN9" s="29" t="s">
        <v>69</v>
      </c>
      <c r="AO9" s="29" t="s">
        <v>92</v>
      </c>
      <c r="AP9">
        <f ca="1"/>
        <v>26666088534</v>
      </c>
      <c r="AQ9" s="15" t="s">
        <v>93</v>
      </c>
      <c r="AR9" s="21" t="s">
        <v>125</v>
      </c>
      <c r="AS9" s="21" t="s">
        <v>95</v>
      </c>
      <c r="AT9" s="20">
        <f ca="1">AH9</f>
        <v>46081</v>
      </c>
      <c r="AU9" t="s">
        <v>126</v>
      </c>
      <c r="AV9" s="30">
        <v>35591</v>
      </c>
      <c r="AW9" s="31" t="s">
        <v>69</v>
      </c>
      <c r="AX9" s="29" t="s">
        <v>77</v>
      </c>
      <c r="AY9" s="31" t="s">
        <v>76</v>
      </c>
      <c r="AZ9" s="31" t="s">
        <v>97</v>
      </c>
      <c r="BA9" s="32" t="s">
        <v>98</v>
      </c>
      <c r="BB9" s="31" t="s">
        <v>99</v>
      </c>
      <c r="BC9" s="31" t="s">
        <v>69</v>
      </c>
      <c r="BD9" s="35" t="s">
        <v>127</v>
      </c>
      <c r="BE9" t="s">
        <v>128</v>
      </c>
      <c r="BF9" s="15" t="s">
        <v>102</v>
      </c>
      <c r="BG9" s="29" t="s">
        <v>103</v>
      </c>
      <c r="BH9" s="33" t="s">
        <v>104</v>
      </c>
      <c r="BI9" s="29" t="s">
        <v>105</v>
      </c>
      <c r="BJ9" s="29" t="s">
        <v>106</v>
      </c>
      <c r="BK9" s="29" t="s">
        <v>107</v>
      </c>
      <c r="BL9" s="31" t="s">
        <v>129</v>
      </c>
      <c r="BM9" s="31" t="s">
        <v>130</v>
      </c>
      <c r="BN9" s="31" t="s">
        <v>110</v>
      </c>
      <c r="BO9" s="31" t="s">
        <v>111</v>
      </c>
      <c r="BP9" s="31" t="s">
        <v>112</v>
      </c>
      <c r="BQ9" s="19" t="s">
        <v>113</v>
      </c>
      <c r="BR9" s="34" t="s">
        <v>114</v>
      </c>
    </row>
    <row r="10" spans="1:70" ht="15.65" customHeight="1" x14ac:dyDescent="0.35">
      <c r="A10" s="1" t="s">
        <v>213</v>
      </c>
      <c r="D10" s="14" t="s">
        <v>68</v>
      </c>
      <c r="E10" s="15" t="s">
        <v>69</v>
      </c>
      <c r="F10" s="16" t="s">
        <v>70</v>
      </c>
      <c r="G10" s="17" t="s">
        <v>132</v>
      </c>
      <c r="H10" s="18" t="s">
        <v>133</v>
      </c>
      <c r="I10" s="19">
        <v>25041111</v>
      </c>
      <c r="J10" s="19" t="s">
        <v>73</v>
      </c>
      <c r="K10" s="19" t="s">
        <v>74</v>
      </c>
      <c r="L10" s="20">
        <f t="shared" ca="1" si="0"/>
        <v>45685</v>
      </c>
      <c r="M10" s="15" t="s">
        <v>69</v>
      </c>
      <c r="N10" s="21" t="s">
        <v>75</v>
      </c>
      <c r="O10" s="19">
        <v>38</v>
      </c>
      <c r="P10" s="19">
        <v>1000</v>
      </c>
      <c r="Q10" s="19" t="s">
        <v>76</v>
      </c>
      <c r="R10" s="19" t="s">
        <v>77</v>
      </c>
      <c r="S10" s="19" t="s">
        <v>74</v>
      </c>
      <c r="T10" s="22" t="s">
        <v>78</v>
      </c>
      <c r="U10" s="23" t="s">
        <v>79</v>
      </c>
      <c r="V10" s="19" t="s">
        <v>74</v>
      </c>
      <c r="W10" s="24">
        <f t="shared" ca="1" si="2"/>
        <v>45685</v>
      </c>
      <c r="X10" s="19" t="s">
        <v>80</v>
      </c>
      <c r="Y10" s="25" t="s">
        <v>81</v>
      </c>
      <c r="Z10" t="s">
        <v>82</v>
      </c>
      <c r="AA10" s="26" t="s">
        <v>83</v>
      </c>
      <c r="AB10" t="s">
        <v>84</v>
      </c>
      <c r="AC10" s="1" t="s">
        <v>85</v>
      </c>
      <c r="AD10" s="1" t="s">
        <v>54</v>
      </c>
      <c r="AE10" s="27">
        <v>35</v>
      </c>
      <c r="AF10" s="28" t="s">
        <v>86</v>
      </c>
      <c r="AG10" t="s">
        <v>87</v>
      </c>
      <c r="AH10" s="20" t="s">
        <v>88</v>
      </c>
      <c r="AI10" s="19" t="s">
        <v>89</v>
      </c>
      <c r="AJ10" s="19" t="s">
        <v>90</v>
      </c>
      <c r="AK10" t="s">
        <v>91</v>
      </c>
      <c r="AL10" s="19">
        <v>10527565</v>
      </c>
      <c r="AM10" s="19">
        <v>10527565</v>
      </c>
      <c r="AN10" s="29" t="s">
        <v>69</v>
      </c>
      <c r="AO10" s="29" t="s">
        <v>92</v>
      </c>
      <c r="AP10">
        <f ca="1"/>
        <v>92696367058</v>
      </c>
      <c r="AQ10" s="15" t="s">
        <v>93</v>
      </c>
      <c r="AR10" s="21" t="s">
        <v>94</v>
      </c>
      <c r="AS10" s="21" t="s">
        <v>95</v>
      </c>
      <c r="AT10" s="20" t="str">
        <f>AH10</f>
        <v>N/A</v>
      </c>
      <c r="AU10" t="s">
        <v>96</v>
      </c>
      <c r="AV10" s="30">
        <v>35591</v>
      </c>
      <c r="AW10" s="31" t="s">
        <v>69</v>
      </c>
      <c r="AX10" s="29" t="s">
        <v>77</v>
      </c>
      <c r="AY10" s="31" t="s">
        <v>76</v>
      </c>
      <c r="AZ10" s="31" t="s">
        <v>97</v>
      </c>
      <c r="BA10" s="32" t="s">
        <v>98</v>
      </c>
      <c r="BB10" s="31" t="s">
        <v>99</v>
      </c>
      <c r="BC10" s="31" t="s">
        <v>69</v>
      </c>
      <c r="BD10" t="s">
        <v>100</v>
      </c>
      <c r="BE10" t="s">
        <v>101</v>
      </c>
      <c r="BF10" s="15" t="s">
        <v>102</v>
      </c>
      <c r="BG10" s="29" t="s">
        <v>103</v>
      </c>
      <c r="BH10" s="33" t="s">
        <v>104</v>
      </c>
      <c r="BI10" s="29" t="s">
        <v>105</v>
      </c>
      <c r="BJ10" s="29" t="s">
        <v>106</v>
      </c>
      <c r="BK10" s="29" t="s">
        <v>107</v>
      </c>
      <c r="BL10" s="31" t="s">
        <v>108</v>
      </c>
      <c r="BM10" s="31" t="s">
        <v>109</v>
      </c>
      <c r="BN10" s="31" t="s">
        <v>110</v>
      </c>
      <c r="BO10" s="31" t="s">
        <v>111</v>
      </c>
      <c r="BP10" s="31" t="s">
        <v>112</v>
      </c>
      <c r="BQ10" s="19" t="s">
        <v>113</v>
      </c>
      <c r="BR10" s="34" t="s">
        <v>114</v>
      </c>
    </row>
    <row r="11" spans="1:70" ht="15.65" customHeight="1" x14ac:dyDescent="0.35">
      <c r="A11" s="1" t="s">
        <v>214</v>
      </c>
      <c r="D11" s="14" t="s">
        <v>116</v>
      </c>
      <c r="E11" s="15" t="s">
        <v>69</v>
      </c>
      <c r="F11" s="16" t="s">
        <v>117</v>
      </c>
      <c r="G11" s="17" t="s">
        <v>135</v>
      </c>
      <c r="H11" s="18" t="s">
        <v>136</v>
      </c>
      <c r="I11" s="19">
        <v>25041111</v>
      </c>
      <c r="J11" s="19" t="s">
        <v>73</v>
      </c>
      <c r="K11" s="19" t="s">
        <v>74</v>
      </c>
      <c r="L11" s="20">
        <f t="shared" ca="1" si="0"/>
        <v>45685</v>
      </c>
      <c r="M11" s="15" t="s">
        <v>69</v>
      </c>
      <c r="N11" s="21" t="s">
        <v>75</v>
      </c>
      <c r="O11" s="19">
        <v>38</v>
      </c>
      <c r="P11" s="19">
        <v>1000</v>
      </c>
      <c r="Q11" s="19" t="s">
        <v>76</v>
      </c>
      <c r="R11" s="19" t="s">
        <v>77</v>
      </c>
      <c r="S11" s="19" t="s">
        <v>74</v>
      </c>
      <c r="T11" s="22" t="s">
        <v>78</v>
      </c>
      <c r="U11" s="23" t="s">
        <v>79</v>
      </c>
      <c r="V11" s="19" t="s">
        <v>74</v>
      </c>
      <c r="W11" s="24">
        <f t="shared" ca="1" si="2"/>
        <v>45685</v>
      </c>
      <c r="X11" s="19" t="s">
        <v>80</v>
      </c>
      <c r="Y11" s="25" t="s">
        <v>137</v>
      </c>
      <c r="Z11" t="s">
        <v>121</v>
      </c>
      <c r="AA11" s="26" t="s">
        <v>122</v>
      </c>
      <c r="AB11" t="s">
        <v>84</v>
      </c>
      <c r="AC11" s="1" t="s">
        <v>85</v>
      </c>
      <c r="AD11" s="1" t="s">
        <v>54</v>
      </c>
      <c r="AE11" s="27">
        <v>35</v>
      </c>
      <c r="AF11" s="15" t="s">
        <v>123</v>
      </c>
      <c r="AG11" t="s">
        <v>87</v>
      </c>
      <c r="AH11" s="20">
        <f ca="1">TODAY()+365</f>
        <v>46081</v>
      </c>
      <c r="AI11" s="19" t="s">
        <v>89</v>
      </c>
      <c r="AJ11" s="19" t="s">
        <v>124</v>
      </c>
      <c r="AK11" s="1">
        <v>251</v>
      </c>
      <c r="AL11" s="19">
        <v>10527565</v>
      </c>
      <c r="AM11" s="19">
        <v>8708905</v>
      </c>
      <c r="AN11" s="29" t="s">
        <v>69</v>
      </c>
      <c r="AO11" s="29" t="s">
        <v>92</v>
      </c>
      <c r="AP11">
        <f ca="1"/>
        <v>98889981769</v>
      </c>
      <c r="AQ11" s="15" t="s">
        <v>93</v>
      </c>
      <c r="AR11" s="21" t="s">
        <v>125</v>
      </c>
      <c r="AS11" s="21" t="s">
        <v>95</v>
      </c>
      <c r="AT11" s="20">
        <f ca="1">AH11</f>
        <v>46081</v>
      </c>
      <c r="AU11" t="s">
        <v>126</v>
      </c>
      <c r="AV11" s="30">
        <v>35591</v>
      </c>
      <c r="AW11" s="31" t="s">
        <v>69</v>
      </c>
      <c r="AX11" s="29" t="s">
        <v>77</v>
      </c>
      <c r="AY11" s="31" t="s">
        <v>76</v>
      </c>
      <c r="AZ11" s="31" t="s">
        <v>97</v>
      </c>
      <c r="BA11" s="32" t="s">
        <v>98</v>
      </c>
      <c r="BB11" s="31" t="s">
        <v>99</v>
      </c>
      <c r="BC11" s="31" t="s">
        <v>69</v>
      </c>
      <c r="BD11" s="35" t="s">
        <v>127</v>
      </c>
      <c r="BE11" t="s">
        <v>128</v>
      </c>
      <c r="BF11" s="15" t="s">
        <v>102</v>
      </c>
      <c r="BG11" s="29" t="s">
        <v>103</v>
      </c>
      <c r="BH11" s="33" t="s">
        <v>104</v>
      </c>
      <c r="BI11" s="29" t="s">
        <v>105</v>
      </c>
      <c r="BJ11" s="29" t="s">
        <v>106</v>
      </c>
      <c r="BK11" s="29" t="s">
        <v>107</v>
      </c>
      <c r="BL11" s="31" t="s">
        <v>129</v>
      </c>
      <c r="BM11" s="31" t="s">
        <v>130</v>
      </c>
      <c r="BN11" s="31" t="s">
        <v>110</v>
      </c>
      <c r="BO11" s="31" t="s">
        <v>111</v>
      </c>
      <c r="BP11" s="31" t="s">
        <v>112</v>
      </c>
      <c r="BQ11" s="19" t="s">
        <v>113</v>
      </c>
      <c r="BR11" s="34" t="s">
        <v>114</v>
      </c>
    </row>
    <row r="12" spans="1:70" ht="15.65" customHeight="1" x14ac:dyDescent="0.35">
      <c r="A12" s="1" t="s">
        <v>215</v>
      </c>
      <c r="D12" s="14" t="s">
        <v>68</v>
      </c>
      <c r="E12" s="15" t="s">
        <v>69</v>
      </c>
      <c r="F12" s="16" t="s">
        <v>70</v>
      </c>
      <c r="G12" s="17" t="s">
        <v>139</v>
      </c>
      <c r="H12" s="18" t="s">
        <v>140</v>
      </c>
      <c r="I12" s="19">
        <v>25041111</v>
      </c>
      <c r="J12" s="19" t="s">
        <v>73</v>
      </c>
      <c r="K12" s="19" t="s">
        <v>74</v>
      </c>
      <c r="L12" s="20">
        <f t="shared" ca="1" si="0"/>
        <v>45685</v>
      </c>
      <c r="M12" s="15" t="s">
        <v>69</v>
      </c>
      <c r="N12" s="21" t="s">
        <v>75</v>
      </c>
      <c r="O12" s="19">
        <v>38</v>
      </c>
      <c r="P12" s="19">
        <v>1000</v>
      </c>
      <c r="Q12" s="19" t="s">
        <v>76</v>
      </c>
      <c r="R12" s="19" t="s">
        <v>77</v>
      </c>
      <c r="S12" s="19" t="s">
        <v>74</v>
      </c>
      <c r="T12" s="22" t="s">
        <v>78</v>
      </c>
      <c r="U12" s="23" t="s">
        <v>79</v>
      </c>
      <c r="V12" s="19" t="s">
        <v>74</v>
      </c>
      <c r="W12" s="24">
        <f t="shared" ca="1" si="2"/>
        <v>45685</v>
      </c>
      <c r="X12" s="19" t="s">
        <v>80</v>
      </c>
      <c r="Y12" s="25" t="s">
        <v>81</v>
      </c>
      <c r="Z12" t="s">
        <v>82</v>
      </c>
      <c r="AA12" s="26" t="s">
        <v>83</v>
      </c>
      <c r="AB12" t="s">
        <v>84</v>
      </c>
      <c r="AC12" s="1" t="s">
        <v>85</v>
      </c>
      <c r="AD12" s="1" t="s">
        <v>54</v>
      </c>
      <c r="AE12" s="27">
        <v>35</v>
      </c>
      <c r="AF12" s="28" t="s">
        <v>86</v>
      </c>
      <c r="AG12" t="s">
        <v>87</v>
      </c>
      <c r="AH12" s="20" t="s">
        <v>88</v>
      </c>
      <c r="AI12" s="19" t="s">
        <v>89</v>
      </c>
      <c r="AJ12" s="19" t="s">
        <v>90</v>
      </c>
      <c r="AK12" t="s">
        <v>91</v>
      </c>
      <c r="AL12" s="19">
        <v>10527565</v>
      </c>
      <c r="AM12" s="19">
        <v>10527565</v>
      </c>
      <c r="AN12" s="29" t="s">
        <v>69</v>
      </c>
      <c r="AO12" s="29" t="s">
        <v>92</v>
      </c>
      <c r="AP12">
        <f ca="1"/>
        <v>28223460363</v>
      </c>
      <c r="AQ12" s="15" t="s">
        <v>93</v>
      </c>
      <c r="AR12" s="21" t="s">
        <v>94</v>
      </c>
      <c r="AS12" s="21" t="s">
        <v>95</v>
      </c>
      <c r="AT12" s="20" t="s">
        <v>88</v>
      </c>
      <c r="AU12" t="s">
        <v>96</v>
      </c>
      <c r="AV12" s="30">
        <v>35591</v>
      </c>
      <c r="AW12" s="31" t="s">
        <v>69</v>
      </c>
      <c r="AX12" s="29" t="s">
        <v>77</v>
      </c>
      <c r="AY12" s="31" t="s">
        <v>76</v>
      </c>
      <c r="AZ12" s="31" t="s">
        <v>97</v>
      </c>
      <c r="BA12" s="32" t="s">
        <v>98</v>
      </c>
      <c r="BB12" s="31" t="s">
        <v>99</v>
      </c>
      <c r="BC12" s="31" t="s">
        <v>69</v>
      </c>
      <c r="BD12" t="s">
        <v>100</v>
      </c>
      <c r="BE12" t="s">
        <v>101</v>
      </c>
      <c r="BF12" s="15" t="s">
        <v>102</v>
      </c>
      <c r="BG12" s="29" t="s">
        <v>103</v>
      </c>
      <c r="BH12" s="33" t="s">
        <v>104</v>
      </c>
      <c r="BI12" s="29" t="s">
        <v>105</v>
      </c>
      <c r="BJ12" s="29" t="s">
        <v>106</v>
      </c>
      <c r="BK12" s="29" t="s">
        <v>107</v>
      </c>
      <c r="BL12" s="31" t="s">
        <v>108</v>
      </c>
      <c r="BM12" s="31" t="s">
        <v>109</v>
      </c>
      <c r="BN12" s="31" t="s">
        <v>110</v>
      </c>
      <c r="BO12" s="31" t="s">
        <v>111</v>
      </c>
      <c r="BP12" s="31" t="s">
        <v>112</v>
      </c>
      <c r="BQ12" s="19" t="s">
        <v>113</v>
      </c>
      <c r="BR12" s="34" t="s">
        <v>114</v>
      </c>
    </row>
    <row r="13" spans="1:70" ht="15.65" customHeight="1" x14ac:dyDescent="0.35">
      <c r="A13" s="1" t="s">
        <v>216</v>
      </c>
      <c r="D13" s="14" t="s">
        <v>116</v>
      </c>
      <c r="E13" s="15" t="s">
        <v>69</v>
      </c>
      <c r="F13" s="16" t="s">
        <v>117</v>
      </c>
      <c r="G13" s="17" t="s">
        <v>142</v>
      </c>
      <c r="H13" s="18" t="s">
        <v>143</v>
      </c>
      <c r="I13" s="19">
        <v>25041111</v>
      </c>
      <c r="J13" s="19" t="s">
        <v>73</v>
      </c>
      <c r="K13" s="19" t="s">
        <v>74</v>
      </c>
      <c r="L13" s="20">
        <f t="shared" ca="1" si="0"/>
        <v>45685</v>
      </c>
      <c r="M13" s="15" t="s">
        <v>69</v>
      </c>
      <c r="N13" s="21" t="s">
        <v>75</v>
      </c>
      <c r="O13" s="19">
        <v>38</v>
      </c>
      <c r="P13" s="19">
        <v>1000</v>
      </c>
      <c r="Q13" s="19" t="s">
        <v>76</v>
      </c>
      <c r="R13" s="19" t="s">
        <v>77</v>
      </c>
      <c r="S13" s="19" t="s">
        <v>74</v>
      </c>
      <c r="T13" s="22" t="s">
        <v>78</v>
      </c>
      <c r="U13" s="23" t="s">
        <v>79</v>
      </c>
      <c r="V13" s="19" t="s">
        <v>74</v>
      </c>
      <c r="W13" s="24">
        <f t="shared" ca="1" si="2"/>
        <v>45685</v>
      </c>
      <c r="X13" s="19" t="s">
        <v>80</v>
      </c>
      <c r="Y13" s="25" t="s">
        <v>144</v>
      </c>
      <c r="Z13" t="s">
        <v>121</v>
      </c>
      <c r="AA13" s="26" t="s">
        <v>122</v>
      </c>
      <c r="AB13" t="s">
        <v>84</v>
      </c>
      <c r="AC13" s="1" t="s">
        <v>85</v>
      </c>
      <c r="AD13" s="1" t="s">
        <v>54</v>
      </c>
      <c r="AE13" s="27">
        <v>35</v>
      </c>
      <c r="AF13" s="15" t="s">
        <v>123</v>
      </c>
      <c r="AG13" t="s">
        <v>87</v>
      </c>
      <c r="AH13" s="20">
        <f ca="1">TODAY()+365</f>
        <v>46081</v>
      </c>
      <c r="AI13" s="19" t="s">
        <v>89</v>
      </c>
      <c r="AJ13" s="19" t="s">
        <v>124</v>
      </c>
      <c r="AK13" s="1">
        <v>251</v>
      </c>
      <c r="AL13" s="19">
        <v>10527565</v>
      </c>
      <c r="AM13" s="19">
        <v>8708905</v>
      </c>
      <c r="AN13" s="29" t="s">
        <v>69</v>
      </c>
      <c r="AO13" s="29" t="s">
        <v>92</v>
      </c>
      <c r="AP13">
        <f ca="1"/>
        <v>63940583506</v>
      </c>
      <c r="AQ13" s="15" t="s">
        <v>93</v>
      </c>
      <c r="AR13" s="21" t="s">
        <v>125</v>
      </c>
      <c r="AS13" s="21" t="s">
        <v>95</v>
      </c>
      <c r="AT13" s="20">
        <f ca="1">AH13</f>
        <v>46081</v>
      </c>
      <c r="AU13" t="s">
        <v>126</v>
      </c>
      <c r="AV13" s="30">
        <v>35591</v>
      </c>
      <c r="AW13" s="31" t="s">
        <v>69</v>
      </c>
      <c r="AX13" s="29" t="s">
        <v>77</v>
      </c>
      <c r="AY13" s="31" t="s">
        <v>76</v>
      </c>
      <c r="AZ13" s="31" t="s">
        <v>97</v>
      </c>
      <c r="BA13" s="32" t="s">
        <v>98</v>
      </c>
      <c r="BB13" s="31" t="s">
        <v>99</v>
      </c>
      <c r="BC13" s="31" t="s">
        <v>69</v>
      </c>
      <c r="BD13" s="35" t="s">
        <v>127</v>
      </c>
      <c r="BE13" t="s">
        <v>128</v>
      </c>
      <c r="BF13" s="15" t="s">
        <v>102</v>
      </c>
      <c r="BG13" s="29" t="s">
        <v>103</v>
      </c>
      <c r="BH13" s="33" t="s">
        <v>104</v>
      </c>
      <c r="BI13" s="29" t="s">
        <v>105</v>
      </c>
      <c r="BJ13" s="29" t="s">
        <v>106</v>
      </c>
      <c r="BK13" s="29" t="s">
        <v>107</v>
      </c>
      <c r="BL13" s="31" t="s">
        <v>129</v>
      </c>
      <c r="BM13" s="31" t="s">
        <v>130</v>
      </c>
      <c r="BN13" s="31" t="s">
        <v>110</v>
      </c>
      <c r="BO13" s="31" t="s">
        <v>111</v>
      </c>
      <c r="BP13" s="31" t="s">
        <v>112</v>
      </c>
      <c r="BQ13" s="19" t="s">
        <v>113</v>
      </c>
      <c r="BR13" s="34" t="s">
        <v>114</v>
      </c>
    </row>
    <row r="14" spans="1:70" ht="15.65" customHeight="1" x14ac:dyDescent="0.35">
      <c r="A14" s="1" t="s">
        <v>217</v>
      </c>
      <c r="D14" s="14" t="s">
        <v>68</v>
      </c>
      <c r="E14" s="15" t="s">
        <v>69</v>
      </c>
      <c r="F14" s="16" t="s">
        <v>70</v>
      </c>
      <c r="G14" s="17" t="s">
        <v>145</v>
      </c>
      <c r="H14" s="18" t="s">
        <v>109</v>
      </c>
      <c r="I14" s="19">
        <v>25041111</v>
      </c>
      <c r="J14" s="19" t="s">
        <v>73</v>
      </c>
      <c r="K14" s="19" t="s">
        <v>74</v>
      </c>
      <c r="L14" s="20">
        <f t="shared" ca="1" si="0"/>
        <v>45685</v>
      </c>
      <c r="M14" s="15" t="s">
        <v>69</v>
      </c>
      <c r="N14" s="21" t="s">
        <v>75</v>
      </c>
      <c r="O14" s="19">
        <v>38</v>
      </c>
      <c r="P14" s="19">
        <v>1000</v>
      </c>
      <c r="Q14" s="19" t="s">
        <v>76</v>
      </c>
      <c r="R14" s="19" t="s">
        <v>77</v>
      </c>
      <c r="S14" s="19" t="s">
        <v>74</v>
      </c>
      <c r="T14" s="22" t="s">
        <v>78</v>
      </c>
      <c r="U14" s="23" t="s">
        <v>79</v>
      </c>
      <c r="V14" s="19" t="s">
        <v>74</v>
      </c>
      <c r="W14" s="24">
        <f t="shared" ca="1" si="2"/>
        <v>45685</v>
      </c>
      <c r="X14" s="19" t="s">
        <v>80</v>
      </c>
      <c r="Y14" s="25" t="s">
        <v>81</v>
      </c>
      <c r="Z14" t="s">
        <v>82</v>
      </c>
      <c r="AA14" s="26" t="s">
        <v>83</v>
      </c>
      <c r="AB14" t="s">
        <v>84</v>
      </c>
      <c r="AC14" s="1" t="s">
        <v>85</v>
      </c>
      <c r="AD14" s="1" t="s">
        <v>54</v>
      </c>
      <c r="AE14" s="27">
        <v>35</v>
      </c>
      <c r="AF14" s="28" t="s">
        <v>86</v>
      </c>
      <c r="AG14" t="s">
        <v>87</v>
      </c>
      <c r="AH14" s="20" t="s">
        <v>88</v>
      </c>
      <c r="AI14" s="19" t="s">
        <v>89</v>
      </c>
      <c r="AJ14" s="19" t="s">
        <v>90</v>
      </c>
      <c r="AK14" t="s">
        <v>91</v>
      </c>
      <c r="AL14" s="19">
        <v>10527565</v>
      </c>
      <c r="AM14" s="19">
        <v>10527565</v>
      </c>
      <c r="AN14" s="29" t="s">
        <v>69</v>
      </c>
      <c r="AO14" s="29" t="s">
        <v>92</v>
      </c>
      <c r="AP14">
        <f ca="1"/>
        <v>87307758027</v>
      </c>
      <c r="AQ14" s="15" t="s">
        <v>93</v>
      </c>
      <c r="AR14" s="21" t="s">
        <v>94</v>
      </c>
      <c r="AS14" s="21" t="s">
        <v>95</v>
      </c>
      <c r="AT14" s="20" t="str">
        <f>AH14</f>
        <v>N/A</v>
      </c>
      <c r="AU14" t="s">
        <v>96</v>
      </c>
      <c r="AV14" s="30">
        <v>35591</v>
      </c>
      <c r="AW14" s="31" t="s">
        <v>69</v>
      </c>
      <c r="AX14" s="29" t="s">
        <v>77</v>
      </c>
      <c r="AY14" s="31" t="s">
        <v>76</v>
      </c>
      <c r="AZ14" s="31" t="s">
        <v>97</v>
      </c>
      <c r="BA14" s="32" t="s">
        <v>98</v>
      </c>
      <c r="BB14" s="31" t="s">
        <v>99</v>
      </c>
      <c r="BC14" s="31" t="s">
        <v>69</v>
      </c>
      <c r="BD14" t="s">
        <v>100</v>
      </c>
      <c r="BE14" t="s">
        <v>101</v>
      </c>
      <c r="BF14" s="15" t="s">
        <v>102</v>
      </c>
      <c r="BG14" s="29" t="s">
        <v>103</v>
      </c>
      <c r="BH14" s="33" t="s">
        <v>104</v>
      </c>
      <c r="BI14" s="29" t="s">
        <v>105</v>
      </c>
      <c r="BJ14" s="29" t="s">
        <v>106</v>
      </c>
      <c r="BK14" s="29" t="s">
        <v>107</v>
      </c>
      <c r="BL14" s="31" t="s">
        <v>108</v>
      </c>
      <c r="BM14" s="31" t="s">
        <v>109</v>
      </c>
      <c r="BN14" s="31" t="s">
        <v>110</v>
      </c>
      <c r="BO14" s="31" t="s">
        <v>111</v>
      </c>
      <c r="BP14" s="31" t="s">
        <v>112</v>
      </c>
      <c r="BQ14" s="19" t="s">
        <v>113</v>
      </c>
      <c r="BR14" s="34" t="s">
        <v>114</v>
      </c>
    </row>
    <row r="15" spans="1:70" ht="15.65" customHeight="1" x14ac:dyDescent="0.35">
      <c r="A15" s="1" t="s">
        <v>218</v>
      </c>
      <c r="D15" s="14" t="s">
        <v>116</v>
      </c>
      <c r="E15" s="15" t="s">
        <v>69</v>
      </c>
      <c r="F15" s="16" t="s">
        <v>117</v>
      </c>
      <c r="G15" s="17" t="s">
        <v>146</v>
      </c>
      <c r="H15" s="18" t="s">
        <v>147</v>
      </c>
      <c r="I15" s="19">
        <v>25041111</v>
      </c>
      <c r="J15" s="19" t="s">
        <v>73</v>
      </c>
      <c r="K15" s="19" t="s">
        <v>74</v>
      </c>
      <c r="L15" s="20">
        <f t="shared" ca="1" si="0"/>
        <v>45685</v>
      </c>
      <c r="M15" s="15" t="s">
        <v>69</v>
      </c>
      <c r="N15" s="21" t="s">
        <v>75</v>
      </c>
      <c r="O15" s="19">
        <v>38</v>
      </c>
      <c r="P15" s="19">
        <v>1000</v>
      </c>
      <c r="Q15" s="19" t="s">
        <v>76</v>
      </c>
      <c r="R15" s="19" t="s">
        <v>77</v>
      </c>
      <c r="S15" s="19" t="s">
        <v>74</v>
      </c>
      <c r="T15" s="22" t="s">
        <v>78</v>
      </c>
      <c r="U15" s="23" t="s">
        <v>79</v>
      </c>
      <c r="V15" s="19" t="s">
        <v>74</v>
      </c>
      <c r="W15" s="24">
        <f t="shared" ca="1" si="2"/>
        <v>45685</v>
      </c>
      <c r="X15" s="19" t="s">
        <v>80</v>
      </c>
      <c r="Y15" s="25" t="s">
        <v>120</v>
      </c>
      <c r="Z15" t="s">
        <v>121</v>
      </c>
      <c r="AA15" s="26" t="s">
        <v>122</v>
      </c>
      <c r="AB15" t="s">
        <v>84</v>
      </c>
      <c r="AC15" s="1" t="s">
        <v>85</v>
      </c>
      <c r="AD15" s="1" t="s">
        <v>54</v>
      </c>
      <c r="AE15" s="27">
        <v>35</v>
      </c>
      <c r="AF15" s="15" t="s">
        <v>123</v>
      </c>
      <c r="AG15" t="s">
        <v>87</v>
      </c>
      <c r="AH15" s="20">
        <f ca="1">TODAY()+365</f>
        <v>46081</v>
      </c>
      <c r="AI15" s="19" t="s">
        <v>89</v>
      </c>
      <c r="AJ15" s="19" t="s">
        <v>124</v>
      </c>
      <c r="AK15" s="1">
        <v>251</v>
      </c>
      <c r="AL15" s="19">
        <v>10527565</v>
      </c>
      <c r="AM15" s="19">
        <v>8708905</v>
      </c>
      <c r="AN15" s="29" t="s">
        <v>69</v>
      </c>
      <c r="AO15" s="29" t="s">
        <v>92</v>
      </c>
      <c r="AP15">
        <f ca="1"/>
        <v>32550383165</v>
      </c>
      <c r="AQ15" s="15" t="s">
        <v>93</v>
      </c>
      <c r="AR15" s="21" t="s">
        <v>125</v>
      </c>
      <c r="AS15" s="21" t="s">
        <v>95</v>
      </c>
      <c r="AT15" s="20">
        <f ca="1">AH15</f>
        <v>46081</v>
      </c>
      <c r="AU15" t="s">
        <v>126</v>
      </c>
      <c r="AV15" s="30">
        <v>35591</v>
      </c>
      <c r="AW15" s="31" t="s">
        <v>69</v>
      </c>
      <c r="AX15" s="29" t="s">
        <v>77</v>
      </c>
      <c r="AY15" s="31" t="s">
        <v>76</v>
      </c>
      <c r="AZ15" s="31" t="s">
        <v>97</v>
      </c>
      <c r="BA15" s="32" t="s">
        <v>98</v>
      </c>
      <c r="BB15" s="31" t="s">
        <v>99</v>
      </c>
      <c r="BC15" s="31" t="s">
        <v>69</v>
      </c>
      <c r="BD15" s="35" t="s">
        <v>127</v>
      </c>
      <c r="BE15" t="s">
        <v>128</v>
      </c>
      <c r="BF15" s="15" t="s">
        <v>102</v>
      </c>
      <c r="BG15" s="29" t="s">
        <v>103</v>
      </c>
      <c r="BH15" s="33" t="s">
        <v>104</v>
      </c>
      <c r="BI15" s="29" t="s">
        <v>105</v>
      </c>
      <c r="BJ15" s="29" t="s">
        <v>106</v>
      </c>
      <c r="BK15" s="29" t="s">
        <v>107</v>
      </c>
      <c r="BL15" s="31" t="s">
        <v>129</v>
      </c>
      <c r="BM15" s="31" t="s">
        <v>130</v>
      </c>
      <c r="BN15" s="31" t="s">
        <v>110</v>
      </c>
      <c r="BO15" s="31" t="s">
        <v>111</v>
      </c>
      <c r="BP15" s="31" t="s">
        <v>112</v>
      </c>
      <c r="BQ15" s="19" t="s">
        <v>113</v>
      </c>
      <c r="BR15" s="34" t="s">
        <v>114</v>
      </c>
    </row>
    <row r="16" spans="1:70" ht="15.65" customHeight="1" x14ac:dyDescent="0.35">
      <c r="A16" s="1" t="s">
        <v>219</v>
      </c>
      <c r="D16" s="14" t="s">
        <v>68</v>
      </c>
      <c r="E16" s="15" t="s">
        <v>69</v>
      </c>
      <c r="F16" s="16" t="s">
        <v>70</v>
      </c>
      <c r="G16" s="17" t="s">
        <v>132</v>
      </c>
      <c r="H16" s="18" t="s">
        <v>133</v>
      </c>
      <c r="I16" s="19">
        <v>25041111</v>
      </c>
      <c r="J16" s="19" t="s">
        <v>73</v>
      </c>
      <c r="K16" s="19" t="s">
        <v>74</v>
      </c>
      <c r="L16" s="20">
        <f t="shared" ca="1" si="0"/>
        <v>45685</v>
      </c>
      <c r="M16" s="15" t="s">
        <v>69</v>
      </c>
      <c r="N16" s="21" t="s">
        <v>75</v>
      </c>
      <c r="O16" s="19">
        <v>38</v>
      </c>
      <c r="P16" s="19">
        <v>1000</v>
      </c>
      <c r="Q16" s="19" t="s">
        <v>76</v>
      </c>
      <c r="R16" s="19" t="s">
        <v>77</v>
      </c>
      <c r="S16" s="19" t="s">
        <v>74</v>
      </c>
      <c r="T16" s="22" t="s">
        <v>78</v>
      </c>
      <c r="U16" s="23" t="s">
        <v>79</v>
      </c>
      <c r="V16" s="19" t="s">
        <v>74</v>
      </c>
      <c r="W16" s="24">
        <f t="shared" ca="1" si="2"/>
        <v>45685</v>
      </c>
      <c r="X16" s="19" t="s">
        <v>80</v>
      </c>
      <c r="Y16" s="25" t="s">
        <v>81</v>
      </c>
      <c r="Z16" t="s">
        <v>82</v>
      </c>
      <c r="AA16" s="26" t="s">
        <v>83</v>
      </c>
      <c r="AB16" t="s">
        <v>84</v>
      </c>
      <c r="AC16" s="1" t="s">
        <v>85</v>
      </c>
      <c r="AD16" s="1" t="s">
        <v>54</v>
      </c>
      <c r="AE16" s="27">
        <v>35</v>
      </c>
      <c r="AF16" s="28" t="s">
        <v>86</v>
      </c>
      <c r="AG16" t="s">
        <v>87</v>
      </c>
      <c r="AH16" s="20" t="s">
        <v>88</v>
      </c>
      <c r="AI16" s="19" t="s">
        <v>89</v>
      </c>
      <c r="AJ16" s="19" t="s">
        <v>90</v>
      </c>
      <c r="AK16" t="s">
        <v>91</v>
      </c>
      <c r="AL16" s="19">
        <v>10527565</v>
      </c>
      <c r="AM16" s="19">
        <v>10527565</v>
      </c>
      <c r="AN16" s="29" t="s">
        <v>69</v>
      </c>
      <c r="AO16" s="29" t="s">
        <v>92</v>
      </c>
      <c r="AP16">
        <f ca="1"/>
        <v>18259197046</v>
      </c>
      <c r="AQ16" s="15" t="s">
        <v>93</v>
      </c>
      <c r="AR16" s="21" t="s">
        <v>94</v>
      </c>
      <c r="AS16" s="21" t="s">
        <v>95</v>
      </c>
      <c r="AT16" s="20" t="str">
        <f>AH16</f>
        <v>N/A</v>
      </c>
      <c r="AU16" t="s">
        <v>96</v>
      </c>
      <c r="AV16" s="30">
        <v>35591</v>
      </c>
      <c r="AW16" s="31" t="s">
        <v>69</v>
      </c>
      <c r="AX16" s="29" t="s">
        <v>77</v>
      </c>
      <c r="AY16" s="31" t="s">
        <v>76</v>
      </c>
      <c r="AZ16" s="31" t="s">
        <v>97</v>
      </c>
      <c r="BA16" s="32" t="s">
        <v>98</v>
      </c>
      <c r="BB16" s="31" t="s">
        <v>99</v>
      </c>
      <c r="BC16" s="31" t="s">
        <v>69</v>
      </c>
      <c r="BD16" t="s">
        <v>100</v>
      </c>
      <c r="BE16" t="s">
        <v>101</v>
      </c>
      <c r="BF16" s="15" t="s">
        <v>102</v>
      </c>
      <c r="BG16" s="29" t="s">
        <v>103</v>
      </c>
      <c r="BH16" s="33" t="s">
        <v>104</v>
      </c>
      <c r="BI16" s="29" t="s">
        <v>105</v>
      </c>
      <c r="BJ16" s="29" t="s">
        <v>106</v>
      </c>
      <c r="BK16" s="29" t="s">
        <v>107</v>
      </c>
      <c r="BL16" s="31" t="s">
        <v>108</v>
      </c>
      <c r="BM16" s="31" t="s">
        <v>109</v>
      </c>
      <c r="BN16" s="31" t="s">
        <v>110</v>
      </c>
      <c r="BO16" s="31" t="s">
        <v>111</v>
      </c>
      <c r="BP16" s="31" t="s">
        <v>112</v>
      </c>
      <c r="BQ16" s="19" t="s">
        <v>113</v>
      </c>
      <c r="BR16" s="34" t="s">
        <v>114</v>
      </c>
    </row>
    <row r="17" spans="1:70" ht="15.65" customHeight="1" x14ac:dyDescent="0.35">
      <c r="A17" s="1" t="s">
        <v>220</v>
      </c>
      <c r="D17" s="14" t="s">
        <v>116</v>
      </c>
      <c r="E17" s="15" t="s">
        <v>69</v>
      </c>
      <c r="F17" s="16" t="s">
        <v>117</v>
      </c>
      <c r="G17" s="17" t="s">
        <v>135</v>
      </c>
      <c r="H17" s="18" t="s">
        <v>136</v>
      </c>
      <c r="I17" s="19">
        <v>25041111</v>
      </c>
      <c r="J17" s="19" t="s">
        <v>73</v>
      </c>
      <c r="K17" s="19" t="s">
        <v>74</v>
      </c>
      <c r="L17" s="20">
        <f t="shared" ca="1" si="0"/>
        <v>45685</v>
      </c>
      <c r="M17" s="15" t="s">
        <v>69</v>
      </c>
      <c r="N17" s="21" t="s">
        <v>75</v>
      </c>
      <c r="O17" s="19">
        <v>38</v>
      </c>
      <c r="P17" s="19">
        <v>1000</v>
      </c>
      <c r="Q17" s="19" t="s">
        <v>76</v>
      </c>
      <c r="R17" s="19" t="s">
        <v>77</v>
      </c>
      <c r="S17" s="19" t="s">
        <v>74</v>
      </c>
      <c r="T17" s="22" t="s">
        <v>78</v>
      </c>
      <c r="U17" s="23" t="s">
        <v>79</v>
      </c>
      <c r="V17" s="19" t="s">
        <v>74</v>
      </c>
      <c r="W17" s="24">
        <f t="shared" ca="1" si="2"/>
        <v>45685</v>
      </c>
      <c r="X17" s="19" t="s">
        <v>80</v>
      </c>
      <c r="Y17" s="25" t="s">
        <v>137</v>
      </c>
      <c r="Z17" t="s">
        <v>121</v>
      </c>
      <c r="AA17" s="26" t="s">
        <v>122</v>
      </c>
      <c r="AB17" t="s">
        <v>84</v>
      </c>
      <c r="AC17" s="1" t="s">
        <v>85</v>
      </c>
      <c r="AD17" s="1" t="s">
        <v>54</v>
      </c>
      <c r="AE17" s="27">
        <v>35</v>
      </c>
      <c r="AF17" s="15" t="s">
        <v>123</v>
      </c>
      <c r="AG17" t="s">
        <v>87</v>
      </c>
      <c r="AH17" s="20">
        <f ca="1">TODAY()+365</f>
        <v>46081</v>
      </c>
      <c r="AI17" s="19" t="s">
        <v>89</v>
      </c>
      <c r="AJ17" s="19" t="s">
        <v>124</v>
      </c>
      <c r="AK17" s="1">
        <v>251</v>
      </c>
      <c r="AL17" s="19">
        <v>10527565</v>
      </c>
      <c r="AM17" s="19">
        <v>8708905</v>
      </c>
      <c r="AN17" s="29" t="s">
        <v>69</v>
      </c>
      <c r="AO17" s="29" t="s">
        <v>92</v>
      </c>
      <c r="AP17">
        <f ca="1"/>
        <v>43519228756</v>
      </c>
      <c r="AQ17" s="15" t="s">
        <v>93</v>
      </c>
      <c r="AR17" s="21" t="s">
        <v>125</v>
      </c>
      <c r="AS17" s="21" t="s">
        <v>95</v>
      </c>
      <c r="AT17" s="20">
        <f ca="1">AH17</f>
        <v>46081</v>
      </c>
      <c r="AU17" t="s">
        <v>126</v>
      </c>
      <c r="AV17" s="30">
        <v>35591</v>
      </c>
      <c r="AW17" s="31" t="s">
        <v>69</v>
      </c>
      <c r="AX17" s="29" t="s">
        <v>77</v>
      </c>
      <c r="AY17" s="31" t="s">
        <v>76</v>
      </c>
      <c r="AZ17" s="31" t="s">
        <v>97</v>
      </c>
      <c r="BA17" s="32" t="s">
        <v>98</v>
      </c>
      <c r="BB17" s="31" t="s">
        <v>99</v>
      </c>
      <c r="BC17" s="31" t="s">
        <v>69</v>
      </c>
      <c r="BD17" s="35" t="s">
        <v>127</v>
      </c>
      <c r="BE17" t="s">
        <v>128</v>
      </c>
      <c r="BF17" s="15" t="s">
        <v>102</v>
      </c>
      <c r="BG17" s="29" t="s">
        <v>103</v>
      </c>
      <c r="BH17" s="33" t="s">
        <v>104</v>
      </c>
      <c r="BI17" s="29" t="s">
        <v>105</v>
      </c>
      <c r="BJ17" s="29" t="s">
        <v>106</v>
      </c>
      <c r="BK17" s="29" t="s">
        <v>107</v>
      </c>
      <c r="BL17" s="31" t="s">
        <v>129</v>
      </c>
      <c r="BM17" s="31" t="s">
        <v>130</v>
      </c>
      <c r="BN17" s="31" t="s">
        <v>110</v>
      </c>
      <c r="BO17" s="31" t="s">
        <v>111</v>
      </c>
      <c r="BP17" s="31" t="s">
        <v>112</v>
      </c>
      <c r="BQ17" s="19" t="s">
        <v>113</v>
      </c>
      <c r="BR17" s="34" t="s">
        <v>114</v>
      </c>
    </row>
    <row r="18" spans="1:70" ht="15.65" customHeight="1" x14ac:dyDescent="0.35">
      <c r="A18" s="1" t="s">
        <v>221</v>
      </c>
      <c r="D18" s="14" t="s">
        <v>68</v>
      </c>
      <c r="E18" s="15" t="s">
        <v>69</v>
      </c>
      <c r="F18" s="16" t="s">
        <v>70</v>
      </c>
      <c r="G18" s="17" t="s">
        <v>139</v>
      </c>
      <c r="H18" s="18" t="s">
        <v>140</v>
      </c>
      <c r="I18" s="19">
        <v>25041111</v>
      </c>
      <c r="J18" s="19" t="s">
        <v>73</v>
      </c>
      <c r="K18" s="19" t="s">
        <v>74</v>
      </c>
      <c r="L18" s="20">
        <f t="shared" ca="1" si="0"/>
        <v>45685</v>
      </c>
      <c r="M18" s="15" t="s">
        <v>69</v>
      </c>
      <c r="N18" s="21" t="s">
        <v>75</v>
      </c>
      <c r="O18" s="19">
        <v>38</v>
      </c>
      <c r="P18" s="19">
        <v>1000</v>
      </c>
      <c r="Q18" s="19" t="s">
        <v>76</v>
      </c>
      <c r="R18" s="19" t="s">
        <v>77</v>
      </c>
      <c r="S18" s="19" t="s">
        <v>74</v>
      </c>
      <c r="T18" s="22" t="s">
        <v>78</v>
      </c>
      <c r="U18" s="23" t="s">
        <v>79</v>
      </c>
      <c r="V18" s="19" t="s">
        <v>74</v>
      </c>
      <c r="W18" s="24">
        <f t="shared" ca="1" si="2"/>
        <v>45685</v>
      </c>
      <c r="X18" s="19" t="s">
        <v>80</v>
      </c>
      <c r="Y18" s="25" t="s">
        <v>81</v>
      </c>
      <c r="Z18" t="s">
        <v>82</v>
      </c>
      <c r="AA18" s="26" t="s">
        <v>83</v>
      </c>
      <c r="AB18" t="s">
        <v>84</v>
      </c>
      <c r="AC18" s="1" t="s">
        <v>85</v>
      </c>
      <c r="AD18" s="1" t="s">
        <v>54</v>
      </c>
      <c r="AE18" s="27">
        <v>35</v>
      </c>
      <c r="AF18" s="28" t="s">
        <v>86</v>
      </c>
      <c r="AG18" t="s">
        <v>87</v>
      </c>
      <c r="AH18" s="20" t="s">
        <v>88</v>
      </c>
      <c r="AI18" s="19" t="s">
        <v>89</v>
      </c>
      <c r="AJ18" s="19" t="s">
        <v>90</v>
      </c>
      <c r="AK18" t="s">
        <v>91</v>
      </c>
      <c r="AL18" s="19">
        <v>10527565</v>
      </c>
      <c r="AM18" s="19">
        <v>10527565</v>
      </c>
      <c r="AN18" s="29" t="s">
        <v>69</v>
      </c>
      <c r="AO18" s="29" t="s">
        <v>92</v>
      </c>
      <c r="AP18">
        <f ca="1"/>
        <v>28541301127</v>
      </c>
      <c r="AQ18" s="15" t="s">
        <v>93</v>
      </c>
      <c r="AR18" s="21" t="s">
        <v>94</v>
      </c>
      <c r="AS18" s="21" t="s">
        <v>95</v>
      </c>
      <c r="AT18" s="20" t="s">
        <v>88</v>
      </c>
      <c r="AU18" t="s">
        <v>96</v>
      </c>
      <c r="AV18" s="30">
        <v>35591</v>
      </c>
      <c r="AW18" s="31" t="s">
        <v>69</v>
      </c>
      <c r="AX18" s="29" t="s">
        <v>77</v>
      </c>
      <c r="AY18" s="31" t="s">
        <v>76</v>
      </c>
      <c r="AZ18" s="31" t="s">
        <v>97</v>
      </c>
      <c r="BA18" s="32" t="s">
        <v>98</v>
      </c>
      <c r="BB18" s="31" t="s">
        <v>99</v>
      </c>
      <c r="BC18" s="31" t="s">
        <v>69</v>
      </c>
      <c r="BD18" t="s">
        <v>100</v>
      </c>
      <c r="BE18" t="s">
        <v>101</v>
      </c>
      <c r="BF18" s="15" t="s">
        <v>102</v>
      </c>
      <c r="BG18" s="29" t="s">
        <v>103</v>
      </c>
      <c r="BH18" s="33" t="s">
        <v>104</v>
      </c>
      <c r="BI18" s="29" t="s">
        <v>105</v>
      </c>
      <c r="BJ18" s="29" t="s">
        <v>106</v>
      </c>
      <c r="BK18" s="29" t="s">
        <v>107</v>
      </c>
      <c r="BL18" s="31" t="s">
        <v>108</v>
      </c>
      <c r="BM18" s="31" t="s">
        <v>109</v>
      </c>
      <c r="BN18" s="31" t="s">
        <v>110</v>
      </c>
      <c r="BO18" s="31" t="s">
        <v>111</v>
      </c>
      <c r="BP18" s="31" t="s">
        <v>112</v>
      </c>
      <c r="BQ18" s="19" t="s">
        <v>113</v>
      </c>
      <c r="BR18" s="34" t="s">
        <v>114</v>
      </c>
    </row>
    <row r="19" spans="1:70" ht="15.65" customHeight="1" x14ac:dyDescent="0.35">
      <c r="A19" s="1" t="s">
        <v>222</v>
      </c>
      <c r="D19" s="14" t="s">
        <v>116</v>
      </c>
      <c r="E19" s="15" t="s">
        <v>69</v>
      </c>
      <c r="F19" s="16" t="s">
        <v>117</v>
      </c>
      <c r="G19" s="17" t="s">
        <v>142</v>
      </c>
      <c r="H19" s="18" t="s">
        <v>143</v>
      </c>
      <c r="I19" s="19">
        <v>25041111</v>
      </c>
      <c r="J19" s="19" t="s">
        <v>73</v>
      </c>
      <c r="K19" s="19" t="s">
        <v>74</v>
      </c>
      <c r="L19" s="20">
        <f t="shared" ca="1" si="0"/>
        <v>45685</v>
      </c>
      <c r="M19" s="15" t="s">
        <v>69</v>
      </c>
      <c r="N19" s="21" t="s">
        <v>75</v>
      </c>
      <c r="O19" s="19">
        <v>38</v>
      </c>
      <c r="P19" s="19">
        <v>1000</v>
      </c>
      <c r="Q19" s="19" t="s">
        <v>76</v>
      </c>
      <c r="R19" s="19" t="s">
        <v>77</v>
      </c>
      <c r="S19" s="19" t="s">
        <v>74</v>
      </c>
      <c r="T19" s="22" t="s">
        <v>78</v>
      </c>
      <c r="U19" s="23" t="s">
        <v>79</v>
      </c>
      <c r="V19" s="19" t="s">
        <v>74</v>
      </c>
      <c r="W19" s="24">
        <f t="shared" ca="1" si="2"/>
        <v>45685</v>
      </c>
      <c r="X19" s="19" t="s">
        <v>80</v>
      </c>
      <c r="Y19" s="25" t="s">
        <v>144</v>
      </c>
      <c r="Z19" t="s">
        <v>121</v>
      </c>
      <c r="AA19" s="26" t="s">
        <v>122</v>
      </c>
      <c r="AB19" t="s">
        <v>84</v>
      </c>
      <c r="AC19" s="1" t="s">
        <v>85</v>
      </c>
      <c r="AD19" s="1" t="s">
        <v>54</v>
      </c>
      <c r="AE19" s="27">
        <v>35</v>
      </c>
      <c r="AF19" s="15" t="s">
        <v>123</v>
      </c>
      <c r="AG19" t="s">
        <v>87</v>
      </c>
      <c r="AH19" s="20">
        <f ca="1">TODAY()+365</f>
        <v>46081</v>
      </c>
      <c r="AI19" s="19" t="s">
        <v>89</v>
      </c>
      <c r="AJ19" s="19" t="s">
        <v>124</v>
      </c>
      <c r="AK19" s="1">
        <v>251</v>
      </c>
      <c r="AL19" s="19">
        <v>10527565</v>
      </c>
      <c r="AM19" s="19">
        <v>8708905</v>
      </c>
      <c r="AN19" s="29" t="s">
        <v>69</v>
      </c>
      <c r="AO19" s="29" t="s">
        <v>92</v>
      </c>
      <c r="AP19">
        <f ca="1"/>
        <v>83837974953</v>
      </c>
      <c r="AQ19" s="15" t="s">
        <v>93</v>
      </c>
      <c r="AR19" s="21" t="s">
        <v>125</v>
      </c>
      <c r="AS19" s="21" t="s">
        <v>95</v>
      </c>
      <c r="AT19" s="20">
        <f t="shared" ref="AT19:AT34" ca="1" si="3">AH19</f>
        <v>46081</v>
      </c>
      <c r="AU19" t="s">
        <v>126</v>
      </c>
      <c r="AV19" s="30">
        <v>35591</v>
      </c>
      <c r="AW19" s="31" t="s">
        <v>69</v>
      </c>
      <c r="AX19" s="29" t="s">
        <v>77</v>
      </c>
      <c r="AY19" s="31" t="s">
        <v>76</v>
      </c>
      <c r="AZ19" s="31" t="s">
        <v>97</v>
      </c>
      <c r="BA19" s="32" t="s">
        <v>98</v>
      </c>
      <c r="BB19" s="31" t="s">
        <v>99</v>
      </c>
      <c r="BC19" s="31" t="s">
        <v>69</v>
      </c>
      <c r="BD19" s="35" t="s">
        <v>127</v>
      </c>
      <c r="BE19" t="s">
        <v>128</v>
      </c>
      <c r="BF19" s="15" t="s">
        <v>102</v>
      </c>
      <c r="BG19" s="29" t="s">
        <v>103</v>
      </c>
      <c r="BH19" s="33" t="s">
        <v>104</v>
      </c>
      <c r="BI19" s="29" t="s">
        <v>105</v>
      </c>
      <c r="BJ19" s="29" t="s">
        <v>106</v>
      </c>
      <c r="BK19" s="29" t="s">
        <v>107</v>
      </c>
      <c r="BL19" s="31" t="s">
        <v>129</v>
      </c>
      <c r="BM19" s="31" t="s">
        <v>130</v>
      </c>
      <c r="BN19" s="31" t="s">
        <v>110</v>
      </c>
      <c r="BO19" s="31" t="s">
        <v>111</v>
      </c>
      <c r="BP19" s="31" t="s">
        <v>112</v>
      </c>
      <c r="BQ19" s="19" t="s">
        <v>113</v>
      </c>
      <c r="BR19" s="34" t="s">
        <v>114</v>
      </c>
    </row>
    <row r="20" spans="1:70" ht="15.65" customHeight="1" x14ac:dyDescent="0.35">
      <c r="A20" s="1" t="s">
        <v>223</v>
      </c>
      <c r="D20" s="14" t="s">
        <v>68</v>
      </c>
      <c r="E20" s="15" t="s">
        <v>69</v>
      </c>
      <c r="F20" s="16" t="s">
        <v>70</v>
      </c>
      <c r="G20" s="17" t="s">
        <v>148</v>
      </c>
      <c r="H20" s="18" t="s">
        <v>149</v>
      </c>
      <c r="I20" s="19">
        <v>25041111</v>
      </c>
      <c r="J20" s="19" t="s">
        <v>73</v>
      </c>
      <c r="K20" s="19" t="s">
        <v>74</v>
      </c>
      <c r="L20" s="20">
        <f t="shared" ref="L20:L34" ca="1" si="4">TODAY()-31</f>
        <v>45685</v>
      </c>
      <c r="M20" s="15" t="s">
        <v>69</v>
      </c>
      <c r="N20" s="21" t="s">
        <v>75</v>
      </c>
      <c r="O20" s="19">
        <v>38</v>
      </c>
      <c r="P20" s="19">
        <v>1000</v>
      </c>
      <c r="Q20" s="19" t="s">
        <v>76</v>
      </c>
      <c r="R20" s="19" t="s">
        <v>77</v>
      </c>
      <c r="S20" s="19" t="s">
        <v>74</v>
      </c>
      <c r="T20" s="22" t="s">
        <v>78</v>
      </c>
      <c r="U20" s="23" t="s">
        <v>79</v>
      </c>
      <c r="V20" s="19" t="s">
        <v>74</v>
      </c>
      <c r="W20" s="24">
        <f t="shared" ref="W20:W34" ca="1" si="5">L20</f>
        <v>45685</v>
      </c>
      <c r="X20" s="19" t="s">
        <v>80</v>
      </c>
      <c r="Y20" s="25" t="s">
        <v>81</v>
      </c>
      <c r="Z20" t="s">
        <v>82</v>
      </c>
      <c r="AA20" s="26" t="s">
        <v>83</v>
      </c>
      <c r="AB20" t="s">
        <v>84</v>
      </c>
      <c r="AC20" s="1" t="s">
        <v>85</v>
      </c>
      <c r="AD20" s="1" t="s">
        <v>54</v>
      </c>
      <c r="AE20" s="27">
        <v>35</v>
      </c>
      <c r="AF20" s="15" t="s">
        <v>86</v>
      </c>
      <c r="AG20" t="s">
        <v>87</v>
      </c>
      <c r="AH20" s="20" t="s">
        <v>88</v>
      </c>
      <c r="AI20" s="19" t="s">
        <v>89</v>
      </c>
      <c r="AJ20" s="19" t="s">
        <v>90</v>
      </c>
      <c r="AK20" t="s">
        <v>91</v>
      </c>
      <c r="AL20" s="19">
        <v>10527565</v>
      </c>
      <c r="AM20" s="19">
        <v>10527565</v>
      </c>
      <c r="AN20" s="29" t="s">
        <v>69</v>
      </c>
      <c r="AO20" s="29" t="s">
        <v>92</v>
      </c>
      <c r="AP20">
        <f ca="1"/>
        <v>48331791371</v>
      </c>
      <c r="AQ20" s="15" t="s">
        <v>93</v>
      </c>
      <c r="AR20" s="21" t="s">
        <v>94</v>
      </c>
      <c r="AS20" s="21" t="s">
        <v>95</v>
      </c>
      <c r="AT20" s="20" t="str">
        <f t="shared" si="3"/>
        <v>N/A</v>
      </c>
      <c r="AU20" t="s">
        <v>96</v>
      </c>
      <c r="AV20" s="30">
        <v>35591</v>
      </c>
      <c r="AW20" s="31" t="s">
        <v>69</v>
      </c>
      <c r="AX20" s="29" t="s">
        <v>77</v>
      </c>
      <c r="AY20" s="31" t="s">
        <v>76</v>
      </c>
      <c r="AZ20" s="31" t="s">
        <v>97</v>
      </c>
      <c r="BA20" s="32" t="s">
        <v>98</v>
      </c>
      <c r="BB20" s="31" t="s">
        <v>99</v>
      </c>
      <c r="BC20" s="31" t="s">
        <v>69</v>
      </c>
      <c r="BD20" t="s">
        <v>100</v>
      </c>
      <c r="BE20" t="s">
        <v>101</v>
      </c>
      <c r="BF20" s="15" t="s">
        <v>102</v>
      </c>
      <c r="BG20" s="29" t="s">
        <v>103</v>
      </c>
      <c r="BH20" s="33" t="s">
        <v>104</v>
      </c>
      <c r="BI20" s="29" t="s">
        <v>105</v>
      </c>
      <c r="BJ20" s="29" t="s">
        <v>106</v>
      </c>
      <c r="BK20" s="29" t="s">
        <v>107</v>
      </c>
      <c r="BL20" s="31" t="s">
        <v>129</v>
      </c>
      <c r="BM20" s="31" t="s">
        <v>130</v>
      </c>
      <c r="BN20" s="31" t="s">
        <v>110</v>
      </c>
      <c r="BO20" s="31" t="s">
        <v>111</v>
      </c>
      <c r="BP20" s="31" t="s">
        <v>112</v>
      </c>
      <c r="BQ20" s="19" t="s">
        <v>113</v>
      </c>
      <c r="BR20" s="34" t="s">
        <v>114</v>
      </c>
    </row>
    <row r="21" spans="1:70" ht="15.65" customHeight="1" x14ac:dyDescent="0.35">
      <c r="A21" s="1" t="s">
        <v>224</v>
      </c>
      <c r="D21" s="14" t="s">
        <v>116</v>
      </c>
      <c r="E21" s="15" t="s">
        <v>69</v>
      </c>
      <c r="F21" s="16" t="s">
        <v>117</v>
      </c>
      <c r="G21" s="17" t="s">
        <v>150</v>
      </c>
      <c r="H21" s="18" t="s">
        <v>149</v>
      </c>
      <c r="I21" s="19">
        <v>25041111</v>
      </c>
      <c r="J21" s="19" t="s">
        <v>73</v>
      </c>
      <c r="K21" s="19" t="s">
        <v>74</v>
      </c>
      <c r="L21" s="20">
        <f t="shared" ca="1" si="4"/>
        <v>45685</v>
      </c>
      <c r="M21" s="15" t="s">
        <v>69</v>
      </c>
      <c r="N21" s="21" t="s">
        <v>75</v>
      </c>
      <c r="O21" s="19">
        <v>38</v>
      </c>
      <c r="P21" s="19">
        <v>1000</v>
      </c>
      <c r="Q21" s="19" t="s">
        <v>76</v>
      </c>
      <c r="R21" s="19" t="s">
        <v>77</v>
      </c>
      <c r="S21" s="19" t="s">
        <v>74</v>
      </c>
      <c r="T21" s="22" t="s">
        <v>78</v>
      </c>
      <c r="U21" s="23" t="s">
        <v>79</v>
      </c>
      <c r="V21" s="19" t="s">
        <v>74</v>
      </c>
      <c r="W21" s="24">
        <f t="shared" ca="1" si="5"/>
        <v>45685</v>
      </c>
      <c r="X21" s="19" t="s">
        <v>80</v>
      </c>
      <c r="Y21" s="25" t="s">
        <v>151</v>
      </c>
      <c r="Z21" t="s">
        <v>125</v>
      </c>
      <c r="AA21" s="26" t="s">
        <v>122</v>
      </c>
      <c r="AB21" t="s">
        <v>84</v>
      </c>
      <c r="AC21" s="1" t="s">
        <v>85</v>
      </c>
      <c r="AD21" s="1" t="s">
        <v>54</v>
      </c>
      <c r="AE21" s="27">
        <v>35</v>
      </c>
      <c r="AF21" s="15" t="s">
        <v>123</v>
      </c>
      <c r="AG21" t="s">
        <v>87</v>
      </c>
      <c r="AH21" s="20">
        <f ca="1">TODAY()+365</f>
        <v>46081</v>
      </c>
      <c r="AI21" s="19" t="s">
        <v>89</v>
      </c>
      <c r="AJ21" s="19" t="s">
        <v>124</v>
      </c>
      <c r="AK21" s="1">
        <v>251</v>
      </c>
      <c r="AL21" s="19">
        <v>10527565</v>
      </c>
      <c r="AM21" s="19">
        <v>8708905</v>
      </c>
      <c r="AN21" s="29" t="s">
        <v>69</v>
      </c>
      <c r="AO21" s="29" t="s">
        <v>92</v>
      </c>
      <c r="AP21">
        <f ca="1"/>
        <v>71751453608</v>
      </c>
      <c r="AQ21" s="15" t="s">
        <v>93</v>
      </c>
      <c r="AR21" s="21" t="s">
        <v>125</v>
      </c>
      <c r="AS21" s="21" t="s">
        <v>95</v>
      </c>
      <c r="AT21" s="20">
        <f t="shared" ca="1" si="3"/>
        <v>46081</v>
      </c>
      <c r="AU21" t="s">
        <v>126</v>
      </c>
      <c r="AV21" s="30">
        <v>35591</v>
      </c>
      <c r="AW21" s="31" t="s">
        <v>69</v>
      </c>
      <c r="AX21" s="29" t="s">
        <v>77</v>
      </c>
      <c r="AY21" s="31" t="s">
        <v>76</v>
      </c>
      <c r="AZ21" s="31" t="s">
        <v>97</v>
      </c>
      <c r="BA21" s="32" t="s">
        <v>98</v>
      </c>
      <c r="BB21" s="31" t="s">
        <v>99</v>
      </c>
      <c r="BC21" s="31" t="s">
        <v>69</v>
      </c>
      <c r="BD21" s="35" t="s">
        <v>127</v>
      </c>
      <c r="BE21" t="s">
        <v>128</v>
      </c>
      <c r="BF21" s="15" t="s">
        <v>102</v>
      </c>
      <c r="BG21" s="29" t="s">
        <v>103</v>
      </c>
      <c r="BH21" s="33" t="s">
        <v>104</v>
      </c>
      <c r="BI21" s="29" t="s">
        <v>105</v>
      </c>
      <c r="BJ21" s="29" t="s">
        <v>106</v>
      </c>
      <c r="BK21" s="29" t="s">
        <v>107</v>
      </c>
      <c r="BL21" s="31" t="s">
        <v>129</v>
      </c>
      <c r="BM21" s="31" t="s">
        <v>130</v>
      </c>
      <c r="BN21" s="31" t="s">
        <v>110</v>
      </c>
      <c r="BO21" s="31" t="s">
        <v>111</v>
      </c>
      <c r="BP21" s="31" t="s">
        <v>112</v>
      </c>
      <c r="BQ21" s="19" t="s">
        <v>113</v>
      </c>
      <c r="BR21" s="34" t="s">
        <v>114</v>
      </c>
    </row>
    <row r="22" spans="1:70" ht="15.65" customHeight="1" x14ac:dyDescent="0.35">
      <c r="A22" s="1" t="s">
        <v>225</v>
      </c>
      <c r="D22" s="14" t="s">
        <v>68</v>
      </c>
      <c r="E22" s="15" t="s">
        <v>69</v>
      </c>
      <c r="F22" s="16" t="s">
        <v>70</v>
      </c>
      <c r="G22" s="17" t="s">
        <v>152</v>
      </c>
      <c r="H22" s="18" t="s">
        <v>149</v>
      </c>
      <c r="I22" s="19">
        <v>25041111</v>
      </c>
      <c r="J22" s="19" t="s">
        <v>73</v>
      </c>
      <c r="K22" s="19" t="s">
        <v>74</v>
      </c>
      <c r="L22" s="20">
        <f t="shared" ca="1" si="4"/>
        <v>45685</v>
      </c>
      <c r="M22" s="15" t="s">
        <v>69</v>
      </c>
      <c r="N22" s="21" t="s">
        <v>75</v>
      </c>
      <c r="O22" s="19">
        <v>38</v>
      </c>
      <c r="P22" s="19">
        <v>1000</v>
      </c>
      <c r="Q22" s="19" t="s">
        <v>76</v>
      </c>
      <c r="R22" s="19" t="s">
        <v>77</v>
      </c>
      <c r="S22" s="19" t="s">
        <v>74</v>
      </c>
      <c r="T22" s="22" t="s">
        <v>78</v>
      </c>
      <c r="U22" s="23" t="s">
        <v>79</v>
      </c>
      <c r="V22" s="19" t="s">
        <v>74</v>
      </c>
      <c r="W22" s="24">
        <f t="shared" ca="1" si="5"/>
        <v>45685</v>
      </c>
      <c r="X22" s="19" t="s">
        <v>80</v>
      </c>
      <c r="Y22" s="25" t="s">
        <v>81</v>
      </c>
      <c r="Z22" t="s">
        <v>82</v>
      </c>
      <c r="AA22" s="26" t="s">
        <v>153</v>
      </c>
      <c r="AB22" t="s">
        <v>154</v>
      </c>
      <c r="AC22" s="1" t="s">
        <v>85</v>
      </c>
      <c r="AD22" s="1" t="s">
        <v>54</v>
      </c>
      <c r="AE22" s="27">
        <v>20</v>
      </c>
      <c r="AF22" s="15" t="s">
        <v>86</v>
      </c>
      <c r="AG22" t="s">
        <v>87</v>
      </c>
      <c r="AH22" s="20" t="s">
        <v>88</v>
      </c>
      <c r="AI22" s="19" t="s">
        <v>89</v>
      </c>
      <c r="AJ22" s="19" t="s">
        <v>90</v>
      </c>
      <c r="AK22" t="s">
        <v>155</v>
      </c>
      <c r="AL22" s="19">
        <v>10527565</v>
      </c>
      <c r="AM22" s="19">
        <v>10527565</v>
      </c>
      <c r="AN22" s="29" t="s">
        <v>69</v>
      </c>
      <c r="AO22" s="29" t="s">
        <v>92</v>
      </c>
      <c r="AP22">
        <f ca="1"/>
        <v>88508160352</v>
      </c>
      <c r="AQ22" s="15" t="s">
        <v>93</v>
      </c>
      <c r="AR22" s="21" t="s">
        <v>94</v>
      </c>
      <c r="AS22" s="21" t="s">
        <v>95</v>
      </c>
      <c r="AT22" s="20" t="str">
        <f t="shared" si="3"/>
        <v>N/A</v>
      </c>
      <c r="AU22" t="s">
        <v>96</v>
      </c>
      <c r="AV22" s="30">
        <v>35591</v>
      </c>
      <c r="AW22" s="31" t="s">
        <v>69</v>
      </c>
      <c r="AX22" s="29" t="s">
        <v>77</v>
      </c>
      <c r="AY22" s="31" t="s">
        <v>76</v>
      </c>
      <c r="AZ22" s="31" t="s">
        <v>97</v>
      </c>
      <c r="BA22" s="32" t="s">
        <v>98</v>
      </c>
      <c r="BB22" s="31" t="s">
        <v>99</v>
      </c>
      <c r="BC22" s="31" t="s">
        <v>69</v>
      </c>
      <c r="BD22" t="s">
        <v>88</v>
      </c>
      <c r="BE22" t="s">
        <v>88</v>
      </c>
      <c r="BF22" s="15" t="s">
        <v>102</v>
      </c>
      <c r="BG22" s="29" t="s">
        <v>103</v>
      </c>
      <c r="BH22" s="33" t="s">
        <v>104</v>
      </c>
      <c r="BI22" s="29" t="s">
        <v>105</v>
      </c>
      <c r="BJ22" s="29" t="s">
        <v>106</v>
      </c>
      <c r="BK22" s="29" t="s">
        <v>107</v>
      </c>
      <c r="BL22" s="31" t="s">
        <v>129</v>
      </c>
      <c r="BM22" s="31" t="s">
        <v>130</v>
      </c>
      <c r="BN22" s="31" t="s">
        <v>110</v>
      </c>
      <c r="BO22" s="31" t="s">
        <v>111</v>
      </c>
      <c r="BP22" s="31" t="s">
        <v>112</v>
      </c>
      <c r="BQ22" s="19" t="s">
        <v>113</v>
      </c>
      <c r="BR22" s="34" t="s">
        <v>156</v>
      </c>
    </row>
    <row r="23" spans="1:70" ht="15.65" customHeight="1" x14ac:dyDescent="0.35">
      <c r="A23" s="1" t="s">
        <v>226</v>
      </c>
      <c r="D23" s="14" t="s">
        <v>116</v>
      </c>
      <c r="E23" s="15" t="s">
        <v>69</v>
      </c>
      <c r="F23" s="16" t="s">
        <v>117</v>
      </c>
      <c r="G23" s="17" t="s">
        <v>157</v>
      </c>
      <c r="H23" s="18" t="s">
        <v>149</v>
      </c>
      <c r="I23" s="19">
        <v>25041111</v>
      </c>
      <c r="J23" s="19" t="s">
        <v>73</v>
      </c>
      <c r="K23" s="19" t="s">
        <v>74</v>
      </c>
      <c r="L23" s="20">
        <f t="shared" ca="1" si="4"/>
        <v>45685</v>
      </c>
      <c r="M23" s="15" t="s">
        <v>69</v>
      </c>
      <c r="N23" s="21" t="s">
        <v>75</v>
      </c>
      <c r="O23" s="19">
        <v>38</v>
      </c>
      <c r="P23" s="19">
        <v>1000</v>
      </c>
      <c r="Q23" s="19" t="s">
        <v>76</v>
      </c>
      <c r="R23" s="19" t="s">
        <v>77</v>
      </c>
      <c r="S23" s="19" t="s">
        <v>74</v>
      </c>
      <c r="T23" s="22" t="s">
        <v>78</v>
      </c>
      <c r="U23" s="23" t="s">
        <v>79</v>
      </c>
      <c r="V23" s="19" t="s">
        <v>74</v>
      </c>
      <c r="W23" s="24">
        <f t="shared" ca="1" si="5"/>
        <v>45685</v>
      </c>
      <c r="X23" s="19" t="s">
        <v>80</v>
      </c>
      <c r="Y23" s="25" t="s">
        <v>158</v>
      </c>
      <c r="Z23" t="s">
        <v>82</v>
      </c>
      <c r="AA23" s="26" t="s">
        <v>159</v>
      </c>
      <c r="AB23" t="s">
        <v>84</v>
      </c>
      <c r="AC23" s="1" t="s">
        <v>85</v>
      </c>
      <c r="AD23" s="1" t="s">
        <v>54</v>
      </c>
      <c r="AE23" s="27">
        <v>35</v>
      </c>
      <c r="AF23" s="15" t="s">
        <v>123</v>
      </c>
      <c r="AG23" t="s">
        <v>87</v>
      </c>
      <c r="AH23" s="20" t="s">
        <v>88</v>
      </c>
      <c r="AI23" s="19" t="s">
        <v>89</v>
      </c>
      <c r="AJ23" s="19" t="s">
        <v>124</v>
      </c>
      <c r="AK23" s="1">
        <v>251</v>
      </c>
      <c r="AL23" s="19">
        <v>10527565</v>
      </c>
      <c r="AM23" s="19">
        <v>8708905</v>
      </c>
      <c r="AN23" s="29" t="s">
        <v>69</v>
      </c>
      <c r="AO23" s="29" t="s">
        <v>92</v>
      </c>
      <c r="AP23">
        <f ca="1"/>
        <v>59797207497</v>
      </c>
      <c r="AQ23" s="15" t="s">
        <v>93</v>
      </c>
      <c r="AR23" s="21" t="s">
        <v>94</v>
      </c>
      <c r="AS23" s="21" t="s">
        <v>95</v>
      </c>
      <c r="AT23" s="20" t="str">
        <f t="shared" si="3"/>
        <v>N/A</v>
      </c>
      <c r="AU23" t="s">
        <v>126</v>
      </c>
      <c r="AV23" s="30">
        <v>35591</v>
      </c>
      <c r="AW23" s="31" t="s">
        <v>69</v>
      </c>
      <c r="AX23" s="29" t="s">
        <v>77</v>
      </c>
      <c r="AY23" s="31" t="s">
        <v>76</v>
      </c>
      <c r="AZ23" s="31" t="s">
        <v>97</v>
      </c>
      <c r="BA23" s="32" t="s">
        <v>98</v>
      </c>
      <c r="BB23" s="31" t="s">
        <v>99</v>
      </c>
      <c r="BC23" s="31" t="s">
        <v>69</v>
      </c>
      <c r="BD23" s="35" t="s">
        <v>160</v>
      </c>
      <c r="BE23" t="s">
        <v>161</v>
      </c>
      <c r="BF23" s="15" t="s">
        <v>102</v>
      </c>
      <c r="BG23" s="29" t="s">
        <v>103</v>
      </c>
      <c r="BH23" s="33" t="s">
        <v>104</v>
      </c>
      <c r="BI23" s="29" t="s">
        <v>105</v>
      </c>
      <c r="BJ23" s="29" t="s">
        <v>106</v>
      </c>
      <c r="BK23" s="29" t="s">
        <v>107</v>
      </c>
      <c r="BL23" s="31" t="s">
        <v>129</v>
      </c>
      <c r="BM23" s="31" t="s">
        <v>130</v>
      </c>
      <c r="BN23" s="31" t="s">
        <v>110</v>
      </c>
      <c r="BO23" s="31" t="s">
        <v>111</v>
      </c>
      <c r="BP23" s="31" t="s">
        <v>112</v>
      </c>
      <c r="BQ23" s="19" t="s">
        <v>113</v>
      </c>
      <c r="BR23" s="34" t="s">
        <v>114</v>
      </c>
    </row>
    <row r="24" spans="1:70" ht="15.65" customHeight="1" x14ac:dyDescent="0.35">
      <c r="A24" s="1" t="s">
        <v>227</v>
      </c>
      <c r="D24" s="14" t="s">
        <v>68</v>
      </c>
      <c r="E24" s="15" t="s">
        <v>69</v>
      </c>
      <c r="F24" s="16" t="s">
        <v>70</v>
      </c>
      <c r="G24" s="17" t="s">
        <v>162</v>
      </c>
      <c r="H24" s="18" t="s">
        <v>149</v>
      </c>
      <c r="I24" s="19">
        <v>25041111</v>
      </c>
      <c r="J24" s="19" t="s">
        <v>73</v>
      </c>
      <c r="K24" s="19" t="s">
        <v>74</v>
      </c>
      <c r="L24" s="20">
        <f t="shared" ca="1" si="4"/>
        <v>45685</v>
      </c>
      <c r="M24" s="15" t="s">
        <v>69</v>
      </c>
      <c r="N24" s="21" t="s">
        <v>75</v>
      </c>
      <c r="O24" s="19">
        <v>38</v>
      </c>
      <c r="P24" s="19">
        <v>1000</v>
      </c>
      <c r="Q24" s="19" t="s">
        <v>76</v>
      </c>
      <c r="R24" s="19" t="s">
        <v>77</v>
      </c>
      <c r="S24" s="19" t="s">
        <v>74</v>
      </c>
      <c r="T24" s="22" t="s">
        <v>78</v>
      </c>
      <c r="U24" s="23" t="s">
        <v>79</v>
      </c>
      <c r="V24" s="19" t="s">
        <v>74</v>
      </c>
      <c r="W24" s="24">
        <f t="shared" ca="1" si="5"/>
        <v>45685</v>
      </c>
      <c r="X24" s="19" t="s">
        <v>80</v>
      </c>
      <c r="Y24" s="36" t="s">
        <v>81</v>
      </c>
      <c r="Z24" t="s">
        <v>163</v>
      </c>
      <c r="AA24" s="26" t="s">
        <v>83</v>
      </c>
      <c r="AB24" t="s">
        <v>154</v>
      </c>
      <c r="AC24" s="1" t="s">
        <v>85</v>
      </c>
      <c r="AD24" s="1" t="s">
        <v>54</v>
      </c>
      <c r="AE24" s="27">
        <v>30</v>
      </c>
      <c r="AF24" s="15" t="s">
        <v>86</v>
      </c>
      <c r="AG24" t="s">
        <v>87</v>
      </c>
      <c r="AH24" s="20">
        <f ca="1">TODAY()+365</f>
        <v>46081</v>
      </c>
      <c r="AI24" s="19" t="s">
        <v>89</v>
      </c>
      <c r="AJ24" s="19" t="s">
        <v>90</v>
      </c>
      <c r="AK24" t="s">
        <v>164</v>
      </c>
      <c r="AL24" s="19">
        <v>10527565</v>
      </c>
      <c r="AM24" s="19">
        <v>10527565</v>
      </c>
      <c r="AN24" s="29" t="s">
        <v>69</v>
      </c>
      <c r="AO24" s="29" t="s">
        <v>92</v>
      </c>
      <c r="AP24">
        <f ca="1"/>
        <v>43962023257</v>
      </c>
      <c r="AQ24" s="15" t="s">
        <v>93</v>
      </c>
      <c r="AR24" s="21" t="s">
        <v>125</v>
      </c>
      <c r="AS24" s="21" t="s">
        <v>95</v>
      </c>
      <c r="AT24" s="20">
        <f t="shared" ca="1" si="3"/>
        <v>46081</v>
      </c>
      <c r="AU24" t="s">
        <v>96</v>
      </c>
      <c r="AV24" s="30">
        <v>35591</v>
      </c>
      <c r="AW24" s="31" t="s">
        <v>69</v>
      </c>
      <c r="AX24" s="29" t="s">
        <v>77</v>
      </c>
      <c r="AY24" s="31" t="s">
        <v>76</v>
      </c>
      <c r="AZ24" s="31" t="s">
        <v>97</v>
      </c>
      <c r="BA24" s="32" t="s">
        <v>98</v>
      </c>
      <c r="BB24" s="31" t="s">
        <v>99</v>
      </c>
      <c r="BC24" s="31" t="s">
        <v>69</v>
      </c>
      <c r="BD24" t="s">
        <v>100</v>
      </c>
      <c r="BE24" t="s">
        <v>101</v>
      </c>
      <c r="BF24" s="15" t="s">
        <v>102</v>
      </c>
      <c r="BG24" s="29" t="s">
        <v>103</v>
      </c>
      <c r="BH24" s="33" t="s">
        <v>104</v>
      </c>
      <c r="BI24" s="29" t="s">
        <v>105</v>
      </c>
      <c r="BJ24" s="29" t="s">
        <v>106</v>
      </c>
      <c r="BK24" s="29" t="s">
        <v>107</v>
      </c>
      <c r="BL24" s="31" t="s">
        <v>129</v>
      </c>
      <c r="BM24" s="31" t="s">
        <v>130</v>
      </c>
      <c r="BN24" s="31" t="s">
        <v>110</v>
      </c>
      <c r="BO24" s="31" t="s">
        <v>111</v>
      </c>
      <c r="BP24" s="31" t="s">
        <v>112</v>
      </c>
      <c r="BQ24" s="19" t="s">
        <v>113</v>
      </c>
      <c r="BR24" s="34" t="s">
        <v>165</v>
      </c>
    </row>
    <row r="25" spans="1:70" ht="15.65" customHeight="1" x14ac:dyDescent="0.35">
      <c r="A25" s="1" t="s">
        <v>228</v>
      </c>
      <c r="D25" s="14" t="s">
        <v>116</v>
      </c>
      <c r="E25" s="15" t="s">
        <v>69</v>
      </c>
      <c r="F25" s="16" t="s">
        <v>70</v>
      </c>
      <c r="G25" s="17" t="s">
        <v>166</v>
      </c>
      <c r="H25" s="18" t="s">
        <v>149</v>
      </c>
      <c r="I25" s="19">
        <v>25041111</v>
      </c>
      <c r="J25" s="19" t="s">
        <v>73</v>
      </c>
      <c r="K25" s="19" t="s">
        <v>74</v>
      </c>
      <c r="L25" s="20">
        <f t="shared" ca="1" si="4"/>
        <v>45685</v>
      </c>
      <c r="M25" s="15" t="s">
        <v>69</v>
      </c>
      <c r="N25" s="21" t="s">
        <v>75</v>
      </c>
      <c r="O25" s="19">
        <v>38</v>
      </c>
      <c r="P25" s="19">
        <v>1000</v>
      </c>
      <c r="Q25" s="19" t="s">
        <v>76</v>
      </c>
      <c r="R25" s="19" t="s">
        <v>77</v>
      </c>
      <c r="S25" s="19" t="s">
        <v>74</v>
      </c>
      <c r="T25" s="22" t="s">
        <v>78</v>
      </c>
      <c r="U25" s="23" t="s">
        <v>79</v>
      </c>
      <c r="V25" s="19" t="s">
        <v>74</v>
      </c>
      <c r="W25" s="24">
        <f t="shared" ca="1" si="5"/>
        <v>45685</v>
      </c>
      <c r="X25" s="19" t="s">
        <v>80</v>
      </c>
      <c r="Y25" s="25" t="s">
        <v>167</v>
      </c>
      <c r="Z25" s="37" t="s">
        <v>82</v>
      </c>
      <c r="AA25" s="26" t="s">
        <v>168</v>
      </c>
      <c r="AB25" s="38" t="s">
        <v>154</v>
      </c>
      <c r="AC25" s="1" t="s">
        <v>85</v>
      </c>
      <c r="AD25" s="1" t="s">
        <v>54</v>
      </c>
      <c r="AE25" s="27">
        <v>30</v>
      </c>
      <c r="AF25" s="15" t="s">
        <v>86</v>
      </c>
      <c r="AG25" t="s">
        <v>87</v>
      </c>
      <c r="AH25" s="20" t="s">
        <v>88</v>
      </c>
      <c r="AI25" s="19" t="s">
        <v>89</v>
      </c>
      <c r="AJ25" s="19" t="s">
        <v>124</v>
      </c>
      <c r="AK25" s="1">
        <v>251</v>
      </c>
      <c r="AL25" s="19">
        <v>10527565</v>
      </c>
      <c r="AM25" s="19">
        <v>10527565</v>
      </c>
      <c r="AN25" s="29" t="s">
        <v>69</v>
      </c>
      <c r="AO25" s="29" t="s">
        <v>92</v>
      </c>
      <c r="AP25">
        <f ca="1"/>
        <v>78194598499</v>
      </c>
      <c r="AQ25" s="15" t="s">
        <v>93</v>
      </c>
      <c r="AR25" s="21" t="s">
        <v>94</v>
      </c>
      <c r="AS25" s="21" t="s">
        <v>95</v>
      </c>
      <c r="AT25" s="20" t="str">
        <f t="shared" si="3"/>
        <v>N/A</v>
      </c>
      <c r="AU25" t="s">
        <v>96</v>
      </c>
      <c r="AV25" s="30">
        <v>35591</v>
      </c>
      <c r="AW25" s="31" t="s">
        <v>69</v>
      </c>
      <c r="AX25" s="29" t="s">
        <v>77</v>
      </c>
      <c r="AY25" s="31" t="s">
        <v>76</v>
      </c>
      <c r="AZ25" s="31" t="s">
        <v>97</v>
      </c>
      <c r="BA25" s="32" t="s">
        <v>98</v>
      </c>
      <c r="BB25" s="31" t="s">
        <v>99</v>
      </c>
      <c r="BC25" s="31" t="s">
        <v>69</v>
      </c>
      <c r="BD25" t="s">
        <v>169</v>
      </c>
      <c r="BE25" t="s">
        <v>170</v>
      </c>
      <c r="BF25" s="15" t="s">
        <v>102</v>
      </c>
      <c r="BG25" s="29" t="s">
        <v>103</v>
      </c>
      <c r="BH25" s="33" t="s">
        <v>104</v>
      </c>
      <c r="BI25" s="29" t="s">
        <v>105</v>
      </c>
      <c r="BJ25" s="29" t="s">
        <v>106</v>
      </c>
      <c r="BK25" s="29" t="s">
        <v>107</v>
      </c>
      <c r="BL25" s="31" t="s">
        <v>129</v>
      </c>
      <c r="BM25" s="31" t="s">
        <v>130</v>
      </c>
      <c r="BN25" s="31" t="s">
        <v>110</v>
      </c>
      <c r="BO25" s="31" t="s">
        <v>111</v>
      </c>
      <c r="BP25" s="31" t="s">
        <v>112</v>
      </c>
      <c r="BQ25" s="19" t="s">
        <v>113</v>
      </c>
      <c r="BR25" s="34" t="s">
        <v>165</v>
      </c>
    </row>
    <row r="26" spans="1:70" ht="15.65" customHeight="1" x14ac:dyDescent="0.35">
      <c r="A26" s="1" t="s">
        <v>229</v>
      </c>
      <c r="D26" s="14" t="s">
        <v>116</v>
      </c>
      <c r="E26" s="15" t="s">
        <v>69</v>
      </c>
      <c r="F26" s="16" t="s">
        <v>70</v>
      </c>
      <c r="G26" s="17" t="s">
        <v>171</v>
      </c>
      <c r="H26" s="18" t="s">
        <v>149</v>
      </c>
      <c r="I26" s="19">
        <v>25041111</v>
      </c>
      <c r="J26" s="19" t="s">
        <v>73</v>
      </c>
      <c r="K26" s="19" t="s">
        <v>74</v>
      </c>
      <c r="L26" s="20">
        <f t="shared" ca="1" si="4"/>
        <v>45685</v>
      </c>
      <c r="M26" s="15" t="s">
        <v>69</v>
      </c>
      <c r="N26" s="21" t="s">
        <v>75</v>
      </c>
      <c r="O26" s="19">
        <v>38</v>
      </c>
      <c r="P26" s="19">
        <v>1000</v>
      </c>
      <c r="Q26" s="19" t="s">
        <v>76</v>
      </c>
      <c r="R26" s="19" t="s">
        <v>77</v>
      </c>
      <c r="S26" s="19" t="s">
        <v>74</v>
      </c>
      <c r="T26" s="22" t="s">
        <v>78</v>
      </c>
      <c r="U26" s="23" t="s">
        <v>79</v>
      </c>
      <c r="V26" s="19" t="s">
        <v>74</v>
      </c>
      <c r="W26" s="24">
        <f t="shared" ca="1" si="5"/>
        <v>45685</v>
      </c>
      <c r="X26" s="19" t="s">
        <v>80</v>
      </c>
      <c r="Y26" s="25" t="s">
        <v>172</v>
      </c>
      <c r="Z26" s="37" t="s">
        <v>125</v>
      </c>
      <c r="AA26" s="26" t="s">
        <v>173</v>
      </c>
      <c r="AB26" s="38" t="s">
        <v>84</v>
      </c>
      <c r="AC26" s="1" t="s">
        <v>85</v>
      </c>
      <c r="AD26" s="1" t="s">
        <v>54</v>
      </c>
      <c r="AE26" s="27">
        <v>35</v>
      </c>
      <c r="AF26" s="15" t="s">
        <v>86</v>
      </c>
      <c r="AG26" t="s">
        <v>87</v>
      </c>
      <c r="AH26" s="20">
        <f ca="1">TODAY()+365</f>
        <v>46081</v>
      </c>
      <c r="AI26" s="19" t="s">
        <v>89</v>
      </c>
      <c r="AJ26" s="19" t="s">
        <v>124</v>
      </c>
      <c r="AK26" s="1">
        <v>251</v>
      </c>
      <c r="AL26" s="19">
        <v>10527565</v>
      </c>
      <c r="AM26" s="19">
        <v>10527565</v>
      </c>
      <c r="AN26" s="29" t="s">
        <v>69</v>
      </c>
      <c r="AO26" s="29" t="s">
        <v>92</v>
      </c>
      <c r="AP26">
        <f ca="1"/>
        <v>69738621048</v>
      </c>
      <c r="AQ26" s="15" t="s">
        <v>93</v>
      </c>
      <c r="AR26" s="21" t="s">
        <v>125</v>
      </c>
      <c r="AS26" s="21" t="s">
        <v>95</v>
      </c>
      <c r="AT26" s="20">
        <f t="shared" ca="1" si="3"/>
        <v>46081</v>
      </c>
      <c r="AU26" t="s">
        <v>96</v>
      </c>
      <c r="AV26" s="30">
        <v>35591</v>
      </c>
      <c r="AW26" s="31" t="s">
        <v>69</v>
      </c>
      <c r="AX26" s="29" t="s">
        <v>77</v>
      </c>
      <c r="AY26" s="31" t="s">
        <v>76</v>
      </c>
      <c r="AZ26" s="31" t="s">
        <v>97</v>
      </c>
      <c r="BA26" s="32" t="s">
        <v>98</v>
      </c>
      <c r="BB26" s="31" t="s">
        <v>99</v>
      </c>
      <c r="BC26" s="31" t="s">
        <v>69</v>
      </c>
      <c r="BD26" t="s">
        <v>174</v>
      </c>
      <c r="BE26" t="s">
        <v>175</v>
      </c>
      <c r="BF26" s="15" t="s">
        <v>102</v>
      </c>
      <c r="BG26" s="29" t="s">
        <v>103</v>
      </c>
      <c r="BH26" s="33" t="s">
        <v>104</v>
      </c>
      <c r="BI26" s="29" t="s">
        <v>105</v>
      </c>
      <c r="BJ26" s="29" t="s">
        <v>106</v>
      </c>
      <c r="BK26" s="29" t="s">
        <v>107</v>
      </c>
      <c r="BL26" s="31" t="s">
        <v>129</v>
      </c>
      <c r="BM26" s="31" t="s">
        <v>130</v>
      </c>
      <c r="BN26" s="31" t="s">
        <v>110</v>
      </c>
      <c r="BO26" s="31" t="s">
        <v>111</v>
      </c>
      <c r="BP26" s="31" t="s">
        <v>112</v>
      </c>
      <c r="BQ26" s="19" t="s">
        <v>113</v>
      </c>
      <c r="BR26" s="34" t="s">
        <v>114</v>
      </c>
    </row>
    <row r="27" spans="1:70" ht="15.65" customHeight="1" x14ac:dyDescent="0.35">
      <c r="A27" s="1" t="s">
        <v>230</v>
      </c>
      <c r="D27" s="14" t="s">
        <v>116</v>
      </c>
      <c r="E27" s="15" t="s">
        <v>69</v>
      </c>
      <c r="F27" s="16" t="s">
        <v>70</v>
      </c>
      <c r="G27" s="17" t="s">
        <v>176</v>
      </c>
      <c r="H27" s="18" t="s">
        <v>149</v>
      </c>
      <c r="I27" s="19">
        <v>25041111</v>
      </c>
      <c r="J27" s="19" t="s">
        <v>73</v>
      </c>
      <c r="K27" s="19" t="s">
        <v>74</v>
      </c>
      <c r="L27" s="20">
        <f t="shared" ca="1" si="4"/>
        <v>45685</v>
      </c>
      <c r="M27" s="15" t="s">
        <v>69</v>
      </c>
      <c r="N27" s="21" t="s">
        <v>75</v>
      </c>
      <c r="O27" s="19">
        <v>38</v>
      </c>
      <c r="P27" s="19">
        <v>1000</v>
      </c>
      <c r="Q27" s="19" t="s">
        <v>76</v>
      </c>
      <c r="R27" s="19" t="s">
        <v>77</v>
      </c>
      <c r="S27" s="19" t="s">
        <v>74</v>
      </c>
      <c r="T27" s="22" t="s">
        <v>78</v>
      </c>
      <c r="U27" s="23" t="s">
        <v>79</v>
      </c>
      <c r="V27" s="19" t="s">
        <v>74</v>
      </c>
      <c r="W27" s="24">
        <f t="shared" ca="1" si="5"/>
        <v>45685</v>
      </c>
      <c r="X27" s="19" t="s">
        <v>80</v>
      </c>
      <c r="Y27" s="25" t="s">
        <v>177</v>
      </c>
      <c r="Z27" s="37" t="s">
        <v>82</v>
      </c>
      <c r="AA27" s="26" t="s">
        <v>178</v>
      </c>
      <c r="AB27" s="38" t="s">
        <v>154</v>
      </c>
      <c r="AC27" s="1" t="s">
        <v>85</v>
      </c>
      <c r="AD27" s="1" t="s">
        <v>54</v>
      </c>
      <c r="AE27" s="27">
        <v>20</v>
      </c>
      <c r="AF27" s="15" t="s">
        <v>86</v>
      </c>
      <c r="AG27" t="s">
        <v>87</v>
      </c>
      <c r="AH27" s="20" t="s">
        <v>88</v>
      </c>
      <c r="AI27" s="19" t="s">
        <v>89</v>
      </c>
      <c r="AJ27" s="19" t="s">
        <v>124</v>
      </c>
      <c r="AK27" s="1">
        <v>251</v>
      </c>
      <c r="AL27" s="19">
        <v>10527565</v>
      </c>
      <c r="AM27" s="19">
        <v>10527565</v>
      </c>
      <c r="AN27" s="29" t="s">
        <v>69</v>
      </c>
      <c r="AO27" s="29" t="s">
        <v>92</v>
      </c>
      <c r="AP27">
        <f ca="1"/>
        <v>96071307100</v>
      </c>
      <c r="AQ27" s="15" t="s">
        <v>93</v>
      </c>
      <c r="AR27" s="21" t="s">
        <v>94</v>
      </c>
      <c r="AS27" s="21" t="s">
        <v>95</v>
      </c>
      <c r="AT27" s="20" t="str">
        <f t="shared" si="3"/>
        <v>N/A</v>
      </c>
      <c r="AU27" t="s">
        <v>96</v>
      </c>
      <c r="AV27" s="30">
        <v>35591</v>
      </c>
      <c r="AW27" s="31" t="s">
        <v>69</v>
      </c>
      <c r="AX27" s="29" t="s">
        <v>77</v>
      </c>
      <c r="AY27" s="31" t="s">
        <v>76</v>
      </c>
      <c r="AZ27" s="31" t="s">
        <v>97</v>
      </c>
      <c r="BA27" s="32" t="s">
        <v>98</v>
      </c>
      <c r="BB27" s="31" t="s">
        <v>99</v>
      </c>
      <c r="BC27" s="31" t="s">
        <v>69</v>
      </c>
      <c r="BD27" t="s">
        <v>179</v>
      </c>
      <c r="BE27" t="s">
        <v>180</v>
      </c>
      <c r="BF27" s="15" t="s">
        <v>102</v>
      </c>
      <c r="BG27" s="29" t="s">
        <v>103</v>
      </c>
      <c r="BH27" s="33" t="s">
        <v>104</v>
      </c>
      <c r="BI27" s="29" t="s">
        <v>105</v>
      </c>
      <c r="BJ27" s="29" t="s">
        <v>106</v>
      </c>
      <c r="BK27" s="29" t="s">
        <v>107</v>
      </c>
      <c r="BL27" s="31" t="s">
        <v>129</v>
      </c>
      <c r="BM27" s="31" t="s">
        <v>130</v>
      </c>
      <c r="BN27" s="31" t="s">
        <v>110</v>
      </c>
      <c r="BO27" s="31" t="s">
        <v>111</v>
      </c>
      <c r="BP27" s="31" t="s">
        <v>112</v>
      </c>
      <c r="BQ27" s="19" t="s">
        <v>113</v>
      </c>
      <c r="BR27" s="34" t="s">
        <v>156</v>
      </c>
    </row>
    <row r="28" spans="1:70" ht="15.65" customHeight="1" x14ac:dyDescent="0.35">
      <c r="A28" s="1" t="s">
        <v>231</v>
      </c>
      <c r="D28" s="14" t="s">
        <v>68</v>
      </c>
      <c r="E28" s="15" t="s">
        <v>69</v>
      </c>
      <c r="F28" s="16" t="s">
        <v>70</v>
      </c>
      <c r="G28" s="17" t="s">
        <v>181</v>
      </c>
      <c r="H28" s="18" t="s">
        <v>149</v>
      </c>
      <c r="I28" s="19">
        <v>25041111</v>
      </c>
      <c r="J28" s="19" t="s">
        <v>73</v>
      </c>
      <c r="K28" s="19" t="s">
        <v>74</v>
      </c>
      <c r="L28" s="20">
        <f t="shared" ca="1" si="4"/>
        <v>45685</v>
      </c>
      <c r="M28" s="15" t="s">
        <v>69</v>
      </c>
      <c r="N28" s="21" t="s">
        <v>75</v>
      </c>
      <c r="O28" s="19">
        <v>38</v>
      </c>
      <c r="P28" s="19">
        <v>1000</v>
      </c>
      <c r="Q28" s="19" t="s">
        <v>76</v>
      </c>
      <c r="R28" s="19" t="s">
        <v>77</v>
      </c>
      <c r="S28" s="19" t="s">
        <v>74</v>
      </c>
      <c r="T28" s="22" t="s">
        <v>78</v>
      </c>
      <c r="U28" s="23" t="s">
        <v>79</v>
      </c>
      <c r="V28" s="19" t="s">
        <v>74</v>
      </c>
      <c r="W28" s="24">
        <f t="shared" ca="1" si="5"/>
        <v>45685</v>
      </c>
      <c r="X28" s="19" t="s">
        <v>80</v>
      </c>
      <c r="Y28" s="25" t="s">
        <v>81</v>
      </c>
      <c r="Z28" s="37" t="s">
        <v>182</v>
      </c>
      <c r="AA28" s="26" t="s">
        <v>183</v>
      </c>
      <c r="AB28" s="38" t="s">
        <v>154</v>
      </c>
      <c r="AC28" s="1" t="s">
        <v>85</v>
      </c>
      <c r="AD28" s="1" t="s">
        <v>184</v>
      </c>
      <c r="AE28" s="27">
        <v>10</v>
      </c>
      <c r="AF28" s="15" t="s">
        <v>86</v>
      </c>
      <c r="AG28" t="s">
        <v>87</v>
      </c>
      <c r="AH28" s="20">
        <f ca="1">TODAY()+365</f>
        <v>46081</v>
      </c>
      <c r="AI28" s="19" t="s">
        <v>89</v>
      </c>
      <c r="AJ28" s="19" t="s">
        <v>90</v>
      </c>
      <c r="AK28" t="s">
        <v>185</v>
      </c>
      <c r="AL28" s="19">
        <v>10527565</v>
      </c>
      <c r="AM28" s="19">
        <v>10527565</v>
      </c>
      <c r="AN28" s="29" t="s">
        <v>69</v>
      </c>
      <c r="AO28" s="29" t="s">
        <v>92</v>
      </c>
      <c r="AP28">
        <f ca="1"/>
        <v>13825271858</v>
      </c>
      <c r="AQ28" s="15" t="s">
        <v>93</v>
      </c>
      <c r="AR28" s="21" t="s">
        <v>182</v>
      </c>
      <c r="AS28" s="21" t="s">
        <v>95</v>
      </c>
      <c r="AT28" s="20">
        <f t="shared" ca="1" si="3"/>
        <v>46081</v>
      </c>
      <c r="AU28" t="s">
        <v>96</v>
      </c>
      <c r="AV28" s="30">
        <v>35591</v>
      </c>
      <c r="AW28" s="31" t="s">
        <v>69</v>
      </c>
      <c r="AX28" s="29" t="s">
        <v>77</v>
      </c>
      <c r="AY28" s="31" t="s">
        <v>76</v>
      </c>
      <c r="AZ28" s="31" t="s">
        <v>97</v>
      </c>
      <c r="BA28" s="32" t="s">
        <v>98</v>
      </c>
      <c r="BB28" s="31" t="s">
        <v>99</v>
      </c>
      <c r="BC28" s="31" t="s">
        <v>69</v>
      </c>
      <c r="BD28" t="s">
        <v>88</v>
      </c>
      <c r="BE28" t="s">
        <v>88</v>
      </c>
      <c r="BF28" s="15" t="s">
        <v>102</v>
      </c>
      <c r="BG28" s="29" t="s">
        <v>103</v>
      </c>
      <c r="BH28" s="33" t="s">
        <v>104</v>
      </c>
      <c r="BI28" s="29" t="s">
        <v>105</v>
      </c>
      <c r="BJ28" s="29" t="s">
        <v>106</v>
      </c>
      <c r="BK28" s="29" t="s">
        <v>107</v>
      </c>
      <c r="BL28" s="31" t="s">
        <v>129</v>
      </c>
      <c r="BM28" s="31" t="s">
        <v>130</v>
      </c>
      <c r="BN28" s="31" t="s">
        <v>110</v>
      </c>
      <c r="BO28" s="31" t="s">
        <v>111</v>
      </c>
      <c r="BP28" s="31" t="s">
        <v>112</v>
      </c>
      <c r="BQ28" s="19" t="s">
        <v>113</v>
      </c>
      <c r="BR28" s="39" t="s">
        <v>186</v>
      </c>
    </row>
    <row r="29" spans="1:70" ht="15.65" customHeight="1" x14ac:dyDescent="0.35">
      <c r="A29" s="1" t="s">
        <v>232</v>
      </c>
      <c r="D29" s="14" t="s">
        <v>68</v>
      </c>
      <c r="E29" s="15" t="s">
        <v>69</v>
      </c>
      <c r="F29" s="16" t="s">
        <v>70</v>
      </c>
      <c r="G29" s="17" t="s">
        <v>187</v>
      </c>
      <c r="H29" s="18" t="s">
        <v>149</v>
      </c>
      <c r="I29" s="19">
        <v>25041111</v>
      </c>
      <c r="J29" s="19" t="s">
        <v>73</v>
      </c>
      <c r="K29" s="19" t="s">
        <v>74</v>
      </c>
      <c r="L29" s="20">
        <f t="shared" ca="1" si="4"/>
        <v>45685</v>
      </c>
      <c r="M29" s="15" t="s">
        <v>69</v>
      </c>
      <c r="N29" s="21" t="s">
        <v>75</v>
      </c>
      <c r="O29" s="19">
        <v>38</v>
      </c>
      <c r="P29" s="19">
        <v>1000</v>
      </c>
      <c r="Q29" s="19" t="s">
        <v>76</v>
      </c>
      <c r="R29" s="19" t="s">
        <v>77</v>
      </c>
      <c r="S29" s="19" t="s">
        <v>74</v>
      </c>
      <c r="T29" s="22" t="s">
        <v>78</v>
      </c>
      <c r="U29" s="23" t="s">
        <v>79</v>
      </c>
      <c r="V29" s="19" t="s">
        <v>74</v>
      </c>
      <c r="W29" s="24">
        <f t="shared" ca="1" si="5"/>
        <v>45685</v>
      </c>
      <c r="X29" s="19" t="s">
        <v>80</v>
      </c>
      <c r="Y29" s="25" t="s">
        <v>81</v>
      </c>
      <c r="Z29" s="37" t="s">
        <v>82</v>
      </c>
      <c r="AA29" s="26" t="s">
        <v>188</v>
      </c>
      <c r="AB29" s="39" t="s">
        <v>84</v>
      </c>
      <c r="AC29" s="1" t="s">
        <v>85</v>
      </c>
      <c r="AD29" s="1" t="s">
        <v>54</v>
      </c>
      <c r="AE29" s="27">
        <v>35</v>
      </c>
      <c r="AF29" s="15" t="s">
        <v>86</v>
      </c>
      <c r="AG29" t="s">
        <v>87</v>
      </c>
      <c r="AH29" s="20" t="s">
        <v>88</v>
      </c>
      <c r="AI29" s="19" t="s">
        <v>89</v>
      </c>
      <c r="AJ29" s="19" t="s">
        <v>90</v>
      </c>
      <c r="AK29" t="s">
        <v>189</v>
      </c>
      <c r="AL29" s="19">
        <v>10527565</v>
      </c>
      <c r="AM29" s="19">
        <v>10527565</v>
      </c>
      <c r="AN29" s="29" t="s">
        <v>69</v>
      </c>
      <c r="AO29" s="29" t="s">
        <v>92</v>
      </c>
      <c r="AP29">
        <f ca="1"/>
        <v>84885694236</v>
      </c>
      <c r="AQ29" s="15" t="s">
        <v>93</v>
      </c>
      <c r="AR29" s="21" t="s">
        <v>94</v>
      </c>
      <c r="AS29" s="21" t="s">
        <v>95</v>
      </c>
      <c r="AT29" s="20" t="str">
        <f t="shared" si="3"/>
        <v>N/A</v>
      </c>
      <c r="AU29" t="s">
        <v>96</v>
      </c>
      <c r="AV29" s="30">
        <v>35591</v>
      </c>
      <c r="AW29" s="31" t="s">
        <v>69</v>
      </c>
      <c r="AX29" s="29" t="s">
        <v>77</v>
      </c>
      <c r="AY29" s="31" t="s">
        <v>76</v>
      </c>
      <c r="AZ29" s="31" t="s">
        <v>97</v>
      </c>
      <c r="BA29" s="32" t="s">
        <v>98</v>
      </c>
      <c r="BB29" s="31" t="s">
        <v>99</v>
      </c>
      <c r="BC29" s="31" t="s">
        <v>69</v>
      </c>
      <c r="BD29" t="s">
        <v>190</v>
      </c>
      <c r="BE29" t="s">
        <v>191</v>
      </c>
      <c r="BF29" s="15" t="s">
        <v>102</v>
      </c>
      <c r="BG29" s="29" t="s">
        <v>103</v>
      </c>
      <c r="BH29" s="33" t="s">
        <v>104</v>
      </c>
      <c r="BI29" s="29" t="s">
        <v>105</v>
      </c>
      <c r="BJ29" s="29" t="s">
        <v>106</v>
      </c>
      <c r="BK29" s="29" t="s">
        <v>107</v>
      </c>
      <c r="BL29" s="31" t="s">
        <v>129</v>
      </c>
      <c r="BM29" s="31" t="s">
        <v>130</v>
      </c>
      <c r="BN29" s="31" t="s">
        <v>110</v>
      </c>
      <c r="BO29" s="31" t="s">
        <v>111</v>
      </c>
      <c r="BP29" s="31" t="s">
        <v>112</v>
      </c>
      <c r="BQ29" s="19" t="s">
        <v>113</v>
      </c>
      <c r="BR29" s="34" t="s">
        <v>114</v>
      </c>
    </row>
    <row r="30" spans="1:70" ht="15.65" customHeight="1" x14ac:dyDescent="0.35">
      <c r="A30" s="1" t="s">
        <v>233</v>
      </c>
      <c r="D30" s="14" t="s">
        <v>68</v>
      </c>
      <c r="E30" s="15" t="s">
        <v>69</v>
      </c>
      <c r="F30" s="16" t="s">
        <v>70</v>
      </c>
      <c r="G30" s="17" t="s">
        <v>192</v>
      </c>
      <c r="H30" s="18" t="s">
        <v>149</v>
      </c>
      <c r="I30" s="19">
        <v>25041111</v>
      </c>
      <c r="J30" s="19" t="s">
        <v>73</v>
      </c>
      <c r="K30" s="19" t="s">
        <v>74</v>
      </c>
      <c r="L30" s="20">
        <f t="shared" ca="1" si="4"/>
        <v>45685</v>
      </c>
      <c r="M30" s="15" t="s">
        <v>69</v>
      </c>
      <c r="N30" s="21" t="s">
        <v>75</v>
      </c>
      <c r="O30" s="19">
        <v>38</v>
      </c>
      <c r="P30" s="19">
        <v>1000</v>
      </c>
      <c r="Q30" s="19" t="s">
        <v>76</v>
      </c>
      <c r="R30" s="19" t="s">
        <v>77</v>
      </c>
      <c r="S30" s="19" t="s">
        <v>74</v>
      </c>
      <c r="T30" s="22" t="s">
        <v>78</v>
      </c>
      <c r="U30" s="23" t="s">
        <v>79</v>
      </c>
      <c r="V30" s="19" t="s">
        <v>74</v>
      </c>
      <c r="W30" s="24">
        <f t="shared" ca="1" si="5"/>
        <v>45685</v>
      </c>
      <c r="X30" s="19" t="s">
        <v>80</v>
      </c>
      <c r="Y30" s="25" t="s">
        <v>81</v>
      </c>
      <c r="Z30" s="37" t="s">
        <v>82</v>
      </c>
      <c r="AA30" s="26" t="s">
        <v>193</v>
      </c>
      <c r="AB30" s="38" t="s">
        <v>154</v>
      </c>
      <c r="AC30" s="1" t="s">
        <v>85</v>
      </c>
      <c r="AD30" s="1" t="s">
        <v>54</v>
      </c>
      <c r="AE30" s="27">
        <v>28</v>
      </c>
      <c r="AF30" s="15" t="s">
        <v>86</v>
      </c>
      <c r="AG30" t="s">
        <v>87</v>
      </c>
      <c r="AH30" s="20" t="s">
        <v>88</v>
      </c>
      <c r="AI30" s="19" t="s">
        <v>89</v>
      </c>
      <c r="AJ30" s="19" t="s">
        <v>90</v>
      </c>
      <c r="AK30" t="s">
        <v>194</v>
      </c>
      <c r="AL30" s="19">
        <v>10527565</v>
      </c>
      <c r="AM30" s="19">
        <v>10527565</v>
      </c>
      <c r="AN30" s="29" t="s">
        <v>69</v>
      </c>
      <c r="AO30" s="29" t="s">
        <v>92</v>
      </c>
      <c r="AP30">
        <f ca="1"/>
        <v>52821274036</v>
      </c>
      <c r="AQ30" s="15" t="s">
        <v>93</v>
      </c>
      <c r="AR30" s="21" t="s">
        <v>94</v>
      </c>
      <c r="AS30" s="21" t="s">
        <v>95</v>
      </c>
      <c r="AT30" s="20" t="str">
        <f t="shared" si="3"/>
        <v>N/A</v>
      </c>
      <c r="AU30" t="s">
        <v>96</v>
      </c>
      <c r="AV30" s="30">
        <v>35591</v>
      </c>
      <c r="AW30" s="31" t="s">
        <v>69</v>
      </c>
      <c r="AX30" s="29" t="s">
        <v>77</v>
      </c>
      <c r="AY30" s="31" t="s">
        <v>76</v>
      </c>
      <c r="AZ30" s="31" t="s">
        <v>97</v>
      </c>
      <c r="BA30" s="32" t="s">
        <v>98</v>
      </c>
      <c r="BB30" s="31" t="s">
        <v>99</v>
      </c>
      <c r="BC30" s="31" t="s">
        <v>69</v>
      </c>
      <c r="BD30" t="s">
        <v>88</v>
      </c>
      <c r="BE30" t="s">
        <v>88</v>
      </c>
      <c r="BF30" s="15" t="s">
        <v>102</v>
      </c>
      <c r="BG30" s="29" t="s">
        <v>103</v>
      </c>
      <c r="BH30" s="33" t="s">
        <v>104</v>
      </c>
      <c r="BI30" s="29" t="s">
        <v>105</v>
      </c>
      <c r="BJ30" s="29" t="s">
        <v>106</v>
      </c>
      <c r="BK30" s="29" t="s">
        <v>107</v>
      </c>
      <c r="BL30" s="31" t="s">
        <v>129</v>
      </c>
      <c r="BM30" s="31" t="s">
        <v>130</v>
      </c>
      <c r="BN30" s="31" t="s">
        <v>110</v>
      </c>
      <c r="BO30" s="31" t="s">
        <v>111</v>
      </c>
      <c r="BP30" s="31" t="s">
        <v>112</v>
      </c>
      <c r="BQ30" s="19" t="s">
        <v>113</v>
      </c>
      <c r="BR30" s="39" t="s">
        <v>195</v>
      </c>
    </row>
    <row r="31" spans="1:70" ht="15.65" customHeight="1" x14ac:dyDescent="0.35">
      <c r="A31" s="1" t="s">
        <v>234</v>
      </c>
      <c r="D31" s="14" t="s">
        <v>68</v>
      </c>
      <c r="E31" s="15" t="s">
        <v>69</v>
      </c>
      <c r="F31" s="16" t="s">
        <v>70</v>
      </c>
      <c r="G31" s="17" t="s">
        <v>196</v>
      </c>
      <c r="H31" s="18" t="s">
        <v>149</v>
      </c>
      <c r="I31" s="19">
        <v>25041111</v>
      </c>
      <c r="J31" s="19" t="s">
        <v>73</v>
      </c>
      <c r="K31" s="19" t="s">
        <v>74</v>
      </c>
      <c r="L31" s="20">
        <f t="shared" ca="1" si="4"/>
        <v>45685</v>
      </c>
      <c r="M31" s="15" t="s">
        <v>69</v>
      </c>
      <c r="N31" s="21" t="s">
        <v>75</v>
      </c>
      <c r="O31" s="19">
        <v>38</v>
      </c>
      <c r="P31" s="19">
        <v>1000</v>
      </c>
      <c r="Q31" s="19" t="s">
        <v>76</v>
      </c>
      <c r="R31" s="19" t="s">
        <v>77</v>
      </c>
      <c r="S31" s="19" t="s">
        <v>74</v>
      </c>
      <c r="T31" s="22" t="s">
        <v>78</v>
      </c>
      <c r="U31" s="23" t="s">
        <v>79</v>
      </c>
      <c r="V31" s="19" t="s">
        <v>74</v>
      </c>
      <c r="W31" s="24">
        <f t="shared" ca="1" si="5"/>
        <v>45685</v>
      </c>
      <c r="X31" s="19" t="s">
        <v>80</v>
      </c>
      <c r="Y31" s="25" t="s">
        <v>81</v>
      </c>
      <c r="Z31" s="37" t="s">
        <v>125</v>
      </c>
      <c r="AA31" s="26" t="s">
        <v>197</v>
      </c>
      <c r="AB31" s="38" t="s">
        <v>84</v>
      </c>
      <c r="AC31" s="1" t="s">
        <v>85</v>
      </c>
      <c r="AD31" s="1" t="s">
        <v>54</v>
      </c>
      <c r="AE31" s="27">
        <v>35</v>
      </c>
      <c r="AF31" s="15" t="s">
        <v>86</v>
      </c>
      <c r="AG31" t="s">
        <v>87</v>
      </c>
      <c r="AH31" s="20">
        <f ca="1">TODAY()+365</f>
        <v>46081</v>
      </c>
      <c r="AI31" s="19" t="s">
        <v>89</v>
      </c>
      <c r="AJ31" s="19" t="s">
        <v>90</v>
      </c>
      <c r="AK31" t="s">
        <v>198</v>
      </c>
      <c r="AL31" s="19">
        <v>10527565</v>
      </c>
      <c r="AM31" s="19">
        <v>10527565</v>
      </c>
      <c r="AN31" s="29" t="s">
        <v>69</v>
      </c>
      <c r="AO31" s="29" t="s">
        <v>92</v>
      </c>
      <c r="AP31">
        <f ca="1"/>
        <v>70992160569</v>
      </c>
      <c r="AQ31" s="15" t="s">
        <v>93</v>
      </c>
      <c r="AR31" s="21" t="s">
        <v>125</v>
      </c>
      <c r="AS31" s="21" t="s">
        <v>95</v>
      </c>
      <c r="AT31" s="20">
        <f t="shared" ca="1" si="3"/>
        <v>46081</v>
      </c>
      <c r="AU31" t="s">
        <v>96</v>
      </c>
      <c r="AV31" s="30">
        <v>35591</v>
      </c>
      <c r="AW31" s="31" t="s">
        <v>69</v>
      </c>
      <c r="AX31" s="29" t="s">
        <v>77</v>
      </c>
      <c r="AY31" s="31" t="s">
        <v>76</v>
      </c>
      <c r="AZ31" s="31" t="s">
        <v>97</v>
      </c>
      <c r="BA31" s="32" t="s">
        <v>98</v>
      </c>
      <c r="BB31" s="31" t="s">
        <v>99</v>
      </c>
      <c r="BC31" s="31" t="s">
        <v>69</v>
      </c>
      <c r="BD31" t="s">
        <v>199</v>
      </c>
      <c r="BE31" s="35" t="s">
        <v>200</v>
      </c>
      <c r="BF31" s="15" t="s">
        <v>102</v>
      </c>
      <c r="BG31" s="29" t="s">
        <v>103</v>
      </c>
      <c r="BH31" s="33" t="s">
        <v>104</v>
      </c>
      <c r="BI31" s="29" t="s">
        <v>105</v>
      </c>
      <c r="BJ31" s="29" t="s">
        <v>106</v>
      </c>
      <c r="BK31" s="29" t="s">
        <v>107</v>
      </c>
      <c r="BL31" s="31" t="s">
        <v>129</v>
      </c>
      <c r="BM31" s="31" t="s">
        <v>130</v>
      </c>
      <c r="BN31" s="31" t="s">
        <v>110</v>
      </c>
      <c r="BO31" s="31" t="s">
        <v>111</v>
      </c>
      <c r="BP31" s="31" t="s">
        <v>112</v>
      </c>
      <c r="BQ31" s="19" t="s">
        <v>113</v>
      </c>
      <c r="BR31" s="34" t="s">
        <v>114</v>
      </c>
    </row>
    <row r="32" spans="1:70" ht="15.65" customHeight="1" x14ac:dyDescent="0.35">
      <c r="A32" s="1" t="s">
        <v>235</v>
      </c>
      <c r="D32" s="14" t="s">
        <v>68</v>
      </c>
      <c r="E32" s="15" t="s">
        <v>69</v>
      </c>
      <c r="F32" s="16" t="s">
        <v>70</v>
      </c>
      <c r="G32" s="17" t="s">
        <v>201</v>
      </c>
      <c r="H32" s="18" t="s">
        <v>149</v>
      </c>
      <c r="I32" s="19">
        <v>25041111</v>
      </c>
      <c r="J32" s="19" t="s">
        <v>73</v>
      </c>
      <c r="K32" s="19" t="s">
        <v>74</v>
      </c>
      <c r="L32" s="20">
        <f t="shared" ca="1" si="4"/>
        <v>45685</v>
      </c>
      <c r="M32" s="15" t="s">
        <v>69</v>
      </c>
      <c r="N32" s="21" t="s">
        <v>75</v>
      </c>
      <c r="O32" s="19">
        <v>38</v>
      </c>
      <c r="P32" s="19">
        <v>1000</v>
      </c>
      <c r="Q32" s="19" t="s">
        <v>76</v>
      </c>
      <c r="R32" s="19" t="s">
        <v>77</v>
      </c>
      <c r="S32" s="19" t="s">
        <v>74</v>
      </c>
      <c r="T32" s="22" t="s">
        <v>78</v>
      </c>
      <c r="U32" s="23" t="s">
        <v>79</v>
      </c>
      <c r="V32" s="19" t="s">
        <v>74</v>
      </c>
      <c r="W32" s="24">
        <f t="shared" ca="1" si="5"/>
        <v>45685</v>
      </c>
      <c r="X32" s="19" t="s">
        <v>80</v>
      </c>
      <c r="Y32" s="25" t="s">
        <v>81</v>
      </c>
      <c r="Z32" s="37" t="s">
        <v>82</v>
      </c>
      <c r="AA32" s="26" t="s">
        <v>202</v>
      </c>
      <c r="AB32" s="38" t="s">
        <v>154</v>
      </c>
      <c r="AC32" s="1" t="s">
        <v>85</v>
      </c>
      <c r="AD32" s="1" t="s">
        <v>54</v>
      </c>
      <c r="AE32" s="27">
        <v>20</v>
      </c>
      <c r="AF32" s="15" t="s">
        <v>86</v>
      </c>
      <c r="AG32" t="s">
        <v>87</v>
      </c>
      <c r="AH32" s="20" t="s">
        <v>88</v>
      </c>
      <c r="AI32" s="19" t="s">
        <v>89</v>
      </c>
      <c r="AJ32" s="19" t="s">
        <v>90</v>
      </c>
      <c r="AK32" s="39" t="s">
        <v>203</v>
      </c>
      <c r="AL32" s="19">
        <v>10527565</v>
      </c>
      <c r="AM32" s="19">
        <v>10527565</v>
      </c>
      <c r="AN32" s="29" t="s">
        <v>69</v>
      </c>
      <c r="AO32" s="29" t="s">
        <v>92</v>
      </c>
      <c r="AP32">
        <f ca="1"/>
        <v>58708745757</v>
      </c>
      <c r="AQ32" s="15" t="s">
        <v>93</v>
      </c>
      <c r="AR32" s="21" t="s">
        <v>94</v>
      </c>
      <c r="AS32" s="21" t="s">
        <v>95</v>
      </c>
      <c r="AT32" s="20" t="str">
        <f t="shared" si="3"/>
        <v>N/A</v>
      </c>
      <c r="AU32" t="s">
        <v>96</v>
      </c>
      <c r="AV32" s="30">
        <v>35591</v>
      </c>
      <c r="AW32" s="31" t="s">
        <v>69</v>
      </c>
      <c r="AX32" s="29" t="s">
        <v>77</v>
      </c>
      <c r="AY32" s="31" t="s">
        <v>76</v>
      </c>
      <c r="AZ32" s="31" t="s">
        <v>97</v>
      </c>
      <c r="BA32" s="32" t="s">
        <v>98</v>
      </c>
      <c r="BB32" s="31" t="s">
        <v>99</v>
      </c>
      <c r="BC32" s="31" t="s">
        <v>69</v>
      </c>
      <c r="BD32" t="s">
        <v>88</v>
      </c>
      <c r="BE32" t="s">
        <v>88</v>
      </c>
      <c r="BF32" s="15" t="s">
        <v>102</v>
      </c>
      <c r="BG32" s="29" t="s">
        <v>103</v>
      </c>
      <c r="BH32" s="33" t="s">
        <v>104</v>
      </c>
      <c r="BI32" s="29" t="s">
        <v>105</v>
      </c>
      <c r="BJ32" s="29" t="s">
        <v>106</v>
      </c>
      <c r="BK32" s="29" t="s">
        <v>107</v>
      </c>
      <c r="BL32" s="31" t="s">
        <v>129</v>
      </c>
      <c r="BM32" s="31" t="s">
        <v>130</v>
      </c>
      <c r="BN32" s="31" t="s">
        <v>110</v>
      </c>
      <c r="BO32" s="31" t="s">
        <v>111</v>
      </c>
      <c r="BP32" s="31" t="s">
        <v>112</v>
      </c>
      <c r="BQ32" s="19" t="s">
        <v>113</v>
      </c>
      <c r="BR32" s="39" t="s">
        <v>204</v>
      </c>
    </row>
    <row r="33" spans="1:70" ht="15.65" customHeight="1" x14ac:dyDescent="0.35">
      <c r="A33" s="1" t="s">
        <v>236</v>
      </c>
      <c r="D33" s="14" t="s">
        <v>68</v>
      </c>
      <c r="E33" s="15" t="s">
        <v>69</v>
      </c>
      <c r="F33" s="16" t="s">
        <v>70</v>
      </c>
      <c r="G33" s="17" t="s">
        <v>205</v>
      </c>
      <c r="H33" s="18" t="s">
        <v>149</v>
      </c>
      <c r="I33" s="19">
        <v>25041111</v>
      </c>
      <c r="J33" s="19" t="s">
        <v>73</v>
      </c>
      <c r="K33" s="19" t="s">
        <v>74</v>
      </c>
      <c r="L33" s="20">
        <f t="shared" ca="1" si="4"/>
        <v>45685</v>
      </c>
      <c r="M33" s="15" t="s">
        <v>69</v>
      </c>
      <c r="N33" s="21" t="s">
        <v>75</v>
      </c>
      <c r="O33" s="19">
        <v>38</v>
      </c>
      <c r="P33" s="19">
        <v>1000</v>
      </c>
      <c r="Q33" s="19" t="s">
        <v>76</v>
      </c>
      <c r="R33" s="19" t="s">
        <v>77</v>
      </c>
      <c r="S33" s="19" t="s">
        <v>74</v>
      </c>
      <c r="T33" s="22" t="s">
        <v>78</v>
      </c>
      <c r="U33" s="23" t="s">
        <v>79</v>
      </c>
      <c r="V33" s="19" t="s">
        <v>74</v>
      </c>
      <c r="W33" s="24">
        <f t="shared" ca="1" si="5"/>
        <v>45685</v>
      </c>
      <c r="X33" s="19" t="s">
        <v>80</v>
      </c>
      <c r="Y33" s="25" t="s">
        <v>81</v>
      </c>
      <c r="Z33" s="37" t="s">
        <v>125</v>
      </c>
      <c r="AA33" s="26" t="s">
        <v>153</v>
      </c>
      <c r="AB33" s="38" t="s">
        <v>154</v>
      </c>
      <c r="AC33" s="1" t="s">
        <v>85</v>
      </c>
      <c r="AD33" s="1" t="s">
        <v>54</v>
      </c>
      <c r="AE33" s="27">
        <v>30</v>
      </c>
      <c r="AF33" s="15" t="s">
        <v>86</v>
      </c>
      <c r="AG33" t="s">
        <v>87</v>
      </c>
      <c r="AH33" s="20">
        <f ca="1">TODAY()+365</f>
        <v>46081</v>
      </c>
      <c r="AI33" s="19" t="s">
        <v>89</v>
      </c>
      <c r="AJ33" s="19" t="s">
        <v>90</v>
      </c>
      <c r="AK33" t="s">
        <v>155</v>
      </c>
      <c r="AL33" s="19">
        <v>10527565</v>
      </c>
      <c r="AM33" s="19">
        <v>10527565</v>
      </c>
      <c r="AN33" s="29" t="s">
        <v>69</v>
      </c>
      <c r="AO33" s="29" t="s">
        <v>92</v>
      </c>
      <c r="AP33">
        <f ca="1"/>
        <v>29284213243</v>
      </c>
      <c r="AQ33" s="15" t="s">
        <v>93</v>
      </c>
      <c r="AR33" s="21" t="s">
        <v>125</v>
      </c>
      <c r="AS33" s="21" t="s">
        <v>95</v>
      </c>
      <c r="AT33" s="20">
        <f t="shared" ca="1" si="3"/>
        <v>46081</v>
      </c>
      <c r="AU33" t="s">
        <v>96</v>
      </c>
      <c r="AV33" s="30">
        <v>35591</v>
      </c>
      <c r="AW33" s="31" t="s">
        <v>69</v>
      </c>
      <c r="AX33" s="29" t="s">
        <v>77</v>
      </c>
      <c r="AY33" s="31" t="s">
        <v>76</v>
      </c>
      <c r="AZ33" s="31" t="s">
        <v>97</v>
      </c>
      <c r="BA33" s="32" t="s">
        <v>98</v>
      </c>
      <c r="BB33" s="31" t="s">
        <v>99</v>
      </c>
      <c r="BC33" s="31" t="s">
        <v>69</v>
      </c>
      <c r="BD33" t="s">
        <v>206</v>
      </c>
      <c r="BE33" t="s">
        <v>207</v>
      </c>
      <c r="BF33" s="15" t="s">
        <v>102</v>
      </c>
      <c r="BG33" s="29" t="s">
        <v>103</v>
      </c>
      <c r="BH33" s="33" t="s">
        <v>104</v>
      </c>
      <c r="BI33" s="29" t="s">
        <v>105</v>
      </c>
      <c r="BJ33" s="29" t="s">
        <v>106</v>
      </c>
      <c r="BK33" s="29" t="s">
        <v>107</v>
      </c>
      <c r="BL33" s="31" t="s">
        <v>129</v>
      </c>
      <c r="BM33" s="31" t="s">
        <v>130</v>
      </c>
      <c r="BN33" s="31" t="s">
        <v>110</v>
      </c>
      <c r="BO33" s="31" t="s">
        <v>111</v>
      </c>
      <c r="BP33" s="31" t="s">
        <v>112</v>
      </c>
      <c r="BQ33" s="19" t="s">
        <v>113</v>
      </c>
      <c r="BR33" s="34" t="s">
        <v>165</v>
      </c>
    </row>
    <row r="34" spans="1:70" ht="15.65" customHeight="1" x14ac:dyDescent="0.35">
      <c r="A34" s="1" t="s">
        <v>237</v>
      </c>
      <c r="D34" s="14" t="s">
        <v>116</v>
      </c>
      <c r="E34" s="15" t="s">
        <v>69</v>
      </c>
      <c r="F34" s="16" t="s">
        <v>70</v>
      </c>
      <c r="G34" s="17" t="s">
        <v>208</v>
      </c>
      <c r="H34" s="18" t="s">
        <v>149</v>
      </c>
      <c r="I34" s="19">
        <v>25041111</v>
      </c>
      <c r="J34" s="19" t="s">
        <v>73</v>
      </c>
      <c r="K34" s="19" t="s">
        <v>74</v>
      </c>
      <c r="L34" s="20">
        <f t="shared" ca="1" si="4"/>
        <v>45685</v>
      </c>
      <c r="M34" s="15" t="s">
        <v>69</v>
      </c>
      <c r="N34" s="21" t="s">
        <v>75</v>
      </c>
      <c r="O34" s="19">
        <v>38</v>
      </c>
      <c r="P34" s="19">
        <v>1000</v>
      </c>
      <c r="Q34" s="19" t="s">
        <v>76</v>
      </c>
      <c r="R34" s="19" t="s">
        <v>77</v>
      </c>
      <c r="S34" s="19" t="s">
        <v>74</v>
      </c>
      <c r="T34" s="22" t="s">
        <v>78</v>
      </c>
      <c r="U34" s="23" t="s">
        <v>79</v>
      </c>
      <c r="V34" s="19" t="s">
        <v>74</v>
      </c>
      <c r="W34" s="24">
        <f t="shared" ca="1" si="5"/>
        <v>45685</v>
      </c>
      <c r="X34" s="19" t="s">
        <v>80</v>
      </c>
      <c r="Y34" s="25" t="s">
        <v>209</v>
      </c>
      <c r="Z34" s="39" t="s">
        <v>82</v>
      </c>
      <c r="AA34" s="26" t="s">
        <v>210</v>
      </c>
      <c r="AB34" s="38" t="s">
        <v>84</v>
      </c>
      <c r="AC34" s="1" t="s">
        <v>85</v>
      </c>
      <c r="AD34" s="1" t="s">
        <v>54</v>
      </c>
      <c r="AE34" s="27">
        <v>35</v>
      </c>
      <c r="AF34" s="15" t="s">
        <v>86</v>
      </c>
      <c r="AG34" t="s">
        <v>87</v>
      </c>
      <c r="AH34" s="20" t="s">
        <v>88</v>
      </c>
      <c r="AI34" s="19" t="s">
        <v>89</v>
      </c>
      <c r="AJ34" s="19" t="s">
        <v>124</v>
      </c>
      <c r="AK34" s="1">
        <v>251</v>
      </c>
      <c r="AL34" s="19">
        <v>10527565</v>
      </c>
      <c r="AM34" s="19">
        <v>10527565</v>
      </c>
      <c r="AN34" s="29" t="s">
        <v>69</v>
      </c>
      <c r="AO34" s="29" t="s">
        <v>92</v>
      </c>
      <c r="AP34">
        <f ca="1"/>
        <v>79768094099</v>
      </c>
      <c r="AQ34" s="15" t="s">
        <v>93</v>
      </c>
      <c r="AR34" s="21" t="s">
        <v>94</v>
      </c>
      <c r="AS34" s="21" t="s">
        <v>95</v>
      </c>
      <c r="AT34" s="20" t="str">
        <f t="shared" si="3"/>
        <v>N/A</v>
      </c>
      <c r="AU34" t="s">
        <v>96</v>
      </c>
      <c r="AV34" s="30">
        <v>35591</v>
      </c>
      <c r="AW34" s="31" t="s">
        <v>69</v>
      </c>
      <c r="AX34" s="29" t="s">
        <v>77</v>
      </c>
      <c r="AY34" s="31" t="s">
        <v>76</v>
      </c>
      <c r="AZ34" s="31" t="s">
        <v>97</v>
      </c>
      <c r="BA34" s="32" t="s">
        <v>98</v>
      </c>
      <c r="BB34" s="31" t="s">
        <v>99</v>
      </c>
      <c r="BC34" s="31" t="s">
        <v>69</v>
      </c>
      <c r="BD34" t="s">
        <v>88</v>
      </c>
      <c r="BE34" t="s">
        <v>88</v>
      </c>
      <c r="BF34" s="15" t="s">
        <v>102</v>
      </c>
      <c r="BG34" s="29" t="s">
        <v>103</v>
      </c>
      <c r="BH34" s="33" t="s">
        <v>104</v>
      </c>
      <c r="BI34" s="29" t="s">
        <v>105</v>
      </c>
      <c r="BJ34" s="29" t="s">
        <v>106</v>
      </c>
      <c r="BK34" s="29" t="s">
        <v>107</v>
      </c>
      <c r="BL34" s="31" t="s">
        <v>129</v>
      </c>
      <c r="BM34" s="31" t="s">
        <v>130</v>
      </c>
      <c r="BN34" s="31" t="s">
        <v>110</v>
      </c>
      <c r="BO34" s="31" t="s">
        <v>111</v>
      </c>
      <c r="BP34" s="31" t="s">
        <v>112</v>
      </c>
      <c r="BQ34" s="19" t="s">
        <v>113</v>
      </c>
      <c r="BR34" s="39" t="s">
        <v>114</v>
      </c>
    </row>
  </sheetData>
  <phoneticPr fontId="7" type="noConversion"/>
  <dataValidations count="2">
    <dataValidation type="list" allowBlank="1" showInputMessage="1" showErrorMessage="1" sqref="AS10:AS34 X10:X34 V10:V34 S10:S34 K10:K34 BK10:BK34 AZ10:AZ34" xr:uid="{00000000-0002-0000-0000-000000000000}">
      <formula1>INDIRECT($E2)</formula1>
    </dataValidation>
    <dataValidation type="list" allowBlank="1" showInputMessage="1" showErrorMessage="1" sqref="AS2:AS34 X2:X34 V2:V34 S2:S34 K2:K34 BK2:BK34 AZ2:AZ34" xr:uid="{00000000-0002-0000-0000-000001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  <hyperlink ref="U17" r:id="rId16" xr:uid="{00000000-0004-0000-0000-00000F000000}"/>
    <hyperlink ref="U18" r:id="rId17" xr:uid="{00000000-0004-0000-0000-000010000000}"/>
    <hyperlink ref="U19" r:id="rId18" xr:uid="{00000000-0004-0000-0000-000011000000}"/>
    <hyperlink ref="U20" r:id="rId19" xr:uid="{00000000-0004-0000-0000-000012000000}"/>
    <hyperlink ref="U21" r:id="rId20" xr:uid="{00000000-0004-0000-0000-000013000000}"/>
    <hyperlink ref="U22" r:id="rId21" xr:uid="{00000000-0004-0000-0000-000014000000}"/>
    <hyperlink ref="U23" r:id="rId22" xr:uid="{00000000-0004-0000-0000-000015000000}"/>
    <hyperlink ref="U24" r:id="rId23" xr:uid="{00000000-0004-0000-0000-000016000000}"/>
    <hyperlink ref="U25" r:id="rId24" xr:uid="{00000000-0004-0000-0000-000017000000}"/>
    <hyperlink ref="U26" r:id="rId25" xr:uid="{00000000-0004-0000-0000-000018000000}"/>
    <hyperlink ref="U27" r:id="rId26" xr:uid="{00000000-0004-0000-0000-000019000000}"/>
    <hyperlink ref="U28" r:id="rId27" xr:uid="{00000000-0004-0000-0000-00001A000000}"/>
    <hyperlink ref="U29" r:id="rId28" xr:uid="{00000000-0004-0000-0000-00001B000000}"/>
    <hyperlink ref="U30" r:id="rId29" xr:uid="{00000000-0004-0000-0000-00001C000000}"/>
    <hyperlink ref="U31" r:id="rId30" xr:uid="{00000000-0004-0000-0000-00001D000000}"/>
    <hyperlink ref="U32" r:id="rId31" xr:uid="{00000000-0004-0000-0000-00001E000000}"/>
    <hyperlink ref="U33" r:id="rId32" xr:uid="{00000000-0004-0000-0000-00001F000000}"/>
    <hyperlink ref="U34" r:id="rId33" xr:uid="{00000000-0004-0000-0000-000020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2025-02-28T10:53:12Z</dcterms:modified>
</cp:coreProperties>
</file>